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\Desktop\code of SDA\7005_final\"/>
    </mc:Choice>
  </mc:AlternateContent>
  <bookViews>
    <workbookView xWindow="0" yWindow="0" windowWidth="21600" windowHeight="10490"/>
  </bookViews>
  <sheets>
    <sheet name="archigos 8.0" sheetId="1" r:id="rId1"/>
    <sheet name="Sheet1" sheetId="3" r:id="rId2"/>
    <sheet name="country_continent" sheetId="2" r:id="rId3"/>
  </sheets>
  <definedNames>
    <definedName name="_xlnm._FilterDatabase" localSheetId="0" hidden="1">'archigos 8.0'!$A$1:$AU$3409</definedName>
    <definedName name="_xlnm._FilterDatabase" localSheetId="2" hidden="1">country_continent!$A$1:$C$187</definedName>
  </definedNames>
  <calcPr calcId="162913"/>
</workbook>
</file>

<file path=xl/calcChain.xml><?xml version="1.0" encoding="utf-8"?>
<calcChain xmlns="http://schemas.openxmlformats.org/spreadsheetml/2006/main">
  <c r="AU1518" i="1" l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U2001" i="1"/>
  <c r="AU2002" i="1"/>
  <c r="AU2003" i="1"/>
  <c r="AU2004" i="1"/>
  <c r="AU2005" i="1"/>
  <c r="AU2006" i="1"/>
  <c r="AU2007" i="1"/>
  <c r="AU2008" i="1"/>
  <c r="AU2009" i="1"/>
  <c r="AU2010" i="1"/>
  <c r="AU2011" i="1"/>
  <c r="AU2012" i="1"/>
  <c r="AU2013" i="1"/>
  <c r="AU2014" i="1"/>
  <c r="AU2015" i="1"/>
  <c r="AU2016" i="1"/>
  <c r="AU2017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5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7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5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3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0" i="1"/>
  <c r="AU2241" i="1"/>
  <c r="AU2242" i="1"/>
  <c r="AU2243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4" i="1"/>
  <c r="AU2335" i="1"/>
  <c r="AU2336" i="1"/>
  <c r="AU2337" i="1"/>
  <c r="AU2338" i="1"/>
  <c r="AU2339" i="1"/>
  <c r="AU2340" i="1"/>
  <c r="AU2341" i="1"/>
  <c r="AU2342" i="1"/>
  <c r="AU2343" i="1"/>
  <c r="AU2344" i="1"/>
  <c r="AU2345" i="1"/>
  <c r="AU2346" i="1"/>
  <c r="AU2347" i="1"/>
  <c r="AU2348" i="1"/>
  <c r="AU2349" i="1"/>
  <c r="AU2350" i="1"/>
  <c r="AU2351" i="1"/>
  <c r="AU2352" i="1"/>
  <c r="AU2353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8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1" i="1"/>
  <c r="AU2462" i="1"/>
  <c r="AU2463" i="1"/>
  <c r="AU2464" i="1"/>
  <c r="AU2465" i="1"/>
  <c r="AU2466" i="1"/>
  <c r="AU2467" i="1"/>
  <c r="AU2468" i="1"/>
  <c r="AU2469" i="1"/>
  <c r="AU2470" i="1"/>
  <c r="AU2471" i="1"/>
  <c r="AU2472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8" i="1"/>
  <c r="AU2529" i="1"/>
  <c r="AU2530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4" i="1"/>
  <c r="AU2565" i="1"/>
  <c r="AU2566" i="1"/>
  <c r="AU2567" i="1"/>
  <c r="AU2568" i="1"/>
  <c r="AU2569" i="1"/>
  <c r="AU2570" i="1"/>
  <c r="AU2571" i="1"/>
  <c r="AU2572" i="1"/>
  <c r="AU2573" i="1"/>
  <c r="AU2574" i="1"/>
  <c r="AU2575" i="1"/>
  <c r="AU2576" i="1"/>
  <c r="AU2577" i="1"/>
  <c r="AU2578" i="1"/>
  <c r="AU2579" i="1"/>
  <c r="AU2580" i="1"/>
  <c r="AU2581" i="1"/>
  <c r="AU2582" i="1"/>
  <c r="AU2583" i="1"/>
  <c r="AU2584" i="1"/>
  <c r="AU2585" i="1"/>
  <c r="AU2586" i="1"/>
  <c r="AU2587" i="1"/>
  <c r="AU2588" i="1"/>
  <c r="AU2589" i="1"/>
  <c r="AU2590" i="1"/>
  <c r="AU2591" i="1"/>
  <c r="AU2592" i="1"/>
  <c r="AU2593" i="1"/>
  <c r="AU2594" i="1"/>
  <c r="AU2595" i="1"/>
  <c r="AU2596" i="1"/>
  <c r="AU2597" i="1"/>
  <c r="AU2598" i="1"/>
  <c r="AU2599" i="1"/>
  <c r="AU2600" i="1"/>
  <c r="AU2601" i="1"/>
  <c r="AU2602" i="1"/>
  <c r="AU2603" i="1"/>
  <c r="AU2604" i="1"/>
  <c r="AU2605" i="1"/>
  <c r="AU2606" i="1"/>
  <c r="AU2607" i="1"/>
  <c r="AU2608" i="1"/>
  <c r="AU2609" i="1"/>
  <c r="AU2610" i="1"/>
  <c r="AU2611" i="1"/>
  <c r="AU2612" i="1"/>
  <c r="AU2613" i="1"/>
  <c r="AU2614" i="1"/>
  <c r="AU2615" i="1"/>
  <c r="AU2616" i="1"/>
  <c r="AU2617" i="1"/>
  <c r="AU2618" i="1"/>
  <c r="AU2619" i="1"/>
  <c r="AU2620" i="1"/>
  <c r="AU2621" i="1"/>
  <c r="AU2622" i="1"/>
  <c r="AU2623" i="1"/>
  <c r="AU2624" i="1"/>
  <c r="AU2625" i="1"/>
  <c r="AU2626" i="1"/>
  <c r="AU2627" i="1"/>
  <c r="AU2628" i="1"/>
  <c r="AU2629" i="1"/>
  <c r="AU2630" i="1"/>
  <c r="AU2631" i="1"/>
  <c r="AU2632" i="1"/>
  <c r="AU2633" i="1"/>
  <c r="AU2634" i="1"/>
  <c r="AU2635" i="1"/>
  <c r="AU2636" i="1"/>
  <c r="AU2637" i="1"/>
  <c r="AU2638" i="1"/>
  <c r="AU2639" i="1"/>
  <c r="AU2640" i="1"/>
  <c r="AU2641" i="1"/>
  <c r="AU2642" i="1"/>
  <c r="AU2643" i="1"/>
  <c r="AU2644" i="1"/>
  <c r="AU2645" i="1"/>
  <c r="AU2646" i="1"/>
  <c r="AU2647" i="1"/>
  <c r="AU2648" i="1"/>
  <c r="AU2649" i="1"/>
  <c r="AU2650" i="1"/>
  <c r="AU2651" i="1"/>
  <c r="AU2652" i="1"/>
  <c r="AU2653" i="1"/>
  <c r="AU2654" i="1"/>
  <c r="AU2655" i="1"/>
  <c r="AU2656" i="1"/>
  <c r="AU2657" i="1"/>
  <c r="AU2658" i="1"/>
  <c r="AU2659" i="1"/>
  <c r="AU2660" i="1"/>
  <c r="AU2661" i="1"/>
  <c r="AU2662" i="1"/>
  <c r="AU2663" i="1"/>
  <c r="AU2664" i="1"/>
  <c r="AU2665" i="1"/>
  <c r="AU2666" i="1"/>
  <c r="AU2667" i="1"/>
  <c r="AU2668" i="1"/>
  <c r="AU2669" i="1"/>
  <c r="AU2670" i="1"/>
  <c r="AU2671" i="1"/>
  <c r="AU2672" i="1"/>
  <c r="AU2673" i="1"/>
  <c r="AU2674" i="1"/>
  <c r="AU2675" i="1"/>
  <c r="AU2676" i="1"/>
  <c r="AU2677" i="1"/>
  <c r="AU2678" i="1"/>
  <c r="AU2679" i="1"/>
  <c r="AU2680" i="1"/>
  <c r="AU2681" i="1"/>
  <c r="AU2682" i="1"/>
  <c r="AU2683" i="1"/>
  <c r="AU2684" i="1"/>
  <c r="AU2685" i="1"/>
  <c r="AU2686" i="1"/>
  <c r="AU2687" i="1"/>
  <c r="AU2688" i="1"/>
  <c r="AU2689" i="1"/>
  <c r="AU2690" i="1"/>
  <c r="AU2691" i="1"/>
  <c r="AU2692" i="1"/>
  <c r="AU2693" i="1"/>
  <c r="AU2694" i="1"/>
  <c r="AU2695" i="1"/>
  <c r="AU2696" i="1"/>
  <c r="AU2697" i="1"/>
  <c r="AU2698" i="1"/>
  <c r="AU2699" i="1"/>
  <c r="AU2700" i="1"/>
  <c r="AU2701" i="1"/>
  <c r="AU2702" i="1"/>
  <c r="AU2703" i="1"/>
  <c r="AU2704" i="1"/>
  <c r="AU2705" i="1"/>
  <c r="AU2706" i="1"/>
  <c r="AU2707" i="1"/>
  <c r="AU2708" i="1"/>
  <c r="AU2709" i="1"/>
  <c r="AU2710" i="1"/>
  <c r="AU2711" i="1"/>
  <c r="AU2712" i="1"/>
  <c r="AU2713" i="1"/>
  <c r="AU2714" i="1"/>
  <c r="AU2715" i="1"/>
  <c r="AU2716" i="1"/>
  <c r="AU2717" i="1"/>
  <c r="AU2718" i="1"/>
  <c r="AU2719" i="1"/>
  <c r="AU2720" i="1"/>
  <c r="AU2721" i="1"/>
  <c r="AU2722" i="1"/>
  <c r="AU2723" i="1"/>
  <c r="AU2724" i="1"/>
  <c r="AU2725" i="1"/>
  <c r="AU2726" i="1"/>
  <c r="AU2727" i="1"/>
  <c r="AU2728" i="1"/>
  <c r="AU2729" i="1"/>
  <c r="AU2730" i="1"/>
  <c r="AU2731" i="1"/>
  <c r="AU2732" i="1"/>
  <c r="AU2733" i="1"/>
  <c r="AU2734" i="1"/>
  <c r="AU2735" i="1"/>
  <c r="AU2736" i="1"/>
  <c r="AU2737" i="1"/>
  <c r="AU2738" i="1"/>
  <c r="AU2739" i="1"/>
  <c r="AU2740" i="1"/>
  <c r="AU2741" i="1"/>
  <c r="AU2742" i="1"/>
  <c r="AU2743" i="1"/>
  <c r="AU2744" i="1"/>
  <c r="AU2745" i="1"/>
  <c r="AU2746" i="1"/>
  <c r="AU2747" i="1"/>
  <c r="AU2748" i="1"/>
  <c r="AU2749" i="1"/>
  <c r="AU2750" i="1"/>
  <c r="AU2751" i="1"/>
  <c r="AU2752" i="1"/>
  <c r="AU2753" i="1"/>
  <c r="AU2754" i="1"/>
  <c r="AU2755" i="1"/>
  <c r="AU2756" i="1"/>
  <c r="AU2757" i="1"/>
  <c r="AU2758" i="1"/>
  <c r="AU2759" i="1"/>
  <c r="AU2760" i="1"/>
  <c r="AU2761" i="1"/>
  <c r="AU2762" i="1"/>
  <c r="AU2763" i="1"/>
  <c r="AU2764" i="1"/>
  <c r="AU2765" i="1"/>
  <c r="AU2766" i="1"/>
  <c r="AU2767" i="1"/>
  <c r="AU2768" i="1"/>
  <c r="AU2769" i="1"/>
  <c r="AU2770" i="1"/>
  <c r="AU2771" i="1"/>
  <c r="AU2772" i="1"/>
  <c r="AU2773" i="1"/>
  <c r="AU2774" i="1"/>
  <c r="AU2775" i="1"/>
  <c r="AU2776" i="1"/>
  <c r="AU2777" i="1"/>
  <c r="AU2778" i="1"/>
  <c r="AU2779" i="1"/>
  <c r="AU2780" i="1"/>
  <c r="AU2781" i="1"/>
  <c r="AU2782" i="1"/>
  <c r="AU2783" i="1"/>
  <c r="AU2784" i="1"/>
  <c r="AU2785" i="1"/>
  <c r="AU2786" i="1"/>
  <c r="AU2787" i="1"/>
  <c r="AU2788" i="1"/>
  <c r="AU2789" i="1"/>
  <c r="AU2790" i="1"/>
  <c r="AU2791" i="1"/>
  <c r="AU2792" i="1"/>
  <c r="AU2793" i="1"/>
  <c r="AU2794" i="1"/>
  <c r="AU2795" i="1"/>
  <c r="AU2796" i="1"/>
  <c r="AU2797" i="1"/>
  <c r="AU2798" i="1"/>
  <c r="AU2799" i="1"/>
  <c r="AU2800" i="1"/>
  <c r="AU2801" i="1"/>
  <c r="AU2802" i="1"/>
  <c r="AU2803" i="1"/>
  <c r="AU2804" i="1"/>
  <c r="AU2805" i="1"/>
  <c r="AU2806" i="1"/>
  <c r="AU2807" i="1"/>
  <c r="AU2808" i="1"/>
  <c r="AU2809" i="1"/>
  <c r="AU2810" i="1"/>
  <c r="AU2811" i="1"/>
  <c r="AU2812" i="1"/>
  <c r="AU2813" i="1"/>
  <c r="AU2814" i="1"/>
  <c r="AU2815" i="1"/>
  <c r="AU2816" i="1"/>
  <c r="AU2817" i="1"/>
  <c r="AU2818" i="1"/>
  <c r="AU2819" i="1"/>
  <c r="AU2820" i="1"/>
  <c r="AU2821" i="1"/>
  <c r="AU2822" i="1"/>
  <c r="AU2823" i="1"/>
  <c r="AU2824" i="1"/>
  <c r="AU2825" i="1"/>
  <c r="AU2826" i="1"/>
  <c r="AU2827" i="1"/>
  <c r="AU2828" i="1"/>
  <c r="AU2829" i="1"/>
  <c r="AU2830" i="1"/>
  <c r="AU2831" i="1"/>
  <c r="AU2832" i="1"/>
  <c r="AU2833" i="1"/>
  <c r="AU2834" i="1"/>
  <c r="AU2835" i="1"/>
  <c r="AU2836" i="1"/>
  <c r="AU2837" i="1"/>
  <c r="AU2838" i="1"/>
  <c r="AU2839" i="1"/>
  <c r="AU2840" i="1"/>
  <c r="AU2841" i="1"/>
  <c r="AU2842" i="1"/>
  <c r="AU2843" i="1"/>
  <c r="AU2844" i="1"/>
  <c r="AU2845" i="1"/>
  <c r="AU2846" i="1"/>
  <c r="AU2847" i="1"/>
  <c r="AU2848" i="1"/>
  <c r="AU2849" i="1"/>
  <c r="AU2850" i="1"/>
  <c r="AU2851" i="1"/>
  <c r="AU2852" i="1"/>
  <c r="AU2853" i="1"/>
  <c r="AU2854" i="1"/>
  <c r="AU2855" i="1"/>
  <c r="AU2856" i="1"/>
  <c r="AU2857" i="1"/>
  <c r="AU2858" i="1"/>
  <c r="AU2859" i="1"/>
  <c r="AU2860" i="1"/>
  <c r="AU2861" i="1"/>
  <c r="AU2862" i="1"/>
  <c r="AU2863" i="1"/>
  <c r="AU2864" i="1"/>
  <c r="AU2865" i="1"/>
  <c r="AU2866" i="1"/>
  <c r="AU2867" i="1"/>
  <c r="AU2868" i="1"/>
  <c r="AU2869" i="1"/>
  <c r="AU2870" i="1"/>
  <c r="AU2871" i="1"/>
  <c r="AU2872" i="1"/>
  <c r="AU2873" i="1"/>
  <c r="AU2874" i="1"/>
  <c r="AU2875" i="1"/>
  <c r="AU2876" i="1"/>
  <c r="AU2877" i="1"/>
  <c r="AU2878" i="1"/>
  <c r="AU2879" i="1"/>
  <c r="AU2880" i="1"/>
  <c r="AU2881" i="1"/>
  <c r="AU2882" i="1"/>
  <c r="AU2883" i="1"/>
  <c r="AU2884" i="1"/>
  <c r="AU2885" i="1"/>
  <c r="AU2886" i="1"/>
  <c r="AU2887" i="1"/>
  <c r="AU2888" i="1"/>
  <c r="AU2889" i="1"/>
  <c r="AU2890" i="1"/>
  <c r="AU2891" i="1"/>
  <c r="AU2892" i="1"/>
  <c r="AU2893" i="1"/>
  <c r="AU2894" i="1"/>
  <c r="AU2895" i="1"/>
  <c r="AU2896" i="1"/>
  <c r="AU2897" i="1"/>
  <c r="AU2898" i="1"/>
  <c r="AU2899" i="1"/>
  <c r="AU2900" i="1"/>
  <c r="AU2901" i="1"/>
  <c r="AU2902" i="1"/>
  <c r="AU2903" i="1"/>
  <c r="AU2904" i="1"/>
  <c r="AU2905" i="1"/>
  <c r="AU2906" i="1"/>
  <c r="AU2907" i="1"/>
  <c r="AU2908" i="1"/>
  <c r="AU2909" i="1"/>
  <c r="AU2910" i="1"/>
  <c r="AU2911" i="1"/>
  <c r="AU2912" i="1"/>
  <c r="AU2913" i="1"/>
  <c r="AU2914" i="1"/>
  <c r="AU2915" i="1"/>
  <c r="AU2916" i="1"/>
  <c r="AU2917" i="1"/>
  <c r="AU2918" i="1"/>
  <c r="AU2919" i="1"/>
  <c r="AU2920" i="1"/>
  <c r="AU2921" i="1"/>
  <c r="AU2922" i="1"/>
  <c r="AU2923" i="1"/>
  <c r="AU2924" i="1"/>
  <c r="AU2925" i="1"/>
  <c r="AU2926" i="1"/>
  <c r="AU2927" i="1"/>
  <c r="AU2928" i="1"/>
  <c r="AU2929" i="1"/>
  <c r="AU2930" i="1"/>
  <c r="AU2931" i="1"/>
  <c r="AU2932" i="1"/>
  <c r="AU2933" i="1"/>
  <c r="AU2934" i="1"/>
  <c r="AU2935" i="1"/>
  <c r="AU2936" i="1"/>
  <c r="AU2937" i="1"/>
  <c r="AU2938" i="1"/>
  <c r="AU2939" i="1"/>
  <c r="AU2940" i="1"/>
  <c r="AU2941" i="1"/>
  <c r="AU2942" i="1"/>
  <c r="AU2943" i="1"/>
  <c r="AU2944" i="1"/>
  <c r="AU2945" i="1"/>
  <c r="AU2946" i="1"/>
  <c r="AU2947" i="1"/>
  <c r="AU2948" i="1"/>
  <c r="AU2949" i="1"/>
  <c r="AU2950" i="1"/>
  <c r="AU2951" i="1"/>
  <c r="AU2952" i="1"/>
  <c r="AU2953" i="1"/>
  <c r="AU2954" i="1"/>
  <c r="AU2955" i="1"/>
  <c r="AU2956" i="1"/>
  <c r="AU2957" i="1"/>
  <c r="AU2958" i="1"/>
  <c r="AU2959" i="1"/>
  <c r="AU2960" i="1"/>
  <c r="AU2961" i="1"/>
  <c r="AU2962" i="1"/>
  <c r="AU2963" i="1"/>
  <c r="AU2964" i="1"/>
  <c r="AU2965" i="1"/>
  <c r="AU2966" i="1"/>
  <c r="AU2967" i="1"/>
  <c r="AU2968" i="1"/>
  <c r="AU2969" i="1"/>
  <c r="AU2970" i="1"/>
  <c r="AU2971" i="1"/>
  <c r="AU2972" i="1"/>
  <c r="AU2973" i="1"/>
  <c r="AU2974" i="1"/>
  <c r="AU2975" i="1"/>
  <c r="AU2976" i="1"/>
  <c r="AU2977" i="1"/>
  <c r="AU2978" i="1"/>
  <c r="AU2979" i="1"/>
  <c r="AU2980" i="1"/>
  <c r="AU2981" i="1"/>
  <c r="AU2982" i="1"/>
  <c r="AU2983" i="1"/>
  <c r="AU2984" i="1"/>
  <c r="AU2985" i="1"/>
  <c r="AU2986" i="1"/>
  <c r="AU2987" i="1"/>
  <c r="AU2988" i="1"/>
  <c r="AU2989" i="1"/>
  <c r="AU2990" i="1"/>
  <c r="AU2991" i="1"/>
  <c r="AU2992" i="1"/>
  <c r="AU2993" i="1"/>
  <c r="AU2994" i="1"/>
  <c r="AU2995" i="1"/>
  <c r="AU2996" i="1"/>
  <c r="AU2997" i="1"/>
  <c r="AU2998" i="1"/>
  <c r="AU2999" i="1"/>
  <c r="AU3000" i="1"/>
  <c r="AU3001" i="1"/>
  <c r="AU3002" i="1"/>
  <c r="AU3003" i="1"/>
  <c r="AU3004" i="1"/>
  <c r="AU3005" i="1"/>
  <c r="AU3006" i="1"/>
  <c r="AU3007" i="1"/>
  <c r="AU3008" i="1"/>
  <c r="AU3009" i="1"/>
  <c r="AU3010" i="1"/>
  <c r="AU3011" i="1"/>
  <c r="AU3012" i="1"/>
  <c r="AU3013" i="1"/>
  <c r="AU3014" i="1"/>
  <c r="AU3015" i="1"/>
  <c r="AU3016" i="1"/>
  <c r="AU3017" i="1"/>
  <c r="AU3018" i="1"/>
  <c r="AU3019" i="1"/>
  <c r="AU3020" i="1"/>
  <c r="AU3021" i="1"/>
  <c r="AU3022" i="1"/>
  <c r="AU3023" i="1"/>
  <c r="AU3024" i="1"/>
  <c r="AU3025" i="1"/>
  <c r="AU3026" i="1"/>
  <c r="AU3027" i="1"/>
  <c r="AU3028" i="1"/>
  <c r="AU3029" i="1"/>
  <c r="AU3030" i="1"/>
  <c r="AU3031" i="1"/>
  <c r="AU3032" i="1"/>
  <c r="AU3033" i="1"/>
  <c r="AU3034" i="1"/>
  <c r="AU3035" i="1"/>
  <c r="AU3036" i="1"/>
  <c r="AU3037" i="1"/>
  <c r="AU3038" i="1"/>
  <c r="AU3039" i="1"/>
  <c r="AU3040" i="1"/>
  <c r="AU3041" i="1"/>
  <c r="AU3042" i="1"/>
  <c r="AU3043" i="1"/>
  <c r="AU3044" i="1"/>
  <c r="AU3045" i="1"/>
  <c r="AU3046" i="1"/>
  <c r="AU3047" i="1"/>
  <c r="AU3048" i="1"/>
  <c r="AU3049" i="1"/>
  <c r="AU3050" i="1"/>
  <c r="AU3051" i="1"/>
  <c r="AU3052" i="1"/>
  <c r="AU3053" i="1"/>
  <c r="AU3054" i="1"/>
  <c r="AU3055" i="1"/>
  <c r="AU3056" i="1"/>
  <c r="AU3057" i="1"/>
  <c r="AU3058" i="1"/>
  <c r="AU3059" i="1"/>
  <c r="AU3060" i="1"/>
  <c r="AU3061" i="1"/>
  <c r="AU3062" i="1"/>
  <c r="AU3063" i="1"/>
  <c r="AU3064" i="1"/>
  <c r="AU3065" i="1"/>
  <c r="AU3066" i="1"/>
  <c r="AU3067" i="1"/>
  <c r="AU3068" i="1"/>
  <c r="AU3069" i="1"/>
  <c r="AU3070" i="1"/>
  <c r="AU3071" i="1"/>
  <c r="AU3072" i="1"/>
  <c r="AU3073" i="1"/>
  <c r="AU3074" i="1"/>
  <c r="AU3075" i="1"/>
  <c r="AU3076" i="1"/>
  <c r="AU3077" i="1"/>
  <c r="AU3078" i="1"/>
  <c r="AU3079" i="1"/>
  <c r="AU3080" i="1"/>
  <c r="AU3081" i="1"/>
  <c r="AU3082" i="1"/>
  <c r="AU3083" i="1"/>
  <c r="AU3084" i="1"/>
  <c r="AU3085" i="1"/>
  <c r="AU3086" i="1"/>
  <c r="AU3087" i="1"/>
  <c r="AU3088" i="1"/>
  <c r="AU3089" i="1"/>
  <c r="AU3090" i="1"/>
  <c r="AU3091" i="1"/>
  <c r="AU3092" i="1"/>
  <c r="AU3093" i="1"/>
  <c r="AU3094" i="1"/>
  <c r="AU3095" i="1"/>
  <c r="AU3096" i="1"/>
  <c r="AU3097" i="1"/>
  <c r="AU3098" i="1"/>
  <c r="AU3099" i="1"/>
  <c r="AU3100" i="1"/>
  <c r="AU3101" i="1"/>
  <c r="AU3102" i="1"/>
  <c r="AU3103" i="1"/>
  <c r="AU3104" i="1"/>
  <c r="AU3105" i="1"/>
  <c r="AU3106" i="1"/>
  <c r="AU3107" i="1"/>
  <c r="AU3108" i="1"/>
  <c r="AU3109" i="1"/>
  <c r="AU3110" i="1"/>
  <c r="AU3111" i="1"/>
  <c r="AU3112" i="1"/>
  <c r="AU3113" i="1"/>
  <c r="AU3114" i="1"/>
  <c r="AU3115" i="1"/>
  <c r="AU3116" i="1"/>
  <c r="AU3117" i="1"/>
  <c r="AU3118" i="1"/>
  <c r="AU3119" i="1"/>
  <c r="AU3120" i="1"/>
  <c r="AU3121" i="1"/>
  <c r="AU3122" i="1"/>
  <c r="AU3123" i="1"/>
  <c r="AU3124" i="1"/>
  <c r="AU3125" i="1"/>
  <c r="AU3126" i="1"/>
  <c r="AU3127" i="1"/>
  <c r="AU3128" i="1"/>
  <c r="AU3129" i="1"/>
  <c r="AU3130" i="1"/>
  <c r="AU3131" i="1"/>
  <c r="AU3132" i="1"/>
  <c r="AU3133" i="1"/>
  <c r="AU3134" i="1"/>
  <c r="AU3135" i="1"/>
  <c r="AU3136" i="1"/>
  <c r="AU3137" i="1"/>
  <c r="AU3138" i="1"/>
  <c r="AU3139" i="1"/>
  <c r="AU3140" i="1"/>
  <c r="AU3141" i="1"/>
  <c r="AU3142" i="1"/>
  <c r="AU3143" i="1"/>
  <c r="AU3144" i="1"/>
  <c r="AU3145" i="1"/>
  <c r="AU3146" i="1"/>
  <c r="AU3147" i="1"/>
  <c r="AU3148" i="1"/>
  <c r="AU3149" i="1"/>
  <c r="AU3150" i="1"/>
  <c r="AU3151" i="1"/>
  <c r="AU3152" i="1"/>
  <c r="AU3153" i="1"/>
  <c r="AU3154" i="1"/>
  <c r="AU3155" i="1"/>
  <c r="AU3156" i="1"/>
  <c r="AU3157" i="1"/>
  <c r="AU3158" i="1"/>
  <c r="AU3159" i="1"/>
  <c r="AU3160" i="1"/>
  <c r="AU3161" i="1"/>
  <c r="AU3162" i="1"/>
  <c r="AU3163" i="1"/>
  <c r="AU3164" i="1"/>
  <c r="AU3165" i="1"/>
  <c r="AU3166" i="1"/>
  <c r="AU3167" i="1"/>
  <c r="AU3168" i="1"/>
  <c r="AU3169" i="1"/>
  <c r="AU3170" i="1"/>
  <c r="AU3171" i="1"/>
  <c r="AU3172" i="1"/>
  <c r="AU3173" i="1"/>
  <c r="AU3174" i="1"/>
  <c r="AU3175" i="1"/>
  <c r="AU3176" i="1"/>
  <c r="AU3177" i="1"/>
  <c r="AU3178" i="1"/>
  <c r="AU3179" i="1"/>
  <c r="AU3180" i="1"/>
  <c r="AU3181" i="1"/>
  <c r="AU3182" i="1"/>
  <c r="AU3183" i="1"/>
  <c r="AU3184" i="1"/>
  <c r="AU3185" i="1"/>
  <c r="AU3186" i="1"/>
  <c r="AU3187" i="1"/>
  <c r="AU3188" i="1"/>
  <c r="AU3189" i="1"/>
  <c r="AU3190" i="1"/>
  <c r="AU3191" i="1"/>
  <c r="AU3192" i="1"/>
  <c r="AU3193" i="1"/>
  <c r="AU3194" i="1"/>
  <c r="AU3195" i="1"/>
  <c r="AU3196" i="1"/>
  <c r="AU3197" i="1"/>
  <c r="AU3198" i="1"/>
  <c r="AU3199" i="1"/>
  <c r="AU3200" i="1"/>
  <c r="AU3201" i="1"/>
  <c r="AU3202" i="1"/>
  <c r="AU3203" i="1"/>
  <c r="AU3204" i="1"/>
  <c r="AU3205" i="1"/>
  <c r="AU3206" i="1"/>
  <c r="AU3207" i="1"/>
  <c r="AU3208" i="1"/>
  <c r="AU3209" i="1"/>
  <c r="AU3210" i="1"/>
  <c r="AU3211" i="1"/>
  <c r="AU3212" i="1"/>
  <c r="AU3213" i="1"/>
  <c r="AU3214" i="1"/>
  <c r="AU3215" i="1"/>
  <c r="AU3216" i="1"/>
  <c r="AU3217" i="1"/>
  <c r="AU3218" i="1"/>
  <c r="AU3219" i="1"/>
  <c r="AU3220" i="1"/>
  <c r="AU3221" i="1"/>
  <c r="AU3222" i="1"/>
  <c r="AU3223" i="1"/>
  <c r="AU3224" i="1"/>
  <c r="AU3225" i="1"/>
  <c r="AU3226" i="1"/>
  <c r="AU3227" i="1"/>
  <c r="AU3228" i="1"/>
  <c r="AU3229" i="1"/>
  <c r="AU3230" i="1"/>
  <c r="AU3231" i="1"/>
  <c r="AU3232" i="1"/>
  <c r="AU3233" i="1"/>
  <c r="AU3234" i="1"/>
  <c r="AU3235" i="1"/>
  <c r="AU3236" i="1"/>
  <c r="AU3237" i="1"/>
  <c r="AU3238" i="1"/>
  <c r="AU3239" i="1"/>
  <c r="AU3240" i="1"/>
  <c r="AU3241" i="1"/>
  <c r="AU3242" i="1"/>
  <c r="AU3243" i="1"/>
  <c r="AU3244" i="1"/>
  <c r="AU3245" i="1"/>
  <c r="AU3246" i="1"/>
  <c r="AU3247" i="1"/>
  <c r="AU3248" i="1"/>
  <c r="AU3249" i="1"/>
  <c r="AU3250" i="1"/>
  <c r="AU3251" i="1"/>
  <c r="AU3252" i="1"/>
  <c r="AU3253" i="1"/>
  <c r="AU3254" i="1"/>
  <c r="AU3255" i="1"/>
  <c r="AU3256" i="1"/>
  <c r="AU3257" i="1"/>
  <c r="AU3258" i="1"/>
  <c r="AU3259" i="1"/>
  <c r="AU3260" i="1"/>
  <c r="AU3261" i="1"/>
  <c r="AU3262" i="1"/>
  <c r="AU3263" i="1"/>
  <c r="AU3264" i="1"/>
  <c r="AU3265" i="1"/>
  <c r="AU3266" i="1"/>
  <c r="AU3267" i="1"/>
  <c r="AU3268" i="1"/>
  <c r="AU3269" i="1"/>
  <c r="AU3270" i="1"/>
  <c r="AU3271" i="1"/>
  <c r="AU3272" i="1"/>
  <c r="AU3273" i="1"/>
  <c r="AU3274" i="1"/>
  <c r="AU3275" i="1"/>
  <c r="AU3276" i="1"/>
  <c r="AU3277" i="1"/>
  <c r="AU3278" i="1"/>
  <c r="AU3279" i="1"/>
  <c r="AU3280" i="1"/>
  <c r="AU3281" i="1"/>
  <c r="AU3282" i="1"/>
  <c r="AU3283" i="1"/>
  <c r="AU3284" i="1"/>
  <c r="AU3285" i="1"/>
  <c r="AU3286" i="1"/>
  <c r="AU3287" i="1"/>
  <c r="AU3288" i="1"/>
  <c r="AU3289" i="1"/>
  <c r="AU3290" i="1"/>
  <c r="AU3291" i="1"/>
  <c r="AU3292" i="1"/>
  <c r="AU3293" i="1"/>
  <c r="AU3294" i="1"/>
  <c r="AU3295" i="1"/>
  <c r="AU3296" i="1"/>
  <c r="AU3297" i="1"/>
  <c r="AU3298" i="1"/>
  <c r="AU3299" i="1"/>
  <c r="AU3300" i="1"/>
  <c r="AU3301" i="1"/>
  <c r="AU3302" i="1"/>
  <c r="AU3303" i="1"/>
  <c r="AU3304" i="1"/>
  <c r="AU3305" i="1"/>
  <c r="AU3306" i="1"/>
  <c r="AU3307" i="1"/>
  <c r="AU3308" i="1"/>
  <c r="AU3309" i="1"/>
  <c r="AU3310" i="1"/>
  <c r="AU3311" i="1"/>
  <c r="AU3312" i="1"/>
  <c r="AU3313" i="1"/>
  <c r="AU3314" i="1"/>
  <c r="AU3315" i="1"/>
  <c r="AU3316" i="1"/>
  <c r="AU3317" i="1"/>
  <c r="AU3318" i="1"/>
  <c r="AU3319" i="1"/>
  <c r="AU3320" i="1"/>
  <c r="AU3321" i="1"/>
  <c r="AU3322" i="1"/>
  <c r="AU3323" i="1"/>
  <c r="AU3324" i="1"/>
  <c r="AU3325" i="1"/>
  <c r="AU3326" i="1"/>
  <c r="AU3327" i="1"/>
  <c r="AU3328" i="1"/>
  <c r="AU3329" i="1"/>
  <c r="AU3330" i="1"/>
  <c r="AU3331" i="1"/>
  <c r="AU3332" i="1"/>
  <c r="AU3333" i="1"/>
  <c r="AU3334" i="1"/>
  <c r="AU3335" i="1"/>
  <c r="AU3336" i="1"/>
  <c r="AU3337" i="1"/>
  <c r="AU3338" i="1"/>
  <c r="AU3339" i="1"/>
  <c r="AU3340" i="1"/>
  <c r="AU3341" i="1"/>
  <c r="AU3342" i="1"/>
  <c r="AU3343" i="1"/>
  <c r="AU3344" i="1"/>
  <c r="AU3345" i="1"/>
  <c r="AU3346" i="1"/>
  <c r="AU3347" i="1"/>
  <c r="AU3348" i="1"/>
  <c r="AU3349" i="1"/>
  <c r="AU3350" i="1"/>
  <c r="AU3351" i="1"/>
  <c r="AU3352" i="1"/>
  <c r="AU3353" i="1"/>
  <c r="AU3354" i="1"/>
  <c r="AU3355" i="1"/>
  <c r="AU3356" i="1"/>
  <c r="AU3357" i="1"/>
  <c r="AU3358" i="1"/>
  <c r="AU3359" i="1"/>
  <c r="AU3360" i="1"/>
  <c r="AU3361" i="1"/>
  <c r="AU3362" i="1"/>
  <c r="AU3363" i="1"/>
  <c r="AU3364" i="1"/>
  <c r="AU3365" i="1"/>
  <c r="AU3366" i="1"/>
  <c r="AU3367" i="1"/>
  <c r="AU3368" i="1"/>
  <c r="AU3369" i="1"/>
  <c r="AU3370" i="1"/>
  <c r="AU3371" i="1"/>
  <c r="AU3372" i="1"/>
  <c r="AU3373" i="1"/>
  <c r="AU3374" i="1"/>
  <c r="AU3375" i="1"/>
  <c r="AU3376" i="1"/>
  <c r="AU3377" i="1"/>
  <c r="AU3378" i="1"/>
  <c r="AU3379" i="1"/>
  <c r="AU3380" i="1"/>
  <c r="AU3381" i="1"/>
  <c r="AU3382" i="1"/>
  <c r="AU3383" i="1"/>
  <c r="AU3384" i="1"/>
  <c r="AU3385" i="1"/>
  <c r="AU3386" i="1"/>
  <c r="AU3387" i="1"/>
  <c r="AU3388" i="1"/>
  <c r="AU3389" i="1"/>
  <c r="AU3390" i="1"/>
  <c r="AU3391" i="1"/>
  <c r="AU3392" i="1"/>
  <c r="AU3393" i="1"/>
  <c r="AU3394" i="1"/>
  <c r="AU3395" i="1"/>
  <c r="AU3396" i="1"/>
  <c r="AU3397" i="1"/>
  <c r="AU3398" i="1"/>
  <c r="AU3399" i="1"/>
  <c r="AU3400" i="1"/>
  <c r="AU3401" i="1"/>
  <c r="AU3402" i="1"/>
  <c r="AU3403" i="1"/>
  <c r="AU3404" i="1"/>
  <c r="AU3405" i="1"/>
  <c r="AU3406" i="1"/>
  <c r="AU3407" i="1"/>
  <c r="AU3408" i="1"/>
  <c r="AU340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2" i="1"/>
  <c r="L6" i="3" l="1"/>
  <c r="J6" i="3"/>
  <c r="G6" i="3"/>
  <c r="F6" i="3"/>
  <c r="L5" i="3"/>
  <c r="J5" i="3"/>
  <c r="G5" i="3"/>
  <c r="F5" i="3"/>
  <c r="L4" i="3"/>
  <c r="J4" i="3"/>
  <c r="G4" i="3"/>
  <c r="F4" i="3"/>
  <c r="L3" i="3"/>
  <c r="J3" i="3"/>
  <c r="G3" i="3"/>
  <c r="F3" i="3"/>
  <c r="L2" i="3"/>
  <c r="J2" i="3"/>
  <c r="G2" i="3"/>
  <c r="F2" i="3"/>
  <c r="G1162" i="1" l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1161" i="1"/>
  <c r="F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</calcChain>
</file>

<file path=xl/sharedStrings.xml><?xml version="1.0" encoding="utf-8"?>
<sst xmlns="http://schemas.openxmlformats.org/spreadsheetml/2006/main" count="39387" uniqueCount="14324">
  <si>
    <t>Unnamed: 0</t>
  </si>
  <si>
    <t>obsid</t>
  </si>
  <si>
    <t>leadid</t>
  </si>
  <si>
    <t>ccode</t>
  </si>
  <si>
    <t>idacr</t>
  </si>
  <si>
    <t>leader</t>
  </si>
  <si>
    <t>startdate</t>
  </si>
  <si>
    <t>enddate</t>
  </si>
  <si>
    <t>entry</t>
  </si>
  <si>
    <t>exit</t>
  </si>
  <si>
    <t>exitcode</t>
  </si>
  <si>
    <t>prevtimesinoffice</t>
  </si>
  <si>
    <t>posttenurefate</t>
  </si>
  <si>
    <t>gender</t>
  </si>
  <si>
    <t>yrborn</t>
  </si>
  <si>
    <t>yrdied</t>
  </si>
  <si>
    <t>borndate</t>
  </si>
  <si>
    <t>ebirthdate</t>
  </si>
  <si>
    <t>deathdate</t>
  </si>
  <si>
    <t>edeathdate</t>
  </si>
  <si>
    <t>dbpediauri</t>
  </si>
  <si>
    <t>numentry</t>
  </si>
  <si>
    <t>numexit</t>
  </si>
  <si>
    <t>numexitcode</t>
  </si>
  <si>
    <t>numposttenurefate</t>
  </si>
  <si>
    <t>fties</t>
  </si>
  <si>
    <t>ftcur</t>
  </si>
  <si>
    <t>start_year</t>
  </si>
  <si>
    <t>end_year</t>
  </si>
  <si>
    <t>avg_gdp_growth</t>
  </si>
  <si>
    <t>avg_gni_per_capita</t>
  </si>
  <si>
    <t>avg_inflation_rate</t>
  </si>
  <si>
    <t>avg_child_mortality_rate</t>
  </si>
  <si>
    <t>avg_population_growth_rate</t>
  </si>
  <si>
    <t>avg_natural_resource_rents</t>
  </si>
  <si>
    <t>polity_mean</t>
  </si>
  <si>
    <t>was_colonized</t>
  </si>
  <si>
    <t>colonial_power</t>
  </si>
  <si>
    <t>colonial_begin</t>
  </si>
  <si>
    <t>colonial_end</t>
  </si>
  <si>
    <t>colonial_duration</t>
  </si>
  <si>
    <t>tenure_days</t>
  </si>
  <si>
    <t>tenure_years</t>
  </si>
  <si>
    <t>USA-1869</t>
  </si>
  <si>
    <t>81dcc176-1e42-11e4-b4cd-db5882bf8def</t>
  </si>
  <si>
    <t>USA</t>
  </si>
  <si>
    <t>Grant</t>
  </si>
  <si>
    <t>1869-03-04</t>
  </si>
  <si>
    <t>1877-03-04</t>
  </si>
  <si>
    <t>Regular</t>
  </si>
  <si>
    <t>OK</t>
  </si>
  <si>
    <t>M</t>
  </si>
  <si>
    <t>1885-07-23</t>
  </si>
  <si>
    <t>23jul1885</t>
  </si>
  <si>
    <t>https://urldefense.proofpoint.com/v2/url?u=http-3A__dbpedia.org_resource_Ulysses-5FS.-5FGrant&amp;d=BQID-g&amp;c=kbmfwr1Yojg42sGEpaQh5ofMHBeTl9EI2eaqQZhHbOU&amp;r=ZliGVSRwfirWoETOrKCh2RSnoygzVPWEk95Me9L-Kwo&amp;m=EaKyFx9mpkhPdFxsxzvW_fiM3jbYwM3xYLjVbSFoDAg&amp;s=x7yRI4mbwG8b0j8c_AwqAahtkPcCfIY2uH8tdRaReBw&amp;e=</t>
  </si>
  <si>
    <t>USA-1877</t>
  </si>
  <si>
    <t>81dcc177-1e42-11e4-b4cd-db5882bf8def</t>
  </si>
  <si>
    <t>Hayes</t>
  </si>
  <si>
    <t>1881-03-04</t>
  </si>
  <si>
    <t>1893-01-17</t>
  </si>
  <si>
    <t>17jan1893</t>
  </si>
  <si>
    <t>https://urldefense.proofpoint.com/v2/url?u=http-3A__dbpedia.org_resource_Rutherford-5FB.-5FHayes&amp;d=BQID-g&amp;c=kbmfwr1Yojg42sGEpaQh5ofMHBeTl9EI2eaqQZhHbOU&amp;r=ZliGVSRwfirWoETOrKCh2RSnoygzVPWEk95Me9L-Kwo&amp;m=EaKyFx9mpkhPdFxsxzvW_fiM3jbYwM3xYLjVbSFoDAg&amp;s=8oshcxB52W-Pg-2a6AvRVJEYMU-S-RG55-369eJ-PyY&amp;e=</t>
  </si>
  <si>
    <t>USA-1881-1</t>
  </si>
  <si>
    <t>81dcf24a-1e42-11e4-b4cd-db5882bf8def</t>
  </si>
  <si>
    <t>Garfield</t>
  </si>
  <si>
    <t>1881-09-19</t>
  </si>
  <si>
    <t>19sep1881</t>
  </si>
  <si>
    <t>Irregular</t>
  </si>
  <si>
    <t>Assassination by Unsupported Individual</t>
  </si>
  <si>
    <t>Death</t>
  </si>
  <si>
    <t>https://urldefense.proofpoint.com/v2/url?u=http-3A__dbpedia.org_resource_James-5FA.-5FGarfield&amp;d=BQID-g&amp;c=kbmfwr1Yojg42sGEpaQh5ofMHBeTl9EI2eaqQZhHbOU&amp;r=ZliGVSRwfirWoETOrKCh2RSnoygzVPWEk95Me9L-Kwo&amp;m=EaKyFx9mpkhPdFxsxzvW_fiM3jbYwM3xYLjVbSFoDAg&amp;s=qTPSlRS-mPD_m8ZM3luuJ4W47DtmOPoXSnSZn-lYsqM&amp;e=</t>
  </si>
  <si>
    <t>USA-1881-2</t>
  </si>
  <si>
    <t>81dcf24b-1e42-11e4-b4cd-db5882bf8def</t>
  </si>
  <si>
    <t>Arthur</t>
  </si>
  <si>
    <t>1885-03-04</t>
  </si>
  <si>
    <t>1886-11-18</t>
  </si>
  <si>
    <t>18nov1886</t>
  </si>
  <si>
    <t>https://urldefense.proofpoint.com/v2/url?u=http-3A__dbpedia.org_resource_Chester-5FA.-5FArthur&amp;d=BQID-g&amp;c=kbmfwr1Yojg42sGEpaQh5ofMHBeTl9EI2eaqQZhHbOU&amp;r=ZliGVSRwfirWoETOrKCh2RSnoygzVPWEk95Me9L-Kwo&amp;m=EaKyFx9mpkhPdFxsxzvW_fiM3jbYwM3xYLjVbSFoDAg&amp;s=XiglK4IJ3ZCC1kR4Hmb8eVB-V7A0tQprCtTKzOl42YM&amp;e=</t>
  </si>
  <si>
    <t>USA-1885</t>
  </si>
  <si>
    <t>34fb1558-3bbd-11e5-afeb-eb6f07f9fec7</t>
  </si>
  <si>
    <t>Cleveland</t>
  </si>
  <si>
    <t>1889-03-04</t>
  </si>
  <si>
    <t>https://urldefense.proofpoint.com/v2/url?u=http-3A__dbpedia.org_resource_Grover-5FCleveland&amp;d=BQID-g&amp;c=kbmfwr1Yojg42sGEpaQh5ofMHBeTl9EI2eaqQZhHbOU&amp;r=ZliGVSRwfirWoETOrKCh2RSnoygzVPWEk95Me9L-Kwo&amp;m=EaKyFx9mpkhPdFxsxzvW_fiM3jbYwM3xYLjVbSFoDAg&amp;s=BH6RahZV58hS1fIGz1muHnQkbAirSz4Yy2wc6chejsQ&amp;e=</t>
  </si>
  <si>
    <t>USA-1889</t>
  </si>
  <si>
    <t>81dcf24d-1e42-11e4-b4cd-db5882bf8def</t>
  </si>
  <si>
    <t>Harrison</t>
  </si>
  <si>
    <t>1893-03-04</t>
  </si>
  <si>
    <t>https://urldefense.proofpoint.com/v2/url?u=http-3A__dbpedia.org_resource_Benjamin-5FHarrison&amp;d=BQID-g&amp;c=kbmfwr1Yojg42sGEpaQh5ofMHBeTl9EI2eaqQZhHbOU&amp;r=ZliGVSRwfirWoETOrKCh2RSnoygzVPWEk95Me9L-Kwo&amp;m=EaKyFx9mpkhPdFxsxzvW_fiM3jbYwM3xYLjVbSFoDAg&amp;s=MA-TUrYNLJuZ9PTyDnsCkyBUtUyUkXWBHX7_p3f3pnA&amp;e=</t>
  </si>
  <si>
    <t>USA-1893</t>
  </si>
  <si>
    <t>1897-03-04</t>
  </si>
  <si>
    <t>USA-1897</t>
  </si>
  <si>
    <t>81dcf24e-1e42-11e4-b4cd-db5882bf8def</t>
  </si>
  <si>
    <t>McKinley</t>
  </si>
  <si>
    <t>https://urldefense.proofpoint.com/v2/url?u=http-3A__dbpedia.org_resource_William-5FMcKinley&amp;d=BQID-g&amp;c=kbmfwr1Yojg42sGEpaQh5ofMHBeTl9EI2eaqQZhHbOU&amp;r=ZliGVSRwfirWoETOrKCh2RSnoygzVPWEk95Me9L-Kwo&amp;m=EaKyFx9mpkhPdFxsxzvW_fiM3jbYwM3xYLjVbSFoDAg&amp;s=c1fTbGMfG49MP3oJebg3Hp83_F7aiBUUfKgnhRd8AWs&amp;e=</t>
  </si>
  <si>
    <t>USA-1901</t>
  </si>
  <si>
    <t>81dd231e-1e42-11e4-b4cd-db5882bf8def</t>
  </si>
  <si>
    <t>Roosevelt, T.</t>
  </si>
  <si>
    <t>https://urldefense.proofpoint.com/v2/url?u=http-3A__dbpedia.org_resource_Theodore-5FRoosevelt&amp;d=BQID-g&amp;c=kbmfwr1Yojg42sGEpaQh5ofMHBeTl9EI2eaqQZhHbOU&amp;r=ZliGVSRwfirWoETOrKCh2RSnoygzVPWEk95Me9L-Kwo&amp;m=EaKyFx9mpkhPdFxsxzvW_fiM3jbYwM3xYLjVbSFoDAg&amp;s=mdUxrnAfyEPLl3hgYW-m-YrEL1hVsBHltrXf6_VHzrA&amp;e=</t>
  </si>
  <si>
    <t>Uncle (distant) of Roosevelt, F.%81dd53f3-1e42-11e4-b4cd-db5882bf8def</t>
  </si>
  <si>
    <t>USA-1909</t>
  </si>
  <si>
    <t>81dd231f-1e42-11e4-b4cd-db5882bf8def</t>
  </si>
  <si>
    <t>Taft</t>
  </si>
  <si>
    <t>https://urldefense.proofpoint.com/v2/url?u=http-3A__dbpedia.org_resource_William-5FHoward-5FTaft&amp;d=BQID-g&amp;c=kbmfwr1Yojg42sGEpaQh5ofMHBeTl9EI2eaqQZhHbOU&amp;r=ZliGVSRwfirWoETOrKCh2RSnoygzVPWEk95Me9L-Kwo&amp;m=EaKyFx9mpkhPdFxsxzvW_fiM3jbYwM3xYLjVbSFoDAg&amp;s=bhEfrjiKenGUoUgvh3M4oCxkX9bJoHnDemF4c6OtEtE&amp;e=</t>
  </si>
  <si>
    <t>USA-1913</t>
  </si>
  <si>
    <t>81dd2320-1e42-11e4-b4cd-db5882bf8def</t>
  </si>
  <si>
    <t>Wilson</t>
  </si>
  <si>
    <t>https://urldefense.proofpoint.com/v2/url?u=http-3A__dbpedia.org_resource_Woodrow-5FWilson&amp;d=BQID-g&amp;c=kbmfwr1Yojg42sGEpaQh5ofMHBeTl9EI2eaqQZhHbOU&amp;r=ZliGVSRwfirWoETOrKCh2RSnoygzVPWEk95Me9L-Kwo&amp;m=EaKyFx9mpkhPdFxsxzvW_fiM3jbYwM3xYLjVbSFoDAg&amp;s=ClslkAGMxFPwxEqNwig9hoUm-6paj7k9nJQgfZTGBe0&amp;e=</t>
  </si>
  <si>
    <t>USA-1921</t>
  </si>
  <si>
    <t>81dd2321-1e42-11e4-b4cd-db5882bf8def</t>
  </si>
  <si>
    <t>Harding</t>
  </si>
  <si>
    <t>Natural Death</t>
  </si>
  <si>
    <t>Missing: Natural Death within Six Months of Losing Office</t>
  </si>
  <si>
    <t>https://urldefense.proofpoint.com/v2/url?u=http-3A__dbpedia.org_resource_Warren-5FG.-5FHarding&amp;d=BQID-g&amp;c=kbmfwr1Yojg42sGEpaQh5ofMHBeTl9EI2eaqQZhHbOU&amp;r=ZliGVSRwfirWoETOrKCh2RSnoygzVPWEk95Me9L-Kwo&amp;m=EaKyFx9mpkhPdFxsxzvW_fiM3jbYwM3xYLjVbSFoDAg&amp;s=n19WCVJ00e6jAF9KgkqB1QA165ud9DQdOVE8YT4d3LE&amp;e=</t>
  </si>
  <si>
    <t>USA-1923</t>
  </si>
  <si>
    <t>81dd2322-1e42-11e4-b4cd-db5882bf8def</t>
  </si>
  <si>
    <t>Coolidge</t>
  </si>
  <si>
    <t>https://urldefense.proofpoint.com/v2/url?u=http-3A__dbpedia.org_resource_Calvin-5FCoolidge&amp;d=BQID-g&amp;c=kbmfwr1Yojg42sGEpaQh5ofMHBeTl9EI2eaqQZhHbOU&amp;r=ZliGVSRwfirWoETOrKCh2RSnoygzVPWEk95Me9L-Kwo&amp;m=EaKyFx9mpkhPdFxsxzvW_fiM3jbYwM3xYLjVbSFoDAg&amp;s=NOK4weNtqbdh5IqnE0L5KCW3Toiiym3Zad3PQTU1A-8&amp;e=</t>
  </si>
  <si>
    <t>USA-1929</t>
  </si>
  <si>
    <t>81dd53f2-1e42-11e4-b4cd-db5882bf8def</t>
  </si>
  <si>
    <t>Hoover</t>
  </si>
  <si>
    <t>https://urldefense.proofpoint.com/v2/url?u=http-3A__dbpedia.org_resource_Herbert-5FHoover&amp;d=BQID-g&amp;c=kbmfwr1Yojg42sGEpaQh5ofMHBeTl9EI2eaqQZhHbOU&amp;r=ZliGVSRwfirWoETOrKCh2RSnoygzVPWEk95Me9L-Kwo&amp;m=EaKyFx9mpkhPdFxsxzvW_fiM3jbYwM3xYLjVbSFoDAg&amp;s=W0eBFvC2m3N346qhf_r9iGv5N_TNz7Zg6JxS7NQ5y7k&amp;e=</t>
  </si>
  <si>
    <t>USA-1933</t>
  </si>
  <si>
    <t>81dd53f3-1e42-11e4-b4cd-db5882bf8def</t>
  </si>
  <si>
    <t>Roosevelt, F.</t>
  </si>
  <si>
    <t>https://urldefense.proofpoint.com/v2/url?u=http-3A__dbpedia.org_resource_Franklin-5FD.-5FRoosevelt&amp;d=BQID-g&amp;c=kbmfwr1Yojg42sGEpaQh5ofMHBeTl9EI2eaqQZhHbOU&amp;r=ZliGVSRwfirWoETOrKCh2RSnoygzVPWEk95Me9L-Kwo&amp;m=EaKyFx9mpkhPdFxsxzvW_fiM3jbYwM3xYLjVbSFoDAg&amp;s=leTWvRisdM5Al2qrBj_GjPmFtyEZBnwk2iFJ1n4BAI8&amp;e=</t>
  </si>
  <si>
    <t>Nephew (distant) of Roosevelt, T.%81dd231e-1e42-11e4-b4cd-db5882bf8def</t>
  </si>
  <si>
    <t>USA-1945</t>
  </si>
  <si>
    <t>81dd53f4-1e42-11e4-b4cd-db5882bf8def</t>
  </si>
  <si>
    <t>Truman</t>
  </si>
  <si>
    <t>https://urldefense.proofpoint.com/v2/url?u=http-3A__dbpedia.org_resource_Harry-5FS.-5FTruman&amp;d=BQID-g&amp;c=kbmfwr1Yojg42sGEpaQh5ofMHBeTl9EI2eaqQZhHbOU&amp;r=ZliGVSRwfirWoETOrKCh2RSnoygzVPWEk95Me9L-Kwo&amp;m=EaKyFx9mpkhPdFxsxzvW_fiM3jbYwM3xYLjVbSFoDAg&amp;s=8lvMz1dVajkRMhTCrwHn4rz8eECIgC0MEzNUFYGVA4s&amp;e=</t>
  </si>
  <si>
    <t>USA-1953</t>
  </si>
  <si>
    <t>81dd53f5-1e42-11e4-b4cd-db5882bf8def</t>
  </si>
  <si>
    <t>Eisenhower</t>
  </si>
  <si>
    <t>https://urldefense.proofpoint.com/v2/url?u=http-3A__dbpedia.org_resource_Dwight-5FD.-5FEisenhower&amp;d=BQID-g&amp;c=kbmfwr1Yojg42sGEpaQh5ofMHBeTl9EI2eaqQZhHbOU&amp;r=ZliGVSRwfirWoETOrKCh2RSnoygzVPWEk95Me9L-Kwo&amp;m=EaKyFx9mpkhPdFxsxzvW_fiM3jbYwM3xYLjVbSFoDAg&amp;s=rbOQoIR9XqJmFi2S0wTaEXDdPmKH7drhnWtGndAuYug&amp;e=</t>
  </si>
  <si>
    <t>USA-1961</t>
  </si>
  <si>
    <t>81dd53f6-1e42-11e4-b4cd-db5882bf8def</t>
  </si>
  <si>
    <t>Kennedy</t>
  </si>
  <si>
    <t>https://urldefense.proofpoint.com/v2/url?u=http-3A__dbpedia.org_resource_John-5FF.-5FKennedy&amp;d=BQID-g&amp;c=kbmfwr1Yojg42sGEpaQh5ofMHBeTl9EI2eaqQZhHbOU&amp;r=ZliGVSRwfirWoETOrKCh2RSnoygzVPWEk95Me9L-Kwo&amp;m=EaKyFx9mpkhPdFxsxzvW_fiM3jbYwM3xYLjVbSFoDAg&amp;s=fz5b5YwDtYUHk4b8O09aRvlQy8YHM2GtYr6PPuqXASk&amp;e=</t>
  </si>
  <si>
    <t>USA-1963</t>
  </si>
  <si>
    <t>81dd84c6-1e42-11e4-b4cd-db5882bf8def</t>
  </si>
  <si>
    <t>Johnson</t>
  </si>
  <si>
    <t>https://urldefense.proofpoint.com/v2/url?u=http-3A__dbpedia.org_resource_Lyndon-5FB.-5FJohnson&amp;d=BQID-g&amp;c=kbmfwr1Yojg42sGEpaQh5ofMHBeTl9EI2eaqQZhHbOU&amp;r=ZliGVSRwfirWoETOrKCh2RSnoygzVPWEk95Me9L-Kwo&amp;m=EaKyFx9mpkhPdFxsxzvW_fiM3jbYwM3xYLjVbSFoDAg&amp;s=qMRnItod8XC9Z7Sa982pUDwLoBi4BVk8uy8zud2q9ho&amp;e=</t>
  </si>
  <si>
    <t>USA-1969</t>
  </si>
  <si>
    <t>81dd84c7-1e42-11e4-b4cd-db5882bf8def</t>
  </si>
  <si>
    <t>Nixon</t>
  </si>
  <si>
    <t>https://urldefense.proofpoint.com/v2/url?u=http-3A__dbpedia.org_resource_Richard-5FNixon&amp;d=BQID-g&amp;c=kbmfwr1Yojg42sGEpaQh5ofMHBeTl9EI2eaqQZhHbOU&amp;r=ZliGVSRwfirWoETOrKCh2RSnoygzVPWEk95Me9L-Kwo&amp;m=EaKyFx9mpkhPdFxsxzvW_fiM3jbYwM3xYLjVbSFoDAg&amp;s=Oup_2LmC4QJUy7zu8ke76SIe_xdKi4GnqB2hGVHCmBc&amp;e=</t>
  </si>
  <si>
    <t>USA-1974</t>
  </si>
  <si>
    <t>81dd84c8-1e42-11e4-b4cd-db5882bf8def</t>
  </si>
  <si>
    <t>Ford</t>
  </si>
  <si>
    <t>https://urldefense.proofpoint.com/v2/url?u=http-3A__dbpedia.org_resource_Gerald-5FFord&amp;d=BQID-g&amp;c=kbmfwr1Yojg42sGEpaQh5ofMHBeTl9EI2eaqQZhHbOU&amp;r=ZliGVSRwfirWoETOrKCh2RSnoygzVPWEk95Me9L-Kwo&amp;m=EaKyFx9mpkhPdFxsxzvW_fiM3jbYwM3xYLjVbSFoDAg&amp;s=rKHx6vASUC4iuo25L7XbRY9u7foC16KAVPOeee6VzWE&amp;e=</t>
  </si>
  <si>
    <t>USA-1977</t>
  </si>
  <si>
    <t>81dd84c9-1e42-11e4-b4cd-db5882bf8def</t>
  </si>
  <si>
    <t>Carter</t>
  </si>
  <si>
    <t>USA-1981</t>
  </si>
  <si>
    <t>81dd84ca-1e42-11e4-b4cd-db5882bf8def</t>
  </si>
  <si>
    <t>Reagan</t>
  </si>
  <si>
    <t>https://urldefense.proofpoint.com/v2/url?u=http-3A__dbpedia.org_resource_Ronald-5FReagan&amp;d=BQID-g&amp;c=kbmfwr1Yojg42sGEpaQh5ofMHBeTl9EI2eaqQZhHbOU&amp;r=ZliGVSRwfirWoETOrKCh2RSnoygzVPWEk95Me9L-Kwo&amp;m=EaKyFx9mpkhPdFxsxzvW_fiM3jbYwM3xYLjVbSFoDAg&amp;s=lkRsyOx2c3jHBdhtoz88j8z6MALbfv0cigW48DI3G54&amp;e=</t>
  </si>
  <si>
    <t>USA-1989</t>
  </si>
  <si>
    <t>81ddb59a-1e42-11e4-b4cd-db5882bf8def</t>
  </si>
  <si>
    <t>G.H.W. Bush</t>
  </si>
  <si>
    <t>Father of G.W. Bush%81ddb59c-1e42-11e4-b4cd-db5882bf8def</t>
  </si>
  <si>
    <t>USA-1993</t>
  </si>
  <si>
    <t>81ddb59b-1e42-11e4-b4cd-db5882bf8def</t>
  </si>
  <si>
    <t>Clinton</t>
  </si>
  <si>
    <t>https://urldefense.proofpoint.com/v2/url?u=http-3A__dbpedia.org_resource_Bill-5FClinton&amp;d=BQID-g&amp;c=kbmfwr1Yojg42sGEpaQh5ofMHBeTl9EI2eaqQZhHbOU&amp;r=ZliGVSRwfirWoETOrKCh2RSnoygzVPWEk95Me9L-Kwo&amp;m=EaKyFx9mpkhPdFxsxzvW_fiM3jbYwM3xYLjVbSFoDAg&amp;s=q83unszM5hbFxemh6q9IpkwHcXB177RSsz8TJwSDHMM&amp;e=</t>
  </si>
  <si>
    <t>USA-2001</t>
  </si>
  <si>
    <t>81ddb59c-1e42-11e4-b4cd-db5882bf8def</t>
  </si>
  <si>
    <t>G.W. Bush</t>
  </si>
  <si>
    <t>https://urldefense.proofpoint.com/v2/url?u=http-3A__dbpedia.org_resource_George-5FW.-5FBush&amp;d=BQID-g&amp;c=kbmfwr1Yojg42sGEpaQh5ofMHBeTl9EI2eaqQZhHbOU&amp;r=ZliGVSRwfirWoETOrKCh2RSnoygzVPWEk95Me9L-Kwo&amp;m=EaKyFx9mpkhPdFxsxzvW_fiM3jbYwM3xYLjVbSFoDAg&amp;s=yGi57JS_o8DCAgvCRWEExDmyN3b0n5O8GhHKvmXjJNI&amp;e=</t>
  </si>
  <si>
    <t>Son of G.H.W. Bush%81ddb59a-1e42-11e4-b4cd-db5882bf8def</t>
  </si>
  <si>
    <t>USA-2009</t>
  </si>
  <si>
    <t>824fc72f-1e42-11e4-b4cd-db5882bf8def</t>
  </si>
  <si>
    <t>Obama</t>
  </si>
  <si>
    <t>Still in Office</t>
  </si>
  <si>
    <t>Leader Still in Office</t>
  </si>
  <si>
    <t>CAN-1873</t>
  </si>
  <si>
    <t>81ddb59d-1e42-11e4-b4cd-db5882bf8def</t>
  </si>
  <si>
    <t>CAN</t>
  </si>
  <si>
    <t>Mackenzie</t>
  </si>
  <si>
    <t>1873-11-07</t>
  </si>
  <si>
    <t>1878-10-17</t>
  </si>
  <si>
    <t>1892-04-17</t>
  </si>
  <si>
    <t>17apr1892</t>
  </si>
  <si>
    <t>https://urldefense.proofpoint.com/v2/url?u=http-3A__dbpedia.org_resource_Alexander-5FMackenzie&amp;d=BQID-g&amp;c=kbmfwr1Yojg42sGEpaQh5ofMHBeTl9EI2eaqQZhHbOU&amp;r=ZliGVSRwfirWoETOrKCh2RSnoygzVPWEk95Me9L-Kwo&amp;m=EaKyFx9mpkhPdFxsxzvW_fiM3jbYwM3xYLjVbSFoDAg&amp;s=k6r3Pw-62MkbXzBATsAYVx1IuxSDqmIJjem1sBmmCwM&amp;e=</t>
  </si>
  <si>
    <t>39骞?1805</t>
  </si>
  <si>
    <t>CAN-1878</t>
  </si>
  <si>
    <t>197110a8-3bbd-11e5-afeb-eb6f07f9fec7</t>
  </si>
  <si>
    <t>Macdonald</t>
  </si>
  <si>
    <t>1891-06-06</t>
  </si>
  <si>
    <t>06jun1891</t>
  </si>
  <si>
    <t>https://urldefense.proofpoint.com/v2/url?u=http-3A__dbpedia.org_resource_John-5FA.-5FMacdonald&amp;d=BQID-g&amp;c=kbmfwr1Yojg42sGEpaQh5ofMHBeTl9EI2eaqQZhHbOU&amp;r=ZliGVSRwfirWoETOrKCh2RSnoygzVPWEk95Me9L-Kwo&amp;m=EaKyFx9mpkhPdFxsxzvW_fiM3jbYwM3xYLjVbSFoDAg&amp;s=48mzgFtirP2HSdJCXb_rKfRzyhmk-xDMOoOtUE502mo&amp;e=</t>
  </si>
  <si>
    <t>39骞?4615</t>
  </si>
  <si>
    <t>CAN-1891</t>
  </si>
  <si>
    <t>81ddb59e-1e42-11e4-b4cd-db5882bf8def</t>
  </si>
  <si>
    <t>Abbott</t>
  </si>
  <si>
    <t>1891-06-16</t>
  </si>
  <si>
    <t>1892-12-05</t>
  </si>
  <si>
    <t>1893-10-30</t>
  </si>
  <si>
    <t>30oct1893</t>
  </si>
  <si>
    <t>https://urldefense.proofpoint.com/v2/url?u=http-3A__dbpedia.org_resource_John-5FAbbott&amp;d=BQID-g&amp;c=kbmfwr1Yojg42sGEpaQh5ofMHBeTl9EI2eaqQZhHbOU&amp;r=ZliGVSRwfirWoETOrKCh2RSnoygzVPWEk95Me9L-Kwo&amp;m=EaKyFx9mpkhPdFxsxzvW_fiM3jbYwM3xYLjVbSFoDAg&amp;s=tUEQYgkxwyl5E0vwF5BABzdbSh2jlKuHVhC1SRmYCvw&amp;e=</t>
  </si>
  <si>
    <t>39骞?538</t>
  </si>
  <si>
    <t>CAN-1892</t>
  </si>
  <si>
    <t>81dde678-1e42-11e4-b4cd-db5882bf8def</t>
  </si>
  <si>
    <t>Thompson</t>
  </si>
  <si>
    <t>1894-12-12</t>
  </si>
  <si>
    <t>39骞?737</t>
  </si>
  <si>
    <t>CAN-1894</t>
  </si>
  <si>
    <t>81dde679-1e42-11e4-b4cd-db5882bf8def</t>
  </si>
  <si>
    <t>Bowell</t>
  </si>
  <si>
    <t>1894-12-21</t>
  </si>
  <si>
    <t>1896-05-01</t>
  </si>
  <si>
    <t>01may1896</t>
  </si>
  <si>
    <t>https://urldefense.proofpoint.com/v2/url?u=http-3A__dbpedia.org_resource_Mackenzie-5FBowell&amp;d=BQID-g&amp;c=kbmfwr1Yojg42sGEpaQh5ofMHBeTl9EI2eaqQZhHbOU&amp;r=ZliGVSRwfirWoETOrKCh2RSnoygzVPWEk95Me9L-Kwo&amp;m=EaKyFx9mpkhPdFxsxzvW_fiM3jbYwM3xYLjVbSFoDAg&amp;s=60PEb4noCXilyXVujuhdkkpnfQYWwm9wcV4KEfWb6jg&amp;e=</t>
  </si>
  <si>
    <t>39骞?497</t>
  </si>
  <si>
    <t>CAN-1896-1</t>
  </si>
  <si>
    <t>81de174c-1e42-11e4-b4cd-db5882bf8def</t>
  </si>
  <si>
    <t>Tupper</t>
  </si>
  <si>
    <t>1896-07-11</t>
  </si>
  <si>
    <t>https://urldefense.proofpoint.com/v2/url?u=http-3A__dbpedia.org_resource_Charles-5FTupper&amp;d=BQID-g&amp;c=kbmfwr1Yojg42sGEpaQh5ofMHBeTl9EI2eaqQZhHbOU&amp;r=ZliGVSRwfirWoETOrKCh2RSnoygzVPWEk95Me9L-Kwo&amp;m=EaKyFx9mpkhPdFxsxzvW_fiM3jbYwM3xYLjVbSFoDAg&amp;s=SwNSjv_Nr6aH1NoUFKWaj6wjrNADShiL7oApHYvsyRU&amp;e=</t>
  </si>
  <si>
    <t>39骞?71</t>
  </si>
  <si>
    <t>CAN-1896-2</t>
  </si>
  <si>
    <t>81de4820-1e42-11e4-b4cd-db5882bf8def</t>
  </si>
  <si>
    <t>Laurier</t>
  </si>
  <si>
    <t>https://urldefense.proofpoint.com/v2/url?u=http-3A__dbpedia.org_resource_Wilfrid-5FLaurier&amp;d=BQID-g&amp;c=kbmfwr1Yojg42sGEpaQh5ofMHBeTl9EI2eaqQZhHbOU&amp;r=ZliGVSRwfirWoETOrKCh2RSnoygzVPWEk95Me9L-Kwo&amp;m=EaKyFx9mpkhPdFxsxzvW_fiM3jbYwM3xYLjVbSFoDAg&amp;s=g09tst56QWN0KuNDYe_u8VrCyLuyc8gLksfx0KF9qDo&amp;e=</t>
  </si>
  <si>
    <t>39骞?5568</t>
  </si>
  <si>
    <t>CAN-1911</t>
  </si>
  <si>
    <t>81de4821-1e42-11e4-b4cd-db5882bf8def</t>
  </si>
  <si>
    <t>Borden</t>
  </si>
  <si>
    <t>Retired Due to Ill Health</t>
  </si>
  <si>
    <t>https://urldefense.proofpoint.com/v2/url?u=http-3A__dbpedia.org_resource_Robert-5FBorden&amp;d=BQID-g&amp;c=kbmfwr1Yojg42sGEpaQh5ofMHBeTl9EI2eaqQZhHbOU&amp;r=ZliGVSRwfirWoETOrKCh2RSnoygzVPWEk95Me9L-Kwo&amp;m=EaKyFx9mpkhPdFxsxzvW_fiM3jbYwM3xYLjVbSFoDAg&amp;s=3oDRQ0WFDLF-y9CZ9MpmZBulifIpPh6oUY9zPdR0D30&amp;e=</t>
  </si>
  <si>
    <t>39骞?3166</t>
  </si>
  <si>
    <t>CAN-1920</t>
  </si>
  <si>
    <t>81de4822-1e42-11e4-b4cd-db5882bf8def</t>
  </si>
  <si>
    <t>Meighen</t>
  </si>
  <si>
    <t>https://urldefense.proofpoint.com/v2/url?u=http-3A__dbpedia.org_resource_Arthur-5FMeighen&amp;d=BQID-g&amp;c=kbmfwr1Yojg42sGEpaQh5ofMHBeTl9EI2eaqQZhHbOU&amp;r=ZliGVSRwfirWoETOrKCh2RSnoygzVPWEk95Me9L-Kwo&amp;m=EaKyFx9mpkhPdFxsxzvW_fiM3jbYwM3xYLjVbSFoDAg&amp;s=beEjK11YQvAxkxJNw0MD71hEGdO1cPM93XBAjOSu95M&amp;e=</t>
  </si>
  <si>
    <t>39骞?537</t>
  </si>
  <si>
    <t>CAN-1921</t>
  </si>
  <si>
    <t>81de4823-1e42-11e4-b4cd-db5882bf8def</t>
  </si>
  <si>
    <t>King</t>
  </si>
  <si>
    <t>Father of Ramon Baez%81e1556e-1e42-11e4-b4cd-db5882bf8def</t>
  </si>
  <si>
    <t>39骞?1642</t>
  </si>
  <si>
    <t>CAN-1926-1</t>
  </si>
  <si>
    <t>39骞?88</t>
  </si>
  <si>
    <t>CAN-1926-2</t>
  </si>
  <si>
    <t>39骞?1412</t>
  </si>
  <si>
    <t>CAN-1930</t>
  </si>
  <si>
    <t>81de4824-1e42-11e4-b4cd-db5882bf8def</t>
  </si>
  <si>
    <t>Bennett</t>
  </si>
  <si>
    <t>https://urldefense.proofpoint.com/v2/url?u=http-3A__dbpedia.org_resource_R.-5FB.-5FBennett&amp;d=BQID-g&amp;c=kbmfwr1Yojg42sGEpaQh5ofMHBeTl9EI2eaqQZhHbOU&amp;r=ZliGVSRwfirWoETOrKCh2RSnoygzVPWEk95Me9L-Kwo&amp;m=EaKyFx9mpkhPdFxsxzvW_fiM3jbYwM3xYLjVbSFoDAg&amp;s=N7o5FG1J5XmgggL0nAT5JmcCC4EUqYULZEvFd0z-RGk&amp;e=</t>
  </si>
  <si>
    <t>39骞?1903</t>
  </si>
  <si>
    <t>CAN-1935</t>
  </si>
  <si>
    <t>39骞?4772</t>
  </si>
  <si>
    <t>CAN-1948</t>
  </si>
  <si>
    <t>81de78f4-1e42-11e4-b4cd-db5882bf8def</t>
  </si>
  <si>
    <t>St. Laurent</t>
  </si>
  <si>
    <t>1882-02-01</t>
  </si>
  <si>
    <t>01feb1882</t>
  </si>
  <si>
    <t>https://urldefense.proofpoint.com/v2/url?u=http-3A__dbpedia.org_resource_Louis-5FSt.-5FLaurent&amp;d=BQID-g&amp;c=kbmfwr1Yojg42sGEpaQh5ofMHBeTl9EI2eaqQZhHbOU&amp;r=ZliGVSRwfirWoETOrKCh2RSnoygzVPWEk95Me9L-Kwo&amp;m=EaKyFx9mpkhPdFxsxzvW_fiM3jbYwM3xYLjVbSFoDAg&amp;s=1_JqIUI-cEV1iwLTvxoeZp0dBayilsdlMLGZCNNJUFg&amp;e=</t>
  </si>
  <si>
    <t>39骞?3140</t>
  </si>
  <si>
    <t>CAN-1957</t>
  </si>
  <si>
    <t>81de78f5-1e42-11e4-b4cd-db5882bf8def</t>
  </si>
  <si>
    <t>Diefenbaker</t>
  </si>
  <si>
    <t>1895-09-18</t>
  </si>
  <si>
    <t>18sep1895</t>
  </si>
  <si>
    <t>https://urldefense.proofpoint.com/v2/url?u=http-3A__dbpedia.org_resource_John-5FDiefenbaker&amp;d=BQID-g&amp;c=kbmfwr1Yojg42sGEpaQh5ofMHBeTl9EI2eaqQZhHbOU&amp;r=ZliGVSRwfirWoETOrKCh2RSnoygzVPWEk95Me9L-Kwo&amp;m=EaKyFx9mpkhPdFxsxzvW_fiM3jbYwM3xYLjVbSFoDAg&amp;s=6TYAB7L7Ufes-gYVer7NsjNfu7pTB-NX3P5lsZ8wF7M&amp;e=</t>
  </si>
  <si>
    <t>39骞?2131</t>
  </si>
  <si>
    <t>CAN-1963</t>
  </si>
  <si>
    <t>81de78f6-1e42-11e4-b4cd-db5882bf8def</t>
  </si>
  <si>
    <t>Pearson</t>
  </si>
  <si>
    <t>1897-04-23</t>
  </si>
  <si>
    <t>23apr1897</t>
  </si>
  <si>
    <t>https://urldefense.proofpoint.com/v2/url?u=http-3A__dbpedia.org_resource_Lester-5FB.-5FPearson&amp;d=BQID-g&amp;c=kbmfwr1Yojg42sGEpaQh5ofMHBeTl9EI2eaqQZhHbOU&amp;r=ZliGVSRwfirWoETOrKCh2RSnoygzVPWEk95Me9L-Kwo&amp;m=EaKyFx9mpkhPdFxsxzvW_fiM3jbYwM3xYLjVbSFoDAg&amp;s=cweceAKDcxiJMyb-uwPUGfcmPYzaVQGdRXRqVDiZmJM&amp;e=</t>
  </si>
  <si>
    <t>39骞?1825</t>
  </si>
  <si>
    <t>CAN-1968</t>
  </si>
  <si>
    <t>81de78f7-1e42-11e4-b4cd-db5882bf8def</t>
  </si>
  <si>
    <t>Pierre Trudeau</t>
  </si>
  <si>
    <t>https://urldefense.proofpoint.com/v2/url?u=http-3A__dbpedia.org_resource_Pierre-5FTrudeau&amp;d=BQID-g&amp;c=kbmfwr1Yojg42sGEpaQh5ofMHBeTl9EI2eaqQZhHbOU&amp;r=ZliGVSRwfirWoETOrKCh2RSnoygzVPWEk95Me9L-Kwo&amp;m=EaKyFx9mpkhPdFxsxzvW_fiM3jbYwM3xYLjVbSFoDAg&amp;s=w4_-YXRnusU30RhiSPp87RPt4ZI3h33z8sN7421A2Kw&amp;e=</t>
  </si>
  <si>
    <t>Father of Justin Trudeau%43f5ae9c-de6a-11e5-ba44-bb6d7c1a9a58</t>
  </si>
  <si>
    <t>39骞?4062</t>
  </si>
  <si>
    <t>CAN-1979</t>
  </si>
  <si>
    <t>81de78f8-1e42-11e4-b4cd-db5882bf8def</t>
  </si>
  <si>
    <t>Clark</t>
  </si>
  <si>
    <t>https://urldefense.proofpoint.com/v2/url?u=http-3A__dbpedia.org_resource_Joe-5FClark&amp;d=BQID-g&amp;c=kbmfwr1Yojg42sGEpaQh5ofMHBeTl9EI2eaqQZhHbOU&amp;r=ZliGVSRwfirWoETOrKCh2RSnoygzVPWEk95Me9L-Kwo&amp;m=EaKyFx9mpkhPdFxsxzvW_fiM3jbYwM3xYLjVbSFoDAg&amp;s=-HfjxvUln5ECr1JP_5QDje-BndEcDO-E7JKce9IdRO8&amp;e=</t>
  </si>
  <si>
    <t>39骞?273</t>
  </si>
  <si>
    <t>CAN-1980</t>
  </si>
  <si>
    <t>39骞?1580</t>
  </si>
  <si>
    <t>CAN-1984-1</t>
  </si>
  <si>
    <t>81de78f9-1e42-11e4-b4cd-db5882bf8def</t>
  </si>
  <si>
    <t>Turner</t>
  </si>
  <si>
    <t>https://urldefense.proofpoint.com/v2/url?u=http-3A__dbpedia.org_resource_John-5FTurner&amp;d=BQID-g&amp;c=kbmfwr1Yojg42sGEpaQh5ofMHBeTl9EI2eaqQZhHbOU&amp;r=ZliGVSRwfirWoETOrKCh2RSnoygzVPWEk95Me9L-Kwo&amp;m=EaKyFx9mpkhPdFxsxzvW_fiM3jbYwM3xYLjVbSFoDAg&amp;s=2LjzF2jtH7HeWMa4ikmSHUzgIyteqWSam74Ug2FhHlY&amp;e=</t>
  </si>
  <si>
    <t>39骞?79</t>
  </si>
  <si>
    <t>CAN-1984-2</t>
  </si>
  <si>
    <t>81dea9c8-1e42-11e4-b4cd-db5882bf8def</t>
  </si>
  <si>
    <t>Mulroney</t>
  </si>
  <si>
    <t>https://urldefense.proofpoint.com/v2/url?u=http-3A__dbpedia.org_resource_Brian-5FMulroney&amp;d=BQID-g&amp;c=kbmfwr1Yojg42sGEpaQh5ofMHBeTl9EI2eaqQZhHbOU&amp;r=ZliGVSRwfirWoETOrKCh2RSnoygzVPWEk95Me9L-Kwo&amp;m=EaKyFx9mpkhPdFxsxzvW_fiM3jbYwM3xYLjVbSFoDAg&amp;s=ISn4dFD4sYHvrdfqixCO51zXVodWbv_BhjldzdQAYeI&amp;e=</t>
  </si>
  <si>
    <t>39骞?3203</t>
  </si>
  <si>
    <t>CAN-1993-1</t>
  </si>
  <si>
    <t>81dea9c9-1e42-11e4-b4cd-db5882bf8def</t>
  </si>
  <si>
    <t>Kim Campbell</t>
  </si>
  <si>
    <t>F</t>
  </si>
  <si>
    <t>39骞?132</t>
  </si>
  <si>
    <t>CAN-1993-2</t>
  </si>
  <si>
    <t>81dea9ca-1e42-11e4-b4cd-db5882bf8def</t>
  </si>
  <si>
    <t>Chretien</t>
  </si>
  <si>
    <t>39骞?3690</t>
  </si>
  <si>
    <t>CAN-2003</t>
  </si>
  <si>
    <t>81dea9cb-1e42-11e4-b4cd-db5882bf8def</t>
  </si>
  <si>
    <t>Paul Martin</t>
  </si>
  <si>
    <t>39骞?787</t>
  </si>
  <si>
    <t>CAN-2006</t>
  </si>
  <si>
    <t>824ff7fe-1e42-11e4-b4cd-db5882bf8def</t>
  </si>
  <si>
    <t>Harper</t>
  </si>
  <si>
    <t>Missing: Left Office after 2014-12-31</t>
  </si>
  <si>
    <t>39骞?3558</t>
  </si>
  <si>
    <t>CAN-2015</t>
  </si>
  <si>
    <t>43f5ae9c-de6a-11e5-ba44-bb6d7c1a9a58</t>
  </si>
  <si>
    <t>Justin Trudeau</t>
  </si>
  <si>
    <t>Son of Pierre Trudeau%81de78f7-1e42-11e4-b4cd-db5882bf8def</t>
  </si>
  <si>
    <t>39骞?57</t>
  </si>
  <si>
    <t>BHM-1967</t>
  </si>
  <si>
    <t>81dea9cc-1e42-11e4-b4cd-db5882bf8def</t>
  </si>
  <si>
    <t>BHM</t>
  </si>
  <si>
    <t>Pindling</t>
  </si>
  <si>
    <t>43骞?9349</t>
  </si>
  <si>
    <t>BHM-1992</t>
  </si>
  <si>
    <t>3500baa8-3bbd-11e5-afeb-eb6f07f9fec7</t>
  </si>
  <si>
    <t>Ingraham</t>
  </si>
  <si>
    <t>https://urldefense.proofpoint.com/v2/url?u=http-3A__dbpedia.org_resource_Hubert-5FIngraham&amp;d=BQID-g&amp;c=kbmfwr1Yojg42sGEpaQh5ofMHBeTl9EI2eaqQZhHbOU&amp;r=ZliGVSRwfirWoETOrKCh2RSnoygzVPWEk95Me9L-Kwo&amp;m=EaKyFx9mpkhPdFxsxzvW_fiM3jbYwM3xYLjVbSFoDAg&amp;s=aovuCrjZcQLSygcYa6DQX-V8liSJDbOedpmr_d0NAJA&amp;e=</t>
  </si>
  <si>
    <t>43骞?3542</t>
  </si>
  <si>
    <t>BHM-2002</t>
  </si>
  <si>
    <t>81deda9d-1e42-11e4-b4cd-db5882bf8def</t>
  </si>
  <si>
    <t>Christie</t>
  </si>
  <si>
    <t>43骞?1097</t>
  </si>
  <si>
    <t>BHM-2005-1</t>
  </si>
  <si>
    <t>824ff7ff-1e42-11e4-b4cd-db5882bf8def</t>
  </si>
  <si>
    <t>Cynthia A. Pratt</t>
  </si>
  <si>
    <t>43骞?49</t>
  </si>
  <si>
    <t>BHM-2005-2</t>
  </si>
  <si>
    <t>43骞?681</t>
  </si>
  <si>
    <t>BHM-2007</t>
  </si>
  <si>
    <t>43骞?1831</t>
  </si>
  <si>
    <t>BHM-2012</t>
  </si>
  <si>
    <t>43骞?1332</t>
  </si>
  <si>
    <t>CUB-1902</t>
  </si>
  <si>
    <t>81deda9e-1e42-11e4-b4cd-db5882bf8def</t>
  </si>
  <si>
    <t>CUB</t>
  </si>
  <si>
    <t>Palma</t>
  </si>
  <si>
    <t>Unknown</t>
  </si>
  <si>
    <t>1835-07-09</t>
  </si>
  <si>
    <t>09jul1835</t>
  </si>
  <si>
    <t>100骞?1592</t>
  </si>
  <si>
    <t>CUB-1909</t>
  </si>
  <si>
    <t>81deda9f-1e42-11e4-b4cd-db5882bf8def</t>
  </si>
  <si>
    <t>Gomez</t>
  </si>
  <si>
    <t>1858-07-06</t>
  </si>
  <si>
    <t>06jul1858</t>
  </si>
  <si>
    <t>https://urldefense.proofpoint.com/v2/url?u=http-3A__dbpedia.org_resource_Jos-25C3-25A9-5FMiguel-5FG-25C3-25B3mez&amp;d=BQID-g&amp;c=kbmfwr1Yojg42sGEpaQh5ofMHBeTl9EI2eaqQZhHbOU&amp;r=ZliGVSRwfirWoETOrKCh2RSnoygzVPWEk95Me9L-Kwo&amp;m=EaKyFx9mpkhPdFxsxzvW_fiM3jbYwM3xYLjVbSFoDAg&amp;s=1NF5x1Zu_N6SeSZ0Sl-F8t5Jd6hSEWbXstJtm8tflaw&amp;e=</t>
  </si>
  <si>
    <t>Father of Gomez y Arias%81df3c45-1e42-11e4-b4cd-db5882bf8def</t>
  </si>
  <si>
    <t>100骞?1573</t>
  </si>
  <si>
    <t>CUB-1913</t>
  </si>
  <si>
    <t>81dedaa0-1e42-11e4-b4cd-db5882bf8def</t>
  </si>
  <si>
    <t>Menocal</t>
  </si>
  <si>
    <t>Exile</t>
  </si>
  <si>
    <t>1868-12-17</t>
  </si>
  <si>
    <t>17dec1868</t>
  </si>
  <si>
    <t>100骞?2922</t>
  </si>
  <si>
    <t>CUB-1921</t>
  </si>
  <si>
    <t>81df0b70-1e42-11e4-b4cd-db5882bf8def</t>
  </si>
  <si>
    <t>Zyas y Alfonso</t>
  </si>
  <si>
    <t>1861-09-21</t>
  </si>
  <si>
    <t>21sep1861</t>
  </si>
  <si>
    <t>https://urldefense.proofpoint.com/v2/url?u=http-3A__dbpedia.org_resource_Alfredo-5FZayas-5Fy-5FAlfonso&amp;d=BQID-g&amp;c=kbmfwr1Yojg42sGEpaQh5ofMHBeTl9EI2eaqQZhHbOU&amp;r=ZliGVSRwfirWoETOrKCh2RSnoygzVPWEk95Me9L-Kwo&amp;m=EaKyFx9mpkhPdFxsxzvW_fiM3jbYwM3xYLjVbSFoDAg&amp;s=qVE_rcLPA754FWe1nuWY7rwfVNVECGVzH49nyW6jN_s&amp;e=</t>
  </si>
  <si>
    <t>100骞?1461</t>
  </si>
  <si>
    <t>CUB-1925</t>
  </si>
  <si>
    <t>81df0b71-1e42-11e4-b4cd-db5882bf8def</t>
  </si>
  <si>
    <t>Machado Morales</t>
  </si>
  <si>
    <t>Removed by Military, without Foreign Support</t>
  </si>
  <si>
    <t>1871-09-28</t>
  </si>
  <si>
    <t>28sep1871</t>
  </si>
  <si>
    <t>100骞?3006</t>
  </si>
  <si>
    <t>CUB-1933-1</t>
  </si>
  <si>
    <t>81df0b72-1e42-11e4-b4cd-db5882bf8def</t>
  </si>
  <si>
    <t>de Cespedes</t>
  </si>
  <si>
    <t>1871-08-12</t>
  </si>
  <si>
    <t>12aug1871</t>
  </si>
  <si>
    <t>100骞?24</t>
  </si>
  <si>
    <t>CUB-1933-2</t>
  </si>
  <si>
    <t>81df0b73-1e42-11e4-b4cd-db5882bf8def</t>
  </si>
  <si>
    <t>Grau San Martin</t>
  </si>
  <si>
    <t>Removed in Military Power Struggle Short of Coup</t>
  </si>
  <si>
    <t>1882-09-13</t>
  </si>
  <si>
    <t>13sep1882</t>
  </si>
  <si>
    <t>100骞?127</t>
  </si>
  <si>
    <t>CUB-1934-1</t>
  </si>
  <si>
    <t>81df0b74-1e42-11e4-b4cd-db5882bf8def</t>
  </si>
  <si>
    <t>Hevia</t>
  </si>
  <si>
    <t>https://urldefense.proofpoint.com/v2/url?u=http-3A__dbpedia.org_resource_Carlos-5FHevia&amp;d=BQID-g&amp;c=kbmfwr1Yojg42sGEpaQh5ofMHBeTl9EI2eaqQZhHbOU&amp;r=ZliGVSRwfirWoETOrKCh2RSnoygzVPWEk95Me9L-Kwo&amp;m=EaKyFx9mpkhPdFxsxzvW_fiM3jbYwM3xYLjVbSFoDAg&amp;s=5-6e0ciWg-SlbSXQhsIrBVVl7sydg_gVQjoic3YQiQE&amp;e=</t>
  </si>
  <si>
    <t>100骞?3</t>
  </si>
  <si>
    <t>CUB-1934-2</t>
  </si>
  <si>
    <t>81df0b75-1e42-11e4-b4cd-db5882bf8def</t>
  </si>
  <si>
    <t>Mendieta</t>
  </si>
  <si>
    <t>1873-11-04</t>
  </si>
  <si>
    <t>04nov1873</t>
  </si>
  <si>
    <t>100骞?693</t>
  </si>
  <si>
    <t>CUB-1935</t>
  </si>
  <si>
    <t>81df3c44-1e42-11e4-b4cd-db5882bf8def</t>
  </si>
  <si>
    <t>Barnet</t>
  </si>
  <si>
    <t>100骞?160</t>
  </si>
  <si>
    <t>CUB-1936-1</t>
  </si>
  <si>
    <t>81df3c45-1e42-11e4-b4cd-db5882bf8def</t>
  </si>
  <si>
    <t>Gomez y Arias</t>
  </si>
  <si>
    <t>1889-10-06</t>
  </si>
  <si>
    <t>06oct1889</t>
  </si>
  <si>
    <t>Son of Gomez%81deda9f-1e42-11e4-b4cd-db5882bf8def</t>
  </si>
  <si>
    <t>100骞?222</t>
  </si>
  <si>
    <t>CUB-1936-2</t>
  </si>
  <si>
    <t>81df3c46-1e42-11e4-b4cd-db5882bf8def</t>
  </si>
  <si>
    <t>Laredo Bru</t>
  </si>
  <si>
    <t>1875-04-23</t>
  </si>
  <si>
    <t>23apr1875</t>
  </si>
  <si>
    <t>https://urldefense.proofpoint.com/v2/url?u=http-3A__dbpedia.org_resource_Federico-5FLaredo-5FBr-25C3-25BA&amp;d=BQID-g&amp;c=kbmfwr1Yojg42sGEpaQh5ofMHBeTl9EI2eaqQZhHbOU&amp;r=ZliGVSRwfirWoETOrKCh2RSnoygzVPWEk95Me9L-Kwo&amp;m=EaKyFx9mpkhPdFxsxzvW_fiM3jbYwM3xYLjVbSFoDAg&amp;s=Rq7KVvMy39C5SnmdtY7Gu0C2BRV1pS8qMybPSXwET2w&amp;e=</t>
  </si>
  <si>
    <t>100骞?1382</t>
  </si>
  <si>
    <t>CUB-1940</t>
  </si>
  <si>
    <t>81df3c47-1e42-11e4-b4cd-db5882bf8def</t>
  </si>
  <si>
    <t>Batista</t>
  </si>
  <si>
    <t>https://urldefense.proofpoint.com/v2/url?u=http-3A__dbpedia.org_resource_Fulgencio-5FBatista&amp;d=BQID-g&amp;c=kbmfwr1Yojg42sGEpaQh5ofMHBeTl9EI2eaqQZhHbOU&amp;r=ZliGVSRwfirWoETOrKCh2RSnoygzVPWEk95Me9L-Kwo&amp;m=EaKyFx9mpkhPdFxsxzvW_fiM3jbYwM3xYLjVbSFoDAg&amp;s=BNGdwp9997BWodyXCQgGf6XkYdL6Qru7kZypNW4NmjE&amp;e=</t>
  </si>
  <si>
    <t>CUB-1944</t>
  </si>
  <si>
    <t>CUB-1948</t>
  </si>
  <si>
    <t>81df3c48-1e42-11e4-b4cd-db5882bf8def</t>
  </si>
  <si>
    <t>Prio Socarres</t>
  </si>
  <si>
    <t>https://urldefense.proofpoint.com/v2/url?u=http-3A__dbpedia.org_resource_Carlos-5FPr-25C3-25ADo-5FSocarr-25C3-25A1s&amp;d=BQID-g&amp;c=kbmfwr1Yojg42sGEpaQh5ofMHBeTl9EI2eaqQZhHbOU&amp;r=ZliGVSRwfirWoETOrKCh2RSnoygzVPWEk95Me9L-Kwo&amp;m=EaKyFx9mpkhPdFxsxzvW_fiM3jbYwM3xYLjVbSFoDAg&amp;s=hVl4y-cioCjN1XnAMbuYYzgzAymI-wcT2czvmgVhZhE&amp;e=</t>
  </si>
  <si>
    <t>100骞?1247</t>
  </si>
  <si>
    <t>CUB-1952</t>
  </si>
  <si>
    <t>Removed by Rebels, without Foreign Support</t>
  </si>
  <si>
    <t>100骞?2488</t>
  </si>
  <si>
    <t>CUB-1959</t>
  </si>
  <si>
    <t>81df6d18-1e42-11e4-b4cd-db5882bf8def</t>
  </si>
  <si>
    <t>Castro</t>
  </si>
  <si>
    <t>Brother of Raul Castro%824ff801-1e42-11e4-b4cd-db5882bf8def</t>
  </si>
  <si>
    <t>100骞?17950</t>
  </si>
  <si>
    <t>CUB-2008</t>
  </si>
  <si>
    <t>824ff801-1e42-11e4-b4cd-db5882bf8def</t>
  </si>
  <si>
    <t>Raul Castro</t>
  </si>
  <si>
    <t>Brother of Castro%81df6d18-1e42-11e4-b4cd-db5882bf8def</t>
  </si>
  <si>
    <t>100骞?2867</t>
  </si>
  <si>
    <t>HAI-1874</t>
  </si>
  <si>
    <t>81df6d19-1e42-11e4-b4cd-db5882bf8def</t>
  </si>
  <si>
    <t>HAI</t>
  </si>
  <si>
    <t>Rameau</t>
  </si>
  <si>
    <t>1874-06-11</t>
  </si>
  <si>
    <t>1876-04-15</t>
  </si>
  <si>
    <t>15apr1876</t>
  </si>
  <si>
    <t>82骞?674</t>
  </si>
  <si>
    <t>HAI-1876</t>
  </si>
  <si>
    <t>81df6d1a-1e42-11e4-b4cd-db5882bf8def</t>
  </si>
  <si>
    <t>Canal</t>
  </si>
  <si>
    <t>1876-04-23</t>
  </si>
  <si>
    <t>1879-07-17</t>
  </si>
  <si>
    <t>82骞?1180</t>
  </si>
  <si>
    <t>HAI-1879-1</t>
  </si>
  <si>
    <t>81df6d1b-1e42-11e4-b4cd-db5882bf8def</t>
  </si>
  <si>
    <t>Herrise</t>
  </si>
  <si>
    <t>1879-07-26</t>
  </si>
  <si>
    <t>Imprisonment</t>
  </si>
  <si>
    <t>82骞?9</t>
  </si>
  <si>
    <t>HAI-1879-2</t>
  </si>
  <si>
    <t>81df6d1c-1e42-11e4-b4cd-db5882bf8def</t>
  </si>
  <si>
    <t>Lamothe</t>
  </si>
  <si>
    <t>1879-10-02</t>
  </si>
  <si>
    <t>82骞?68</t>
  </si>
  <si>
    <t>HAI-1879-3</t>
  </si>
  <si>
    <t>81df9dec-1e42-11e4-b4cd-db5882bf8def</t>
  </si>
  <si>
    <t>Salomon</t>
  </si>
  <si>
    <t>1879-10-23</t>
  </si>
  <si>
    <t>1888-08-10</t>
  </si>
  <si>
    <t>Uncle-in-law of P. A. T. Simon%81df9def-1e42-11e4-b4cd-db5882bf8def</t>
  </si>
  <si>
    <t>82骞?3214</t>
  </si>
  <si>
    <t>HAI-1888-1</t>
  </si>
  <si>
    <t>1888-10-16</t>
  </si>
  <si>
    <t>82骞?67</t>
  </si>
  <si>
    <t>HAI-1888-2</t>
  </si>
  <si>
    <t>81df9ded-1e42-11e4-b4cd-db5882bf8def</t>
  </si>
  <si>
    <t>Legitime</t>
  </si>
  <si>
    <t>1889-08-22</t>
  </si>
  <si>
    <t>82骞?310</t>
  </si>
  <si>
    <t>HAI-1889</t>
  </si>
  <si>
    <t>81df9dee-1e42-11e4-b4cd-db5882bf8def</t>
  </si>
  <si>
    <t>Hippolyte</t>
  </si>
  <si>
    <t>1889-08-25</t>
  </si>
  <si>
    <t>1896-03-24</t>
  </si>
  <si>
    <t>82骞?2403</t>
  </si>
  <si>
    <t>HAI-1896</t>
  </si>
  <si>
    <t>81df9def-1e42-11e4-b4cd-db5882bf8def</t>
  </si>
  <si>
    <t>P. A. T. Simon</t>
  </si>
  <si>
    <t>1896-03-31</t>
  </si>
  <si>
    <t>Nephew-in-law of Salomon%81df9dec-1e42-11e4-b4cd-db5882bf8def</t>
  </si>
  <si>
    <t>82骞?2232</t>
  </si>
  <si>
    <t>HAI-1902-1</t>
  </si>
  <si>
    <t>82骞?205</t>
  </si>
  <si>
    <t>HAI-1902-2</t>
  </si>
  <si>
    <t>81df9df0-1e42-11e4-b4cd-db5882bf8def</t>
  </si>
  <si>
    <t>Nord</t>
  </si>
  <si>
    <t>https://urldefense.proofpoint.com/v2/url?u=http-3A__dbpedia.org_resource_Pierre-5FNord-5FAlexis&amp;d=BQID-g&amp;c=kbmfwr1Yojg42sGEpaQh5ofMHBeTl9EI2eaqQZhHbOU&amp;r=ZliGVSRwfirWoETOrKCh2RSnoygzVPWEk95Me9L-Kwo&amp;m=EaKyFx9mpkhPdFxsxzvW_fiM3jbYwM3xYLjVbSFoDAg&amp;s=1Dt5NLHJeysWHUmXv4_Vxozdu2sAKlioLRe-ZsS4Wo4&amp;e=</t>
  </si>
  <si>
    <t>82骞?2195</t>
  </si>
  <si>
    <t>HAI-1908</t>
  </si>
  <si>
    <t>81dfceca-1e42-11e4-b4cd-db5882bf8def</t>
  </si>
  <si>
    <t>A. Simon</t>
  </si>
  <si>
    <t>82骞?956</t>
  </si>
  <si>
    <t>HAI-1911</t>
  </si>
  <si>
    <t>81dfcecb-1e42-11e4-b4cd-db5882bf8def</t>
  </si>
  <si>
    <t>Leconte</t>
  </si>
  <si>
    <t>82骞?367</t>
  </si>
  <si>
    <t>HAI-1912</t>
  </si>
  <si>
    <t>81dfcecc-1e42-11e4-b4cd-db5882bf8def</t>
  </si>
  <si>
    <t>Tancred Auguste</t>
  </si>
  <si>
    <t>82骞?277</t>
  </si>
  <si>
    <t>HAI-1913</t>
  </si>
  <si>
    <t>81dfcecd-1e42-11e4-b4cd-db5882bf8def</t>
  </si>
  <si>
    <t>Michel Oreste</t>
  </si>
  <si>
    <t>82骞?260</t>
  </si>
  <si>
    <t>HAI-1914-1</t>
  </si>
  <si>
    <t>81dfcece-1e42-11e4-b4cd-db5882bf8def</t>
  </si>
  <si>
    <t>Oreste Zamor</t>
  </si>
  <si>
    <t>82骞?253</t>
  </si>
  <si>
    <t>HAI-1914-2</t>
  </si>
  <si>
    <t>81dfff9e-1e42-11e4-b4cd-db5882bf8def</t>
  </si>
  <si>
    <t>Theodore</t>
  </si>
  <si>
    <t>82骞?126</t>
  </si>
  <si>
    <t>HAI-1915</t>
  </si>
  <si>
    <t>81dfff9f-1e42-11e4-b4cd-db5882bf8def</t>
  </si>
  <si>
    <t>Velbrun-Guillaume</t>
  </si>
  <si>
    <t>1859-03-04</t>
  </si>
  <si>
    <t>04mar1859</t>
  </si>
  <si>
    <t>82骞?144</t>
  </si>
  <si>
    <t>HAI-1934</t>
  </si>
  <si>
    <t>81dfffa0-1e42-11e4-b4cd-db5882bf8def</t>
  </si>
  <si>
    <t>Vincent</t>
  </si>
  <si>
    <t>82骞?2465</t>
  </si>
  <si>
    <t>HAI-1941</t>
  </si>
  <si>
    <t>81dfffa1-1e42-11e4-b4cd-db5882bf8def</t>
  </si>
  <si>
    <t>Lescot</t>
  </si>
  <si>
    <t>1883-12-09</t>
  </si>
  <si>
    <t>09dec1883</t>
  </si>
  <si>
    <t>https://urldefense.proofpoint.com/v2/url?u=http-3A__dbpedia.org_resource_-25C3-2589lie-5FLescot&amp;d=BQID-g&amp;c=kbmfwr1Yojg42sGEpaQh5ofMHBeTl9EI2eaqQZhHbOU&amp;r=ZliGVSRwfirWoETOrKCh2RSnoygzVPWEk95Me9L-Kwo&amp;m=EaKyFx9mpkhPdFxsxzvW_fiM3jbYwM3xYLjVbSFoDAg&amp;s=2L7m68zog2eHfDquMvwwe3dqBRL9odI7l8Ovk5co2fc&amp;e=</t>
  </si>
  <si>
    <t>82骞?1702</t>
  </si>
  <si>
    <t>HAI-1946-1</t>
  </si>
  <si>
    <t>81dfffa2-1e42-11e4-b4cd-db5882bf8def</t>
  </si>
  <si>
    <t>Lavaud</t>
  </si>
  <si>
    <t>82骞?217</t>
  </si>
  <si>
    <t>HAI-1946-2</t>
  </si>
  <si>
    <t>81e03072-1e42-11e4-b4cd-db5882bf8def</t>
  </si>
  <si>
    <t>Estime</t>
  </si>
  <si>
    <t>https://urldefense.proofpoint.com/v2/url?u=http-3A__dbpedia.org_resource_Dumarsais-5FEstim-25C3-25A9&amp;d=BQID-g&amp;c=kbmfwr1Yojg42sGEpaQh5ofMHBeTl9EI2eaqQZhHbOU&amp;r=ZliGVSRwfirWoETOrKCh2RSnoygzVPWEk95Me9L-Kwo&amp;m=EaKyFx9mpkhPdFxsxzvW_fiM3jbYwM3xYLjVbSFoDAg&amp;s=1rRA58Jtgf8zEm5t3Uxl2WX0t5IuX5vJIHVBNFGDysk&amp;e=</t>
  </si>
  <si>
    <t>82骞?1363</t>
  </si>
  <si>
    <t>HAI-1950</t>
  </si>
  <si>
    <t>81e03073-1e42-11e4-b4cd-db5882bf8def</t>
  </si>
  <si>
    <t>Magloire</t>
  </si>
  <si>
    <t>https://urldefense.proofpoint.com/v2/url?u=http-3A__dbpedia.org_resource_Paul-5FMagloire&amp;d=BQID-g&amp;c=kbmfwr1Yojg42sGEpaQh5ofMHBeTl9EI2eaqQZhHbOU&amp;r=ZliGVSRwfirWoETOrKCh2RSnoygzVPWEk95Me9L-Kwo&amp;m=EaKyFx9mpkhPdFxsxzvW_fiM3jbYwM3xYLjVbSFoDAg&amp;s=ycokK_cSs_P814IKrGAsbDMM3gH5raHEnnOKhOJfk5o&amp;e=</t>
  </si>
  <si>
    <t>82骞?2408</t>
  </si>
  <si>
    <t>HAI-1956</t>
  </si>
  <si>
    <t>81e03074-1e42-11e4-b4cd-db5882bf8def</t>
  </si>
  <si>
    <t>Pierre-Louis</t>
  </si>
  <si>
    <t>82骞?53</t>
  </si>
  <si>
    <t>HAI-1957-1</t>
  </si>
  <si>
    <t>81e03075-1e42-11e4-b4cd-db5882bf8def</t>
  </si>
  <si>
    <t>Sylvain</t>
  </si>
  <si>
    <t>82骞?54</t>
  </si>
  <si>
    <t>HAI-1957-2</t>
  </si>
  <si>
    <t>81e03076-1e42-11e4-b4cd-db5882bf8def</t>
  </si>
  <si>
    <t>Cantave</t>
  </si>
  <si>
    <t>82骞?4</t>
  </si>
  <si>
    <t>HAI-1957-3</t>
  </si>
  <si>
    <t>81e03077-1e42-11e4-b4cd-db5882bf8def</t>
  </si>
  <si>
    <t>Executive council</t>
  </si>
  <si>
    <t>82骞?44</t>
  </si>
  <si>
    <t>HAI-1957-4</t>
  </si>
  <si>
    <t>82骞?6</t>
  </si>
  <si>
    <t>HAI-1957-5</t>
  </si>
  <si>
    <t>81e06146-1e42-11e4-b4cd-db5882bf8def</t>
  </si>
  <si>
    <t>Fignole</t>
  </si>
  <si>
    <t>82骞?19</t>
  </si>
  <si>
    <t>HAI-1957-6</t>
  </si>
  <si>
    <t>81e06147-1e42-11e4-b4cd-db5882bf8def</t>
  </si>
  <si>
    <t>Kebreau</t>
  </si>
  <si>
    <t>https://urldefense.proofpoint.com/v2/url?u=http-3A__dbpedia.org_resource_Antonio-5FThrasybule-5FKebreau&amp;d=BQID-g&amp;c=kbmfwr1Yojg42sGEpaQh5ofMHBeTl9EI2eaqQZhHbOU&amp;r=ZliGVSRwfirWoETOrKCh2RSnoygzVPWEk95Me9L-Kwo&amp;m=EaKyFx9mpkhPdFxsxzvW_fiM3jbYwM3xYLjVbSFoDAg&amp;s=5dbggIGQyS2PTQiFxRG9Mi4pH8I6JYfEt8RsN1tAE-4&amp;e=</t>
  </si>
  <si>
    <t>82骞?123</t>
  </si>
  <si>
    <t>HAI-1957-7</t>
  </si>
  <si>
    <t>81e06148-1e42-11e4-b4cd-db5882bf8def</t>
  </si>
  <si>
    <t>Duvalier, Francois</t>
  </si>
  <si>
    <t>https://urldefense.proofpoint.com/v2/url?u=http-3A__dbpedia.org_resource_Fran-25C3-25A7ois-5FDuvalier&amp;d=BQID-g&amp;c=kbmfwr1Yojg42sGEpaQh5ofMHBeTl9EI2eaqQZhHbOU&amp;r=ZliGVSRwfirWoETOrKCh2RSnoygzVPWEk95Me9L-Kwo&amp;m=EaKyFx9mpkhPdFxsxzvW_fiM3jbYwM3xYLjVbSFoDAg&amp;s=xfjIITFaBZi9zTwqm-gZS_13zsGg50-_b2vE2VQgobY&amp;e=</t>
  </si>
  <si>
    <t>Father of Duvalier, Jean-Claude%81e06149-1e42-11e4-b4cd-db5882bf8def</t>
  </si>
  <si>
    <t>82骞?4937</t>
  </si>
  <si>
    <t>HAI-1971</t>
  </si>
  <si>
    <t>81e06149-1e42-11e4-b4cd-db5882bf8def</t>
  </si>
  <si>
    <t>Duvalier, Jean-Claude</t>
  </si>
  <si>
    <t>https://urldefense.proofpoint.com/v2/url?u=http-3A__dbpedia.org_resource_Jean-2DClaude-5FDuvalier&amp;d=BQID-g&amp;c=kbmfwr1Yojg42sGEpaQh5ofMHBeTl9EI2eaqQZhHbOU&amp;r=ZliGVSRwfirWoETOrKCh2RSnoygzVPWEk95Me9L-Kwo&amp;m=EaKyFx9mpkhPdFxsxzvW_fiM3jbYwM3xYLjVbSFoDAg&amp;s=dRHSHcnPLjTcs-1XyPJXKCWju79AipuykjvtVw8QNyY&amp;e=</t>
  </si>
  <si>
    <t>Son of Duvalier, Francois%81e06148-1e42-11e4-b4cd-db5882bf8def</t>
  </si>
  <si>
    <t>82骞?5405</t>
  </si>
  <si>
    <t>HAI-1986</t>
  </si>
  <si>
    <t>81e0614a-1e42-11e4-b4cd-db5882bf8def</t>
  </si>
  <si>
    <t>Namphy</t>
  </si>
  <si>
    <t>https://urldefense.proofpoint.com/v2/url?u=http-3A__dbpedia.org_resource_Henri-5FNamphy&amp;d=BQID-g&amp;c=kbmfwr1Yojg42sGEpaQh5ofMHBeTl9EI2eaqQZhHbOU&amp;r=ZliGVSRwfirWoETOrKCh2RSnoygzVPWEk95Me9L-Kwo&amp;m=EaKyFx9mpkhPdFxsxzvW_fiM3jbYwM3xYLjVbSFoDAg&amp;s=2p6cRMCjyjuiX7VlvXAwBAWNg3_LPtdPeU7qY0u7ozE&amp;e=</t>
  </si>
  <si>
    <t>82骞?730</t>
  </si>
  <si>
    <t>HAI-1988-1</t>
  </si>
  <si>
    <t>81e0921a-1e42-11e4-b4cd-db5882bf8def</t>
  </si>
  <si>
    <t>Manigat</t>
  </si>
  <si>
    <t>https://urldefense.proofpoint.com/v2/url?u=http-3A__dbpedia.org_resource_Leslie-5FManigat&amp;d=BQID-g&amp;c=kbmfwr1Yojg42sGEpaQh5ofMHBeTl9EI2eaqQZhHbOU&amp;r=ZliGVSRwfirWoETOrKCh2RSnoygzVPWEk95Me9L-Kwo&amp;m=EaKyFx9mpkhPdFxsxzvW_fiM3jbYwM3xYLjVbSFoDAg&amp;s=Xtl3XX6hLwfrvEFrDKYoGVztrT3Nl-5eHRapIasPeAc&amp;e=</t>
  </si>
  <si>
    <t>82骞?134</t>
  </si>
  <si>
    <t>HAI-1988-2</t>
  </si>
  <si>
    <t>82骞?89</t>
  </si>
  <si>
    <t>HAI-1988-3</t>
  </si>
  <si>
    <t>81e0921b-1e42-11e4-b4cd-db5882bf8def</t>
  </si>
  <si>
    <t>Avril</t>
  </si>
  <si>
    <t>Popular Protest, without Foreign Support</t>
  </si>
  <si>
    <t>82骞?539</t>
  </si>
  <si>
    <t>HAI-1990-1</t>
  </si>
  <si>
    <t>81e0921c-1e42-11e4-b4cd-db5882bf8def</t>
  </si>
  <si>
    <t>Abraham</t>
  </si>
  <si>
    <t>https://urldefense.proofpoint.com/v2/url?u=http-3A__dbpedia.org_resource_H-25C3-25A9rard-5FAbraham&amp;d=BQID-g&amp;c=kbmfwr1Yojg42sGEpaQh5ofMHBeTl9EI2eaqQZhHbOU&amp;r=ZliGVSRwfirWoETOrKCh2RSnoygzVPWEk95Me9L-Kwo&amp;m=EaKyFx9mpkhPdFxsxzvW_fiM3jbYwM3xYLjVbSFoDAg&amp;s=iZkmgjNtCkklKJJvfoEJIpmIZtJpAQpjcuitCwvTeR4&amp;e=</t>
  </si>
  <si>
    <t>82骞?3</t>
  </si>
  <si>
    <t>HAI-1990-2</t>
  </si>
  <si>
    <t>81e0921d-1e42-11e4-b4cd-db5882bf8def</t>
  </si>
  <si>
    <t>Pascal-Troillet</t>
  </si>
  <si>
    <t>https://urldefense.proofpoint.com/v2/url?u=http-3A__dbpedia.org_resource_Ertha-5FPascal-2DTrouillot&amp;d=BQID-g&amp;c=kbmfwr1Yojg42sGEpaQh5ofMHBeTl9EI2eaqQZhHbOU&amp;r=ZliGVSRwfirWoETOrKCh2RSnoygzVPWEk95Me9L-Kwo&amp;m=EaKyFx9mpkhPdFxsxzvW_fiM3jbYwM3xYLjVbSFoDAg&amp;s=RdIh-iICHUv6O58EQNWRMtNFnQw4YksjFNKva1NJpK4&amp;e=</t>
  </si>
  <si>
    <t>82骞?331</t>
  </si>
  <si>
    <t>HAI-1991-1</t>
  </si>
  <si>
    <t>81e0921e-1e42-11e4-b4cd-db5882bf8def</t>
  </si>
  <si>
    <t>Aristide</t>
  </si>
  <si>
    <t>https://urldefense.proofpoint.com/v2/url?u=http-3A__dbpedia.org_resource_Jean-2DBertrand-5FAristide&amp;d=BQID-g&amp;c=kbmfwr1Yojg42sGEpaQh5ofMHBeTl9EI2eaqQZhHbOU&amp;r=ZliGVSRwfirWoETOrKCh2RSnoygzVPWEk95Me9L-Kwo&amp;m=EaKyFx9mpkhPdFxsxzvW_fiM3jbYwM3xYLjVbSFoDAg&amp;s=40wDBiN8Dh-qsPjeD_zUn42vKAJcNS9P9SphKaiFOGs&amp;e=</t>
  </si>
  <si>
    <t>82骞?235</t>
  </si>
  <si>
    <t>HAI-1991-2</t>
  </si>
  <si>
    <t>81e0c2ee-1e42-11e4-b4cd-db5882bf8def</t>
  </si>
  <si>
    <t>Cedras</t>
  </si>
  <si>
    <t>Foreign</t>
  </si>
  <si>
    <t>Removed through Threat of Foreign Force</t>
  </si>
  <si>
    <t>82骞?1110</t>
  </si>
  <si>
    <t>HAI-1994</t>
  </si>
  <si>
    <t>Foreign Imposition</t>
  </si>
  <si>
    <t>82骞?480</t>
  </si>
  <si>
    <t>HAI-1996</t>
  </si>
  <si>
    <t>81e0c2ef-1e42-11e4-b4cd-db5882bf8def</t>
  </si>
  <si>
    <t>Preval</t>
  </si>
  <si>
    <t>https://urldefense.proofpoint.com/v2/url?u=http-3A__dbpedia.org_resource_Ren-25C3-25A9-5FPr-25C3-25A9val&amp;d=BQID-g&amp;c=kbmfwr1Yojg42sGEpaQh5ofMHBeTl9EI2eaqQZhHbOU&amp;r=ZliGVSRwfirWoETOrKCh2RSnoygzVPWEk95Me9L-Kwo&amp;m=EaKyFx9mpkhPdFxsxzvW_fiM3jbYwM3xYLjVbSFoDAg&amp;s=h7ewpazo9SbQ-7YZcWBjqOjK08965Vrd_I2Kj599TGk&amp;e=</t>
  </si>
  <si>
    <t>82骞?1827</t>
  </si>
  <si>
    <t>HAI-2001</t>
  </si>
  <si>
    <t>Removed by Rebels, with Foreign Support</t>
  </si>
  <si>
    <t>82骞?1116</t>
  </si>
  <si>
    <t>HAI-2004</t>
  </si>
  <si>
    <t>81e0c2f0-1e42-11e4-b4cd-db5882bf8def</t>
  </si>
  <si>
    <t>Boniface Alexandre</t>
  </si>
  <si>
    <t>82骞?805</t>
  </si>
  <si>
    <t>HAI-2006</t>
  </si>
  <si>
    <t>82骞?1826</t>
  </si>
  <si>
    <t>HAI-2011</t>
  </si>
  <si>
    <t>824ff802-1e42-11e4-b4cd-db5882bf8def</t>
  </si>
  <si>
    <t>Martelly</t>
  </si>
  <si>
    <t>82骞?1327</t>
  </si>
  <si>
    <t>DOM-1874</t>
  </si>
  <si>
    <t>81e0c2f1-1e42-11e4-b4cd-db5882bf8def</t>
  </si>
  <si>
    <t>DOM</t>
  </si>
  <si>
    <t>Gonzalez</t>
  </si>
  <si>
    <t>1874-01-02</t>
  </si>
  <si>
    <t>1876-02-23</t>
  </si>
  <si>
    <t>92骞?782</t>
  </si>
  <si>
    <t>DOM-1876-1</t>
  </si>
  <si>
    <t>81e0c2f2-1e42-11e4-b4cd-db5882bf8def</t>
  </si>
  <si>
    <t>Villanueva</t>
  </si>
  <si>
    <t>1876-02-24</t>
  </si>
  <si>
    <t>1876-03-03</t>
  </si>
  <si>
    <t>92骞?8</t>
  </si>
  <si>
    <t>DOM-1876-2</t>
  </si>
  <si>
    <t>81e0f3c2-1e42-11e4-b4cd-db5882bf8def</t>
  </si>
  <si>
    <t>Espaillat</t>
  </si>
  <si>
    <t>1876-04-29</t>
  </si>
  <si>
    <t>1876-10-05</t>
  </si>
  <si>
    <t>92骞?159</t>
  </si>
  <si>
    <t>DOM-1876-3</t>
  </si>
  <si>
    <t>1876-12-09</t>
  </si>
  <si>
    <t>92骞?65</t>
  </si>
  <si>
    <t>DOM-1876-4</t>
  </si>
  <si>
    <t>Buenaventura Baez</t>
  </si>
  <si>
    <t>1876-12-26</t>
  </si>
  <si>
    <t>26dec1876</t>
  </si>
  <si>
    <t>1878-03-02</t>
  </si>
  <si>
    <t>1812-07-14</t>
  </si>
  <si>
    <t>14jul1812</t>
  </si>
  <si>
    <t>1884-03-14</t>
  </si>
  <si>
    <t>14mar1884</t>
  </si>
  <si>
    <t>https://urldefense.proofpoint.com/v2/url?u=http-3A__dbpedia.org_resource_Buenaventura-5FB-25C3-25A1ez&amp;d=BQID-g&amp;c=kbmfwr1Yojg42sGEpaQh5ofMHBeTl9EI2eaqQZhHbOU&amp;r=ZliGVSRwfirWoETOrKCh2RSnoygzVPWEk95Me9L-Kwo&amp;m=EaKyFx9mpkhPdFxsxzvW_fiM3jbYwM3xYLjVbSFoDAg&amp;s=BB0NoTztXPjJv_-VzVIsQU7ReKv8HdKXcPFxUvG2w68&amp;e=</t>
  </si>
  <si>
    <t>92骞?431</t>
  </si>
  <si>
    <t>DOM-1878-1</t>
  </si>
  <si>
    <t>81e0f3c3-1e42-11e4-b4cd-db5882bf8def</t>
  </si>
  <si>
    <t>Guillermo</t>
  </si>
  <si>
    <t>1878-03-05</t>
  </si>
  <si>
    <t>1878-07-06</t>
  </si>
  <si>
    <t>06jul1878</t>
  </si>
  <si>
    <t>92骞?123</t>
  </si>
  <si>
    <t>DOM-1878-2</t>
  </si>
  <si>
    <t>1878-09-02</t>
  </si>
  <si>
    <t>92骞?58</t>
  </si>
  <si>
    <t>DOM-1878-3</t>
  </si>
  <si>
    <t>1971ace8-3bbd-11e5-afeb-eb6f07f9fec7</t>
  </si>
  <si>
    <t>del Rosario de Castro</t>
  </si>
  <si>
    <t>1878-09-07</t>
  </si>
  <si>
    <t>1878-09-29</t>
  </si>
  <si>
    <t>92骞?22</t>
  </si>
  <si>
    <t>DOM-1878-4</t>
  </si>
  <si>
    <t>1878-09-30</t>
  </si>
  <si>
    <t>1879-12-06</t>
  </si>
  <si>
    <t>92骞?432</t>
  </si>
  <si>
    <t>DOM-1879</t>
  </si>
  <si>
    <t>81e0f3c4-1e42-11e4-b4cd-db5882bf8def</t>
  </si>
  <si>
    <t>Luperon</t>
  </si>
  <si>
    <t>1880-09-01</t>
  </si>
  <si>
    <t>https://urldefense.proofpoint.com/v2/url?u=http-3A__dbpedia.org_resource_Gregorio-5FLuper-25C3-25B3n&amp;d=BQID-g&amp;c=kbmfwr1Yojg42sGEpaQh5ofMHBeTl9EI2eaqQZhHbOU&amp;r=ZliGVSRwfirWoETOrKCh2RSnoygzVPWEk95Me9L-Kwo&amp;m=EaKyFx9mpkhPdFxsxzvW_fiM3jbYwM3xYLjVbSFoDAg&amp;s=WmOt3SZlpSgQAdxLDfoVa2G3-wRaC6UzNybyIpDbl5M&amp;e=</t>
  </si>
  <si>
    <t>92骞?270</t>
  </si>
  <si>
    <t>DOM-1880</t>
  </si>
  <si>
    <t>81e0f3c5-1e42-11e4-b4cd-db5882bf8def</t>
  </si>
  <si>
    <t>de Merino</t>
  </si>
  <si>
    <t>1882-09-01</t>
  </si>
  <si>
    <t>92骞?730</t>
  </si>
  <si>
    <t>DOM-1882</t>
  </si>
  <si>
    <t>81e0f3c6-1e42-11e4-b4cd-db5882bf8def</t>
  </si>
  <si>
    <t>Heureaux</t>
  </si>
  <si>
    <t>1884-09-01</t>
  </si>
  <si>
    <t>1845-10-21</t>
  </si>
  <si>
    <t>21oct1845</t>
  </si>
  <si>
    <t>1899-07-26</t>
  </si>
  <si>
    <t>26jul1899</t>
  </si>
  <si>
    <t>https://urldefense.proofpoint.com/v2/url?u=http-3A__dbpedia.org_resource_Ulises-5FHeureaux&amp;d=BQID-g&amp;c=kbmfwr1Yojg42sGEpaQh5ofMHBeTl9EI2eaqQZhHbOU&amp;r=ZliGVSRwfirWoETOrKCh2RSnoygzVPWEk95Me9L-Kwo&amp;m=EaKyFx9mpkhPdFxsxzvW_fiM3jbYwM3xYLjVbSFoDAg&amp;s=GXOlnogmB_n6YQ3xd-edcQu790UaVyKwjQBLJ2jNEac&amp;e=</t>
  </si>
  <si>
    <t>92骞?731</t>
  </si>
  <si>
    <t>DOM-1884</t>
  </si>
  <si>
    <t>81e0f3c7-1e42-11e4-b4cd-db5882bf8def</t>
  </si>
  <si>
    <t>Billini</t>
  </si>
  <si>
    <t>1885-05-16</t>
  </si>
  <si>
    <t>92骞?257</t>
  </si>
  <si>
    <t>DOM-1885</t>
  </si>
  <si>
    <t>81e12496-1e42-11e4-b4cd-db5882bf8def</t>
  </si>
  <si>
    <t>Woss y Gil</t>
  </si>
  <si>
    <t>1887-01-06</t>
  </si>
  <si>
    <t>92骞?600</t>
  </si>
  <si>
    <t>DOM-1887</t>
  </si>
  <si>
    <t>92骞?4584</t>
  </si>
  <si>
    <t>DOM-1899-1</t>
  </si>
  <si>
    <t>81e12497-1e42-11e4-b4cd-db5882bf8def</t>
  </si>
  <si>
    <t>Figuereo</t>
  </si>
  <si>
    <t>1899-07-27</t>
  </si>
  <si>
    <t>1899-08-31</t>
  </si>
  <si>
    <t>92骞?35</t>
  </si>
  <si>
    <t>DOM-1899-2</t>
  </si>
  <si>
    <t>81e12498-1e42-11e4-b4cd-db5882bf8def</t>
  </si>
  <si>
    <t>Vasquez</t>
  </si>
  <si>
    <t>1899-09-01</t>
  </si>
  <si>
    <t>1899-11-14</t>
  </si>
  <si>
    <t>1860-10-22</t>
  </si>
  <si>
    <t>22oct1860</t>
  </si>
  <si>
    <t>Cousin of Caceres%81e1556a-1e42-11e4-b4cd-db5882bf8def</t>
  </si>
  <si>
    <t>92骞?74</t>
  </si>
  <si>
    <t>DOM-1899-3</t>
  </si>
  <si>
    <t>81e12499-1e42-11e4-b4cd-db5882bf8def</t>
  </si>
  <si>
    <t>Jimenez</t>
  </si>
  <si>
    <t>1899-11-15</t>
  </si>
  <si>
    <t>92骞?898</t>
  </si>
  <si>
    <t>DOM-1902</t>
  </si>
  <si>
    <t>92骞?351</t>
  </si>
  <si>
    <t>DOM-1903-1</t>
  </si>
  <si>
    <t>92骞?200</t>
  </si>
  <si>
    <t>DOM-1903-2</t>
  </si>
  <si>
    <t>81e1249a-1e42-11e4-b4cd-db5882bf8def</t>
  </si>
  <si>
    <t>Morales</t>
  </si>
  <si>
    <t>DOM-1905</t>
  </si>
  <si>
    <t>81e1556a-1e42-11e4-b4cd-db5882bf8def</t>
  </si>
  <si>
    <t>Caceres</t>
  </si>
  <si>
    <t>1866-12-15</t>
  </si>
  <si>
    <t>15dec1866</t>
  </si>
  <si>
    <t>Cousin of Vasquez%81e12498-1e42-11e4-b4cd-db5882bf8def</t>
  </si>
  <si>
    <t>92骞?2155</t>
  </si>
  <si>
    <t>DOM-1911</t>
  </si>
  <si>
    <t>81e1556b-1e42-11e4-b4cd-db5882bf8def</t>
  </si>
  <si>
    <t>Victoria</t>
  </si>
  <si>
    <t>92骞?362</t>
  </si>
  <si>
    <t>DOM-1912</t>
  </si>
  <si>
    <t>81e1556c-1e42-11e4-b4cd-db5882bf8def</t>
  </si>
  <si>
    <t>Nouel y Bobadilla</t>
  </si>
  <si>
    <t>92骞?120</t>
  </si>
  <si>
    <t>DOM-1913</t>
  </si>
  <si>
    <t>81e1556d-1e42-11e4-b4cd-db5882bf8def</t>
  </si>
  <si>
    <t>Bordas y Valdes</t>
  </si>
  <si>
    <t>92骞?501</t>
  </si>
  <si>
    <t>DOM-1914-1</t>
  </si>
  <si>
    <t>81e1556e-1e42-11e4-b4cd-db5882bf8def</t>
  </si>
  <si>
    <t>Ramon Baez</t>
  </si>
  <si>
    <t>Son of Buenaventura Baez%81de4823-1e42-11e4-b4cd-db5882bf8def</t>
  </si>
  <si>
    <t>92骞?100</t>
  </si>
  <si>
    <t>DOM-1914-2</t>
  </si>
  <si>
    <t>92骞?520</t>
  </si>
  <si>
    <t>DOM-1924</t>
  </si>
  <si>
    <t>92骞?2056</t>
  </si>
  <si>
    <t>DOM-1930-1</t>
  </si>
  <si>
    <t>81e1863e-1e42-11e4-b4cd-db5882bf8def</t>
  </si>
  <si>
    <t>Estrella Urena</t>
  </si>
  <si>
    <t>92骞?167</t>
  </si>
  <si>
    <t>DOM-1930-2</t>
  </si>
  <si>
    <t>81e1863f-1e42-11e4-b4cd-db5882bf8def</t>
  </si>
  <si>
    <t>Rafel Trujillo</t>
  </si>
  <si>
    <t>1891-10-24</t>
  </si>
  <si>
    <t>24oct1891</t>
  </si>
  <si>
    <t>https://urldefense.proofpoint.com/v2/url?u=http-3A__dbpedia.org_resource_Rafael-5FTrujillo&amp;d=BQID-g&amp;c=kbmfwr1Yojg42sGEpaQh5ofMHBeTl9EI2eaqQZhHbOU&amp;r=ZliGVSRwfirWoETOrKCh2RSnoygzVPWEk95Me9L-Kwo&amp;m=EaKyFx9mpkhPdFxsxzvW_fiM3jbYwM3xYLjVbSFoDAg&amp;s=pQrJNBAuvPHTuw_XYf0hy4QgVrDQQKTdyDToro0iPcc&amp;e=</t>
  </si>
  <si>
    <t>92骞?11245</t>
  </si>
  <si>
    <t>DOM-1961</t>
  </si>
  <si>
    <t>81e1b71c-1e42-11e4-b4cd-db5882bf8def</t>
  </si>
  <si>
    <t>Balaguer</t>
  </si>
  <si>
    <t>92骞?232</t>
  </si>
  <si>
    <t>DOM-1962-1</t>
  </si>
  <si>
    <t>81e1b71d-1e42-11e4-b4cd-db5882bf8def</t>
  </si>
  <si>
    <t>Echavarria</t>
  </si>
  <si>
    <t>92骞?2</t>
  </si>
  <si>
    <t>DOM-1962-2</t>
  </si>
  <si>
    <t>81e1e7f0-1e42-11e4-b4cd-db5882bf8def</t>
  </si>
  <si>
    <t>Filiberto Bonnelly</t>
  </si>
  <si>
    <t>https://urldefense.proofpoint.com/v2/url?u=http-3A__dbpedia.org_resource_Rafael-5FFiliberto-5FBonnelly&amp;d=BQID-g&amp;c=kbmfwr1Yojg42sGEpaQh5ofMHBeTl9EI2eaqQZhHbOU&amp;r=ZliGVSRwfirWoETOrKCh2RSnoygzVPWEk95Me9L-Kwo&amp;m=EaKyFx9mpkhPdFxsxzvW_fiM3jbYwM3xYLjVbSFoDAg&amp;s=hKzR6Gjw8Y7ZmZIkOex4uB9x1VlfW8LJVwe_wXFJfMQ&amp;e=</t>
  </si>
  <si>
    <t>92骞?404</t>
  </si>
  <si>
    <t>DOM-1963-1</t>
  </si>
  <si>
    <t>81e1e7f1-1e42-11e4-b4cd-db5882bf8def</t>
  </si>
  <si>
    <t>Bosch</t>
  </si>
  <si>
    <t>https://urldefense.proofpoint.com/v2/url?u=http-3A__dbpedia.org_resource_Juan-5FBosch&amp;d=BQID-g&amp;c=kbmfwr1Yojg42sGEpaQh5ofMHBeTl9EI2eaqQZhHbOU&amp;r=ZliGVSRwfirWoETOrKCh2RSnoygzVPWEk95Me9L-Kwo&amp;m=EaKyFx9mpkhPdFxsxzvW_fiM3jbYwM3xYLjVbSFoDAg&amp;s=DPDfyKj32XhJnW5qD_oC1ZK70ksEu8jJjLy9uHC91D0&amp;e=</t>
  </si>
  <si>
    <t>92骞?210</t>
  </si>
  <si>
    <t>DOM-1963-2</t>
  </si>
  <si>
    <t>81e218c4-1e42-11e4-b4cd-db5882bf8def</t>
  </si>
  <si>
    <t>de los Santos</t>
  </si>
  <si>
    <t>92骞?87</t>
  </si>
  <si>
    <t>DOM-1963-3</t>
  </si>
  <si>
    <t>81e218c5-1e42-11e4-b4cd-db5882bf8def</t>
  </si>
  <si>
    <t>Cabral</t>
  </si>
  <si>
    <t>92骞?490</t>
  </si>
  <si>
    <t>DOM-1965-1</t>
  </si>
  <si>
    <t>81e24998-1e42-11e4-b4cd-db5882bf8def</t>
  </si>
  <si>
    <t>Molina Urena</t>
  </si>
  <si>
    <t>DOM-1965-2</t>
  </si>
  <si>
    <t>81e24999-1e42-11e4-b4cd-db5882bf8def</t>
  </si>
  <si>
    <t>Bartolome Benoit</t>
  </si>
  <si>
    <t>92骞?10</t>
  </si>
  <si>
    <t>DOM-1965-3</t>
  </si>
  <si>
    <t>81e27a6c-1e42-11e4-b4cd-db5882bf8def</t>
  </si>
  <si>
    <t>Berreras</t>
  </si>
  <si>
    <t>92骞?115</t>
  </si>
  <si>
    <t>DOM-1965-4</t>
  </si>
  <si>
    <t>81e27a6d-1e42-11e4-b4cd-db5882bf8def</t>
  </si>
  <si>
    <t>Godoy</t>
  </si>
  <si>
    <t>92骞?301</t>
  </si>
  <si>
    <t>DOM-1966</t>
  </si>
  <si>
    <t>92骞?4383</t>
  </si>
  <si>
    <t>DOM-1978</t>
  </si>
  <si>
    <t>81e2ab40-1e42-11e4-b4cd-db5882bf8def</t>
  </si>
  <si>
    <t>Guzman Fernandez</t>
  </si>
  <si>
    <t>Suicide</t>
  </si>
  <si>
    <t>https://urldefense.proofpoint.com/v2/url?u=http-3A__dbpedia.org_resource_Antonio-5FGuzm-25C3-25A1n-5FFern-25C3-25A1ndez&amp;d=BQID-g&amp;c=kbmfwr1Yojg42sGEpaQh5ofMHBeTl9EI2eaqQZhHbOU&amp;r=ZliGVSRwfirWoETOrKCh2RSnoygzVPWEk95Me9L-Kwo&amp;m=EaKyFx9mpkhPdFxsxzvW_fiM3jbYwM3xYLjVbSFoDAg&amp;s=sEhXtA3WEAQLnFqDgindy8D-Ptqrhso2YiMt5sSQ0H4&amp;e=</t>
  </si>
  <si>
    <t>92骞?1464</t>
  </si>
  <si>
    <t>DOM-1982-1</t>
  </si>
  <si>
    <t>81e2ab41-1e42-11e4-b4cd-db5882bf8def</t>
  </si>
  <si>
    <t>Majluta Azar</t>
  </si>
  <si>
    <t>https://urldefense.proofpoint.com/v2/url?u=http-3A__dbpedia.org_resource_Jacobo-5FMajluta-5FAzar&amp;d=BQID-g&amp;c=kbmfwr1Yojg42sGEpaQh5ofMHBeTl9EI2eaqQZhHbOU&amp;r=ZliGVSRwfirWoETOrKCh2RSnoygzVPWEk95Me9L-Kwo&amp;m=EaKyFx9mpkhPdFxsxzvW_fiM3jbYwM3xYLjVbSFoDAg&amp;s=iCpecmX-SDdFfXU515yD0ZGKKV8A7E3bwOeJbFp-N9E&amp;e=</t>
  </si>
  <si>
    <t>92骞?43</t>
  </si>
  <si>
    <t>DOM-1982-2</t>
  </si>
  <si>
    <t>81e2dc14-1e42-11e4-b4cd-db5882bf8def</t>
  </si>
  <si>
    <t>Blanco</t>
  </si>
  <si>
    <t>https://urldefense.proofpoint.com/v2/url?u=http-3A__dbpedia.org_resource_Salvador-5FJorge-5FBlanco&amp;d=BQID-g&amp;c=kbmfwr1Yojg42sGEpaQh5ofMHBeTl9EI2eaqQZhHbOU&amp;r=ZliGVSRwfirWoETOrKCh2RSnoygzVPWEk95Me9L-Kwo&amp;m=EaKyFx9mpkhPdFxsxzvW_fiM3jbYwM3xYLjVbSFoDAg&amp;s=kmsHgurVKNJag-5E0iMi2V9hb-vtCF8I-ZJsiHKP0js&amp;e=</t>
  </si>
  <si>
    <t>92骞?1461</t>
  </si>
  <si>
    <t>DOM-1986</t>
  </si>
  <si>
    <t>92骞?3653</t>
  </si>
  <si>
    <t>DOM-1996</t>
  </si>
  <si>
    <t>81e2dc15-1e42-11e4-b4cd-db5882bf8def</t>
  </si>
  <si>
    <t>Fernandez Reyna</t>
  </si>
  <si>
    <t>DOM-2000</t>
  </si>
  <si>
    <t>81e30ce8-1e42-11e4-b4cd-db5882bf8def</t>
  </si>
  <si>
    <t>Hipolito Mejia</t>
  </si>
  <si>
    <t>https://urldefense.proofpoint.com/v2/url?u=http-3A__dbpedia.org_resource_Hip-25C3-25B3lito-5FMej-25C3-25ADa&amp;d=BQID-g&amp;c=kbmfwr1Yojg42sGEpaQh5ofMHBeTl9EI2eaqQZhHbOU&amp;r=ZliGVSRwfirWoETOrKCh2RSnoygzVPWEk95Me9L-Kwo&amp;m=EaKyFx9mpkhPdFxsxzvW_fiM3jbYwM3xYLjVbSFoDAg&amp;s=iMBCmZTKv8BqgOW4EOnCT6atvdNxfz0F4RbrcQ0Utzo&amp;e=</t>
  </si>
  <si>
    <t>92骞?1460</t>
  </si>
  <si>
    <t>DOM-2004</t>
  </si>
  <si>
    <t>92骞?2922</t>
  </si>
  <si>
    <t>DOM-2012</t>
  </si>
  <si>
    <t>2b37a44e-3481-11e4-8dba-bbcd9ed46413</t>
  </si>
  <si>
    <t>Medina</t>
  </si>
  <si>
    <t>92骞?1232</t>
  </si>
  <si>
    <t>JAM-1962</t>
  </si>
  <si>
    <t>81e30ce9-1e42-11e4-b4cd-db5882bf8def</t>
  </si>
  <si>
    <t>JAM</t>
  </si>
  <si>
    <t>Bustamante</t>
  </si>
  <si>
    <t>1884-02-24</t>
  </si>
  <si>
    <t>24feb1884</t>
  </si>
  <si>
    <t>54骞?1661</t>
  </si>
  <si>
    <t>JAM-1967-1</t>
  </si>
  <si>
    <t>81e30cea-1e42-11e4-b4cd-db5882bf8def</t>
  </si>
  <si>
    <t>Sangster</t>
  </si>
  <si>
    <t>https://urldefense.proofpoint.com/v2/url?u=http-3A__dbpedia.org_resource_Donald-5FSangster&amp;d=BQID-g&amp;c=kbmfwr1Yojg42sGEpaQh5ofMHBeTl9EI2eaqQZhHbOU&amp;r=ZliGVSRwfirWoETOrKCh2RSnoygzVPWEk95Me9L-Kwo&amp;m=EaKyFx9mpkhPdFxsxzvW_fiM3jbYwM3xYLjVbSFoDAg&amp;s=muc8xZI3w1Ukr3K4Ovkb-hUDAtrmkaPcXCO-qW1qYlg&amp;e=</t>
  </si>
  <si>
    <t>54骞?48</t>
  </si>
  <si>
    <t>JAM-1967-2</t>
  </si>
  <si>
    <t>81e30ceb-1e42-11e4-b4cd-db5882bf8def</t>
  </si>
  <si>
    <t>Shearer</t>
  </si>
  <si>
    <t>https://urldefense.proofpoint.com/v2/url?u=http-3A__dbpedia.org_resource_Hugh-5FShearer&amp;d=BQID-g&amp;c=kbmfwr1Yojg42sGEpaQh5ofMHBeTl9EI2eaqQZhHbOU&amp;r=ZliGVSRwfirWoETOrKCh2RSnoygzVPWEk95Me9L-Kwo&amp;m=EaKyFx9mpkhPdFxsxzvW_fiM3jbYwM3xYLjVbSFoDAg&amp;s=AyaT12_348XJ_dM9aTHuvms46jWhWFRfDegKGa2O7Ek&amp;e=</t>
  </si>
  <si>
    <t>54骞?1787</t>
  </si>
  <si>
    <t>JAM-1972</t>
  </si>
  <si>
    <t>81e30cec-1e42-11e4-b4cd-db5882bf8def</t>
  </si>
  <si>
    <t>Manley</t>
  </si>
  <si>
    <t>https://urldefense.proofpoint.com/v2/url?u=http-3A__dbpedia.org_resource_Michael-5FManley&amp;d=BQID-g&amp;c=kbmfwr1Yojg42sGEpaQh5ofMHBeTl9EI2eaqQZhHbOU&amp;r=ZliGVSRwfirWoETOrKCh2RSnoygzVPWEk95Me9L-Kwo&amp;m=EaKyFx9mpkhPdFxsxzvW_fiM3jbYwM3xYLjVbSFoDAg&amp;s=s6CjImC55fxzRGqBIGAnp21HGlYz2HZlWsMtFf6vBLk&amp;e=</t>
  </si>
  <si>
    <t>54骞?3166</t>
  </si>
  <si>
    <t>JAM-1980</t>
  </si>
  <si>
    <t>81e33dbc-1e42-11e4-b4cd-db5882bf8def</t>
  </si>
  <si>
    <t>Seaga</t>
  </si>
  <si>
    <t>54骞?3023</t>
  </si>
  <si>
    <t>JAM-1989</t>
  </si>
  <si>
    <t>54骞?1144</t>
  </si>
  <si>
    <t>JAM-1992</t>
  </si>
  <si>
    <t>81e33dbd-1e42-11e4-b4cd-db5882bf8def</t>
  </si>
  <si>
    <t>Patterson</t>
  </si>
  <si>
    <t>54骞?5113</t>
  </si>
  <si>
    <t>JAM-2006</t>
  </si>
  <si>
    <t>2b37a44f-3481-11e4-8dba-bbcd9ed46413</t>
  </si>
  <si>
    <t>Simpson-Miller</t>
  </si>
  <si>
    <t>54骞?530</t>
  </si>
  <si>
    <t>JAM-2007</t>
  </si>
  <si>
    <t>825028d2-1e42-11e4-b4cd-db5882bf8def</t>
  </si>
  <si>
    <t>Golding</t>
  </si>
  <si>
    <t>54骞?1503</t>
  </si>
  <si>
    <t>JAM-2011</t>
  </si>
  <si>
    <t>825028d3-1e42-11e4-b4cd-db5882bf8def</t>
  </si>
  <si>
    <t>Holness</t>
  </si>
  <si>
    <t>54骞?74</t>
  </si>
  <si>
    <t>JAM-2012</t>
  </si>
  <si>
    <t>54骞?1456</t>
  </si>
  <si>
    <t>TRI-1962</t>
  </si>
  <si>
    <t>81e33dbe-1e42-11e4-b4cd-db5882bf8def</t>
  </si>
  <si>
    <t>TRI</t>
  </si>
  <si>
    <t>Williams</t>
  </si>
  <si>
    <t>https://urldefense.proofpoint.com/v2/url?u=http-3A__dbpedia.org_resource_Eric-5FWilliams&amp;d=BQID-g&amp;c=kbmfwr1Yojg42sGEpaQh5ofMHBeTl9EI2eaqQZhHbOU&amp;r=ZliGVSRwfirWoETOrKCh2RSnoygzVPWEk95Me9L-Kwo&amp;m=EaKyFx9mpkhPdFxsxzvW_fiM3jbYwM3xYLjVbSFoDAg&amp;s=RIrzn5WtHIHWfMcqi-uXuLM0ti_cafmHukHwTkwLeyk&amp;e=</t>
  </si>
  <si>
    <t>TRI-1981</t>
  </si>
  <si>
    <t>81e33dbf-1e42-11e4-b4cd-db5882bf8def</t>
  </si>
  <si>
    <t>Chambers</t>
  </si>
  <si>
    <t>TRI-1986</t>
  </si>
  <si>
    <t>81e33dc0-1e42-11e4-b4cd-db5882bf8def</t>
  </si>
  <si>
    <t>Robinson</t>
  </si>
  <si>
    <t>https://urldefense.proofpoint.com/v2/url?u=http-3A__dbpedia.org_resource_A.-5FN.-5FR.-5FRobinson&amp;d=BQID-g&amp;c=kbmfwr1Yojg42sGEpaQh5ofMHBeTl9EI2eaqQZhHbOU&amp;r=ZliGVSRwfirWoETOrKCh2RSnoygzVPWEk95Me9L-Kwo&amp;m=EaKyFx9mpkhPdFxsxzvW_fiM3jbYwM3xYLjVbSFoDAg&amp;s=CF3mZyeD5v02cz5Jzjjm349_BH_xd6Ti20RwzrT91Y4&amp;e=</t>
  </si>
  <si>
    <t>TRI-1991</t>
  </si>
  <si>
    <t>81e36e90-1e42-11e4-b4cd-db5882bf8def</t>
  </si>
  <si>
    <t>Manning</t>
  </si>
  <si>
    <t>https://urldefense.proofpoint.com/v2/url?u=http-3A__dbpedia.org_resource_Patrick-5FManning&amp;d=BQID-g&amp;c=kbmfwr1Yojg42sGEpaQh5ofMHBeTl9EI2eaqQZhHbOU&amp;r=ZliGVSRwfirWoETOrKCh2RSnoygzVPWEk95Me9L-Kwo&amp;m=EaKyFx9mpkhPdFxsxzvW_fiM3jbYwM3xYLjVbSFoDAg&amp;s=mdYHXGFzgbyKfDbpcggwlrGkdkvSVVKI4-euhNx5FkE&amp;e=</t>
  </si>
  <si>
    <t>TRI-1995</t>
  </si>
  <si>
    <t>81e36e91-1e42-11e4-b4cd-db5882bf8def</t>
  </si>
  <si>
    <t>Panday</t>
  </si>
  <si>
    <t>TRI-2001</t>
  </si>
  <si>
    <t>TRI-2010</t>
  </si>
  <si>
    <t>825028d4-1e42-11e4-b4cd-db5882bf8def</t>
  </si>
  <si>
    <t>Kamla Persad-Bissessar</t>
  </si>
  <si>
    <t>TRI-2015</t>
  </si>
  <si>
    <t>43f5ae9d-de6a-11e5-ba44-bb6d7c1a9a58</t>
  </si>
  <si>
    <t>Keith Rowley</t>
  </si>
  <si>
    <t>BAR-1966</t>
  </si>
  <si>
    <t>81e36e92-1e42-11e4-b4cd-db5882bf8def</t>
  </si>
  <si>
    <t>BAR</t>
  </si>
  <si>
    <t>Barrow</t>
  </si>
  <si>
    <t>https://urldefense.proofpoint.com/v2/url?u=http-3A__dbpedia.org_resource_Errol-5FBarrow&amp;d=BQID-g&amp;c=kbmfwr1Yojg42sGEpaQh5ofMHBeTl9EI2eaqQZhHbOU&amp;r=ZliGVSRwfirWoETOrKCh2RSnoygzVPWEk95Me9L-Kwo&amp;m=EaKyFx9mpkhPdFxsxzvW_fiM3jbYwM3xYLjVbSFoDAg&amp;s=zfehmNFVwzD5WcOPESfRI0HFdXYJXUpASPMDk2wP69E&amp;e=</t>
  </si>
  <si>
    <t>BAR-1976</t>
  </si>
  <si>
    <t>81e36e93-1e42-11e4-b4cd-db5882bf8def</t>
  </si>
  <si>
    <t>Adams</t>
  </si>
  <si>
    <t>BAR-1985</t>
  </si>
  <si>
    <t>81e36e94-1e42-11e4-b4cd-db5882bf8def</t>
  </si>
  <si>
    <t>St. John</t>
  </si>
  <si>
    <t>https://urldefense.proofpoint.com/v2/url?u=http-3A__dbpedia.org_resource_Harold-5FBernard-5FSt.-5FJohn&amp;d=BQID-g&amp;c=kbmfwr1Yojg42sGEpaQh5ofMHBeTl9EI2eaqQZhHbOU&amp;r=ZliGVSRwfirWoETOrKCh2RSnoygzVPWEk95Me9L-Kwo&amp;m=EaKyFx9mpkhPdFxsxzvW_fiM3jbYwM3xYLjVbSFoDAg&amp;s=TG5lpkuK6Ld3j1rRe2a52oZF2WsJLjyirLXFfBnKTmM&amp;e=</t>
  </si>
  <si>
    <t>BAR-1986</t>
  </si>
  <si>
    <t>BAR-1987</t>
  </si>
  <si>
    <t>81e39f6e-1e42-11e4-b4cd-db5882bf8def</t>
  </si>
  <si>
    <t>Sandiford</t>
  </si>
  <si>
    <t>https://urldefense.proofpoint.com/v2/url?u=http-3A__dbpedia.org_resource_Lloyd-5FErskine-5FSandiford&amp;d=BQID-g&amp;c=kbmfwr1Yojg42sGEpaQh5ofMHBeTl9EI2eaqQZhHbOU&amp;r=ZliGVSRwfirWoETOrKCh2RSnoygzVPWEk95Me9L-Kwo&amp;m=EaKyFx9mpkhPdFxsxzvW_fiM3jbYwM3xYLjVbSFoDAg&amp;s=S-zlQGCxWoXeeKMCcLoxb5eBsx7aZtyVwmRF0tqPjsY&amp;e=</t>
  </si>
  <si>
    <t>BAR-1994</t>
  </si>
  <si>
    <t>81e39f6f-1e42-11e4-b4cd-db5882bf8def</t>
  </si>
  <si>
    <t>BAR-2008</t>
  </si>
  <si>
    <t>825028d5-1e42-11e4-b4cd-db5882bf8def</t>
  </si>
  <si>
    <t>BAR-2010</t>
  </si>
  <si>
    <t>825028d6-1e42-11e4-b4cd-db5882bf8def</t>
  </si>
  <si>
    <t>Stuart</t>
  </si>
  <si>
    <t>MEX-1872</t>
  </si>
  <si>
    <t>81e39f70-1e42-11e4-b4cd-db5882bf8def</t>
  </si>
  <si>
    <t>MEX</t>
  </si>
  <si>
    <t>de Tejada</t>
  </si>
  <si>
    <t>1872-07-19</t>
  </si>
  <si>
    <t>1876-11-21</t>
  </si>
  <si>
    <t>1825-04-25</t>
  </si>
  <si>
    <t>25apr1825</t>
  </si>
  <si>
    <t>1889-04-21</t>
  </si>
  <si>
    <t>21apr1889</t>
  </si>
  <si>
    <t>https://urldefense.proofpoint.com/v2/url?u=http-3A__dbpedia.org_resource_Sebasti-25C3-25A1n-5FLerdo-5Fde-5FTejada&amp;d=BQID-g&amp;c=kbmfwr1Yojg42sGEpaQh5ofMHBeTl9EI2eaqQZhHbOU&amp;r=ZliGVSRwfirWoETOrKCh2RSnoygzVPWEk95Me9L-Kwo&amp;m=EaKyFx9mpkhPdFxsxzvW_fiM3jbYwM3xYLjVbSFoDAg&amp;s=3WV_6DEw4gnfNP7y8HzDC93L-RoJHoBpJy2HrgulbpE&amp;e=</t>
  </si>
  <si>
    <t>108骞?1586</t>
  </si>
  <si>
    <t>MEX-1876</t>
  </si>
  <si>
    <t>81e39f71-1e42-11e4-b4cd-db5882bf8def</t>
  </si>
  <si>
    <t>Diaz</t>
  </si>
  <si>
    <t>1876-11-23</t>
  </si>
  <si>
    <t>1830-09-15</t>
  </si>
  <si>
    <t>15sep1830</t>
  </si>
  <si>
    <t>https://urldefense.proofpoint.com/v2/url?u=http-3A__dbpedia.org_resource_Porfirio-5FD-25C3-25ADaz&amp;d=BQID-g&amp;c=kbmfwr1Yojg42sGEpaQh5ofMHBeTl9EI2eaqQZhHbOU&amp;r=ZliGVSRwfirWoETOrKCh2RSnoygzVPWEk95Me9L-Kwo&amp;m=EaKyFx9mpkhPdFxsxzvW_fiM3jbYwM3xYLjVbSFoDAg&amp;s=aimBPbn3rxCKiOG9llJzEUriz0ix8JGH5ok_TrWbRdk&amp;e=</t>
  </si>
  <si>
    <t>108骞?12600</t>
  </si>
  <si>
    <t>MEX-1911-1</t>
  </si>
  <si>
    <t>81e39f72-1e42-11e4-b4cd-db5882bf8def</t>
  </si>
  <si>
    <t>de la Barra</t>
  </si>
  <si>
    <t>1863-06-16</t>
  </si>
  <si>
    <t>16jun1863</t>
  </si>
  <si>
    <t>https://urldefense.proofpoint.com/v2/url?u=http-3A__dbpedia.org_resource_Francisco-5FLe-25C3-25B3n-5Fde-5Fla-5FBarra&amp;d=BQID-g&amp;c=kbmfwr1Yojg42sGEpaQh5ofMHBeTl9EI2eaqQZhHbOU&amp;r=ZliGVSRwfirWoETOrKCh2RSnoygzVPWEk95Me9L-Kwo&amp;m=EaKyFx9mpkhPdFxsxzvW_fiM3jbYwM3xYLjVbSFoDAg&amp;s=CyMh6l9EK3uz_qSvjqh8O64EG5IKGPqLmt7okYU0uJk&amp;e=</t>
  </si>
  <si>
    <t>108骞?164</t>
  </si>
  <si>
    <t>MEX-1911-2</t>
  </si>
  <si>
    <t>81e3d042-1e42-11e4-b4cd-db5882bf8def</t>
  </si>
  <si>
    <t>Madero</t>
  </si>
  <si>
    <t>1873-10-30</t>
  </si>
  <si>
    <t>30oct1873</t>
  </si>
  <si>
    <t>https://urldefense.proofpoint.com/v2/url?u=http-3A__dbpedia.org_resource_Francisco-5FI.-5FMadero&amp;d=BQID-g&amp;c=kbmfwr1Yojg42sGEpaQh5ofMHBeTl9EI2eaqQZhHbOU&amp;r=ZliGVSRwfirWoETOrKCh2RSnoygzVPWEk95Me9L-Kwo&amp;m=EaKyFx9mpkhPdFxsxzvW_fiM3jbYwM3xYLjVbSFoDAg&amp;s=MNUhcppgKRoY0EQHvf_B1diYbwmHjaaUn7-v5nqQ9z0&amp;e=</t>
  </si>
  <si>
    <t>108骞?471</t>
  </si>
  <si>
    <t>MEX-1913</t>
  </si>
  <si>
    <t>81e3d043-1e42-11e4-b4cd-db5882bf8def</t>
  </si>
  <si>
    <t>Huerta</t>
  </si>
  <si>
    <t>1845-03-23</t>
  </si>
  <si>
    <t>23mar1845</t>
  </si>
  <si>
    <t>https://urldefense.proofpoint.com/v2/url?u=http-3A__dbpedia.org_resource_Victoriano-5FHuerta&amp;d=BQID-g&amp;c=kbmfwr1Yojg42sGEpaQh5ofMHBeTl9EI2eaqQZhHbOU&amp;r=ZliGVSRwfirWoETOrKCh2RSnoygzVPWEk95Me9L-Kwo&amp;m=EaKyFx9mpkhPdFxsxzvW_fiM3jbYwM3xYLjVbSFoDAg&amp;s=ml6TMrM7jsn1kse9igApGHgpCypkOqpLcbuDnp8e4TU&amp;e=</t>
  </si>
  <si>
    <t>108骞?511</t>
  </si>
  <si>
    <t>MEX-1915</t>
  </si>
  <si>
    <t>81e3d044-1e42-11e4-b4cd-db5882bf8def</t>
  </si>
  <si>
    <t>Carranza</t>
  </si>
  <si>
    <t>1859-12-29</t>
  </si>
  <si>
    <t>29dec1859</t>
  </si>
  <si>
    <t>https://urldefense.proofpoint.com/v2/url?u=http-3A__dbpedia.org_resource_Venustiano-5FCarranza&amp;d=BQID-g&amp;c=kbmfwr1Yojg42sGEpaQh5ofMHBeTl9EI2eaqQZhHbOU&amp;r=ZliGVSRwfirWoETOrKCh2RSnoygzVPWEk95Me9L-Kwo&amp;m=EaKyFx9mpkhPdFxsxzvW_fiM3jbYwM3xYLjVbSFoDAg&amp;s=SzGcmvqcyKKmwtaWlIT6is-CzQmWxzhd-GotAZSHVDE&amp;e=</t>
  </si>
  <si>
    <t>108骞?1661</t>
  </si>
  <si>
    <t>MEX-1920-1</t>
  </si>
  <si>
    <t>81e3d045-1e42-11e4-b4cd-db5882bf8def</t>
  </si>
  <si>
    <t>de la Huerta, A</t>
  </si>
  <si>
    <t>1881-05-26</t>
  </si>
  <si>
    <t>26may1881</t>
  </si>
  <si>
    <t>https://urldefense.proofpoint.com/v2/url?u=http-3A__dbpedia.org_resource_Adolfo-5Fde-5Fla-5FHuerta&amp;d=BQID-g&amp;c=kbmfwr1Yojg42sGEpaQh5ofMHBeTl9EI2eaqQZhHbOU&amp;r=ZliGVSRwfirWoETOrKCh2RSnoygzVPWEk95Me9L-Kwo&amp;m=EaKyFx9mpkhPdFxsxzvW_fiM3jbYwM3xYLjVbSFoDAg&amp;s=T-K422VDG3KZ35N1rZjDpPserpM0RNngZtfgafvjkcc&amp;e=</t>
  </si>
  <si>
    <t>108骞?191</t>
  </si>
  <si>
    <t>MEX-1920-2</t>
  </si>
  <si>
    <t>81e3d046-1e42-11e4-b4cd-db5882bf8def</t>
  </si>
  <si>
    <t>Obregon</t>
  </si>
  <si>
    <t>1890-02-19</t>
  </si>
  <si>
    <t>19feb1890</t>
  </si>
  <si>
    <t>https://urldefense.proofpoint.com/v2/url?u=http-3A__dbpedia.org_resource_-25C3-2581lvaro-5FObreg-25C3-25B3n&amp;d=BQID-g&amp;c=kbmfwr1Yojg42sGEpaQh5ofMHBeTl9EI2eaqQZhHbOU&amp;r=ZliGVSRwfirWoETOrKCh2RSnoygzVPWEk95Me9L-Kwo&amp;m=EaKyFx9mpkhPdFxsxzvW_fiM3jbYwM3xYLjVbSFoDAg&amp;s=ZrpFsS2C4xEm4iaxVlWaX1ii0UvGsqQAik4c4_KuieI&amp;e=</t>
  </si>
  <si>
    <t>108骞?1461</t>
  </si>
  <si>
    <t>MEX-1924</t>
  </si>
  <si>
    <t>81e3d047-1e42-11e4-b4cd-db5882bf8def</t>
  </si>
  <si>
    <t>Calles</t>
  </si>
  <si>
    <t>1877-09-25</t>
  </si>
  <si>
    <t>25sep1877</t>
  </si>
  <si>
    <t>https://urldefense.proofpoint.com/v2/url?u=http-3A__dbpedia.org_resource_Plutarco-5FEl-25C3-25ADas-5FCalles&amp;d=BQID-g&amp;c=kbmfwr1Yojg42sGEpaQh5ofMHBeTl9EI2eaqQZhHbOU&amp;r=ZliGVSRwfirWoETOrKCh2RSnoygzVPWEk95Me9L-Kwo&amp;m=EaKyFx9mpkhPdFxsxzvW_fiM3jbYwM3xYLjVbSFoDAg&amp;s=mH_CcLnrldV5top210pYxYNcfkFQrj5LsdoTTfl-xL8&amp;e=</t>
  </si>
  <si>
    <t>MEX-1928</t>
  </si>
  <si>
    <t>81e40116-1e42-11e4-b4cd-db5882bf8def</t>
  </si>
  <si>
    <t>Portes Gil</t>
  </si>
  <si>
    <t>1890-10-03</t>
  </si>
  <si>
    <t>03oct1890</t>
  </si>
  <si>
    <t>https://urldefense.proofpoint.com/v2/url?u=http-3A__dbpedia.org_resource_Emilio-5FPortes-5FGil&amp;d=BQID-g&amp;c=kbmfwr1Yojg42sGEpaQh5ofMHBeTl9EI2eaqQZhHbOU&amp;r=ZliGVSRwfirWoETOrKCh2RSnoygzVPWEk95Me9L-Kwo&amp;m=EaKyFx9mpkhPdFxsxzvW_fiM3jbYwM3xYLjVbSFoDAg&amp;s=hT9vu5_rsCQ5tD2lZcHN0rXnWMmLKeCRuYY_sYxeg2k&amp;e=</t>
  </si>
  <si>
    <t>108骞?431</t>
  </si>
  <si>
    <t>MEX-1930</t>
  </si>
  <si>
    <t>81e40117-1e42-11e4-b4cd-db5882bf8def</t>
  </si>
  <si>
    <t>Ortiz Rubio</t>
  </si>
  <si>
    <t>1877-03-10</t>
  </si>
  <si>
    <t>10mar1877</t>
  </si>
  <si>
    <t>https://urldefense.proofpoint.com/v2/url?u=http-3A__dbpedia.org_resource_Pascual-5FOrtiz-5FRubio&amp;d=BQID-g&amp;c=kbmfwr1Yojg42sGEpaQh5ofMHBeTl9EI2eaqQZhHbOU&amp;r=ZliGVSRwfirWoETOrKCh2RSnoygzVPWEk95Me9L-Kwo&amp;m=EaKyFx9mpkhPdFxsxzvW_fiM3jbYwM3xYLjVbSFoDAg&amp;s=6mazHh93zQ7KhZD52XTRSGZG8gpp9iL3ze6eHypfP6A&amp;e=</t>
  </si>
  <si>
    <t>108骞?942</t>
  </si>
  <si>
    <t>MEX-1932</t>
  </si>
  <si>
    <t>81e431ea-1e42-11e4-b4cd-db5882bf8def</t>
  </si>
  <si>
    <t>Rodriguez</t>
  </si>
  <si>
    <t>1889-05-12</t>
  </si>
  <si>
    <t>12may1889</t>
  </si>
  <si>
    <t>https://urldefense.proofpoint.com/v2/url?u=http-3A__dbpedia.org_resource_Abelardo-5FL.-5FRodr-25C3-25ADguez&amp;d=BQID-g&amp;c=kbmfwr1Yojg42sGEpaQh5ofMHBeTl9EI2eaqQZhHbOU&amp;r=ZliGVSRwfirWoETOrKCh2RSnoygzVPWEk95Me9L-Kwo&amp;m=EaKyFx9mpkhPdFxsxzvW_fiM3jbYwM3xYLjVbSFoDAg&amp;s=foodnJfQtvWMUPKTp0GbiHg856Gzre-7T8YSQpdv5Eg&amp;e=</t>
  </si>
  <si>
    <t>108骞?818</t>
  </si>
  <si>
    <t>MEX-1934</t>
  </si>
  <si>
    <t>81e431eb-1e42-11e4-b4cd-db5882bf8def</t>
  </si>
  <si>
    <t>Cardenas</t>
  </si>
  <si>
    <t>1895-05-21</t>
  </si>
  <si>
    <t>21may1895</t>
  </si>
  <si>
    <t>https://urldefense.proofpoint.com/v2/url?u=http-3A__dbpedia.org_resource_L-25C3-25A1zaro-5FC-25C3-25A1rdenas&amp;d=BQID-g&amp;c=kbmfwr1Yojg42sGEpaQh5ofMHBeTl9EI2eaqQZhHbOU&amp;r=ZliGVSRwfirWoETOrKCh2RSnoygzVPWEk95Me9L-Kwo&amp;m=EaKyFx9mpkhPdFxsxzvW_fiM3jbYwM3xYLjVbSFoDAg&amp;s=4CFSp3I-4JpTy68wNPhC8K59-xuyySk0ijJ-LdPhNhE&amp;e=</t>
  </si>
  <si>
    <t>108骞?2192</t>
  </si>
  <si>
    <t>MEX-1940</t>
  </si>
  <si>
    <t>81e462be-1e42-11e4-b4cd-db5882bf8def</t>
  </si>
  <si>
    <t>Avila Camacho</t>
  </si>
  <si>
    <t>1897-04-24</t>
  </si>
  <si>
    <t>24apr1897</t>
  </si>
  <si>
    <t>https://urldefense.proofpoint.com/v2/url?u=http-3A__dbpedia.org_resource_Manuel-5F-25C3-2581vila-5FCamacho&amp;d=BQID-g&amp;c=kbmfwr1Yojg42sGEpaQh5ofMHBeTl9EI2eaqQZhHbOU&amp;r=ZliGVSRwfirWoETOrKCh2RSnoygzVPWEk95Me9L-Kwo&amp;m=EaKyFx9mpkhPdFxsxzvW_fiM3jbYwM3xYLjVbSFoDAg&amp;s=FuTSXeng7qvfbnqavOiAb69bFF6RpNMKIpI79EhlYQU&amp;e=</t>
  </si>
  <si>
    <t>108骞?2191</t>
  </si>
  <si>
    <t>MEX-1946</t>
  </si>
  <si>
    <t>81e462bf-1e42-11e4-b4cd-db5882bf8def</t>
  </si>
  <si>
    <t>Aleman Valdes</t>
  </si>
  <si>
    <t>https://urldefense.proofpoint.com/v2/url?u=http-3A__dbpedia.org_resource_Miguel-5FAlem-25C3-25A1n-5FVald-25C3-25A9s&amp;d=BQID-g&amp;c=kbmfwr1Yojg42sGEpaQh5ofMHBeTl9EI2eaqQZhHbOU&amp;r=ZliGVSRwfirWoETOrKCh2RSnoygzVPWEk95Me9L-Kwo&amp;m=EaKyFx9mpkhPdFxsxzvW_fiM3jbYwM3xYLjVbSFoDAg&amp;s=UD_-ZXh1ADCBB7-XfW_v5d-39w9dByr14lmhrk3-K1I&amp;e=</t>
  </si>
  <si>
    <t>MEX-1952</t>
  </si>
  <si>
    <t>81e49392-1e42-11e4-b4cd-db5882bf8def</t>
  </si>
  <si>
    <t>Ruiz Cortines</t>
  </si>
  <si>
    <t>1890-12-30</t>
  </si>
  <si>
    <t>30dec1890</t>
  </si>
  <si>
    <t>https://urldefense.proofpoint.com/v2/url?u=http-3A__dbpedia.org_resource_Adolfo-5FRuiz-5FCortines&amp;d=BQID-g&amp;c=kbmfwr1Yojg42sGEpaQh5ofMHBeTl9EI2eaqQZhHbOU&amp;r=ZliGVSRwfirWoETOrKCh2RSnoygzVPWEk95Me9L-Kwo&amp;m=EaKyFx9mpkhPdFxsxzvW_fiM3jbYwM3xYLjVbSFoDAg&amp;s=hE5C6Z9zQdY4gZYZ_ZJ15uNZzxiTG7E0ogs2CNK7bdg&amp;e=</t>
  </si>
  <si>
    <t>MEX-1958</t>
  </si>
  <si>
    <t>81e49393-1e42-11e4-b4cd-db5882bf8def</t>
  </si>
  <si>
    <t>Lopez Mateos</t>
  </si>
  <si>
    <t>https://urldefense.proofpoint.com/v2/url?u=http-3A__dbpedia.org_resource_Adolfo-5FL-25C3-25B3pez-5FMateos&amp;d=BQID-g&amp;c=kbmfwr1Yojg42sGEpaQh5ofMHBeTl9EI2eaqQZhHbOU&amp;r=ZliGVSRwfirWoETOrKCh2RSnoygzVPWEk95Me9L-Kwo&amp;m=EaKyFx9mpkhPdFxsxzvW_fiM3jbYwM3xYLjVbSFoDAg&amp;s=CE9ZeL6C_j7FTgNfxttYOiwvkpHbfJzcefQRl_7gYqI&amp;e=</t>
  </si>
  <si>
    <t>MEX-1964</t>
  </si>
  <si>
    <t>81e4c466-1e42-11e4-b4cd-db5882bf8def</t>
  </si>
  <si>
    <t>Diaz Ordaz</t>
  </si>
  <si>
    <t>https://urldefense.proofpoint.com/v2/url?u=http-3A__dbpedia.org_resource_Gustavo-5FD-25C3-25ADaz-5FOrdaz&amp;d=BQID-g&amp;c=kbmfwr1Yojg42sGEpaQh5ofMHBeTl9EI2eaqQZhHbOU&amp;r=ZliGVSRwfirWoETOrKCh2RSnoygzVPWEk95Me9L-Kwo&amp;m=EaKyFx9mpkhPdFxsxzvW_fiM3jbYwM3xYLjVbSFoDAg&amp;s=w4mDKjNryvxz1YF2jiLm4cL0R1I3JVWcsR5nR1MDP54&amp;e=</t>
  </si>
  <si>
    <t>MEX-1970</t>
  </si>
  <si>
    <t>81e4c467-1e42-11e4-b4cd-db5882bf8def</t>
  </si>
  <si>
    <t>Echeverria Alvarez</t>
  </si>
  <si>
    <t>MEX-1976</t>
  </si>
  <si>
    <t>81e4c468-1e42-11e4-b4cd-db5882bf8def</t>
  </si>
  <si>
    <t>Lopez Portillo</t>
  </si>
  <si>
    <t>https://urldefense.proofpoint.com/v2/url?u=http-3A__dbpedia.org_resource_Jos-25C3-25A9-5FL-25C3-25B3pez-5FPortillo&amp;d=BQID-g&amp;c=kbmfwr1Yojg42sGEpaQh5ofMHBeTl9EI2eaqQZhHbOU&amp;r=ZliGVSRwfirWoETOrKCh2RSnoygzVPWEk95Me9L-Kwo&amp;m=EaKyFx9mpkhPdFxsxzvW_fiM3jbYwM3xYLjVbSFoDAg&amp;s=WcUt0-4y-GW58wJI6FB2MmSo6BlTX2N5HmCgw4DVPBU&amp;e=</t>
  </si>
  <si>
    <t>MEX-1982</t>
  </si>
  <si>
    <t>81e4c469-1e42-11e4-b4cd-db5882bf8def</t>
  </si>
  <si>
    <t>de La Madrid</t>
  </si>
  <si>
    <t>https://urldefense.proofpoint.com/v2/url?u=http-3A__dbpedia.org_resource_Miguel-5Fde-5Fla-5FMadrid&amp;d=BQID-g&amp;c=kbmfwr1Yojg42sGEpaQh5ofMHBeTl9EI2eaqQZhHbOU&amp;r=ZliGVSRwfirWoETOrKCh2RSnoygzVPWEk95Me9L-Kwo&amp;m=EaKyFx9mpkhPdFxsxzvW_fiM3jbYwM3xYLjVbSFoDAg&amp;s=cxLl6Br2ckcvL_UGiBNK4HSovo9B9GK-4vxMIR_f6H4&amp;e=</t>
  </si>
  <si>
    <t>MEX-1988</t>
  </si>
  <si>
    <t>81e4c46a-1e42-11e4-b4cd-db5882bf8def</t>
  </si>
  <si>
    <t>Salinas</t>
  </si>
  <si>
    <t>https://urldefense.proofpoint.com/v2/url?u=http-3A__dbpedia.org_resource_Carlos-5FSalinas-5Fde-5FGortari&amp;d=BQID-g&amp;c=kbmfwr1Yojg42sGEpaQh5ofMHBeTl9EI2eaqQZhHbOU&amp;r=ZliGVSRwfirWoETOrKCh2RSnoygzVPWEk95Me9L-Kwo&amp;m=EaKyFx9mpkhPdFxsxzvW_fiM3jbYwM3xYLjVbSFoDAg&amp;s=5QibR0WlZsEr7kYOUQX9ip59_-dwckh8rxSl7dm0xjM&amp;e=</t>
  </si>
  <si>
    <t>108骞?2190</t>
  </si>
  <si>
    <t>MEX-1994</t>
  </si>
  <si>
    <t>81e4f53a-1e42-11e4-b4cd-db5882bf8def</t>
  </si>
  <si>
    <t>Zedillo</t>
  </si>
  <si>
    <t>https://urldefense.proofpoint.com/v2/url?u=http-3A__dbpedia.org_resource_Ernesto-5FZedillo&amp;d=BQID-g&amp;c=kbmfwr1Yojg42sGEpaQh5ofMHBeTl9EI2eaqQZhHbOU&amp;r=ZliGVSRwfirWoETOrKCh2RSnoygzVPWEk95Me9L-Kwo&amp;m=EaKyFx9mpkhPdFxsxzvW_fiM3jbYwM3xYLjVbSFoDAg&amp;s=uzOVd_04maHXjXE5fwCZ5wdLetGoOZwy0wJpR72Kryw&amp;e=</t>
  </si>
  <si>
    <t>MEX-2000</t>
  </si>
  <si>
    <t>81e4f53b-1e42-11e4-b4cd-db5882bf8def</t>
  </si>
  <si>
    <t>Vicente Fox Quesada</t>
  </si>
  <si>
    <t>MEX-2006</t>
  </si>
  <si>
    <t>825028d7-1e42-11e4-b4cd-db5882bf8def</t>
  </si>
  <si>
    <t>Calderon</t>
  </si>
  <si>
    <t>MEX-2012</t>
  </si>
  <si>
    <t>2b37a450-3481-11e4-8dba-bbcd9ed46413</t>
  </si>
  <si>
    <t>Enrique Pena Nieto</t>
  </si>
  <si>
    <t>108骞?1125</t>
  </si>
  <si>
    <t>BLZ-1961</t>
  </si>
  <si>
    <t>81e4f53c-1e42-11e4-b4cd-db5882bf8def</t>
  </si>
  <si>
    <t>BLZ</t>
  </si>
  <si>
    <t>Price</t>
  </si>
  <si>
    <t>https://urldefense.proofpoint.com/v2/url?u=http-3A__dbpedia.org_resource_George-5FCadle-5FPrice&amp;d=BQID-g&amp;c=kbmfwr1Yojg42sGEpaQh5ofMHBeTl9EI2eaqQZhHbOU&amp;r=ZliGVSRwfirWoETOrKCh2RSnoygzVPWEk95Me9L-Kwo&amp;m=EaKyFx9mpkhPdFxsxzvW_fiM3jbYwM3xYLjVbSFoDAg&amp;s=GVjTiq0YJ5sBih9myGymk7jyxRHr8CUeN3JNs0NUZAk&amp;e=</t>
  </si>
  <si>
    <t>BLZ-1984</t>
  </si>
  <si>
    <t>81e4f53d-1e42-11e4-b4cd-db5882bf8def</t>
  </si>
  <si>
    <t>Esquivel</t>
  </si>
  <si>
    <t>https://urldefense.proofpoint.com/v2/url?u=http-3A__dbpedia.org_resource_Manuel-5FEsquivel&amp;d=BQID-g&amp;c=kbmfwr1Yojg42sGEpaQh5ofMHBeTl9EI2eaqQZhHbOU&amp;r=ZliGVSRwfirWoETOrKCh2RSnoygzVPWEk95Me9L-Kwo&amp;m=EaKyFx9mpkhPdFxsxzvW_fiM3jbYwM3xYLjVbSFoDAg&amp;s=awJota9AefDOErR1uQecGtdUfOmWyv36ZgpGjUKi4Xw&amp;e=</t>
  </si>
  <si>
    <t>BLZ-1989</t>
  </si>
  <si>
    <t>BLZ-1993</t>
  </si>
  <si>
    <t>BLZ-1998</t>
  </si>
  <si>
    <t>81e4f53e-1e42-11e4-b4cd-db5882bf8def</t>
  </si>
  <si>
    <t>Musa</t>
  </si>
  <si>
    <t>https://urldefense.proofpoint.com/v2/url?u=http-3A__dbpedia.org_resource_Said-5FMusa&amp;d=BQID-g&amp;c=kbmfwr1Yojg42sGEpaQh5ofMHBeTl9EI2eaqQZhHbOU&amp;r=ZliGVSRwfirWoETOrKCh2RSnoygzVPWEk95Me9L-Kwo&amp;m=EaKyFx9mpkhPdFxsxzvW_fiM3jbYwM3xYLjVbSFoDAg&amp;s=PJN8sq6dw9Fm_l7k83Qzyew7mn2ZV9ssZVzbaMsCKC0&amp;e=</t>
  </si>
  <si>
    <t>BLZ-2008</t>
  </si>
  <si>
    <t>825059b0-1e42-11e4-b4cd-db5882bf8def</t>
  </si>
  <si>
    <t>D.Barrow</t>
  </si>
  <si>
    <t>GUA-1873</t>
  </si>
  <si>
    <t>81e5260e-1e42-11e4-b4cd-db5882bf8def</t>
  </si>
  <si>
    <t>GUA</t>
  </si>
  <si>
    <t>Justo Rufino Barrios</t>
  </si>
  <si>
    <t>1873-06-04</t>
  </si>
  <si>
    <t>1885-04-06</t>
  </si>
  <si>
    <t>1835-07-17</t>
  </si>
  <si>
    <t>17jul1835</t>
  </si>
  <si>
    <t>Uncle of Reina Barrios%81e52610-1e42-11e4-b4cd-db5882bf8def</t>
  </si>
  <si>
    <t>GUA-1885</t>
  </si>
  <si>
    <t>81e5260f-1e42-11e4-b4cd-db5882bf8def</t>
  </si>
  <si>
    <t>Barillas</t>
  </si>
  <si>
    <t>1892-03-15</t>
  </si>
  <si>
    <t>GUA-1892</t>
  </si>
  <si>
    <t>81e52610-1e42-11e4-b4cd-db5882bf8def</t>
  </si>
  <si>
    <t>Reina Barrios</t>
  </si>
  <si>
    <t>1898-02-08</t>
  </si>
  <si>
    <t>Nephew of Justo Rufino Barrios%81e5260e-1e42-11e4-b4cd-db5882bf8def</t>
  </si>
  <si>
    <t>GUA-1898</t>
  </si>
  <si>
    <t>81e52611-1e42-11e4-b4cd-db5882bf8def</t>
  </si>
  <si>
    <t>Estrada-Cabrera</t>
  </si>
  <si>
    <t>1857-11-21</t>
  </si>
  <si>
    <t>21nov1857</t>
  </si>
  <si>
    <t>https://urldefense.proofpoint.com/v2/url?u=http-3A__dbpedia.org_resource_Manuel-5FEstrada-5FCabrera&amp;d=BQID-g&amp;c=kbmfwr1Yojg42sGEpaQh5ofMHBeTl9EI2eaqQZhHbOU&amp;r=ZliGVSRwfirWoETOrKCh2RSnoygzVPWEk95Me9L-Kwo&amp;m=EaKyFx9mpkhPdFxsxzvW_fiM3jbYwM3xYLjVbSFoDAg&amp;s=hyhnXWutSsHyDFyQpIW1rTuBEyukUqW7mIbqbuasBtY&amp;e=</t>
  </si>
  <si>
    <t>GUA-1920</t>
  </si>
  <si>
    <t>81e52612-1e42-11e4-b4cd-db5882bf8def</t>
  </si>
  <si>
    <t>Herrera y Luna</t>
  </si>
  <si>
    <t>GUA-1921</t>
  </si>
  <si>
    <t>81e556e2-1e42-11e4-b4cd-db5882bf8def</t>
  </si>
  <si>
    <t>Orellana, J.</t>
  </si>
  <si>
    <t>1872-07-11</t>
  </si>
  <si>
    <t>11jul1872</t>
  </si>
  <si>
    <t>GUA-1926</t>
  </si>
  <si>
    <t>81e556e3-1e42-11e4-b4cd-db5882bf8def</t>
  </si>
  <si>
    <t>Chacon</t>
  </si>
  <si>
    <t>1874-06-27</t>
  </si>
  <si>
    <t>27jun1874</t>
  </si>
  <si>
    <t>GUA-1930-1</t>
  </si>
  <si>
    <t>81e556e4-1e42-11e4-b4cd-db5882bf8def</t>
  </si>
  <si>
    <t>1874-06-10</t>
  </si>
  <si>
    <t>10jun1874</t>
  </si>
  <si>
    <t>GUA-1930-2</t>
  </si>
  <si>
    <t>81e556e5-1e42-11e4-b4cd-db5882bf8def</t>
  </si>
  <si>
    <t>Orellana, M.</t>
  </si>
  <si>
    <t>1870-12-17</t>
  </si>
  <si>
    <t>17dec1870</t>
  </si>
  <si>
    <t>GUA-1931-1</t>
  </si>
  <si>
    <t>81e556e6-1e42-11e4-b4cd-db5882bf8def</t>
  </si>
  <si>
    <t>Reyna Andrade</t>
  </si>
  <si>
    <t>GUA-1931-2</t>
  </si>
  <si>
    <t>81e587c0-1e42-11e4-b4cd-db5882bf8def</t>
  </si>
  <si>
    <t>Ubico Castaneda</t>
  </si>
  <si>
    <t>1878-11-10</t>
  </si>
  <si>
    <t>10nov1878</t>
  </si>
  <si>
    <t>GUA-1944-1</t>
  </si>
  <si>
    <t>81e587c1-1e42-11e4-b4cd-db5882bf8def</t>
  </si>
  <si>
    <t>Ponce Valdez</t>
  </si>
  <si>
    <t>https://urldefense.proofpoint.com/v2/url?u=http-3A__dbpedia.org_resource_Juan-5FFederico-5FPonce-5FVaides&amp;d=BQID-g&amp;c=kbmfwr1Yojg42sGEpaQh5ofMHBeTl9EI2eaqQZhHbOU&amp;r=ZliGVSRwfirWoETOrKCh2RSnoygzVPWEk95Me9L-Kwo&amp;m=EaKyFx9mpkhPdFxsxzvW_fiM3jbYwM3xYLjVbSFoDAg&amp;s=veLPq4iAXWOMfOEUw01PU9AOaLHPdO9mYQ3GSH0ceUA&amp;e=</t>
  </si>
  <si>
    <t>GUA-1944-2</t>
  </si>
  <si>
    <t>81e587c2-1e42-11e4-b4cd-db5882bf8def</t>
  </si>
  <si>
    <t>Arbenz Guzman</t>
  </si>
  <si>
    <t>GUA-1945</t>
  </si>
  <si>
    <t>81e587c3-1e42-11e4-b4cd-db5882bf8def</t>
  </si>
  <si>
    <t>Arevalo</t>
  </si>
  <si>
    <t>https://urldefense.proofpoint.com/v2/url?u=http-3A__dbpedia.org_resource_Juan-5FJos-25C3-25A9-5FAr-25C3-25A9valo&amp;d=BQID-g&amp;c=kbmfwr1Yojg42sGEpaQh5ofMHBeTl9EI2eaqQZhHbOU&amp;r=ZliGVSRwfirWoETOrKCh2RSnoygzVPWEk95Me9L-Kwo&amp;m=EaKyFx9mpkhPdFxsxzvW_fiM3jbYwM3xYLjVbSFoDAg&amp;s=8_elZ-EqLISq8PgLliYFr79LI5dtj9tBn1CBSL1yiYM&amp;e=</t>
  </si>
  <si>
    <t>GUA-1951</t>
  </si>
  <si>
    <t>Removed by Military, with Foreign Support</t>
  </si>
  <si>
    <t>GUA-1954-1</t>
  </si>
  <si>
    <t>81e587c4-1e42-11e4-b4cd-db5882bf8def</t>
  </si>
  <si>
    <t>GUA-1954-2</t>
  </si>
  <si>
    <t>81e5b894-1e42-11e4-b4cd-db5882bf8def</t>
  </si>
  <si>
    <t>Monzon</t>
  </si>
  <si>
    <t>GUA-1954-3</t>
  </si>
  <si>
    <t>81e5b895-1e42-11e4-b4cd-db5882bf8def</t>
  </si>
  <si>
    <t>Castillo Armas</t>
  </si>
  <si>
    <t>GUA-1957-1</t>
  </si>
  <si>
    <t>81e5b896-1e42-11e4-b4cd-db5882bf8def</t>
  </si>
  <si>
    <t>Gonzalez Lopez</t>
  </si>
  <si>
    <t>GUA-1957-2</t>
  </si>
  <si>
    <t>81e5b897-1e42-11e4-b4cd-db5882bf8def</t>
  </si>
  <si>
    <t>Mendoza Azurdia</t>
  </si>
  <si>
    <t>GUA-1957-3</t>
  </si>
  <si>
    <t>81e5b898-1e42-11e4-b4cd-db5882bf8def</t>
  </si>
  <si>
    <t>Flores Avendano</t>
  </si>
  <si>
    <t>GUA-1958</t>
  </si>
  <si>
    <t>81e5b899-1e42-11e4-b4cd-db5882bf8def</t>
  </si>
  <si>
    <t>Ydigoras Fuente</t>
  </si>
  <si>
    <t>1895-10-17</t>
  </si>
  <si>
    <t>17oct1895</t>
  </si>
  <si>
    <t>GUA-1963</t>
  </si>
  <si>
    <t>81e5e968-1e42-11e4-b4cd-db5882bf8def</t>
  </si>
  <si>
    <t>Peralta Azurdia</t>
  </si>
  <si>
    <t>GUA-1966</t>
  </si>
  <si>
    <t>81e5e969-1e42-11e4-b4cd-db5882bf8def</t>
  </si>
  <si>
    <t>Mendez Montenegro</t>
  </si>
  <si>
    <t>GUA-1970</t>
  </si>
  <si>
    <t>81e5e96a-1e42-11e4-b4cd-db5882bf8def</t>
  </si>
  <si>
    <t>Arana Osorio</t>
  </si>
  <si>
    <t>GUA-1974</t>
  </si>
  <si>
    <t>81e5e96b-1e42-11e4-b4cd-db5882bf8def</t>
  </si>
  <si>
    <t>Laugerud Garcia</t>
  </si>
  <si>
    <t>GUA-1978</t>
  </si>
  <si>
    <t>81e5e96c-1e42-11e4-b4cd-db5882bf8def</t>
  </si>
  <si>
    <t>Lucas Garcia</t>
  </si>
  <si>
    <t>GUA-1982</t>
  </si>
  <si>
    <t>81e61a3c-1e42-11e4-b4cd-db5882bf8def</t>
  </si>
  <si>
    <t>Rios Montt</t>
  </si>
  <si>
    <t>https://urldefense.proofpoint.com/v2/url?u=http-3A__dbpedia.org_resource_Efra-25C3-25ADn-5FR-25C3-25ADos-5FMontt&amp;d=BQID-g&amp;c=kbmfwr1Yojg42sGEpaQh5ofMHBeTl9EI2eaqQZhHbOU&amp;r=ZliGVSRwfirWoETOrKCh2RSnoygzVPWEk95Me9L-Kwo&amp;m=EaKyFx9mpkhPdFxsxzvW_fiM3jbYwM3xYLjVbSFoDAg&amp;s=C2gm4rYWHLa5xKvhihxVdlpZkMovRPwfRYCKI-T5tOU&amp;e=</t>
  </si>
  <si>
    <t>GUA-1983</t>
  </si>
  <si>
    <t>81e61a3d-1e42-11e4-b4cd-db5882bf8def</t>
  </si>
  <si>
    <t>Mejia Victores</t>
  </si>
  <si>
    <t>GUA-1986</t>
  </si>
  <si>
    <t>81e61a3e-1e42-11e4-b4cd-db5882bf8def</t>
  </si>
  <si>
    <t>Cerezo</t>
  </si>
  <si>
    <t>https://urldefense.proofpoint.com/v2/url?u=http-3A__dbpedia.org_resource_Vinicio-5FCerezo&amp;d=BQID-g&amp;c=kbmfwr1Yojg42sGEpaQh5ofMHBeTl9EI2eaqQZhHbOU&amp;r=ZliGVSRwfirWoETOrKCh2RSnoygzVPWEk95Me9L-Kwo&amp;m=EaKyFx9mpkhPdFxsxzvW_fiM3jbYwM3xYLjVbSFoDAg&amp;s=2f7ohGcIgNYKjnwwWA2-HbpsF-n9icDFlB2uC2I5ySc&amp;e=</t>
  </si>
  <si>
    <t>GUA-1991</t>
  </si>
  <si>
    <t>81e61a3f-1e42-11e4-b4cd-db5882bf8def</t>
  </si>
  <si>
    <t>Serrano Elias</t>
  </si>
  <si>
    <t>https://urldefense.proofpoint.com/v2/url?u=http-3A__dbpedia.org_resource_Jorge-5FSerrano-5FEl-25C3-25ADas&amp;d=BQID-g&amp;c=kbmfwr1Yojg42sGEpaQh5ofMHBeTl9EI2eaqQZhHbOU&amp;r=ZliGVSRwfirWoETOrKCh2RSnoygzVPWEk95Me9L-Kwo&amp;m=EaKyFx9mpkhPdFxsxzvW_fiM3jbYwM3xYLjVbSFoDAg&amp;s=Q48C2odwz16WICcTbyvMDyIJAMGl8gbpVY9UxAI38Xw&amp;e=</t>
  </si>
  <si>
    <t>GUA-1993-1</t>
  </si>
  <si>
    <t>81e61a40-1e42-11e4-b4cd-db5882bf8def</t>
  </si>
  <si>
    <t>Espina Salguero</t>
  </si>
  <si>
    <t>GUA-1993-2</t>
  </si>
  <si>
    <t>81e64b10-1e42-11e4-b4cd-db5882bf8def</t>
  </si>
  <si>
    <t>Leon Carpio</t>
  </si>
  <si>
    <t>https://urldefense.proofpoint.com/v2/url?u=http-3A__dbpedia.org_resource_Ramiro-5Fde-5FLe-25C3-25B3n-5FCarpio&amp;d=BQID-g&amp;c=kbmfwr1Yojg42sGEpaQh5ofMHBeTl9EI2eaqQZhHbOU&amp;r=ZliGVSRwfirWoETOrKCh2RSnoygzVPWEk95Me9L-Kwo&amp;m=EaKyFx9mpkhPdFxsxzvW_fiM3jbYwM3xYLjVbSFoDAg&amp;s=8gUSL5CQCzovu3WM7poBX7-HM0bfdZ8hJZ7bPnl-ZIQ&amp;e=</t>
  </si>
  <si>
    <t>GUA-1996</t>
  </si>
  <si>
    <t>81e64b11-1e42-11e4-b4cd-db5882bf8def</t>
  </si>
  <si>
    <t>Arzu Yrigoyen</t>
  </si>
  <si>
    <t>https://urldefense.proofpoint.com/v2/url?u=http-3A__dbpedia.org_resource_-25C3-2581lvaro-5FArz-25C3-25BA&amp;d=BQID-g&amp;c=kbmfwr1Yojg42sGEpaQh5ofMHBeTl9EI2eaqQZhHbOU&amp;r=ZliGVSRwfirWoETOrKCh2RSnoygzVPWEk95Me9L-Kwo&amp;m=EaKyFx9mpkhPdFxsxzvW_fiM3jbYwM3xYLjVbSFoDAg&amp;s=9lQL3mYwZhyWGvLEE5oM5D4wtD70AJlNII07bW1K6do&amp;e=</t>
  </si>
  <si>
    <t>GUA-2000</t>
  </si>
  <si>
    <t>81e64b12-1e42-11e4-b4cd-db5882bf8def</t>
  </si>
  <si>
    <t>Alfonso Portillo Cabrera</t>
  </si>
  <si>
    <t>GUA-2004</t>
  </si>
  <si>
    <t>81e64b13-1e42-11e4-b4cd-db5882bf8def</t>
  </si>
  <si>
    <t>Berger Perdomo</t>
  </si>
  <si>
    <t>GUA-2008</t>
  </si>
  <si>
    <t>825059b1-1e42-11e4-b4cd-db5882bf8def</t>
  </si>
  <si>
    <t>Colom Caballeros</t>
  </si>
  <si>
    <t>GUA-2012</t>
  </si>
  <si>
    <t>2b37a451-3481-11e4-8dba-bbcd9ed46413</t>
  </si>
  <si>
    <t>Perez Molina</t>
  </si>
  <si>
    <t>HON-1874</t>
  </si>
  <si>
    <t>81e64b14-1e42-11e4-b4cd-db5882bf8def</t>
  </si>
  <si>
    <t>HON</t>
  </si>
  <si>
    <t>Leiva</t>
  </si>
  <si>
    <t>1874-01-13</t>
  </si>
  <si>
    <t>1876-06-08</t>
  </si>
  <si>
    <t>72骞?877</t>
  </si>
  <si>
    <t>HON-1876</t>
  </si>
  <si>
    <t>81e67be4-1e42-11e4-b4cd-db5882bf8def</t>
  </si>
  <si>
    <t>Soto</t>
  </si>
  <si>
    <t>1876-08-27</t>
  </si>
  <si>
    <t>1883-10-19</t>
  </si>
  <si>
    <t>72骞?2609</t>
  </si>
  <si>
    <t>HON-1883-1</t>
  </si>
  <si>
    <t>81e67be5-1e42-11e4-b4cd-db5882bf8def</t>
  </si>
  <si>
    <t>Council of Ministers</t>
  </si>
  <si>
    <t>1883-11-30</t>
  </si>
  <si>
    <t>72骞?42</t>
  </si>
  <si>
    <t>HON-1883-2</t>
  </si>
  <si>
    <t>81e67be6-1e42-11e4-b4cd-db5882bf8def</t>
  </si>
  <si>
    <t>Bogran</t>
  </si>
  <si>
    <t>1891-11-30</t>
  </si>
  <si>
    <t>https://urldefense.proofpoint.com/v2/url?u=http-3A__dbpedia.org_resource_Luis-5FBogr-25C3-25A1n&amp;d=BQID-g&amp;c=kbmfwr1Yojg42sGEpaQh5ofMHBeTl9EI2eaqQZhHbOU&amp;r=ZliGVSRwfirWoETOrKCh2RSnoygzVPWEk95Me9L-Kwo&amp;m=EaKyFx9mpkhPdFxsxzvW_fiM3jbYwM3xYLjVbSFoDAg&amp;s=ARJSZnskR3nvbg0usj01P7YqejVrGk_WYOXg07E2ypU&amp;e=</t>
  </si>
  <si>
    <t>72骞?2922</t>
  </si>
  <si>
    <t>HON-1891</t>
  </si>
  <si>
    <t>1893-08-07</t>
  </si>
  <si>
    <t>72骞?616</t>
  </si>
  <si>
    <t>HON-1893</t>
  </si>
  <si>
    <t>81e67be7-1e42-11e4-b4cd-db5882bf8def</t>
  </si>
  <si>
    <t>1894-02-22</t>
  </si>
  <si>
    <t>72骞?199</t>
  </si>
  <si>
    <t>HON-1894</t>
  </si>
  <si>
    <t>81e67be8-1e42-11e4-b4cd-db5882bf8def</t>
  </si>
  <si>
    <t>P. Bonilla</t>
  </si>
  <si>
    <t>1899-02-01</t>
  </si>
  <si>
    <t>72骞?1805</t>
  </si>
  <si>
    <t>HON-1899</t>
  </si>
  <si>
    <t>81e67be9-1e42-11e4-b4cd-db5882bf8def</t>
  </si>
  <si>
    <t>Sierra</t>
  </si>
  <si>
    <t>72骞?1458</t>
  </si>
  <si>
    <t>HON-1903</t>
  </si>
  <si>
    <t>81e6acb8-1e42-11e4-b4cd-db5882bf8def</t>
  </si>
  <si>
    <t>M. Bonilla</t>
  </si>
  <si>
    <t>72骞?1530</t>
  </si>
  <si>
    <t>HON-1907</t>
  </si>
  <si>
    <t>81e6acb9-1e42-11e4-b4cd-db5882bf8def</t>
  </si>
  <si>
    <t>Davila</t>
  </si>
  <si>
    <t>72骞?1440</t>
  </si>
  <si>
    <t>HON-1911</t>
  </si>
  <si>
    <t>81e6acba-1e42-11e4-b4cd-db5882bf8def</t>
  </si>
  <si>
    <t>Bertrand</t>
  </si>
  <si>
    <t>72骞?311</t>
  </si>
  <si>
    <t>HON-1912</t>
  </si>
  <si>
    <t>72骞?412</t>
  </si>
  <si>
    <t>HON-1913</t>
  </si>
  <si>
    <t>72骞?860</t>
  </si>
  <si>
    <t>HON-1915</t>
  </si>
  <si>
    <t>81e6acbb-1e42-11e4-b4cd-db5882bf8def</t>
  </si>
  <si>
    <t>Alberto Membreno</t>
  </si>
  <si>
    <t>72骞?188</t>
  </si>
  <si>
    <t>HON-1916</t>
  </si>
  <si>
    <t>72骞?1316</t>
  </si>
  <si>
    <t>HON-1919</t>
  </si>
  <si>
    <t>72骞?141</t>
  </si>
  <si>
    <t>HON-1920</t>
  </si>
  <si>
    <t>81e6acbc-1e42-11e4-b4cd-db5882bf8def</t>
  </si>
  <si>
    <t>Lopez-Gutierrez</t>
  </si>
  <si>
    <t>https://urldefense.proofpoint.com/v2/url?u=http-3A__dbpedia.org_resource_Rafael-5FL-25C3-25B3pez-5FGuti-25C3-25A9rrez&amp;d=BQID-g&amp;c=kbmfwr1Yojg42sGEpaQh5ofMHBeTl9EI2eaqQZhHbOU&amp;r=ZliGVSRwfirWoETOrKCh2RSnoygzVPWEk95Me9L-Kwo&amp;m=EaKyFx9mpkhPdFxsxzvW_fiM3jbYwM3xYLjVbSFoDAg&amp;s=SQlPZpIYuhpLYP5eiN-WZ4hzhx9lLNTC69IXp2HiMoM&amp;e=</t>
  </si>
  <si>
    <t>72骞?1461</t>
  </si>
  <si>
    <t>HON-1924</t>
  </si>
  <si>
    <t>81e6dd8c-1e42-11e4-b4cd-db5882bf8def</t>
  </si>
  <si>
    <t>Vicente Tosta</t>
  </si>
  <si>
    <t>72骞?366</t>
  </si>
  <si>
    <t>HON-1925</t>
  </si>
  <si>
    <t>81e6dd8d-1e42-11e4-b4cd-db5882bf8def</t>
  </si>
  <si>
    <t>Paz Baraona</t>
  </si>
  <si>
    <t>HON-1929</t>
  </si>
  <si>
    <t>81e6dd8e-1e42-11e4-b4cd-db5882bf8def</t>
  </si>
  <si>
    <t>Mejia Colindres</t>
  </si>
  <si>
    <t>HON-1933</t>
  </si>
  <si>
    <t>81e6dd8f-1e42-11e4-b4cd-db5882bf8def</t>
  </si>
  <si>
    <t>Carias Andino</t>
  </si>
  <si>
    <t>1876-03-15</t>
  </si>
  <si>
    <t>15mar1876</t>
  </si>
  <si>
    <t>72骞?5813</t>
  </si>
  <si>
    <t>HON-1949</t>
  </si>
  <si>
    <t>81e6dd90-1e42-11e4-b4cd-db5882bf8def</t>
  </si>
  <si>
    <t>Galvez</t>
  </si>
  <si>
    <t>72骞?1840</t>
  </si>
  <si>
    <t>HON-1954</t>
  </si>
  <si>
    <t>81e70e60-1e42-11e4-b4cd-db5882bf8def</t>
  </si>
  <si>
    <t>Lozano Diaz</t>
  </si>
  <si>
    <t>72骞?1010</t>
  </si>
  <si>
    <t>HON-1956</t>
  </si>
  <si>
    <t>81e70e61-1e42-11e4-b4cd-db5882bf8def</t>
  </si>
  <si>
    <t>Hector Caraccioli</t>
  </si>
  <si>
    <t>72骞?426</t>
  </si>
  <si>
    <t>HON-1957</t>
  </si>
  <si>
    <t>81e70e62-1e42-11e4-b4cd-db5882bf8def</t>
  </si>
  <si>
    <t>Villeda Morales</t>
  </si>
  <si>
    <t>72骞?2112</t>
  </si>
  <si>
    <t>HON-1963</t>
  </si>
  <si>
    <t>81e70e63-1e42-11e4-b4cd-db5882bf8def</t>
  </si>
  <si>
    <t>Lopez Arellano</t>
  </si>
  <si>
    <t>https://urldefense.proofpoint.com/v2/url?u=http-3A__dbpedia.org_resource_Oswaldo-5FL-25C3-25B3pez-5FArellano&amp;d=BQID-g&amp;c=kbmfwr1Yojg42sGEpaQh5ofMHBeTl9EI2eaqQZhHbOU&amp;r=ZliGVSRwfirWoETOrKCh2RSnoygzVPWEk95Me9L-Kwo&amp;m=EaKyFx9mpkhPdFxsxzvW_fiM3jbYwM3xYLjVbSFoDAg&amp;s=U8zOnotDGfMAp1u47FDKzXA6ZIEeXXAXpS6FX2mqr7o&amp;e=</t>
  </si>
  <si>
    <t>72骞?2803</t>
  </si>
  <si>
    <t>HON-1971</t>
  </si>
  <si>
    <t>81e70e64-1e42-11e4-b4cd-db5882bf8def</t>
  </si>
  <si>
    <t>Cruz</t>
  </si>
  <si>
    <t>72骞?547</t>
  </si>
  <si>
    <t>HON-1972</t>
  </si>
  <si>
    <t>72骞?869</t>
  </si>
  <si>
    <t>HON-1975</t>
  </si>
  <si>
    <t>81e73f34-1e42-11e4-b4cd-db5882bf8def</t>
  </si>
  <si>
    <t>https://urldefense.proofpoint.com/v2/url?u=http-3A__dbpedia.org_resource_Juan-5FAlberto-5FMelgar-5FCastro&amp;d=BQID-g&amp;c=kbmfwr1Yojg42sGEpaQh5ofMHBeTl9EI2eaqQZhHbOU&amp;r=ZliGVSRwfirWoETOrKCh2RSnoygzVPWEk95Me9L-Kwo&amp;m=EaKyFx9mpkhPdFxsxzvW_fiM3jbYwM3xYLjVbSFoDAg&amp;s=ENAZy3ot8G40-v27vASb7Ez5Kqz17HBOonQE5f7VUfU&amp;e=</t>
  </si>
  <si>
    <t>72骞?1203</t>
  </si>
  <si>
    <t>HON-1978</t>
  </si>
  <si>
    <t>81e73f35-1e42-11e4-b4cd-db5882bf8def</t>
  </si>
  <si>
    <t>Paz Garcia</t>
  </si>
  <si>
    <t>72骞?1269</t>
  </si>
  <si>
    <t>HON-1982</t>
  </si>
  <si>
    <t>81e73f36-1e42-11e4-b4cd-db5882bf8def</t>
  </si>
  <si>
    <t>Suazo Cordova</t>
  </si>
  <si>
    <t>HON-1986</t>
  </si>
  <si>
    <t>81e73f37-1e42-11e4-b4cd-db5882bf8def</t>
  </si>
  <si>
    <t>Azcona Hoyo</t>
  </si>
  <si>
    <t>https://urldefense.proofpoint.com/v2/url?u=http-3A__dbpedia.org_resource_Jos-25C3-25A9-5FAzcona-5Fdel-5FHoyo&amp;d=BQID-g&amp;c=kbmfwr1Yojg42sGEpaQh5ofMHBeTl9EI2eaqQZhHbOU&amp;r=ZliGVSRwfirWoETOrKCh2RSnoygzVPWEk95Me9L-Kwo&amp;m=EaKyFx9mpkhPdFxsxzvW_fiM3jbYwM3xYLjVbSFoDAg&amp;s=ojaZAnJtuxtCtjpWh6zne9Fn6OfFH-EeyX2ac8VlcvQ&amp;e=</t>
  </si>
  <si>
    <t>HON-1990</t>
  </si>
  <si>
    <t>81e73f38-1e42-11e4-b4cd-db5882bf8def</t>
  </si>
  <si>
    <t>Callejas</t>
  </si>
  <si>
    <t>HON-1994</t>
  </si>
  <si>
    <t>81e77012-1e42-11e4-b4cd-db5882bf8def</t>
  </si>
  <si>
    <t>Reina</t>
  </si>
  <si>
    <t>https://urldefense.proofpoint.com/v2/url?u=http-3A__dbpedia.org_resource_Carlos-5FRoberto-5FReina&amp;d=BQID-g&amp;c=kbmfwr1Yojg42sGEpaQh5ofMHBeTl9EI2eaqQZhHbOU&amp;r=ZliGVSRwfirWoETOrKCh2RSnoygzVPWEk95Me9L-Kwo&amp;m=EaKyFx9mpkhPdFxsxzvW_fiM3jbYwM3xYLjVbSFoDAg&amp;s=_u-S2HeTdkFaYifHYzEc7muz-PekyQXuGpfKWQtGydg&amp;e=</t>
  </si>
  <si>
    <t>HON-1998</t>
  </si>
  <si>
    <t>81e77013-1e42-11e4-b4cd-db5882bf8def</t>
  </si>
  <si>
    <t>Flores Facusse</t>
  </si>
  <si>
    <t>HON-2002</t>
  </si>
  <si>
    <t>81e77014-1e42-11e4-b4cd-db5882bf8def</t>
  </si>
  <si>
    <t>Ricardo Maduro</t>
  </si>
  <si>
    <t>https://urldefense.proofpoint.com/v2/url?u=http-3A__dbpedia.org_resource_Ricardo-5FMaduro&amp;d=BQID-g&amp;c=kbmfwr1Yojg42sGEpaQh5ofMHBeTl9EI2eaqQZhHbOU&amp;r=ZliGVSRwfirWoETOrKCh2RSnoygzVPWEk95Me9L-Kwo&amp;m=EaKyFx9mpkhPdFxsxzvW_fiM3jbYwM3xYLjVbSFoDAg&amp;s=RbxewBz2iHPVlp2bpZ8C1pUI5X1D3OWWcMheN4AhPDY&amp;e=</t>
  </si>
  <si>
    <t>HON-2006</t>
  </si>
  <si>
    <t>825059b2-1e42-11e4-b4cd-db5882bf8def</t>
  </si>
  <si>
    <t>Zelaya</t>
  </si>
  <si>
    <t>72骞?1248</t>
  </si>
  <si>
    <t>HON-2009</t>
  </si>
  <si>
    <t>825059b3-1e42-11e4-b4cd-db5882bf8def</t>
  </si>
  <si>
    <t>Micheletti</t>
  </si>
  <si>
    <t>72骞?213</t>
  </si>
  <si>
    <t>HON-2010</t>
  </si>
  <si>
    <t>825059b4-1e42-11e4-b4cd-db5882bf8def</t>
  </si>
  <si>
    <t>Lobo</t>
  </si>
  <si>
    <t>HON-2014</t>
  </si>
  <si>
    <t>149deeac-aae0-11e4-b3bc-29f2fa19767e</t>
  </si>
  <si>
    <t>Hern谩ndez</t>
  </si>
  <si>
    <t>72骞?703</t>
  </si>
  <si>
    <t>SAL-1871</t>
  </si>
  <si>
    <t>81e77015-1e42-11e4-b4cd-db5882bf8def</t>
  </si>
  <si>
    <t>SAL</t>
  </si>
  <si>
    <t>1871-04-15</t>
  </si>
  <si>
    <t>15apr1871</t>
  </si>
  <si>
    <t>1876-02-11</t>
  </si>
  <si>
    <t>Missing: No Information Found</t>
  </si>
  <si>
    <t>SAL-1876-1</t>
  </si>
  <si>
    <t>81e77016-1e42-11e4-b4cd-db5882bf8def</t>
  </si>
  <si>
    <t>Andres del Valle</t>
  </si>
  <si>
    <t>1876-02-12</t>
  </si>
  <si>
    <t>1876-05-01</t>
  </si>
  <si>
    <t>SAL-1876-2</t>
  </si>
  <si>
    <t>81e7a0e6-1e42-11e4-b4cd-db5882bf8def</t>
  </si>
  <si>
    <t>Zaldivar</t>
  </si>
  <si>
    <t>1885-05-14</t>
  </si>
  <si>
    <t>SAL-1885</t>
  </si>
  <si>
    <t>81e7a0e7-1e42-11e4-b4cd-db5882bf8def</t>
  </si>
  <si>
    <t>Menendez</t>
  </si>
  <si>
    <t>1885-05-22</t>
  </si>
  <si>
    <t>1890-06-22</t>
  </si>
  <si>
    <t>SAL-1890</t>
  </si>
  <si>
    <t>81e7a0e8-1e42-11e4-b4cd-db5882bf8def</t>
  </si>
  <si>
    <t>Ezeta</t>
  </si>
  <si>
    <t>1894-06-10</t>
  </si>
  <si>
    <t>SAL-1894</t>
  </si>
  <si>
    <t>81e7a0e9-1e42-11e4-b4cd-db5882bf8def</t>
  </si>
  <si>
    <t>Guttierez</t>
  </si>
  <si>
    <t>1898-11-14</t>
  </si>
  <si>
    <t>SAL-1898</t>
  </si>
  <si>
    <t>81e7a0ea-1e42-11e4-b4cd-db5882bf8def</t>
  </si>
  <si>
    <t>Regalado</t>
  </si>
  <si>
    <t>SAL-1903</t>
  </si>
  <si>
    <t>81e7d1ba-1e42-11e4-b4cd-db5882bf8def</t>
  </si>
  <si>
    <t>Escalon</t>
  </si>
  <si>
    <t>SAL-1907</t>
  </si>
  <si>
    <t>81e7d1bb-1e42-11e4-b4cd-db5882bf8def</t>
  </si>
  <si>
    <t>Figueroa</t>
  </si>
  <si>
    <t>SAL-1911</t>
  </si>
  <si>
    <t>81e7d1bc-1e42-11e4-b4cd-db5882bf8def</t>
  </si>
  <si>
    <t>Araujo</t>
  </si>
  <si>
    <t>SAL-1913</t>
  </si>
  <si>
    <t>81e7d1bd-1e42-11e4-b4cd-db5882bf8def</t>
  </si>
  <si>
    <t>C. Melendez</t>
  </si>
  <si>
    <t>1861-02-01</t>
  </si>
  <si>
    <t>01feb1861</t>
  </si>
  <si>
    <t>Brother-in-law of Quinonez Molina%81e7d1be-1e42-11e4-b4cd-db5882bf8def</t>
  </si>
  <si>
    <t>SAL-1914</t>
  </si>
  <si>
    <t>81e7d1be-1e42-11e4-b4cd-db5882bf8def</t>
  </si>
  <si>
    <t>Quinonez Molina</t>
  </si>
  <si>
    <t>Brother-in-law of C. Melendez%81e7d1bd-1e42-11e4-b4cd-db5882bf8def</t>
  </si>
  <si>
    <t>SAL-1915</t>
  </si>
  <si>
    <t>SAL-1918</t>
  </si>
  <si>
    <t>SAL-1919</t>
  </si>
  <si>
    <t>81e7d1bf-1e42-11e4-b4cd-db5882bf8def</t>
  </si>
  <si>
    <t>J. Melendez</t>
  </si>
  <si>
    <t>SAL-1923</t>
  </si>
  <si>
    <t>SAL-1927</t>
  </si>
  <si>
    <t>81e8028e-1e42-11e4-b4cd-db5882bf8def</t>
  </si>
  <si>
    <t>Romeo Bosque</t>
  </si>
  <si>
    <t>SAL-1931-1</t>
  </si>
  <si>
    <t>81e8028f-1e42-11e4-b4cd-db5882bf8def</t>
  </si>
  <si>
    <t>Arajuo, A.</t>
  </si>
  <si>
    <t>SAL-1931-2</t>
  </si>
  <si>
    <t>81e80290-1e42-11e4-b4cd-db5882bf8def</t>
  </si>
  <si>
    <t>Hernandez Martinez</t>
  </si>
  <si>
    <t>1882-10-29</t>
  </si>
  <si>
    <t>29oct1882</t>
  </si>
  <si>
    <t>SAL-1934</t>
  </si>
  <si>
    <t>81e80291-1e42-11e4-b4cd-db5882bf8def</t>
  </si>
  <si>
    <t>Menendez, A.I.</t>
  </si>
  <si>
    <t>SAL-1935</t>
  </si>
  <si>
    <t>SAL-1944-1</t>
  </si>
  <si>
    <t>SAL-1944-2</t>
  </si>
  <si>
    <t>81e80292-1e42-11e4-b4cd-db5882bf8def</t>
  </si>
  <si>
    <t>Aguirre Salinas</t>
  </si>
  <si>
    <t>SAL-1945</t>
  </si>
  <si>
    <t>81e83362-1e42-11e4-b4cd-db5882bf8def</t>
  </si>
  <si>
    <t>Castaneda Castro</t>
  </si>
  <si>
    <t>1888-08-06</t>
  </si>
  <si>
    <t>06aug1888</t>
  </si>
  <si>
    <t>SAL-1948</t>
  </si>
  <si>
    <t>81e83363-1e42-11e4-b4cd-db5882bf8def</t>
  </si>
  <si>
    <t>Cordova</t>
  </si>
  <si>
    <t>SAL-1949-1</t>
  </si>
  <si>
    <t>81e83364-1e42-11e4-b4cd-db5882bf8def</t>
  </si>
  <si>
    <t>Osorio</t>
  </si>
  <si>
    <t>SAL-1949-2</t>
  </si>
  <si>
    <t>81e83365-1e42-11e4-b4cd-db5882bf8def</t>
  </si>
  <si>
    <t>Oscar Bolanos</t>
  </si>
  <si>
    <t>SAL-1950</t>
  </si>
  <si>
    <t>SAL-1956</t>
  </si>
  <si>
    <t>81e83366-1e42-11e4-b4cd-db5882bf8def</t>
  </si>
  <si>
    <t>Lemus</t>
  </si>
  <si>
    <t>SAL-1960</t>
  </si>
  <si>
    <t>81e86436-1e42-11e4-b4cd-db5882bf8def</t>
  </si>
  <si>
    <t>Castillo</t>
  </si>
  <si>
    <t>SAL-1961</t>
  </si>
  <si>
    <t>81e86437-1e42-11e4-b4cd-db5882bf8def</t>
  </si>
  <si>
    <t>Portillo</t>
  </si>
  <si>
    <t>SAL-1962-1</t>
  </si>
  <si>
    <t>81e86438-1e42-11e4-b4cd-db5882bf8def</t>
  </si>
  <si>
    <t>Rodolfo Cordon</t>
  </si>
  <si>
    <t>SAL-1962-2</t>
  </si>
  <si>
    <t>81e86439-1e42-11e4-b4cd-db5882bf8def</t>
  </si>
  <si>
    <t>Rivera</t>
  </si>
  <si>
    <t>SAL-1967</t>
  </si>
  <si>
    <t>81e8643a-1e42-11e4-b4cd-db5882bf8def</t>
  </si>
  <si>
    <t>Sanchez Hernandez</t>
  </si>
  <si>
    <t>SAL-1972</t>
  </si>
  <si>
    <t>81e8950a-1e42-11e4-b4cd-db5882bf8def</t>
  </si>
  <si>
    <t>Molina</t>
  </si>
  <si>
    <t>SAL-1977</t>
  </si>
  <si>
    <t>81e8950b-1e42-11e4-b4cd-db5882bf8def</t>
  </si>
  <si>
    <t>Romero Mena</t>
  </si>
  <si>
    <t>SAL-1979</t>
  </si>
  <si>
    <t>81e8950c-1e42-11e4-b4cd-db5882bf8def</t>
  </si>
  <si>
    <t>Majano Ramos</t>
  </si>
  <si>
    <t>SAL-1980</t>
  </si>
  <si>
    <t>81e8950d-1e42-11e4-b4cd-db5882bf8def</t>
  </si>
  <si>
    <t>Duarte</t>
  </si>
  <si>
    <t>SAL-1982</t>
  </si>
  <si>
    <t>81e8950e-1e42-11e4-b4cd-db5882bf8def</t>
  </si>
  <si>
    <t>Magana Borjo</t>
  </si>
  <si>
    <t>SAL-1984</t>
  </si>
  <si>
    <t>SAL-1989</t>
  </si>
  <si>
    <t>81e8c5de-1e42-11e4-b4cd-db5882bf8def</t>
  </si>
  <si>
    <t>Cristiani</t>
  </si>
  <si>
    <t>SAL-1994</t>
  </si>
  <si>
    <t>81e8c5df-1e42-11e4-b4cd-db5882bf8def</t>
  </si>
  <si>
    <t>Calderon Sol</t>
  </si>
  <si>
    <t>SAL-1999</t>
  </si>
  <si>
    <t>81e8c5e0-1e42-11e4-b4cd-db5882bf8def</t>
  </si>
  <si>
    <t>Flores</t>
  </si>
  <si>
    <t>https://urldefense.proofpoint.com/v2/url?u=http-3A__dbpedia.org_resource_Francisco-5FFlores-5FP-25C3-25A9rez&amp;d=BQID-g&amp;c=kbmfwr1Yojg42sGEpaQh5ofMHBeTl9EI2eaqQZhHbOU&amp;r=ZliGVSRwfirWoETOrKCh2RSnoygzVPWEk95Me9L-Kwo&amp;m=EaKyFx9mpkhPdFxsxzvW_fiM3jbYwM3xYLjVbSFoDAg&amp;s=h332rmXqqLWqsmqxlKOtioLQCRsuxG5CqjeEv1osMFs&amp;e=</t>
  </si>
  <si>
    <t>SAL-2004</t>
  </si>
  <si>
    <t>81e8c5e1-1e42-11e4-b4cd-db5882bf8def</t>
  </si>
  <si>
    <t>Saca Gonz谩lez</t>
  </si>
  <si>
    <t>SAL-2009</t>
  </si>
  <si>
    <t>825059b5-1e42-11e4-b4cd-db5882bf8def</t>
  </si>
  <si>
    <t>Funes</t>
  </si>
  <si>
    <t>SAL-2014</t>
  </si>
  <si>
    <t>149deead-aae0-11e4-b3bc-29f2fa19767e</t>
  </si>
  <si>
    <t>Sanchez Ceren</t>
  </si>
  <si>
    <t>NIC-1871</t>
  </si>
  <si>
    <t>81e8c5e2-1e42-11e4-b4cd-db5882bf8def</t>
  </si>
  <si>
    <t>NIC</t>
  </si>
  <si>
    <t>Quadra</t>
  </si>
  <si>
    <t>1871-03-01</t>
  </si>
  <si>
    <t>1875-03-01</t>
  </si>
  <si>
    <t>75骞?1461</t>
  </si>
  <si>
    <t>NIC-1875</t>
  </si>
  <si>
    <t>81e8c5e3-1e42-11e4-b4cd-db5882bf8def</t>
  </si>
  <si>
    <t>Chamorro</t>
  </si>
  <si>
    <t>1879-03-01</t>
  </si>
  <si>
    <t>Father of Diego Chamorro%81e95864-1e42-11e4-b4cd-db5882bf8def</t>
  </si>
  <si>
    <t>NIC-1879</t>
  </si>
  <si>
    <t>81e8f6b2-1e42-11e4-b4cd-db5882bf8def</t>
  </si>
  <si>
    <t>Zavala</t>
  </si>
  <si>
    <t>1883-03-01</t>
  </si>
  <si>
    <t>NIC-1883</t>
  </si>
  <si>
    <t>81e8f6b3-1e42-11e4-b4cd-db5882bf8def</t>
  </si>
  <si>
    <t>1887-03-01</t>
  </si>
  <si>
    <t>NIC-1887</t>
  </si>
  <si>
    <t>81e8f6b4-1e42-11e4-b4cd-db5882bf8def</t>
  </si>
  <si>
    <t>Carazo</t>
  </si>
  <si>
    <t>1889-08-01</t>
  </si>
  <si>
    <t>1821-10-24</t>
  </si>
  <si>
    <t>24oct1821</t>
  </si>
  <si>
    <t>75骞?884</t>
  </si>
  <si>
    <t>NIC-1889</t>
  </si>
  <si>
    <t>81e8f6b5-1e42-11e4-b4cd-db5882bf8def</t>
  </si>
  <si>
    <t>Sacasa</t>
  </si>
  <si>
    <t>1893-06-01</t>
  </si>
  <si>
    <t>Father of Sacasa, Juan%81e95868-1e42-11e4-b4cd-db5882bf8def</t>
  </si>
  <si>
    <t>75骞?1400</t>
  </si>
  <si>
    <t>NIC-1893</t>
  </si>
  <si>
    <t>81e8f6b6-1e42-11e4-b4cd-db5882bf8def</t>
  </si>
  <si>
    <t>1893-07-31</t>
  </si>
  <si>
    <t>1853-10-31</t>
  </si>
  <si>
    <t>31oct1853</t>
  </si>
  <si>
    <t>75骞?5981</t>
  </si>
  <si>
    <t>NIC-1909</t>
  </si>
  <si>
    <t>81e92786-1e42-11e4-b4cd-db5882bf8def</t>
  </si>
  <si>
    <t>Madriz</t>
  </si>
  <si>
    <t>75骞?247</t>
  </si>
  <si>
    <t>NIC-1910-1</t>
  </si>
  <si>
    <t>81e92787-1e42-11e4-b4cd-db5882bf8def</t>
  </si>
  <si>
    <t>J. D. Estrada</t>
  </si>
  <si>
    <t>Brother of J. D. Estrada%81e92787-1e42-11e4-b4cd-db5882bf8def</t>
  </si>
  <si>
    <t>75骞?9</t>
  </si>
  <si>
    <t>NIC-1910-2</t>
  </si>
  <si>
    <t>81e92788-1e42-11e4-b4cd-db5882bf8def</t>
  </si>
  <si>
    <t>J. J. Estrada</t>
  </si>
  <si>
    <t>75骞?253</t>
  </si>
  <si>
    <t>NIC-1911</t>
  </si>
  <si>
    <t>81e92789-1e42-11e4-b4cd-db5882bf8def</t>
  </si>
  <si>
    <t>Adolfo Diaz</t>
  </si>
  <si>
    <t>75骞?2063</t>
  </si>
  <si>
    <t>NIC-1917</t>
  </si>
  <si>
    <t>81e9278a-1e42-11e4-b4cd-db5882bf8def</t>
  </si>
  <si>
    <t>Chamorro Vargas</t>
  </si>
  <si>
    <t>1871-05-11</t>
  </si>
  <si>
    <t>11may1871</t>
  </si>
  <si>
    <t>75骞?1460</t>
  </si>
  <si>
    <t>NIC-1921</t>
  </si>
  <si>
    <t>81e95864-1e42-11e4-b4cd-db5882bf8def</t>
  </si>
  <si>
    <t>Diego Chamorro</t>
  </si>
  <si>
    <t>Son of Chamorro%81e8c5e3-1e42-11e4-b4cd-db5882bf8def</t>
  </si>
  <si>
    <t>75骞?1014</t>
  </si>
  <si>
    <t>NIC-1923</t>
  </si>
  <si>
    <t>81e95865-1e42-11e4-b4cd-db5882bf8def</t>
  </si>
  <si>
    <t>Martinez Bartol</t>
  </si>
  <si>
    <t>75骞?422</t>
  </si>
  <si>
    <t>NIC-1925</t>
  </si>
  <si>
    <t>81e95866-1e42-11e4-b4cd-db5882bf8def</t>
  </si>
  <si>
    <t>Solorzano</t>
  </si>
  <si>
    <t>75骞?378</t>
  </si>
  <si>
    <t>NIC-1926-1</t>
  </si>
  <si>
    <t>75骞?286</t>
  </si>
  <si>
    <t>NIC-1926-2</t>
  </si>
  <si>
    <t>75骞?794</t>
  </si>
  <si>
    <t>NIC-1929</t>
  </si>
  <si>
    <t>81e95867-1e42-11e4-b4cd-db5882bf8def</t>
  </si>
  <si>
    <t>Moncada</t>
  </si>
  <si>
    <t>NIC-1933</t>
  </si>
  <si>
    <t>81e95868-1e42-11e4-b4cd-db5882bf8def</t>
  </si>
  <si>
    <t>Sacasa, Juan</t>
  </si>
  <si>
    <t>1874-12-21</t>
  </si>
  <si>
    <t>21dec1874</t>
  </si>
  <si>
    <t>https://urldefense.proofpoint.com/v2/url?u=http-3A__dbpedia.org_resource_Juan-5FBautista-5FSacasa&amp;d=BQID-g&amp;c=kbmfwr1Yojg42sGEpaQh5ofMHBeTl9EI2eaqQZhHbOU&amp;r=ZliGVSRwfirWoETOrKCh2RSnoygzVPWEk95Me9L-Kwo&amp;m=EaKyFx9mpkhPdFxsxzvW_fiM3jbYwM3xYLjVbSFoDAg&amp;s=BdSxb4aTO0p03uohUeSOeRuBFY_xl_s-2RsD9QLyTbk&amp;e=</t>
  </si>
  <si>
    <t>Son of Sacasa%81e8f6b5-1e42-11e4-b4cd-db5882bf8def</t>
  </si>
  <si>
    <t>75骞?1252</t>
  </si>
  <si>
    <t>NIC-1936</t>
  </si>
  <si>
    <t>81e98938-1e42-11e4-b4cd-db5882bf8def</t>
  </si>
  <si>
    <t>Jarquin</t>
  </si>
  <si>
    <t>75骞?195</t>
  </si>
  <si>
    <t>NIC-1937</t>
  </si>
  <si>
    <t>81e98939-1e42-11e4-b4cd-db5882bf8def</t>
  </si>
  <si>
    <t>Anastasio Somoza Garcia</t>
  </si>
  <si>
    <t>1896-02-01</t>
  </si>
  <si>
    <t>01feb1896</t>
  </si>
  <si>
    <t>75骞?3772</t>
  </si>
  <si>
    <t>NIC-1947-1</t>
  </si>
  <si>
    <t>81e9893a-1e42-11e4-b4cd-db5882bf8def</t>
  </si>
  <si>
    <t>Arguello</t>
  </si>
  <si>
    <t>1875-08-29</t>
  </si>
  <si>
    <t>29aug1875</t>
  </si>
  <si>
    <t>75骞?25</t>
  </si>
  <si>
    <t>NIC-1947-2</t>
  </si>
  <si>
    <t>75骞?3414</t>
  </si>
  <si>
    <t>NIC-1956</t>
  </si>
  <si>
    <t>81e9893b-1e42-11e4-b4cd-db5882bf8def</t>
  </si>
  <si>
    <t>Luis Somoza Debayle</t>
  </si>
  <si>
    <t>75骞?2405</t>
  </si>
  <si>
    <t>NIC-1963</t>
  </si>
  <si>
    <t>81e9893c-1e42-11e4-b4cd-db5882bf8def</t>
  </si>
  <si>
    <t>Shick Gutierrez</t>
  </si>
  <si>
    <t>Relative of Guerrero Gutierrez%81e9ba0c-1e42-11e4-b4cd-db5882bf8def</t>
  </si>
  <si>
    <t>75骞?1190</t>
  </si>
  <si>
    <t>NIC-1966</t>
  </si>
  <si>
    <t>81e9ba0c-1e42-11e4-b4cd-db5882bf8def</t>
  </si>
  <si>
    <t>Guerrero Gutierrez</t>
  </si>
  <si>
    <t>Relative of Shick Gutierrez%81e9893c-1e42-11e4-b4cd-db5882bf8def</t>
  </si>
  <si>
    <t>75骞?270</t>
  </si>
  <si>
    <t>NIC-1967</t>
  </si>
  <si>
    <t>81e9ba0d-1e42-11e4-b4cd-db5882bf8def</t>
  </si>
  <si>
    <t>Anastasio Somoza Debayle</t>
  </si>
  <si>
    <t>https://urldefense.proofpoint.com/v2/url?u=http-3A__dbpedia.org_resource_Anastasio-5FSomoza-5FDebayle&amp;d=BQID-g&amp;c=kbmfwr1Yojg42sGEpaQh5ofMHBeTl9EI2eaqQZhHbOU&amp;r=ZliGVSRwfirWoETOrKCh2RSnoygzVPWEk95Me9L-Kwo&amp;m=EaKyFx9mpkhPdFxsxzvW_fiM3jbYwM3xYLjVbSFoDAg&amp;s=0ptgUmGuXrdWZVPtO9xeR9vKEJ3SOXthlKqTYHqy76g&amp;e=</t>
  </si>
  <si>
    <t>75骞?4460</t>
  </si>
  <si>
    <t>NIC-1979</t>
  </si>
  <si>
    <t>81e9ba0e-1e42-11e4-b4cd-db5882bf8def</t>
  </si>
  <si>
    <t>Daniel Ortega</t>
  </si>
  <si>
    <t>https://urldefense.proofpoint.com/v2/url?u=http-3A__dbpedia.org_resource_Daniel-5FOrtega&amp;d=BQID-g&amp;c=kbmfwr1Yojg42sGEpaQh5ofMHBeTl9EI2eaqQZhHbOU&amp;r=ZliGVSRwfirWoETOrKCh2RSnoygzVPWEk95Me9L-Kwo&amp;m=EaKyFx9mpkhPdFxsxzvW_fiM3jbYwM3xYLjVbSFoDAg&amp;s=QcH-MfSAgSAUf3_tpsgqcHaYbcpWlHRDHpJk5ix4NgM&amp;e=</t>
  </si>
  <si>
    <t>75骞?3934</t>
  </si>
  <si>
    <t>NIC-1990</t>
  </si>
  <si>
    <t>81e9ba0f-1e42-11e4-b4cd-db5882bf8def</t>
  </si>
  <si>
    <t>Violeta Chamorro</t>
  </si>
  <si>
    <t>https://urldefense.proofpoint.com/v2/url?u=http-3A__dbpedia.org_resource_Violeta-5FChamorro&amp;d=BQID-g&amp;c=kbmfwr1Yojg42sGEpaQh5ofMHBeTl9EI2eaqQZhHbOU&amp;r=ZliGVSRwfirWoETOrKCh2RSnoygzVPWEk95Me9L-Kwo&amp;m=EaKyFx9mpkhPdFxsxzvW_fiM3jbYwM3xYLjVbSFoDAg&amp;s=otsJd2QMyHd5mCg0G87wNx61PXh8aDvlYjMB2_Appnw&amp;e=</t>
  </si>
  <si>
    <t>75骞?2452</t>
  </si>
  <si>
    <t>NIC-1997</t>
  </si>
  <si>
    <t>81e9ba10-1e42-11e4-b4cd-db5882bf8def</t>
  </si>
  <si>
    <t>Aleman</t>
  </si>
  <si>
    <t>75骞?1826</t>
  </si>
  <si>
    <t>NIC-2002</t>
  </si>
  <si>
    <t>81e9eae0-1e42-11e4-b4cd-db5882bf8def</t>
  </si>
  <si>
    <t>Enrique Bolanos</t>
  </si>
  <si>
    <t>https://urldefense.proofpoint.com/v2/url?u=http-3A__dbpedia.org_resource_Enrique-5FBola-25C3-25B1os&amp;d=BQID-g&amp;c=kbmfwr1Yojg42sGEpaQh5ofMHBeTl9EI2eaqQZhHbOU&amp;r=ZliGVSRwfirWoETOrKCh2RSnoygzVPWEk95Me9L-Kwo&amp;m=EaKyFx9mpkhPdFxsxzvW_fiM3jbYwM3xYLjVbSFoDAg&amp;s=lYIZQ43PvmQdQOzvDbC7bbZ-ZeVXsl77dumh2mvoQog&amp;e=</t>
  </si>
  <si>
    <t>75骞?1825</t>
  </si>
  <si>
    <t>NIC-2007</t>
  </si>
  <si>
    <t>75骞?3277</t>
  </si>
  <si>
    <t>COS-1870</t>
  </si>
  <si>
    <t>81e9eae1-1e42-11e4-b4cd-db5882bf8def</t>
  </si>
  <si>
    <t>COS</t>
  </si>
  <si>
    <t>Guardia</t>
  </si>
  <si>
    <t>1870-08-10</t>
  </si>
  <si>
    <t>1882-07-06</t>
  </si>
  <si>
    <t>https://urldefense.proofpoint.com/v2/url?u=http-3A__dbpedia.org_resource_Tom-25C3-25A1s-5FGuardia-5FGuti-25C3-25A9rrez&amp;d=BQID-g&amp;c=kbmfwr1Yojg42sGEpaQh5ofMHBeTl9EI2eaqQZhHbOU&amp;r=ZliGVSRwfirWoETOrKCh2RSnoygzVPWEk95Me9L-Kwo&amp;m=EaKyFx9mpkhPdFxsxzvW_fiM3jbYwM3xYLjVbSFoDAg&amp;s=btfpOXY5wuVYZQROaCWiIUyThplLlXGg5Y5BOh3ck8w&amp;e=</t>
  </si>
  <si>
    <t>58骞?4348</t>
  </si>
  <si>
    <t>COS-1882-1</t>
  </si>
  <si>
    <t>81e9eae2-1e42-11e4-b4cd-db5882bf8def</t>
  </si>
  <si>
    <t>Lizano</t>
  </si>
  <si>
    <t>1882-07-20</t>
  </si>
  <si>
    <t>58骞?14</t>
  </si>
  <si>
    <t>COS-1882-2</t>
  </si>
  <si>
    <t>81e9eae3-1e42-11e4-b4cd-db5882bf8def</t>
  </si>
  <si>
    <t>Prospero Fernandez Oreamuno</t>
  </si>
  <si>
    <t>1885-03-12</t>
  </si>
  <si>
    <t>Father-in-law of Bernardo Soto Alfaro%81e9eae4-1e42-11e4-b4cd-db5882bf8def</t>
  </si>
  <si>
    <t>58骞?966</t>
  </si>
  <si>
    <t>COS-1885</t>
  </si>
  <si>
    <t>81e9eae4-1e42-11e4-b4cd-db5882bf8def</t>
  </si>
  <si>
    <t>Bernardo Soto Alfaro</t>
  </si>
  <si>
    <t>1889-11-07</t>
  </si>
  <si>
    <t>Son-in-law of Prospero Fernandez Oreamuno%81e9eae3-1e42-11e4-b4cd-db5882bf8def</t>
  </si>
  <si>
    <t>58骞?1701</t>
  </si>
  <si>
    <t>COS-1889</t>
  </si>
  <si>
    <t>81ea1bb4-1e42-11e4-b4cd-db5882bf8def</t>
  </si>
  <si>
    <t>Carlos Duran Cartin</t>
  </si>
  <si>
    <t>1890-05-08</t>
  </si>
  <si>
    <t>1852-11-12</t>
  </si>
  <si>
    <t>12nov1852</t>
  </si>
  <si>
    <t>58骞?182</t>
  </si>
  <si>
    <t>COS-1890</t>
  </si>
  <si>
    <t>81ea1bb5-1e42-11e4-b4cd-db5882bf8def</t>
  </si>
  <si>
    <t>Jose Joaquin Rodriguez</t>
  </si>
  <si>
    <t>1894-05-08</t>
  </si>
  <si>
    <t>Father-in-law of Rafael Yglesias Castro%81ea1bb6-1e42-11e4-b4cd-db5882bf8def</t>
  </si>
  <si>
    <t>58骞?1461</t>
  </si>
  <si>
    <t>COS-1894</t>
  </si>
  <si>
    <t>81ea1bb6-1e42-11e4-b4cd-db5882bf8def</t>
  </si>
  <si>
    <t>Rafael Yglesias Castro</t>
  </si>
  <si>
    <t>1861-04-18</t>
  </si>
  <si>
    <t>18apr1861</t>
  </si>
  <si>
    <t>Son-in-law of Jose Joaquin Rodriguez%81ea1bb5-1e42-11e4-b4cd-db5882bf8def</t>
  </si>
  <si>
    <t>58骞?2921</t>
  </si>
  <si>
    <t>COS-1902</t>
  </si>
  <si>
    <t>81ea4c88-1e42-11e4-b4cd-db5882bf8def</t>
  </si>
  <si>
    <t>Ascension Esquivel Ibarra</t>
  </si>
  <si>
    <t>COS-1906</t>
  </si>
  <si>
    <t>81ea4c89-1e42-11e4-b4cd-db5882bf8def</t>
  </si>
  <si>
    <t>Gonzalez Viquez</t>
  </si>
  <si>
    <t>1858-10-13</t>
  </si>
  <si>
    <t>13oct1858</t>
  </si>
  <si>
    <t>https://urldefense.proofpoint.com/v2/url?u=http-3A__dbpedia.org_resource_Cleto-5FGonz-25C3-25A1lez-5FV-25C3-25ADquez&amp;d=BQID-g&amp;c=kbmfwr1Yojg42sGEpaQh5ofMHBeTl9EI2eaqQZhHbOU&amp;r=ZliGVSRwfirWoETOrKCh2RSnoygzVPWEk95Me9L-Kwo&amp;m=EaKyFx9mpkhPdFxsxzvW_fiM3jbYwM3xYLjVbSFoDAg&amp;s=A_hYMTRyQUrmcvKSlb1qjIpOKEOUpiSuIkB60SQmuPA&amp;e=</t>
  </si>
  <si>
    <t>COS-1910</t>
  </si>
  <si>
    <t>81ea7d5c-1e42-11e4-b4cd-db5882bf8def</t>
  </si>
  <si>
    <t>Jimenez Oreamuno</t>
  </si>
  <si>
    <t>1859-02-06</t>
  </si>
  <si>
    <t>06feb1859</t>
  </si>
  <si>
    <t>COS-1914</t>
  </si>
  <si>
    <t>81ea7d5d-1e42-11e4-b4cd-db5882bf8def</t>
  </si>
  <si>
    <t>Alfredo Gonzalez Flores</t>
  </si>
  <si>
    <t>1877-06-15</t>
  </si>
  <si>
    <t>15jun1877</t>
  </si>
  <si>
    <t>58骞?995</t>
  </si>
  <si>
    <t>COS-1917</t>
  </si>
  <si>
    <t>81eaae30-1e42-11e4-b4cd-db5882bf8def</t>
  </si>
  <si>
    <t>Federico Tinoco Granados</t>
  </si>
  <si>
    <t>58骞?928</t>
  </si>
  <si>
    <t>COS-1919-1</t>
  </si>
  <si>
    <t>81eaae31-1e42-11e4-b4cd-db5882bf8def</t>
  </si>
  <si>
    <t>Juan Bautista Quiros Segura</t>
  </si>
  <si>
    <t>Popular Protest, with Foreign Support</t>
  </si>
  <si>
    <t>https://urldefense.proofpoint.com/v2/url?u=http-3A__dbpedia.org_resource_Juan-5FBautista-5FQuir-25C3-25B3s-5FSegura&amp;d=BQID-g&amp;c=kbmfwr1Yojg42sGEpaQh5ofMHBeTl9EI2eaqQZhHbOU&amp;r=ZliGVSRwfirWoETOrKCh2RSnoygzVPWEk95Me9L-Kwo&amp;m=EaKyFx9mpkhPdFxsxzvW_fiM3jbYwM3xYLjVbSFoDAg&amp;s=XKC7F1iwXgcPwWo54d4NxfS04Q6CwNF1hBc8jah7I_g&amp;e=</t>
  </si>
  <si>
    <t>58骞?24</t>
  </si>
  <si>
    <t>COS-1919-2</t>
  </si>
  <si>
    <t>81eadf04-1e42-11e4-b4cd-db5882bf8def</t>
  </si>
  <si>
    <t>Barquero</t>
  </si>
  <si>
    <t>58骞?0</t>
  </si>
  <si>
    <t>COS-1920</t>
  </si>
  <si>
    <t>81eadf05-1e42-11e4-b4cd-db5882bf8def</t>
  </si>
  <si>
    <t>Acosta Garcia</t>
  </si>
  <si>
    <t>1872-05-23</t>
  </si>
  <si>
    <t>23may1872</t>
  </si>
  <si>
    <t>COS-1924</t>
  </si>
  <si>
    <t>COS-1928</t>
  </si>
  <si>
    <t>COS-1932</t>
  </si>
  <si>
    <t>COS-1936</t>
  </si>
  <si>
    <t>81eb0fd8-1e42-11e4-b4cd-db5882bf8def</t>
  </si>
  <si>
    <t>Cortes Castro</t>
  </si>
  <si>
    <t>1882-12-08</t>
  </si>
  <si>
    <t>08dec1882</t>
  </si>
  <si>
    <t>https://urldefense.proofpoint.com/v2/url?u=http-3A__dbpedia.org_resource_Le-25C3-25B3n-5FCort-25C3-25A9s-5FCastro&amp;d=BQID-g&amp;c=kbmfwr1Yojg42sGEpaQh5ofMHBeTl9EI2eaqQZhHbOU&amp;r=ZliGVSRwfirWoETOrKCh2RSnoygzVPWEk95Me9L-Kwo&amp;m=EaKyFx9mpkhPdFxsxzvW_fiM3jbYwM3xYLjVbSFoDAg&amp;s=fC-KH_WTjfdyr_lTh2y0fJ7elcXqrFTCzG3eUMWRkZE&amp;e=</t>
  </si>
  <si>
    <t>COS-1940</t>
  </si>
  <si>
    <t>81eb0fd9-1e42-11e4-b4cd-db5882bf8def</t>
  </si>
  <si>
    <t>Calderon Guardi</t>
  </si>
  <si>
    <t>https://urldefense.proofpoint.com/v2/url?u=http-3A__dbpedia.org_resource_Rafael-5F-25C3-2581ngel-5FCalder-25C3-25B3n-5FGuardia&amp;d=BQID-g&amp;c=kbmfwr1Yojg42sGEpaQh5ofMHBeTl9EI2eaqQZhHbOU&amp;r=ZliGVSRwfirWoETOrKCh2RSnoygzVPWEk95Me9L-Kwo&amp;m=EaKyFx9mpkhPdFxsxzvW_fiM3jbYwM3xYLjVbSFoDAg&amp;s=dGTO9RS09QHl1Qdr18wPadEyMMRRgscELuJhFxI1sTM&amp;e=</t>
  </si>
  <si>
    <t>Father of Calderon Fournier%81ec34db-1e42-11e4-b4cd-db5882bf8def</t>
  </si>
  <si>
    <t>COS-1944</t>
  </si>
  <si>
    <t>81eb40b6-1e42-11e4-b4cd-db5882bf8def</t>
  </si>
  <si>
    <t>Picado Michalski</t>
  </si>
  <si>
    <t>https://urldefense.proofpoint.com/v2/url?u=http-3A__dbpedia.org_resource_Teodoro-5FPicado-5FMichalski&amp;d=BQID-g&amp;c=kbmfwr1Yojg42sGEpaQh5ofMHBeTl9EI2eaqQZhHbOU&amp;r=ZliGVSRwfirWoETOrKCh2RSnoygzVPWEk95Me9L-Kwo&amp;m=EaKyFx9mpkhPdFxsxzvW_fiM3jbYwM3xYLjVbSFoDAg&amp;s=XS1xYz7ohtQKiO4R_Es66TilNy4_SncYtybLv_8wRFI&amp;e=</t>
  </si>
  <si>
    <t>58骞?1443</t>
  </si>
  <si>
    <t>COS-1948-1</t>
  </si>
  <si>
    <t>81eb718a-1e42-11e4-b4cd-db5882bf8def</t>
  </si>
  <si>
    <t>Leon Herrera</t>
  </si>
  <si>
    <t>1874-05-21</t>
  </si>
  <si>
    <t>21may1874</t>
  </si>
  <si>
    <t>58骞?18</t>
  </si>
  <si>
    <t>COS-1948-2</t>
  </si>
  <si>
    <t>81eb718b-1e42-11e4-b4cd-db5882bf8def</t>
  </si>
  <si>
    <t>Figueres Ferrer</t>
  </si>
  <si>
    <t>https://urldefense.proofpoint.com/v2/url?u=http-3A__dbpedia.org_resource_Jos-25C3-25A9-5FFigueres-5FFerrer&amp;d=BQID-g&amp;c=kbmfwr1Yojg42sGEpaQh5ofMHBeTl9EI2eaqQZhHbOU&amp;r=ZliGVSRwfirWoETOrKCh2RSnoygzVPWEk95Me9L-Kwo&amp;m=EaKyFx9mpkhPdFxsxzvW_fiM3jbYwM3xYLjVbSFoDAg&amp;s=d2HyZP351m70fx3nW73Jg5U4_2gvAdvyx62GiQ9ZrIA&amp;e=</t>
  </si>
  <si>
    <t>58骞?549</t>
  </si>
  <si>
    <t>COS-1949</t>
  </si>
  <si>
    <t>81eb718c-1e42-11e4-b4cd-db5882bf8def</t>
  </si>
  <si>
    <t>Otilia Ulate</t>
  </si>
  <si>
    <t>COS-1953</t>
  </si>
  <si>
    <t>58骞?1642</t>
  </si>
  <si>
    <t>COS-1958</t>
  </si>
  <si>
    <t>81eba25e-1e42-11e4-b4cd-db5882bf8def</t>
  </si>
  <si>
    <t>Echandi Jimenez</t>
  </si>
  <si>
    <t>COS-1962</t>
  </si>
  <si>
    <t>81eba25f-1e42-11e4-b4cd-db5882bf8def</t>
  </si>
  <si>
    <t>Orlich</t>
  </si>
  <si>
    <t>https://urldefense.proofpoint.com/v2/url?u=http-3A__dbpedia.org_resource_Francisco-5FOrlich-5FBolmarcich&amp;d=BQID-g&amp;c=kbmfwr1Yojg42sGEpaQh5ofMHBeTl9EI2eaqQZhHbOU&amp;r=ZliGVSRwfirWoETOrKCh2RSnoygzVPWEk95Me9L-Kwo&amp;m=EaKyFx9mpkhPdFxsxzvW_fiM3jbYwM3xYLjVbSFoDAg&amp;s=elA8QFvEqFMihIdU9ad3xw4EiHj3CqF3hAfm3DM5FbQ&amp;e=</t>
  </si>
  <si>
    <t>COS-1966</t>
  </si>
  <si>
    <t>81ebd332-1e42-11e4-b4cd-db5882bf8def</t>
  </si>
  <si>
    <t>Trejos</t>
  </si>
  <si>
    <t>https://urldefense.proofpoint.com/v2/url?u=http-3A__dbpedia.org_resource_Jos-25C3-25A9-5FJoaqu-25C3-25ADn-5FTrejos-5FFern-25C3-25A1ndez&amp;d=BQID-g&amp;c=kbmfwr1Yojg42sGEpaQh5ofMHBeTl9EI2eaqQZhHbOU&amp;r=ZliGVSRwfirWoETOrKCh2RSnoygzVPWEk95Me9L-Kwo&amp;m=EaKyFx9mpkhPdFxsxzvW_fiM3jbYwM3xYLjVbSFoDAg&amp;s=HVXkfGpZ2OmtISXNYITSMuCtXiOK1a4Ta884qoQtGA0&amp;e=</t>
  </si>
  <si>
    <t>COS-1970</t>
  </si>
  <si>
    <t>COS-1974</t>
  </si>
  <si>
    <t>81ebd333-1e42-11e4-b4cd-db5882bf8def</t>
  </si>
  <si>
    <t>Quiros, Daniel</t>
  </si>
  <si>
    <t>https://urldefense.proofpoint.com/v2/url?u=http-3A__dbpedia.org_resource_Daniel-5FOduber-5FQuir-25C3-25B3s&amp;d=BQID-g&amp;c=kbmfwr1Yojg42sGEpaQh5ofMHBeTl9EI2eaqQZhHbOU&amp;r=ZliGVSRwfirWoETOrKCh2RSnoygzVPWEk95Me9L-Kwo&amp;m=EaKyFx9mpkhPdFxsxzvW_fiM3jbYwM3xYLjVbSFoDAg&amp;s=YKmPxA6DOF5lLu6NGvHNi_IdE0RbSaz3fdjct_ncIpA&amp;e=</t>
  </si>
  <si>
    <t>COS-1978</t>
  </si>
  <si>
    <t>81ec0406-1e42-11e4-b4cd-db5882bf8def</t>
  </si>
  <si>
    <t>Carazo Odio</t>
  </si>
  <si>
    <t>https://urldefense.proofpoint.com/v2/url?u=http-3A__dbpedia.org_resource_Rodrigo-5FCarazo-5FOdio&amp;d=BQID-g&amp;c=kbmfwr1Yojg42sGEpaQh5ofMHBeTl9EI2eaqQZhHbOU&amp;r=ZliGVSRwfirWoETOrKCh2RSnoygzVPWEk95Me9L-Kwo&amp;m=EaKyFx9mpkhPdFxsxzvW_fiM3jbYwM3xYLjVbSFoDAg&amp;s=t5sAkaS-FDagtjDf-2fv1vtjsf2y5rno3CULTVRwtLE&amp;e=</t>
  </si>
  <si>
    <t>COS-1982</t>
  </si>
  <si>
    <t>81ec0407-1e42-11e4-b4cd-db5882bf8def</t>
  </si>
  <si>
    <t>Monge Alverez</t>
  </si>
  <si>
    <t>COS-1986</t>
  </si>
  <si>
    <t>81ec34da-1e42-11e4-b4cd-db5882bf8def</t>
  </si>
  <si>
    <t>Arias</t>
  </si>
  <si>
    <t>COS-1990</t>
  </si>
  <si>
    <t>81ec34db-1e42-11e4-b4cd-db5882bf8def</t>
  </si>
  <si>
    <t>Calderon Fournier</t>
  </si>
  <si>
    <t>Son of Calderon Guardi%81eb0fd9-1e42-11e4-b4cd-db5882bf8def;Son of Calderon Fournier%81eb718b-1e42-11e4-b4cd-db5882bf8def</t>
  </si>
  <si>
    <t>COS-1994</t>
  </si>
  <si>
    <t>81ec65ae-1e42-11e4-b4cd-db5882bf8def</t>
  </si>
  <si>
    <t>Figueres Olsen</t>
  </si>
  <si>
    <t>COS-1998</t>
  </si>
  <si>
    <t>81ec65af-1e42-11e4-b4cd-db5882bf8def</t>
  </si>
  <si>
    <t>Rodriguez Echeverria</t>
  </si>
  <si>
    <t>COS-2002</t>
  </si>
  <si>
    <t>81ec9682-1e42-11e4-b4cd-db5882bf8def</t>
  </si>
  <si>
    <t>de la Espriella</t>
  </si>
  <si>
    <t>58骞?1460</t>
  </si>
  <si>
    <t>COS-2006</t>
  </si>
  <si>
    <t>COS-2010</t>
  </si>
  <si>
    <t>82508a84-1e42-11e4-b4cd-db5882bf8def</t>
  </si>
  <si>
    <t>Laura Chinchilla Miranda</t>
  </si>
  <si>
    <t>COS-2014</t>
  </si>
  <si>
    <t>149e15bc-aae0-11e4-b3bc-29f2fa19767e</t>
  </si>
  <si>
    <t>Solis Rivera</t>
  </si>
  <si>
    <t>58骞?602</t>
  </si>
  <si>
    <t>PAN-1903</t>
  </si>
  <si>
    <t>81ec9683-1e42-11e4-b4cd-db5882bf8def</t>
  </si>
  <si>
    <t>PAN</t>
  </si>
  <si>
    <t>Jose Agustin Arango</t>
  </si>
  <si>
    <t>58骞?109</t>
  </si>
  <si>
    <t>PAN-1904</t>
  </si>
  <si>
    <t>81ecc756-1e42-11e4-b4cd-db5882bf8def</t>
  </si>
  <si>
    <t>Manuel Amador Guerrero</t>
  </si>
  <si>
    <t>1833-06-30</t>
  </si>
  <si>
    <t>30jun1833</t>
  </si>
  <si>
    <t>https://urldefense.proofpoint.com/v2/url?u=http-3A__dbpedia.org_resource_Manuel-5FAmador-5FGuerrero&amp;d=BQID-g&amp;c=kbmfwr1Yojg42sGEpaQh5ofMHBeTl9EI2eaqQZhHbOU&amp;r=ZliGVSRwfirWoETOrKCh2RSnoygzVPWEk95Me9L-Kwo&amp;m=EaKyFx9mpkhPdFxsxzvW_fiM3jbYwM3xYLjVbSFoDAg&amp;s=u-rfgKXuE_1QqsB4nCD7y8XwjTiBRSkE7egcKNe0Gas&amp;e=</t>
  </si>
  <si>
    <t>58骞?1685</t>
  </si>
  <si>
    <t>PAN-1908</t>
  </si>
  <si>
    <t>81ecc757-1e42-11e4-b4cd-db5882bf8def</t>
  </si>
  <si>
    <t>Jose Domingo de Obaldia</t>
  </si>
  <si>
    <t>58骞?516</t>
  </si>
  <si>
    <t>PAN-1910-1</t>
  </si>
  <si>
    <t>81ecf82a-1e42-11e4-b4cd-db5882bf8def</t>
  </si>
  <si>
    <t>Carlos Antonio Mendoza</t>
  </si>
  <si>
    <t>58骞?214</t>
  </si>
  <si>
    <t>PAN-1910-2</t>
  </si>
  <si>
    <t>81ecf82b-1e42-11e4-b4cd-db5882bf8def</t>
  </si>
  <si>
    <t>Pablo Arosemena Alba</t>
  </si>
  <si>
    <t>1836-09-24</t>
  </si>
  <si>
    <t>24sep1836</t>
  </si>
  <si>
    <t>58骞?489</t>
  </si>
  <si>
    <t>PAN-1912-1</t>
  </si>
  <si>
    <t>81ed2908-1e42-11e4-b4cd-db5882bf8def</t>
  </si>
  <si>
    <t>Rudolfo Chiari</t>
  </si>
  <si>
    <t>1870-11-15</t>
  </si>
  <si>
    <t>15nov1870</t>
  </si>
  <si>
    <t>Father of Chiari, Roberto%81f2b122-1e42-11e4-b4cd-db5882bf8def</t>
  </si>
  <si>
    <t>58骞?35</t>
  </si>
  <si>
    <t>PAN-1912-2</t>
  </si>
  <si>
    <t>58骞?207</t>
  </si>
  <si>
    <t>PAN-1912-3</t>
  </si>
  <si>
    <t>81ed2909-1e42-11e4-b4cd-db5882bf8def</t>
  </si>
  <si>
    <t>Belisario Porras Barahona</t>
  </si>
  <si>
    <t>1856-11-28</t>
  </si>
  <si>
    <t>28nov1856</t>
  </si>
  <si>
    <t>PAN-1916</t>
  </si>
  <si>
    <t>81ed59dc-1e42-11e4-b4cd-db5882bf8def</t>
  </si>
  <si>
    <t>Ramon Maximiliano Valdes</t>
  </si>
  <si>
    <t>58骞?610</t>
  </si>
  <si>
    <t>PAN-1918-1</t>
  </si>
  <si>
    <t>81f1edd0-1e42-11e4-b4cd-db5882bf8def</t>
  </si>
  <si>
    <t>Ciro Luis Urriola</t>
  </si>
  <si>
    <t>58骞?120</t>
  </si>
  <si>
    <t>PAN-1918-2</t>
  </si>
  <si>
    <t>58骞?486</t>
  </si>
  <si>
    <t>PAN-1920-1</t>
  </si>
  <si>
    <t>81f1edd1-1e42-11e4-b4cd-db5882bf8def</t>
  </si>
  <si>
    <t>Ernesto Lefevre</t>
  </si>
  <si>
    <t>58骞?245</t>
  </si>
  <si>
    <t>PAN-1920-2</t>
  </si>
  <si>
    <t>PAN-1924</t>
  </si>
  <si>
    <t>58骞?1438</t>
  </si>
  <si>
    <t>PAN-1928-1</t>
  </si>
  <si>
    <t>81f21ea4-1e42-11e4-b4cd-db5882bf8def</t>
  </si>
  <si>
    <t>Tomas Duque</t>
  </si>
  <si>
    <t>58骞?23</t>
  </si>
  <si>
    <t>PAN-1928-2</t>
  </si>
  <si>
    <t>81f21ea5-1e42-11e4-b4cd-db5882bf8def</t>
  </si>
  <si>
    <t>Florencio Harmodio Arosemena</t>
  </si>
  <si>
    <t>1872-09-17</t>
  </si>
  <si>
    <t>17sep1872</t>
  </si>
  <si>
    <t>Brother of Arosomena, Juan%81f24f7a-1e42-11e4-b4cd-db5882bf8def</t>
  </si>
  <si>
    <t>58骞?824</t>
  </si>
  <si>
    <t>PAN-1931-1</t>
  </si>
  <si>
    <t>81f24f78-1e42-11e4-b4cd-db5882bf8def</t>
  </si>
  <si>
    <t>Arias, H.</t>
  </si>
  <si>
    <t>1886-07-03</t>
  </si>
  <si>
    <t>03jul1886</t>
  </si>
  <si>
    <t>Brother of Arias, A.%81f2804c-1e42-11e4-b4cd-db5882bf8def</t>
  </si>
  <si>
    <t>58骞?13</t>
  </si>
  <si>
    <t>PAN-1931-2</t>
  </si>
  <si>
    <t>81f24f79-1e42-11e4-b4cd-db5882bf8def</t>
  </si>
  <si>
    <t>Alfaro</t>
  </si>
  <si>
    <t>1882-08-20</t>
  </si>
  <si>
    <t>20aug1882</t>
  </si>
  <si>
    <t>58骞?624</t>
  </si>
  <si>
    <t>PAN-1932</t>
  </si>
  <si>
    <t>PAN-1936</t>
  </si>
  <si>
    <t>81f24f7a-1e42-11e4-b4cd-db5882bf8def</t>
  </si>
  <si>
    <t>Arosomena, Juan</t>
  </si>
  <si>
    <t>1879-06-24</t>
  </si>
  <si>
    <t>24jun1879</t>
  </si>
  <si>
    <t>Brother of Florencio Harmodio Arosemena%81f21ea5-1e42-11e4-b4cd-db5882bf8def</t>
  </si>
  <si>
    <t>58骞?1171</t>
  </si>
  <si>
    <t>PAN-1939</t>
  </si>
  <si>
    <t>81f24f7b-1e42-11e4-b4cd-db5882bf8def</t>
  </si>
  <si>
    <t>Boyd</t>
  </si>
  <si>
    <t>58骞?288</t>
  </si>
  <si>
    <t>PAN-1940</t>
  </si>
  <si>
    <t>81f2804c-1e42-11e4-b4cd-db5882bf8def</t>
  </si>
  <si>
    <t>Arias, A.</t>
  </si>
  <si>
    <t>Removed by Other Government Actors, without Foreign Support</t>
  </si>
  <si>
    <t>Brother of Arias, H.%81f24f78-1e42-11e4-b4cd-db5882bf8def</t>
  </si>
  <si>
    <t>58骞?373</t>
  </si>
  <si>
    <t>PAN-1941-1</t>
  </si>
  <si>
    <t>81f2804d-1e42-11e4-b4cd-db5882bf8def</t>
  </si>
  <si>
    <t>Ernesto Jaen Guardia</t>
  </si>
  <si>
    <t>PAN-1941-2</t>
  </si>
  <si>
    <t>81f2804e-1e42-11e4-b4cd-db5882bf8def</t>
  </si>
  <si>
    <t>Guardia, R.</t>
  </si>
  <si>
    <t>1899-06-14</t>
  </si>
  <si>
    <t>14jun1899</t>
  </si>
  <si>
    <t>58骞?1345</t>
  </si>
  <si>
    <t>PAN-1945</t>
  </si>
  <si>
    <t>81f2804f-1e42-11e4-b4cd-db5882bf8def</t>
  </si>
  <si>
    <t>58骞?1204</t>
  </si>
  <si>
    <t>PAN-1948</t>
  </si>
  <si>
    <t>81f2b120-1e42-11e4-b4cd-db5882bf8def</t>
  </si>
  <si>
    <t>Diaz Arosomena</t>
  </si>
  <si>
    <t>1873-09-17</t>
  </si>
  <si>
    <t>17sep1873</t>
  </si>
  <si>
    <t>58骞?300</t>
  </si>
  <si>
    <t>PAN-1949-1</t>
  </si>
  <si>
    <t>81f2b121-1e42-11e4-b4cd-db5882bf8def</t>
  </si>
  <si>
    <t>Chaniz Pinzon</t>
  </si>
  <si>
    <t>https://urldefense.proofpoint.com/v2/url?u=http-3A__dbpedia.org_resource_Daniel-5FChanis-5FPinz-25C3-25B3n&amp;d=BQID-g&amp;c=kbmfwr1Yojg42sGEpaQh5ofMHBeTl9EI2eaqQZhHbOU&amp;r=ZliGVSRwfirWoETOrKCh2RSnoygzVPWEk95Me9L-Kwo&amp;m=EaKyFx9mpkhPdFxsxzvW_fiM3jbYwM3xYLjVbSFoDAg&amp;s=Sw8rbphKrQT4VftNayzWyQG3NHHdzQ07rMDy3BVnmbc&amp;e=</t>
  </si>
  <si>
    <t>58骞?115</t>
  </si>
  <si>
    <t>PAN-1949-2</t>
  </si>
  <si>
    <t>81f2b122-1e42-11e4-b4cd-db5882bf8def</t>
  </si>
  <si>
    <t>Chiari, Roberto</t>
  </si>
  <si>
    <t>Son of Rudolfo Chiari%81ed2908-1e42-11e4-b4cd-db5882bf8def</t>
  </si>
  <si>
    <t>58骞?5</t>
  </si>
  <si>
    <t>PAN-1949-3</t>
  </si>
  <si>
    <t>58骞?531</t>
  </si>
  <si>
    <t>PAN-1951</t>
  </si>
  <si>
    <t>81f2e1fe-1e42-11e4-b4cd-db5882bf8def</t>
  </si>
  <si>
    <t>Arosomena, A.</t>
  </si>
  <si>
    <t>1883-11-20</t>
  </si>
  <si>
    <t>20nov1883</t>
  </si>
  <si>
    <t>58骞?510</t>
  </si>
  <si>
    <t>PAN-1952</t>
  </si>
  <si>
    <t>81f2e1ff-1e42-11e4-b4cd-db5882bf8def</t>
  </si>
  <si>
    <t>Remon Cantero</t>
  </si>
  <si>
    <t>58骞?823</t>
  </si>
  <si>
    <t>PAN-1955-1</t>
  </si>
  <si>
    <t>81f2e200-1e42-11e4-b4cd-db5882bf8def</t>
  </si>
  <si>
    <t>Guizado</t>
  </si>
  <si>
    <t>58骞?12</t>
  </si>
  <si>
    <t>PAN-1955-2</t>
  </si>
  <si>
    <t>81f312d2-1e42-11e4-b4cd-db5882bf8def</t>
  </si>
  <si>
    <t>Arias Espinosa</t>
  </si>
  <si>
    <t>58骞?625</t>
  </si>
  <si>
    <t>PAN-1956</t>
  </si>
  <si>
    <t>81f312d3-1e42-11e4-b4cd-db5882bf8def</t>
  </si>
  <si>
    <t>Guardia Jr., E.</t>
  </si>
  <si>
    <t>PAN-1960</t>
  </si>
  <si>
    <t>PAN-1964</t>
  </si>
  <si>
    <t>81f312d4-1e42-11e4-b4cd-db5882bf8def</t>
  </si>
  <si>
    <t>Robles</t>
  </si>
  <si>
    <t>PAN-1968-1</t>
  </si>
  <si>
    <t>58骞?11</t>
  </si>
  <si>
    <t>PAN-1968-2</t>
  </si>
  <si>
    <t>81f312d5-1e42-11e4-b4cd-db5882bf8def</t>
  </si>
  <si>
    <t>Torrijos Herrera</t>
  </si>
  <si>
    <t>Father of Martin Torrijos%81f3747b-1e42-11e4-b4cd-db5882bf8def</t>
  </si>
  <si>
    <t>58骞?4675</t>
  </si>
  <si>
    <t>PAN-1981</t>
  </si>
  <si>
    <t>81f343a6-1e42-11e4-b4cd-db5882bf8def</t>
  </si>
  <si>
    <t>Florez Aguilar</t>
  </si>
  <si>
    <t>58骞?215</t>
  </si>
  <si>
    <t>PAN-1982</t>
  </si>
  <si>
    <t>81f343a7-1e42-11e4-b4cd-db5882bf8def</t>
  </si>
  <si>
    <t>Dario Paredes</t>
  </si>
  <si>
    <t>58骞?530</t>
  </si>
  <si>
    <t>PAN-1983</t>
  </si>
  <si>
    <t>81f343a8-1e42-11e4-b4cd-db5882bf8def</t>
  </si>
  <si>
    <t>Noriega</t>
  </si>
  <si>
    <t>58骞?2333</t>
  </si>
  <si>
    <t>PAN-1990</t>
  </si>
  <si>
    <t>81f343a9-1e42-11e4-b4cd-db5882bf8def</t>
  </si>
  <si>
    <t>Endara</t>
  </si>
  <si>
    <t>PAN-1994</t>
  </si>
  <si>
    <t>81f343aa-1e42-11e4-b4cd-db5882bf8def</t>
  </si>
  <si>
    <t>Balladares</t>
  </si>
  <si>
    <t>58骞?1826</t>
  </si>
  <si>
    <t>PAN-1999</t>
  </si>
  <si>
    <t>81f3747a-1e42-11e4-b4cd-db5882bf8def</t>
  </si>
  <si>
    <t>Mireya Moscoso</t>
  </si>
  <si>
    <t>https://urldefense.proofpoint.com/v2/url?u=http-3A__dbpedia.org_resource_Mireya-5FMoscoso&amp;d=BQID-g&amp;c=kbmfwr1Yojg42sGEpaQh5ofMHBeTl9EI2eaqQZhHbOU&amp;r=ZliGVSRwfirWoETOrKCh2RSnoygzVPWEk95Me9L-Kwo&amp;m=EaKyFx9mpkhPdFxsxzvW_fiM3jbYwM3xYLjVbSFoDAg&amp;s=fjuQM0QueX3-pUtyWxqktK3g0SsugpgfHkqEau6SAns&amp;e=</t>
  </si>
  <si>
    <t>58骞?1827</t>
  </si>
  <si>
    <t>PAN-2004</t>
  </si>
  <si>
    <t>81f3747b-1e42-11e4-b4cd-db5882bf8def</t>
  </si>
  <si>
    <t>Martin Torrijos</t>
  </si>
  <si>
    <t>Son of Torrijos Herrera%81f312d5-1e42-11e4-b4cd-db5882bf8def</t>
  </si>
  <si>
    <t>58骞?1764</t>
  </si>
  <si>
    <t>PAN-2009</t>
  </si>
  <si>
    <t>82508a85-1e42-11e4-b4cd-db5882bf8def</t>
  </si>
  <si>
    <t>Martinelli</t>
  </si>
  <si>
    <t>PAN-2014</t>
  </si>
  <si>
    <t>149e15bd-aae0-11e4-b3bc-29f2fa19767e</t>
  </si>
  <si>
    <t>Varela Rodriguez</t>
  </si>
  <si>
    <t>58骞?548</t>
  </si>
  <si>
    <t>COL-1874</t>
  </si>
  <si>
    <t>81f3747c-1e42-11e4-b4cd-db5882bf8def</t>
  </si>
  <si>
    <t>COL</t>
  </si>
  <si>
    <t>Perez</t>
  </si>
  <si>
    <t>1874-04-01</t>
  </si>
  <si>
    <t>1876-04-01</t>
  </si>
  <si>
    <t>https://urldefense.proofpoint.com/v2/url?u=http-3A__dbpedia.org_resource_Santiago-5FP-25C3-25A9rez-5Fde-5FManosalbas&amp;d=BQID-g&amp;c=kbmfwr1Yojg42sGEpaQh5ofMHBeTl9EI2eaqQZhHbOU&amp;r=ZliGVSRwfirWoETOrKCh2RSnoygzVPWEk95Me9L-Kwo&amp;m=EaKyFx9mpkhPdFxsxzvW_fiM3jbYwM3xYLjVbSFoDAg&amp;s=TI7HMY5fXb9R1ZsodnbSrM-u_FixtFWK1L0c_uB_wMs&amp;e=</t>
  </si>
  <si>
    <t>75骞?731</t>
  </si>
  <si>
    <t>COL-1876</t>
  </si>
  <si>
    <t>81f3747d-1e42-11e4-b4cd-db5882bf8def</t>
  </si>
  <si>
    <t>Parra</t>
  </si>
  <si>
    <t>1877-05-14</t>
  </si>
  <si>
    <t>https://urldefense.proofpoint.com/v2/url?u=http-3A__dbpedia.org_resource_Aquileo-5FParra&amp;d=BQID-g&amp;c=kbmfwr1Yojg42sGEpaQh5ofMHBeTl9EI2eaqQZhHbOU&amp;r=ZliGVSRwfirWoETOrKCh2RSnoygzVPWEk95Me9L-Kwo&amp;m=EaKyFx9mpkhPdFxsxzvW_fiM3jbYwM3xYLjVbSFoDAg&amp;s=9p4S493__gz6qrxLES1LX2Bv-yqcXJr-b7O5vnglg14&amp;e=</t>
  </si>
  <si>
    <t>75骞?408</t>
  </si>
  <si>
    <t>COL-1877-1</t>
  </si>
  <si>
    <t>81f3747e-1e42-11e4-b4cd-db5882bf8def</t>
  </si>
  <si>
    <t>Camargo</t>
  </si>
  <si>
    <t>1877-08-15</t>
  </si>
  <si>
    <t>1832-12-26</t>
  </si>
  <si>
    <t>26dec1832</t>
  </si>
  <si>
    <t>75骞?93</t>
  </si>
  <si>
    <t>COL-1877-2</t>
  </si>
  <si>
    <t>1878-04-01</t>
  </si>
  <si>
    <t>75骞?229</t>
  </si>
  <si>
    <t>COL-1878</t>
  </si>
  <si>
    <t>352d21d8-3bbd-11e5-afeb-eb6f07f9fec7</t>
  </si>
  <si>
    <t>Juli谩n Trujillo Largacha</t>
  </si>
  <si>
    <t>1880-04-08</t>
  </si>
  <si>
    <t>75骞?738</t>
  </si>
  <si>
    <t>COL-1880</t>
  </si>
  <si>
    <t>81f3a54e-1e42-11e4-b4cd-db5882bf8def</t>
  </si>
  <si>
    <t>Nunez</t>
  </si>
  <si>
    <t>1882-04-01</t>
  </si>
  <si>
    <t>1825-09-28</t>
  </si>
  <si>
    <t>28sep1825</t>
  </si>
  <si>
    <t>1894-09-18</t>
  </si>
  <si>
    <t>18sep1894</t>
  </si>
  <si>
    <t>https://urldefense.proofpoint.com/v2/url?u=http-3A__dbpedia.org_resource_Rafael-5FN-25C3-25BA-25C3-25B1ez-5F-2528politician-2529&amp;d=BQID-g&amp;c=kbmfwr1Yojg42sGEpaQh5ofMHBeTl9EI2eaqQZhHbOU&amp;r=ZliGVSRwfirWoETOrKCh2RSnoygzVPWEk95Me9L-Kwo&amp;m=EaKyFx9mpkhPdFxsxzvW_fiM3jbYwM3xYLjVbSFoDAg&amp;s=PgsuzaSTIVvRveeoeWfp6JUS5FitFtRiVkPjo0d6RiY&amp;e=</t>
  </si>
  <si>
    <t>75骞?723</t>
  </si>
  <si>
    <t>COL-1882-1</t>
  </si>
  <si>
    <t>81f3a54f-1e42-11e4-b4cd-db5882bf8def</t>
  </si>
  <si>
    <t>Zaldua</t>
  </si>
  <si>
    <t>1882-12-21</t>
  </si>
  <si>
    <t>75骞?264</t>
  </si>
  <si>
    <t>COL-1882-2</t>
  </si>
  <si>
    <t>81f3a550-1e42-11e4-b4cd-db5882bf8def</t>
  </si>
  <si>
    <t>Otalora</t>
  </si>
  <si>
    <t>1882-12-22</t>
  </si>
  <si>
    <t>1884-04-01</t>
  </si>
  <si>
    <t>75骞?466</t>
  </si>
  <si>
    <t>COL-1884</t>
  </si>
  <si>
    <t>1894-09-12</t>
  </si>
  <si>
    <t>75骞?3816</t>
  </si>
  <si>
    <t>COL-1894</t>
  </si>
  <si>
    <t>81f3a551-1e42-11e4-b4cd-db5882bf8def</t>
  </si>
  <si>
    <t>Caro</t>
  </si>
  <si>
    <t>1898-08-07</t>
  </si>
  <si>
    <t>75骞?1419</t>
  </si>
  <si>
    <t>COL-1898</t>
  </si>
  <si>
    <t>81f3a552-1e42-11e4-b4cd-db5882bf8def</t>
  </si>
  <si>
    <t>Sanclemente</t>
  </si>
  <si>
    <t>https://urldefense.proofpoint.com/v2/url?u=http-3A__dbpedia.org_resource_Manuel-5FAntonio-5FSanclemente&amp;d=BQID-g&amp;c=kbmfwr1Yojg42sGEpaQh5ofMHBeTl9EI2eaqQZhHbOU&amp;r=ZliGVSRwfirWoETOrKCh2RSnoygzVPWEk95Me9L-Kwo&amp;m=EaKyFx9mpkhPdFxsxzvW_fiM3jbYwM3xYLjVbSFoDAg&amp;s=KviFfw4tjGnbJvhdNY5igzFvbGrbnrNvcshl4EeGGn0&amp;e=</t>
  </si>
  <si>
    <t>COL-1900</t>
  </si>
  <si>
    <t>81f3d622-1e42-11e4-b4cd-db5882bf8def</t>
  </si>
  <si>
    <t>Marroquin</t>
  </si>
  <si>
    <t>1827-08-06</t>
  </si>
  <si>
    <t>06aug1827</t>
  </si>
  <si>
    <t>https://urldefense.proofpoint.com/v2/url?u=http-3A__dbpedia.org_resource_Jos-25C3-25A9-5FManuel-5FMarroqu-25C3-25ADn&amp;d=BQID-g&amp;c=kbmfwr1Yojg42sGEpaQh5ofMHBeTl9EI2eaqQZhHbOU&amp;r=ZliGVSRwfirWoETOrKCh2RSnoygzVPWEk95Me9L-Kwo&amp;m=EaKyFx9mpkhPdFxsxzvW_fiM3jbYwM3xYLjVbSFoDAg&amp;s=v3KKoik8P7LLxVhT_YviNgXHcQaDHqmjteou8tJBH7w&amp;e=</t>
  </si>
  <si>
    <t>75骞?1468</t>
  </si>
  <si>
    <t>COL-1904</t>
  </si>
  <si>
    <t>81f3d623-1e42-11e4-b4cd-db5882bf8def</t>
  </si>
  <si>
    <t>Reyes Prieto</t>
  </si>
  <si>
    <t>1849-12-05</t>
  </si>
  <si>
    <t>05dec1849</t>
  </si>
  <si>
    <t>75骞?1796</t>
  </si>
  <si>
    <t>COL-1909-1</t>
  </si>
  <si>
    <t>81f3d624-1e42-11e4-b4cd-db5882bf8def</t>
  </si>
  <si>
    <t>J. Holguin</t>
  </si>
  <si>
    <t>1848-10-30</t>
  </si>
  <si>
    <t>30oct1848</t>
  </si>
  <si>
    <t>https://urldefense.proofpoint.com/v2/url?u=http-3A__dbpedia.org_resource_Jorge-5FHolgu-25C3-25ADn&amp;d=BQID-g&amp;c=kbmfwr1Yojg42sGEpaQh5ofMHBeTl9EI2eaqQZhHbOU&amp;r=ZliGVSRwfirWoETOrKCh2RSnoygzVPWEk95Me9L-Kwo&amp;m=EaKyFx9mpkhPdFxsxzvW_fiM3jbYwM3xYLjVbSFoDAg&amp;s=sekZpqZ8BBmEaOTWwAYj8prqX8W2lNzxtDKBwqdsfjA&amp;e=</t>
  </si>
  <si>
    <t>75骞?26</t>
  </si>
  <si>
    <t>COL-1909-2</t>
  </si>
  <si>
    <t>81f3d625-1e42-11e4-b4cd-db5882bf8def</t>
  </si>
  <si>
    <t>Gonzales Valencia</t>
  </si>
  <si>
    <t>75骞?346</t>
  </si>
  <si>
    <t>COL-1910</t>
  </si>
  <si>
    <t>81f3d626-1e42-11e4-b4cd-db5882bf8def</t>
  </si>
  <si>
    <t>Restropo</t>
  </si>
  <si>
    <t>1867-09-12</t>
  </si>
  <si>
    <t>12sep1867</t>
  </si>
  <si>
    <t>https://urldefense.proofpoint.com/v2/url?u=http-3A__dbpedia.org_resource_Carlos-5FEugenio-5FRestrepo&amp;d=BQID-g&amp;c=kbmfwr1Yojg42sGEpaQh5ofMHBeTl9EI2eaqQZhHbOU&amp;r=ZliGVSRwfirWoETOrKCh2RSnoygzVPWEk95Me9L-Kwo&amp;m=EaKyFx9mpkhPdFxsxzvW_fiM3jbYwM3xYLjVbSFoDAg&amp;s=q-D2FjAQ4Bc6kOR9L_LOA2SMC1MNhMVsSgDYbM9fiYE&amp;e=</t>
  </si>
  <si>
    <t>75骞?1484</t>
  </si>
  <si>
    <t>COL-1914</t>
  </si>
  <si>
    <t>81f406f6-1e42-11e4-b4cd-db5882bf8def</t>
  </si>
  <si>
    <t>Concha</t>
  </si>
  <si>
    <t>1867-04-21</t>
  </si>
  <si>
    <t>21apr1867</t>
  </si>
  <si>
    <t>COL-1918</t>
  </si>
  <si>
    <t>81f406f7-1e42-11e4-b4cd-db5882bf8def</t>
  </si>
  <si>
    <t>Suarez</t>
  </si>
  <si>
    <t>1855-04-23</t>
  </si>
  <si>
    <t>23apr1855</t>
  </si>
  <si>
    <t>https://urldefense.proofpoint.com/v2/url?u=http-3A__dbpedia.org_resource_Marco-5FFidel-5FSu-25C3-25A1rez&amp;d=BQID-g&amp;c=kbmfwr1Yojg42sGEpaQh5ofMHBeTl9EI2eaqQZhHbOU&amp;r=ZliGVSRwfirWoETOrKCh2RSnoygzVPWEk95Me9L-Kwo&amp;m=EaKyFx9mpkhPdFxsxzvW_fiM3jbYwM3xYLjVbSFoDAg&amp;s=UWerDOJLMQM3GwNAHBWVskCkOfyr2ntBvhfkl3x2p0Y&amp;e=</t>
  </si>
  <si>
    <t>75骞?1192</t>
  </si>
  <si>
    <t>COL-1921</t>
  </si>
  <si>
    <t>75骞?269</t>
  </si>
  <si>
    <t>COL-1922</t>
  </si>
  <si>
    <t>81f406f8-1e42-11e4-b4cd-db5882bf8def</t>
  </si>
  <si>
    <t>Nel Ospina</t>
  </si>
  <si>
    <t>1858-09-18</t>
  </si>
  <si>
    <t>18sep1858</t>
  </si>
  <si>
    <t>https://urldefense.proofpoint.com/v2/url?u=http-3A__dbpedia.org_resource_Pedro-5FNel-5FOspina&amp;d=BQID-g&amp;c=kbmfwr1Yojg42sGEpaQh5ofMHBeTl9EI2eaqQZhHbOU&amp;r=ZliGVSRwfirWoETOrKCh2RSnoygzVPWEk95Me9L-Kwo&amp;m=EaKyFx9mpkhPdFxsxzvW_fiM3jbYwM3xYLjVbSFoDAg&amp;s=SS4ENycWJbVEBg0zfuYuCtr5-ysHsxQ9KndiCYjOOIA&amp;e=</t>
  </si>
  <si>
    <t>COL-1926</t>
  </si>
  <si>
    <t>81f406f9-1e42-11e4-b4cd-db5882bf8def</t>
  </si>
  <si>
    <t>Abadia Mendez</t>
  </si>
  <si>
    <t>1867-06-05</t>
  </si>
  <si>
    <t>05jun1867</t>
  </si>
  <si>
    <t>https://urldefense.proofpoint.com/v2/url?u=http-3A__dbpedia.org_resource_Miguel-5FAbad-25C3-25ADa-5FM-25C3-25A9ndez&amp;d=BQID-g&amp;c=kbmfwr1Yojg42sGEpaQh5ofMHBeTl9EI2eaqQZhHbOU&amp;r=ZliGVSRwfirWoETOrKCh2RSnoygzVPWEk95Me9L-Kwo&amp;m=EaKyFx9mpkhPdFxsxzvW_fiM3jbYwM3xYLjVbSFoDAg&amp;s=MbtP83dqsR9efTalxXPws1Oe9iGGfUX4yPfqozNaMWY&amp;e=</t>
  </si>
  <si>
    <t>COL-1930</t>
  </si>
  <si>
    <t>81f437ca-1e42-11e4-b4cd-db5882bf8def</t>
  </si>
  <si>
    <t>Olaya Herrera</t>
  </si>
  <si>
    <t>COL-1934</t>
  </si>
  <si>
    <t>81f437cb-1e42-11e4-b4cd-db5882bf8def</t>
  </si>
  <si>
    <t>Lopez Pumarejo</t>
  </si>
  <si>
    <t>1886-01-31</t>
  </si>
  <si>
    <t>31jan1886</t>
  </si>
  <si>
    <t>https://urldefense.proofpoint.com/v2/url?u=http-3A__dbpedia.org_resource_Alfonso-5FL-25C3-25B3pez-5FPumarejo&amp;d=BQID-g&amp;c=kbmfwr1Yojg42sGEpaQh5ofMHBeTl9EI2eaqQZhHbOU&amp;r=ZliGVSRwfirWoETOrKCh2RSnoygzVPWEk95Me9L-Kwo&amp;m=EaKyFx9mpkhPdFxsxzvW_fiM3jbYwM3xYLjVbSFoDAg&amp;s=F7KOTCzjbN42STZq_QY_kNJsu-uUxpb4nCQBkErdkfw&amp;e=</t>
  </si>
  <si>
    <t>Father of Lopez Michelsen%81f49975-1e42-11e4-b4cd-db5882bf8def</t>
  </si>
  <si>
    <t>COL-1938</t>
  </si>
  <si>
    <t>81f437cc-1e42-11e4-b4cd-db5882bf8def</t>
  </si>
  <si>
    <t>Santos</t>
  </si>
  <si>
    <t>https://urldefense.proofpoint.com/v2/url?u=http-3A__dbpedia.org_resource_Eduardo-5FSantos&amp;d=BQID-g&amp;c=kbmfwr1Yojg42sGEpaQh5ofMHBeTl9EI2eaqQZhHbOU&amp;r=ZliGVSRwfirWoETOrKCh2RSnoygzVPWEk95Me9L-Kwo&amp;m=EaKyFx9mpkhPdFxsxzvW_fiM3jbYwM3xYLjVbSFoDAg&amp;s=uoA9paQrJM_WgG9TUVQIXKSJRvsFNRsCWmIJL9xbgmU&amp;e=</t>
  </si>
  <si>
    <t>COL-1942</t>
  </si>
  <si>
    <t>75骞?1096</t>
  </si>
  <si>
    <t>COL-1945</t>
  </si>
  <si>
    <t>81f437cd-1e42-11e4-b4cd-db5882bf8def</t>
  </si>
  <si>
    <t>Lleras Camargo</t>
  </si>
  <si>
    <t>https://urldefense.proofpoint.com/v2/url?u=http-3A__dbpedia.org_resource_Alberto-5FLleras-5FCamargo&amp;d=BQID-g&amp;c=kbmfwr1Yojg42sGEpaQh5ofMHBeTl9EI2eaqQZhHbOU&amp;r=ZliGVSRwfirWoETOrKCh2RSnoygzVPWEk95Me9L-Kwo&amp;m=EaKyFx9mpkhPdFxsxzvW_fiM3jbYwM3xYLjVbSFoDAg&amp;s=wuZ4hnIVmciglwNattU9dvCrPa7Wsox-YHg5LVGHD20&amp;e=</t>
  </si>
  <si>
    <t>Cousin (distant) of Lleras Restropo%81f49973-1e42-11e4-b4cd-db5882bf8def</t>
  </si>
  <si>
    <t>75骞?365</t>
  </si>
  <si>
    <t>COL-1946</t>
  </si>
  <si>
    <t>81f4689e-1e42-11e4-b4cd-db5882bf8def</t>
  </si>
  <si>
    <t>Ospina Perez</t>
  </si>
  <si>
    <t>1891-11-24</t>
  </si>
  <si>
    <t>24nov1891</t>
  </si>
  <si>
    <t>https://urldefense.proofpoint.com/v2/url?u=http-3A__dbpedia.org_resource_Mariano-5FOspina-5FP-25C3-25A9rez&amp;d=BQID-g&amp;c=kbmfwr1Yojg42sGEpaQh5ofMHBeTl9EI2eaqQZhHbOU&amp;r=ZliGVSRwfirWoETOrKCh2RSnoygzVPWEk95Me9L-Kwo&amp;m=EaKyFx9mpkhPdFxsxzvW_fiM3jbYwM3xYLjVbSFoDAg&amp;s=hQVFKp5qP68iQh0Kkrq6uWtPdKM9bPI_an05BVce6rU&amp;e=</t>
  </si>
  <si>
    <t>COL-1950</t>
  </si>
  <si>
    <t>81f4689f-1e42-11e4-b4cd-db5882bf8def</t>
  </si>
  <si>
    <t>Laureanco Gomez</t>
  </si>
  <si>
    <t>1889-02-20</t>
  </si>
  <si>
    <t>20feb1889</t>
  </si>
  <si>
    <t>75骞?455</t>
  </si>
  <si>
    <t>COL-1951</t>
  </si>
  <si>
    <t>81f468a0-1e42-11e4-b4cd-db5882bf8def</t>
  </si>
  <si>
    <t>Roberto Urdaneta Arbelaez</t>
  </si>
  <si>
    <t>https://urldefense.proofpoint.com/v2/url?u=http-3A__dbpedia.org_resource_Roberto-5FUrdaneta-5FArbel-25C3-25A1ez&amp;d=BQID-g&amp;c=kbmfwr1Yojg42sGEpaQh5ofMHBeTl9EI2eaqQZhHbOU&amp;r=ZliGVSRwfirWoETOrKCh2RSnoygzVPWEk95Me9L-Kwo&amp;m=EaKyFx9mpkhPdFxsxzvW_fiM3jbYwM3xYLjVbSFoDAg&amp;s=nKE9ntJwlOCC7au7kAFQNyQ_i1sfIMllEE7x4Wyh8H8&amp;e=</t>
  </si>
  <si>
    <t>75骞?586</t>
  </si>
  <si>
    <t>COL-1953-1</t>
  </si>
  <si>
    <t>75骞?0</t>
  </si>
  <si>
    <t>COL-1953-2</t>
  </si>
  <si>
    <t>81f468a1-1e42-11e4-b4cd-db5882bf8def</t>
  </si>
  <si>
    <t>Rojas Pinillia</t>
  </si>
  <si>
    <t>https://urldefense.proofpoint.com/v2/url?u=http-3A__dbpedia.org_resource_Gustavo-5FRojas-5FPinilla&amp;d=BQID-g&amp;c=kbmfwr1Yojg42sGEpaQh5ofMHBeTl9EI2eaqQZhHbOU&amp;r=ZliGVSRwfirWoETOrKCh2RSnoygzVPWEk95Me9L-Kwo&amp;m=EaKyFx9mpkhPdFxsxzvW_fiM3jbYwM3xYLjVbSFoDAg&amp;s=HCNOCLCuNmVYcEaDTDHQkxdJyPKK-ikyXvgxbvWPlZY&amp;e=</t>
  </si>
  <si>
    <t>75骞?1427</t>
  </si>
  <si>
    <t>COL-1957</t>
  </si>
  <si>
    <t>81f468a2-1e42-11e4-b4cd-db5882bf8def</t>
  </si>
  <si>
    <t>Paris</t>
  </si>
  <si>
    <t>75骞?454</t>
  </si>
  <si>
    <t>COL-1958</t>
  </si>
  <si>
    <t>COL-1962</t>
  </si>
  <si>
    <t>81f49972-1e42-11e4-b4cd-db5882bf8def</t>
  </si>
  <si>
    <t>Guillermo-Leon</t>
  </si>
  <si>
    <t>https://urldefense.proofpoint.com/v2/url?u=http-3A__dbpedia.org_resource_Guillermo-5FLe-25C3-25B3n-5FValencia&amp;d=BQID-g&amp;c=kbmfwr1Yojg42sGEpaQh5ofMHBeTl9EI2eaqQZhHbOU&amp;r=ZliGVSRwfirWoETOrKCh2RSnoygzVPWEk95Me9L-Kwo&amp;m=EaKyFx9mpkhPdFxsxzvW_fiM3jbYwM3xYLjVbSFoDAg&amp;s=Z8J0Sf0O2Y8GPn8puAK5PUzNNMwMq0nhXb5Swz0USYI&amp;e=</t>
  </si>
  <si>
    <t>COL-1966</t>
  </si>
  <si>
    <t>81f49973-1e42-11e4-b4cd-db5882bf8def</t>
  </si>
  <si>
    <t>Lleras Restropo</t>
  </si>
  <si>
    <t>https://urldefense.proofpoint.com/v2/url?u=http-3A__dbpedia.org_resource_Carlos-5FLleras-5FRestrepo&amp;d=BQID-g&amp;c=kbmfwr1Yojg42sGEpaQh5ofMHBeTl9EI2eaqQZhHbOU&amp;r=ZliGVSRwfirWoETOrKCh2RSnoygzVPWEk95Me9L-Kwo&amp;m=EaKyFx9mpkhPdFxsxzvW_fiM3jbYwM3xYLjVbSFoDAg&amp;s=iHdYo7FBX0OmX1L4nnR5FPno2SGK4dYXCGdMm2dCC6M&amp;e=</t>
  </si>
  <si>
    <t>Cousin (distant) of Lleras Camargo%81f437cd-1e42-11e4-b4cd-db5882bf8def</t>
  </si>
  <si>
    <t>COL-1970</t>
  </si>
  <si>
    <t>81f49974-1e42-11e4-b4cd-db5882bf8def</t>
  </si>
  <si>
    <t>Pastrana Borrero</t>
  </si>
  <si>
    <t>https://urldefense.proofpoint.com/v2/url?u=http-3A__dbpedia.org_resource_Misael-5FPastrana-5FBorrero&amp;d=BQID-g&amp;c=kbmfwr1Yojg42sGEpaQh5ofMHBeTl9EI2eaqQZhHbOU&amp;r=ZliGVSRwfirWoETOrKCh2RSnoygzVPWEk95Me9L-Kwo&amp;m=EaKyFx9mpkhPdFxsxzvW_fiM3jbYwM3xYLjVbSFoDAg&amp;s=jKwk5A7c6tAKXz7pvt9hRvyWQtlUfEDSeL5pCssMyY4&amp;e=</t>
  </si>
  <si>
    <t>Father of Arango%81f4fb25-1e42-11e4-b4cd-db5882bf8def</t>
  </si>
  <si>
    <t>COL-1974</t>
  </si>
  <si>
    <t>81f49975-1e42-11e4-b4cd-db5882bf8def</t>
  </si>
  <si>
    <t>Lopez Michelsen</t>
  </si>
  <si>
    <t>https://urldefense.proofpoint.com/v2/url?u=http-3A__dbpedia.org_resource_Alfonso-5FL-25C3-25B3pez-5FMichelsen&amp;d=BQID-g&amp;c=kbmfwr1Yojg42sGEpaQh5ofMHBeTl9EI2eaqQZhHbOU&amp;r=ZliGVSRwfirWoETOrKCh2RSnoygzVPWEk95Me9L-Kwo&amp;m=EaKyFx9mpkhPdFxsxzvW_fiM3jbYwM3xYLjVbSFoDAg&amp;s=YOVQch2Emys_hl54v9chfhXyICMFrKo-O6m8zfCfQdo&amp;e=</t>
  </si>
  <si>
    <t>Son of Lopez Pumarejo%81f437cb-1e42-11e4-b4cd-db5882bf8def</t>
  </si>
  <si>
    <t>COL-1978</t>
  </si>
  <si>
    <t>81f4ca50-1e42-11e4-b4cd-db5882bf8def</t>
  </si>
  <si>
    <t>Turbay</t>
  </si>
  <si>
    <t>https://urldefense.proofpoint.com/v2/url?u=http-3A__dbpedia.org_resource_Julio-5FC-25C3-25A9sar-5FTurbay-5FAyala&amp;d=BQID-g&amp;c=kbmfwr1Yojg42sGEpaQh5ofMHBeTl9EI2eaqQZhHbOU&amp;r=ZliGVSRwfirWoETOrKCh2RSnoygzVPWEk95Me9L-Kwo&amp;m=EaKyFx9mpkhPdFxsxzvW_fiM3jbYwM3xYLjVbSFoDAg&amp;s=smsn3t64KfK0l9f94Qi5zOrC9JOCKNqMPKJ2jRDI9KY&amp;e=</t>
  </si>
  <si>
    <t>COL-1982</t>
  </si>
  <si>
    <t>81f4ca51-1e42-11e4-b4cd-db5882bf8def</t>
  </si>
  <si>
    <t>Betancur</t>
  </si>
  <si>
    <t>COL-1986</t>
  </si>
  <si>
    <t>81f4ca52-1e42-11e4-b4cd-db5882bf8def</t>
  </si>
  <si>
    <t>Vargas</t>
  </si>
  <si>
    <t>https://urldefense.proofpoint.com/v2/url?u=http-3A__dbpedia.org_resource_Virgilio-5FBarco-5FVargas&amp;d=BQID-g&amp;c=kbmfwr1Yojg42sGEpaQh5ofMHBeTl9EI2eaqQZhHbOU&amp;r=ZliGVSRwfirWoETOrKCh2RSnoygzVPWEk95Me9L-Kwo&amp;m=EaKyFx9mpkhPdFxsxzvW_fiM3jbYwM3xYLjVbSFoDAg&amp;s=nj7LRk28hbrFfTBHBLNoyOsfK8wlfOc1a1AYtsRPqkU&amp;e=</t>
  </si>
  <si>
    <t>COL-1990</t>
  </si>
  <si>
    <t>43f5ae9e-de6a-11e5-ba44-bb6d7c1a9a58</t>
  </si>
  <si>
    <t>C茅sar Gaviria Trujillo</t>
  </si>
  <si>
    <t>COL-1994</t>
  </si>
  <si>
    <t>81f4fb24-1e42-11e4-b4cd-db5882bf8def</t>
  </si>
  <si>
    <t>Pizano</t>
  </si>
  <si>
    <t>COL-1998</t>
  </si>
  <si>
    <t>81f4fb25-1e42-11e4-b4cd-db5882bf8def</t>
  </si>
  <si>
    <t>Arango</t>
  </si>
  <si>
    <t>Son of Pastrana Borrero%81f49974-1e42-11e4-b4cd-db5882bf8def</t>
  </si>
  <si>
    <t>COL-2002</t>
  </si>
  <si>
    <t>81f4fb26-1e42-11e4-b4cd-db5882bf8def</t>
  </si>
  <si>
    <t>Alvaro Uribe Velez</t>
  </si>
  <si>
    <t>75骞?2921</t>
  </si>
  <si>
    <t>COL-2010</t>
  </si>
  <si>
    <t>82508a86-1e42-11e4-b4cd-db5882bf8def</t>
  </si>
  <si>
    <t>Santos Calderon</t>
  </si>
  <si>
    <t>75骞?1972</t>
  </si>
  <si>
    <t>VEN-1870</t>
  </si>
  <si>
    <t>81f4fb27-1e42-11e4-b4cd-db5882bf8def</t>
  </si>
  <si>
    <t>VEN</t>
  </si>
  <si>
    <t>Guzman Blanco</t>
  </si>
  <si>
    <t>1870-04-27</t>
  </si>
  <si>
    <t>1877-02-20</t>
  </si>
  <si>
    <t>1829-02-20</t>
  </si>
  <si>
    <t>20feb1829</t>
  </si>
  <si>
    <t>https://urldefense.proofpoint.com/v2/url?u=http-3A__dbpedia.org_resource_Antonio-5FGuzm-25C3-25A1n-5FBlanco&amp;d=BQID-g&amp;c=kbmfwr1Yojg42sGEpaQh5ofMHBeTl9EI2eaqQZhHbOU&amp;r=ZliGVSRwfirWoETOrKCh2RSnoygzVPWEk95Me9L-Kwo&amp;m=EaKyFx9mpkhPdFxsxzvW_fiM3jbYwM3xYLjVbSFoDAg&amp;s=_hZ5mPiCo9vcWVdGu_x9xsiYzokZBJr6Tr_KMT6UgZA&amp;e=</t>
  </si>
  <si>
    <t>99骞?2491</t>
  </si>
  <si>
    <t>VEN-1877-1</t>
  </si>
  <si>
    <t>81f52bf8-1e42-11e4-b4cd-db5882bf8def</t>
  </si>
  <si>
    <t>Jacinto Guitierrez Martinez de Aleman</t>
  </si>
  <si>
    <t>1877-02-21</t>
  </si>
  <si>
    <t>1877-03-02</t>
  </si>
  <si>
    <t>99骞?9</t>
  </si>
  <si>
    <t>VEN-1877-2</t>
  </si>
  <si>
    <t>81f52bf9-1e42-11e4-b4cd-db5882bf8def</t>
  </si>
  <si>
    <t>Linares Alcantara</t>
  </si>
  <si>
    <t>1878-11-20</t>
  </si>
  <si>
    <t>1878-11-30</t>
  </si>
  <si>
    <t>30nov1878</t>
  </si>
  <si>
    <t>https://urldefense.proofpoint.com/v2/url?u=http-3A__dbpedia.org_resource_Francisco-5FLinares-5FAlc-25C3-25A1ntara&amp;d=BQID-g&amp;c=kbmfwr1Yojg42sGEpaQh5ofMHBeTl9EI2eaqQZhHbOU&amp;r=ZliGVSRwfirWoETOrKCh2RSnoygzVPWEk95Me9L-Kwo&amp;m=EaKyFx9mpkhPdFxsxzvW_fiM3jbYwM3xYLjVbSFoDAg&amp;s=jt7N99v1WVL_w51GSYnGYGXEPFKxgsLIGfHoLry8V5E&amp;e=</t>
  </si>
  <si>
    <t>99骞?628</t>
  </si>
  <si>
    <t>VEN-1878</t>
  </si>
  <si>
    <t>1879-01-01</t>
  </si>
  <si>
    <t>99骞?42</t>
  </si>
  <si>
    <t>VEN-1879</t>
  </si>
  <si>
    <t>1879-02-26</t>
  </si>
  <si>
    <t>1884-04-27</t>
  </si>
  <si>
    <t>99骞?1887</t>
  </si>
  <si>
    <t>VEN-1884</t>
  </si>
  <si>
    <t>81f52bfa-1e42-11e4-b4cd-db5882bf8def</t>
  </si>
  <si>
    <t>Joaquin Crespo</t>
  </si>
  <si>
    <t>1886-04-27</t>
  </si>
  <si>
    <t>1841-08-22</t>
  </si>
  <si>
    <t>22aug1841</t>
  </si>
  <si>
    <t>1898-04-15</t>
  </si>
  <si>
    <t>15apr1898</t>
  </si>
  <si>
    <t>https://urldefense.proofpoint.com/v2/url?u=http-3A__dbpedia.org_resource_Joaqu-25C3-25ADn-5FCrespo&amp;d=BQID-g&amp;c=kbmfwr1Yojg42sGEpaQh5ofMHBeTl9EI2eaqQZhHbOU&amp;r=ZliGVSRwfirWoETOrKCh2RSnoygzVPWEk95Me9L-Kwo&amp;m=EaKyFx9mpkhPdFxsxzvW_fiM3jbYwM3xYLjVbSFoDAg&amp;s=xcAkvmyzOo1ehB5mQA6Z3iB0OJDDlCQTs28pM2VvhmE&amp;e=</t>
  </si>
  <si>
    <t>99骞?730</t>
  </si>
  <si>
    <t>VEN-1886-1</t>
  </si>
  <si>
    <t>81f52bfb-1e42-11e4-b4cd-db5882bf8def</t>
  </si>
  <si>
    <t>Antonio Diez</t>
  </si>
  <si>
    <t>1886-09-15</t>
  </si>
  <si>
    <t>99骞?141</t>
  </si>
  <si>
    <t>VEN-1886-2</t>
  </si>
  <si>
    <t>1887-08-08</t>
  </si>
  <si>
    <t>99骞?327</t>
  </si>
  <si>
    <t>VEN-1887</t>
  </si>
  <si>
    <t>81f55ccc-1e42-11e4-b4cd-db5882bf8def</t>
  </si>
  <si>
    <t>Lopez</t>
  </si>
  <si>
    <t>1888-07-05</t>
  </si>
  <si>
    <t>1830-04-19</t>
  </si>
  <si>
    <t>19apr1830</t>
  </si>
  <si>
    <t>1898-12-17</t>
  </si>
  <si>
    <t>17dec1898</t>
  </si>
  <si>
    <t>99骞?332</t>
  </si>
  <si>
    <t>VEN-1888</t>
  </si>
  <si>
    <t>81f55ccd-1e42-11e4-b4cd-db5882bf8def</t>
  </si>
  <si>
    <t>Rojas Paul</t>
  </si>
  <si>
    <t>1890-03-19</t>
  </si>
  <si>
    <t>1826-11-26</t>
  </si>
  <si>
    <t>26nov1826</t>
  </si>
  <si>
    <t>https://urldefense.proofpoint.com/v2/url?u=http-3A__dbpedia.org_resource_Juan-5FPablo-5FRojas-5FPa-25C3-25BAl&amp;d=BQID-g&amp;c=kbmfwr1Yojg42sGEpaQh5ofMHBeTl9EI2eaqQZhHbOU&amp;r=ZliGVSRwfirWoETOrKCh2RSnoygzVPWEk95Me9L-Kwo&amp;m=EaKyFx9mpkhPdFxsxzvW_fiM3jbYwM3xYLjVbSFoDAg&amp;s=xGVu7WY6nFGhC7hAAVPYB3qLr5Ugv_Ceonz0JmLhWdM&amp;e=</t>
  </si>
  <si>
    <t>99骞?622</t>
  </si>
  <si>
    <t>VEN-1890</t>
  </si>
  <si>
    <t>81f55cce-1e42-11e4-b4cd-db5882bf8def</t>
  </si>
  <si>
    <t>Palacio</t>
  </si>
  <si>
    <t>1892-06-17</t>
  </si>
  <si>
    <t>1843-02-06</t>
  </si>
  <si>
    <t>06feb1843</t>
  </si>
  <si>
    <t>99骞?821</t>
  </si>
  <si>
    <t>VEN-1892-1</t>
  </si>
  <si>
    <t>81f55ccf-1e42-11e4-b4cd-db5882bf8def</t>
  </si>
  <si>
    <t>Tell Villegas</t>
  </si>
  <si>
    <t>1892-09-02</t>
  </si>
  <si>
    <t>99骞?77</t>
  </si>
  <si>
    <t>VEN-1892-2</t>
  </si>
  <si>
    <t>81f58da0-1e42-11e4-b4cd-db5882bf8def</t>
  </si>
  <si>
    <t>Tell Villegas Pulido</t>
  </si>
  <si>
    <t>1892-10-06</t>
  </si>
  <si>
    <t>99骞?34</t>
  </si>
  <si>
    <t>VEN-1892-3</t>
  </si>
  <si>
    <t>1892-10-07</t>
  </si>
  <si>
    <t>1894-02-28</t>
  </si>
  <si>
    <t>99骞?509</t>
  </si>
  <si>
    <t>VEN-1894-1</t>
  </si>
  <si>
    <t>81f58da1-1e42-11e4-b4cd-db5882bf8def</t>
  </si>
  <si>
    <t>Guzman Alvarez</t>
  </si>
  <si>
    <t>1894-03-14</t>
  </si>
  <si>
    <t>99骞?14</t>
  </si>
  <si>
    <t>VEN-1894-2</t>
  </si>
  <si>
    <t>1894-04-14</t>
  </si>
  <si>
    <t>1898-02-20</t>
  </si>
  <si>
    <t>99骞?1408</t>
  </si>
  <si>
    <t>VEN-1898-1</t>
  </si>
  <si>
    <t>1898-02-28</t>
  </si>
  <si>
    <t>99骞?8</t>
  </si>
  <si>
    <t>VEN-1898-2</t>
  </si>
  <si>
    <t>81f58da2-1e42-11e4-b4cd-db5882bf8def</t>
  </si>
  <si>
    <t>Andrade</t>
  </si>
  <si>
    <t>1899-10-20</t>
  </si>
  <si>
    <t>https://urldefense.proofpoint.com/v2/url?u=http-3A__dbpedia.org_resource_Ignacio-5FAndrade&amp;d=BQID-g&amp;c=kbmfwr1Yojg42sGEpaQh5ofMHBeTl9EI2eaqQZhHbOU&amp;r=ZliGVSRwfirWoETOrKCh2RSnoygzVPWEk95Me9L-Kwo&amp;m=EaKyFx9mpkhPdFxsxzvW_fiM3jbYwM3xYLjVbSFoDAg&amp;s=yfqM35A5rBGthONhS3u0QKqEPjQSmk3GNCl_zfmCezQ&amp;e=</t>
  </si>
  <si>
    <t>99骞?599</t>
  </si>
  <si>
    <t>VEN-1899</t>
  </si>
  <si>
    <t>81f58da3-1e42-11e4-b4cd-db5882bf8def</t>
  </si>
  <si>
    <t>Cipriano Castro</t>
  </si>
  <si>
    <t>1899-10-21</t>
  </si>
  <si>
    <t>1858-10-12</t>
  </si>
  <si>
    <t>12oct1858</t>
  </si>
  <si>
    <t>https://urldefense.proofpoint.com/v2/url?u=http-3A__dbpedia.org_resource_Cipriano-5FCastro&amp;d=BQID-g&amp;c=kbmfwr1Yojg42sGEpaQh5ofMHBeTl9EI2eaqQZhHbOU&amp;r=ZliGVSRwfirWoETOrKCh2RSnoygzVPWEk95Me9L-Kwo&amp;m=EaKyFx9mpkhPdFxsxzvW_fiM3jbYwM3xYLjVbSFoDAg&amp;s=V7doM-FdqN7jBzT59aO4c2k9vHU_3SrTidRLKzo-jMc&amp;e=</t>
  </si>
  <si>
    <t>99骞?3337</t>
  </si>
  <si>
    <t>VEN-1908</t>
  </si>
  <si>
    <t>81f5be74-1e42-11e4-b4cd-db5882bf8def</t>
  </si>
  <si>
    <t>1857-07-24</t>
  </si>
  <si>
    <t>24jul1857</t>
  </si>
  <si>
    <t>https://urldefense.proofpoint.com/v2/url?u=http-3A__dbpedia.org_resource_Juan-5FVicente-5FG-25C3-25B3mez&amp;d=BQID-g&amp;c=kbmfwr1Yojg42sGEpaQh5ofMHBeTl9EI2eaqQZhHbOU&amp;r=ZliGVSRwfirWoETOrKCh2RSnoygzVPWEk95Me9L-Kwo&amp;m=EaKyFx9mpkhPdFxsxzvW_fiM3jbYwM3xYLjVbSFoDAg&amp;s=5jj3O9hcPsmYL3qK76R9FgE-7mVZuQfbpgLKtsQOlz4&amp;e=</t>
  </si>
  <si>
    <t>99骞?9860</t>
  </si>
  <si>
    <t>VEN-1935</t>
  </si>
  <si>
    <t>81f5be75-1e42-11e4-b4cd-db5882bf8def</t>
  </si>
  <si>
    <t>Lopez Contreras</t>
  </si>
  <si>
    <t>1883-05-05</t>
  </si>
  <si>
    <t>05may1883</t>
  </si>
  <si>
    <t>https://urldefense.proofpoint.com/v2/url?u=http-3A__dbpedia.org_resource_Eleazar-5FL-25C3-25B3pez-5FContreras&amp;d=BQID-g&amp;c=kbmfwr1Yojg42sGEpaQh5ofMHBeTl9EI2eaqQZhHbOU&amp;r=ZliGVSRwfirWoETOrKCh2RSnoygzVPWEk95Me9L-Kwo&amp;m=EaKyFx9mpkhPdFxsxzvW_fiM3jbYwM3xYLjVbSFoDAg&amp;s=zHDO2SIwoXGwnWYEG31S8Xrz3xsqU6yukaoif98R5XI&amp;e=</t>
  </si>
  <si>
    <t>99骞?1945</t>
  </si>
  <si>
    <t>VEN-1941</t>
  </si>
  <si>
    <t>81f5be76-1e42-11e4-b4cd-db5882bf8def</t>
  </si>
  <si>
    <t>Medina Angarita</t>
  </si>
  <si>
    <t>1897-07-06</t>
  </si>
  <si>
    <t>06jul1897</t>
  </si>
  <si>
    <t>https://urldefense.proofpoint.com/v2/url?u=http-3A__dbpedia.org_resource_Isa-25C3-25ADas-5FMedina-5FAngarita&amp;d=BQID-g&amp;c=kbmfwr1Yojg42sGEpaQh5ofMHBeTl9EI2eaqQZhHbOU&amp;r=ZliGVSRwfirWoETOrKCh2RSnoygzVPWEk95Me9L-Kwo&amp;m=EaKyFx9mpkhPdFxsxzvW_fiM3jbYwM3xYLjVbSFoDAg&amp;s=tvIjG56GX2R8uc89g0MYcaGo3Yy0n4nUMDbTPjVWalI&amp;e=</t>
  </si>
  <si>
    <t>99骞?1627</t>
  </si>
  <si>
    <t>VEN-1945</t>
  </si>
  <si>
    <t>81f5be77-1e42-11e4-b4cd-db5882bf8def</t>
  </si>
  <si>
    <t>Betancourt</t>
  </si>
  <si>
    <t>https://urldefense.proofpoint.com/v2/url?u=http-3A__dbpedia.org_resource_R-25C3-25B3mulo-5FBetancourt&amp;d=BQID-g&amp;c=kbmfwr1Yojg42sGEpaQh5ofMHBeTl9EI2eaqQZhHbOU&amp;r=ZliGVSRwfirWoETOrKCh2RSnoygzVPWEk95Me9L-Kwo&amp;m=EaKyFx9mpkhPdFxsxzvW_fiM3jbYwM3xYLjVbSFoDAg&amp;s=NHEznaUyTMh3I0puvekQ7GqFJ3ZJXmWWJg2i2mBz--Q&amp;e=</t>
  </si>
  <si>
    <t>99骞?850</t>
  </si>
  <si>
    <t>VEN-1948-1</t>
  </si>
  <si>
    <t>81f5be78-1e42-11e4-b4cd-db5882bf8def</t>
  </si>
  <si>
    <t>Gallegos</t>
  </si>
  <si>
    <t>1884-08-02</t>
  </si>
  <si>
    <t>02aug1884</t>
  </si>
  <si>
    <t>https://urldefense.proofpoint.com/v2/url?u=http-3A__dbpedia.org_resource_R-25C3-25B3mulo-5FGallegos&amp;d=BQID-g&amp;c=kbmfwr1Yojg42sGEpaQh5ofMHBeTl9EI2eaqQZhHbOU&amp;r=ZliGVSRwfirWoETOrKCh2RSnoygzVPWEk95Me9L-Kwo&amp;m=EaKyFx9mpkhPdFxsxzvW_fiM3jbYwM3xYLjVbSFoDAg&amp;s=ARIyCaA1EiP3uCsHz4h7Gz0lEVHGBxrR7PUXzZ1OFkY&amp;e=</t>
  </si>
  <si>
    <t>99骞?283</t>
  </si>
  <si>
    <t>VEN-1948-2</t>
  </si>
  <si>
    <t>81f5ef48-1e42-11e4-b4cd-db5882bf8def</t>
  </si>
  <si>
    <t>Delgado Chalbaud</t>
  </si>
  <si>
    <t>https://urldefense.proofpoint.com/v2/url?u=http-3A__dbpedia.org_resource_Carlos-5FDelgado-5FChalbaud&amp;d=BQID-g&amp;c=kbmfwr1Yojg42sGEpaQh5ofMHBeTl9EI2eaqQZhHbOU&amp;r=ZliGVSRwfirWoETOrKCh2RSnoygzVPWEk95Me9L-Kwo&amp;m=EaKyFx9mpkhPdFxsxzvW_fiM3jbYwM3xYLjVbSFoDAg&amp;s=TIPeJDQxEma2zQRboTbTMbJRCuTDA-Tzm3x309RdnXI&amp;e=</t>
  </si>
  <si>
    <t>99骞?719</t>
  </si>
  <si>
    <t>VEN-1950</t>
  </si>
  <si>
    <t>81f5ef49-1e42-11e4-b4cd-db5882bf8def</t>
  </si>
  <si>
    <t>Perez Jimenez</t>
  </si>
  <si>
    <t>https://urldefense.proofpoint.com/v2/url?u=http-3A__dbpedia.org_resource_Marcos-5FP-25C3-25A9rez-5FJim-25C3-25A9nez&amp;d=BQID-g&amp;c=kbmfwr1Yojg42sGEpaQh5ofMHBeTl9EI2eaqQZhHbOU&amp;r=ZliGVSRwfirWoETOrKCh2RSnoygzVPWEk95Me9L-Kwo&amp;m=EaKyFx9mpkhPdFxsxzvW_fiM3jbYwM3xYLjVbSFoDAg&amp;s=bIumZamcjFOPVAx3ovCKVBEV71h9pz5nSTv6jQhGtow&amp;e=</t>
  </si>
  <si>
    <t>99骞?2628</t>
  </si>
  <si>
    <t>VEN-1958-1</t>
  </si>
  <si>
    <t>81f5ef4a-1e42-11e4-b4cd-db5882bf8def</t>
  </si>
  <si>
    <t>Larrazabal</t>
  </si>
  <si>
    <t>https://urldefense.proofpoint.com/v2/url?u=http-3A__dbpedia.org_resource_Wolfgang-5FLarraz-25C3-25A1bal&amp;d=BQID-g&amp;c=kbmfwr1Yojg42sGEpaQh5ofMHBeTl9EI2eaqQZhHbOU&amp;r=ZliGVSRwfirWoETOrKCh2RSnoygzVPWEk95Me9L-Kwo&amp;m=EaKyFx9mpkhPdFxsxzvW_fiM3jbYwM3xYLjVbSFoDAg&amp;s=xQE_j4yve1WFJvK7r0YOSZMaRMM5xcj2QHu5ezbEYYw&amp;e=</t>
  </si>
  <si>
    <t>99骞?295</t>
  </si>
  <si>
    <t>VEN-1958-2</t>
  </si>
  <si>
    <t>81f5ef4b-1e42-11e4-b4cd-db5882bf8def</t>
  </si>
  <si>
    <t>Sanabria</t>
  </si>
  <si>
    <t>https://urldefense.proofpoint.com/v2/url?u=http-3A__dbpedia.org_resource_Edgar-5FSanabria&amp;d=BQID-g&amp;c=kbmfwr1Yojg42sGEpaQh5ofMHBeTl9EI2eaqQZhHbOU&amp;r=ZliGVSRwfirWoETOrKCh2RSnoygzVPWEk95Me9L-Kwo&amp;m=EaKyFx9mpkhPdFxsxzvW_fiM3jbYwM3xYLjVbSFoDAg&amp;s=rgwQwDR3WhN7VWqJHGjvk90uelLoRutQMnSuGcNjaKY&amp;e=</t>
  </si>
  <si>
    <t>99骞?91</t>
  </si>
  <si>
    <t>VEN-1959</t>
  </si>
  <si>
    <t>99骞?1853</t>
  </si>
  <si>
    <t>VEN-1964</t>
  </si>
  <si>
    <t>81f6201c-1e42-11e4-b4cd-db5882bf8def</t>
  </si>
  <si>
    <t>Leoni</t>
  </si>
  <si>
    <t>https://urldefense.proofpoint.com/v2/url?u=http-3A__dbpedia.org_resource_Ra-25C3-25BAl-5FLeoni&amp;d=BQID-g&amp;c=kbmfwr1Yojg42sGEpaQh5ofMHBeTl9EI2eaqQZhHbOU&amp;r=ZliGVSRwfirWoETOrKCh2RSnoygzVPWEk95Me9L-Kwo&amp;m=EaKyFx9mpkhPdFxsxzvW_fiM3jbYwM3xYLjVbSFoDAg&amp;s=l4dTpUHCUltmoNDnonbF_3uPc_6zHUocWbsyIojeICA&amp;e=</t>
  </si>
  <si>
    <t>99骞?1826</t>
  </si>
  <si>
    <t>VEN-1969</t>
  </si>
  <si>
    <t>81f6201d-1e42-11e4-b4cd-db5882bf8def</t>
  </si>
  <si>
    <t>Caldera Rodriguez</t>
  </si>
  <si>
    <t>99骞?1827</t>
  </si>
  <si>
    <t>VEN-1974</t>
  </si>
  <si>
    <t>81f6201e-1e42-11e4-b4cd-db5882bf8def</t>
  </si>
  <si>
    <t>Andres Perez</t>
  </si>
  <si>
    <t>https://urldefense.proofpoint.com/v2/url?u=http-3A__dbpedia.org_resource_Carlos-5FAndr-25C3-25A9s-5FP-25C3-25A9rez&amp;d=BQID-g&amp;c=kbmfwr1Yojg42sGEpaQh5ofMHBeTl9EI2eaqQZhHbOU&amp;r=ZliGVSRwfirWoETOrKCh2RSnoygzVPWEk95Me9L-Kwo&amp;m=EaKyFx9mpkhPdFxsxzvW_fiM3jbYwM3xYLjVbSFoDAg&amp;s=uzwu0QBbXDlsMmumMFuAopCspMCeIShUXuztzm4vlU4&amp;e=</t>
  </si>
  <si>
    <t>VEN-1979</t>
  </si>
  <si>
    <t>81f6201f-1e42-11e4-b4cd-db5882bf8def</t>
  </si>
  <si>
    <t>Campins</t>
  </si>
  <si>
    <t>https://urldefense.proofpoint.com/v2/url?u=http-3A__dbpedia.org_resource_Luis-5FHerrera-5FCampins&amp;d=BQID-g&amp;c=kbmfwr1Yojg42sGEpaQh5ofMHBeTl9EI2eaqQZhHbOU&amp;r=ZliGVSRwfirWoETOrKCh2RSnoygzVPWEk95Me9L-Kwo&amp;m=EaKyFx9mpkhPdFxsxzvW_fiM3jbYwM3xYLjVbSFoDAg&amp;s=9h-mdWw1PtAD6hAwJ9_9CRDLNXVm0JVjvxte7RzND4s&amp;e=</t>
  </si>
  <si>
    <t>99骞?1788</t>
  </si>
  <si>
    <t>VEN-1984</t>
  </si>
  <si>
    <t>81f650f0-1e42-11e4-b4cd-db5882bf8def</t>
  </si>
  <si>
    <t>Lusinchi</t>
  </si>
  <si>
    <t>VEN-1989</t>
  </si>
  <si>
    <t>99骞?1671</t>
  </si>
  <si>
    <t>VEN-1993</t>
  </si>
  <si>
    <t>81f650f1-1e42-11e4-b4cd-db5882bf8def</t>
  </si>
  <si>
    <t>Velasquez</t>
  </si>
  <si>
    <t>99骞?155</t>
  </si>
  <si>
    <t>VEN-1994</t>
  </si>
  <si>
    <t>VEN-1999</t>
  </si>
  <si>
    <t>81f650f2-1e42-11e4-b4cd-db5882bf8def</t>
  </si>
  <si>
    <t>Hugo Chavez</t>
  </si>
  <si>
    <t>https://urldefense.proofpoint.com/v2/url?u=http-3A__dbpedia.org_resource_Hugo-5FCh-25C3-25A1vez&amp;d=BQID-g&amp;c=kbmfwr1Yojg42sGEpaQh5ofMHBeTl9EI2eaqQZhHbOU&amp;r=ZliGVSRwfirWoETOrKCh2RSnoygzVPWEk95Me9L-Kwo&amp;m=EaKyFx9mpkhPdFxsxzvW_fiM3jbYwM3xYLjVbSFoDAg&amp;s=9J-N6VZJNXmsDrAQeNnBeD67-_ssnk5MmI1HmLrp9Hg&amp;e=</t>
  </si>
  <si>
    <t>99骞?4780</t>
  </si>
  <si>
    <t>VEN-2012</t>
  </si>
  <si>
    <t>2b37a452-3481-11e4-8dba-bbcd9ed46413</t>
  </si>
  <si>
    <t>Maduro</t>
  </si>
  <si>
    <t>99骞?1396</t>
  </si>
  <si>
    <t>GUY-1966</t>
  </si>
  <si>
    <t>81f650f3-1e42-11e4-b4cd-db5882bf8def</t>
  </si>
  <si>
    <t>GUY</t>
  </si>
  <si>
    <t>Burnham</t>
  </si>
  <si>
    <t>https://urldefense.proofpoint.com/v2/url?u=http-3A__dbpedia.org_resource_Forbes-5FBurnham&amp;d=BQID-g&amp;c=kbmfwr1Yojg42sGEpaQh5ofMHBeTl9EI2eaqQZhHbOU&amp;r=ZliGVSRwfirWoETOrKCh2RSnoygzVPWEk95Me9L-Kwo&amp;m=EaKyFx9mpkhPdFxsxzvW_fiM3jbYwM3xYLjVbSFoDAg&amp;s=WY8jbByODdNixTxU_wh4LsGk_CL_A5GF_NRT9JtRUzg&amp;e=</t>
  </si>
  <si>
    <t>GUY-1985</t>
  </si>
  <si>
    <t>81f650f4-1e42-11e4-b4cd-db5882bf8def</t>
  </si>
  <si>
    <t>Hoyte</t>
  </si>
  <si>
    <t>https://urldefense.proofpoint.com/v2/url?u=http-3A__dbpedia.org_resource_Desmond-5FHoyte&amp;d=BQID-g&amp;c=kbmfwr1Yojg42sGEpaQh5ofMHBeTl9EI2eaqQZhHbOU&amp;r=ZliGVSRwfirWoETOrKCh2RSnoygzVPWEk95Me9L-Kwo&amp;m=EaKyFx9mpkhPdFxsxzvW_fiM3jbYwM3xYLjVbSFoDAg&amp;s=u8uI4S0c_iTtn1vF31iGuCOhdjpdTaTqvbmcPsWoP6Y&amp;e=</t>
  </si>
  <si>
    <t>GUY-1992</t>
  </si>
  <si>
    <t>81f681c4-1e42-11e4-b4cd-db5882bf8def</t>
  </si>
  <si>
    <t>Jagan Cheddi</t>
  </si>
  <si>
    <t>https://urldefense.proofpoint.com/v2/url?u=http-3A__dbpedia.org_resource_Cheddi-5FJagan&amp;d=BQID-g&amp;c=kbmfwr1Yojg42sGEpaQh5ofMHBeTl9EI2eaqQZhHbOU&amp;r=ZliGVSRwfirWoETOrKCh2RSnoygzVPWEk95Me9L-Kwo&amp;m=EaKyFx9mpkhPdFxsxzvW_fiM3jbYwM3xYLjVbSFoDAg&amp;s=Th46wQqiKcX4ocD64z6lmyFfgt45uIjmH404hQn5CAc&amp;e=</t>
  </si>
  <si>
    <t>Husband of Janet Jagan%81f681c6-1e42-11e4-b4cd-db5882bf8def</t>
  </si>
  <si>
    <t>GUY-1997-1</t>
  </si>
  <si>
    <t>81f681c5-1e42-11e4-b4cd-db5882bf8def</t>
  </si>
  <si>
    <t>Samuel Hinds</t>
  </si>
  <si>
    <t>https://urldefense.proofpoint.com/v2/url?u=http-3A__dbpedia.org_resource_Sam-5FHinds&amp;d=BQID-g&amp;c=kbmfwr1Yojg42sGEpaQh5ofMHBeTl9EI2eaqQZhHbOU&amp;r=ZliGVSRwfirWoETOrKCh2RSnoygzVPWEk95Me9L-Kwo&amp;m=EaKyFx9mpkhPdFxsxzvW_fiM3jbYwM3xYLjVbSFoDAg&amp;s=WFoKXKzLHS_lLTV9YBhZW1Q4zlRNq2rinvq74gox8cE&amp;e=</t>
  </si>
  <si>
    <t>GUY-1997-2</t>
  </si>
  <si>
    <t>81f681c6-1e42-11e4-b4cd-db5882bf8def</t>
  </si>
  <si>
    <t>Janet Jagan</t>
  </si>
  <si>
    <t>https://urldefense.proofpoint.com/v2/url?u=http-3A__dbpedia.org_resource_Janet-5FJagan&amp;d=BQID-g&amp;c=kbmfwr1Yojg42sGEpaQh5ofMHBeTl9EI2eaqQZhHbOU&amp;r=ZliGVSRwfirWoETOrKCh2RSnoygzVPWEk95Me9L-Kwo&amp;m=EaKyFx9mpkhPdFxsxzvW_fiM3jbYwM3xYLjVbSFoDAg&amp;s=WCCpwF76gVjVoAqxmvrxScOm9P1QUf6FhcLCkMZUCWI&amp;e=</t>
  </si>
  <si>
    <t>Wife of Jagan Cheddi%81f681c4-1e42-11e4-b4cd-db5882bf8def</t>
  </si>
  <si>
    <t>GUY-1999</t>
  </si>
  <si>
    <t>81f681c7-1e42-11e4-b4cd-db5882bf8def</t>
  </si>
  <si>
    <t>Bharrat Jagdeo</t>
  </si>
  <si>
    <t>https://urldefense.proofpoint.com/v2/url?u=http-3A__dbpedia.org_resource_Bharrat-5FJagdeo&amp;d=BQID-g&amp;c=kbmfwr1Yojg42sGEpaQh5ofMHBeTl9EI2eaqQZhHbOU&amp;r=ZliGVSRwfirWoETOrKCh2RSnoygzVPWEk95Me9L-Kwo&amp;m=EaKyFx9mpkhPdFxsxzvW_fiM3jbYwM3xYLjVbSFoDAg&amp;s=v7yTNkMD9E9AENFPohZQQiapHxIa1hY8It5F_s6EihE&amp;e=</t>
  </si>
  <si>
    <t>GUY-2011</t>
  </si>
  <si>
    <t>82508a87-1e42-11e4-b4cd-db5882bf8def</t>
  </si>
  <si>
    <t>Ramotar</t>
  </si>
  <si>
    <t>GUY-2015</t>
  </si>
  <si>
    <t>43f5ae9f-de6a-11e5-ba44-bb6d7c1a9a58</t>
  </si>
  <si>
    <t>David Granger</t>
  </si>
  <si>
    <t>SUR-1975</t>
  </si>
  <si>
    <t>81f681c8-1e42-11e4-b4cd-db5882bf8def</t>
  </si>
  <si>
    <t>SUR</t>
  </si>
  <si>
    <t>Ferrier</t>
  </si>
  <si>
    <t>https://urldefense.proofpoint.com/v2/url?u=http-3A__dbpedia.org_resource_Johan-5FFerrier&amp;d=BQID-g&amp;c=kbmfwr1Yojg42sGEpaQh5ofMHBeTl9EI2eaqQZhHbOU&amp;r=ZliGVSRwfirWoETOrKCh2RSnoygzVPWEk95Me9L-Kwo&amp;m=EaKyFx9mpkhPdFxsxzvW_fiM3jbYwM3xYLjVbSFoDAg&amp;s=pIEtA_OIlOSG3eE74YMvCHOb8ebemzlXUF-WPry5Pf0&amp;e=</t>
  </si>
  <si>
    <t>SUR-1980</t>
  </si>
  <si>
    <t>81f6b2a2-1e42-11e4-b4cd-db5882bf8def</t>
  </si>
  <si>
    <t>Bouterse</t>
  </si>
  <si>
    <t>SUR-1988</t>
  </si>
  <si>
    <t>81f6b2a3-1e42-11e4-b4cd-db5882bf8def</t>
  </si>
  <si>
    <t>Shankar</t>
  </si>
  <si>
    <t>SUR-1990-1</t>
  </si>
  <si>
    <t>81f6b2a4-1e42-11e4-b4cd-db5882bf8def</t>
  </si>
  <si>
    <t>Graanoogst</t>
  </si>
  <si>
    <t>SUR-1990-2</t>
  </si>
  <si>
    <t>81f6b2a5-1e42-11e4-b4cd-db5882bf8def</t>
  </si>
  <si>
    <t>Kraag</t>
  </si>
  <si>
    <t>SUR-1991</t>
  </si>
  <si>
    <t>81f6b2a6-1e42-11e4-b4cd-db5882bf8def</t>
  </si>
  <si>
    <t>Venetiaan</t>
  </si>
  <si>
    <t>SUR-1996</t>
  </si>
  <si>
    <t>81f6e376-1e42-11e4-b4cd-db5882bf8def</t>
  </si>
  <si>
    <t>Wijdenbosch</t>
  </si>
  <si>
    <t>SUR-2000</t>
  </si>
  <si>
    <t>SUR-2010</t>
  </si>
  <si>
    <t>ECU-1869</t>
  </si>
  <si>
    <t>3539f318-3bbd-11e5-afeb-eb6f07f9fec7</t>
  </si>
  <si>
    <t>ECU</t>
  </si>
  <si>
    <t>Gabriel Garc铆a Moreno</t>
  </si>
  <si>
    <t>1869-01-19</t>
  </si>
  <si>
    <t>1875-08-06</t>
  </si>
  <si>
    <t>06aug1875</t>
  </si>
  <si>
    <t>1821-12-24</t>
  </si>
  <si>
    <t>24dec1821</t>
  </si>
  <si>
    <t>https://urldefense.proofpoint.com/v2/url?u=http-3A__dbpedia.org_resource_Gabriel-5FGarc-25C3-25ADa-5FMoreno&amp;d=BQID-g&amp;c=kbmfwr1Yojg42sGEpaQh5ofMHBeTl9EI2eaqQZhHbOU&amp;r=ZliGVSRwfirWoETOrKCh2RSnoygzVPWEk95Me9L-Kwo&amp;m=EaKyFx9mpkhPdFxsxzvW_fiM3jbYwM3xYLjVbSFoDAg&amp;s=OM5tQhSHLf8Z6vkRsZ_-XTbOptGmwqnaLofGUDtS2Vs&amp;e=</t>
  </si>
  <si>
    <t>ECU-1875</t>
  </si>
  <si>
    <t>81f6e378-1e42-11e4-b4cd-db5882bf8def</t>
  </si>
  <si>
    <t>Borrero y Cortazar</t>
  </si>
  <si>
    <t>1875-10-09</t>
  </si>
  <si>
    <t>1876-09-08</t>
  </si>
  <si>
    <t>1827-10-28</t>
  </si>
  <si>
    <t>28oct1827</t>
  </si>
  <si>
    <t>ECU-1876</t>
  </si>
  <si>
    <t>81f6e379-1e42-11e4-b4cd-db5882bf8def</t>
  </si>
  <si>
    <t>Veintemilla</t>
  </si>
  <si>
    <t>1883-07-09</t>
  </si>
  <si>
    <t>https://urldefense.proofpoint.com/v2/url?u=http-3A__dbpedia.org_resource_Ignacio-5Fde-5FVeintemilla&amp;d=BQID-g&amp;c=kbmfwr1Yojg42sGEpaQh5ofMHBeTl9EI2eaqQZhHbOU&amp;r=ZliGVSRwfirWoETOrKCh2RSnoygzVPWEk95Me9L-Kwo&amp;m=EaKyFx9mpkhPdFxsxzvW_fiM3jbYwM3xYLjVbSFoDAg&amp;s=Ey52GoSgX2E9pJyOOm8hz_5W-ypT4oTP2rs1CqP3cY4&amp;e=</t>
  </si>
  <si>
    <t>ECU-1883-1</t>
  </si>
  <si>
    <t>81f6e37a-1e42-11e4-b4cd-db5882bf8def</t>
  </si>
  <si>
    <t>Aloy Alfaro Delgado</t>
  </si>
  <si>
    <t>1883-10-11</t>
  </si>
  <si>
    <t>1842-06-25</t>
  </si>
  <si>
    <t>25jun1842</t>
  </si>
  <si>
    <t>ECU-1883-2</t>
  </si>
  <si>
    <t>1883-10-15</t>
  </si>
  <si>
    <t>ECU-1883-3</t>
  </si>
  <si>
    <t>81f7144a-1e42-11e4-b4cd-db5882bf8def</t>
  </si>
  <si>
    <t>Perez Pareja</t>
  </si>
  <si>
    <t>1883-11-23</t>
  </si>
  <si>
    <t>ECU-1883-4</t>
  </si>
  <si>
    <t>81f7144b-1e42-11e4-b4cd-db5882bf8def</t>
  </si>
  <si>
    <t>Caamano</t>
  </si>
  <si>
    <t>1888-06-30</t>
  </si>
  <si>
    <t>ECU-1888</t>
  </si>
  <si>
    <t>81f7144c-1e42-11e4-b4cd-db5882bf8def</t>
  </si>
  <si>
    <t>1888-08-03</t>
  </si>
  <si>
    <t>1892-07-01</t>
  </si>
  <si>
    <t>ECU-1892</t>
  </si>
  <si>
    <t>81f7144d-1e42-11e4-b4cd-db5882bf8def</t>
  </si>
  <si>
    <t>Cordero</t>
  </si>
  <si>
    <t>1895-04-16</t>
  </si>
  <si>
    <t>1833-04-06</t>
  </si>
  <si>
    <t>06apr1833</t>
  </si>
  <si>
    <t>ECU-1895</t>
  </si>
  <si>
    <t>ECU-1901</t>
  </si>
  <si>
    <t>81f7144e-1e42-11e4-b4cd-db5882bf8def</t>
  </si>
  <si>
    <t>Plaza Gutierrez</t>
  </si>
  <si>
    <t>1865-04-18</t>
  </si>
  <si>
    <t>18apr1865</t>
  </si>
  <si>
    <t>ECU-1905</t>
  </si>
  <si>
    <t>81f7451e-1e42-11e4-b4cd-db5882bf8def</t>
  </si>
  <si>
    <t>Garcia</t>
  </si>
  <si>
    <t>ECU-1906</t>
  </si>
  <si>
    <t>ECU-1911-1</t>
  </si>
  <si>
    <t>81f7451f-1e42-11e4-b4cd-db5882bf8def</t>
  </si>
  <si>
    <t>Freile</t>
  </si>
  <si>
    <t>ECU-1911-2</t>
  </si>
  <si>
    <t>81f74520-1e42-11e4-b4cd-db5882bf8def</t>
  </si>
  <si>
    <t>E. Estrada</t>
  </si>
  <si>
    <t>1855-05-28</t>
  </si>
  <si>
    <t>28may1855</t>
  </si>
  <si>
    <t>ECU-1911-3</t>
  </si>
  <si>
    <t>ECU-1912-1</t>
  </si>
  <si>
    <t>81f74521-1e42-11e4-b4cd-db5882bf8def</t>
  </si>
  <si>
    <t>Andrade Marin</t>
  </si>
  <si>
    <t>ECU-1912-2</t>
  </si>
  <si>
    <t>81f74522-1e42-11e4-b4cd-db5882bf8def</t>
  </si>
  <si>
    <t>Alfredo Baquerizo Moreno</t>
  </si>
  <si>
    <t>1859-09-28</t>
  </si>
  <si>
    <t>28sep1859</t>
  </si>
  <si>
    <t>ECU-1912-3</t>
  </si>
  <si>
    <t>ECU-1916</t>
  </si>
  <si>
    <t>ECU-1920</t>
  </si>
  <si>
    <t>81f74523-1e42-11e4-b4cd-db5882bf8def</t>
  </si>
  <si>
    <t>Tamayo</t>
  </si>
  <si>
    <t>1858-07-29</t>
  </si>
  <si>
    <t>29jul1858</t>
  </si>
  <si>
    <t>ECU-1924</t>
  </si>
  <si>
    <t>81f775f2-1e42-11e4-b4cd-db5882bf8def</t>
  </si>
  <si>
    <t>1863-07-15</t>
  </si>
  <si>
    <t>15jul1863</t>
  </si>
  <si>
    <t>ECU-1925</t>
  </si>
  <si>
    <t>81f775f3-1e42-11e4-b4cd-db5882bf8def</t>
  </si>
  <si>
    <t>Ayora</t>
  </si>
  <si>
    <t>1879-08-31</t>
  </si>
  <si>
    <t>31aug1879</t>
  </si>
  <si>
    <t>ECU-1931-1</t>
  </si>
  <si>
    <t>81f775f4-1e42-11e4-b4cd-db5882bf8def</t>
  </si>
  <si>
    <t>Larrea Alba</t>
  </si>
  <si>
    <t>1895-10-25</t>
  </si>
  <si>
    <t>25oct1895</t>
  </si>
  <si>
    <t>ECU-1931-2</t>
  </si>
  <si>
    <t>ECU-1932-1</t>
  </si>
  <si>
    <t>81f775f5-1e42-11e4-b4cd-db5882bf8def</t>
  </si>
  <si>
    <t>Freile Larrea</t>
  </si>
  <si>
    <t>ECU-1932-2</t>
  </si>
  <si>
    <t>81f775f6-1e42-11e4-b4cd-db5882bf8def</t>
  </si>
  <si>
    <t>Guerrero Martin</t>
  </si>
  <si>
    <t>ECU-1932-3</t>
  </si>
  <si>
    <t>81f7a6c6-1e42-11e4-b4cd-db5882bf8def</t>
  </si>
  <si>
    <t>Martinez Mera</t>
  </si>
  <si>
    <t>1875-03-09</t>
  </si>
  <si>
    <t>09mar1875</t>
  </si>
  <si>
    <t>ECU-1933</t>
  </si>
  <si>
    <t>81f7a6c7-1e42-11e4-b4cd-db5882bf8def</t>
  </si>
  <si>
    <t>Montalvo</t>
  </si>
  <si>
    <t>1876-06-01</t>
  </si>
  <si>
    <t>01jun1876</t>
  </si>
  <si>
    <t>ECU-1934</t>
  </si>
  <si>
    <t>81f7a6c8-1e42-11e4-b4cd-db5882bf8def</t>
  </si>
  <si>
    <t>Velasco Ibarra</t>
  </si>
  <si>
    <t>1893-03-19</t>
  </si>
  <si>
    <t>19mar1893</t>
  </si>
  <si>
    <t>https://urldefense.proofpoint.com/v2/url?u=http-3A__dbpedia.org_resource_Jos-25C3-25A9-5FMar-25C3-25ADa-5FVelasco-5FIbarra&amp;d=BQID-g&amp;c=kbmfwr1Yojg42sGEpaQh5ofMHBeTl9EI2eaqQZhHbOU&amp;r=ZliGVSRwfirWoETOrKCh2RSnoygzVPWEk95Me9L-Kwo&amp;m=EaKyFx9mpkhPdFxsxzvW_fiM3jbYwM3xYLjVbSFoDAg&amp;s=bDwI9zyLoaqrrSlnHy9YoG3ABpPS2s-xsI3lxnG1MrE&amp;e=</t>
  </si>
  <si>
    <t>ECU-1935-1</t>
  </si>
  <si>
    <t>81f7a6c9-1e42-11e4-b4cd-db5882bf8def</t>
  </si>
  <si>
    <t>Pons</t>
  </si>
  <si>
    <t>1897-11-10</t>
  </si>
  <si>
    <t>10nov1897</t>
  </si>
  <si>
    <t>ECU-1935-2</t>
  </si>
  <si>
    <t>81f7a6ca-1e42-11e4-b4cd-db5882bf8def</t>
  </si>
  <si>
    <t>Paez</t>
  </si>
  <si>
    <t>1876-06-06</t>
  </si>
  <si>
    <t>06jun1876</t>
  </si>
  <si>
    <t>ECU-1937</t>
  </si>
  <si>
    <t>81f7a6cb-1e42-11e4-b4cd-db5882bf8def</t>
  </si>
  <si>
    <t>Enriquez Gallo</t>
  </si>
  <si>
    <t>1895-07-24</t>
  </si>
  <si>
    <t>24jul1895</t>
  </si>
  <si>
    <t>ECU-1938-1</t>
  </si>
  <si>
    <t>81f7d79a-1e42-11e4-b4cd-db5882bf8def</t>
  </si>
  <si>
    <t>Manuel Maria Borrero</t>
  </si>
  <si>
    <t>ECU-1938-2</t>
  </si>
  <si>
    <t>81f7d79b-1e42-11e4-b4cd-db5882bf8def</t>
  </si>
  <si>
    <t>Mosquera Narvaez</t>
  </si>
  <si>
    <t>1883-08-02</t>
  </si>
  <si>
    <t>02aug1883</t>
  </si>
  <si>
    <t>ECU-1939-1</t>
  </si>
  <si>
    <t>81f7d79c-1e42-11e4-b4cd-db5882bf8def</t>
  </si>
  <si>
    <t>Arroyo del Rio</t>
  </si>
  <si>
    <t>1893-11-27</t>
  </si>
  <si>
    <t>27nov1893</t>
  </si>
  <si>
    <t>ECU-1939-2</t>
  </si>
  <si>
    <t>81f7d79d-1e42-11e4-b4cd-db5882bf8def</t>
  </si>
  <si>
    <t>Cordova Nieto</t>
  </si>
  <si>
    <t>1892-05-08</t>
  </si>
  <si>
    <t>08may1892</t>
  </si>
  <si>
    <t>ECU-1940-1</t>
  </si>
  <si>
    <t>43f5aea0-de6a-11e5-ba44-bb6d7c1a9a58</t>
  </si>
  <si>
    <t>Julio Enrique Moreno</t>
  </si>
  <si>
    <t>1880-10-20</t>
  </si>
  <si>
    <t>20oct1880</t>
  </si>
  <si>
    <t>ECU-1940-2</t>
  </si>
  <si>
    <t>ECU-1944-1</t>
  </si>
  <si>
    <t>19724928-3bbd-11e5-afeb-eb6f07f9fec7</t>
  </si>
  <si>
    <t>Navarro Allende</t>
  </si>
  <si>
    <t>ECU-1944-2</t>
  </si>
  <si>
    <t>ECU-1944-3</t>
  </si>
  <si>
    <t>ECU-1947-1</t>
  </si>
  <si>
    <t>81f8086e-1e42-11e4-b4cd-db5882bf8def</t>
  </si>
  <si>
    <t>Mancheno</t>
  </si>
  <si>
    <t>ECU-1947-2</t>
  </si>
  <si>
    <t>81f8086f-1e42-11e4-b4cd-db5882bf8def</t>
  </si>
  <si>
    <t>ECU-1947-3</t>
  </si>
  <si>
    <t>81f80870-1e42-11e4-b4cd-db5882bf8def</t>
  </si>
  <si>
    <t>Arosemana Tola</t>
  </si>
  <si>
    <t>Father of Arosemena Monroy%81f80873-1e42-11e4-b4cd-db5882bf8def</t>
  </si>
  <si>
    <t>ECU-1948</t>
  </si>
  <si>
    <t>81f80871-1e42-11e4-b4cd-db5882bf8def</t>
  </si>
  <si>
    <t>Plaza Lasso</t>
  </si>
  <si>
    <t>ECU-1952</t>
  </si>
  <si>
    <t>ECU-1956</t>
  </si>
  <si>
    <t>81f80872-1e42-11e4-b4cd-db5882bf8def</t>
  </si>
  <si>
    <t>Ponce Enriquez</t>
  </si>
  <si>
    <t>ECU-1960</t>
  </si>
  <si>
    <t>ECU-1961</t>
  </si>
  <si>
    <t>81f80873-1e42-11e4-b4cd-db5882bf8def</t>
  </si>
  <si>
    <t>Arosemena Monroy</t>
  </si>
  <si>
    <t>Son of Arosemana Tola%81f80870-1e42-11e4-b4cd-db5882bf8def</t>
  </si>
  <si>
    <t>ECU-1963</t>
  </si>
  <si>
    <t>81f83942-1e42-11e4-b4cd-db5882bf8def</t>
  </si>
  <si>
    <t>ECU-1966-1</t>
  </si>
  <si>
    <t>81f83943-1e42-11e4-b4cd-db5882bf8def</t>
  </si>
  <si>
    <t>Yerovi Indaburu</t>
  </si>
  <si>
    <t>ECU-1966-2</t>
  </si>
  <si>
    <t>81f83944-1e42-11e4-b4cd-db5882bf8def</t>
  </si>
  <si>
    <t>Arosemena Gomez</t>
  </si>
  <si>
    <t>https://urldefense.proofpoint.com/v2/url?u=http-3A__dbpedia.org_resource_Otto-5FArosemena&amp;d=BQID-g&amp;c=kbmfwr1Yojg42sGEpaQh5ofMHBeTl9EI2eaqQZhHbOU&amp;r=ZliGVSRwfirWoETOrKCh2RSnoygzVPWEk95Me9L-Kwo&amp;m=EaKyFx9mpkhPdFxsxzvW_fiM3jbYwM3xYLjVbSFoDAg&amp;s=Utzr8kFZ9ufPHiXsMoT5eZNtw_kxLZf3lIRqMSb_1X8&amp;e=</t>
  </si>
  <si>
    <t>ECU-1968</t>
  </si>
  <si>
    <t>ECU-1972</t>
  </si>
  <si>
    <t>81f83945-1e42-11e4-b4cd-db5882bf8def</t>
  </si>
  <si>
    <t>Rodriguez Lara</t>
  </si>
  <si>
    <t>ECU-1976</t>
  </si>
  <si>
    <t>81f83946-1e42-11e4-b4cd-db5882bf8def</t>
  </si>
  <si>
    <t>Poveda Burbano</t>
  </si>
  <si>
    <t>ECU-1979</t>
  </si>
  <si>
    <t>81f83947-1e42-11e4-b4cd-db5882bf8def</t>
  </si>
  <si>
    <t>Roldos Aquilers</t>
  </si>
  <si>
    <t>https://urldefense.proofpoint.com/v2/url?u=http-3A__dbpedia.org_resource_Jaime-5FRold-25C3-25B3s-5FAguilera&amp;d=BQID-g&amp;c=kbmfwr1Yojg42sGEpaQh5ofMHBeTl9EI2eaqQZhHbOU&amp;r=ZliGVSRwfirWoETOrKCh2RSnoygzVPWEk95Me9L-Kwo&amp;m=EaKyFx9mpkhPdFxsxzvW_fiM3jbYwM3xYLjVbSFoDAg&amp;s=tC3m3wQi4Zy1-xrsULa63CCvLUVf45gVGAaQsIWfJdY&amp;e=</t>
  </si>
  <si>
    <t>ECU-1981</t>
  </si>
  <si>
    <t>81f86a16-1e42-11e4-b4cd-db5882bf8def</t>
  </si>
  <si>
    <t>Hurtado Larrea</t>
  </si>
  <si>
    <t>ECU-1984</t>
  </si>
  <si>
    <t>81f86a17-1e42-11e4-b4cd-db5882bf8def</t>
  </si>
  <si>
    <t>Febres Cordaro</t>
  </si>
  <si>
    <t>https://urldefense.proofpoint.com/v2/url?u=http-3A__dbpedia.org_resource_Le-25C3-25B3n-5FFebres-5FCordero&amp;d=BQID-g&amp;c=kbmfwr1Yojg42sGEpaQh5ofMHBeTl9EI2eaqQZhHbOU&amp;r=ZliGVSRwfirWoETOrKCh2RSnoygzVPWEk95Me9L-Kwo&amp;m=EaKyFx9mpkhPdFxsxzvW_fiM3jbYwM3xYLjVbSFoDAg&amp;s=w3wE88h8DKM_M0rBMTZVx-Rz69fTJUZ352JwxfYUZ1c&amp;e=</t>
  </si>
  <si>
    <t>ECU-1988</t>
  </si>
  <si>
    <t>81f86a18-1e42-11e4-b4cd-db5882bf8def</t>
  </si>
  <si>
    <t>Borja Cevallos</t>
  </si>
  <si>
    <t>https://urldefense.proofpoint.com/v2/url?u=http-3A__dbpedia.org_resource_Rodrigo-5FBorja-5FCevallos&amp;d=BQID-g&amp;c=kbmfwr1Yojg42sGEpaQh5ofMHBeTl9EI2eaqQZhHbOU&amp;r=ZliGVSRwfirWoETOrKCh2RSnoygzVPWEk95Me9L-Kwo&amp;m=EaKyFx9mpkhPdFxsxzvW_fiM3jbYwM3xYLjVbSFoDAg&amp;s=aqnOmshKG7Qnk8nD88ZblB9VnOH4Yw56QCvTfYRrF2M&amp;e=</t>
  </si>
  <si>
    <t>ECU-1992</t>
  </si>
  <si>
    <t>81f86a19-1e42-11e4-b4cd-db5882bf8def</t>
  </si>
  <si>
    <t>Duran Ballen</t>
  </si>
  <si>
    <t>https://urldefense.proofpoint.com/v2/url?u=http-3A__dbpedia.org_resource_Sixto-5FDur-25C3-25A1n-5FBall-25C3-25A9n&amp;d=BQID-g&amp;c=kbmfwr1Yojg42sGEpaQh5ofMHBeTl9EI2eaqQZhHbOU&amp;r=ZliGVSRwfirWoETOrKCh2RSnoygzVPWEk95Me9L-Kwo&amp;m=EaKyFx9mpkhPdFxsxzvW_fiM3jbYwM3xYLjVbSFoDAg&amp;s=TzbCtP4Y6mSNvlVRZbpKQ1u_DJ8-Z1MgNYkZVsLRJZs&amp;e=</t>
  </si>
  <si>
    <t>ECU-1996</t>
  </si>
  <si>
    <t>81f86a1a-1e42-11e4-b4cd-db5882bf8def</t>
  </si>
  <si>
    <t>Bucaram Ortiz</t>
  </si>
  <si>
    <t>ECU-1997-1</t>
  </si>
  <si>
    <t>81f89af4-1e42-11e4-b4cd-db5882bf8def</t>
  </si>
  <si>
    <t>Alarcon Fabian</t>
  </si>
  <si>
    <t>https://urldefense.proofpoint.com/v2/url?u=http-3A__dbpedia.org_resource_Fabi-25C3-25A1n-5FAlarc-25C3-25B3n&amp;d=BQID-g&amp;c=kbmfwr1Yojg42sGEpaQh5ofMHBeTl9EI2eaqQZhHbOU&amp;r=ZliGVSRwfirWoETOrKCh2RSnoygzVPWEk95Me9L-Kwo&amp;m=EaKyFx9mpkhPdFxsxzvW_fiM3jbYwM3xYLjVbSFoDAg&amp;s=iBsPYKkHgGmWLRmi3wkzNKFB8D0rFovG1KF9zuBkImE&amp;e=</t>
  </si>
  <si>
    <t>ECU-1997-2</t>
  </si>
  <si>
    <t>81f89af5-1e42-11e4-b4cd-db5882bf8def</t>
  </si>
  <si>
    <t>Rosalia Arteaga Serrano</t>
  </si>
  <si>
    <t>ECU-1997-3</t>
  </si>
  <si>
    <t>ECU-1998</t>
  </si>
  <si>
    <t>81f89af6-1e42-11e4-b4cd-db5882bf8def</t>
  </si>
  <si>
    <t>Mahuad</t>
  </si>
  <si>
    <t>https://urldefense.proofpoint.com/v2/url?u=http-3A__dbpedia.org_resource_Jamil-5FMahuad&amp;d=BQID-g&amp;c=kbmfwr1Yojg42sGEpaQh5ofMHBeTl9EI2eaqQZhHbOU&amp;r=ZliGVSRwfirWoETOrKCh2RSnoygzVPWEk95Me9L-Kwo&amp;m=EaKyFx9mpkhPdFxsxzvW_fiM3jbYwM3xYLjVbSFoDAg&amp;s=kDdqzTbA9N0cLkdsk2I3NxnEI59c41vtWKXX93D95yY&amp;e=</t>
  </si>
  <si>
    <t>ECU-2000</t>
  </si>
  <si>
    <t>81f89af7-1e42-11e4-b4cd-db5882bf8def</t>
  </si>
  <si>
    <t>Gustavo Noboa</t>
  </si>
  <si>
    <t>ECU-2003</t>
  </si>
  <si>
    <t>81f89af8-1e42-11e4-b4cd-db5882bf8def</t>
  </si>
  <si>
    <t>Lucio Gutierrez</t>
  </si>
  <si>
    <t>ECU-2005</t>
  </si>
  <si>
    <t>82508a88-1e42-11e4-b4cd-db5882bf8def</t>
  </si>
  <si>
    <t>Alfredo Palacio</t>
  </si>
  <si>
    <t>ECU-2007</t>
  </si>
  <si>
    <t>82508a89-1e42-11e4-b4cd-db5882bf8def</t>
  </si>
  <si>
    <t>Rafael Correa</t>
  </si>
  <si>
    <t>PER-1872</t>
  </si>
  <si>
    <t>81f89af9-1e42-11e4-b4cd-db5882bf8def</t>
  </si>
  <si>
    <t>PER</t>
  </si>
  <si>
    <t>Pardo</t>
  </si>
  <si>
    <t>1872-08-02</t>
  </si>
  <si>
    <t>1876-08-02</t>
  </si>
  <si>
    <t>https://urldefense.proofpoint.com/v2/url?u=http-3A__dbpedia.org_resource_Manuel-5FPardo&amp;d=BQID-g&amp;c=kbmfwr1Yojg42sGEpaQh5ofMHBeTl9EI2eaqQZhHbOU&amp;r=ZliGVSRwfirWoETOrKCh2RSnoygzVPWEk95Me9L-Kwo&amp;m=EaKyFx9mpkhPdFxsxzvW_fiM3jbYwM3xYLjVbSFoDAg&amp;s=vJOabHM_OZYX-wCGcdW1jnyWKJPjExFTk_7xzrI3WeM&amp;e=</t>
  </si>
  <si>
    <t>Father of Pardo y Barreda%81f95e44-1e42-11e4-b4cd-db5882bf8def</t>
  </si>
  <si>
    <t>PER-1876</t>
  </si>
  <si>
    <t>81f8cbc8-1e42-11e4-b4cd-db5882bf8def</t>
  </si>
  <si>
    <t>Prado</t>
  </si>
  <si>
    <t>1879-12-17</t>
  </si>
  <si>
    <t>Father of Ugarteche%81f9bff0-1e42-11e4-b4cd-db5882bf8def</t>
  </si>
  <si>
    <t>PER-1879-1</t>
  </si>
  <si>
    <t>81f8cbc9-1e42-11e4-b4cd-db5882bf8def</t>
  </si>
  <si>
    <t>Luis de la Puerta</t>
  </si>
  <si>
    <t>1879-12-22</t>
  </si>
  <si>
    <t>1811-08-25</t>
  </si>
  <si>
    <t>25aug1811</t>
  </si>
  <si>
    <t>1896-10-21</t>
  </si>
  <si>
    <t>21oct1896</t>
  </si>
  <si>
    <t>PER-1879-2</t>
  </si>
  <si>
    <t>81f8cbca-1e42-11e4-b4cd-db5882bf8def</t>
  </si>
  <si>
    <t>Pierola</t>
  </si>
  <si>
    <t>1881-01-16</t>
  </si>
  <si>
    <t>https://urldefense.proofpoint.com/v2/url?u=http-3A__dbpedia.org_resource_Nicol-25C3-25A1s-5Fde-5FPi-25C3-25A9rola&amp;d=BQID-g&amp;c=kbmfwr1Yojg42sGEpaQh5ofMHBeTl9EI2eaqQZhHbOU&amp;r=ZliGVSRwfirWoETOrKCh2RSnoygzVPWEk95Me9L-Kwo&amp;m=EaKyFx9mpkhPdFxsxzvW_fiM3jbYwM3xYLjVbSFoDAg&amp;s=Z9yXyQGWT6wFHEiaPlroiLMtfKz0Vdhh2fLQChcDKDw&amp;e=</t>
  </si>
  <si>
    <t>PER-1881-1</t>
  </si>
  <si>
    <t>81f8cbcb-1e42-11e4-b4cd-db5882bf8def</t>
  </si>
  <si>
    <t>Francisco Garcia Calderon</t>
  </si>
  <si>
    <t>1881-02-22</t>
  </si>
  <si>
    <t>1881-09-28</t>
  </si>
  <si>
    <t>https://urldefense.proofpoint.com/v2/url?u=http-3A__dbpedia.org_resource_Francisco-5FGarc-25C3-25ADa-5FCalder-25C3-25B3n&amp;d=BQID-g&amp;c=kbmfwr1Yojg42sGEpaQh5ofMHBeTl9EI2eaqQZhHbOU&amp;r=ZliGVSRwfirWoETOrKCh2RSnoygzVPWEk95Me9L-Kwo&amp;m=EaKyFx9mpkhPdFxsxzvW_fiM3jbYwM3xYLjVbSFoDAg&amp;s=UVaMe9Ktqs9ZNIgHKKhEyeSO6wlyjKtqrl8OxRIO6TM&amp;e=</t>
  </si>
  <si>
    <t>PER-1881-2</t>
  </si>
  <si>
    <t>81f8cbcc-1e42-11e4-b4cd-db5882bf8def</t>
  </si>
  <si>
    <t>Lizardo Montero Flores</t>
  </si>
  <si>
    <t>1882-12-30</t>
  </si>
  <si>
    <t>PER-1882</t>
  </si>
  <si>
    <t>81f8cbcd-1e42-11e4-b4cd-db5882bf8def</t>
  </si>
  <si>
    <t>Iglesias</t>
  </si>
  <si>
    <t>1885-11-30</t>
  </si>
  <si>
    <t>PER-1885</t>
  </si>
  <si>
    <t>81f8fc9c-1e42-11e4-b4cd-db5882bf8def</t>
  </si>
  <si>
    <t>1890-08-10</t>
  </si>
  <si>
    <t>10aug1890</t>
  </si>
  <si>
    <t>https://urldefense.proofpoint.com/v2/url?u=http-3A__dbpedia.org_resource_Andr-25C3-25A9s-5FAvelino-5FC-25C3-25A1ceres&amp;d=BQID-g&amp;c=kbmfwr1Yojg42sGEpaQh5ofMHBeTl9EI2eaqQZhHbOU&amp;r=ZliGVSRwfirWoETOrKCh2RSnoygzVPWEk95Me9L-Kwo&amp;m=EaKyFx9mpkhPdFxsxzvW_fiM3jbYwM3xYLjVbSFoDAg&amp;s=zGqakZiaEUNEBWhjPndiYm5LT2rC8ezVr4ZnUg0Ap3I&amp;e=</t>
  </si>
  <si>
    <t>PER-1890</t>
  </si>
  <si>
    <t>81f8fc9d-1e42-11e4-b4cd-db5882bf8def</t>
  </si>
  <si>
    <t>Bermudez</t>
  </si>
  <si>
    <t>1894-04-01</t>
  </si>
  <si>
    <t>https://urldefense.proofpoint.com/v2/url?u=http-3A__dbpedia.org_resource_Remigio-5FMorales-5FBerm-25C3-25BAdez&amp;d=BQID-g&amp;c=kbmfwr1Yojg42sGEpaQh5ofMHBeTl9EI2eaqQZhHbOU&amp;r=ZliGVSRwfirWoETOrKCh2RSnoygzVPWEk95Me9L-Kwo&amp;m=EaKyFx9mpkhPdFxsxzvW_fiM3jbYwM3xYLjVbSFoDAg&amp;s=Fius6e0QzrIXE1K3FyMP-lSki1XXBjMA-OJBDaTb5PQ&amp;e=</t>
  </si>
  <si>
    <t>Grandfather of Morales Bermudez%81fa5269-1e42-11e4-b4cd-db5882bf8def</t>
  </si>
  <si>
    <t>PER-1894-1</t>
  </si>
  <si>
    <t>81f8fc9e-1e42-11e4-b4cd-db5882bf8def</t>
  </si>
  <si>
    <t>Borgono</t>
  </si>
  <si>
    <t>1894-08-10</t>
  </si>
  <si>
    <t>PER-1894-2</t>
  </si>
  <si>
    <t>1895-03-19</t>
  </si>
  <si>
    <t>PER-1895-1</t>
  </si>
  <si>
    <t>81f92d70-1e42-11e4-b4cd-db5882bf8def</t>
  </si>
  <si>
    <t>de Candamo</t>
  </si>
  <si>
    <t>1895-03-21</t>
  </si>
  <si>
    <t>1895-09-08</t>
  </si>
  <si>
    <t>PER-1895-2</t>
  </si>
  <si>
    <t>1899-09-08</t>
  </si>
  <si>
    <t>PER-1899</t>
  </si>
  <si>
    <t>81f92d71-1e42-11e4-b4cd-db5882bf8def</t>
  </si>
  <si>
    <t>de Romana</t>
  </si>
  <si>
    <t>1847-03-19</t>
  </si>
  <si>
    <t>19mar1847</t>
  </si>
  <si>
    <t>PER-1903</t>
  </si>
  <si>
    <t>PER-1904-1</t>
  </si>
  <si>
    <t>81f92d72-1e42-11e4-b4cd-db5882bf8def</t>
  </si>
  <si>
    <t>Serapio Calderon</t>
  </si>
  <si>
    <t>PER-1904-2</t>
  </si>
  <si>
    <t>81f95e44-1e42-11e4-b4cd-db5882bf8def</t>
  </si>
  <si>
    <t>Pardo y Barreda</t>
  </si>
  <si>
    <t>1864-02-24</t>
  </si>
  <si>
    <t>24feb1864</t>
  </si>
  <si>
    <t>https://urldefense.proofpoint.com/v2/url?u=http-3A__dbpedia.org_resource_Jos-25C3-25A9-5FPardo-5Fy-5FBarreda&amp;d=BQID-g&amp;c=kbmfwr1Yojg42sGEpaQh5ofMHBeTl9EI2eaqQZhHbOU&amp;r=ZliGVSRwfirWoETOrKCh2RSnoygzVPWEk95Me9L-Kwo&amp;m=EaKyFx9mpkhPdFxsxzvW_fiM3jbYwM3xYLjVbSFoDAg&amp;s=ijJAkH01bMX0IWEIAjhyfo6D4zW31kM27lj8vMnj9ic&amp;e=</t>
  </si>
  <si>
    <t>Son of Pardo%81f89af9-1e42-11e4-b4cd-db5882bf8def</t>
  </si>
  <si>
    <t>PER-1908</t>
  </si>
  <si>
    <t>81f95e45-1e42-11e4-b4cd-db5882bf8def</t>
  </si>
  <si>
    <t>Leguia</t>
  </si>
  <si>
    <t>1863-02-19</t>
  </si>
  <si>
    <t>19feb1863</t>
  </si>
  <si>
    <t>https://urldefense.proofpoint.com/v2/url?u=http-3A__dbpedia.org_resource_Augusto-5FB.-5FLegu-25C3-25ADa&amp;d=BQID-g&amp;c=kbmfwr1Yojg42sGEpaQh5ofMHBeTl9EI2eaqQZhHbOU&amp;r=ZliGVSRwfirWoETOrKCh2RSnoygzVPWEk95Me9L-Kwo&amp;m=EaKyFx9mpkhPdFxsxzvW_fiM3jbYwM3xYLjVbSFoDAg&amp;s=0TOrk5Yp8a2DVXrewNtFJCUyomLr_JT2tFvKcEo6io4&amp;e=</t>
  </si>
  <si>
    <t>PER-1912</t>
  </si>
  <si>
    <t>81f95e46-1e42-11e4-b4cd-db5882bf8def</t>
  </si>
  <si>
    <t>Billinghurst</t>
  </si>
  <si>
    <t>https://urldefense.proofpoint.com/v2/url?u=http-3A__dbpedia.org_resource_Guillermo-5FBillinghurst&amp;d=BQID-g&amp;c=kbmfwr1Yojg42sGEpaQh5ofMHBeTl9EI2eaqQZhHbOU&amp;r=ZliGVSRwfirWoETOrKCh2RSnoygzVPWEk95Me9L-Kwo&amp;m=EaKyFx9mpkhPdFxsxzvW_fiM3jbYwM3xYLjVbSFoDAg&amp;s=0A6jHDGypU5j969DFA7Qp3P2BG_a7kFsSNiDl4IXqUE&amp;e=</t>
  </si>
  <si>
    <t>PER-1914</t>
  </si>
  <si>
    <t>81f98f18-1e42-11e4-b4cd-db5882bf8def</t>
  </si>
  <si>
    <t>Benavides</t>
  </si>
  <si>
    <t>1876-05-18</t>
  </si>
  <si>
    <t>18may1876</t>
  </si>
  <si>
    <t>https://urldefense.proofpoint.com/v2/url?u=http-3A__dbpedia.org_resource_-25C3-2593scar-5FR.-5FBenavides&amp;d=BQID-g&amp;c=kbmfwr1Yojg42sGEpaQh5ofMHBeTl9EI2eaqQZhHbOU&amp;r=ZliGVSRwfirWoETOrKCh2RSnoygzVPWEk95Me9L-Kwo&amp;m=EaKyFx9mpkhPdFxsxzvW_fiM3jbYwM3xYLjVbSFoDAg&amp;s=4pl0Wa6jRa02sHuGavV4e4wJ14a9kFq0SvfnHj3KIc4&amp;e=</t>
  </si>
  <si>
    <t>PER-1915</t>
  </si>
  <si>
    <t>PER-1919</t>
  </si>
  <si>
    <t>PER-1930-1</t>
  </si>
  <si>
    <t>81f98f19-1e42-11e4-b4cd-db5882bf8def</t>
  </si>
  <si>
    <t>Ponce Brousset</t>
  </si>
  <si>
    <t>PER-1930-2</t>
  </si>
  <si>
    <t>81f9bfec-1e42-11e4-b4cd-db5882bf8def</t>
  </si>
  <si>
    <t>Sanchez Cerro</t>
  </si>
  <si>
    <t>https://urldefense.proofpoint.com/v2/url?u=http-3A__dbpedia.org_resource_Luis-5FMiguel-5FS-25C3-25A1nchez-5FCerro&amp;d=BQID-g&amp;c=kbmfwr1Yojg42sGEpaQh5ofMHBeTl9EI2eaqQZhHbOU&amp;r=ZliGVSRwfirWoETOrKCh2RSnoygzVPWEk95Me9L-Kwo&amp;m=EaKyFx9mpkhPdFxsxzvW_fiM3jbYwM3xYLjVbSFoDAg&amp;s=Lp1uJaAzoKPRL3bvdk27KjIzQRbCo3bh-6ALi9-9brs&amp;e=</t>
  </si>
  <si>
    <t>PER-1931-1</t>
  </si>
  <si>
    <t>81f9bfed-1e42-11e4-b4cd-db5882bf8def</t>
  </si>
  <si>
    <t>Ricardo Leonicio Elias</t>
  </si>
  <si>
    <t>PER-1931-2</t>
  </si>
  <si>
    <t>81f9bfee-1e42-11e4-b4cd-db5882bf8def</t>
  </si>
  <si>
    <t>Gustavo Jimenez</t>
  </si>
  <si>
    <t>PER-1931-3</t>
  </si>
  <si>
    <t>81f9bfef-1e42-11e4-b4cd-db5882bf8def</t>
  </si>
  <si>
    <t>Samanez Ocampo</t>
  </si>
  <si>
    <t>PER-1931-4</t>
  </si>
  <si>
    <t>PER-1933</t>
  </si>
  <si>
    <t>1972e568-3bbd-11e5-afeb-eb6f07f9fec7</t>
  </si>
  <si>
    <t>Benavidez</t>
  </si>
  <si>
    <t>PER-1939</t>
  </si>
  <si>
    <t>81f9bff0-1e42-11e4-b4cd-db5882bf8def</t>
  </si>
  <si>
    <t>Ugarteche</t>
  </si>
  <si>
    <t>https://urldefense.proofpoint.com/v2/url?u=http-3A__dbpedia.org_resource_Manuel-5FPrado-5FUgarteche&amp;d=BQID-g&amp;c=kbmfwr1Yojg42sGEpaQh5ofMHBeTl9EI2eaqQZhHbOU&amp;r=ZliGVSRwfirWoETOrKCh2RSnoygzVPWEk95Me9L-Kwo&amp;m=EaKyFx9mpkhPdFxsxzvW_fiM3jbYwM3xYLjVbSFoDAg&amp;s=fOgi_hRhenbL_msgHxTqgF3L6O8ZFNYrIW6HVQQuGHY&amp;e=</t>
  </si>
  <si>
    <t>Son of Prado%81f8cbc8-1e42-11e4-b4cd-db5882bf8def</t>
  </si>
  <si>
    <t>PER-1945</t>
  </si>
  <si>
    <t>81f9bff1-1e42-11e4-b4cd-db5882bf8def</t>
  </si>
  <si>
    <t>1894-01-15</t>
  </si>
  <si>
    <t>15jan1894</t>
  </si>
  <si>
    <t>https://urldefense.proofpoint.com/v2/url?u=http-3A__dbpedia.org_resource_Jos-25C3-25A9-5FBustamante-5Fy-5FRivero&amp;d=BQID-g&amp;c=kbmfwr1Yojg42sGEpaQh5ofMHBeTl9EI2eaqQZhHbOU&amp;r=ZliGVSRwfirWoETOrKCh2RSnoygzVPWEk95Me9L-Kwo&amp;m=EaKyFx9mpkhPdFxsxzvW_fiM3jbYwM3xYLjVbSFoDAg&amp;s=zBMZB9JhSs087qG06DjDU2VrTC_5O3is5C6g5g_3oFM&amp;e=</t>
  </si>
  <si>
    <t>PER-1948</t>
  </si>
  <si>
    <t>81f9f0c0-1e42-11e4-b4cd-db5882bf8def</t>
  </si>
  <si>
    <t>Odria</t>
  </si>
  <si>
    <t>1897-11-26</t>
  </si>
  <si>
    <t>26nov1897</t>
  </si>
  <si>
    <t>https://urldefense.proofpoint.com/v2/url?u=http-3A__dbpedia.org_resource_Manuel-5FA.-5FOdr-25C3-25ADa&amp;d=BQID-g&amp;c=kbmfwr1Yojg42sGEpaQh5ofMHBeTl9EI2eaqQZhHbOU&amp;r=ZliGVSRwfirWoETOrKCh2RSnoygzVPWEk95Me9L-Kwo&amp;m=EaKyFx9mpkhPdFxsxzvW_fiM3jbYwM3xYLjVbSFoDAg&amp;s=qeJ83_27NiqfXttPhPLrtTMUNuYmCjih5HUSgIoR9s8&amp;e=</t>
  </si>
  <si>
    <t>PER-1950-1</t>
  </si>
  <si>
    <t>81f9f0c1-1e42-11e4-b4cd-db5882bf8def</t>
  </si>
  <si>
    <t>https://urldefense.proofpoint.com/v2/url?u=http-3A__dbpedia.org_resource_Zen-25C3-25B3n-5FNoriega-5FAg-25C3-25BCero&amp;d=BQID-g&amp;c=kbmfwr1Yojg42sGEpaQh5ofMHBeTl9EI2eaqQZhHbOU&amp;r=ZliGVSRwfirWoETOrKCh2RSnoygzVPWEk95Me9L-Kwo&amp;m=EaKyFx9mpkhPdFxsxzvW_fiM3jbYwM3xYLjVbSFoDAg&amp;s=VrZSX-GhZYiZwIsKv_aCn78jVj372yDf9GyP0H97b2w&amp;e=</t>
  </si>
  <si>
    <t>PER-1950-2</t>
  </si>
  <si>
    <t>PER-1956</t>
  </si>
  <si>
    <t>PER-1962</t>
  </si>
  <si>
    <t>81f9f0c2-1e42-11e4-b4cd-db5882bf8def</t>
  </si>
  <si>
    <t>Perez Godoy</t>
  </si>
  <si>
    <t>https://urldefense.proofpoint.com/v2/url?u=http-3A__dbpedia.org_resource_Ricardo-5FP-25C3-25A9rez-5FGodoy&amp;d=BQID-g&amp;c=kbmfwr1Yojg42sGEpaQh5ofMHBeTl9EI2eaqQZhHbOU&amp;r=ZliGVSRwfirWoETOrKCh2RSnoygzVPWEk95Me9L-Kwo&amp;m=EaKyFx9mpkhPdFxsxzvW_fiM3jbYwM3xYLjVbSFoDAg&amp;s=v01CpNuL7bV0Iv184U32sdBAbm3g8GLbEPEA_K76b3Q&amp;e=</t>
  </si>
  <si>
    <t>PER-1963-1</t>
  </si>
  <si>
    <t>81fa2194-1e42-11e4-b4cd-db5882bf8def</t>
  </si>
  <si>
    <t>Lindley Lopez</t>
  </si>
  <si>
    <t>https://urldefense.proofpoint.com/v2/url?u=http-3A__dbpedia.org_resource_Nicol-25C3-25A1s-5FLindley-5FL-25C3-25B3pez&amp;d=BQID-g&amp;c=kbmfwr1Yojg42sGEpaQh5ofMHBeTl9EI2eaqQZhHbOU&amp;r=ZliGVSRwfirWoETOrKCh2RSnoygzVPWEk95Me9L-Kwo&amp;m=EaKyFx9mpkhPdFxsxzvW_fiM3jbYwM3xYLjVbSFoDAg&amp;s=ai8skqq5T1WugVOLcVEj98odFNmXwgJ_AEprXWYyAs8&amp;e=</t>
  </si>
  <si>
    <t>PER-1963-2</t>
  </si>
  <si>
    <t>81fa2195-1e42-11e4-b4cd-db5882bf8def</t>
  </si>
  <si>
    <t>Belaunde</t>
  </si>
  <si>
    <t>https://urldefense.proofpoint.com/v2/url?u=http-3A__dbpedia.org_resource_Fernando-5FBela-25C3-25BAnde-5FTerry&amp;d=BQID-g&amp;c=kbmfwr1Yojg42sGEpaQh5ofMHBeTl9EI2eaqQZhHbOU&amp;r=ZliGVSRwfirWoETOrKCh2RSnoygzVPWEk95Me9L-Kwo&amp;m=EaKyFx9mpkhPdFxsxzvW_fiM3jbYwM3xYLjVbSFoDAg&amp;s=jVTEMThEULMKdK3ikPHXMLGlQELrKtSA2eXf6xxvmGA&amp;e=</t>
  </si>
  <si>
    <t>PER-1968</t>
  </si>
  <si>
    <t>81fa5268-1e42-11e4-b4cd-db5882bf8def</t>
  </si>
  <si>
    <t>Velasco Alvarado</t>
  </si>
  <si>
    <t>https://urldefense.proofpoint.com/v2/url?u=http-3A__dbpedia.org_resource_Juan-5FVelasco-5FAlvarado&amp;d=BQID-g&amp;c=kbmfwr1Yojg42sGEpaQh5ofMHBeTl9EI2eaqQZhHbOU&amp;r=ZliGVSRwfirWoETOrKCh2RSnoygzVPWEk95Me9L-Kwo&amp;m=EaKyFx9mpkhPdFxsxzvW_fiM3jbYwM3xYLjVbSFoDAg&amp;s=yvX79HnIfSTOKK94x0ah2GGTR-3O3sEpKr63EzP9mF0&amp;e=</t>
  </si>
  <si>
    <t>PER-1975</t>
  </si>
  <si>
    <t>81fa5269-1e42-11e4-b4cd-db5882bf8def</t>
  </si>
  <si>
    <t>Morales Bermudez</t>
  </si>
  <si>
    <t>https://urldefense.proofpoint.com/v2/url?u=http-3A__dbpedia.org_resource_Francisco-5FMorales-5FBerm-25C3-25BAdez&amp;d=BQID-g&amp;c=kbmfwr1Yojg42sGEpaQh5ofMHBeTl9EI2eaqQZhHbOU&amp;r=ZliGVSRwfirWoETOrKCh2RSnoygzVPWEk95Me9L-Kwo&amp;m=EaKyFx9mpkhPdFxsxzvW_fiM3jbYwM3xYLjVbSFoDAg&amp;s=OXlRFQzBsEJ3wh1oCzQSkqeDUzuMqbazK2EM2-isHbQ&amp;e=</t>
  </si>
  <si>
    <t>Grandson of Bermudez%81f8fc9d-1e42-11e4-b4cd-db5882bf8def</t>
  </si>
  <si>
    <t>PER-1980</t>
  </si>
  <si>
    <t>PER-1985</t>
  </si>
  <si>
    <t>81fa8346-1e42-11e4-b4cd-db5882bf8def</t>
  </si>
  <si>
    <t>Garcia Perez</t>
  </si>
  <si>
    <t>PER-1990</t>
  </si>
  <si>
    <t>81fa8347-1e42-11e4-b4cd-db5882bf8def</t>
  </si>
  <si>
    <t>Fujimori</t>
  </si>
  <si>
    <t>PER-2000</t>
  </si>
  <si>
    <t>81fa8348-1e42-11e4-b4cd-db5882bf8def</t>
  </si>
  <si>
    <t>Valentin Paniagua</t>
  </si>
  <si>
    <t>https://urldefense.proofpoint.com/v2/url?u=http-3A__dbpedia.org_resource_Valent-25C3-25ADn-5FPaniagua&amp;d=BQID-g&amp;c=kbmfwr1Yojg42sGEpaQh5ofMHBeTl9EI2eaqQZhHbOU&amp;r=ZliGVSRwfirWoETOrKCh2RSnoygzVPWEk95Me9L-Kwo&amp;m=EaKyFx9mpkhPdFxsxzvW_fiM3jbYwM3xYLjVbSFoDAg&amp;s=BIbgvsJco72-LCTrAb7RtaQWWOvmO2z0Jg3Go1KlBCU&amp;e=</t>
  </si>
  <si>
    <t>PER-2001</t>
  </si>
  <si>
    <t>81fab41a-1e42-11e4-b4cd-db5882bf8def</t>
  </si>
  <si>
    <t>Alejandro Toledo</t>
  </si>
  <si>
    <t>PER-2006</t>
  </si>
  <si>
    <t>PER-2011</t>
  </si>
  <si>
    <t>8250bb58-1e42-11e4-b4cd-db5882bf8def</t>
  </si>
  <si>
    <t>Ollanta Humala</t>
  </si>
  <si>
    <t>BRA-1840</t>
  </si>
  <si>
    <t>81fab41b-1e42-11e4-b4cd-db5882bf8def</t>
  </si>
  <si>
    <t>BRA</t>
  </si>
  <si>
    <t>Pedro II</t>
  </si>
  <si>
    <t>1840-07-23</t>
  </si>
  <si>
    <t>1889-11-15</t>
  </si>
  <si>
    <t>15nov1889</t>
  </si>
  <si>
    <t>1825-12-02</t>
  </si>
  <si>
    <t>02dec1825</t>
  </si>
  <si>
    <t>1891-12-05</t>
  </si>
  <si>
    <t>05dec1891</t>
  </si>
  <si>
    <t>https://urldefense.proofpoint.com/v2/url?u=http-3A__dbpedia.org_resource_Pedro-5FII-5Fof-5FBrazil&amp;d=BQID-g&amp;c=kbmfwr1Yojg42sGEpaQh5ofMHBeTl9EI2eaqQZhHbOU&amp;r=ZliGVSRwfirWoETOrKCh2RSnoygzVPWEk95Me9L-Kwo&amp;m=EaKyFx9mpkhPdFxsxzvW_fiM3jbYwM3xYLjVbSFoDAg&amp;s=EUgwYcTAAIGG_KHshdVPvWQYtkJt-TfRZ0naBjtF0dQ&amp;e=</t>
  </si>
  <si>
    <t>BRA-1889</t>
  </si>
  <si>
    <t>81fab41c-1e42-11e4-b4cd-db5882bf8def</t>
  </si>
  <si>
    <t>M. D. da Fonseca</t>
  </si>
  <si>
    <t>1891-11-23</t>
  </si>
  <si>
    <t>Uncle of H. R. da Fonseca%81fb4696-1e42-11e4-b4cd-db5882bf8def</t>
  </si>
  <si>
    <t>BRA-1891</t>
  </si>
  <si>
    <t>81fae4ee-1e42-11e4-b4cd-db5882bf8def</t>
  </si>
  <si>
    <t>Peixoto</t>
  </si>
  <si>
    <t>1894-11-15</t>
  </si>
  <si>
    <t>1839-04-30</t>
  </si>
  <si>
    <t>30apr1839</t>
  </si>
  <si>
    <t>https://urldefense.proofpoint.com/v2/url?u=http-3A__dbpedia.org_resource_Floriano-5FPeixoto&amp;d=BQID-g&amp;c=kbmfwr1Yojg42sGEpaQh5ofMHBeTl9EI2eaqQZhHbOU&amp;r=ZliGVSRwfirWoETOrKCh2RSnoygzVPWEk95Me9L-Kwo&amp;m=EaKyFx9mpkhPdFxsxzvW_fiM3jbYwM3xYLjVbSFoDAg&amp;s=gOEzm_SF6aTmRIvXu4nGxFA8BOjdRQ3hU-mgiHhsc9g&amp;e=</t>
  </si>
  <si>
    <t>BRA-1894</t>
  </si>
  <si>
    <t>81fae4ef-1e42-11e4-b4cd-db5882bf8def</t>
  </si>
  <si>
    <t>de Moraes Barros</t>
  </si>
  <si>
    <t>1898-11-15</t>
  </si>
  <si>
    <t>1841-10-04</t>
  </si>
  <si>
    <t>04oct1841</t>
  </si>
  <si>
    <t>BRA-1898</t>
  </si>
  <si>
    <t>81fae4f0-1e42-11e4-b4cd-db5882bf8def</t>
  </si>
  <si>
    <t>de Campos Salles</t>
  </si>
  <si>
    <t>https://urldefense.proofpoint.com/v2/url?u=http-3A__dbpedia.org_resource_Campos-5FSales&amp;d=BQID-g&amp;c=kbmfwr1Yojg42sGEpaQh5ofMHBeTl9EI2eaqQZhHbOU&amp;r=ZliGVSRwfirWoETOrKCh2RSnoygzVPWEk95Me9L-Kwo&amp;m=EaKyFx9mpkhPdFxsxzvW_fiM3jbYwM3xYLjVbSFoDAg&amp;s=b22eGdElIfYHkQik3UOlJV3UqKGSonamMEdmNeVbbxY&amp;e=</t>
  </si>
  <si>
    <t>BRA-1902</t>
  </si>
  <si>
    <t>81fb15c2-1e42-11e4-b4cd-db5882bf8def</t>
  </si>
  <si>
    <t>Rodriguez Alves</t>
  </si>
  <si>
    <t>1848-07-07</t>
  </si>
  <si>
    <t>07jul1848</t>
  </si>
  <si>
    <t>https://urldefense.proofpoint.com/v2/url?u=http-3A__dbpedia.org_resource_Francisco-5Fde-5FPaula-5FRodrigues-5FAlves&amp;d=BQID-g&amp;c=kbmfwr1Yojg42sGEpaQh5ofMHBeTl9EI2eaqQZhHbOU&amp;r=ZliGVSRwfirWoETOrKCh2RSnoygzVPWEk95Me9L-Kwo&amp;m=EaKyFx9mpkhPdFxsxzvW_fiM3jbYwM3xYLjVbSFoDAg&amp;s=6GeuOhF8jUqm0RFGOhfVazQZu5g6kya54V5B5Q0stOk&amp;e=</t>
  </si>
  <si>
    <t>BRA-1906</t>
  </si>
  <si>
    <t>81fb15c3-1e42-11e4-b4cd-db5882bf8def</t>
  </si>
  <si>
    <t>Moreira Penna</t>
  </si>
  <si>
    <t>1847-11-30</t>
  </si>
  <si>
    <t>30nov1847</t>
  </si>
  <si>
    <t>https://urldefense.proofpoint.com/v2/url?u=http-3A__dbpedia.org_resource_Afonso-5FAugusto-5FMoreira-5FPena&amp;d=BQID-g&amp;c=kbmfwr1Yojg42sGEpaQh5ofMHBeTl9EI2eaqQZhHbOU&amp;r=ZliGVSRwfirWoETOrKCh2RSnoygzVPWEk95Me9L-Kwo&amp;m=EaKyFx9mpkhPdFxsxzvW_fiM3jbYwM3xYLjVbSFoDAg&amp;s=PrPiJyxwPCtTJp135VmE2Z66iLhyjCoYk0cXy0-KkAI&amp;e=</t>
  </si>
  <si>
    <t>BRA-1909</t>
  </si>
  <si>
    <t>81fb15c4-1e42-11e4-b4cd-db5882bf8def</t>
  </si>
  <si>
    <t>Pecanha</t>
  </si>
  <si>
    <t>1867-10-02</t>
  </si>
  <si>
    <t>02oct1867</t>
  </si>
  <si>
    <t>https://urldefense.proofpoint.com/v2/url?u=http-3A__dbpedia.org_resource_Nilo-5FPe-25C3-25A7anha&amp;d=BQID-g&amp;c=kbmfwr1Yojg42sGEpaQh5ofMHBeTl9EI2eaqQZhHbOU&amp;r=ZliGVSRwfirWoETOrKCh2RSnoygzVPWEk95Me9L-Kwo&amp;m=EaKyFx9mpkhPdFxsxzvW_fiM3jbYwM3xYLjVbSFoDAg&amp;s=Kegw-VZ_Yj20BZooNYM0LdQs8WAaU7BEyGbs_M0GGDY&amp;e=</t>
  </si>
  <si>
    <t>BRA-1910</t>
  </si>
  <si>
    <t>81fb4696-1e42-11e4-b4cd-db5882bf8def</t>
  </si>
  <si>
    <t>H. R. da Fonseca</t>
  </si>
  <si>
    <t>1885-05-12</t>
  </si>
  <si>
    <t>12may1885</t>
  </si>
  <si>
    <t>Nephew of M. D. da Fonseca%81fab41c-1e42-11e4-b4cd-db5882bf8def</t>
  </si>
  <si>
    <t>BRA-1914</t>
  </si>
  <si>
    <t>81fb4697-1e42-11e4-b4cd-db5882bf8def</t>
  </si>
  <si>
    <t>Braz Pereira Gomez</t>
  </si>
  <si>
    <t>1868-02-26</t>
  </si>
  <si>
    <t>26feb1868</t>
  </si>
  <si>
    <t>BRA-1918</t>
  </si>
  <si>
    <t>81fb776a-1e42-11e4-b4cd-db5882bf8def</t>
  </si>
  <si>
    <t>da Costa Ribeiro</t>
  </si>
  <si>
    <t>1868-11-07</t>
  </si>
  <si>
    <t>07nov1868</t>
  </si>
  <si>
    <t>https://urldefense.proofpoint.com/v2/url?u=http-3A__dbpedia.org_resource_Delfim-5FMoreira&amp;d=BQID-g&amp;c=kbmfwr1Yojg42sGEpaQh5ofMHBeTl9EI2eaqQZhHbOU&amp;r=ZliGVSRwfirWoETOrKCh2RSnoygzVPWEk95Me9L-Kwo&amp;m=EaKyFx9mpkhPdFxsxzvW_fiM3jbYwM3xYLjVbSFoDAg&amp;s=9yMVeO_9Our2xTIqc9ZD8jrHRg_CAgDqKgkpBGQ_RTY&amp;e=</t>
  </si>
  <si>
    <t>BRA-1919</t>
  </si>
  <si>
    <t>81fb776b-1e42-11e4-b4cd-db5882bf8def</t>
  </si>
  <si>
    <t>de Silva Pessoa</t>
  </si>
  <si>
    <t>1865-05-23</t>
  </si>
  <si>
    <t>23may1865</t>
  </si>
  <si>
    <t>https://urldefense.proofpoint.com/v2/url?u=http-3A__dbpedia.org_resource_Epit-25C3-25A1cio-5FLindolfo-5Fda-5FSilva-5FPessoa&amp;d=BQID-g&amp;c=kbmfwr1Yojg42sGEpaQh5ofMHBeTl9EI2eaqQZhHbOU&amp;r=ZliGVSRwfirWoETOrKCh2RSnoygzVPWEk95Me9L-Kwo&amp;m=EaKyFx9mpkhPdFxsxzvW_fiM3jbYwM3xYLjVbSFoDAg&amp;s=v5aJ6gum60wCYAA1P2cH9nXNVSsD-igxQZ9_OcSseQM&amp;e=</t>
  </si>
  <si>
    <t>BRA-1922</t>
  </si>
  <si>
    <t>81fb776c-1e42-11e4-b4cd-db5882bf8def</t>
  </si>
  <si>
    <t>de Silva Bernar</t>
  </si>
  <si>
    <t>1875-08-08</t>
  </si>
  <si>
    <t>08aug1875</t>
  </si>
  <si>
    <t>https://urldefense.proofpoint.com/v2/url?u=http-3A__dbpedia.org_resource_Artur-5Fda-5FSilva-5FBernardes&amp;d=BQID-g&amp;c=kbmfwr1Yojg42sGEpaQh5ofMHBeTl9EI2eaqQZhHbOU&amp;r=ZliGVSRwfirWoETOrKCh2RSnoygzVPWEk95Me9L-Kwo&amp;m=EaKyFx9mpkhPdFxsxzvW_fiM3jbYwM3xYLjVbSFoDAg&amp;s=W9uBOwBbG3KUw3OTCrx-FX1NBitGTK8PTc1WRQNN9qA&amp;e=</t>
  </si>
  <si>
    <t>BRA-1926</t>
  </si>
  <si>
    <t>81fba83e-1e42-11e4-b4cd-db5882bf8def</t>
  </si>
  <si>
    <t>de Souza</t>
  </si>
  <si>
    <t>1870-10-26</t>
  </si>
  <si>
    <t>26oct1870</t>
  </si>
  <si>
    <t>https://urldefense.proofpoint.com/v2/url?u=http-3A__dbpedia.org_resource_Washington-5FLu-25C3-25ADs-5FPereira-5Fde-5FSousa&amp;d=BQID-g&amp;c=kbmfwr1Yojg42sGEpaQh5ofMHBeTl9EI2eaqQZhHbOU&amp;r=ZliGVSRwfirWoETOrKCh2RSnoygzVPWEk95Me9L-Kwo&amp;m=EaKyFx9mpkhPdFxsxzvW_fiM3jbYwM3xYLjVbSFoDAg&amp;s=3yEFXinYBvsy2kfmGL7xAQn2HKVKwUKwgCrRZBWFeYk&amp;e=</t>
  </si>
  <si>
    <t>BRA-1930</t>
  </si>
  <si>
    <t>81fba83f-1e42-11e4-b4cd-db5882bf8def</t>
  </si>
  <si>
    <t>1883-04-19</t>
  </si>
  <si>
    <t>19apr1883</t>
  </si>
  <si>
    <t>https://urldefense.proofpoint.com/v2/url?u=http-3A__dbpedia.org_resource_Get-25C3-25BAlio-5FVargas&amp;d=BQID-g&amp;c=kbmfwr1Yojg42sGEpaQh5ofMHBeTl9EI2eaqQZhHbOU&amp;r=ZliGVSRwfirWoETOrKCh2RSnoygzVPWEk95Me9L-Kwo&amp;m=EaKyFx9mpkhPdFxsxzvW_fiM3jbYwM3xYLjVbSFoDAg&amp;s=saRbePdmSrUr58Ass8F6EFbLRHPiC7kUQRqRxX2JV18&amp;e=</t>
  </si>
  <si>
    <t>BRA-1945</t>
  </si>
  <si>
    <t>81fba840-1e42-11e4-b4cd-db5882bf8def</t>
  </si>
  <si>
    <t>Linhares</t>
  </si>
  <si>
    <t>1886-01-28</t>
  </si>
  <si>
    <t>28jan1886</t>
  </si>
  <si>
    <t>https://urldefense.proofpoint.com/v2/url?u=http-3A__dbpedia.org_resource_Jos-25C3-25A9-5FLinhares&amp;d=BQID-g&amp;c=kbmfwr1Yojg42sGEpaQh5ofMHBeTl9EI2eaqQZhHbOU&amp;r=ZliGVSRwfirWoETOrKCh2RSnoygzVPWEk95Me9L-Kwo&amp;m=EaKyFx9mpkhPdFxsxzvW_fiM3jbYwM3xYLjVbSFoDAg&amp;s=7tt9eCnBfeHbK7thBTAwPAo44yLeLAtPYManZuQ-lFk&amp;e=</t>
  </si>
  <si>
    <t>BRA-1946</t>
  </si>
  <si>
    <t>81fbd912-1e42-11e4-b4cd-db5882bf8def</t>
  </si>
  <si>
    <t>Dutra</t>
  </si>
  <si>
    <t>1885-05-18</t>
  </si>
  <si>
    <t>18may1885</t>
  </si>
  <si>
    <t>https://urldefense.proofpoint.com/v2/url?u=http-3A__dbpedia.org_resource_Eurico-5FGaspar-5FDutra&amp;d=BQID-g&amp;c=kbmfwr1Yojg42sGEpaQh5ofMHBeTl9EI2eaqQZhHbOU&amp;r=ZliGVSRwfirWoETOrKCh2RSnoygzVPWEk95Me9L-Kwo&amp;m=EaKyFx9mpkhPdFxsxzvW_fiM3jbYwM3xYLjVbSFoDAg&amp;s=PpZOOydw_PsYC8cxCP9KcQtEswBuOxentpj3yagJubA&amp;e=</t>
  </si>
  <si>
    <t>BRA-1951</t>
  </si>
  <si>
    <t>BRA-1954</t>
  </si>
  <si>
    <t>81fbd913-1e42-11e4-b4cd-db5882bf8def</t>
  </si>
  <si>
    <t>Cafe Filho</t>
  </si>
  <si>
    <t>1899-02-03</t>
  </si>
  <si>
    <t>03feb1899</t>
  </si>
  <si>
    <t>https://urldefense.proofpoint.com/v2/url?u=http-3A__dbpedia.org_resource_Jo-25C3-25A3o-5FCaf-25C3-25A9-5FFilho&amp;d=BQID-g&amp;c=kbmfwr1Yojg42sGEpaQh5ofMHBeTl9EI2eaqQZhHbOU&amp;r=ZliGVSRwfirWoETOrKCh2RSnoygzVPWEk95Me9L-Kwo&amp;m=EaKyFx9mpkhPdFxsxzvW_fiM3jbYwM3xYLjVbSFoDAg&amp;s=i9ejreUtcgePoRhagnUfa4xTgnDh1y-zwysFyN419kc&amp;e=</t>
  </si>
  <si>
    <t>BRA-1955-1</t>
  </si>
  <si>
    <t>81fbd914-1e42-11e4-b4cd-db5882bf8def</t>
  </si>
  <si>
    <t>Coimbra da Luz</t>
  </si>
  <si>
    <t>https://urldefense.proofpoint.com/v2/url?u=http-3A__dbpedia.org_resource_Carlos-5FCoimbra-5Fda-5FLuz&amp;d=BQID-g&amp;c=kbmfwr1Yojg42sGEpaQh5ofMHBeTl9EI2eaqQZhHbOU&amp;r=ZliGVSRwfirWoETOrKCh2RSnoygzVPWEk95Me9L-Kwo&amp;m=EaKyFx9mpkhPdFxsxzvW_fiM3jbYwM3xYLjVbSFoDAg&amp;s=c30WhwBtQ413HdqLHSK7y5aSq0CU0C4r-4ml6zOHRmE&amp;e=</t>
  </si>
  <si>
    <t>BRA-1955-2</t>
  </si>
  <si>
    <t>81fc09e6-1e42-11e4-b4cd-db5882bf8def</t>
  </si>
  <si>
    <t>Oliveria Ramos</t>
  </si>
  <si>
    <t>BRA-1956</t>
  </si>
  <si>
    <t>81fc09e7-1e42-11e4-b4cd-db5882bf8def</t>
  </si>
  <si>
    <t>Kubitschek</t>
  </si>
  <si>
    <t>https://urldefense.proofpoint.com/v2/url?u=http-3A__dbpedia.org_resource_Juscelino-5FKubitschek-5Fde-5FOliveira&amp;d=BQID-g&amp;c=kbmfwr1Yojg42sGEpaQh5ofMHBeTl9EI2eaqQZhHbOU&amp;r=ZliGVSRwfirWoETOrKCh2RSnoygzVPWEk95Me9L-Kwo&amp;m=EaKyFx9mpkhPdFxsxzvW_fiM3jbYwM3xYLjVbSFoDAg&amp;s=Fe-eSvq9ahPYxkiiAFcyOdHYMOkWDNU0r8s2DAI7_Z4&amp;e=</t>
  </si>
  <si>
    <t>BRA-1961-1</t>
  </si>
  <si>
    <t>81fc09e8-1e42-11e4-b4cd-db5882bf8def</t>
  </si>
  <si>
    <t>Quadros</t>
  </si>
  <si>
    <t>https://urldefense.proofpoint.com/v2/url?u=http-3A__dbpedia.org_resource_J-25C3-25A2nio-5FQuadros&amp;d=BQID-g&amp;c=kbmfwr1Yojg42sGEpaQh5ofMHBeTl9EI2eaqQZhHbOU&amp;r=ZliGVSRwfirWoETOrKCh2RSnoygzVPWEk95Me9L-Kwo&amp;m=EaKyFx9mpkhPdFxsxzvW_fiM3jbYwM3xYLjVbSFoDAg&amp;s=2KFu78SQxWJayEshxh71d6zi-SJEQktdFgx7vrw4cjQ&amp;e=</t>
  </si>
  <si>
    <t>BRA-1961-2</t>
  </si>
  <si>
    <t>81fc3aba-1e42-11e4-b4cd-db5882bf8def</t>
  </si>
  <si>
    <t>Ranieri Mazzilli</t>
  </si>
  <si>
    <t>https://urldefense.proofpoint.com/v2/url?u=http-3A__dbpedia.org_resource_Pascoal-5FRanieri-5FMazzilli&amp;d=BQID-g&amp;c=kbmfwr1Yojg42sGEpaQh5ofMHBeTl9EI2eaqQZhHbOU&amp;r=ZliGVSRwfirWoETOrKCh2RSnoygzVPWEk95Me9L-Kwo&amp;m=EaKyFx9mpkhPdFxsxzvW_fiM3jbYwM3xYLjVbSFoDAg&amp;s=_Lx0RS3spmbWA08gANvx67ja8zN0lIdnbCDfjlRkujM&amp;e=</t>
  </si>
  <si>
    <t>BRA-1961-3</t>
  </si>
  <si>
    <t>81fc3abb-1e42-11e4-b4cd-db5882bf8def</t>
  </si>
  <si>
    <t>Goulart</t>
  </si>
  <si>
    <t>https://urldefense.proofpoint.com/v2/url?u=http-3A__dbpedia.org_resource_Jo-25C3-25A3o-5FGoulart&amp;d=BQID-g&amp;c=kbmfwr1Yojg42sGEpaQh5ofMHBeTl9EI2eaqQZhHbOU&amp;r=ZliGVSRwfirWoETOrKCh2RSnoygzVPWEk95Me9L-Kwo&amp;m=EaKyFx9mpkhPdFxsxzvW_fiM3jbYwM3xYLjVbSFoDAg&amp;s=9d5VYjMBQ2M_77wUtM5Ug1c-B-lBziDZQkCkyfEJMI0&amp;e=</t>
  </si>
  <si>
    <t>BRA-1964-1</t>
  </si>
  <si>
    <t>BRA-1964-2</t>
  </si>
  <si>
    <t>81fc3abc-1e42-11e4-b4cd-db5882bf8def</t>
  </si>
  <si>
    <t>Castello Branco</t>
  </si>
  <si>
    <t>BRA-1967</t>
  </si>
  <si>
    <t>81fc6b98-1e42-11e4-b4cd-db5882bf8def</t>
  </si>
  <si>
    <t>Costa de Silva</t>
  </si>
  <si>
    <t>BRA-1969-1</t>
  </si>
  <si>
    <t>81fc6b99-1e42-11e4-b4cd-db5882bf8def</t>
  </si>
  <si>
    <t>Military Junta</t>
  </si>
  <si>
    <t>BRA-1969-2</t>
  </si>
  <si>
    <t>81fc9c6c-1e42-11e4-b4cd-db5882bf8def</t>
  </si>
  <si>
    <t>Medici</t>
  </si>
  <si>
    <t>BRA-1974</t>
  </si>
  <si>
    <t>81fc9c6d-1e42-11e4-b4cd-db5882bf8def</t>
  </si>
  <si>
    <t>Geisel</t>
  </si>
  <si>
    <t>https://urldefense.proofpoint.com/v2/url?u=http-3A__dbpedia.org_resource_Ernesto-5FGeisel&amp;d=BQID-g&amp;c=kbmfwr1Yojg42sGEpaQh5ofMHBeTl9EI2eaqQZhHbOU&amp;r=ZliGVSRwfirWoETOrKCh2RSnoygzVPWEk95Me9L-Kwo&amp;m=EaKyFx9mpkhPdFxsxzvW_fiM3jbYwM3xYLjVbSFoDAg&amp;s=2Il9H9FJhp92r5HZU--YJK0iOQl0qWUVuytJtrFgBuw&amp;e=</t>
  </si>
  <si>
    <t>BRA-1979</t>
  </si>
  <si>
    <t>81fc9c6e-1e42-11e4-b4cd-db5882bf8def</t>
  </si>
  <si>
    <t>Figueiredo</t>
  </si>
  <si>
    <t>https://urldefense.proofpoint.com/v2/url?u=http-3A__dbpedia.org_resource_Jo-25C3-25A3o-5FBaptista-5Fde-5FOliveira-5FFigueiredo&amp;d=BQID-g&amp;c=kbmfwr1Yojg42sGEpaQh5ofMHBeTl9EI2eaqQZhHbOU&amp;r=ZliGVSRwfirWoETOrKCh2RSnoygzVPWEk95Me9L-Kwo&amp;m=EaKyFx9mpkhPdFxsxzvW_fiM3jbYwM3xYLjVbSFoDAg&amp;s=0msWhuBQr3-jVsEGC8omnIrBeZih8rxkAhKgzGm8nxQ&amp;e=</t>
  </si>
  <si>
    <t>BRA-1985</t>
  </si>
  <si>
    <t>81fccd40-1e42-11e4-b4cd-db5882bf8def</t>
  </si>
  <si>
    <t>Sarnay</t>
  </si>
  <si>
    <t>BRA-1990</t>
  </si>
  <si>
    <t>81fccd41-1e42-11e4-b4cd-db5882bf8def</t>
  </si>
  <si>
    <t>Mello</t>
  </si>
  <si>
    <t>https://urldefense.proofpoint.com/v2/url?u=http-3A__dbpedia.org_resource_Fernando-5FCollor-5Fde-5FMello&amp;d=BQID-g&amp;c=kbmfwr1Yojg42sGEpaQh5ofMHBeTl9EI2eaqQZhHbOU&amp;r=ZliGVSRwfirWoETOrKCh2RSnoygzVPWEk95Me9L-Kwo&amp;m=EaKyFx9mpkhPdFxsxzvW_fiM3jbYwM3xYLjVbSFoDAg&amp;s=o9nLCR8f8qB-XyV5tbLuyNWp6sdqJpjaI8YJL3NR61E&amp;e=</t>
  </si>
  <si>
    <t>BRA-1992</t>
  </si>
  <si>
    <t>81fccd42-1e42-11e4-b4cd-db5882bf8def</t>
  </si>
  <si>
    <t>Franco, Itamar</t>
  </si>
  <si>
    <t>https://urldefense.proofpoint.com/v2/url?u=http-3A__dbpedia.org_resource_Itamar-5FFranco&amp;d=BQID-g&amp;c=kbmfwr1Yojg42sGEpaQh5ofMHBeTl9EI2eaqQZhHbOU&amp;r=ZliGVSRwfirWoETOrKCh2RSnoygzVPWEk95Me9L-Kwo&amp;m=EaKyFx9mpkhPdFxsxzvW_fiM3jbYwM3xYLjVbSFoDAg&amp;s=L4TLWtkejc_YkluYnZLI8W7KvApKSO1_0INUgoMOz_c&amp;e=</t>
  </si>
  <si>
    <t>BRA-1995</t>
  </si>
  <si>
    <t>81fcfe14-1e42-11e4-b4cd-db5882bf8def</t>
  </si>
  <si>
    <t>Cardoso</t>
  </si>
  <si>
    <t>https://urldefense.proofpoint.com/v2/url?u=http-3A__dbpedia.org_resource_Fernando-5FHenrique-5FCardoso&amp;d=BQID-g&amp;c=kbmfwr1Yojg42sGEpaQh5ofMHBeTl9EI2eaqQZhHbOU&amp;r=ZliGVSRwfirWoETOrKCh2RSnoygzVPWEk95Me9L-Kwo&amp;m=EaKyFx9mpkhPdFxsxzvW_fiM3jbYwM3xYLjVbSFoDAg&amp;s=NLiuzqxOmwLLU6Yb3bk0BvBUSmrXPfr00SKaLLo8rsQ&amp;e=</t>
  </si>
  <si>
    <t>BRA-2003</t>
  </si>
  <si>
    <t>81fcfe15-1e42-11e4-b4cd-db5882bf8def</t>
  </si>
  <si>
    <t>Lula da Silva</t>
  </si>
  <si>
    <t>https://urldefense.proofpoint.com/v2/url?u=http-3A__dbpedia.org_resource_Luiz-5FIn-25C3-25A1cio-5FLula-5Fda-5FSilva&amp;d=BQID-g&amp;c=kbmfwr1Yojg42sGEpaQh5ofMHBeTl9EI2eaqQZhHbOU&amp;r=ZliGVSRwfirWoETOrKCh2RSnoygzVPWEk95Me9L-Kwo&amp;m=EaKyFx9mpkhPdFxsxzvW_fiM3jbYwM3xYLjVbSFoDAg&amp;s=JjVBhup37_taOzE8xEcXJLpa8sBcw7JiuM_rrIuHRLc&amp;e=</t>
  </si>
  <si>
    <t>BRA-2011</t>
  </si>
  <si>
    <t>8250bb59-1e42-11e4-b4cd-db5882bf8def</t>
  </si>
  <si>
    <t>Rousseff</t>
  </si>
  <si>
    <t>BOL-1874</t>
  </si>
  <si>
    <t>1973a8b8-3bbd-11e5-afeb-eb6f07f9fec7</t>
  </si>
  <si>
    <t>BOL</t>
  </si>
  <si>
    <t>Frias</t>
  </si>
  <si>
    <t>1874-02-14</t>
  </si>
  <si>
    <t>1876-05-04</t>
  </si>
  <si>
    <t>1804-12-21</t>
  </si>
  <si>
    <t>21dec1804</t>
  </si>
  <si>
    <t>https://urldefense.proofpoint.com/v2/url?u=http-3A__dbpedia.org_resource_Tom-25C3-25A1s-5FFr-25C3-25ADas-5FAmetller&amp;d=BQID-g&amp;c=kbmfwr1Yojg42sGEpaQh5ofMHBeTl9EI2eaqQZhHbOU&amp;r=ZliGVSRwfirWoETOrKCh2RSnoygzVPWEk95Me9L-Kwo&amp;m=EaKyFx9mpkhPdFxsxzvW_fiM3jbYwM3xYLjVbSFoDAg&amp;s=2NRy7p_2fxuMnqyQd_UweyLJcmOjK4f_sVayxMAJXCk&amp;e=</t>
  </si>
  <si>
    <t>BOL-1876</t>
  </si>
  <si>
    <t>81fcfe16-1e42-11e4-b4cd-db5882bf8def</t>
  </si>
  <si>
    <t>Daza</t>
  </si>
  <si>
    <t>1879-12-27</t>
  </si>
  <si>
    <t>1840-01-14</t>
  </si>
  <si>
    <t>14jan1840</t>
  </si>
  <si>
    <t>BOL-1880</t>
  </si>
  <si>
    <t>81fd2ee8-1e42-11e4-b4cd-db5882bf8def</t>
  </si>
  <si>
    <t>Campero</t>
  </si>
  <si>
    <t>1880-01-19</t>
  </si>
  <si>
    <t>1884-08-15</t>
  </si>
  <si>
    <t>1813-10-28</t>
  </si>
  <si>
    <t>28oct1813</t>
  </si>
  <si>
    <t>BOL-1884</t>
  </si>
  <si>
    <t>81fd2ee9-1e42-11e4-b4cd-db5882bf8def</t>
  </si>
  <si>
    <t>Pacheco</t>
  </si>
  <si>
    <t>1888-08-15</t>
  </si>
  <si>
    <t>1823-07-04</t>
  </si>
  <si>
    <t>04jul1823</t>
  </si>
  <si>
    <t>BOL-1888</t>
  </si>
  <si>
    <t>81fd2eea-1e42-11e4-b4cd-db5882bf8def</t>
  </si>
  <si>
    <t>Arce</t>
  </si>
  <si>
    <t>1892-08-01</t>
  </si>
  <si>
    <t>1824-04-17</t>
  </si>
  <si>
    <t>17apr1824</t>
  </si>
  <si>
    <t>BOL-1892</t>
  </si>
  <si>
    <t>81fd2eeb-1e42-11e4-b4cd-db5882bf8def</t>
  </si>
  <si>
    <t>Baptista</t>
  </si>
  <si>
    <t>1892-08-06</t>
  </si>
  <si>
    <t>1896-08-15</t>
  </si>
  <si>
    <t>1832-07-16</t>
  </si>
  <si>
    <t>16jul1832</t>
  </si>
  <si>
    <t>BOL-1896</t>
  </si>
  <si>
    <t>81fd2eec-1e42-11e4-b4cd-db5882bf8def</t>
  </si>
  <si>
    <t>Fernandez Alonso</t>
  </si>
  <si>
    <t>1899-10-06</t>
  </si>
  <si>
    <t>1849-08-15</t>
  </si>
  <si>
    <t>15aug1849</t>
  </si>
  <si>
    <t>BOL-1899</t>
  </si>
  <si>
    <t>81fd2eed-1e42-11e4-b4cd-db5882bf8def</t>
  </si>
  <si>
    <t>Jose Manuel Pando</t>
  </si>
  <si>
    <t>1848-12-25</t>
  </si>
  <si>
    <t>25dec1848</t>
  </si>
  <si>
    <t>BOL-1904</t>
  </si>
  <si>
    <t>81fd5fbc-1e42-11e4-b4cd-db5882bf8def</t>
  </si>
  <si>
    <t>Montes</t>
  </si>
  <si>
    <t>1861-10-05</t>
  </si>
  <si>
    <t>05oct1861</t>
  </si>
  <si>
    <t>BOL-1909</t>
  </si>
  <si>
    <t>81fd5fbd-1e42-11e4-b4cd-db5882bf8def</t>
  </si>
  <si>
    <t>Villazon</t>
  </si>
  <si>
    <t>1848-01-22</t>
  </si>
  <si>
    <t>22jan1848</t>
  </si>
  <si>
    <t>BOL-1913</t>
  </si>
  <si>
    <t>BOL-1917</t>
  </si>
  <si>
    <t>81fd5fbe-1e42-11e4-b4cd-db5882bf8def</t>
  </si>
  <si>
    <t>Gutierrez Guerra</t>
  </si>
  <si>
    <t>1869-09-05</t>
  </si>
  <si>
    <t>05sep1869</t>
  </si>
  <si>
    <t>BOL-1920</t>
  </si>
  <si>
    <t>81fd5fbf-1e42-11e4-b4cd-db5882bf8def</t>
  </si>
  <si>
    <t>Saavedra</t>
  </si>
  <si>
    <t>1870-08-30</t>
  </si>
  <si>
    <t>30aug1870</t>
  </si>
  <si>
    <t>BOL-1925</t>
  </si>
  <si>
    <t>81fd5fc0-1e42-11e4-b4cd-db5882bf8def</t>
  </si>
  <si>
    <t>Felipe Guzman</t>
  </si>
  <si>
    <t>BOL-1926</t>
  </si>
  <si>
    <t>81fd5fc1-1e42-11e4-b4cd-db5882bf8def</t>
  </si>
  <si>
    <t>Siles</t>
  </si>
  <si>
    <t>Father of Siles Zuazo%81fdf239-1e42-11e4-b4cd-db5882bf8def</t>
  </si>
  <si>
    <t>BOL-1930</t>
  </si>
  <si>
    <t>81fd9090-1e42-11e4-b4cd-db5882bf8def</t>
  </si>
  <si>
    <t>Blanco Galindo</t>
  </si>
  <si>
    <t>1882-03-12</t>
  </si>
  <si>
    <t>12mar1882</t>
  </si>
  <si>
    <t>BOL-1931</t>
  </si>
  <si>
    <t>81fd9091-1e42-11e4-b4cd-db5882bf8def</t>
  </si>
  <si>
    <t>Salamanca</t>
  </si>
  <si>
    <t>1868-07-08</t>
  </si>
  <si>
    <t>08jul1868</t>
  </si>
  <si>
    <t>https://urldefense.proofpoint.com/v2/url?u=http-3A__dbpedia.org_resource_Daniel-5FSalamanca-5FUrey&amp;d=BQID-g&amp;c=kbmfwr1Yojg42sGEpaQh5ofMHBeTl9EI2eaqQZhHbOU&amp;r=ZliGVSRwfirWoETOrKCh2RSnoygzVPWEk95Me9L-Kwo&amp;m=EaKyFx9mpkhPdFxsxzvW_fiM3jbYwM3xYLjVbSFoDAg&amp;s=UyMM2liv2tzjD-tbRJPwoncdQwhvrIaryjqlAQe3gWY&amp;e=</t>
  </si>
  <si>
    <t>BOL-1934</t>
  </si>
  <si>
    <t>81fd9092-1e42-11e4-b4cd-db5882bf8def</t>
  </si>
  <si>
    <t>Tejada Sorzano</t>
  </si>
  <si>
    <t>1882-01-12</t>
  </si>
  <si>
    <t>12jan1882</t>
  </si>
  <si>
    <t>https://urldefense.proofpoint.com/v2/url?u=http-3A__dbpedia.org_resource_Jos-25C3-25A9-5FLuis-5FTejada-5FSorzano&amp;d=BQID-g&amp;c=kbmfwr1Yojg42sGEpaQh5ofMHBeTl9EI2eaqQZhHbOU&amp;r=ZliGVSRwfirWoETOrKCh2RSnoygzVPWEk95Me9L-Kwo&amp;m=EaKyFx9mpkhPdFxsxzvW_fiM3jbYwM3xYLjVbSFoDAg&amp;s=BQj3K_5ntji36vG-yy9k7b7F8lzbOq7jX-viHLJ9nJE&amp;e=</t>
  </si>
  <si>
    <t>BOL-1936</t>
  </si>
  <si>
    <t>81fd9093-1e42-11e4-b4cd-db5882bf8def</t>
  </si>
  <si>
    <t>Toro</t>
  </si>
  <si>
    <t>1898-06-24</t>
  </si>
  <si>
    <t>24jun1898</t>
  </si>
  <si>
    <t>BOL-1937</t>
  </si>
  <si>
    <t>81fd9094-1e42-11e4-b4cd-db5882bf8def</t>
  </si>
  <si>
    <t>Busch, G.</t>
  </si>
  <si>
    <t>https://urldefense.proofpoint.com/v2/url?u=http-3A__dbpedia.org_resource_Germ-25C3-25A1n-5FBusch&amp;d=BQID-g&amp;c=kbmfwr1Yojg42sGEpaQh5ofMHBeTl9EI2eaqQZhHbOU&amp;r=ZliGVSRwfirWoETOrKCh2RSnoygzVPWEk95Me9L-Kwo&amp;m=EaKyFx9mpkhPdFxsxzvW_fiM3jbYwM3xYLjVbSFoDAg&amp;s=PfQ1w_l8Z4OIiult3WUGY6Zf0GZFyqBdU0occjA5IWM&amp;e=</t>
  </si>
  <si>
    <t>BOL-1939</t>
  </si>
  <si>
    <t>81fd9095-1e42-11e4-b4cd-db5882bf8def</t>
  </si>
  <si>
    <t>Quintanila</t>
  </si>
  <si>
    <t>BOL-1940</t>
  </si>
  <si>
    <t>81fdc164-1e42-11e4-b4cd-db5882bf8def</t>
  </si>
  <si>
    <t>Penaranda</t>
  </si>
  <si>
    <t>1891-11-17</t>
  </si>
  <si>
    <t>17nov1891</t>
  </si>
  <si>
    <t>BOL-1943</t>
  </si>
  <si>
    <t>81fdc165-1e42-11e4-b4cd-db5882bf8def</t>
  </si>
  <si>
    <t>Villarroel</t>
  </si>
  <si>
    <t>BOL-1946-1</t>
  </si>
  <si>
    <t>81fdc166-1e42-11e4-b4cd-db5882bf8def</t>
  </si>
  <si>
    <t>Guillen</t>
  </si>
  <si>
    <t>https://urldefense.proofpoint.com/v2/url?u=http-3A__dbpedia.org_resource_N-25C3-25A9stor-5FGuill-25C3-25A9n&amp;d=BQID-g&amp;c=kbmfwr1Yojg42sGEpaQh5ofMHBeTl9EI2eaqQZhHbOU&amp;r=ZliGVSRwfirWoETOrKCh2RSnoygzVPWEk95Me9L-Kwo&amp;m=EaKyFx9mpkhPdFxsxzvW_fiM3jbYwM3xYLjVbSFoDAg&amp;s=vkV-W_rQbWPOY7fzi7JoCLYWnrgAE9pb0gGGnEGi2pE&amp;e=</t>
  </si>
  <si>
    <t>BOL-1946-2</t>
  </si>
  <si>
    <t>81fdc167-1e42-11e4-b4cd-db5882bf8def</t>
  </si>
  <si>
    <t>Gutierrez</t>
  </si>
  <si>
    <t>BOL-1947</t>
  </si>
  <si>
    <t>81fdc168-1e42-11e4-b4cd-db5882bf8def</t>
  </si>
  <si>
    <t>Herzog</t>
  </si>
  <si>
    <t>BOL-1949</t>
  </si>
  <si>
    <t>81fdc169-1e42-11e4-b4cd-db5882bf8def</t>
  </si>
  <si>
    <t>Urriolagoitia</t>
  </si>
  <si>
    <t>BOL-1951</t>
  </si>
  <si>
    <t>81fdf238-1e42-11e4-b4cd-db5882bf8def</t>
  </si>
  <si>
    <t>Ballivian Rojas</t>
  </si>
  <si>
    <t>BOL-1952-1</t>
  </si>
  <si>
    <t>81fdf239-1e42-11e4-b4cd-db5882bf8def</t>
  </si>
  <si>
    <t>Siles Zuazo</t>
  </si>
  <si>
    <t>https://urldefense.proofpoint.com/v2/url?u=http-3A__dbpedia.org_resource_Hern-25C3-25A1n-5FSiles-5FZuazo&amp;d=BQID-g&amp;c=kbmfwr1Yojg42sGEpaQh5ofMHBeTl9EI2eaqQZhHbOU&amp;r=ZliGVSRwfirWoETOrKCh2RSnoygzVPWEk95Me9L-Kwo&amp;m=EaKyFx9mpkhPdFxsxzvW_fiM3jbYwM3xYLjVbSFoDAg&amp;s=e976hiOqfHJWXx1osq0WFuGy5zDKUadK_vV2JNxzkoQ&amp;e=</t>
  </si>
  <si>
    <t>Son of Siles%81fd5fc1-1e42-11e4-b4cd-db5882bf8def</t>
  </si>
  <si>
    <t>BOL-1952-2</t>
  </si>
  <si>
    <t>81fdf23a-1e42-11e4-b4cd-db5882bf8def</t>
  </si>
  <si>
    <t>Paz Estenssoro</t>
  </si>
  <si>
    <t>https://urldefense.proofpoint.com/v2/url?u=http-3A__dbpedia.org_resource_V-25C3-25ADctor-5FPaz-5FEstenssoro&amp;d=BQID-g&amp;c=kbmfwr1Yojg42sGEpaQh5ofMHBeTl9EI2eaqQZhHbOU&amp;r=ZliGVSRwfirWoETOrKCh2RSnoygzVPWEk95Me9L-Kwo&amp;m=EaKyFx9mpkhPdFxsxzvW_fiM3jbYwM3xYLjVbSFoDAg&amp;s=A8JBe6zRG_sCovoHbT5OhIJP74kFpAkTXZ-jUZ6FllQ&amp;e=</t>
  </si>
  <si>
    <t>Cousin of Paz Estenssoro%81fdf23a-1e42-11e4-b4cd-db5882bf8def</t>
  </si>
  <si>
    <t>BOL-1956</t>
  </si>
  <si>
    <t>BOL-1960</t>
  </si>
  <si>
    <t>BOL-1964</t>
  </si>
  <si>
    <t>81fdf23b-1e42-11e4-b4cd-db5882bf8def</t>
  </si>
  <si>
    <t>Barrientos Ortuna</t>
  </si>
  <si>
    <t>BOL-1966-1</t>
  </si>
  <si>
    <t>81fdf23c-1e42-11e4-b4cd-db5882bf8def</t>
  </si>
  <si>
    <t>Ovando Candia</t>
  </si>
  <si>
    <t>https://urldefense.proofpoint.com/v2/url?u=http-3A__dbpedia.org_resource_Alfredo-5FOvando-5FCand-25C3-25ADa&amp;d=BQID-g&amp;c=kbmfwr1Yojg42sGEpaQh5ofMHBeTl9EI2eaqQZhHbOU&amp;r=ZliGVSRwfirWoETOrKCh2RSnoygzVPWEk95Me9L-Kwo&amp;m=EaKyFx9mpkhPdFxsxzvW_fiM3jbYwM3xYLjVbSFoDAg&amp;s=0979ncQ0xmxpIj9sqbMk4D25eKziV3sbN4zDJPpJJ_c&amp;e=</t>
  </si>
  <si>
    <t>BOL-1966-2</t>
  </si>
  <si>
    <t>BOL-1969-1</t>
  </si>
  <si>
    <t>81fdf23d-1e42-11e4-b4cd-db5882bf8def</t>
  </si>
  <si>
    <t>Siles Salinas</t>
  </si>
  <si>
    <t>https://urldefense.proofpoint.com/v2/url?u=http-3A__dbpedia.org_resource_Luis-5FAdolfo-5FSiles-5FSalinas&amp;d=BQID-g&amp;c=kbmfwr1Yojg42sGEpaQh5ofMHBeTl9EI2eaqQZhHbOU&amp;r=ZliGVSRwfirWoETOrKCh2RSnoygzVPWEk95Me9L-Kwo&amp;m=EaKyFx9mpkhPdFxsxzvW_fiM3jbYwM3xYLjVbSFoDAg&amp;s=SjMrlUW0iP8rw_lccKyVeej5V5U1eEpAAulqfCv09iQ&amp;e=</t>
  </si>
  <si>
    <t>BOL-1969-2</t>
  </si>
  <si>
    <t>BOL-1970</t>
  </si>
  <si>
    <t>81fe230c-1e42-11e4-b4cd-db5882bf8def</t>
  </si>
  <si>
    <t>Torres</t>
  </si>
  <si>
    <t>BOL-1971</t>
  </si>
  <si>
    <t>81fe230d-1e42-11e4-b4cd-db5882bf8def</t>
  </si>
  <si>
    <t>Banzer Suarez</t>
  </si>
  <si>
    <t>BOL-1978-1</t>
  </si>
  <si>
    <t>81fe230e-1e42-11e4-b4cd-db5882bf8def</t>
  </si>
  <si>
    <t>Pereda Asbun</t>
  </si>
  <si>
    <t>BOL-1978-2</t>
  </si>
  <si>
    <t>81fe230f-1e42-11e4-b4cd-db5882bf8def</t>
  </si>
  <si>
    <t>Padilla Aranciba</t>
  </si>
  <si>
    <t>BOL-1979-1</t>
  </si>
  <si>
    <t>81fe2310-1e42-11e4-b4cd-db5882bf8def</t>
  </si>
  <si>
    <t>Guevara Arze</t>
  </si>
  <si>
    <t>BOL-1979-2</t>
  </si>
  <si>
    <t>81fe2311-1e42-11e4-b4cd-db5882bf8def</t>
  </si>
  <si>
    <t>Natusch Busch</t>
  </si>
  <si>
    <t>BOL-1979-3</t>
  </si>
  <si>
    <t>81fe53ea-1e42-11e4-b4cd-db5882bf8def</t>
  </si>
  <si>
    <t>Lidia Gueiler Tejada</t>
  </si>
  <si>
    <t>Removed by Other Government Actors, with Foreign Support</t>
  </si>
  <si>
    <t>Cousin (distant) of Garcia Meza Tejada%81fe53eb-1e42-11e4-b4cd-db5882bf8def</t>
  </si>
  <si>
    <t>BOL-1980</t>
  </si>
  <si>
    <t>81fe53eb-1e42-11e4-b4cd-db5882bf8def</t>
  </si>
  <si>
    <t>Garcia Meza Tejada</t>
  </si>
  <si>
    <t>https://urldefense.proofpoint.com/v2/url?u=http-3A__dbpedia.org_resource_Luis-5FGarc-25C3-25ADa-5FMeza-5FTejada&amp;d=BQID-g&amp;c=kbmfwr1Yojg42sGEpaQh5ofMHBeTl9EI2eaqQZhHbOU&amp;r=ZliGVSRwfirWoETOrKCh2RSnoygzVPWEk95Me9L-Kwo&amp;m=EaKyFx9mpkhPdFxsxzvW_fiM3jbYwM3xYLjVbSFoDAg&amp;s=4LDFlcdhodwxAYsFcBWma4iNdyA7L_fb23H9OLjmvY8&amp;e=</t>
  </si>
  <si>
    <t>Cousin (distant) of Lidia Gueiler Tejada%81fe53ea-1e42-11e4-b4cd-db5882bf8def</t>
  </si>
  <si>
    <t>BOL-1981</t>
  </si>
  <si>
    <t>81fe53ec-1e42-11e4-b4cd-db5882bf8def</t>
  </si>
  <si>
    <t>Torrelio Villa</t>
  </si>
  <si>
    <t>BOL-1982-1</t>
  </si>
  <si>
    <t>81fe53ed-1e42-11e4-b4cd-db5882bf8def</t>
  </si>
  <si>
    <t>Vildoso Calderon</t>
  </si>
  <si>
    <t>BOL-1982-2</t>
  </si>
  <si>
    <t>BOL-1985</t>
  </si>
  <si>
    <t>BOL-1989</t>
  </si>
  <si>
    <t>81fe53ee-1e42-11e4-b4cd-db5882bf8def</t>
  </si>
  <si>
    <t>Paz Zamora</t>
  </si>
  <si>
    <t>https://urldefense.proofpoint.com/v2/url?u=http-3A__dbpedia.org_resource_Jaime-5FPaz-5FZamora&amp;d=BQID-g&amp;c=kbmfwr1Yojg42sGEpaQh5ofMHBeTl9EI2eaqQZhHbOU&amp;r=ZliGVSRwfirWoETOrKCh2RSnoygzVPWEk95Me9L-Kwo&amp;m=EaKyFx9mpkhPdFxsxzvW_fiM3jbYwM3xYLjVbSFoDAg&amp;s=eoioOmhx2PtOMLVvzO6JOiPqWepf018rIkIfwjLWZ8A&amp;e=</t>
  </si>
  <si>
    <t>BOL-1993</t>
  </si>
  <si>
    <t>81fe53ef-1e42-11e4-b4cd-db5882bf8def</t>
  </si>
  <si>
    <t>Gonzalo Sanchez de Lozada</t>
  </si>
  <si>
    <t>BOL-1997</t>
  </si>
  <si>
    <t>BOL-2001</t>
  </si>
  <si>
    <t>81fe84be-1e42-11e4-b4cd-db5882bf8def</t>
  </si>
  <si>
    <t>Jorge Quiroga Ramirez</t>
  </si>
  <si>
    <t>BOL-2002</t>
  </si>
  <si>
    <t>BOL-2003</t>
  </si>
  <si>
    <t>81fe84bf-1e42-11e4-b4cd-db5882bf8def</t>
  </si>
  <si>
    <t>Carlos Mesa</t>
  </si>
  <si>
    <t>https://urldefense.proofpoint.com/v2/url?u=http-3A__dbpedia.org_resource_Carlos-5FMesa&amp;d=BQID-g&amp;c=kbmfwr1Yojg42sGEpaQh5ofMHBeTl9EI2eaqQZhHbOU&amp;r=ZliGVSRwfirWoETOrKCh2RSnoygzVPWEk95Me9L-Kwo&amp;m=EaKyFx9mpkhPdFxsxzvW_fiM3jbYwM3xYLjVbSFoDAg&amp;s=ablXKSY98viW9GH9xt553o1B-b843qoxIz0bluQ0Nuo&amp;e=</t>
  </si>
  <si>
    <t>BOL-2005</t>
  </si>
  <si>
    <t>8250bb5a-1e42-11e4-b4cd-db5882bf8def</t>
  </si>
  <si>
    <t>Enrique Rodriguez</t>
  </si>
  <si>
    <t>BOL-2006</t>
  </si>
  <si>
    <t>8250bb5b-1e42-11e4-b4cd-db5882bf8def</t>
  </si>
  <si>
    <t>Juan Morales</t>
  </si>
  <si>
    <t>PAR-1874</t>
  </si>
  <si>
    <t>81fe84c0-1e42-11e4-b4cd-db5882bf8def</t>
  </si>
  <si>
    <t>PAR</t>
  </si>
  <si>
    <t>Gill</t>
  </si>
  <si>
    <t>1874-11-25</t>
  </si>
  <si>
    <t>1877-04-12</t>
  </si>
  <si>
    <t>https://urldefense.proofpoint.com/v2/url?u=http-3A__dbpedia.org_resource_Juan-5FBautista-5FGill&amp;d=BQID-g&amp;c=kbmfwr1Yojg42sGEpaQh5ofMHBeTl9EI2eaqQZhHbOU&amp;r=ZliGVSRwfirWoETOrKCh2RSnoygzVPWEk95Me9L-Kwo&amp;m=EaKyFx9mpkhPdFxsxzvW_fiM3jbYwM3xYLjVbSFoDAg&amp;s=61b-Am16xyinXl6py72HNanQpr2alu356uUV18S0aqw&amp;e=</t>
  </si>
  <si>
    <t>PAR-1877</t>
  </si>
  <si>
    <t>81fe84c1-1e42-11e4-b4cd-db5882bf8def</t>
  </si>
  <si>
    <t>Uriarte</t>
  </si>
  <si>
    <t>1878-11-25</t>
  </si>
  <si>
    <t>PAR-1878</t>
  </si>
  <si>
    <t>81fe84c2-1e42-11e4-b4cd-db5882bf8def</t>
  </si>
  <si>
    <t>Barreiro</t>
  </si>
  <si>
    <t>1878-11-27</t>
  </si>
  <si>
    <t>1880-09-04</t>
  </si>
  <si>
    <t>PAR-1880</t>
  </si>
  <si>
    <t>81fe84c3-1e42-11e4-b4cd-db5882bf8def</t>
  </si>
  <si>
    <t>Caballero</t>
  </si>
  <si>
    <t>1886-11-25</t>
  </si>
  <si>
    <t>PAR-1886</t>
  </si>
  <si>
    <t>81feb592-1e42-11e4-b4cd-db5882bf8def</t>
  </si>
  <si>
    <t>Escobar</t>
  </si>
  <si>
    <t>1890-11-25</t>
  </si>
  <si>
    <t>https://urldefense.proofpoint.com/v2/url?u=http-3A__dbpedia.org_resource_Patricio-5FEscobar&amp;d=BQID-g&amp;c=kbmfwr1Yojg42sGEpaQh5ofMHBeTl9EI2eaqQZhHbOU&amp;r=ZliGVSRwfirWoETOrKCh2RSnoygzVPWEk95Me9L-Kwo&amp;m=EaKyFx9mpkhPdFxsxzvW_fiM3jbYwM3xYLjVbSFoDAg&amp;s=ajkfRtCZRthQKIkSEf7ndjdE2v0YeAVuyhKEfpKeNyU&amp;e=</t>
  </si>
  <si>
    <t>PAR-1890</t>
  </si>
  <si>
    <t>81feb593-1e42-11e4-b4cd-db5882bf8def</t>
  </si>
  <si>
    <t>1894-06-09</t>
  </si>
  <si>
    <t>https://urldefense.proofpoint.com/v2/url?u=http-3A__dbpedia.org_resource_Juan-5FGualberto-5FGonz-25C3-25A1lez&amp;d=BQID-g&amp;c=kbmfwr1Yojg42sGEpaQh5ofMHBeTl9EI2eaqQZhHbOU&amp;r=ZliGVSRwfirWoETOrKCh2RSnoygzVPWEk95Me9L-Kwo&amp;m=EaKyFx9mpkhPdFxsxzvW_fiM3jbYwM3xYLjVbSFoDAg&amp;s=GfidDwIP0hZDp12qnq7Tip6AghpKhc7gEdAbFnzejIY&amp;e=</t>
  </si>
  <si>
    <t>PAR-1894-1</t>
  </si>
  <si>
    <t>3552ab38-3bbd-11e5-afeb-eb6f07f9fec7</t>
  </si>
  <si>
    <t>Marcos A. Mor铆nigo</t>
  </si>
  <si>
    <t>1894-11-25</t>
  </si>
  <si>
    <t>PAR-1894-2</t>
  </si>
  <si>
    <t>81feb595-1e42-11e4-b4cd-db5882bf8def</t>
  </si>
  <si>
    <t>Egusquiza</t>
  </si>
  <si>
    <t>1898-11-25</t>
  </si>
  <si>
    <t>https://urldefense.proofpoint.com/v2/url?u=http-3A__dbpedia.org_resource_Juan-5FBautista-5FEgusquiza&amp;d=BQID-g&amp;c=kbmfwr1Yojg42sGEpaQh5ofMHBeTl9EI2eaqQZhHbOU&amp;r=ZliGVSRwfirWoETOrKCh2RSnoygzVPWEk95Me9L-Kwo&amp;m=EaKyFx9mpkhPdFxsxzvW_fiM3jbYwM3xYLjVbSFoDAg&amp;s=5Z20dPdDiRl1aQXei5va-_PN-dQAlUFQuJdhCohEWBg&amp;e=</t>
  </si>
  <si>
    <t>PAR-1898</t>
  </si>
  <si>
    <t>81feb596-1e42-11e4-b4cd-db5882bf8def</t>
  </si>
  <si>
    <t>Aceval</t>
  </si>
  <si>
    <t>PAR-1902-1</t>
  </si>
  <si>
    <t>81fee666-1e42-11e4-b4cd-db5882bf8def</t>
  </si>
  <si>
    <t>Carvallo</t>
  </si>
  <si>
    <t>PAR-1902-2</t>
  </si>
  <si>
    <t>81fee667-1e42-11e4-b4cd-db5882bf8def</t>
  </si>
  <si>
    <t>Escurra</t>
  </si>
  <si>
    <t>Uncle of Frutos%81ff78e5-1e42-11e4-b4cd-db5882bf8def</t>
  </si>
  <si>
    <t>PAR-1904</t>
  </si>
  <si>
    <t>81fee668-1e42-11e4-b4cd-db5882bf8def</t>
  </si>
  <si>
    <t>Gaona</t>
  </si>
  <si>
    <t>PAR-1905</t>
  </si>
  <si>
    <t>81fee669-1e42-11e4-b4cd-db5882bf8def</t>
  </si>
  <si>
    <t>Baez</t>
  </si>
  <si>
    <t>1862-02-01</t>
  </si>
  <si>
    <t>01feb1862</t>
  </si>
  <si>
    <t>PAR-1906</t>
  </si>
  <si>
    <t>81fee66a-1e42-11e4-b4cd-db5882bf8def</t>
  </si>
  <si>
    <t>Ferreira</t>
  </si>
  <si>
    <t>1840-02-18</t>
  </si>
  <si>
    <t>18feb1840</t>
  </si>
  <si>
    <t>PAR-1908</t>
  </si>
  <si>
    <t>81fee66b-1e42-11e4-b4cd-db5882bf8def</t>
  </si>
  <si>
    <t>Gonzalez Navero</t>
  </si>
  <si>
    <t>https://urldefense.proofpoint.com/v2/url?u=http-3A__dbpedia.org_resource_Emiliano-5FGonz-25C3-25A1lez-5FNavero&amp;d=BQID-g&amp;c=kbmfwr1Yojg42sGEpaQh5ofMHBeTl9EI2eaqQZhHbOU&amp;r=ZliGVSRwfirWoETOrKCh2RSnoygzVPWEk95Me9L-Kwo&amp;m=EaKyFx9mpkhPdFxsxzvW_fiM3jbYwM3xYLjVbSFoDAg&amp;s=rbIqkGdHUsoFsZ-ZKBId3djII2J242AftBEbQ7cTj_k&amp;e=</t>
  </si>
  <si>
    <t>PAR-1910</t>
  </si>
  <si>
    <t>81ff173a-1e42-11e4-b4cd-db5882bf8def</t>
  </si>
  <si>
    <t>Gondra</t>
  </si>
  <si>
    <t>1871-01-01</t>
  </si>
  <si>
    <t>01jan1871</t>
  </si>
  <si>
    <t>PAR-1911-1</t>
  </si>
  <si>
    <t>81ff173b-1e42-11e4-b4cd-db5882bf8def</t>
  </si>
  <si>
    <t>Jara</t>
  </si>
  <si>
    <t>PAR-1911-2</t>
  </si>
  <si>
    <t>81ff173c-1e42-11e4-b4cd-db5882bf8def</t>
  </si>
  <si>
    <t>Rojas</t>
  </si>
  <si>
    <t>PAR-1912-1</t>
  </si>
  <si>
    <t>81ff173d-1e42-11e4-b4cd-db5882bf8def</t>
  </si>
  <si>
    <t>Pena</t>
  </si>
  <si>
    <t>PAR-1912-2</t>
  </si>
  <si>
    <t>PAR-1912-3</t>
  </si>
  <si>
    <t>81ff173e-1e42-11e4-b4cd-db5882bf8def</t>
  </si>
  <si>
    <t>Schaerer</t>
  </si>
  <si>
    <t>1873-12-02</t>
  </si>
  <si>
    <t>02dec1873</t>
  </si>
  <si>
    <t>https://urldefense.proofpoint.com/v2/url?u=http-3A__dbpedia.org_resource_Eduardo-5FSchaerer&amp;d=BQID-g&amp;c=kbmfwr1Yojg42sGEpaQh5ofMHBeTl9EI2eaqQZhHbOU&amp;r=ZliGVSRwfirWoETOrKCh2RSnoygzVPWEk95Me9L-Kwo&amp;m=EaKyFx9mpkhPdFxsxzvW_fiM3jbYwM3xYLjVbSFoDAg&amp;s=tnfr-ekm59jDpM5ghYgPw_lQBr7W-UrApznoh7a90-g&amp;e=</t>
  </si>
  <si>
    <t>PAR-1916</t>
  </si>
  <si>
    <t>81ff173f-1e42-11e4-b4cd-db5882bf8def</t>
  </si>
  <si>
    <t>Manuel Franco</t>
  </si>
  <si>
    <t>PAR-1919</t>
  </si>
  <si>
    <t>81ff480e-1e42-11e4-b4cd-db5882bf8def</t>
  </si>
  <si>
    <t>Montero</t>
  </si>
  <si>
    <t>1879-02-12</t>
  </si>
  <si>
    <t>12feb1879</t>
  </si>
  <si>
    <t>https://urldefense.proofpoint.com/v2/url?u=http-3A__dbpedia.org_resource_Juan-5FEsteban-5FMontero&amp;d=BQID-g&amp;c=kbmfwr1Yojg42sGEpaQh5ofMHBeTl9EI2eaqQZhHbOU&amp;r=ZliGVSRwfirWoETOrKCh2RSnoygzVPWEk95Me9L-Kwo&amp;m=EaKyFx9mpkhPdFxsxzvW_fiM3jbYwM3xYLjVbSFoDAg&amp;s=_AAB3CDS0HTke0gmyXJ2i1Mlsmf_MAxCA8l_N6Ucby4&amp;e=</t>
  </si>
  <si>
    <t>PAR-1920</t>
  </si>
  <si>
    <t>PAR-1921-1</t>
  </si>
  <si>
    <t>81ff480f-1e42-11e4-b4cd-db5882bf8def</t>
  </si>
  <si>
    <t>Paiva</t>
  </si>
  <si>
    <t>https://urldefense.proofpoint.com/v2/url?u=http-3A__dbpedia.org_resource_F-25C3-25A9lix-5FPaiva&amp;d=BQID-g&amp;c=kbmfwr1Yojg42sGEpaQh5ofMHBeTl9EI2eaqQZhHbOU&amp;r=ZliGVSRwfirWoETOrKCh2RSnoygzVPWEk95Me9L-Kwo&amp;m=EaKyFx9mpkhPdFxsxzvW_fiM3jbYwM3xYLjVbSFoDAg&amp;s=LRYx0CBBd4vX5w1w-SBaopK0mvkljf5eVMSQoeAb-eI&amp;e=</t>
  </si>
  <si>
    <t>PAR-1921-2</t>
  </si>
  <si>
    <t>81ff4810-1e42-11e4-b4cd-db5882bf8def</t>
  </si>
  <si>
    <t>Ayala Eusebio</t>
  </si>
  <si>
    <t>1874-08-15</t>
  </si>
  <si>
    <t>15aug1874</t>
  </si>
  <si>
    <t>PAR-1923</t>
  </si>
  <si>
    <t>81ff4811-1e42-11e4-b4cd-db5882bf8def</t>
  </si>
  <si>
    <t>Ayala Eligio</t>
  </si>
  <si>
    <t>https://urldefense.proofpoint.com/v2/url?u=http-3A__dbpedia.org_resource_Eligio-5FAyala&amp;d=BQID-g&amp;c=kbmfwr1Yojg42sGEpaQh5ofMHBeTl9EI2eaqQZhHbOU&amp;r=ZliGVSRwfirWoETOrKCh2RSnoygzVPWEk95Me9L-Kwo&amp;m=EaKyFx9mpkhPdFxsxzvW_fiM3jbYwM3xYLjVbSFoDAg&amp;s=zjNZzXC7hBasGFiaPkm0o2Og-iNLsDpy0ydhtpZCxIE&amp;e=</t>
  </si>
  <si>
    <t>PAR-1924-1</t>
  </si>
  <si>
    <t>81ff4812-1e42-11e4-b4cd-db5882bf8def</t>
  </si>
  <si>
    <t>Riart</t>
  </si>
  <si>
    <t>PAR-1924-2</t>
  </si>
  <si>
    <t>PAR-1928</t>
  </si>
  <si>
    <t>81ff4813-1e42-11e4-b4cd-db5882bf8def</t>
  </si>
  <si>
    <t>Guggiari</t>
  </si>
  <si>
    <t>1884-03-17</t>
  </si>
  <si>
    <t>17mar1884</t>
  </si>
  <si>
    <t>PAR-1931</t>
  </si>
  <si>
    <t>PAR-1932-1</t>
  </si>
  <si>
    <t>PAR-1932-2</t>
  </si>
  <si>
    <t>PAR-1936</t>
  </si>
  <si>
    <t>81ff78e2-1e42-11e4-b4cd-db5882bf8def</t>
  </si>
  <si>
    <t>Rafael Franco</t>
  </si>
  <si>
    <t>https://urldefense.proofpoint.com/v2/url?u=http-3A__dbpedia.org_resource_Rafael-5FFranco&amp;d=BQID-g&amp;c=kbmfwr1Yojg42sGEpaQh5ofMHBeTl9EI2eaqQZhHbOU&amp;r=ZliGVSRwfirWoETOrKCh2RSnoygzVPWEk95Me9L-Kwo&amp;m=EaKyFx9mpkhPdFxsxzvW_fiM3jbYwM3xYLjVbSFoDAg&amp;s=nkljclCuG9BQUJhE0x21ZewfzLC0ssCXsEQtnynIzQw&amp;e=</t>
  </si>
  <si>
    <t>PAR-1937</t>
  </si>
  <si>
    <t>PAR-1939</t>
  </si>
  <si>
    <t>81ff78e3-1e42-11e4-b4cd-db5882bf8def</t>
  </si>
  <si>
    <t>Estigarribia</t>
  </si>
  <si>
    <t>1888-02-21</t>
  </si>
  <si>
    <t>21feb1888</t>
  </si>
  <si>
    <t>PAR-1940</t>
  </si>
  <si>
    <t>43f5aea1-de6a-11e5-ba44-bb6d7c1a9a58</t>
  </si>
  <si>
    <t>Higinio Mor铆nigo</t>
  </si>
  <si>
    <t>1897-01-11</t>
  </si>
  <si>
    <t>11jan1897</t>
  </si>
  <si>
    <t>PAR-1948-1</t>
  </si>
  <si>
    <t>81ff78e5-1e42-11e4-b4cd-db5882bf8def</t>
  </si>
  <si>
    <t>Frutos</t>
  </si>
  <si>
    <t>https://urldefense.proofpoint.com/v2/url?u=http-3A__dbpedia.org_resource_Juan-5FManuel-5FFrutos&amp;d=BQID-g&amp;c=kbmfwr1Yojg42sGEpaQh5ofMHBeTl9EI2eaqQZhHbOU&amp;r=ZliGVSRwfirWoETOrKCh2RSnoygzVPWEk95Me9L-Kwo&amp;m=EaKyFx9mpkhPdFxsxzvW_fiM3jbYwM3xYLjVbSFoDAg&amp;s=QAjYx9tboa0sy4dvg0n1IFSpp5NJM-woLAngYFDKbZk&amp;e=</t>
  </si>
  <si>
    <t>Nephew of Escurra%81fee667-1e42-11e4-b4cd-db5882bf8def</t>
  </si>
  <si>
    <t>PAR-1948-2</t>
  </si>
  <si>
    <t>81ff78e6-1e42-11e4-b4cd-db5882bf8def</t>
  </si>
  <si>
    <t>Natalicio</t>
  </si>
  <si>
    <t>1897-09-08</t>
  </si>
  <si>
    <t>08sep1897</t>
  </si>
  <si>
    <t>https://urldefense.proofpoint.com/v2/url?u=http-3A__dbpedia.org_resource_Juan-5FNatalicio-5FGonz-25C3-25A1lez&amp;d=BQID-g&amp;c=kbmfwr1Yojg42sGEpaQh5ofMHBeTl9EI2eaqQZhHbOU&amp;r=ZliGVSRwfirWoETOrKCh2RSnoygzVPWEk95Me9L-Kwo&amp;m=EaKyFx9mpkhPdFxsxzvW_fiM3jbYwM3xYLjVbSFoDAg&amp;s=W1ATpfk5TDhivdFGqX-3nWEiE-KlRW7WuK52e4b5-pk&amp;e=</t>
  </si>
  <si>
    <t>PAR-1949-1</t>
  </si>
  <si>
    <t>81ff78e7-1e42-11e4-b4cd-db5882bf8def</t>
  </si>
  <si>
    <t>Rolon</t>
  </si>
  <si>
    <t>PAR-1949-2</t>
  </si>
  <si>
    <t>81ffa9b6-1e42-11e4-b4cd-db5882bf8def</t>
  </si>
  <si>
    <t>Molas Lopez</t>
  </si>
  <si>
    <t>PAR-1949-3</t>
  </si>
  <si>
    <t>81ffa9b7-1e42-11e4-b4cd-db5882bf8def</t>
  </si>
  <si>
    <t>Chavez</t>
  </si>
  <si>
    <t>1882-02-15</t>
  </si>
  <si>
    <t>15feb1882</t>
  </si>
  <si>
    <t>https://urldefense.proofpoint.com/v2/url?u=http-3A__dbpedia.org_resource_Federico-5FCh-25C3-25A1vez&amp;d=BQID-g&amp;c=kbmfwr1Yojg42sGEpaQh5ofMHBeTl9EI2eaqQZhHbOU&amp;r=ZliGVSRwfirWoETOrKCh2RSnoygzVPWEk95Me9L-Kwo&amp;m=EaKyFx9mpkhPdFxsxzvW_fiM3jbYwM3xYLjVbSFoDAg&amp;s=uD0Io7RWCTQQ9XV7bsTZGfwJkheE0cMnD22lVrNEHL4&amp;e=</t>
  </si>
  <si>
    <t>PAR-1954-1</t>
  </si>
  <si>
    <t>81ffa9b8-1e42-11e4-b4cd-db5882bf8def</t>
  </si>
  <si>
    <t>Pareira</t>
  </si>
  <si>
    <t>https://urldefense.proofpoint.com/v2/url?u=http-3A__dbpedia.org_resource_Tom-25C3-25A1s-5FRomero-5FPereira&amp;d=BQID-g&amp;c=kbmfwr1Yojg42sGEpaQh5ofMHBeTl9EI2eaqQZhHbOU&amp;r=ZliGVSRwfirWoETOrKCh2RSnoygzVPWEk95Me9L-Kwo&amp;m=EaKyFx9mpkhPdFxsxzvW_fiM3jbYwM3xYLjVbSFoDAg&amp;s=bNTn82TPKKq1FbyO2jjoqA67qyEle_uSMDPZ20gnPNI&amp;e=</t>
  </si>
  <si>
    <t>PAR-1954-2</t>
  </si>
  <si>
    <t>81ffa9b9-1e42-11e4-b4cd-db5882bf8def</t>
  </si>
  <si>
    <t>Stroessner</t>
  </si>
  <si>
    <t>https://urldefense.proofpoint.com/v2/url?u=http-3A__dbpedia.org_resource_Alfredo-5FStroessner&amp;d=BQID-g&amp;c=kbmfwr1Yojg42sGEpaQh5ofMHBeTl9EI2eaqQZhHbOU&amp;r=ZliGVSRwfirWoETOrKCh2RSnoygzVPWEk95Me9L-Kwo&amp;m=EaKyFx9mpkhPdFxsxzvW_fiM3jbYwM3xYLjVbSFoDAg&amp;s=W8pZFUtPoxWgmD3QLuDII9W2oqDbOJ9wVDixDzT8v9c&amp;e=</t>
  </si>
  <si>
    <t>Relative-in-law of Rodriguez Pedotti%81ffa9ba-1e42-11e4-b4cd-db5882bf8def</t>
  </si>
  <si>
    <t>PAR-1989</t>
  </si>
  <si>
    <t>81ffa9ba-1e42-11e4-b4cd-db5882bf8def</t>
  </si>
  <si>
    <t>Rodriguez Pedotti</t>
  </si>
  <si>
    <t>Relative-in-law of Stroessner%81ffa9b9-1e42-11e4-b4cd-db5882bf8def</t>
  </si>
  <si>
    <t>PAR-1993</t>
  </si>
  <si>
    <t>81ffa9bb-1e42-11e4-b4cd-db5882bf8def</t>
  </si>
  <si>
    <t>Wasmosy Monti</t>
  </si>
  <si>
    <t>PAR-1998</t>
  </si>
  <si>
    <t>81ffda8a-1e42-11e4-b4cd-db5882bf8def</t>
  </si>
  <si>
    <t>Cubas Grau</t>
  </si>
  <si>
    <t>https://urldefense.proofpoint.com/v2/url?u=http-3A__dbpedia.org_resource_Ra-25C3-25BAl-5FCubas-5FGrau&amp;d=BQID-g&amp;c=kbmfwr1Yojg42sGEpaQh5ofMHBeTl9EI2eaqQZhHbOU&amp;r=ZliGVSRwfirWoETOrKCh2RSnoygzVPWEk95Me9L-Kwo&amp;m=EaKyFx9mpkhPdFxsxzvW_fiM3jbYwM3xYLjVbSFoDAg&amp;s=ipPOkDIeQKqfRwlLu5WMYKPpudWMiL58oJjwZU1v7ng&amp;e=</t>
  </si>
  <si>
    <t>PAR-1999</t>
  </si>
  <si>
    <t>81ffda8b-1e42-11e4-b4cd-db5882bf8def</t>
  </si>
  <si>
    <t>Gonzalez Macchi</t>
  </si>
  <si>
    <t>PAR-2003</t>
  </si>
  <si>
    <t>81ffda8c-1e42-11e4-b4cd-db5882bf8def</t>
  </si>
  <si>
    <t>Nicanor Duarte Frutos</t>
  </si>
  <si>
    <t>PAR-2008</t>
  </si>
  <si>
    <t>8250bb5c-1e42-11e4-b4cd-db5882bf8def</t>
  </si>
  <si>
    <t>Fernando Lugo</t>
  </si>
  <si>
    <t>PAR-2012</t>
  </si>
  <si>
    <t>2c772280-3481-11e4-8dba-bbcd9ed46413</t>
  </si>
  <si>
    <t>Federico Franco</t>
  </si>
  <si>
    <t>PAR-2013</t>
  </si>
  <si>
    <t>2b37a453-3481-11e4-8dba-bbcd9ed46413</t>
  </si>
  <si>
    <t>Horacio Cartes</t>
  </si>
  <si>
    <t>CHL-1871</t>
  </si>
  <si>
    <t>81ffda8d-1e42-11e4-b4cd-db5882bf8def</t>
  </si>
  <si>
    <t>CHL</t>
  </si>
  <si>
    <t>F.  Errazuriz Zanartu</t>
  </si>
  <si>
    <t>1871-09-18</t>
  </si>
  <si>
    <t>1876-09-18</t>
  </si>
  <si>
    <t>18sep1876</t>
  </si>
  <si>
    <t>https://urldefense.proofpoint.com/v2/url?u=http-3A__dbpedia.org_resource_Federico-5FErr-25C3-25A1zuriz-5FZa-25C3-25B1artu&amp;d=BQID-g&amp;c=kbmfwr1Yojg42sGEpaQh5ofMHBeTl9EI2eaqQZhHbOU&amp;r=ZliGVSRwfirWoETOrKCh2RSnoygzVPWEk95Me9L-Kwo&amp;m=EaKyFx9mpkhPdFxsxzvW_fiM3jbYwM3xYLjVbSFoDAg&amp;s=jwpyALWmuKF4jrmqdj0q5ZCkxgG-0VcUznwJIHZUdO0&amp;e=</t>
  </si>
  <si>
    <t>Father of F. Errazuriz Echaurren%82000b61-1e42-11e4-b4cd-db5882bf8def</t>
  </si>
  <si>
    <t>CHL-1876</t>
  </si>
  <si>
    <t>81ffda8e-1e42-11e4-b4cd-db5882bf8def</t>
  </si>
  <si>
    <t>Pinto</t>
  </si>
  <si>
    <t>1881-09-18</t>
  </si>
  <si>
    <t>1825-03-15</t>
  </si>
  <si>
    <t>15mar1825</t>
  </si>
  <si>
    <t>https://urldefense.proofpoint.com/v2/url?u=http-3A__dbpedia.org_resource_An-25C3-25ADbal-5FPinto&amp;d=BQID-g&amp;c=kbmfwr1Yojg42sGEpaQh5ofMHBeTl9EI2eaqQZhHbOU&amp;r=ZliGVSRwfirWoETOrKCh2RSnoygzVPWEk95Me9L-Kwo&amp;m=EaKyFx9mpkhPdFxsxzvW_fiM3jbYwM3xYLjVbSFoDAg&amp;s=w2pOTtGEG5Q4_UNTeS7dOH9J7Fosc0srb3KrBOK1Ag0&amp;e=</t>
  </si>
  <si>
    <t>CHL-1881</t>
  </si>
  <si>
    <t>82000b5e-1e42-11e4-b4cd-db5882bf8def</t>
  </si>
  <si>
    <t>Santa Maria</t>
  </si>
  <si>
    <t>1886-09-18</t>
  </si>
  <si>
    <t>1825-08-04</t>
  </si>
  <si>
    <t>04aug1825</t>
  </si>
  <si>
    <t>https://urldefense.proofpoint.com/v2/url?u=http-3A__dbpedia.org_resource_Domingo-5FSanta-5FMar-25C3-25ADa&amp;d=BQID-g&amp;c=kbmfwr1Yojg42sGEpaQh5ofMHBeTl9EI2eaqQZhHbOU&amp;r=ZliGVSRwfirWoETOrKCh2RSnoygzVPWEk95Me9L-Kwo&amp;m=EaKyFx9mpkhPdFxsxzvW_fiM3jbYwM3xYLjVbSFoDAg&amp;s=AEzhNJaFXmeFFufdWDGmkI-hggcNDT80esspwVtbvw8&amp;e=</t>
  </si>
  <si>
    <t>CHL-1886</t>
  </si>
  <si>
    <t>82000b5f-1e42-11e4-b4cd-db5882bf8def</t>
  </si>
  <si>
    <t>Balmaceda</t>
  </si>
  <si>
    <t>1891-08-28</t>
  </si>
  <si>
    <t>1840-07-19</t>
  </si>
  <si>
    <t>19jul1840</t>
  </si>
  <si>
    <t>https://urldefense.proofpoint.com/v2/url?u=http-3A__dbpedia.org_resource_Jos-25C3-25A9-5FManuel-5FBalmaceda&amp;d=BQID-g&amp;c=kbmfwr1Yojg42sGEpaQh5ofMHBeTl9EI2eaqQZhHbOU&amp;r=ZliGVSRwfirWoETOrKCh2RSnoygzVPWEk95Me9L-Kwo&amp;m=EaKyFx9mpkhPdFxsxzvW_fiM3jbYwM3xYLjVbSFoDAg&amp;s=LtgHNdNEsOuyNgDaROi12ixllVn3S8nlI_zN-dg9yWE&amp;e=</t>
  </si>
  <si>
    <t>CHL-1891</t>
  </si>
  <si>
    <t>82000b60-1e42-11e4-b4cd-db5882bf8def</t>
  </si>
  <si>
    <t>J. Montt-Alvarez</t>
  </si>
  <si>
    <t>1891-08-31</t>
  </si>
  <si>
    <t>1896-09-18</t>
  </si>
  <si>
    <t>https://urldefense.proofpoint.com/v2/url?u=http-3A__dbpedia.org_resource_Jorge-5FMontt&amp;d=BQID-g&amp;c=kbmfwr1Yojg42sGEpaQh5ofMHBeTl9EI2eaqQZhHbOU&amp;r=ZliGVSRwfirWoETOrKCh2RSnoygzVPWEk95Me9L-Kwo&amp;m=EaKyFx9mpkhPdFxsxzvW_fiM3jbYwM3xYLjVbSFoDAg&amp;s=OInzFjqqkt9jdpbb6CM-aGyrine_lkxniUUcxS9862E&amp;e=</t>
  </si>
  <si>
    <t>CHL-1896</t>
  </si>
  <si>
    <t>82000b61-1e42-11e4-b4cd-db5882bf8def</t>
  </si>
  <si>
    <t>F. Errazuriz Echaurren</t>
  </si>
  <si>
    <t>1850-09-16</t>
  </si>
  <si>
    <t>16sep1850</t>
  </si>
  <si>
    <t>https://urldefense.proofpoint.com/v2/url?u=http-3A__dbpedia.org_resource_Federico-5FErr-25C3-25A1zuriz-5FEchaurren&amp;d=BQID-g&amp;c=kbmfwr1Yojg42sGEpaQh5ofMHBeTl9EI2eaqQZhHbOU&amp;r=ZliGVSRwfirWoETOrKCh2RSnoygzVPWEk95Me9L-Kwo&amp;m=EaKyFx9mpkhPdFxsxzvW_fiM3jbYwM3xYLjVbSFoDAg&amp;s=obZZOpMAUnvPNtU8s0SrPgCt6JmVTtsXsV0ZQfQAceE&amp;e=</t>
  </si>
  <si>
    <t>Son of F.  Errazuriz Zanartu%81ffda8d-1e42-11e4-b4cd-db5882bf8def</t>
  </si>
  <si>
    <t>CHL-1901-1</t>
  </si>
  <si>
    <t>82000b62-1e42-11e4-b4cd-db5882bf8def</t>
  </si>
  <si>
    <t>A. Zanartu Zanartu</t>
  </si>
  <si>
    <t>CHL-1901-2</t>
  </si>
  <si>
    <t>82000b63-1e42-11e4-b4cd-db5882bf8def</t>
  </si>
  <si>
    <t>Riesco Errazuriz</t>
  </si>
  <si>
    <t>1854-05-18</t>
  </si>
  <si>
    <t>18may1854</t>
  </si>
  <si>
    <t>CHL-1906</t>
  </si>
  <si>
    <t>82003c3c-1e42-11e4-b4cd-db5882bf8def</t>
  </si>
  <si>
    <t>P. Montt</t>
  </si>
  <si>
    <t>1848-06-29</t>
  </si>
  <si>
    <t>29jun1848</t>
  </si>
  <si>
    <t>CHL-1910-1</t>
  </si>
  <si>
    <t>82003c3d-1e42-11e4-b4cd-db5882bf8def</t>
  </si>
  <si>
    <t>Albano</t>
  </si>
  <si>
    <t>CHL-1910-2</t>
  </si>
  <si>
    <t>82003c3e-1e42-11e4-b4cd-db5882bf8def</t>
  </si>
  <si>
    <t>Figueroa Larrain</t>
  </si>
  <si>
    <t>CHL-1911</t>
  </si>
  <si>
    <t>82006d10-1e42-11e4-b4cd-db5882bf8def</t>
  </si>
  <si>
    <t>Lucco</t>
  </si>
  <si>
    <t>https://urldefense.proofpoint.com/v2/url?u=http-3A__dbpedia.org_resource_Ram-25C3-25B3n-5FBarros-5FLuco&amp;d=BQID-g&amp;c=kbmfwr1Yojg42sGEpaQh5ofMHBeTl9EI2eaqQZhHbOU&amp;r=ZliGVSRwfirWoETOrKCh2RSnoygzVPWEk95Me9L-Kwo&amp;m=EaKyFx9mpkhPdFxsxzvW_fiM3jbYwM3xYLjVbSFoDAg&amp;s=-h7uqBWohJC7Fqbsk3waFjuD98D-6pwDayNFblZ2Mr0&amp;e=</t>
  </si>
  <si>
    <t>CHL-1915</t>
  </si>
  <si>
    <t>82006d11-1e42-11e4-b4cd-db5882bf8def</t>
  </si>
  <si>
    <t>Sanfuentes</t>
  </si>
  <si>
    <t>1858-12-27</t>
  </si>
  <si>
    <t>27dec1858</t>
  </si>
  <si>
    <t>https://urldefense.proofpoint.com/v2/url?u=http-3A__dbpedia.org_resource_Juan-5FLuis-5FSanfuentes&amp;d=BQID-g&amp;c=kbmfwr1Yojg42sGEpaQh5ofMHBeTl9EI2eaqQZhHbOU&amp;r=ZliGVSRwfirWoETOrKCh2RSnoygzVPWEk95Me9L-Kwo&amp;m=EaKyFx9mpkhPdFxsxzvW_fiM3jbYwM3xYLjVbSFoDAg&amp;s=5_inr-vln2RBt3-BxeeXsAW9FG1ddqDCNDqCJMHSEw8&amp;e=</t>
  </si>
  <si>
    <t>CHL-1920</t>
  </si>
  <si>
    <t>82006d12-1e42-11e4-b4cd-db5882bf8def</t>
  </si>
  <si>
    <t>Alessandri y Palma</t>
  </si>
  <si>
    <t>1868-12-20</t>
  </si>
  <si>
    <t>20dec1868</t>
  </si>
  <si>
    <t>https://urldefense.proofpoint.com/v2/url?u=http-3A__dbpedia.org_resource_Arturo-5FAlessandri&amp;d=BQID-g&amp;c=kbmfwr1Yojg42sGEpaQh5ofMHBeTl9EI2eaqQZhHbOU&amp;r=ZliGVSRwfirWoETOrKCh2RSnoygzVPWEk95Me9L-Kwo&amp;m=EaKyFx9mpkhPdFxsxzvW_fiM3jbYwM3xYLjVbSFoDAg&amp;s=NwlF10ejAo9OyRYM1e3-ZVzvCs_3BlVik2SFdGuyPZw&amp;e=</t>
  </si>
  <si>
    <t>Father of Alessandri Rodriguez%82019208-1e42-11e4-b4cd-db5882bf8def</t>
  </si>
  <si>
    <t>CHL-1924</t>
  </si>
  <si>
    <t>82009de4-1e42-11e4-b4cd-db5882bf8def</t>
  </si>
  <si>
    <t>Altamirano</t>
  </si>
  <si>
    <t>https://urldefense.proofpoint.com/v2/url?u=http-3A__dbpedia.org_resource_Luis-5FAltamirano&amp;d=BQID-g&amp;c=kbmfwr1Yojg42sGEpaQh5ofMHBeTl9EI2eaqQZhHbOU&amp;r=ZliGVSRwfirWoETOrKCh2RSnoygzVPWEk95Me9L-Kwo&amp;m=EaKyFx9mpkhPdFxsxzvW_fiM3jbYwM3xYLjVbSFoDAg&amp;s=gnQFurx95m1dr-FbhF8I_ij6sn-gCefFf8_GfSAhjN4&amp;e=</t>
  </si>
  <si>
    <t>CHL-1925-1</t>
  </si>
  <si>
    <t>82009de5-1e42-11e4-b4cd-db5882bf8def</t>
  </si>
  <si>
    <t>Ibanez del Campo</t>
  </si>
  <si>
    <t>1877-11-03</t>
  </si>
  <si>
    <t>03nov1877</t>
  </si>
  <si>
    <t>https://urldefense.proofpoint.com/v2/url?u=http-3A__dbpedia.org_resource_Carlos-5FIb-25C3-25A1-25C3-25B1ez-5Fdel-5FCampo&amp;d=BQID-g&amp;c=kbmfwr1Yojg42sGEpaQh5ofMHBeTl9EI2eaqQZhHbOU&amp;r=ZliGVSRwfirWoETOrKCh2RSnoygzVPWEk95Me9L-Kwo&amp;m=EaKyFx9mpkhPdFxsxzvW_fiM3jbYwM3xYLjVbSFoDAg&amp;s=UALZNhAMS5zjQ4xZktGus2NpEcUle5fDQulasBMWOrI&amp;e=</t>
  </si>
  <si>
    <t>CHL-1925-2</t>
  </si>
  <si>
    <t>CHL-1925-3</t>
  </si>
  <si>
    <t>82009de6-1e42-11e4-b4cd-db5882bf8def</t>
  </si>
  <si>
    <t>Barros Borgono</t>
  </si>
  <si>
    <t>CHL-1925-4</t>
  </si>
  <si>
    <t>CHL-1927</t>
  </si>
  <si>
    <t>CHL-1931-1</t>
  </si>
  <si>
    <t>82009de7-1e42-11e4-b4cd-db5882bf8def</t>
  </si>
  <si>
    <t>Opazo Letelier</t>
  </si>
  <si>
    <t>1876-07-12</t>
  </si>
  <si>
    <t>12jul1876</t>
  </si>
  <si>
    <t>CHL-1931-2</t>
  </si>
  <si>
    <t>8200ceb8-1e42-11e4-b4cd-db5882bf8def</t>
  </si>
  <si>
    <t>Montero Rodriquez</t>
  </si>
  <si>
    <t>CHL-1931-3</t>
  </si>
  <si>
    <t>8200ceb9-1e42-11e4-b4cd-db5882bf8def</t>
  </si>
  <si>
    <t>Trucco Franzani</t>
  </si>
  <si>
    <t>1875-03-18</t>
  </si>
  <si>
    <t>18mar1875</t>
  </si>
  <si>
    <t>https://urldefense.proofpoint.com/v2/url?u=http-3A__dbpedia.org_resource_Manuel-5FTrucco&amp;d=BQID-g&amp;c=kbmfwr1Yojg42sGEpaQh5ofMHBeTl9EI2eaqQZhHbOU&amp;r=ZliGVSRwfirWoETOrKCh2RSnoygzVPWEk95Me9L-Kwo&amp;m=EaKyFx9mpkhPdFxsxzvW_fiM3jbYwM3xYLjVbSFoDAg&amp;s=IRqv7uxX9BaXaGK3eDgd2VwAWYEJAHdE_bOUTbMGDzc&amp;e=</t>
  </si>
  <si>
    <t>CHL-1931-4</t>
  </si>
  <si>
    <t>CHL-1932-1</t>
  </si>
  <si>
    <t>8200ceba-1e42-11e4-b4cd-db5882bf8def</t>
  </si>
  <si>
    <t>1887-09-05</t>
  </si>
  <si>
    <t>05sep1887</t>
  </si>
  <si>
    <t>https://urldefense.proofpoint.com/v2/url?u=http-3A__dbpedia.org_resource_Carlos-5FD-25C3-25A1vila&amp;d=BQID-g&amp;c=kbmfwr1Yojg42sGEpaQh5ofMHBeTl9EI2eaqQZhHbOU&amp;r=ZliGVSRwfirWoETOrKCh2RSnoygzVPWEk95Me9L-Kwo&amp;m=EaKyFx9mpkhPdFxsxzvW_fiM3jbYwM3xYLjVbSFoDAg&amp;s=l-9RT8I8seDs7bjziWfN92emS61JN12NVfmppVPJhVY&amp;e=</t>
  </si>
  <si>
    <t>CHL-1932-2</t>
  </si>
  <si>
    <t>8200cebb-1e42-11e4-b4cd-db5882bf8def</t>
  </si>
  <si>
    <t>Grove Vallejo</t>
  </si>
  <si>
    <t>CHL-1932-3</t>
  </si>
  <si>
    <t>CHL-1932-4</t>
  </si>
  <si>
    <t>8200ff8c-1e42-11e4-b4cd-db5882bf8def</t>
  </si>
  <si>
    <t>Blanche</t>
  </si>
  <si>
    <t>https://urldefense.proofpoint.com/v2/url?u=http-3A__dbpedia.org_resource_Bartolom-25C3-25A9-5FBlanche&amp;d=BQID-g&amp;c=kbmfwr1Yojg42sGEpaQh5ofMHBeTl9EI2eaqQZhHbOU&amp;r=ZliGVSRwfirWoETOrKCh2RSnoygzVPWEk95Me9L-Kwo&amp;m=EaKyFx9mpkhPdFxsxzvW_fiM3jbYwM3xYLjVbSFoDAg&amp;s=kCUz_itO-U4dOD59nXRwVwURGZpWs005qVObBbEzDrM&amp;e=</t>
  </si>
  <si>
    <t>CHL-1932-5</t>
  </si>
  <si>
    <t>8200ff8d-1e42-11e4-b4cd-db5882bf8def</t>
  </si>
  <si>
    <t>Ovandel Urrutia</t>
  </si>
  <si>
    <t>CHL-1932-6</t>
  </si>
  <si>
    <t>CHL-1938</t>
  </si>
  <si>
    <t>8200ff8e-1e42-11e4-b4cd-db5882bf8def</t>
  </si>
  <si>
    <t>Aguirre Cerda</t>
  </si>
  <si>
    <t>1879-02-06</t>
  </si>
  <si>
    <t>06feb1879</t>
  </si>
  <si>
    <t>https://urldefense.proofpoint.com/v2/url?u=http-3A__dbpedia.org_resource_Pedro-5FAguirre-5FCerda&amp;d=BQID-g&amp;c=kbmfwr1Yojg42sGEpaQh5ofMHBeTl9EI2eaqQZhHbOU&amp;r=ZliGVSRwfirWoETOrKCh2RSnoygzVPWEk95Me9L-Kwo&amp;m=EaKyFx9mpkhPdFxsxzvW_fiM3jbYwM3xYLjVbSFoDAg&amp;s=ufnzyqlcnrWZrhO5z0mDKwP2M-9f_tEFuLjBtt2Tns8&amp;e=</t>
  </si>
  <si>
    <t>CHL-1941</t>
  </si>
  <si>
    <t>82013060-1e42-11e4-b4cd-db5882bf8def</t>
  </si>
  <si>
    <t>Mendez Arancibia</t>
  </si>
  <si>
    <t>CHL-1942</t>
  </si>
  <si>
    <t>82013061-1e42-11e4-b4cd-db5882bf8def</t>
  </si>
  <si>
    <t>Rios Morales</t>
  </si>
  <si>
    <t>1888-11-10</t>
  </si>
  <si>
    <t>10nov1888</t>
  </si>
  <si>
    <t>https://urldefense.proofpoint.com/v2/url?u=http-3A__dbpedia.org_resource_Juan-5FAntonio-5FR-25C3-25ADos&amp;d=BQID-g&amp;c=kbmfwr1Yojg42sGEpaQh5ofMHBeTl9EI2eaqQZhHbOU&amp;r=ZliGVSRwfirWoETOrKCh2RSnoygzVPWEk95Me9L-Kwo&amp;m=EaKyFx9mpkhPdFxsxzvW_fiM3jbYwM3xYLjVbSFoDAg&amp;s=vyV-NsObKuWMSmmkuNHVTkKgrI1PwWtcindWWHjDs4s&amp;e=</t>
  </si>
  <si>
    <t>CHL-1946-1</t>
  </si>
  <si>
    <t>82013062-1e42-11e4-b4cd-db5882bf8def</t>
  </si>
  <si>
    <t>Duhalde Vasquez</t>
  </si>
  <si>
    <t>CHL-1946-2</t>
  </si>
  <si>
    <t>82016134-1e42-11e4-b4cd-db5882bf8def</t>
  </si>
  <si>
    <t>Bielech</t>
  </si>
  <si>
    <t>CHL-1946-3</t>
  </si>
  <si>
    <t>CHL-1946-4</t>
  </si>
  <si>
    <t>82016135-1e42-11e4-b4cd-db5882bf8def</t>
  </si>
  <si>
    <t>Iribarren</t>
  </si>
  <si>
    <t>1885-05-07</t>
  </si>
  <si>
    <t>07may1885</t>
  </si>
  <si>
    <t>CHL-1946-5</t>
  </si>
  <si>
    <t>82016136-1e42-11e4-b4cd-db5882bf8def</t>
  </si>
  <si>
    <t>Gonzalez Videla</t>
  </si>
  <si>
    <t>1898-11-22</t>
  </si>
  <si>
    <t>22nov1898</t>
  </si>
  <si>
    <t>https://urldefense.proofpoint.com/v2/url?u=http-3A__dbpedia.org_resource_Gabriel-5FGonz-25C3-25A1lez-5FVidela&amp;d=BQID-g&amp;c=kbmfwr1Yojg42sGEpaQh5ofMHBeTl9EI2eaqQZhHbOU&amp;r=ZliGVSRwfirWoETOrKCh2RSnoygzVPWEk95Me9L-Kwo&amp;m=EaKyFx9mpkhPdFxsxzvW_fiM3jbYwM3xYLjVbSFoDAg&amp;s=wUpraOs5itvnjmFBI9SSJaczjP8TJqL7wlhxctfk23A&amp;e=</t>
  </si>
  <si>
    <t>CHL-1952</t>
  </si>
  <si>
    <t>1974e138-3bbd-11e5-afeb-eb6f07f9fec7</t>
  </si>
  <si>
    <t>Ibanez Campo</t>
  </si>
  <si>
    <t>CHL-1958</t>
  </si>
  <si>
    <t>82019208-1e42-11e4-b4cd-db5882bf8def</t>
  </si>
  <si>
    <t>Alessandri Rodriguez</t>
  </si>
  <si>
    <t>1896-05-19</t>
  </si>
  <si>
    <t>19may1896</t>
  </si>
  <si>
    <t>https://urldefense.proofpoint.com/v2/url?u=http-3A__dbpedia.org_resource_Jorge-5FAlessandri&amp;d=BQID-g&amp;c=kbmfwr1Yojg42sGEpaQh5ofMHBeTl9EI2eaqQZhHbOU&amp;r=ZliGVSRwfirWoETOrKCh2RSnoygzVPWEk95Me9L-Kwo&amp;m=EaKyFx9mpkhPdFxsxzvW_fiM3jbYwM3xYLjVbSFoDAg&amp;s=f5nSQbf4dCeozGiGS9w7jyfkOsj49p4qvoIIDyYBpYE&amp;e=</t>
  </si>
  <si>
    <t>Son of Alessandri y Palma%82006d12-1e42-11e4-b4cd-db5882bf8def</t>
  </si>
  <si>
    <t>CHL-1964</t>
  </si>
  <si>
    <t>82019209-1e42-11e4-b4cd-db5882bf8def</t>
  </si>
  <si>
    <t>Frei Montalva</t>
  </si>
  <si>
    <t>https://urldefense.proofpoint.com/v2/url?u=http-3A__dbpedia.org_resource_Eduardo-5FFrei-5FMontalva&amp;d=BQID-g&amp;c=kbmfwr1Yojg42sGEpaQh5ofMHBeTl9EI2eaqQZhHbOU&amp;r=ZliGVSRwfirWoETOrKCh2RSnoygzVPWEk95Me9L-Kwo&amp;m=EaKyFx9mpkhPdFxsxzvW_fiM3jbYwM3xYLjVbSFoDAg&amp;s=Ee1o46_nDVKqjV7Y1t26-Bu63FZ6g1oXVoo1MIpZlQk&amp;e=</t>
  </si>
  <si>
    <t>Father of Ricardo Lagos Escobar%8201f3b0-1e42-11e4-b4cd-db5882bf8def</t>
  </si>
  <si>
    <t>CHL-1970</t>
  </si>
  <si>
    <t>8201920a-1e42-11e4-b4cd-db5882bf8def</t>
  </si>
  <si>
    <t>Allende</t>
  </si>
  <si>
    <t>https://urldefense.proofpoint.com/v2/url?u=http-3A__dbpedia.org_resource_Salvador-5FAllende&amp;d=BQID-g&amp;c=kbmfwr1Yojg42sGEpaQh5ofMHBeTl9EI2eaqQZhHbOU&amp;r=ZliGVSRwfirWoETOrKCh2RSnoygzVPWEk95Me9L-Kwo&amp;m=EaKyFx9mpkhPdFxsxzvW_fiM3jbYwM3xYLjVbSFoDAg&amp;s=q0VO5sIQlhsCO6lhHWsIZd7QGNynkmNuIAXog2Gy50k&amp;e=</t>
  </si>
  <si>
    <t>CHL-1973</t>
  </si>
  <si>
    <t>8201c2dc-1e42-11e4-b4cd-db5882bf8def</t>
  </si>
  <si>
    <t>Pinochet</t>
  </si>
  <si>
    <t>https://urldefense.proofpoint.com/v2/url?u=http-3A__dbpedia.org_resource_Augusto-5FPinochet&amp;d=BQID-g&amp;c=kbmfwr1Yojg42sGEpaQh5ofMHBeTl9EI2eaqQZhHbOU&amp;r=ZliGVSRwfirWoETOrKCh2RSnoygzVPWEk95Me9L-Kwo&amp;m=EaKyFx9mpkhPdFxsxzvW_fiM3jbYwM3xYLjVbSFoDAg&amp;s=b61Hb_rPBDmwwIC3aCpO3qqVuqnspRw-8c2J9KUqZxM&amp;e=</t>
  </si>
  <si>
    <t>CHL-1990</t>
  </si>
  <si>
    <t>8201c2dd-1e42-11e4-b4cd-db5882bf8def</t>
  </si>
  <si>
    <t>Aylwin</t>
  </si>
  <si>
    <t>https://urldefense.proofpoint.com/v2/url?u=http-3A__dbpedia.org_resource_Patricio-5FAylwin&amp;d=BQID-g&amp;c=kbmfwr1Yojg42sGEpaQh5ofMHBeTl9EI2eaqQZhHbOU&amp;r=ZliGVSRwfirWoETOrKCh2RSnoygzVPWEk95Me9L-Kwo&amp;m=EaKyFx9mpkhPdFxsxzvW_fiM3jbYwM3xYLjVbSFoDAg&amp;s=n6Iv4Mtjwm1uWiqFADZGpcduPrIhz9KyRsaDnwIIe2M&amp;e=</t>
  </si>
  <si>
    <t>CHL-1994</t>
  </si>
  <si>
    <t>8201c2de-1e42-11e4-b4cd-db5882bf8def</t>
  </si>
  <si>
    <t>Frei Ruiz-Tagle</t>
  </si>
  <si>
    <t>CHL-2000</t>
  </si>
  <si>
    <t>8201f3b0-1e42-11e4-b4cd-db5882bf8def</t>
  </si>
  <si>
    <t>Ricardo Lagos Escobar</t>
  </si>
  <si>
    <t>Son of Frei Montalva%82019209-1e42-11e4-b4cd-db5882bf8def</t>
  </si>
  <si>
    <t>CHL-2006</t>
  </si>
  <si>
    <t>8250bb5d-1e42-11e4-b4cd-db5882bf8def</t>
  </si>
  <si>
    <t>Michelle Bachelet</t>
  </si>
  <si>
    <t>CHL-2010</t>
  </si>
  <si>
    <t>149e15be-aae0-11e4-b3bc-29f2fa19767e</t>
  </si>
  <si>
    <t>Sebastian Pi帽era</t>
  </si>
  <si>
    <t>CHL-2014</t>
  </si>
  <si>
    <t>ARG-1874</t>
  </si>
  <si>
    <t>8201f3b1-1e42-11e4-b4cd-db5882bf8def</t>
  </si>
  <si>
    <t>ARG</t>
  </si>
  <si>
    <t>Avellanda</t>
  </si>
  <si>
    <t>1874-10-12</t>
  </si>
  <si>
    <t>1880-09-21</t>
  </si>
  <si>
    <t>1836-10-01</t>
  </si>
  <si>
    <t>01oct1836</t>
  </si>
  <si>
    <t>ARG-1880</t>
  </si>
  <si>
    <t>8201f3b2-1e42-11e4-b4cd-db5882bf8def</t>
  </si>
  <si>
    <t>Roca</t>
  </si>
  <si>
    <t>1886-10-12</t>
  </si>
  <si>
    <t>1843-07-17</t>
  </si>
  <si>
    <t>17jul1843</t>
  </si>
  <si>
    <t>https://urldefense.proofpoint.com/v2/url?u=http-3A__dbpedia.org_resource_Julio-5FArgentino-5FRoca&amp;d=BQID-g&amp;c=kbmfwr1Yojg42sGEpaQh5ofMHBeTl9EI2eaqQZhHbOU&amp;r=ZliGVSRwfirWoETOrKCh2RSnoygzVPWEk95Me9L-Kwo&amp;m=EaKyFx9mpkhPdFxsxzvW_fiM3jbYwM3xYLjVbSFoDAg&amp;s=ukOTijX3c78u4kQu4FANYoCpQFKbeNRY59Z0tJqxDPY&amp;e=</t>
  </si>
  <si>
    <t>Brother-in-law of Celman%8202248e-1e42-11e4-b4cd-db5882bf8def</t>
  </si>
  <si>
    <t>ARG-1886</t>
  </si>
  <si>
    <t>8202248e-1e42-11e4-b4cd-db5882bf8def</t>
  </si>
  <si>
    <t>Celman</t>
  </si>
  <si>
    <t>1890-08-05</t>
  </si>
  <si>
    <t>Brother-in-law of Roca%8201f3b2-1e42-11e4-b4cd-db5882bf8def</t>
  </si>
  <si>
    <t>ARG-1890</t>
  </si>
  <si>
    <t>8202248f-1e42-11e4-b4cd-db5882bf8def</t>
  </si>
  <si>
    <t>Pellegrini</t>
  </si>
  <si>
    <t>1892-10-12</t>
  </si>
  <si>
    <t>https://urldefense.proofpoint.com/v2/url?u=http-3A__dbpedia.org_resource_Carlos-5FPellegrini&amp;d=BQID-g&amp;c=kbmfwr1Yojg42sGEpaQh5ofMHBeTl9EI2eaqQZhHbOU&amp;r=ZliGVSRwfirWoETOrKCh2RSnoygzVPWEk95Me9L-Kwo&amp;m=EaKyFx9mpkhPdFxsxzvW_fiM3jbYwM3xYLjVbSFoDAg&amp;s=bn_6FppsajVZ8xWmW6f36hLvTsfRKRVlQSVJta2VFUc&amp;e=</t>
  </si>
  <si>
    <t>ARG-1892</t>
  </si>
  <si>
    <t>82022490-1e42-11e4-b4cd-db5882bf8def</t>
  </si>
  <si>
    <t>L.S. Pena</t>
  </si>
  <si>
    <t>1895-01-23</t>
  </si>
  <si>
    <t>https://urldefense.proofpoint.com/v2/url?u=http-3A__dbpedia.org_resource_Luis-5FS-25C3-25A1enz-5FPe-25C3-25B1a&amp;d=BQID-g&amp;c=kbmfwr1Yojg42sGEpaQh5ofMHBeTl9EI2eaqQZhHbOU&amp;r=ZliGVSRwfirWoETOrKCh2RSnoygzVPWEk95Me9L-Kwo&amp;m=EaKyFx9mpkhPdFxsxzvW_fiM3jbYwM3xYLjVbSFoDAg&amp;s=7e8dU4zB623JGXE4ScE9NU7LqH0Y3YGu97xCfNLrlsM&amp;e=</t>
  </si>
  <si>
    <t>Father of R.S. Pena%82028636-1e42-11e4-b4cd-db5882bf8def</t>
  </si>
  <si>
    <t>ARG-1895</t>
  </si>
  <si>
    <t>82025562-1e42-11e4-b4cd-db5882bf8def</t>
  </si>
  <si>
    <t>J. Evaristo Uriburu</t>
  </si>
  <si>
    <t>1898-10-12</t>
  </si>
  <si>
    <t>1831-11-19</t>
  </si>
  <si>
    <t>19nov1831</t>
  </si>
  <si>
    <t>https://urldefense.proofpoint.com/v2/url?u=http-3A__dbpedia.org_resource_Jos-25C3-25A9-5FEvaristo-5FUriburu&amp;d=BQID-g&amp;c=kbmfwr1Yojg42sGEpaQh5ofMHBeTl9EI2eaqQZhHbOU&amp;r=ZliGVSRwfirWoETOrKCh2RSnoygzVPWEk95Me9L-Kwo&amp;m=EaKyFx9mpkhPdFxsxzvW_fiM3jbYwM3xYLjVbSFoDAg&amp;s=TrzFnqxZp6VkySxurjAkX17SjUFiGT85jql8JoirzAU&amp;e=</t>
  </si>
  <si>
    <t>Uncle of J. Felix Uriburu%8202b70b-1e42-11e4-b4cd-db5882bf8def</t>
  </si>
  <si>
    <t>ARG-1898</t>
  </si>
  <si>
    <t>ARG-1904</t>
  </si>
  <si>
    <t>82025563-1e42-11e4-b4cd-db5882bf8def</t>
  </si>
  <si>
    <t>Quintana</t>
  </si>
  <si>
    <t>1835-10-19</t>
  </si>
  <si>
    <t>19oct1835</t>
  </si>
  <si>
    <t>https://urldefense.proofpoint.com/v2/url?u=http-3A__dbpedia.org_resource_Manuel-5FQuintana&amp;d=BQID-g&amp;c=kbmfwr1Yojg42sGEpaQh5ofMHBeTl9EI2eaqQZhHbOU&amp;r=ZliGVSRwfirWoETOrKCh2RSnoygzVPWEk95Me9L-Kwo&amp;m=EaKyFx9mpkhPdFxsxzvW_fiM3jbYwM3xYLjVbSFoDAg&amp;s=R61MvYFUGspZUDPmuz3ru_bAZoddfTWYryNq58h4xys&amp;e=</t>
  </si>
  <si>
    <t>ARG-1906</t>
  </si>
  <si>
    <t>82025564-1e42-11e4-b4cd-db5882bf8def</t>
  </si>
  <si>
    <t>Alcorta</t>
  </si>
  <si>
    <t>1860-11-20</t>
  </si>
  <si>
    <t>20nov1860</t>
  </si>
  <si>
    <t>https://urldefense.proofpoint.com/v2/url?u=http-3A__dbpedia.org_resource_Jos-25C3-25A9-5FFigueroa-5FAlcorta&amp;d=BQID-g&amp;c=kbmfwr1Yojg42sGEpaQh5ofMHBeTl9EI2eaqQZhHbOU&amp;r=ZliGVSRwfirWoETOrKCh2RSnoygzVPWEk95Me9L-Kwo&amp;m=EaKyFx9mpkhPdFxsxzvW_fiM3jbYwM3xYLjVbSFoDAg&amp;s=4nHkGA7s3WkwusTLX-A1nS4njSlv8frYieLGP8rPqlM&amp;e=</t>
  </si>
  <si>
    <t>ARG-1910</t>
  </si>
  <si>
    <t>82028636-1e42-11e4-b4cd-db5882bf8def</t>
  </si>
  <si>
    <t>R.S. Pena</t>
  </si>
  <si>
    <t>1851-03-19</t>
  </si>
  <si>
    <t>19mar1851</t>
  </si>
  <si>
    <t>https://urldefense.proofpoint.com/v2/url?u=http-3A__dbpedia.org_resource_Roque-5FS-25C3-25A1enz-5FPe-25C3-25B1a&amp;d=BQID-g&amp;c=kbmfwr1Yojg42sGEpaQh5ofMHBeTl9EI2eaqQZhHbOU&amp;r=ZliGVSRwfirWoETOrKCh2RSnoygzVPWEk95Me9L-Kwo&amp;m=EaKyFx9mpkhPdFxsxzvW_fiM3jbYwM3xYLjVbSFoDAg&amp;s=ulbbqxNQ6JzZ07zOTjGQL7G4p5p27DKiT5HNc8MRzQ0&amp;e=</t>
  </si>
  <si>
    <t>Son of L.S. Pena%82022490-1e42-11e4-b4cd-db5882bf8def</t>
  </si>
  <si>
    <t>ARG-1913</t>
  </si>
  <si>
    <t>82028637-1e42-11e4-b4cd-db5882bf8def</t>
  </si>
  <si>
    <t>de la Plaza</t>
  </si>
  <si>
    <t>1840-11-02</t>
  </si>
  <si>
    <t>02nov1840</t>
  </si>
  <si>
    <t>https://urldefense.proofpoint.com/v2/url?u=http-3A__dbpedia.org_resource_Victorino-5Fde-5Fla-5FPlaza&amp;d=BQID-g&amp;c=kbmfwr1Yojg42sGEpaQh5ofMHBeTl9EI2eaqQZhHbOU&amp;r=ZliGVSRwfirWoETOrKCh2RSnoygzVPWEk95Me9L-Kwo&amp;m=EaKyFx9mpkhPdFxsxzvW_fiM3jbYwM3xYLjVbSFoDAg&amp;s=p6zhnXwXN8HbEAumhyg_xp_00gVb5pU8kDDf_1N0gb4&amp;e=</t>
  </si>
  <si>
    <t>ARG-1916</t>
  </si>
  <si>
    <t>82028638-1e42-11e4-b4cd-db5882bf8def</t>
  </si>
  <si>
    <t>Irigoyen</t>
  </si>
  <si>
    <t>1852-07-12</t>
  </si>
  <si>
    <t>12jul1852</t>
  </si>
  <si>
    <t>https://urldefense.proofpoint.com/v2/url?u=http-3A__dbpedia.org_resource_Hip-25C3-25B3lito-5FYrigoyen&amp;d=BQID-g&amp;c=kbmfwr1Yojg42sGEpaQh5ofMHBeTl9EI2eaqQZhHbOU&amp;r=ZliGVSRwfirWoETOrKCh2RSnoygzVPWEk95Me9L-Kwo&amp;m=EaKyFx9mpkhPdFxsxzvW_fiM3jbYwM3xYLjVbSFoDAg&amp;s=J7fT9pp_maJk-DE8OLljvy5sc80pCbaHTWNa51gjruU&amp;e=</t>
  </si>
  <si>
    <t>ARG-1922</t>
  </si>
  <si>
    <t>8202b70a-1e42-11e4-b4cd-db5882bf8def</t>
  </si>
  <si>
    <t>de Alvear</t>
  </si>
  <si>
    <t>1868-10-04</t>
  </si>
  <si>
    <t>04oct1868</t>
  </si>
  <si>
    <t>https://urldefense.proofpoint.com/v2/url?u=http-3A__dbpedia.org_resource_Marcelo-5FTorcuato-5Fde-5FAlvear&amp;d=BQID-g&amp;c=kbmfwr1Yojg42sGEpaQh5ofMHBeTl9EI2eaqQZhHbOU&amp;r=ZliGVSRwfirWoETOrKCh2RSnoygzVPWEk95Me9L-Kwo&amp;m=EaKyFx9mpkhPdFxsxzvW_fiM3jbYwM3xYLjVbSFoDAg&amp;s=fIr2ZyHWLNs6_Mz-jaiFGe2XF7mJt8WmmIEUKR0oDYk&amp;e=</t>
  </si>
  <si>
    <t>ARG-1928</t>
  </si>
  <si>
    <t>ARG-1930</t>
  </si>
  <si>
    <t>8202b70b-1e42-11e4-b4cd-db5882bf8def</t>
  </si>
  <si>
    <t>J. Felix Uriburu</t>
  </si>
  <si>
    <t>1868-07-20</t>
  </si>
  <si>
    <t>20jul1868</t>
  </si>
  <si>
    <t>https://urldefense.proofpoint.com/v2/url?u=http-3A__dbpedia.org_resource_Jos-25C3-25A9-5FF-25C3-25A9lix-5FUriburu&amp;d=BQID-g&amp;c=kbmfwr1Yojg42sGEpaQh5ofMHBeTl9EI2eaqQZhHbOU&amp;r=ZliGVSRwfirWoETOrKCh2RSnoygzVPWEk95Me9L-Kwo&amp;m=EaKyFx9mpkhPdFxsxzvW_fiM3jbYwM3xYLjVbSFoDAg&amp;s=mCL9qXoOu9R83RzfcM1otDth-w0AMQsvbi6qKzxthEc&amp;e=</t>
  </si>
  <si>
    <t>Nephew of J. Evaristo Uriburu%82025562-1e42-11e4-b4cd-db5882bf8def</t>
  </si>
  <si>
    <t>ARG-1932</t>
  </si>
  <si>
    <t>8202b70c-1e42-11e4-b4cd-db5882bf8def</t>
  </si>
  <si>
    <t>Justo</t>
  </si>
  <si>
    <t>1876-02-26</t>
  </si>
  <si>
    <t>26feb1876</t>
  </si>
  <si>
    <t>https://urldefense.proofpoint.com/v2/url?u=http-3A__dbpedia.org_resource_Agust-25C3-25ADn-5FPedro-5FJusto&amp;d=BQID-g&amp;c=kbmfwr1Yojg42sGEpaQh5ofMHBeTl9EI2eaqQZhHbOU&amp;r=ZliGVSRwfirWoETOrKCh2RSnoygzVPWEk95Me9L-Kwo&amp;m=EaKyFx9mpkhPdFxsxzvW_fiM3jbYwM3xYLjVbSFoDAg&amp;s=OOYt7nW-TPfywnCM94Ca6quHKAU32jZP26vwfErVjf0&amp;e=</t>
  </si>
  <si>
    <t>ARG-1938</t>
  </si>
  <si>
    <t>8202e7de-1e42-11e4-b4cd-db5882bf8def</t>
  </si>
  <si>
    <t>Ortiz</t>
  </si>
  <si>
    <t>1886-09-24</t>
  </si>
  <si>
    <t>24sep1886</t>
  </si>
  <si>
    <t>https://urldefense.proofpoint.com/v2/url?u=http-3A__dbpedia.org_resource_Roberto-5FMar-25C3-25ADa-5FOrtiz&amp;d=BQID-g&amp;c=kbmfwr1Yojg42sGEpaQh5ofMHBeTl9EI2eaqQZhHbOU&amp;r=ZliGVSRwfirWoETOrKCh2RSnoygzVPWEk95Me9L-Kwo&amp;m=EaKyFx9mpkhPdFxsxzvW_fiM3jbYwM3xYLjVbSFoDAg&amp;s=AkWGvXUz8-W3GyIwfMIaBjgfN7HMurIIWIM-l9I4BoA&amp;e=</t>
  </si>
  <si>
    <t>ARG-1942</t>
  </si>
  <si>
    <t>8202e7df-1e42-11e4-b4cd-db5882bf8def</t>
  </si>
  <si>
    <t>1873-11-20</t>
  </si>
  <si>
    <t>20nov1873</t>
  </si>
  <si>
    <t>https://urldefense.proofpoint.com/v2/url?u=http-3A__dbpedia.org_resource_Ram-25C3-25B3n-5FCastillo&amp;d=BQID-g&amp;c=kbmfwr1Yojg42sGEpaQh5ofMHBeTl9EI2eaqQZhHbOU&amp;r=ZliGVSRwfirWoETOrKCh2RSnoygzVPWEk95Me9L-Kwo&amp;m=EaKyFx9mpkhPdFxsxzvW_fiM3jbYwM3xYLjVbSFoDAg&amp;s=JSB0JQqys_PUq0Bart6VUY1wLUViYg5vqWmJ_8Dc3iQ&amp;e=</t>
  </si>
  <si>
    <t>ARG-1943-1</t>
  </si>
  <si>
    <t>8202e7e0-1e42-11e4-b4cd-db5882bf8def</t>
  </si>
  <si>
    <t>Rawson</t>
  </si>
  <si>
    <t>1885-06-04</t>
  </si>
  <si>
    <t>04jun1885</t>
  </si>
  <si>
    <t>https://urldefense.proofpoint.com/v2/url?u=http-3A__dbpedia.org_resource_Arturo-5FRawson&amp;d=BQID-g&amp;c=kbmfwr1Yojg42sGEpaQh5ofMHBeTl9EI2eaqQZhHbOU&amp;r=ZliGVSRwfirWoETOrKCh2RSnoygzVPWEk95Me9L-Kwo&amp;m=EaKyFx9mpkhPdFxsxzvW_fiM3jbYwM3xYLjVbSFoDAg&amp;s=gnF46xzl79SDalIUj3QzNTjzeev58rAuhwG0CLpZZpk&amp;e=</t>
  </si>
  <si>
    <t>ARG-1943-2</t>
  </si>
  <si>
    <t>820318b2-1e42-11e4-b4cd-db5882bf8def</t>
  </si>
  <si>
    <t>Ramirez</t>
  </si>
  <si>
    <t>1884-01-30</t>
  </si>
  <si>
    <t>30jan1884</t>
  </si>
  <si>
    <t>ARG-1944</t>
  </si>
  <si>
    <t>820318b3-1e42-11e4-b4cd-db5882bf8def</t>
  </si>
  <si>
    <t>Farrell</t>
  </si>
  <si>
    <t>1887-08-12</t>
  </si>
  <si>
    <t>12aug1887</t>
  </si>
  <si>
    <t>https://urldefense.proofpoint.com/v2/url?u=http-3A__dbpedia.org_resource_Edelmiro-5FJuli-25C3-25A1n-5FFarrell&amp;d=BQID-g&amp;c=kbmfwr1Yojg42sGEpaQh5ofMHBeTl9EI2eaqQZhHbOU&amp;r=ZliGVSRwfirWoETOrKCh2RSnoygzVPWEk95Me9L-Kwo&amp;m=EaKyFx9mpkhPdFxsxzvW_fiM3jbYwM3xYLjVbSFoDAg&amp;s=F91SqYZhTg0FaXgtSX93vMqY4Agr5Y2VW7aC1AMDZms&amp;e=</t>
  </si>
  <si>
    <t>ARG-1946</t>
  </si>
  <si>
    <t>820318b4-1e42-11e4-b4cd-db5882bf8def</t>
  </si>
  <si>
    <t>Peron</t>
  </si>
  <si>
    <t>1895-10-08</t>
  </si>
  <si>
    <t>08oct1895</t>
  </si>
  <si>
    <t>https://urldefense.proofpoint.com/v2/url?u=http-3A__dbpedia.org_resource_Juan-5FPer-25C3-25B3n&amp;d=BQID-g&amp;c=kbmfwr1Yojg42sGEpaQh5ofMHBeTl9EI2eaqQZhHbOU&amp;r=ZliGVSRwfirWoETOrKCh2RSnoygzVPWEk95Me9L-Kwo&amp;m=EaKyFx9mpkhPdFxsxzvW_fiM3jbYwM3xYLjVbSFoDAg&amp;s=UWQPDNkP5nN9S4RzQmCv1fgp_Z_zmD8dT9A7AOT5iZw&amp;e=</t>
  </si>
  <si>
    <t>Husband of Peron, Isabel%8203dc03-1e42-11e4-b4cd-db5882bf8def</t>
  </si>
  <si>
    <t>ARG-1955-1</t>
  </si>
  <si>
    <t>820318b5-1e42-11e4-b4cd-db5882bf8def</t>
  </si>
  <si>
    <t>Lonardi</t>
  </si>
  <si>
    <t>1896-09-15</t>
  </si>
  <si>
    <t>15sep1896</t>
  </si>
  <si>
    <t>https://urldefense.proofpoint.com/v2/url?u=http-3A__dbpedia.org_resource_Eduardo-5FLonardi&amp;d=BQID-g&amp;c=kbmfwr1Yojg42sGEpaQh5ofMHBeTl9EI2eaqQZhHbOU&amp;r=ZliGVSRwfirWoETOrKCh2RSnoygzVPWEk95Me9L-Kwo&amp;m=EaKyFx9mpkhPdFxsxzvW_fiM3jbYwM3xYLjVbSFoDAg&amp;s=sL28VMI1Wo3WxyCBVHN3832Zhx443oa1EY0Dv0Cddlk&amp;e=</t>
  </si>
  <si>
    <t>ARG-1955-2</t>
  </si>
  <si>
    <t>82034986-1e42-11e4-b4cd-db5882bf8def</t>
  </si>
  <si>
    <t>Aramburu</t>
  </si>
  <si>
    <t>https://urldefense.proofpoint.com/v2/url?u=http-3A__dbpedia.org_resource_Pedro-5FEugenio-5FAramburu&amp;d=BQID-g&amp;c=kbmfwr1Yojg42sGEpaQh5ofMHBeTl9EI2eaqQZhHbOU&amp;r=ZliGVSRwfirWoETOrKCh2RSnoygzVPWEk95Me9L-Kwo&amp;m=EaKyFx9mpkhPdFxsxzvW_fiM3jbYwM3xYLjVbSFoDAg&amp;s=nwr16_2MP5gynuWd9pPZLyvB2un77XMzYnZPPWnqVoE&amp;e=</t>
  </si>
  <si>
    <t>ARG-1958</t>
  </si>
  <si>
    <t>82034987-1e42-11e4-b4cd-db5882bf8def</t>
  </si>
  <si>
    <t>Frondizi</t>
  </si>
  <si>
    <t>https://urldefense.proofpoint.com/v2/url?u=http-3A__dbpedia.org_resource_Arturo-5FFrondizi&amp;d=BQID-g&amp;c=kbmfwr1Yojg42sGEpaQh5ofMHBeTl9EI2eaqQZhHbOU&amp;r=ZliGVSRwfirWoETOrKCh2RSnoygzVPWEk95Me9L-Kwo&amp;m=EaKyFx9mpkhPdFxsxzvW_fiM3jbYwM3xYLjVbSFoDAg&amp;s=fPLpye_mECEn0G0QLfs86xz_UfEKitPRc2gTlV7LWBA&amp;e=</t>
  </si>
  <si>
    <t>ARG-1962</t>
  </si>
  <si>
    <t>82034988-1e42-11e4-b4cd-db5882bf8def</t>
  </si>
  <si>
    <t>Guido</t>
  </si>
  <si>
    <t>https://urldefense.proofpoint.com/v2/url?u=http-3A__dbpedia.org_resource_Jos-25C3-25A9-5FMar-25C3-25ADa-5FGuido&amp;d=BQID-g&amp;c=kbmfwr1Yojg42sGEpaQh5ofMHBeTl9EI2eaqQZhHbOU&amp;r=ZliGVSRwfirWoETOrKCh2RSnoygzVPWEk95Me9L-Kwo&amp;m=EaKyFx9mpkhPdFxsxzvW_fiM3jbYwM3xYLjVbSFoDAg&amp;s=TqObfFAFnIm4JtPT341pIi_5RkNR8c2qsCmeZak6qTU&amp;e=</t>
  </si>
  <si>
    <t>ARG-1963</t>
  </si>
  <si>
    <t>82037a5a-1e42-11e4-b4cd-db5882bf8def</t>
  </si>
  <si>
    <t>Arturo Illia</t>
  </si>
  <si>
    <t>https://urldefense.proofpoint.com/v2/url?u=http-3A__dbpedia.org_resource_Arturo-5FUmberto-5FIllia&amp;d=BQID-g&amp;c=kbmfwr1Yojg42sGEpaQh5ofMHBeTl9EI2eaqQZhHbOU&amp;r=ZliGVSRwfirWoETOrKCh2RSnoygzVPWEk95Me9L-Kwo&amp;m=EaKyFx9mpkhPdFxsxzvW_fiM3jbYwM3xYLjVbSFoDAg&amp;s=f3pkJPBhXHzkQPSytHXKKC-QPe5hzbCg5S83gH6MWgY&amp;e=</t>
  </si>
  <si>
    <t>ARG-1966</t>
  </si>
  <si>
    <t>82037a5b-1e42-11e4-b4cd-db5882bf8def</t>
  </si>
  <si>
    <t>Ongania</t>
  </si>
  <si>
    <t>https://urldefense.proofpoint.com/v2/url?u=http-3A__dbpedia.org_resource_Juan-5FCarlos-5FOngan-25C3-25ADa&amp;d=BQID-g&amp;c=kbmfwr1Yojg42sGEpaQh5ofMHBeTl9EI2eaqQZhHbOU&amp;r=ZliGVSRwfirWoETOrKCh2RSnoygzVPWEk95Me9L-Kwo&amp;m=EaKyFx9mpkhPdFxsxzvW_fiM3jbYwM3xYLjVbSFoDAg&amp;s=g4x2rDMr8zyjWwDeR4xcesiDTVS3ZWAhn_zWZ4QYazQ&amp;e=</t>
  </si>
  <si>
    <t>ARG-1970-1</t>
  </si>
  <si>
    <t>82037a5c-1e42-11e4-b4cd-db5882bf8def</t>
  </si>
  <si>
    <t>Lanusse</t>
  </si>
  <si>
    <t>https://urldefense.proofpoint.com/v2/url?u=http-3A__dbpedia.org_resource_Alejandro-5FAgust-25C3-25ADn-5FLanusse&amp;d=BQID-g&amp;c=kbmfwr1Yojg42sGEpaQh5ofMHBeTl9EI2eaqQZhHbOU&amp;r=ZliGVSRwfirWoETOrKCh2RSnoygzVPWEk95Me9L-Kwo&amp;m=EaKyFx9mpkhPdFxsxzvW_fiM3jbYwM3xYLjVbSFoDAg&amp;s=Rim7V1XX4LthmCTZH8OMiqwtZn8ouqYpjiLC0DRnN_I&amp;e=</t>
  </si>
  <si>
    <t>ARG-1970-2</t>
  </si>
  <si>
    <t>8203ab2e-1e42-11e4-b4cd-db5882bf8def</t>
  </si>
  <si>
    <t>Levingston</t>
  </si>
  <si>
    <t>ARG-1971</t>
  </si>
  <si>
    <t>ARG-1973-1</t>
  </si>
  <si>
    <t>8203ab2f-1e42-11e4-b4cd-db5882bf8def</t>
  </si>
  <si>
    <t>Campora</t>
  </si>
  <si>
    <t>https://urldefense.proofpoint.com/v2/url?u=http-3A__dbpedia.org_resource_H-25C3-25A9ctor-5FJos-25C3-25A9-5FC-25C3-25A1mpora&amp;d=BQID-g&amp;c=kbmfwr1Yojg42sGEpaQh5ofMHBeTl9EI2eaqQZhHbOU&amp;r=ZliGVSRwfirWoETOrKCh2RSnoygzVPWEk95Me9L-Kwo&amp;m=EaKyFx9mpkhPdFxsxzvW_fiM3jbYwM3xYLjVbSFoDAg&amp;s=25bkt0i8d1YsweLvJ7ddSGGOiOiVAdajC4Q4cumYTv8&amp;e=</t>
  </si>
  <si>
    <t>ARG-1973-2</t>
  </si>
  <si>
    <t>8203dc02-1e42-11e4-b4cd-db5882bf8def</t>
  </si>
  <si>
    <t>Lastiri</t>
  </si>
  <si>
    <t>ARG-1973-3</t>
  </si>
  <si>
    <t>ARG-1974</t>
  </si>
  <si>
    <t>8203dc03-1e42-11e4-b4cd-db5882bf8def</t>
  </si>
  <si>
    <t>Peron, Isabel</t>
  </si>
  <si>
    <t>https://urldefense.proofpoint.com/v2/url?u=http-3A__dbpedia.org_resource_Isabel-5FMart-25C3-25ADnez-5Fde-5FPer-25C3-25B3n&amp;d=BQID-g&amp;c=kbmfwr1Yojg42sGEpaQh5ofMHBeTl9EI2eaqQZhHbOU&amp;r=ZliGVSRwfirWoETOrKCh2RSnoygzVPWEk95Me9L-Kwo&amp;m=EaKyFx9mpkhPdFxsxzvW_fiM3jbYwM3xYLjVbSFoDAg&amp;s=JsT9AbTxCAu4csKXIIt8rr8m2WsV7yqjK0_E5-KS37s&amp;e=</t>
  </si>
  <si>
    <t>Wife of Peron%820318b4-1e42-11e4-b4cd-db5882bf8def</t>
  </si>
  <si>
    <t>ARG-1976</t>
  </si>
  <si>
    <t>8203dc04-1e42-11e4-b4cd-db5882bf8def</t>
  </si>
  <si>
    <t>Videla</t>
  </si>
  <si>
    <t>ARG-1981-1</t>
  </si>
  <si>
    <t>82040ce0-1e42-11e4-b4cd-db5882bf8def</t>
  </si>
  <si>
    <t>Viola</t>
  </si>
  <si>
    <t>https://urldefense.proofpoint.com/v2/url?u=http-3A__dbpedia.org_resource_Roberto-5FEduardo-5FViola&amp;d=BQID-g&amp;c=kbmfwr1Yojg42sGEpaQh5ofMHBeTl9EI2eaqQZhHbOU&amp;r=ZliGVSRwfirWoETOrKCh2RSnoygzVPWEk95Me9L-Kwo&amp;m=EaKyFx9mpkhPdFxsxzvW_fiM3jbYwM3xYLjVbSFoDAg&amp;s=qAYUsNtb81_SMPLqC9miDrhh_M2EI2rh6kbhGlMXSPE&amp;e=</t>
  </si>
  <si>
    <t>ARG-1981-2</t>
  </si>
  <si>
    <t>82040ce1-1e42-11e4-b4cd-db5882bf8def</t>
  </si>
  <si>
    <t>Liendo</t>
  </si>
  <si>
    <t>ARG-1981-3</t>
  </si>
  <si>
    <t>82040ce2-1e42-11e4-b4cd-db5882bf8def</t>
  </si>
  <si>
    <t>Galtieri</t>
  </si>
  <si>
    <t>https://urldefense.proofpoint.com/v2/url?u=http-3A__dbpedia.org_resource_Leopoldo-5FGaltieri&amp;d=BQID-g&amp;c=kbmfwr1Yojg42sGEpaQh5ofMHBeTl9EI2eaqQZhHbOU&amp;r=ZliGVSRwfirWoETOrKCh2RSnoygzVPWEk95Me9L-Kwo&amp;m=EaKyFx9mpkhPdFxsxzvW_fiM3jbYwM3xYLjVbSFoDAg&amp;s=A78ixqeZNK_4-jLf8kaA98BaO66SwOkPosBYz6cnh7M&amp;e=</t>
  </si>
  <si>
    <t>ARG-1982-1</t>
  </si>
  <si>
    <t>82043db4-1e42-11e4-b4cd-db5882bf8def</t>
  </si>
  <si>
    <t>Saint-Jean</t>
  </si>
  <si>
    <t>ARG-1982-2</t>
  </si>
  <si>
    <t>82043db5-1e42-11e4-b4cd-db5882bf8def</t>
  </si>
  <si>
    <t>Bignone</t>
  </si>
  <si>
    <t>https://urldefense.proofpoint.com/v2/url?u=http-3A__dbpedia.org_resource_Reynaldo-5FBignone&amp;d=BQID-g&amp;c=kbmfwr1Yojg42sGEpaQh5ofMHBeTl9EI2eaqQZhHbOU&amp;r=ZliGVSRwfirWoETOrKCh2RSnoygzVPWEk95Me9L-Kwo&amp;m=EaKyFx9mpkhPdFxsxzvW_fiM3jbYwM3xYLjVbSFoDAg&amp;s=wgVML-mIyaUtyqoLCksxaLlAoaATFv5v2E5T0etfiLQ&amp;e=</t>
  </si>
  <si>
    <t>ARG-1983</t>
  </si>
  <si>
    <t>82043db6-1e42-11e4-b4cd-db5882bf8def</t>
  </si>
  <si>
    <t>Alfonsin</t>
  </si>
  <si>
    <t>ARG-1989</t>
  </si>
  <si>
    <t>82046e88-1e42-11e4-b4cd-db5882bf8def</t>
  </si>
  <si>
    <t>Menem</t>
  </si>
  <si>
    <t>https://urldefense.proofpoint.com/v2/url?u=http-3A__dbpedia.org_resource_Carlos-5FMenem&amp;d=BQID-g&amp;c=kbmfwr1Yojg42sGEpaQh5ofMHBeTl9EI2eaqQZhHbOU&amp;r=ZliGVSRwfirWoETOrKCh2RSnoygzVPWEk95Me9L-Kwo&amp;m=EaKyFx9mpkhPdFxsxzvW_fiM3jbYwM3xYLjVbSFoDAg&amp;s=sKj1BC_koD71EbWyKVuv4-4hf-QbNfMVpAh6K3er4ac&amp;e=</t>
  </si>
  <si>
    <t>ARG-1999</t>
  </si>
  <si>
    <t>82046e89-1e42-11e4-b4cd-db5882bf8def</t>
  </si>
  <si>
    <t>de la Rua</t>
  </si>
  <si>
    <t>https://urldefense.proofpoint.com/v2/url?u=http-3A__dbpedia.org_resource_Fernando-5Fde-5Fla-5FR-25C3-25BAa&amp;d=BQID-g&amp;c=kbmfwr1Yojg42sGEpaQh5ofMHBeTl9EI2eaqQZhHbOU&amp;r=ZliGVSRwfirWoETOrKCh2RSnoygzVPWEk95Me9L-Kwo&amp;m=EaKyFx9mpkhPdFxsxzvW_fiM3jbYwM3xYLjVbSFoDAg&amp;s=QeObWptGr5C8woXejQ9Tc3Ta1TTKOTPFD5RhxRyynII&amp;e=</t>
  </si>
  <si>
    <t>ARG-2001-1</t>
  </si>
  <si>
    <t>82046e8a-1e42-11e4-b4cd-db5882bf8def</t>
  </si>
  <si>
    <t>Ramon Puerta</t>
  </si>
  <si>
    <t>ARG-2001-2</t>
  </si>
  <si>
    <t>82049f5c-1e42-11e4-b4cd-db5882bf8def</t>
  </si>
  <si>
    <t>Adolfo Rodriguez Saa</t>
  </si>
  <si>
    <t>ARG-2002</t>
  </si>
  <si>
    <t>82049f5d-1e42-11e4-b4cd-db5882bf8def</t>
  </si>
  <si>
    <t>Eduardo Duhalde</t>
  </si>
  <si>
    <t>https://urldefense.proofpoint.com/v2/url?u=http-3A__dbpedia.org_resource_Eduardo-5FDuhalde&amp;d=BQID-g&amp;c=kbmfwr1Yojg42sGEpaQh5ofMHBeTl9EI2eaqQZhHbOU&amp;r=ZliGVSRwfirWoETOrKCh2RSnoygzVPWEk95Me9L-Kwo&amp;m=EaKyFx9mpkhPdFxsxzvW_fiM3jbYwM3xYLjVbSFoDAg&amp;s=arKzhfeZiEbSeUbAQVsg0EJtmTVjRDUbn7M83F9cwdg&amp;e=</t>
  </si>
  <si>
    <t>ARG-2003</t>
  </si>
  <si>
    <t>82049f5e-1e42-11e4-b4cd-db5882bf8def</t>
  </si>
  <si>
    <t>Nestor Kirchner</t>
  </si>
  <si>
    <t>ARG-2007</t>
  </si>
  <si>
    <t>8250bb5e-1e42-11e4-b4cd-db5882bf8def</t>
  </si>
  <si>
    <t>Fernandez de Kirchner</t>
  </si>
  <si>
    <t>ARG-2015</t>
  </si>
  <si>
    <t>43f5aea2-de6a-11e5-ba44-bb6d7c1a9a58</t>
  </si>
  <si>
    <t>Mauricio Macri</t>
  </si>
  <si>
    <t>URU-1873</t>
  </si>
  <si>
    <t>82049f5f-1e42-11e4-b4cd-db5882bf8def</t>
  </si>
  <si>
    <t>URU</t>
  </si>
  <si>
    <t>Jose Eugenio Ellauri</t>
  </si>
  <si>
    <t>1873-02-15</t>
  </si>
  <si>
    <t>1875-01-15</t>
  </si>
  <si>
    <t>URU-1875</t>
  </si>
  <si>
    <t>19752f58-3bbd-11e5-afeb-eb6f07f9fec7</t>
  </si>
  <si>
    <t>Pedro Varela Olivera</t>
  </si>
  <si>
    <t>1876-03-10</t>
  </si>
  <si>
    <t>URU-1876</t>
  </si>
  <si>
    <t>8204d030-1e42-11e4-b4cd-db5882bf8def</t>
  </si>
  <si>
    <t>Lorenzo Latorre</t>
  </si>
  <si>
    <t>1879-02-14</t>
  </si>
  <si>
    <t>URU-1879-1</t>
  </si>
  <si>
    <t>8204d031-1e42-11e4-b4cd-db5882bf8def</t>
  </si>
  <si>
    <t>Francisco Antonino Vidal</t>
  </si>
  <si>
    <t>URU-1879-2</t>
  </si>
  <si>
    <t>1880-03-15</t>
  </si>
  <si>
    <t>URU-1880</t>
  </si>
  <si>
    <t>1882-02-28</t>
  </si>
  <si>
    <t>URU-1882</t>
  </si>
  <si>
    <t>8204d032-1e42-11e4-b4cd-db5882bf8def</t>
  </si>
  <si>
    <t>Maximo Santos</t>
  </si>
  <si>
    <t>1882-03-01</t>
  </si>
  <si>
    <t>1886-03-01</t>
  </si>
  <si>
    <t>URU-1886-1</t>
  </si>
  <si>
    <t>1886-05-24</t>
  </si>
  <si>
    <t>URU-1886-2</t>
  </si>
  <si>
    <t>URU-1886-3</t>
  </si>
  <si>
    <t>8204d033-1e42-11e4-b4cd-db5882bf8def</t>
  </si>
  <si>
    <t>Maximo Tajes</t>
  </si>
  <si>
    <t>1890-03-01</t>
  </si>
  <si>
    <t>URU-1890</t>
  </si>
  <si>
    <t>8204d034-1e42-11e4-b4cd-db5882bf8def</t>
  </si>
  <si>
    <t>Julio Herrera y Obes</t>
  </si>
  <si>
    <t>1894-03-01</t>
  </si>
  <si>
    <t>URU-1894</t>
  </si>
  <si>
    <t>82050104-1e42-11e4-b4cd-db5882bf8def</t>
  </si>
  <si>
    <t>Juan Idiarte Borda</t>
  </si>
  <si>
    <t>1894-03-21</t>
  </si>
  <si>
    <t>1897-08-25</t>
  </si>
  <si>
    <t>URU-1897</t>
  </si>
  <si>
    <t>82050105-1e42-11e4-b4cd-db5882bf8def</t>
  </si>
  <si>
    <t>Juan Lindolfo Cuestas</t>
  </si>
  <si>
    <t>1837-01-06</t>
  </si>
  <si>
    <t>06jan1837</t>
  </si>
  <si>
    <t>https://urldefense.proofpoint.com/v2/url?u=http-3A__dbpedia.org_resource_Juan-5FLindolfo-5FCuestas&amp;d=BQID-g&amp;c=kbmfwr1Yojg42sGEpaQh5ofMHBeTl9EI2eaqQZhHbOU&amp;r=ZliGVSRwfirWoETOrKCh2RSnoygzVPWEk95Me9L-Kwo&amp;m=EaKyFx9mpkhPdFxsxzvW_fiM3jbYwM3xYLjVbSFoDAg&amp;s=nENGHd0GF-EKyyinOLLiWQLA9pHhvnYNoOovr7RC1bU&amp;e=</t>
  </si>
  <si>
    <t>URU-1903</t>
  </si>
  <si>
    <t>82050106-1e42-11e4-b4cd-db5882bf8def</t>
  </si>
  <si>
    <t>Jose Batlle y Ordonez</t>
  </si>
  <si>
    <t>1856-05-21</t>
  </si>
  <si>
    <t>21may1856</t>
  </si>
  <si>
    <t>https://urldefense.proofpoint.com/v2/url?u=http-3A__dbpedia.org_resource_Jos-25C3-25A9-5FBatlle-5Fy-5FOrd-25C3-25B3-25C3-25B1ez&amp;d=BQID-g&amp;c=kbmfwr1Yojg42sGEpaQh5ofMHBeTl9EI2eaqQZhHbOU&amp;r=ZliGVSRwfirWoETOrKCh2RSnoygzVPWEk95Me9L-Kwo&amp;m=EaKyFx9mpkhPdFxsxzvW_fiM3jbYwM3xYLjVbSFoDAg&amp;s=Rq3xfMOm3DD8Ts6Hj3O02eAwWMdemSpmxYUO2Yg9zC0&amp;e=</t>
  </si>
  <si>
    <t>URU-1907</t>
  </si>
  <si>
    <t>82050107-1e42-11e4-b4cd-db5882bf8def</t>
  </si>
  <si>
    <t>Claudio Williman</t>
  </si>
  <si>
    <t>1863-09-02</t>
  </si>
  <si>
    <t>02sep1863</t>
  </si>
  <si>
    <t>https://urldefense.proofpoint.com/v2/url?u=http-3A__dbpedia.org_resource_Claudio-5FWilliman&amp;d=BQID-g&amp;c=kbmfwr1Yojg42sGEpaQh5ofMHBeTl9EI2eaqQZhHbOU&amp;r=ZliGVSRwfirWoETOrKCh2RSnoygzVPWEk95Me9L-Kwo&amp;m=EaKyFx9mpkhPdFxsxzvW_fiM3jbYwM3xYLjVbSFoDAg&amp;s=ndoQe_5JRJDxJ_H56nQeP6r1_qF4R-EROM94e0PhsfM&amp;e=</t>
  </si>
  <si>
    <t>URU-1911</t>
  </si>
  <si>
    <t>URU-1915</t>
  </si>
  <si>
    <t>82050108-1e42-11e4-b4cd-db5882bf8def</t>
  </si>
  <si>
    <t>Feliciano Viera</t>
  </si>
  <si>
    <t>1872-11-08</t>
  </si>
  <si>
    <t>08nov1872</t>
  </si>
  <si>
    <t>URU-1919</t>
  </si>
  <si>
    <t>820531d8-1e42-11e4-b4cd-db5882bf8def</t>
  </si>
  <si>
    <t>Baltasar Brum</t>
  </si>
  <si>
    <t>1883-06-18</t>
  </si>
  <si>
    <t>18jun1883</t>
  </si>
  <si>
    <t>https://urldefense.proofpoint.com/v2/url?u=http-3A__dbpedia.org_resource_Baltasar-5FBrum&amp;d=BQID-g&amp;c=kbmfwr1Yojg42sGEpaQh5ofMHBeTl9EI2eaqQZhHbOU&amp;r=ZliGVSRwfirWoETOrKCh2RSnoygzVPWEk95Me9L-Kwo&amp;m=EaKyFx9mpkhPdFxsxzvW_fiM3jbYwM3xYLjVbSFoDAg&amp;s=xLpD7pAUsrPSpj55trYGMu3vhrEf9zUlpFH3aKpA5eM&amp;e=</t>
  </si>
  <si>
    <t>URU-1923</t>
  </si>
  <si>
    <t>820531d9-1e42-11e4-b4cd-db5882bf8def</t>
  </si>
  <si>
    <t>Serrato</t>
  </si>
  <si>
    <t>1868-09-30</t>
  </si>
  <si>
    <t>30sep1868</t>
  </si>
  <si>
    <t>URU-1927</t>
  </si>
  <si>
    <t>820531da-1e42-11e4-b4cd-db5882bf8def</t>
  </si>
  <si>
    <t>Campisteguy</t>
  </si>
  <si>
    <t>1859-09-07</t>
  </si>
  <si>
    <t>07sep1859</t>
  </si>
  <si>
    <t>URU-1931</t>
  </si>
  <si>
    <t>820531db-1e42-11e4-b4cd-db5882bf8def</t>
  </si>
  <si>
    <t>Terra</t>
  </si>
  <si>
    <t>Brother-in-law of Baldomir%820562ac-1e42-11e4-b4cd-db5882bf8def</t>
  </si>
  <si>
    <t>URU-1938</t>
  </si>
  <si>
    <t>820562ac-1e42-11e4-b4cd-db5882bf8def</t>
  </si>
  <si>
    <t>Baldomir</t>
  </si>
  <si>
    <t>1884-08-27</t>
  </si>
  <si>
    <t>27aug1884</t>
  </si>
  <si>
    <t>Brother-in-law of Terra%820531db-1e42-11e4-b4cd-db5882bf8def</t>
  </si>
  <si>
    <t>URU-1943</t>
  </si>
  <si>
    <t>820562ad-1e42-11e4-b4cd-db5882bf8def</t>
  </si>
  <si>
    <t>Amezaga</t>
  </si>
  <si>
    <t>1881-01-28</t>
  </si>
  <si>
    <t>28jan1881</t>
  </si>
  <si>
    <t>URU-1947-1</t>
  </si>
  <si>
    <t>820562ae-1e42-11e4-b4cd-db5882bf8def</t>
  </si>
  <si>
    <t>Berreta</t>
  </si>
  <si>
    <t>1875-11-22</t>
  </si>
  <si>
    <t>22nov1875</t>
  </si>
  <si>
    <t>URU-1947-2</t>
  </si>
  <si>
    <t>820562af-1e42-11e4-b4cd-db5882bf8def</t>
  </si>
  <si>
    <t>Batlle Berres</t>
  </si>
  <si>
    <t>URU-1951</t>
  </si>
  <si>
    <t>820562b0-1e42-11e4-b4cd-db5882bf8def</t>
  </si>
  <si>
    <t>Martinez Trueba</t>
  </si>
  <si>
    <t>URU-1955</t>
  </si>
  <si>
    <t>URU-1956</t>
  </si>
  <si>
    <t>82059380-1e42-11e4-b4cd-db5882bf8def</t>
  </si>
  <si>
    <t>Zubiria</t>
  </si>
  <si>
    <t>URU-1957</t>
  </si>
  <si>
    <t>82059381-1e42-11e4-b4cd-db5882bf8def</t>
  </si>
  <si>
    <t>Lezama</t>
  </si>
  <si>
    <t>URU-1958</t>
  </si>
  <si>
    <t>8205c454-1e42-11e4-b4cd-db5882bf8def</t>
  </si>
  <si>
    <t>Fisher</t>
  </si>
  <si>
    <t>URU-1959</t>
  </si>
  <si>
    <t>8205c455-1e42-11e4-b4cd-db5882bf8def</t>
  </si>
  <si>
    <t>Echegoyen</t>
  </si>
  <si>
    <t>URU-1960</t>
  </si>
  <si>
    <t>8205c456-1e42-11e4-b4cd-db5882bf8def</t>
  </si>
  <si>
    <t>Nardone</t>
  </si>
  <si>
    <t>URU-1961</t>
  </si>
  <si>
    <t>8205c457-1e42-11e4-b4cd-db5882bf8def</t>
  </si>
  <si>
    <t>Haedo</t>
  </si>
  <si>
    <t>URU-1962</t>
  </si>
  <si>
    <t>8205c458-1e42-11e4-b4cd-db5882bf8def</t>
  </si>
  <si>
    <t>URU-1963</t>
  </si>
  <si>
    <t>8205f532-1e42-11e4-b4cd-db5882bf8def</t>
  </si>
  <si>
    <t>Crespo</t>
  </si>
  <si>
    <t>URU-1964</t>
  </si>
  <si>
    <t>8205f533-1e42-11e4-b4cd-db5882bf8def</t>
  </si>
  <si>
    <t>Giannattasio</t>
  </si>
  <si>
    <t>URU-1965</t>
  </si>
  <si>
    <t>8205f534-1e42-11e4-b4cd-db5882bf8def</t>
  </si>
  <si>
    <t>Beltran</t>
  </si>
  <si>
    <t>URU-1966</t>
  </si>
  <si>
    <t>82062606-1e42-11e4-b4cd-db5882bf8def</t>
  </si>
  <si>
    <t>Heber Usher</t>
  </si>
  <si>
    <t>URU-1967-1</t>
  </si>
  <si>
    <t>82062607-1e42-11e4-b4cd-db5882bf8def</t>
  </si>
  <si>
    <t>Gestido</t>
  </si>
  <si>
    <t>https://urldefense.proofpoint.com/v2/url?u=http-3A__dbpedia.org_resource_-25C3-2593scar-5FDiego-5FGestido&amp;d=BQID-g&amp;c=kbmfwr1Yojg42sGEpaQh5ofMHBeTl9EI2eaqQZhHbOU&amp;r=ZliGVSRwfirWoETOrKCh2RSnoygzVPWEk95Me9L-Kwo&amp;m=EaKyFx9mpkhPdFxsxzvW_fiM3jbYwM3xYLjVbSFoDAg&amp;s=f9DdIAzQjRbdrOoqznncdQd1RU1U18VnJ7r1cdawFOQ&amp;e=</t>
  </si>
  <si>
    <t>URU-1967-2</t>
  </si>
  <si>
    <t>82062608-1e42-11e4-b4cd-db5882bf8def</t>
  </si>
  <si>
    <t>Pacheco Areco</t>
  </si>
  <si>
    <t>https://urldefense.proofpoint.com/v2/url?u=http-3A__dbpedia.org_resource_Jorge-5FPacheco-5FAreco&amp;d=BQID-g&amp;c=kbmfwr1Yojg42sGEpaQh5ofMHBeTl9EI2eaqQZhHbOU&amp;r=ZliGVSRwfirWoETOrKCh2RSnoygzVPWEk95Me9L-Kwo&amp;m=EaKyFx9mpkhPdFxsxzvW_fiM3jbYwM3xYLjVbSFoDAg&amp;s=Y2dM9zFqPs1UeBuYGkgGUoPVVzlAyN8tVJbEaIER4kQ&amp;e=</t>
  </si>
  <si>
    <t>URU-1972</t>
  </si>
  <si>
    <t>820656da-1e42-11e4-b4cd-db5882bf8def</t>
  </si>
  <si>
    <t>Bordaberry</t>
  </si>
  <si>
    <t>https://urldefense.proofpoint.com/v2/url?u=http-3A__dbpedia.org_resource_Juan-5FMar-25C3-25ADa-5FBordaberry&amp;d=BQID-g&amp;c=kbmfwr1Yojg42sGEpaQh5ofMHBeTl9EI2eaqQZhHbOU&amp;r=ZliGVSRwfirWoETOrKCh2RSnoygzVPWEk95Me9L-Kwo&amp;m=EaKyFx9mpkhPdFxsxzvW_fiM3jbYwM3xYLjVbSFoDAg&amp;s=21mbpitkr3plfg2eEtCSgMcTqy9wJ8CqFuDHnOyjgqY&amp;e=</t>
  </si>
  <si>
    <t>URU-1976-1</t>
  </si>
  <si>
    <t>820656db-1e42-11e4-b4cd-db5882bf8def</t>
  </si>
  <si>
    <t>Demichelli</t>
  </si>
  <si>
    <t>URU-1976-2</t>
  </si>
  <si>
    <t>820656dc-1e42-11e4-b4cd-db5882bf8def</t>
  </si>
  <si>
    <t>Mendez Manfredini</t>
  </si>
  <si>
    <t>URU-1981</t>
  </si>
  <si>
    <t>820687ae-1e42-11e4-b4cd-db5882bf8def</t>
  </si>
  <si>
    <t>Alvarez Armalino</t>
  </si>
  <si>
    <t>URU-1985</t>
  </si>
  <si>
    <t>820687af-1e42-11e4-b4cd-db5882bf8def</t>
  </si>
  <si>
    <t>Sanguinetti</t>
  </si>
  <si>
    <t>URU-1990</t>
  </si>
  <si>
    <t>820687b0-1e42-11e4-b4cd-db5882bf8def</t>
  </si>
  <si>
    <t>Lacalle de Herrera</t>
  </si>
  <si>
    <t>URU-1995</t>
  </si>
  <si>
    <t>URU-2000</t>
  </si>
  <si>
    <t>8206b882-1e42-11e4-b4cd-db5882bf8def</t>
  </si>
  <si>
    <t>Jorge Batlle</t>
  </si>
  <si>
    <t>URU-2005</t>
  </si>
  <si>
    <t>8250ec2c-1e42-11e4-b4cd-db5882bf8def</t>
  </si>
  <si>
    <t>Tabare Vazquez</t>
  </si>
  <si>
    <t>URU-2010</t>
  </si>
  <si>
    <t>8250ec2d-1e42-11e4-b4cd-db5882bf8def</t>
  </si>
  <si>
    <t>Jose Mujica</t>
  </si>
  <si>
    <t>URU-2015</t>
  </si>
  <si>
    <t>43f5aea3-de6a-11e5-ba44-bb6d7c1a9a58</t>
  </si>
  <si>
    <t>Tabare Vasquez</t>
  </si>
  <si>
    <t>UKG-1874</t>
  </si>
  <si>
    <t>1975cb98-3bbd-11e5-afeb-eb6f07f9fec7</t>
  </si>
  <si>
    <t>UKG</t>
  </si>
  <si>
    <t>Disraeli</t>
  </si>
  <si>
    <t>1874-02-20</t>
  </si>
  <si>
    <t>1880-04-18</t>
  </si>
  <si>
    <t>1804-11-21</t>
  </si>
  <si>
    <t>21nov1804</t>
  </si>
  <si>
    <t>1881-04-19</t>
  </si>
  <si>
    <t>19apr1881</t>
  </si>
  <si>
    <t>https://urldefense.proofpoint.com/v2/url?u=http-3A__dbpedia.org_resource_Benjamin-5FDisraeli&amp;d=BQID-g&amp;c=kbmfwr1Yojg42sGEpaQh5ofMHBeTl9EI2eaqQZhHbOU&amp;r=ZliGVSRwfirWoETOrKCh2RSnoygzVPWEk95Me9L-Kwo&amp;m=EaKyFx9mpkhPdFxsxzvW_fiM3jbYwM3xYLjVbSFoDAg&amp;s=-5OTj8hiKIoVkrtnM1dQE8CtF-q-Sf7GGwuYYFbALEQ&amp;e=</t>
  </si>
  <si>
    <t>43骞?2249</t>
  </si>
  <si>
    <t>UKG-1880</t>
  </si>
  <si>
    <t>3568a438-3bbd-11e5-afeb-eb6f07f9fec7</t>
  </si>
  <si>
    <t>Gladstone</t>
  </si>
  <si>
    <t>1880-04-28</t>
  </si>
  <si>
    <t>1885-06-09</t>
  </si>
  <si>
    <t>1809-12-29</t>
  </si>
  <si>
    <t>29dec1809</t>
  </si>
  <si>
    <t>1898-05-19</t>
  </si>
  <si>
    <t>19may1898</t>
  </si>
  <si>
    <t>https://urldefense.proofpoint.com/v2/url?u=http-3A__dbpedia.org_resource_Premiership-5Fof-5FWilliam-5FGladstone&amp;d=BQID-g&amp;c=kbmfwr1Yojg42sGEpaQh5ofMHBeTl9EI2eaqQZhHbOU&amp;r=ZliGVSRwfirWoETOrKCh2RSnoygzVPWEk95Me9L-Kwo&amp;m=EaKyFx9mpkhPdFxsxzvW_fiM3jbYwM3xYLjVbSFoDAg&amp;s=d_FjtVKYBuE5uqhgcEbqY2Jcsn8MEUnAOGLYhlI2grQ&amp;e=</t>
  </si>
  <si>
    <t>43骞?1868</t>
  </si>
  <si>
    <t>UKG-1885</t>
  </si>
  <si>
    <t>8206b883-1e42-11e4-b4cd-db5882bf8def</t>
  </si>
  <si>
    <t>Salisbury</t>
  </si>
  <si>
    <t>1885-06-24</t>
  </si>
  <si>
    <t>1886-01-26</t>
  </si>
  <si>
    <t>1830-02-03</t>
  </si>
  <si>
    <t>03feb1830</t>
  </si>
  <si>
    <t>43骞?216</t>
  </si>
  <si>
    <t>UKG-1886-1</t>
  </si>
  <si>
    <t>1886-02-03</t>
  </si>
  <si>
    <t>1886-07-20</t>
  </si>
  <si>
    <t>43骞?167</t>
  </si>
  <si>
    <t>UKG-1886-2</t>
  </si>
  <si>
    <t>1886-08-03</t>
  </si>
  <si>
    <t>1892-08-11</t>
  </si>
  <si>
    <t>43骞?2200</t>
  </si>
  <si>
    <t>UKG-1892</t>
  </si>
  <si>
    <t>1892-08-16</t>
  </si>
  <si>
    <t>1894-03-03</t>
  </si>
  <si>
    <t>43骞?564</t>
  </si>
  <si>
    <t>UKG-1894</t>
  </si>
  <si>
    <t>8206b884-1e42-11e4-b4cd-db5882bf8def</t>
  </si>
  <si>
    <t>Rosebery</t>
  </si>
  <si>
    <t>1894-03-06</t>
  </si>
  <si>
    <t>1895-06-24</t>
  </si>
  <si>
    <t>1847-05-07</t>
  </si>
  <si>
    <t>07may1847</t>
  </si>
  <si>
    <t>43骞?475</t>
  </si>
  <si>
    <t>UKG-1895</t>
  </si>
  <si>
    <t>1895-06-28</t>
  </si>
  <si>
    <t>43骞?2569</t>
  </si>
  <si>
    <t>UKG-1902</t>
  </si>
  <si>
    <t>8206b885-1e42-11e4-b4cd-db5882bf8def</t>
  </si>
  <si>
    <t>Balfour</t>
  </si>
  <si>
    <t>1848-07-25</t>
  </si>
  <si>
    <t>25jul1848</t>
  </si>
  <si>
    <t>https://urldefense.proofpoint.com/v2/url?u=http-3A__dbpedia.org_resource_Arthur-5FBalfour&amp;d=BQID-g&amp;c=kbmfwr1Yojg42sGEpaQh5ofMHBeTl9EI2eaqQZhHbOU&amp;r=ZliGVSRwfirWoETOrKCh2RSnoygzVPWEk95Me9L-Kwo&amp;m=EaKyFx9mpkhPdFxsxzvW_fiM3jbYwM3xYLjVbSFoDAg&amp;s=Q17XXqZ0VLi5NkRshtTefhWdZGtBLJzqKZ-o0-mgKf8&amp;e=</t>
  </si>
  <si>
    <t>43骞?1241</t>
  </si>
  <si>
    <t>UKG-1905</t>
  </si>
  <si>
    <t>8206e956-1e42-11e4-b4cd-db5882bf8def</t>
  </si>
  <si>
    <t>Campbell-Bannerman</t>
  </si>
  <si>
    <t>1836-09-07</t>
  </si>
  <si>
    <t>07sep1836</t>
  </si>
  <si>
    <t>https://urldefense.proofpoint.com/v2/url?u=http-3A__dbpedia.org_resource_Henry-5FCampbell-2DBannerman&amp;d=BQID-g&amp;c=kbmfwr1Yojg42sGEpaQh5ofMHBeTl9EI2eaqQZhHbOU&amp;r=ZliGVSRwfirWoETOrKCh2RSnoygzVPWEk95Me9L-Kwo&amp;m=EaKyFx9mpkhPdFxsxzvW_fiM3jbYwM3xYLjVbSFoDAg&amp;s=4yHPRN6bjQbGqNCiOY_4njYsCh-g2pqdUluAPjY4yUw&amp;e=</t>
  </si>
  <si>
    <t>43骞?848</t>
  </si>
  <si>
    <t>UKG-1908</t>
  </si>
  <si>
    <t>8206e957-1e42-11e4-b4cd-db5882bf8def</t>
  </si>
  <si>
    <t>Asquith</t>
  </si>
  <si>
    <t>1852-09-12</t>
  </si>
  <si>
    <t>12sep1852</t>
  </si>
  <si>
    <t>https://urldefense.proofpoint.com/v2/url?u=http-3A__dbpedia.org_resource_H.-5FH.-5FAsquith&amp;d=BQID-g&amp;c=kbmfwr1Yojg42sGEpaQh5ofMHBeTl9EI2eaqQZhHbOU&amp;r=ZliGVSRwfirWoETOrKCh2RSnoygzVPWEk95Me9L-Kwo&amp;m=EaKyFx9mpkhPdFxsxzvW_fiM3jbYwM3xYLjVbSFoDAg&amp;s=GpuALspZvWc3WGf_CbzfHDit4LzxJU7D_EuPlcvOuwc&amp;e=</t>
  </si>
  <si>
    <t>43骞?3165</t>
  </si>
  <si>
    <t>UKG-1916</t>
  </si>
  <si>
    <t>8206e958-1e42-11e4-b4cd-db5882bf8def</t>
  </si>
  <si>
    <t>Lloyd-George</t>
  </si>
  <si>
    <t>1863-11-17</t>
  </si>
  <si>
    <t>17nov1863</t>
  </si>
  <si>
    <t>https://urldefense.proofpoint.com/v2/url?u=http-3A__dbpedia.org_resource_David-5FLloyd-5FGeorge&amp;d=BQID-g&amp;c=kbmfwr1Yojg42sGEpaQh5ofMHBeTl9EI2eaqQZhHbOU&amp;r=ZliGVSRwfirWoETOrKCh2RSnoygzVPWEk95Me9L-Kwo&amp;m=EaKyFx9mpkhPdFxsxzvW_fiM3jbYwM3xYLjVbSFoDAg&amp;s=CXnTDO9--OpmGnneLqa3eUxoV3F9Y_CBMCZiMVQx1r0&amp;e=</t>
  </si>
  <si>
    <t>43骞?2139</t>
  </si>
  <si>
    <t>UKG-1922</t>
  </si>
  <si>
    <t>8206e959-1e42-11e4-b4cd-db5882bf8def</t>
  </si>
  <si>
    <t>Bonar Law</t>
  </si>
  <si>
    <t>1858-09-16</t>
  </si>
  <si>
    <t>16sep1858</t>
  </si>
  <si>
    <t>43骞?208</t>
  </si>
  <si>
    <t>UKG-1923</t>
  </si>
  <si>
    <t>82071a2a-1e42-11e4-b4cd-db5882bf8def</t>
  </si>
  <si>
    <t>Baldwin</t>
  </si>
  <si>
    <t>1867-08-03</t>
  </si>
  <si>
    <t>03aug1867</t>
  </si>
  <si>
    <t>https://urldefense.proofpoint.com/v2/url?u=http-3A__dbpedia.org_resource_Stanley-5FBaldwin&amp;d=BQID-g&amp;c=kbmfwr1Yojg42sGEpaQh5ofMHBeTl9EI2eaqQZhHbOU&amp;r=ZliGVSRwfirWoETOrKCh2RSnoygzVPWEk95Me9L-Kwo&amp;m=EaKyFx9mpkhPdFxsxzvW_fiM3jbYwM3xYLjVbSFoDAg&amp;s=WZBZWtRbGDxrMjzrw-6O_l04K56K_XsA_GuP1rf3yG0&amp;e=</t>
  </si>
  <si>
    <t>43骞?240</t>
  </si>
  <si>
    <t>UKG-1924-1</t>
  </si>
  <si>
    <t>82071a2b-1e42-11e4-b4cd-db5882bf8def</t>
  </si>
  <si>
    <t>MacDonald</t>
  </si>
  <si>
    <t>1866-10-12</t>
  </si>
  <si>
    <t>12oct1866</t>
  </si>
  <si>
    <t>https://urldefense.proofpoint.com/v2/url?u=http-3A__dbpedia.org_resource_Ramsay-5FMacDonald&amp;d=BQID-g&amp;c=kbmfwr1Yojg42sGEpaQh5ofMHBeTl9EI2eaqQZhHbOU&amp;r=ZliGVSRwfirWoETOrKCh2RSnoygzVPWEk95Me9L-Kwo&amp;m=EaKyFx9mpkhPdFxsxzvW_fiM3jbYwM3xYLjVbSFoDAg&amp;s=VDqwfK3rWpxjUtNyX8Irybrp_V5DP0gOXsee2-TbQOU&amp;e=</t>
  </si>
  <si>
    <t>43骞?286</t>
  </si>
  <si>
    <t>UKG-1924-2</t>
  </si>
  <si>
    <t>43骞?1671</t>
  </si>
  <si>
    <t>UKG-1929</t>
  </si>
  <si>
    <t>1867-10-12</t>
  </si>
  <si>
    <t>12oct1867</t>
  </si>
  <si>
    <t>43骞?2190</t>
  </si>
  <si>
    <t>UKG-1935</t>
  </si>
  <si>
    <t>43骞?721</t>
  </si>
  <si>
    <t>UKG-1937</t>
  </si>
  <si>
    <t>82071a2c-1e42-11e4-b4cd-db5882bf8def</t>
  </si>
  <si>
    <t>Chamberlin</t>
  </si>
  <si>
    <t>1869-04-18</t>
  </si>
  <si>
    <t>18apr1869</t>
  </si>
  <si>
    <t>https://urldefense.proofpoint.com/v2/url?u=http-3A__dbpedia.org_resource_Neville-5FChamberlain&amp;d=BQID-g&amp;c=kbmfwr1Yojg42sGEpaQh5ofMHBeTl9EI2eaqQZhHbOU&amp;r=ZliGVSRwfirWoETOrKCh2RSnoygzVPWEk95Me9L-Kwo&amp;m=EaKyFx9mpkhPdFxsxzvW_fiM3jbYwM3xYLjVbSFoDAg&amp;s=ev5dywA5SFSa-Uw-3adMfBBTGqCFxAip-zdULm3OOTU&amp;e=</t>
  </si>
  <si>
    <t>43骞?1078</t>
  </si>
  <si>
    <t>UKG-1940</t>
  </si>
  <si>
    <t>82071a2d-1e42-11e4-b4cd-db5882bf8def</t>
  </si>
  <si>
    <t>Churchill</t>
  </si>
  <si>
    <t>1874-11-30</t>
  </si>
  <si>
    <t>30nov1874</t>
  </si>
  <si>
    <t>https://urldefense.proofpoint.com/v2/url?u=http-3A__dbpedia.org_resource_Winston-5FChurchill&amp;d=BQID-g&amp;c=kbmfwr1Yojg42sGEpaQh5ofMHBeTl9EI2eaqQZhHbOU&amp;r=ZliGVSRwfirWoETOrKCh2RSnoygzVPWEk95Me9L-Kwo&amp;m=EaKyFx9mpkhPdFxsxzvW_fiM3jbYwM3xYLjVbSFoDAg&amp;s=2ReXhddJXLMZBPvCt9JoInpddMgFzZ3FePT8w4i0zUI&amp;e=</t>
  </si>
  <si>
    <t>43骞?1904</t>
  </si>
  <si>
    <t>UKG-1945</t>
  </si>
  <si>
    <t>82074afe-1e42-11e4-b4cd-db5882bf8def</t>
  </si>
  <si>
    <t>Atlee</t>
  </si>
  <si>
    <t>1883-01-03</t>
  </si>
  <si>
    <t>03jan1883</t>
  </si>
  <si>
    <t>https://urldefense.proofpoint.com/v2/url?u=http-3A__dbpedia.org_resource_Clement-5FAttlee&amp;d=BQID-g&amp;c=kbmfwr1Yojg42sGEpaQh5ofMHBeTl9EI2eaqQZhHbOU&amp;r=ZliGVSRwfirWoETOrKCh2RSnoygzVPWEk95Me9L-Kwo&amp;m=EaKyFx9mpkhPdFxsxzvW_fiM3jbYwM3xYLjVbSFoDAg&amp;s=rwdopp2Xt2XII4A6SP87cyW0Hj_196p9XUmkYwoNxF4&amp;e=</t>
  </si>
  <si>
    <t>43骞?2282</t>
  </si>
  <si>
    <t>UKG-1951</t>
  </si>
  <si>
    <t>43骞?1257</t>
  </si>
  <si>
    <t>UKG-1955</t>
  </si>
  <si>
    <t>82074aff-1e42-11e4-b4cd-db5882bf8def</t>
  </si>
  <si>
    <t>Eden</t>
  </si>
  <si>
    <t>1897-06-12</t>
  </si>
  <si>
    <t>12jun1897</t>
  </si>
  <si>
    <t>https://urldefense.proofpoint.com/v2/url?u=http-3A__dbpedia.org_resource_Anthony-5FEden&amp;d=BQID-g&amp;c=kbmfwr1Yojg42sGEpaQh5ofMHBeTl9EI2eaqQZhHbOU&amp;r=ZliGVSRwfirWoETOrKCh2RSnoygzVPWEk95Me9L-Kwo&amp;m=EaKyFx9mpkhPdFxsxzvW_fiM3jbYwM3xYLjVbSFoDAg&amp;s=bCenvk9VyyHp2B1cITzFLAx2f8EQRGFB5sBk0IA_bDI&amp;e=</t>
  </si>
  <si>
    <t>43骞?644</t>
  </si>
  <si>
    <t>UKG-1957</t>
  </si>
  <si>
    <t>82074b00-1e42-11e4-b4cd-db5882bf8def</t>
  </si>
  <si>
    <t>MacMillan</t>
  </si>
  <si>
    <t>1894-02-10</t>
  </si>
  <si>
    <t>10feb1894</t>
  </si>
  <si>
    <t>https://urldefense.proofpoint.com/v2/url?u=http-3A__dbpedia.org_resource_Harold-5FMacmillan&amp;d=BQID-g&amp;c=kbmfwr1Yojg42sGEpaQh5ofMHBeTl9EI2eaqQZhHbOU&amp;r=ZliGVSRwfirWoETOrKCh2RSnoygzVPWEk95Me9L-Kwo&amp;m=EaKyFx9mpkhPdFxsxzvW_fiM3jbYwM3xYLjVbSFoDAg&amp;s=EMdHmX8izruR6Nt5FlmSeZpIos6RWxsjLLnWmoOWwo8&amp;e=</t>
  </si>
  <si>
    <t>43骞?2472</t>
  </si>
  <si>
    <t>UKG-1963</t>
  </si>
  <si>
    <t>82077bd2-1e42-11e4-b4cd-db5882bf8def</t>
  </si>
  <si>
    <t>Douglas-Home</t>
  </si>
  <si>
    <t>https://urldefense.proofpoint.com/v2/url?u=http-3A__dbpedia.org_resource_Alec-5FDouglas-2DHome&amp;d=BQID-g&amp;c=kbmfwr1Yojg42sGEpaQh5ofMHBeTl9EI2eaqQZhHbOU&amp;r=ZliGVSRwfirWoETOrKCh2RSnoygzVPWEk95Me9L-Kwo&amp;m=EaKyFx9mpkhPdFxsxzvW_fiM3jbYwM3xYLjVbSFoDAg&amp;s=2qk3CMjrPRIsOr83BqtoPlXVE-sOyvgcLsOwE28wpdU&amp;e=</t>
  </si>
  <si>
    <t>43骞?364</t>
  </si>
  <si>
    <t>UKG-1964</t>
  </si>
  <si>
    <t>82077bd3-1e42-11e4-b4cd-db5882bf8def</t>
  </si>
  <si>
    <t>https://urldefense.proofpoint.com/v2/url?u=http-3A__dbpedia.org_resource_Harold-5FWilson&amp;d=BQID-g&amp;c=kbmfwr1Yojg42sGEpaQh5ofMHBeTl9EI2eaqQZhHbOU&amp;r=ZliGVSRwfirWoETOrKCh2RSnoygzVPWEk95Me9L-Kwo&amp;m=EaKyFx9mpkhPdFxsxzvW_fiM3jbYwM3xYLjVbSFoDAg&amp;s=dNv3iTRZOcEVXLUckBWaG1hWFIGXk2P6ms89eCcZKTY&amp;e=</t>
  </si>
  <si>
    <t>43骞?2072</t>
  </si>
  <si>
    <t>UKG-1970</t>
  </si>
  <si>
    <t>82077bd4-1e42-11e4-b4cd-db5882bf8def</t>
  </si>
  <si>
    <t>Heath</t>
  </si>
  <si>
    <t>https://urldefense.proofpoint.com/v2/url?u=http-3A__dbpedia.org_resource_Edward-5FHeath&amp;d=BQID-g&amp;c=kbmfwr1Yojg42sGEpaQh5ofMHBeTl9EI2eaqQZhHbOU&amp;r=ZliGVSRwfirWoETOrKCh2RSnoygzVPWEk95Me9L-Kwo&amp;m=EaKyFx9mpkhPdFxsxzvW_fiM3jbYwM3xYLjVbSFoDAg&amp;s=GoE0y9EW4nVW24Y9sOsjnjQzlSF-gQCdV2-DwWeXJXo&amp;e=</t>
  </si>
  <si>
    <t>43骞?1354</t>
  </si>
  <si>
    <t>UKG-1974</t>
  </si>
  <si>
    <t>43骞?763</t>
  </si>
  <si>
    <t>UKG-1976</t>
  </si>
  <si>
    <t>82077bd5-1e42-11e4-b4cd-db5882bf8def</t>
  </si>
  <si>
    <t>Callaghan</t>
  </si>
  <si>
    <t>https://urldefense.proofpoint.com/v2/url?u=http-3A__dbpedia.org_resource_James-5FCallaghan&amp;d=BQID-g&amp;c=kbmfwr1Yojg42sGEpaQh5ofMHBeTl9EI2eaqQZhHbOU&amp;r=ZliGVSRwfirWoETOrKCh2RSnoygzVPWEk95Me9L-Kwo&amp;m=EaKyFx9mpkhPdFxsxzvW_fiM3jbYwM3xYLjVbSFoDAg&amp;s=p7LHoUWaVv0Ku2wua2rhROzBt6LykTVDT6jnTT359v0&amp;e=</t>
  </si>
  <si>
    <t>43骞?1124</t>
  </si>
  <si>
    <t>UKG-1979</t>
  </si>
  <si>
    <t>8207aca6-1e42-11e4-b4cd-db5882bf8def</t>
  </si>
  <si>
    <t>Thatcher</t>
  </si>
  <si>
    <t>https://urldefense.proofpoint.com/v2/url?u=http-3A__dbpedia.org_resource_Margaret-5FThatcher&amp;d=BQID-g&amp;c=kbmfwr1Yojg42sGEpaQh5ofMHBeTl9EI2eaqQZhHbOU&amp;r=ZliGVSRwfirWoETOrKCh2RSnoygzVPWEk95Me9L-Kwo&amp;m=EaKyFx9mpkhPdFxsxzvW_fiM3jbYwM3xYLjVbSFoDAg&amp;s=dDa3CkbUHscXNdbK4MziSQsDQuwGvuepj5iTHfHEwvA&amp;e=</t>
  </si>
  <si>
    <t>43骞?4226</t>
  </si>
  <si>
    <t>UKG-1990</t>
  </si>
  <si>
    <t>8207aca7-1e42-11e4-b4cd-db5882bf8def</t>
  </si>
  <si>
    <t>Major</t>
  </si>
  <si>
    <t>https://urldefense.proofpoint.com/v2/url?u=http-3A__dbpedia.org_resource_John-5FMajor&amp;d=BQID-g&amp;c=kbmfwr1Yojg42sGEpaQh5ofMHBeTl9EI2eaqQZhHbOU&amp;r=ZliGVSRwfirWoETOrKCh2RSnoygzVPWEk95Me9L-Kwo&amp;m=EaKyFx9mpkhPdFxsxzvW_fiM3jbYwM3xYLjVbSFoDAg&amp;s=upL60O31KRJHS-J378F-YT-BXCo_hsUt3JgDmGqSedI&amp;e=</t>
  </si>
  <si>
    <t>43骞?2347</t>
  </si>
  <si>
    <t>UKG-1997</t>
  </si>
  <si>
    <t>8207aca8-1e42-11e4-b4cd-db5882bf8def</t>
  </si>
  <si>
    <t>Blair</t>
  </si>
  <si>
    <t>https://urldefense.proofpoint.com/v2/url?u=http-3A__dbpedia.org_resource_Tony-5FBlair&amp;d=BQID-g&amp;c=kbmfwr1Yojg42sGEpaQh5ofMHBeTl9EI2eaqQZhHbOU&amp;r=ZliGVSRwfirWoETOrKCh2RSnoygzVPWEk95Me9L-Kwo&amp;m=EaKyFx9mpkhPdFxsxzvW_fiM3jbYwM3xYLjVbSFoDAg&amp;s=G3JKgAK3egR3YMOapM2tO93eDT9KtVqGZ1_Uvreg9_M&amp;e=</t>
  </si>
  <si>
    <t>43骞?3708</t>
  </si>
  <si>
    <t>UKG-2007</t>
  </si>
  <si>
    <t>8250ec2e-1e42-11e4-b4cd-db5882bf8def</t>
  </si>
  <si>
    <t>Brown</t>
  </si>
  <si>
    <t>43骞?1049</t>
  </si>
  <si>
    <t>UKG-2010</t>
  </si>
  <si>
    <t>8250ec2f-1e42-11e4-b4cd-db5882bf8def</t>
  </si>
  <si>
    <t>Cameron</t>
  </si>
  <si>
    <t>43骞?2060</t>
  </si>
  <si>
    <t>IRE-1919</t>
  </si>
  <si>
    <t>8207dd84-1e42-11e4-b4cd-db5882bf8def</t>
  </si>
  <si>
    <t>IRE</t>
  </si>
  <si>
    <t>de Valera</t>
  </si>
  <si>
    <t>1882-10-14</t>
  </si>
  <si>
    <t>14oct1882</t>
  </si>
  <si>
    <t>IRE-1922-1</t>
  </si>
  <si>
    <t>8207dd85-1e42-11e4-b4cd-db5882bf8def</t>
  </si>
  <si>
    <t>Griffith</t>
  </si>
  <si>
    <t>1872-03-31</t>
  </si>
  <si>
    <t>31mar1872</t>
  </si>
  <si>
    <t>https://urldefense.proofpoint.com/v2/url?u=http-3A__dbpedia.org_resource_Arthur-5FGriffith&amp;d=BQID-g&amp;c=kbmfwr1Yojg42sGEpaQh5ofMHBeTl9EI2eaqQZhHbOU&amp;r=ZliGVSRwfirWoETOrKCh2RSnoygzVPWEk95Me9L-Kwo&amp;m=EaKyFx9mpkhPdFxsxzvW_fiM3jbYwM3xYLjVbSFoDAg&amp;s=wtEbSFfROB2UPClS-wJSxz77ErjXqPFJ2U0E2uarXQw&amp;e=</t>
  </si>
  <si>
    <t>IRE-1922-2</t>
  </si>
  <si>
    <t>8207dd86-1e42-11e4-b4cd-db5882bf8def</t>
  </si>
  <si>
    <t>Collins</t>
  </si>
  <si>
    <t>1890-10-16</t>
  </si>
  <si>
    <t>16oct1890</t>
  </si>
  <si>
    <t>IRE-1922-3</t>
  </si>
  <si>
    <t>82080e58-1e42-11e4-b4cd-db5882bf8def</t>
  </si>
  <si>
    <t>Cosgrave, W.</t>
  </si>
  <si>
    <t>1880-06-06</t>
  </si>
  <si>
    <t>06jun1880</t>
  </si>
  <si>
    <t>https://urldefense.proofpoint.com/v2/url?u=http-3A__dbpedia.org_resource_W.-5FT.-5FCosgrave&amp;d=BQID-g&amp;c=kbmfwr1Yojg42sGEpaQh5ofMHBeTl9EI2eaqQZhHbOU&amp;r=ZliGVSRwfirWoETOrKCh2RSnoygzVPWEk95Me9L-Kwo&amp;m=EaKyFx9mpkhPdFxsxzvW_fiM3jbYwM3xYLjVbSFoDAg&amp;s=f3NzjvbWB1QRu8u-BewDG75X1ggDcyaRiMctxJDZWBg&amp;e=</t>
  </si>
  <si>
    <t>Father of Cosgrave, L.%82083f2d-1e42-11e4-b4cd-db5882bf8def</t>
  </si>
  <si>
    <t>IRE-1932</t>
  </si>
  <si>
    <t>IRE-1948</t>
  </si>
  <si>
    <t>82080e59-1e42-11e4-b4cd-db5882bf8def</t>
  </si>
  <si>
    <t>Costello</t>
  </si>
  <si>
    <t>1891-06-20</t>
  </si>
  <si>
    <t>20jun1891</t>
  </si>
  <si>
    <t>https://urldefense.proofpoint.com/v2/url?u=http-3A__dbpedia.org_resource_John-5FA.-5FCostello&amp;d=BQID-g&amp;c=kbmfwr1Yojg42sGEpaQh5ofMHBeTl9EI2eaqQZhHbOU&amp;r=ZliGVSRwfirWoETOrKCh2RSnoygzVPWEk95Me9L-Kwo&amp;m=EaKyFx9mpkhPdFxsxzvW_fiM3jbYwM3xYLjVbSFoDAg&amp;s=lV99Etz958vIzjps2fUnbJ-daoSMZmrB4y3XLUR5-tU&amp;e=</t>
  </si>
  <si>
    <t>IRE-1951</t>
  </si>
  <si>
    <t>IRE-1954</t>
  </si>
  <si>
    <t>IRE-1957</t>
  </si>
  <si>
    <t>IRE-1959</t>
  </si>
  <si>
    <t>82080e5a-1e42-11e4-b4cd-db5882bf8def</t>
  </si>
  <si>
    <t>LeMass</t>
  </si>
  <si>
    <t>1899-07-15</t>
  </si>
  <si>
    <t>15jul1899</t>
  </si>
  <si>
    <t>IRE-1966</t>
  </si>
  <si>
    <t>82083f2c-1e42-11e4-b4cd-db5882bf8def</t>
  </si>
  <si>
    <t>Lynch</t>
  </si>
  <si>
    <t>https://urldefense.proofpoint.com/v2/url?u=http-3A__dbpedia.org_resource_Jack-5FLynch&amp;d=BQID-g&amp;c=kbmfwr1Yojg42sGEpaQh5ofMHBeTl9EI2eaqQZhHbOU&amp;r=ZliGVSRwfirWoETOrKCh2RSnoygzVPWEk95Me9L-Kwo&amp;m=EaKyFx9mpkhPdFxsxzvW_fiM3jbYwM3xYLjVbSFoDAg&amp;s=PxyPpZuvDqvdrCIWEWWnHfKtVzqLI_B8JLDtTVnZQHg&amp;e=</t>
  </si>
  <si>
    <t>IRE-1973</t>
  </si>
  <si>
    <t>82083f2d-1e42-11e4-b4cd-db5882bf8def</t>
  </si>
  <si>
    <t>Cosgrave, L.</t>
  </si>
  <si>
    <t>Son of Cosgrave, W.%82080e58-1e42-11e4-b4cd-db5882bf8def</t>
  </si>
  <si>
    <t>IRE-1977</t>
  </si>
  <si>
    <t>IRE-1979</t>
  </si>
  <si>
    <t>82083f2e-1e42-11e4-b4cd-db5882bf8def</t>
  </si>
  <si>
    <t>Haughey</t>
  </si>
  <si>
    <t>https://urldefense.proofpoint.com/v2/url?u=http-3A__dbpedia.org_resource_Charles-5FHaughey&amp;d=BQID-g&amp;c=kbmfwr1Yojg42sGEpaQh5ofMHBeTl9EI2eaqQZhHbOU&amp;r=ZliGVSRwfirWoETOrKCh2RSnoygzVPWEk95Me9L-Kwo&amp;m=EaKyFx9mpkhPdFxsxzvW_fiM3jbYwM3xYLjVbSFoDAg&amp;s=a0MnOD2a0oAbMS7ixeNvvX-wb915BNZCvU40uOcuj1Q&amp;e=</t>
  </si>
  <si>
    <t>IRE-1981</t>
  </si>
  <si>
    <t>82087000-1e42-11e4-b4cd-db5882bf8def</t>
  </si>
  <si>
    <t>Fitzgerald</t>
  </si>
  <si>
    <t>https://urldefense.proofpoint.com/v2/url?u=http-3A__dbpedia.org_resource_Garret-5FFitzGerald&amp;d=BQID-g&amp;c=kbmfwr1Yojg42sGEpaQh5ofMHBeTl9EI2eaqQZhHbOU&amp;r=ZliGVSRwfirWoETOrKCh2RSnoygzVPWEk95Me9L-Kwo&amp;m=EaKyFx9mpkhPdFxsxzvW_fiM3jbYwM3xYLjVbSFoDAg&amp;s=5G1tUmcX8LTjDCeJGX6S1nCCuRwgKOQkpPgD0HN_Vlw&amp;e=</t>
  </si>
  <si>
    <t>IRE-1982-1</t>
  </si>
  <si>
    <t>IRE-1982-2</t>
  </si>
  <si>
    <t>IRE-1987</t>
  </si>
  <si>
    <t>IRE-1992</t>
  </si>
  <si>
    <t>82087001-1e42-11e4-b4cd-db5882bf8def</t>
  </si>
  <si>
    <t>Reynolds</t>
  </si>
  <si>
    <t>IRE-1994</t>
  </si>
  <si>
    <t>82087002-1e42-11e4-b4cd-db5882bf8def</t>
  </si>
  <si>
    <t>Bruton</t>
  </si>
  <si>
    <t>IRE-1997</t>
  </si>
  <si>
    <t>8208a0d4-1e42-11e4-b4cd-db5882bf8def</t>
  </si>
  <si>
    <t>Ahern</t>
  </si>
  <si>
    <t>IRE-2008</t>
  </si>
  <si>
    <t>8250ec30-1e42-11e4-b4cd-db5882bf8def</t>
  </si>
  <si>
    <t>B. Cowen</t>
  </si>
  <si>
    <t>IRE-2011</t>
  </si>
  <si>
    <t>82511d00-1e42-11e4-b4cd-db5882bf8def</t>
  </si>
  <si>
    <t>E. Kenny</t>
  </si>
  <si>
    <t>NTH-1874</t>
  </si>
  <si>
    <t>19a47cb8-3bbd-11e5-afeb-eb6f07f9fec7</t>
  </si>
  <si>
    <t>NTH</t>
  </si>
  <si>
    <t>Heemskerk, JA</t>
  </si>
  <si>
    <t>1874-08-27</t>
  </si>
  <si>
    <t>1818-07-30</t>
  </si>
  <si>
    <t>30jul1818</t>
  </si>
  <si>
    <t>https://urldefense.proofpoint.com/v2/url?u=http-3A__dbpedia.org_resource_Jan-5FHeemskerk&amp;d=BQID-g&amp;c=kbmfwr1Yojg42sGEpaQh5ofMHBeTl9EI2eaqQZhHbOU&amp;r=ZliGVSRwfirWoETOrKCh2RSnoygzVPWEk95Me9L-Kwo&amp;m=EaKyFx9mpkhPdFxsxzvW_fiM3jbYwM3xYLjVbSFoDAg&amp;s=Fblfzce8z9wehjdIxpqWy1U8meG9Q_emkklicUvUPZI&amp;e=</t>
  </si>
  <si>
    <t>SVG</t>
  </si>
  <si>
    <t>37骞?1164</t>
  </si>
  <si>
    <t>NTH-1877</t>
  </si>
  <si>
    <t>8208a0d5-1e42-11e4-b4cd-db5882bf8def</t>
  </si>
  <si>
    <t>Kappeye van de Coppello</t>
  </si>
  <si>
    <t>1879-08-11</t>
  </si>
  <si>
    <t>1822-11-08</t>
  </si>
  <si>
    <t>08nov1822</t>
  </si>
  <si>
    <t>https://urldefense.proofpoint.com/v2/url?u=http-3A__dbpedia.org_resource_Jan-5FKappeyne-5Fvan-5Fde-5FCoppello&amp;d=BQID-g&amp;c=kbmfwr1Yojg42sGEpaQh5ofMHBeTl9EI2eaqQZhHbOU&amp;r=ZliGVSRwfirWoETOrKCh2RSnoygzVPWEk95Me9L-Kwo&amp;m=EaKyFx9mpkhPdFxsxzvW_fiM3jbYwM3xYLjVbSFoDAg&amp;s=HeNxtAPHlfcM2v8Lr9nLAHeBfN1OBE68Ge1JQm_5hWk&amp;e=</t>
  </si>
  <si>
    <t>37骞?646</t>
  </si>
  <si>
    <t>NTH-1879</t>
  </si>
  <si>
    <t>8208a0d6-1e42-11e4-b4cd-db5882bf8def</t>
  </si>
  <si>
    <t>van Lynden</t>
  </si>
  <si>
    <t>1879-08-20</t>
  </si>
  <si>
    <t>1883-04-23</t>
  </si>
  <si>
    <t>1826-02-04</t>
  </si>
  <si>
    <t>04feb1826</t>
  </si>
  <si>
    <t>37骞?1342</t>
  </si>
  <si>
    <t>NTH-1883</t>
  </si>
  <si>
    <t>1888-04-21</t>
  </si>
  <si>
    <t>37骞?1825</t>
  </si>
  <si>
    <t>NTH-1888</t>
  </si>
  <si>
    <t>8208d1a8-1e42-11e4-b4cd-db5882bf8def</t>
  </si>
  <si>
    <t>Mackay</t>
  </si>
  <si>
    <t>1891-08-21</t>
  </si>
  <si>
    <t>37骞?1217</t>
  </si>
  <si>
    <t>NTH-1891</t>
  </si>
  <si>
    <t>8208d1a9-1e42-11e4-b4cd-db5882bf8def</t>
  </si>
  <si>
    <t>van Tienhoven</t>
  </si>
  <si>
    <t>1894-05-07</t>
  </si>
  <si>
    <t>1841-02-12</t>
  </si>
  <si>
    <t>12feb1841</t>
  </si>
  <si>
    <t>https://urldefense.proofpoint.com/v2/url?u=http-3A__dbpedia.org_resource_Gijsbert-5Fvan-5FTienhoven&amp;d=BQID-g&amp;c=kbmfwr1Yojg42sGEpaQh5ofMHBeTl9EI2eaqQZhHbOU&amp;r=ZliGVSRwfirWoETOrKCh2RSnoygzVPWEk95Me9L-Kwo&amp;m=EaKyFx9mpkhPdFxsxzvW_fiM3jbYwM3xYLjVbSFoDAg&amp;s=gHNGqjsat4mODgppRROGaIZcDdPldqJ5uAtjcm8K5m0&amp;e=</t>
  </si>
  <si>
    <t>37骞?990</t>
  </si>
  <si>
    <t>NTH-1894</t>
  </si>
  <si>
    <t>8208d1aa-1e42-11e4-b4cd-db5882bf8def</t>
  </si>
  <si>
    <t>Roell</t>
  </si>
  <si>
    <t>1894-05-09</t>
  </si>
  <si>
    <t>1897-07-27</t>
  </si>
  <si>
    <t>1844-07-21</t>
  </si>
  <si>
    <t>21jul1844</t>
  </si>
  <si>
    <t>https://urldefense.proofpoint.com/v2/url?u=http-3A__dbpedia.org_resource_Joan-5FR-25C3-25B6ell&amp;d=BQID-g&amp;c=kbmfwr1Yojg42sGEpaQh5ofMHBeTl9EI2eaqQZhHbOU&amp;r=ZliGVSRwfirWoETOrKCh2RSnoygzVPWEk95Me9L-Kwo&amp;m=EaKyFx9mpkhPdFxsxzvW_fiM3jbYwM3xYLjVbSFoDAg&amp;s=uwT7K76NrfxFi1VeeeJU7yuIvVUQ_Qp_dr12eWkMNDE&amp;e=</t>
  </si>
  <si>
    <t>37骞?1175</t>
  </si>
  <si>
    <t>NTH-1897</t>
  </si>
  <si>
    <t>8209027c-1e42-11e4-b4cd-db5882bf8def</t>
  </si>
  <si>
    <t>Pierson</t>
  </si>
  <si>
    <t>37骞?1465</t>
  </si>
  <si>
    <t>NTH-1901</t>
  </si>
  <si>
    <t>8209027d-1e42-11e4-b4cd-db5882bf8def</t>
  </si>
  <si>
    <t>Kuyper</t>
  </si>
  <si>
    <t>1837-10-29</t>
  </si>
  <si>
    <t>29oct1837</t>
  </si>
  <si>
    <t>https://urldefense.proofpoint.com/v2/url?u=http-3A__dbpedia.org_resource_Abraham-5FKuyper&amp;d=BQID-g&amp;c=kbmfwr1Yojg42sGEpaQh5ofMHBeTl9EI2eaqQZhHbOU&amp;r=ZliGVSRwfirWoETOrKCh2RSnoygzVPWEk95Me9L-Kwo&amp;m=EaKyFx9mpkhPdFxsxzvW_fiM3jbYwM3xYLjVbSFoDAg&amp;s=Lb3JY6dY33tA4Jcy6YVBY5gQ53mmCBA_hcuyYVY1eLQ&amp;e=</t>
  </si>
  <si>
    <t>37骞?1476</t>
  </si>
  <si>
    <t>NTH-1905</t>
  </si>
  <si>
    <t>8209027e-1e42-11e4-b4cd-db5882bf8def</t>
  </si>
  <si>
    <t>de Meester</t>
  </si>
  <si>
    <t>1851-12-16</t>
  </si>
  <si>
    <t>16dec1851</t>
  </si>
  <si>
    <t>37骞?909</t>
  </si>
  <si>
    <t>NTH-1908</t>
  </si>
  <si>
    <t>82093350-1e42-11e4-b4cd-db5882bf8def</t>
  </si>
  <si>
    <t>Heemskerk, T</t>
  </si>
  <si>
    <t>1852-07-02</t>
  </si>
  <si>
    <t>02jul1852</t>
  </si>
  <si>
    <t>https://urldefense.proofpoint.com/v2/url?u=http-3A__dbpedia.org_resource_Theo-5FHeemskerk&amp;d=BQID-g&amp;c=kbmfwr1Yojg42sGEpaQh5ofMHBeTl9EI2eaqQZhHbOU&amp;r=ZliGVSRwfirWoETOrKCh2RSnoygzVPWEk95Me9L-Kwo&amp;m=EaKyFx9mpkhPdFxsxzvW_fiM3jbYwM3xYLjVbSFoDAg&amp;s=XKFGbEC3hQxx0o_F9lVzNAIgP6tn95weROcqzE1lMZ0&amp;e=</t>
  </si>
  <si>
    <t>37骞?2021</t>
  </si>
  <si>
    <t>NTH-1913</t>
  </si>
  <si>
    <t>82093351-1e42-11e4-b4cd-db5882bf8def</t>
  </si>
  <si>
    <t>van der Linden</t>
  </si>
  <si>
    <t>1846-05-14</t>
  </si>
  <si>
    <t>14may1846</t>
  </si>
  <si>
    <t>https://urldefense.proofpoint.com/v2/url?u=http-3A__dbpedia.org_resource_Pieter-5FCort-5Fvan-5Fder-5FLinden&amp;d=BQID-g&amp;c=kbmfwr1Yojg42sGEpaQh5ofMHBeTl9EI2eaqQZhHbOU&amp;r=ZliGVSRwfirWoETOrKCh2RSnoygzVPWEk95Me9L-Kwo&amp;m=EaKyFx9mpkhPdFxsxzvW_fiM3jbYwM3xYLjVbSFoDAg&amp;s=Yxrlb4RRcSEysT3PwRe8DHNe3IUc6WIjeAMl3nR0N3M&amp;e=</t>
  </si>
  <si>
    <t>37骞?1769</t>
  </si>
  <si>
    <t>NTH-1918</t>
  </si>
  <si>
    <t>82093352-1e42-11e4-b4cd-db5882bf8def</t>
  </si>
  <si>
    <t>de Beerenbrouck</t>
  </si>
  <si>
    <t>1873-12-01</t>
  </si>
  <si>
    <t>01dec1873</t>
  </si>
  <si>
    <t>https://urldefense.proofpoint.com/v2/url?u=http-3A__dbpedia.org_resource_Charles-5FRuijs-5Fde-5FBeerenbrouck&amp;d=BQID-g&amp;c=kbmfwr1Yojg42sGEpaQh5ofMHBeTl9EI2eaqQZhHbOU&amp;r=ZliGVSRwfirWoETOrKCh2RSnoygzVPWEk95Me9L-Kwo&amp;m=EaKyFx9mpkhPdFxsxzvW_fiM3jbYwM3xYLjVbSFoDAg&amp;s=v_JWJzDLUSX8hy8-m44cOIOwbo2j9IO23YybF4Z6z_0&amp;e=</t>
  </si>
  <si>
    <t>37骞?2486</t>
  </si>
  <si>
    <t>NTH-1925</t>
  </si>
  <si>
    <t>82093353-1e42-11e4-b4cd-db5882bf8def</t>
  </si>
  <si>
    <t>Colijn</t>
  </si>
  <si>
    <t>1869-06-22</t>
  </si>
  <si>
    <t>22jun1869</t>
  </si>
  <si>
    <t>https://urldefense.proofpoint.com/v2/url?u=http-3A__dbpedia.org_resource_Hendrikus-5FColijn&amp;d=BQID-g&amp;c=kbmfwr1Yojg42sGEpaQh5ofMHBeTl9EI2eaqQZhHbOU&amp;r=ZliGVSRwfirWoETOrKCh2RSnoygzVPWEk95Me9L-Kwo&amp;m=EaKyFx9mpkhPdFxsxzvW_fiM3jbYwM3xYLjVbSFoDAg&amp;s=abCq3WpUJZ4g8f_5_aSK7fFg_DapPg9GP0von9xed5c&amp;e=</t>
  </si>
  <si>
    <t>37骞?216</t>
  </si>
  <si>
    <t>NTH-1926</t>
  </si>
  <si>
    <t>82093354-1e42-11e4-b4cd-db5882bf8def</t>
  </si>
  <si>
    <t>de Geer</t>
  </si>
  <si>
    <t>1870-12-14</t>
  </si>
  <si>
    <t>14dec1870</t>
  </si>
  <si>
    <t>https://urldefense.proofpoint.com/v2/url?u=http-3A__dbpedia.org_resource_Dirk-5FJan-5Fde-5FGeer&amp;d=BQID-g&amp;c=kbmfwr1Yojg42sGEpaQh5ofMHBeTl9EI2eaqQZhHbOU&amp;r=ZliGVSRwfirWoETOrKCh2RSnoygzVPWEk95Me9L-Kwo&amp;m=EaKyFx9mpkhPdFxsxzvW_fiM3jbYwM3xYLjVbSFoDAg&amp;s=TUumMqPTNk2FSktH1XN8jHxssEjzZ74CFa7pSv19n48&amp;e=</t>
  </si>
  <si>
    <t>37骞?1212</t>
  </si>
  <si>
    <t>NTH-1929</t>
  </si>
  <si>
    <t>37骞?1354</t>
  </si>
  <si>
    <t>NTH-1933</t>
  </si>
  <si>
    <t>37骞?2253</t>
  </si>
  <si>
    <t>NTH-1939</t>
  </si>
  <si>
    <t>37骞?278</t>
  </si>
  <si>
    <t>NTH-1945</t>
  </si>
  <si>
    <t>82093355-1e42-11e4-b4cd-db5882bf8def</t>
  </si>
  <si>
    <t>Schermerhorn</t>
  </si>
  <si>
    <t>1894-12-17</t>
  </si>
  <si>
    <t>17dec1894</t>
  </si>
  <si>
    <t>37骞?327</t>
  </si>
  <si>
    <t>NTH-1946</t>
  </si>
  <si>
    <t>82096424-1e42-11e4-b4cd-db5882bf8def</t>
  </si>
  <si>
    <t>Beel</t>
  </si>
  <si>
    <t>https://urldefense.proofpoint.com/v2/url?u=http-3A__dbpedia.org_resource_Louis-5FBeel&amp;d=BQID-g&amp;c=kbmfwr1Yojg42sGEpaQh5ofMHBeTl9EI2eaqQZhHbOU&amp;r=ZliGVSRwfirWoETOrKCh2RSnoygzVPWEk95Me9L-Kwo&amp;m=EaKyFx9mpkhPdFxsxzvW_fiM3jbYwM3xYLjVbSFoDAg&amp;s=9UlF0Pj0zR5NlmLG0cDzHNS-boH5pq5HGpEH8bylO9w&amp;e=</t>
  </si>
  <si>
    <t>37骞?735</t>
  </si>
  <si>
    <t>NTH-1948</t>
  </si>
  <si>
    <t>82096425-1e42-11e4-b4cd-db5882bf8def</t>
  </si>
  <si>
    <t>Drees</t>
  </si>
  <si>
    <t>1886-07-05</t>
  </si>
  <si>
    <t>05jul1886</t>
  </si>
  <si>
    <t>https://urldefense.proofpoint.com/v2/url?u=http-3A__dbpedia.org_resource_Willem-5FDrees&amp;d=BQID-g&amp;c=kbmfwr1Yojg42sGEpaQh5ofMHBeTl9EI2eaqQZhHbOU&amp;r=ZliGVSRwfirWoETOrKCh2RSnoygzVPWEk95Me9L-Kwo&amp;m=EaKyFx9mpkhPdFxsxzvW_fiM3jbYwM3xYLjVbSFoDAg&amp;s=awxAfqh3gUkwjxM_5hLschUHEgCKmU9bsICKXvC6XPc&amp;e=</t>
  </si>
  <si>
    <t>37骞?3789</t>
  </si>
  <si>
    <t>NTH-1958</t>
  </si>
  <si>
    <t>37骞?148</t>
  </si>
  <si>
    <t>NTH-1959</t>
  </si>
  <si>
    <t>82096426-1e42-11e4-b4cd-db5882bf8def</t>
  </si>
  <si>
    <t>de Quay</t>
  </si>
  <si>
    <t>https://urldefense.proofpoint.com/v2/url?u=http-3A__dbpedia.org_resource_Jan-5Fde-5FQuay&amp;d=BQID-g&amp;c=kbmfwr1Yojg42sGEpaQh5ofMHBeTl9EI2eaqQZhHbOU&amp;r=ZliGVSRwfirWoETOrKCh2RSnoygzVPWEk95Me9L-Kwo&amp;m=EaKyFx9mpkhPdFxsxzvW_fiM3jbYwM3xYLjVbSFoDAg&amp;s=wbMDU-Nh8V19j8ykFdCzHH9Jz8ZqPKKRbH57Powhfo4&amp;e=</t>
  </si>
  <si>
    <t>37骞?1457</t>
  </si>
  <si>
    <t>NTH-1963</t>
  </si>
  <si>
    <t>82096427-1e42-11e4-b4cd-db5882bf8def</t>
  </si>
  <si>
    <t>Marijnen</t>
  </si>
  <si>
    <t>https://urldefense.proofpoint.com/v2/url?u=http-3A__dbpedia.org_resource_Victor-5FMarijnen&amp;d=BQID-g&amp;c=kbmfwr1Yojg42sGEpaQh5ofMHBeTl9EI2eaqQZhHbOU&amp;r=ZliGVSRwfirWoETOrKCh2RSnoygzVPWEk95Me9L-Kwo&amp;m=EaKyFx9mpkhPdFxsxzvW_fiM3jbYwM3xYLjVbSFoDAg&amp;s=nRnB2OMjVPep4UrQ_q1KoNi5VZb88Fyn31bFPjyadts&amp;e=</t>
  </si>
  <si>
    <t>37骞?583</t>
  </si>
  <si>
    <t>NTH-1965</t>
  </si>
  <si>
    <t>82096428-1e42-11e4-b4cd-db5882bf8def</t>
  </si>
  <si>
    <t>Cals</t>
  </si>
  <si>
    <t>https://urldefense.proofpoint.com/v2/url?u=http-3A__dbpedia.org_resource_Jo-5FCals&amp;d=BQID-g&amp;c=kbmfwr1Yojg42sGEpaQh5ofMHBeTl9EI2eaqQZhHbOU&amp;r=ZliGVSRwfirWoETOrKCh2RSnoygzVPWEk95Me9L-Kwo&amp;m=EaKyFx9mpkhPdFxsxzvW_fiM3jbYwM3xYLjVbSFoDAg&amp;s=VUzE7cI8jkbIfrk4-o2xqgLU94uwTIl9roXrSVUDJAE&amp;e=</t>
  </si>
  <si>
    <t>37骞?535</t>
  </si>
  <si>
    <t>NTH-1966</t>
  </si>
  <si>
    <t>82096429-1e42-11e4-b4cd-db5882bf8def</t>
  </si>
  <si>
    <t>Zijlstra</t>
  </si>
  <si>
    <t>https://urldefense.proofpoint.com/v2/url?u=http-3A__dbpedia.org_resource_Jelle-5FZijlstra&amp;d=BQID-g&amp;c=kbmfwr1Yojg42sGEpaQh5ofMHBeTl9EI2eaqQZhHbOU&amp;r=ZliGVSRwfirWoETOrKCh2RSnoygzVPWEk95Me9L-Kwo&amp;m=EaKyFx9mpkhPdFxsxzvW_fiM3jbYwM3xYLjVbSFoDAg&amp;s=yNhdUiyNGjCRUA622YIP5hrj34VcQaI0T0EzsrW2hTQ&amp;e=</t>
  </si>
  <si>
    <t>37骞?85</t>
  </si>
  <si>
    <t>NTH-1967</t>
  </si>
  <si>
    <t>820994f8-1e42-11e4-b4cd-db5882bf8def</t>
  </si>
  <si>
    <t>De Jong</t>
  </si>
  <si>
    <t>https://urldefense.proofpoint.com/v2/url?u=http-3A__dbpedia.org_resource_Piet-5Fde-5FJong&amp;d=BQID-g&amp;c=kbmfwr1Yojg42sGEpaQh5ofMHBeTl9EI2eaqQZhHbOU&amp;r=ZliGVSRwfirWoETOrKCh2RSnoygzVPWEk95Me9L-Kwo&amp;m=EaKyFx9mpkhPdFxsxzvW_fiM3jbYwM3xYLjVbSFoDAg&amp;s=DXClrALSeZ6t1QeaYDf2723VmUeIWf8hDle4kkF8EnU&amp;e=</t>
  </si>
  <si>
    <t>37骞?1487</t>
  </si>
  <si>
    <t>NTH-1971</t>
  </si>
  <si>
    <t>820994f9-1e42-11e4-b4cd-db5882bf8def</t>
  </si>
  <si>
    <t>Biesheuvel</t>
  </si>
  <si>
    <t>https://urldefense.proofpoint.com/v2/url?u=http-3A__dbpedia.org_resource_Barend-5FBiesheuvel&amp;d=BQID-g&amp;c=kbmfwr1Yojg42sGEpaQh5ofMHBeTl9EI2eaqQZhHbOU&amp;r=ZliGVSRwfirWoETOrKCh2RSnoygzVPWEk95Me9L-Kwo&amp;m=EaKyFx9mpkhPdFxsxzvW_fiM3jbYwM3xYLjVbSFoDAg&amp;s=fcVZmmD3iRs8B1iKeOEUjvYXN6Yj8bPUc3NsTIn4w_A&amp;e=</t>
  </si>
  <si>
    <t>37骞?675</t>
  </si>
  <si>
    <t>NTH-1973</t>
  </si>
  <si>
    <t>820994fa-1e42-11e4-b4cd-db5882bf8def</t>
  </si>
  <si>
    <t>den Uyl</t>
  </si>
  <si>
    <t>https://urldefense.proofpoint.com/v2/url?u=http-3A__dbpedia.org_resource_Joop-5Fden-5FUyl&amp;d=BQID-g&amp;c=kbmfwr1Yojg42sGEpaQh5ofMHBeTl9EI2eaqQZhHbOU&amp;r=ZliGVSRwfirWoETOrKCh2RSnoygzVPWEk95Me9L-Kwo&amp;m=EaKyFx9mpkhPdFxsxzvW_fiM3jbYwM3xYLjVbSFoDAg&amp;s=mabYf0Q0ceRzSx_Z1XAVr31fVSc6qnbJrtHMLl6rcTo&amp;e=</t>
  </si>
  <si>
    <t>37骞?1683</t>
  </si>
  <si>
    <t>NTH-1977</t>
  </si>
  <si>
    <t>820994fb-1e42-11e4-b4cd-db5882bf8def</t>
  </si>
  <si>
    <t>van Agt</t>
  </si>
  <si>
    <t>https://urldefense.proofpoint.com/v2/url?u=http-3A__dbpedia.org_resource_Dries-5Fvan-5FAgt&amp;d=BQID-g&amp;c=kbmfwr1Yojg42sGEpaQh5ofMHBeTl9EI2eaqQZhHbOU&amp;r=ZliGVSRwfirWoETOrKCh2RSnoygzVPWEk95Me9L-Kwo&amp;m=EaKyFx9mpkhPdFxsxzvW_fiM3jbYwM3xYLjVbSFoDAg&amp;s=IkKqyVNKq45aHFdvnMye2Px0hlv6mJEpvHACzpGDNnI&amp;e=</t>
  </si>
  <si>
    <t>37骞?1781</t>
  </si>
  <si>
    <t>NTH-1982</t>
  </si>
  <si>
    <t>820994fc-1e42-11e4-b4cd-db5882bf8def</t>
  </si>
  <si>
    <t>Lubbers</t>
  </si>
  <si>
    <t>https://urldefense.proofpoint.com/v2/url?u=http-3A__dbpedia.org_resource_Ruud-5FLubbers&amp;d=BQID-g&amp;c=kbmfwr1Yojg42sGEpaQh5ofMHBeTl9EI2eaqQZhHbOU&amp;r=ZliGVSRwfirWoETOrKCh2RSnoygzVPWEk95Me9L-Kwo&amp;m=EaKyFx9mpkhPdFxsxzvW_fiM3jbYwM3xYLjVbSFoDAg&amp;s=5dAn_aqhwIUBlMQvk--k6FMx4AXGrMY1yfNJiJbkWWk&amp;e=</t>
  </si>
  <si>
    <t>37骞?4309</t>
  </si>
  <si>
    <t>NTH-1994</t>
  </si>
  <si>
    <t>820994fd-1e42-11e4-b4cd-db5882bf8def</t>
  </si>
  <si>
    <t>Kok</t>
  </si>
  <si>
    <t>https://urldefense.proofpoint.com/v2/url?u=http-3A__dbpedia.org_resource_Wim-5FKok&amp;d=BQID-g&amp;c=kbmfwr1Yojg42sGEpaQh5ofMHBeTl9EI2eaqQZhHbOU&amp;r=ZliGVSRwfirWoETOrKCh2RSnoygzVPWEk95Me9L-Kwo&amp;m=EaKyFx9mpkhPdFxsxzvW_fiM3jbYwM3xYLjVbSFoDAg&amp;s=e5CRSUpApgEUSnR1fBJTby2ptGU5_N791Qxb0o6ObaA&amp;e=</t>
  </si>
  <si>
    <t>37骞?2891</t>
  </si>
  <si>
    <t>NTH-2002</t>
  </si>
  <si>
    <t>8209c5d6-1e42-11e4-b4cd-db5882bf8def</t>
  </si>
  <si>
    <t>Jan Peter Balkenende</t>
  </si>
  <si>
    <t>https://urldefense.proofpoint.com/v2/url?u=http-3A__dbpedia.org_resource_Jan-5FPeter-5FBalkenende&amp;d=BQID-g&amp;c=kbmfwr1Yojg42sGEpaQh5ofMHBeTl9EI2eaqQZhHbOU&amp;r=ZliGVSRwfirWoETOrKCh2RSnoygzVPWEk95Me9L-Kwo&amp;m=EaKyFx9mpkhPdFxsxzvW_fiM3jbYwM3xYLjVbSFoDAg&amp;s=L0ZGvO-hb_I6pBYKv78GXzlnBNXReIgdyQH6-2wr8wo&amp;e=</t>
  </si>
  <si>
    <t>37骞?3006</t>
  </si>
  <si>
    <t>NTH-2010</t>
  </si>
  <si>
    <t>82511d01-1e42-11e4-b4cd-db5882bf8def</t>
  </si>
  <si>
    <t>M. Rutte</t>
  </si>
  <si>
    <t>37骞?1904</t>
  </si>
  <si>
    <t>BEL-1871</t>
  </si>
  <si>
    <t>8209c5d7-1e42-11e4-b4cd-db5882bf8def</t>
  </si>
  <si>
    <t>BEL</t>
  </si>
  <si>
    <t>Jules Malou</t>
  </si>
  <si>
    <t>1871-12-07</t>
  </si>
  <si>
    <t>1878-06-19</t>
  </si>
  <si>
    <t>16骞?2386</t>
  </si>
  <si>
    <t>BEL-1878</t>
  </si>
  <si>
    <t>19768ee8-3bbd-11e5-afeb-eb6f07f9fec7</t>
  </si>
  <si>
    <t>Walthere Frere-Orban</t>
  </si>
  <si>
    <t>1884-06-16</t>
  </si>
  <si>
    <t>1812-04-22</t>
  </si>
  <si>
    <t>22apr1812</t>
  </si>
  <si>
    <t>1896-02-02</t>
  </si>
  <si>
    <t>02feb1896</t>
  </si>
  <si>
    <t>16骞?2189</t>
  </si>
  <si>
    <t>BEL-1884-1</t>
  </si>
  <si>
    <t>1884-10-26</t>
  </si>
  <si>
    <t>16骞?132</t>
  </si>
  <si>
    <t>BEL-1884-2</t>
  </si>
  <si>
    <t>8209c5d8-1e42-11e4-b4cd-db5882bf8def</t>
  </si>
  <si>
    <t>Auguste Marie Franaois Beernaert</t>
  </si>
  <si>
    <t>1894-03-26</t>
  </si>
  <si>
    <t>1829-07-26</t>
  </si>
  <si>
    <t>26jul1829</t>
  </si>
  <si>
    <t>16骞?3438</t>
  </si>
  <si>
    <t>BEL-1894</t>
  </si>
  <si>
    <t>8209c5d9-1e42-11e4-b4cd-db5882bf8def</t>
  </si>
  <si>
    <t>Jules Philippe Marie de Burlet</t>
  </si>
  <si>
    <t>1896-02-25</t>
  </si>
  <si>
    <t>1844-04-10</t>
  </si>
  <si>
    <t>10apr1844</t>
  </si>
  <si>
    <t>1897-03-01</t>
  </si>
  <si>
    <t>01mar1897</t>
  </si>
  <si>
    <t>16骞?701</t>
  </si>
  <si>
    <t>BEL-1896</t>
  </si>
  <si>
    <t>8209c5da-1e42-11e4-b4cd-db5882bf8def</t>
  </si>
  <si>
    <t>Paul de Smet de Nayer</t>
  </si>
  <si>
    <t>1899-01-24</t>
  </si>
  <si>
    <t>16骞?1064</t>
  </si>
  <si>
    <t>BEL-1899-1</t>
  </si>
  <si>
    <t>8209c5db-1e42-11e4-b4cd-db5882bf8def</t>
  </si>
  <si>
    <t>Julius Vandenpeereboom</t>
  </si>
  <si>
    <t>1899-08-05</t>
  </si>
  <si>
    <t>16骞?193</t>
  </si>
  <si>
    <t>BEL-1899-2</t>
  </si>
  <si>
    <t>16骞?2826</t>
  </si>
  <si>
    <t>BEL-1907</t>
  </si>
  <si>
    <t>8209f6aa-1e42-11e4-b4cd-db5882bf8def</t>
  </si>
  <si>
    <t>Jules de Trooz</t>
  </si>
  <si>
    <t>1857-01-12</t>
  </si>
  <si>
    <t>12jan1857</t>
  </si>
  <si>
    <t>16骞?243</t>
  </si>
  <si>
    <t>BEL-1908</t>
  </si>
  <si>
    <t>8209f6ab-1e42-11e4-b4cd-db5882bf8def</t>
  </si>
  <si>
    <t>Frans Schollaert</t>
  </si>
  <si>
    <t>1851-08-19</t>
  </si>
  <si>
    <t>19aug1851</t>
  </si>
  <si>
    <t>16骞?1255</t>
  </si>
  <si>
    <t>BEL-1911</t>
  </si>
  <si>
    <t>8209f6ac-1e42-11e4-b4cd-db5882bf8def</t>
  </si>
  <si>
    <t>Charles, baron de Broqueville</t>
  </si>
  <si>
    <t>1860-12-04</t>
  </si>
  <si>
    <t>04dec1860</t>
  </si>
  <si>
    <t>16骞?1141</t>
  </si>
  <si>
    <t>BEL-1914-1</t>
  </si>
  <si>
    <t>8209f6ad-1e42-11e4-b4cd-db5882bf8def</t>
  </si>
  <si>
    <t>Von der Golt</t>
  </si>
  <si>
    <t>1843-08-12</t>
  </si>
  <si>
    <t>12aug1843</t>
  </si>
  <si>
    <t>16骞?93</t>
  </si>
  <si>
    <t>BEL-1914-2</t>
  </si>
  <si>
    <t>8209f6ae-1e42-11e4-b4cd-db5882bf8def</t>
  </si>
  <si>
    <t>Von Bissing</t>
  </si>
  <si>
    <t>16骞?873</t>
  </si>
  <si>
    <t>BEL-1917</t>
  </si>
  <si>
    <t>8209f6af-1e42-11e4-b4cd-db5882bf8def</t>
  </si>
  <si>
    <t>Von Falkenhausen</t>
  </si>
  <si>
    <t>1844-09-13</t>
  </si>
  <si>
    <t>13sep1844</t>
  </si>
  <si>
    <t>16骞?572</t>
  </si>
  <si>
    <t>BEL-1918-1</t>
  </si>
  <si>
    <t>820a277e-1e42-11e4-b4cd-db5882bf8def</t>
  </si>
  <si>
    <t>Geraard Cooreman</t>
  </si>
  <si>
    <t>1852-03-25</t>
  </si>
  <si>
    <t>25mar1852</t>
  </si>
  <si>
    <t>16骞?2</t>
  </si>
  <si>
    <t>BEL-1918-2</t>
  </si>
  <si>
    <t>820a277f-1e42-11e4-b4cd-db5882bf8def</t>
  </si>
  <si>
    <t>Delacroix</t>
  </si>
  <si>
    <t>1876-12-27</t>
  </si>
  <si>
    <t>27dec1876</t>
  </si>
  <si>
    <t>16骞?712</t>
  </si>
  <si>
    <t>BEL-1920</t>
  </si>
  <si>
    <t>820a2780-1e42-11e4-b4cd-db5882bf8def</t>
  </si>
  <si>
    <t>de Wiart</t>
  </si>
  <si>
    <t>1869-01-31</t>
  </si>
  <si>
    <t>31jan1869</t>
  </si>
  <si>
    <t>16骞?366</t>
  </si>
  <si>
    <t>BEL-1921</t>
  </si>
  <si>
    <t>820a2781-1e42-11e4-b4cd-db5882bf8def</t>
  </si>
  <si>
    <t>Theunis</t>
  </si>
  <si>
    <t>16骞?1207</t>
  </si>
  <si>
    <t>BEL-1925-1</t>
  </si>
  <si>
    <t>820a2782-1e42-11e4-b4cd-db5882bf8def</t>
  </si>
  <si>
    <t>van der Vyvere</t>
  </si>
  <si>
    <t>16骞?9</t>
  </si>
  <si>
    <t>BEL-1925-2</t>
  </si>
  <si>
    <t>820a2783-1e42-11e4-b4cd-db5882bf8def</t>
  </si>
  <si>
    <t>Poullet</t>
  </si>
  <si>
    <t>16骞?323</t>
  </si>
  <si>
    <t>BEL-1926</t>
  </si>
  <si>
    <t>820a2784-1e42-11e4-b4cd-db5882bf8def</t>
  </si>
  <si>
    <t>Jasper</t>
  </si>
  <si>
    <t>1870-07-28</t>
  </si>
  <si>
    <t>28jul1870</t>
  </si>
  <si>
    <t>16骞?1827</t>
  </si>
  <si>
    <t>BEL-1931</t>
  </si>
  <si>
    <t>820a5852-1e42-11e4-b4cd-db5882bf8def</t>
  </si>
  <si>
    <t>Renkin</t>
  </si>
  <si>
    <t>16骞?501</t>
  </si>
  <si>
    <t>BEL-1932</t>
  </si>
  <si>
    <t>16骞?752</t>
  </si>
  <si>
    <t>BEL-1934</t>
  </si>
  <si>
    <t>16骞?120</t>
  </si>
  <si>
    <t>BEL-1935</t>
  </si>
  <si>
    <t>820a5853-1e42-11e4-b4cd-db5882bf8def</t>
  </si>
  <si>
    <t>van ZeeLand</t>
  </si>
  <si>
    <t>16骞?944</t>
  </si>
  <si>
    <t>BEL-1937</t>
  </si>
  <si>
    <t>820a5854-1e42-11e4-b4cd-db5882bf8def</t>
  </si>
  <si>
    <t>Janson</t>
  </si>
  <si>
    <t>1872-05-30</t>
  </si>
  <si>
    <t>30may1872</t>
  </si>
  <si>
    <t>16骞?170</t>
  </si>
  <si>
    <t>BEL-1938</t>
  </si>
  <si>
    <t>820a5855-1e42-11e4-b4cd-db5882bf8def</t>
  </si>
  <si>
    <t>Spaak</t>
  </si>
  <si>
    <t>https://urldefense.proofpoint.com/v2/url?u=http-3A__dbpedia.org_resource_Paul-2DHenri-5FSpaak&amp;d=BQID-g&amp;c=kbmfwr1Yojg42sGEpaQh5ofMHBeTl9EI2eaqQZhHbOU&amp;r=ZliGVSRwfirWoETOrKCh2RSnoygzVPWEk95Me9L-Kwo&amp;m=EaKyFx9mpkhPdFxsxzvW_fiM3jbYwM3xYLjVbSFoDAg&amp;s=CSH7g19R9NwSJsXUSUrT7IMl2lBWLb9DeJyZi71nw-o&amp;e=</t>
  </si>
  <si>
    <t>16骞?270</t>
  </si>
  <si>
    <t>BEL-1939</t>
  </si>
  <si>
    <t>820a5856-1e42-11e4-b4cd-db5882bf8def</t>
  </si>
  <si>
    <t>Pierlot</t>
  </si>
  <si>
    <t>16骞?474</t>
  </si>
  <si>
    <t>BEL-1944</t>
  </si>
  <si>
    <t>16骞?157</t>
  </si>
  <si>
    <t>BEL-1945</t>
  </si>
  <si>
    <t>820a5857-1e42-11e4-b4cd-db5882bf8def</t>
  </si>
  <si>
    <t>van Acker</t>
  </si>
  <si>
    <t>16骞?372</t>
  </si>
  <si>
    <t>BEL-1946-1</t>
  </si>
  <si>
    <t>BEL-1946-2</t>
  </si>
  <si>
    <t>16骞?100</t>
  </si>
  <si>
    <t>BEL-1946-3</t>
  </si>
  <si>
    <t>820a8926-1e42-11e4-b4cd-db5882bf8def</t>
  </si>
  <si>
    <t>Huysman</t>
  </si>
  <si>
    <t>1871-05-26</t>
  </si>
  <si>
    <t>26may1871</t>
  </si>
  <si>
    <t>16骞?222</t>
  </si>
  <si>
    <t>BEL-1947</t>
  </si>
  <si>
    <t>16骞?832</t>
  </si>
  <si>
    <t>BEL-1949</t>
  </si>
  <si>
    <t>820a8927-1e42-11e4-b4cd-db5882bf8def</t>
  </si>
  <si>
    <t>Eyskens, G.</t>
  </si>
  <si>
    <t>Father of Eyskens, M.%820ab9ff-1e42-11e4-b4cd-db5882bf8def</t>
  </si>
  <si>
    <t>16骞?220</t>
  </si>
  <si>
    <t>BEL-1950-1</t>
  </si>
  <si>
    <t>820a8928-1e42-11e4-b4cd-db5882bf8def</t>
  </si>
  <si>
    <t>Duvieusart</t>
  </si>
  <si>
    <t>16骞?64</t>
  </si>
  <si>
    <t>BEL-1950-2</t>
  </si>
  <si>
    <t>820a8929-1e42-11e4-b4cd-db5882bf8def</t>
  </si>
  <si>
    <t>Pholien</t>
  </si>
  <si>
    <t>1884-12-28</t>
  </si>
  <si>
    <t>28dec1884</t>
  </si>
  <si>
    <t>16骞?512</t>
  </si>
  <si>
    <t>BEL-1952</t>
  </si>
  <si>
    <t>820a892a-1e42-11e4-b4cd-db5882bf8def</t>
  </si>
  <si>
    <t>van Houtte</t>
  </si>
  <si>
    <t>16骞?818</t>
  </si>
  <si>
    <t>BEL-1954</t>
  </si>
  <si>
    <t>16骞?1502</t>
  </si>
  <si>
    <t>BEL-1958</t>
  </si>
  <si>
    <t>16骞?1006</t>
  </si>
  <si>
    <t>BEL-1961</t>
  </si>
  <si>
    <t>820a892b-1e42-11e4-b4cd-db5882bf8def</t>
  </si>
  <si>
    <t>Lefevre</t>
  </si>
  <si>
    <t>16骞?1554</t>
  </si>
  <si>
    <t>BEL-1965</t>
  </si>
  <si>
    <t>820ab9fa-1e42-11e4-b4cd-db5882bf8def</t>
  </si>
  <si>
    <t>Harmel</t>
  </si>
  <si>
    <t>16骞?199</t>
  </si>
  <si>
    <t>BEL-1966</t>
  </si>
  <si>
    <t>820ab9fb-1e42-11e4-b4cd-db5882bf8def</t>
  </si>
  <si>
    <t>Vanden Boeynants</t>
  </si>
  <si>
    <t>16骞?820</t>
  </si>
  <si>
    <t>BEL-1968</t>
  </si>
  <si>
    <t>16骞?1684</t>
  </si>
  <si>
    <t>BEL-1973</t>
  </si>
  <si>
    <t>820ab9fc-1e42-11e4-b4cd-db5882bf8def</t>
  </si>
  <si>
    <t>Leburton</t>
  </si>
  <si>
    <t>16骞?453</t>
  </si>
  <si>
    <t>BEL-1974</t>
  </si>
  <si>
    <t>820ab9fd-1e42-11e4-b4cd-db5882bf8def</t>
  </si>
  <si>
    <t>Tindemans</t>
  </si>
  <si>
    <t>16骞?1639</t>
  </si>
  <si>
    <t>BEL-1978</t>
  </si>
  <si>
    <t>16骞?165</t>
  </si>
  <si>
    <t>BEL-1979</t>
  </si>
  <si>
    <t>820ab9fe-1e42-11e4-b4cd-db5882bf8def</t>
  </si>
  <si>
    <t>Martens</t>
  </si>
  <si>
    <t>https://urldefense.proofpoint.com/v2/url?u=http-3A__dbpedia.org_resource_Wilfried-5FMartens&amp;d=BQID-g&amp;c=kbmfwr1Yojg42sGEpaQh5ofMHBeTl9EI2eaqQZhHbOU&amp;r=ZliGVSRwfirWoETOrKCh2RSnoygzVPWEk95Me9L-Kwo&amp;m=EaKyFx9mpkhPdFxsxzvW_fiM3jbYwM3xYLjVbSFoDAg&amp;s=dA_AWHhrqs8bv_5Q2c72emr896egTOfHIYDVZnDg7JM&amp;e=</t>
  </si>
  <si>
    <t>16骞?734</t>
  </si>
  <si>
    <t>BEL-1981-1</t>
  </si>
  <si>
    <t>820ab9ff-1e42-11e4-b4cd-db5882bf8def</t>
  </si>
  <si>
    <t>Eyskens, M.</t>
  </si>
  <si>
    <t>https://urldefense.proofpoint.com/v2/url?u=http-3A__dbpedia.org_resource_Mark-5FEyskens&amp;d=BQID-g&amp;c=kbmfwr1Yojg42sGEpaQh5ofMHBeTl9EI2eaqQZhHbOU&amp;r=ZliGVSRwfirWoETOrKCh2RSnoygzVPWEk95Me9L-Kwo&amp;m=EaKyFx9mpkhPdFxsxzvW_fiM3jbYwM3xYLjVbSFoDAg&amp;s=DYQaJSf6xf3WV5aj2cywYIdViwqvLfVHgJ1ZqiNNJCs&amp;e=</t>
  </si>
  <si>
    <t>Son of Eyskens, G.%820a8927-1e42-11e4-b4cd-db5882bf8def</t>
  </si>
  <si>
    <t>16骞?255</t>
  </si>
  <si>
    <t>BEL-1981-2</t>
  </si>
  <si>
    <t>16骞?3733</t>
  </si>
  <si>
    <t>BEL-1992</t>
  </si>
  <si>
    <t>820aeace-1e42-11e4-b4cd-db5882bf8def</t>
  </si>
  <si>
    <t>Dehaene</t>
  </si>
  <si>
    <t>https://urldefense.proofpoint.com/v2/url?u=http-3A__dbpedia.org_resource_Jean-2DLuc-5FDehaene&amp;d=BQID-g&amp;c=kbmfwr1Yojg42sGEpaQh5ofMHBeTl9EI2eaqQZhHbOU&amp;r=ZliGVSRwfirWoETOrKCh2RSnoygzVPWEk95Me9L-Kwo&amp;m=EaKyFx9mpkhPdFxsxzvW_fiM3jbYwM3xYLjVbSFoDAg&amp;s=-P45o2rUpkVV6_tzliBKLxauyt1TzyKAk2l7jJ0M3Ag&amp;e=</t>
  </si>
  <si>
    <t>16骞?2683</t>
  </si>
  <si>
    <t>BEL-1999</t>
  </si>
  <si>
    <t>820aeacf-1e42-11e4-b4cd-db5882bf8def</t>
  </si>
  <si>
    <t>Verhofstadt</t>
  </si>
  <si>
    <t>16骞?3174</t>
  </si>
  <si>
    <t>BEL-2008-1</t>
  </si>
  <si>
    <t>82511d02-1e42-11e4-b4cd-db5882bf8def</t>
  </si>
  <si>
    <t>Leterme</t>
  </si>
  <si>
    <t>16骞?285</t>
  </si>
  <si>
    <t>BEL-2008-2</t>
  </si>
  <si>
    <t>82511d03-1e42-11e4-b4cd-db5882bf8def</t>
  </si>
  <si>
    <t>van Rompuy</t>
  </si>
  <si>
    <t>16骞?330</t>
  </si>
  <si>
    <t>BEL-2009</t>
  </si>
  <si>
    <t>16骞?741</t>
  </si>
  <si>
    <t>BEL-2011</t>
  </si>
  <si>
    <t>82511d04-1e42-11e4-b4cd-db5882bf8def</t>
  </si>
  <si>
    <t>Di Rupo</t>
  </si>
  <si>
    <t>16骞?1040</t>
  </si>
  <si>
    <t>BEL-2014</t>
  </si>
  <si>
    <t>149e3ccc-aae0-11e4-b3bc-29f2fa19767e</t>
  </si>
  <si>
    <t>Charles Michel</t>
  </si>
  <si>
    <t>16骞?446</t>
  </si>
  <si>
    <t>LUX-1874</t>
  </si>
  <si>
    <t>820aead0-1e42-11e4-b4cd-db5882bf8def</t>
  </si>
  <si>
    <t>LUX</t>
  </si>
  <si>
    <t>Felix de Blochausen</t>
  </si>
  <si>
    <t>1874-12-26</t>
  </si>
  <si>
    <t>1885-02-20</t>
  </si>
  <si>
    <t>https://urldefense.proofpoint.com/v2/url?u=http-3A__dbpedia.org_resource_F-25C3-25A9lix-5Fde-5FBlochausen&amp;d=BQID-g&amp;c=kbmfwr1Yojg42sGEpaQh5ofMHBeTl9EI2eaqQZhHbOU&amp;r=ZliGVSRwfirWoETOrKCh2RSnoygzVPWEk95Me9L-Kwo&amp;m=EaKyFx9mpkhPdFxsxzvW_fiM3jbYwM3xYLjVbSFoDAg&amp;s=5kqV8U6uhy8euBTZ9qZZS9-oZBbSWn28XBhhhmyrqN0&amp;e=</t>
  </si>
  <si>
    <t>LUX-1885</t>
  </si>
  <si>
    <t>820aead1-1e42-11e4-b4cd-db5882bf8def</t>
  </si>
  <si>
    <t>Edouard Thilges</t>
  </si>
  <si>
    <t>1888-09-22</t>
  </si>
  <si>
    <t>https://urldefense.proofpoint.com/v2/url?u=http-3A__dbpedia.org_resource_-25C3-2589douard-5FThilges&amp;d=BQID-g&amp;c=kbmfwr1Yojg42sGEpaQh5ofMHBeTl9EI2eaqQZhHbOU&amp;r=ZliGVSRwfirWoETOrKCh2RSnoygzVPWEk95Me9L-Kwo&amp;m=EaKyFx9mpkhPdFxsxzvW_fiM3jbYwM3xYLjVbSFoDAg&amp;s=DeaAn5JPRYz-ZG6Iwz8uuoppeq5RYcipa1jYrz10ifE&amp;e=</t>
  </si>
  <si>
    <t>LUX-1888</t>
  </si>
  <si>
    <t>820aead2-1e42-11e4-b4cd-db5882bf8def</t>
  </si>
  <si>
    <t>Paul Eyschen</t>
  </si>
  <si>
    <t>1841-09-09</t>
  </si>
  <si>
    <t>09sep1841</t>
  </si>
  <si>
    <t>https://urldefense.proofpoint.com/v2/url?u=http-3A__dbpedia.org_resource_Paul-5FEyschen&amp;d=BQID-g&amp;c=kbmfwr1Yojg42sGEpaQh5ofMHBeTl9EI2eaqQZhHbOU&amp;r=ZliGVSRwfirWoETOrKCh2RSnoygzVPWEk95Me9L-Kwo&amp;m=EaKyFx9mpkhPdFxsxzvW_fiM3jbYwM3xYLjVbSFoDAg&amp;s=ysWcgCTAPcPiz_CWlW44rEIntH6gOwF8UsiuerR3dc8&amp;e=</t>
  </si>
  <si>
    <t>LUX-1915-1</t>
  </si>
  <si>
    <t>820aead3-1e42-11e4-b4cd-db5882bf8def</t>
  </si>
  <si>
    <t>Mathias Mongenast</t>
  </si>
  <si>
    <t>https://urldefense.proofpoint.com/v2/url?u=http-3A__dbpedia.org_resource_Mathias-5FMongenast&amp;d=BQID-g&amp;c=kbmfwr1Yojg42sGEpaQh5ofMHBeTl9EI2eaqQZhHbOU&amp;r=ZliGVSRwfirWoETOrKCh2RSnoygzVPWEk95Me9L-Kwo&amp;m=EaKyFx9mpkhPdFxsxzvW_fiM3jbYwM3xYLjVbSFoDAg&amp;s=M8McFRRq8IE52EKEdWnmWUXq1y1AiFMqnNu_lNUN12k&amp;e=</t>
  </si>
  <si>
    <t>LUX-1915-2</t>
  </si>
  <si>
    <t>820b1ba2-1e42-11e4-b4cd-db5882bf8def</t>
  </si>
  <si>
    <t>Hubert Loutsch</t>
  </si>
  <si>
    <t>https://urldefense.proofpoint.com/v2/url?u=http-3A__dbpedia.org_resource_Hubert-5FLoutsch&amp;d=BQID-g&amp;c=kbmfwr1Yojg42sGEpaQh5ofMHBeTl9EI2eaqQZhHbOU&amp;r=ZliGVSRwfirWoETOrKCh2RSnoygzVPWEk95Me9L-Kwo&amp;m=EaKyFx9mpkhPdFxsxzvW_fiM3jbYwM3xYLjVbSFoDAg&amp;s=PMaClY70l2hkA-gb_ouHSv-prC3cXasVAsg0zbL-LwY&amp;e=</t>
  </si>
  <si>
    <t>LUX-1916</t>
  </si>
  <si>
    <t>820b1ba3-1e42-11e4-b4cd-db5882bf8def</t>
  </si>
  <si>
    <t>Victor Thorn</t>
  </si>
  <si>
    <t>1844-01-31</t>
  </si>
  <si>
    <t>31jan1844</t>
  </si>
  <si>
    <t>https://urldefense.proofpoint.com/v2/url?u=http-3A__dbpedia.org_resource_Victor-5FThorn&amp;d=BQID-g&amp;c=kbmfwr1Yojg42sGEpaQh5ofMHBeTl9EI2eaqQZhHbOU&amp;r=ZliGVSRwfirWoETOrKCh2RSnoygzVPWEk95Me9L-Kwo&amp;m=EaKyFx9mpkhPdFxsxzvW_fiM3jbYwM3xYLjVbSFoDAg&amp;s=U_Nl177vh1bb3ZWLqgnUg9lBPNIsOsQvsE82PFtCpOI&amp;e=</t>
  </si>
  <si>
    <t>LUX-1917</t>
  </si>
  <si>
    <t>820b1ba4-1e42-11e4-b4cd-db5882bf8def</t>
  </si>
  <si>
    <t>Leon Kauffman</t>
  </si>
  <si>
    <t>https://urldefense.proofpoint.com/v2/url?u=http-3A__dbpedia.org_resource_L-25C3-25A9on-5FKauffman&amp;d=BQID-g&amp;c=kbmfwr1Yojg42sGEpaQh5ofMHBeTl9EI2eaqQZhHbOU&amp;r=ZliGVSRwfirWoETOrKCh2RSnoygzVPWEk95Me9L-Kwo&amp;m=EaKyFx9mpkhPdFxsxzvW_fiM3jbYwM3xYLjVbSFoDAg&amp;s=GO1tgeupT1aFtONuqtP_cXml5GoaWnK_6I5riniAg5g&amp;e=</t>
  </si>
  <si>
    <t>LUX-1918</t>
  </si>
  <si>
    <t>820b1ba5-1e42-11e4-b4cd-db5882bf8def</t>
  </si>
  <si>
    <t>Reuter</t>
  </si>
  <si>
    <t>https://urldefense.proofpoint.com/v2/url?u=http-3A__dbpedia.org_resource_-25C3-2589mile-5FReuter&amp;d=BQID-g&amp;c=kbmfwr1Yojg42sGEpaQh5ofMHBeTl9EI2eaqQZhHbOU&amp;r=ZliGVSRwfirWoETOrKCh2RSnoygzVPWEk95Me9L-Kwo&amp;m=EaKyFx9mpkhPdFxsxzvW_fiM3jbYwM3xYLjVbSFoDAg&amp;s=jL8f9k59R16ZCcI6a0NiHPCL1KoMuIPTtBpWXUhp5OE&amp;e=</t>
  </si>
  <si>
    <t>LUX-1925</t>
  </si>
  <si>
    <t>820b1ba6-1e42-11e4-b4cd-db5882bf8def</t>
  </si>
  <si>
    <t>Prum</t>
  </si>
  <si>
    <t>https://urldefense.proofpoint.com/v2/url?u=http-3A__dbpedia.org_resource_Pierre-5FPr-25C3-25BCm&amp;d=BQID-g&amp;c=kbmfwr1Yojg42sGEpaQh5ofMHBeTl9EI2eaqQZhHbOU&amp;r=ZliGVSRwfirWoETOrKCh2RSnoygzVPWEk95Me9L-Kwo&amp;m=EaKyFx9mpkhPdFxsxzvW_fiM3jbYwM3xYLjVbSFoDAg&amp;s=Cw8KlwpkA22damyKD2Xv7JTg2t0wNL7ho8KX_CF01dw&amp;e=</t>
  </si>
  <si>
    <t>LUX-1926</t>
  </si>
  <si>
    <t>820b1ba7-1e42-11e4-b4cd-db5882bf8def</t>
  </si>
  <si>
    <t>Bech</t>
  </si>
  <si>
    <t>1887-02-17</t>
  </si>
  <si>
    <t>17feb1887</t>
  </si>
  <si>
    <t>https://urldefense.proofpoint.com/v2/url?u=http-3A__dbpedia.org_resource_Joseph-5FBech&amp;d=BQID-g&amp;c=kbmfwr1Yojg42sGEpaQh5ofMHBeTl9EI2eaqQZhHbOU&amp;r=ZliGVSRwfirWoETOrKCh2RSnoygzVPWEk95Me9L-Kwo&amp;m=EaKyFx9mpkhPdFxsxzvW_fiM3jbYwM3xYLjVbSFoDAg&amp;s=TYg8v8Cl8XI3OsaYQDzCKTP6VbdCPT9E_WfXvlEnv4w&amp;e=</t>
  </si>
  <si>
    <t>LUX-1937</t>
  </si>
  <si>
    <t>820b4c76-1e42-11e4-b4cd-db5882bf8def</t>
  </si>
  <si>
    <t>Dupong</t>
  </si>
  <si>
    <t>1885-11-01</t>
  </si>
  <si>
    <t>01nov1885</t>
  </si>
  <si>
    <t>https://urldefense.proofpoint.com/v2/url?u=http-3A__dbpedia.org_resource_Pierre-5FDupong&amp;d=BQID-g&amp;c=kbmfwr1Yojg42sGEpaQh5ofMHBeTl9EI2eaqQZhHbOU&amp;r=ZliGVSRwfirWoETOrKCh2RSnoygzVPWEk95Me9L-Kwo&amp;m=EaKyFx9mpkhPdFxsxzvW_fiM3jbYwM3xYLjVbSFoDAg&amp;s=F0YhSVp5u7kQxh22Q01miVpUwkNXHLE52XTOyBMyQNU&amp;e=</t>
  </si>
  <si>
    <t>LUX-1945</t>
  </si>
  <si>
    <t>LUX-1953</t>
  </si>
  <si>
    <t>LUX-1958</t>
  </si>
  <si>
    <t>820b4c77-1e42-11e4-b4cd-db5882bf8def</t>
  </si>
  <si>
    <t>Frieden</t>
  </si>
  <si>
    <t>1892-10-28</t>
  </si>
  <si>
    <t>28oct1892</t>
  </si>
  <si>
    <t>https://urldefense.proofpoint.com/v2/url?u=http-3A__dbpedia.org_resource_Pierre-5FFrieden&amp;d=BQID-g&amp;c=kbmfwr1Yojg42sGEpaQh5ofMHBeTl9EI2eaqQZhHbOU&amp;r=ZliGVSRwfirWoETOrKCh2RSnoygzVPWEk95Me9L-Kwo&amp;m=EaKyFx9mpkhPdFxsxzvW_fiM3jbYwM3xYLjVbSFoDAg&amp;s=Pc3lAYhCOCH3D7Gy0VDexF_MWRyRQmxkvdGXP8tmrt0&amp;e=</t>
  </si>
  <si>
    <t>LUX-1959</t>
  </si>
  <si>
    <t>820b4c78-1e42-11e4-b4cd-db5882bf8def</t>
  </si>
  <si>
    <t>Werner</t>
  </si>
  <si>
    <t>https://urldefense.proofpoint.com/v2/url?u=http-3A__dbpedia.org_resource_Pierre-5FWerner&amp;d=BQID-g&amp;c=kbmfwr1Yojg42sGEpaQh5ofMHBeTl9EI2eaqQZhHbOU&amp;r=ZliGVSRwfirWoETOrKCh2RSnoygzVPWEk95Me9L-Kwo&amp;m=EaKyFx9mpkhPdFxsxzvW_fiM3jbYwM3xYLjVbSFoDAg&amp;s=fnPIf63tERuv5tJDL3ySaiMwk7vOqlgR_PXsTkVmWzk&amp;e=</t>
  </si>
  <si>
    <t>LUX-1974</t>
  </si>
  <si>
    <t>820b4c79-1e42-11e4-b4cd-db5882bf8def</t>
  </si>
  <si>
    <t>Thorn G.</t>
  </si>
  <si>
    <t>https://urldefense.proofpoint.com/v2/url?u=http-3A__dbpedia.org_resource_Gaston-5FThorn&amp;d=BQID-g&amp;c=kbmfwr1Yojg42sGEpaQh5ofMHBeTl9EI2eaqQZhHbOU&amp;r=ZliGVSRwfirWoETOrKCh2RSnoygzVPWEk95Me9L-Kwo&amp;m=EaKyFx9mpkhPdFxsxzvW_fiM3jbYwM3xYLjVbSFoDAg&amp;s=KO7Lw-lXlhd9ojqI_B2V6JgTvJ9s6FhhZObuwP4GGyI&amp;e=</t>
  </si>
  <si>
    <t>LUX-1979</t>
  </si>
  <si>
    <t>LUX-1984</t>
  </si>
  <si>
    <t>820b4c7a-1e42-11e4-b4cd-db5882bf8def</t>
  </si>
  <si>
    <t>Santer</t>
  </si>
  <si>
    <t>https://urldefense.proofpoint.com/v2/url?u=http-3A__dbpedia.org_resource_Jacques-5FSanter&amp;d=BQID-g&amp;c=kbmfwr1Yojg42sGEpaQh5ofMHBeTl9EI2eaqQZhHbOU&amp;r=ZliGVSRwfirWoETOrKCh2RSnoygzVPWEk95Me9L-Kwo&amp;m=EaKyFx9mpkhPdFxsxzvW_fiM3jbYwM3xYLjVbSFoDAg&amp;s=gsTmlU9oShSrn632W9Jng5JxJxVvbSXX29onfxcyn6M&amp;e=</t>
  </si>
  <si>
    <t>LUX-1995</t>
  </si>
  <si>
    <t>820b4c7b-1e42-11e4-b4cd-db5882bf8def</t>
  </si>
  <si>
    <t>Juncker</t>
  </si>
  <si>
    <t>LUX-2013</t>
  </si>
  <si>
    <t>2b37a454-3481-11e4-8dba-bbcd9ed46413</t>
  </si>
  <si>
    <t>Xavier Bettel</t>
  </si>
  <si>
    <t>FRN-1874</t>
  </si>
  <si>
    <t>820b4c7c-1e42-11e4-b4cd-db5882bf8def</t>
  </si>
  <si>
    <t>FRN</t>
  </si>
  <si>
    <t>Cissey</t>
  </si>
  <si>
    <t>1874-05-22</t>
  </si>
  <si>
    <t>22may1874</t>
  </si>
  <si>
    <t>1875-02-25</t>
  </si>
  <si>
    <t>https://urldefense.proofpoint.com/v2/url?u=http-3A__dbpedia.org_resource_Ernest-5FCourtot-5Fde-5FCissey&amp;d=BQID-g&amp;c=kbmfwr1Yojg42sGEpaQh5ofMHBeTl9EI2eaqQZhHbOU&amp;r=ZliGVSRwfirWoETOrKCh2RSnoygzVPWEk95Me9L-Kwo&amp;m=EaKyFx9mpkhPdFxsxzvW_fiM3jbYwM3xYLjVbSFoDAg&amp;s=YWWE3TGzqBJXNjfLGMa5--Kv7Al5RDr0TepED20RPwc&amp;e=</t>
  </si>
  <si>
    <t>50骞?279</t>
  </si>
  <si>
    <t>FRN-1875</t>
  </si>
  <si>
    <t>820b7d4a-1e42-11e4-b4cd-db5882bf8def</t>
  </si>
  <si>
    <t>Buffet</t>
  </si>
  <si>
    <t>1875-03-10</t>
  </si>
  <si>
    <t>1876-02-21</t>
  </si>
  <si>
    <t>https://urldefense.proofpoint.com/v2/url?u=http-3A__dbpedia.org_resource_Louis-5FBuffet&amp;d=BQID-g&amp;c=kbmfwr1Yojg42sGEpaQh5ofMHBeTl9EI2eaqQZhHbOU&amp;r=ZliGVSRwfirWoETOrKCh2RSnoygzVPWEk95Me9L-Kwo&amp;m=EaKyFx9mpkhPdFxsxzvW_fiM3jbYwM3xYLjVbSFoDAg&amp;s=WjPJMl-flGGsAk0DM3x1BvEyzFhFT5ysZJYxc7YH_PY&amp;e=</t>
  </si>
  <si>
    <t>50骞?348</t>
  </si>
  <si>
    <t>FRN-1876-1</t>
  </si>
  <si>
    <t>19a89b68-3bbd-11e5-afeb-eb6f07f9fec7</t>
  </si>
  <si>
    <t>DuFaure</t>
  </si>
  <si>
    <t>1876-02-22</t>
  </si>
  <si>
    <t>1876-12-12</t>
  </si>
  <si>
    <t>50骞?294</t>
  </si>
  <si>
    <t>FRN-1876-2</t>
  </si>
  <si>
    <t>820b7d4b-1e42-11e4-b4cd-db5882bf8def</t>
  </si>
  <si>
    <t>Simon</t>
  </si>
  <si>
    <t>1877-05-16</t>
  </si>
  <si>
    <t>https://urldefense.proofpoint.com/v2/url?u=http-3A__dbpedia.org_resource_Jules-5FSimon&amp;d=BQID-g&amp;c=kbmfwr1Yojg42sGEpaQh5ofMHBeTl9EI2eaqQZhHbOU&amp;r=ZliGVSRwfirWoETOrKCh2RSnoygzVPWEk95Me9L-Kwo&amp;m=EaKyFx9mpkhPdFxsxzvW_fiM3jbYwM3xYLjVbSFoDAg&amp;s=gVzUnnVRsmR7Rb0rKF-jfvIo2dHl_AL2260Ebkn6YUQ&amp;e=</t>
  </si>
  <si>
    <t>50骞?155</t>
  </si>
  <si>
    <t>FRN-1877-1</t>
  </si>
  <si>
    <t>1976dd08-3bbd-11e5-afeb-eb6f07f9fec7</t>
  </si>
  <si>
    <t>Broglie</t>
  </si>
  <si>
    <t>1877-05-18</t>
  </si>
  <si>
    <t>1877-11-23</t>
  </si>
  <si>
    <t>50骞?189</t>
  </si>
  <si>
    <t>FRN-1877-2</t>
  </si>
  <si>
    <t>820b7d4c-1e42-11e4-b4cd-db5882bf8def</t>
  </si>
  <si>
    <t>Rochebouet</t>
  </si>
  <si>
    <t>1877-12-12</t>
  </si>
  <si>
    <t>https://urldefense.proofpoint.com/v2/url?u=http-3A__dbpedia.org_resource_Ga-25C3-25ABtan-5Fde-5FRochebou-25C3-25ABt&amp;d=BQID-g&amp;c=kbmfwr1Yojg42sGEpaQh5ofMHBeTl9EI2eaqQZhHbOU&amp;r=ZliGVSRwfirWoETOrKCh2RSnoygzVPWEk95Me9L-Kwo&amp;m=EaKyFx9mpkhPdFxsxzvW_fiM3jbYwM3xYLjVbSFoDAg&amp;s=0mNB7EgOeIC9J2O8yngjmt3M0AWjHZgiq6lqleTNozM&amp;e=</t>
  </si>
  <si>
    <t>50骞?19</t>
  </si>
  <si>
    <t>FRN-1877-3</t>
  </si>
  <si>
    <t>1877-12-14</t>
  </si>
  <si>
    <t>1879-01-30</t>
  </si>
  <si>
    <t>50骞?412</t>
  </si>
  <si>
    <t>FRN-1879-1</t>
  </si>
  <si>
    <t>820b7d4d-1e42-11e4-b4cd-db5882bf8def</t>
  </si>
  <si>
    <t>Waddington</t>
  </si>
  <si>
    <t>1879-02-04</t>
  </si>
  <si>
    <t>1879-12-21</t>
  </si>
  <si>
    <t>21dec1879</t>
  </si>
  <si>
    <t>https://urldefense.proofpoint.com/v2/url?u=http-3A__dbpedia.org_resource_William-5FHenry-5FWaddington&amp;d=BQID-g&amp;c=kbmfwr1Yojg42sGEpaQh5ofMHBeTl9EI2eaqQZhHbOU&amp;r=ZliGVSRwfirWoETOrKCh2RSnoygzVPWEk95Me9L-Kwo&amp;m=EaKyFx9mpkhPdFxsxzvW_fiM3jbYwM3xYLjVbSFoDAg&amp;s=UWX8Nxss3ugSFTIp7LLVSXn0In-qdGZnuI0faDT89xg&amp;e=</t>
  </si>
  <si>
    <t>50骞?320</t>
  </si>
  <si>
    <t>FRN-1879-2</t>
  </si>
  <si>
    <t>820b7d4e-1e42-11e4-b4cd-db5882bf8def</t>
  </si>
  <si>
    <t>Freycinet</t>
  </si>
  <si>
    <t>1879-12-29</t>
  </si>
  <si>
    <t>1880-09-19</t>
  </si>
  <si>
    <t>https://urldefense.proofpoint.com/v2/url?u=http-3A__dbpedia.org_resource_Charles-5Fde-5FFreycinet&amp;d=BQID-g&amp;c=kbmfwr1Yojg42sGEpaQh5ofMHBeTl9EI2eaqQZhHbOU&amp;r=ZliGVSRwfirWoETOrKCh2RSnoygzVPWEk95Me9L-Kwo&amp;m=EaKyFx9mpkhPdFxsxzvW_fiM3jbYwM3xYLjVbSFoDAg&amp;s=vwr5c0Na-4q9lTMI9u5vrKYNjpV20ZjuEhCMmVLEcUY&amp;e=</t>
  </si>
  <si>
    <t>50骞?265</t>
  </si>
  <si>
    <t>FRN-1880</t>
  </si>
  <si>
    <t>820b7d4f-1e42-11e4-b4cd-db5882bf8def</t>
  </si>
  <si>
    <t>Ferry</t>
  </si>
  <si>
    <t>1880-09-22</t>
  </si>
  <si>
    <t>1881-11-10</t>
  </si>
  <si>
    <t>https://urldefense.proofpoint.com/v2/url?u=http-3A__dbpedia.org_resource_Jules-5FFerry&amp;d=BQID-g&amp;c=kbmfwr1Yojg42sGEpaQh5ofMHBeTl9EI2eaqQZhHbOU&amp;r=ZliGVSRwfirWoETOrKCh2RSnoygzVPWEk95Me9L-Kwo&amp;m=EaKyFx9mpkhPdFxsxzvW_fiM3jbYwM3xYLjVbSFoDAg&amp;s=ZslH09OGmFhcJ5zyACEAfGAmu05OYY3eYnagYPdzi4o&amp;e=</t>
  </si>
  <si>
    <t>50骞?414</t>
  </si>
  <si>
    <t>FRN-1881</t>
  </si>
  <si>
    <t>820bae28-1e42-11e4-b4cd-db5882bf8def</t>
  </si>
  <si>
    <t>Gambetta</t>
  </si>
  <si>
    <t>1881-11-14</t>
  </si>
  <si>
    <t>1882-01-26</t>
  </si>
  <si>
    <t>1838-04-02</t>
  </si>
  <si>
    <t>02apr1838</t>
  </si>
  <si>
    <t>1882-12-31</t>
  </si>
  <si>
    <t>31dec1882</t>
  </si>
  <si>
    <t>https://urldefense.proofpoint.com/v2/url?u=http-3A__dbpedia.org_resource_L-25C3-25A9on-5FGambetta&amp;d=BQID-g&amp;c=kbmfwr1Yojg42sGEpaQh5ofMHBeTl9EI2eaqQZhHbOU&amp;r=ZliGVSRwfirWoETOrKCh2RSnoygzVPWEk95Me9L-Kwo&amp;m=EaKyFx9mpkhPdFxsxzvW_fiM3jbYwM3xYLjVbSFoDAg&amp;s=Zdn0oc6UJxdjlAyWKc_zLhF4Wm7ywln6EoprkRoBIEg&amp;e=</t>
  </si>
  <si>
    <t>50骞?73</t>
  </si>
  <si>
    <t>FRN-1882-1</t>
  </si>
  <si>
    <t>1882-01-31</t>
  </si>
  <si>
    <t>1882-07-29</t>
  </si>
  <si>
    <t>50骞?179</t>
  </si>
  <si>
    <t>FRN-1882-2</t>
  </si>
  <si>
    <t>820bae29-1e42-11e4-b4cd-db5882bf8def</t>
  </si>
  <si>
    <t>Duclerc</t>
  </si>
  <si>
    <t>1882-08-08</t>
  </si>
  <si>
    <t>1883-01-28</t>
  </si>
  <si>
    <t>https://urldefense.proofpoint.com/v2/url?u=http-3A__dbpedia.org_resource_Charles-5FDuclerc&amp;d=BQID-g&amp;c=kbmfwr1Yojg42sGEpaQh5ofMHBeTl9EI2eaqQZhHbOU&amp;r=ZliGVSRwfirWoETOrKCh2RSnoygzVPWEk95Me9L-Kwo&amp;m=EaKyFx9mpkhPdFxsxzvW_fiM3jbYwM3xYLjVbSFoDAg&amp;s=zpEgkSOxhWnNCxWov6JumL56RWMqMgje9l1YCyEn6kg&amp;e=</t>
  </si>
  <si>
    <t>50骞?173</t>
  </si>
  <si>
    <t>FRN-1883-1</t>
  </si>
  <si>
    <t>820bae2a-1e42-11e4-b4cd-db5882bf8def</t>
  </si>
  <si>
    <t>Fallieres</t>
  </si>
  <si>
    <t>1883-01-29</t>
  </si>
  <si>
    <t>1883-02-18</t>
  </si>
  <si>
    <t>1841-11-06</t>
  </si>
  <si>
    <t>06nov1841</t>
  </si>
  <si>
    <t>https://urldefense.proofpoint.com/v2/url?u=http-3A__dbpedia.org_resource_Armand-5FFalli-25C3-25A8res&amp;d=BQID-g&amp;c=kbmfwr1Yojg42sGEpaQh5ofMHBeTl9EI2eaqQZhHbOU&amp;r=ZliGVSRwfirWoETOrKCh2RSnoygzVPWEk95Me9L-Kwo&amp;m=EaKyFx9mpkhPdFxsxzvW_fiM3jbYwM3xYLjVbSFoDAg&amp;s=IiUTLTZ2EcnRFFxvZSBxvQ-75sxhq9mSn113FEvdh5k&amp;e=</t>
  </si>
  <si>
    <t>50骞?20</t>
  </si>
  <si>
    <t>FRN-1883-2</t>
  </si>
  <si>
    <t>1883-02-19</t>
  </si>
  <si>
    <t>1885-03-30</t>
  </si>
  <si>
    <t>50骞?770</t>
  </si>
  <si>
    <t>FRN-1885</t>
  </si>
  <si>
    <t>820bae2b-1e42-11e4-b4cd-db5882bf8def</t>
  </si>
  <si>
    <t>Brisson</t>
  </si>
  <si>
    <t>1885-12-29</t>
  </si>
  <si>
    <t>https://urldefense.proofpoint.com/v2/url?u=http-3A__dbpedia.org_resource_Henri-5FBrisson&amp;d=BQID-g&amp;c=kbmfwr1Yojg42sGEpaQh5ofMHBeTl9EI2eaqQZhHbOU&amp;r=ZliGVSRwfirWoETOrKCh2RSnoygzVPWEk95Me9L-Kwo&amp;m=EaKyFx9mpkhPdFxsxzvW_fiM3jbYwM3xYLjVbSFoDAg&amp;s=NhS6jicuE11EBhiphJlXp3Mq3LgIu_O4S4TeKK-WmbM&amp;e=</t>
  </si>
  <si>
    <t>50骞?267</t>
  </si>
  <si>
    <t>FRN-1886-1</t>
  </si>
  <si>
    <t>1886-01-07</t>
  </si>
  <si>
    <t>1886-12-03</t>
  </si>
  <si>
    <t>50骞?330</t>
  </si>
  <si>
    <t>FRN-1886-2</t>
  </si>
  <si>
    <t>820bae2c-1e42-11e4-b4cd-db5882bf8def</t>
  </si>
  <si>
    <t>Goblet</t>
  </si>
  <si>
    <t>1886-12-16</t>
  </si>
  <si>
    <t>1887-05-17</t>
  </si>
  <si>
    <t>https://urldefense.proofpoint.com/v2/url?u=http-3A__dbpedia.org_resource_Ren-25C3-25A9-5FGoblet&amp;d=BQID-g&amp;c=kbmfwr1Yojg42sGEpaQh5ofMHBeTl9EI2eaqQZhHbOU&amp;r=ZliGVSRwfirWoETOrKCh2RSnoygzVPWEk95Me9L-Kwo&amp;m=EaKyFx9mpkhPdFxsxzvW_fiM3jbYwM3xYLjVbSFoDAg&amp;s=Xpgt2qhzfNZ1l5oI1mv7wJiaOJsbVPN09iu4YPrTCtc&amp;e=</t>
  </si>
  <si>
    <t>50骞?152</t>
  </si>
  <si>
    <t>FRN-1887-1</t>
  </si>
  <si>
    <t>820bae2d-1e42-11e4-b4cd-db5882bf8def</t>
  </si>
  <si>
    <t>Rouvier</t>
  </si>
  <si>
    <t>1887-05-29</t>
  </si>
  <si>
    <t>1887-11-19</t>
  </si>
  <si>
    <t>50骞?174</t>
  </si>
  <si>
    <t>FRN-1887-2</t>
  </si>
  <si>
    <t>820bdefc-1e42-11e4-b4cd-db5882bf8def</t>
  </si>
  <si>
    <t>Tirard</t>
  </si>
  <si>
    <t>1887-12-11</t>
  </si>
  <si>
    <t>1888-04-03</t>
  </si>
  <si>
    <t>50骞?114</t>
  </si>
  <si>
    <t>FRN-1888</t>
  </si>
  <si>
    <t>820bdefd-1e42-11e4-b4cd-db5882bf8def</t>
  </si>
  <si>
    <t>Floquet</t>
  </si>
  <si>
    <t>1889-02-21</t>
  </si>
  <si>
    <t>https://urldefense.proofpoint.com/v2/url?u=http-3A__dbpedia.org_resource_Charles-5FFloquet&amp;d=BQID-g&amp;c=kbmfwr1Yojg42sGEpaQh5ofMHBeTl9EI2eaqQZhHbOU&amp;r=ZliGVSRwfirWoETOrKCh2RSnoygzVPWEk95Me9L-Kwo&amp;m=EaKyFx9mpkhPdFxsxzvW_fiM3jbYwM3xYLjVbSFoDAg&amp;s=yAOEbsqWcqrWHJT3YHTOOj5JRnEpF1SOC-khottDOIM&amp;e=</t>
  </si>
  <si>
    <t>50骞?324</t>
  </si>
  <si>
    <t>FRN-1889</t>
  </si>
  <si>
    <t>1890-03-13</t>
  </si>
  <si>
    <t>50骞?385</t>
  </si>
  <si>
    <t>FRN-1890</t>
  </si>
  <si>
    <t>1890-03-17</t>
  </si>
  <si>
    <t>1892-02-20</t>
  </si>
  <si>
    <t>50骞?705</t>
  </si>
  <si>
    <t>FRN-1892-1</t>
  </si>
  <si>
    <t>820bdefe-1e42-11e4-b4cd-db5882bf8def</t>
  </si>
  <si>
    <t>Loubet</t>
  </si>
  <si>
    <t>1892-02-27</t>
  </si>
  <si>
    <t>1892-11-29</t>
  </si>
  <si>
    <t>1838-12-30</t>
  </si>
  <si>
    <t>30dec1838</t>
  </si>
  <si>
    <t>https://urldefense.proofpoint.com/v2/url?u=http-3A__dbpedia.org_resource_-25C3-2589mile-5FLoubet&amp;d=BQID-g&amp;c=kbmfwr1Yojg42sGEpaQh5ofMHBeTl9EI2eaqQZhHbOU&amp;r=ZliGVSRwfirWoETOrKCh2RSnoygzVPWEk95Me9L-Kwo&amp;m=EaKyFx9mpkhPdFxsxzvW_fiM3jbYwM3xYLjVbSFoDAg&amp;s=xpUW_Fd6KTEI1Km4axDM7yOlVmr5ywoEK5tc3Sp_NbQ&amp;e=</t>
  </si>
  <si>
    <t>50骞?276</t>
  </si>
  <si>
    <t>FRN-1892-2</t>
  </si>
  <si>
    <t>820bdeff-1e42-11e4-b4cd-db5882bf8def</t>
  </si>
  <si>
    <t>Ribot</t>
  </si>
  <si>
    <t>1892-12-06</t>
  </si>
  <si>
    <t>1893-04-04</t>
  </si>
  <si>
    <t>https://urldefense.proofpoint.com/v2/url?u=http-3A__dbpedia.org_resource_Alexandre-5FRibot&amp;d=BQID-g&amp;c=kbmfwr1Yojg42sGEpaQh5ofMHBeTl9EI2eaqQZhHbOU&amp;r=ZliGVSRwfirWoETOrKCh2RSnoygzVPWEk95Me9L-Kwo&amp;m=EaKyFx9mpkhPdFxsxzvW_fiM3jbYwM3xYLjVbSFoDAg&amp;s=kmSj8rrZhEUPQ_ImlfSLLJOfatZeCz1hJ2M1PnNkBvE&amp;e=</t>
  </si>
  <si>
    <t>50骞?119</t>
  </si>
  <si>
    <t>FRN-1893-1</t>
  </si>
  <si>
    <t>820bdf00-1e42-11e4-b4cd-db5882bf8def</t>
  </si>
  <si>
    <t>Dupuy</t>
  </si>
  <si>
    <t>1893-11-25</t>
  </si>
  <si>
    <t>1851-11-05</t>
  </si>
  <si>
    <t>05nov1851</t>
  </si>
  <si>
    <t>https://urldefense.proofpoint.com/v2/url?u=http-3A__dbpedia.org_resource_Charles-5FDupuy&amp;d=BQID-g&amp;c=kbmfwr1Yojg42sGEpaQh5ofMHBeTl9EI2eaqQZhHbOU&amp;r=ZliGVSRwfirWoETOrKCh2RSnoygzVPWEk95Me9L-Kwo&amp;m=EaKyFx9mpkhPdFxsxzvW_fiM3jbYwM3xYLjVbSFoDAg&amp;s=Xfrbrp8BHj5lvgJp1MwfSCOOsdMDRgW1QHgCNSKA9Yw&amp;e=</t>
  </si>
  <si>
    <t>50骞?235</t>
  </si>
  <si>
    <t>FRN-1893-2</t>
  </si>
  <si>
    <t>820bdf01-1e42-11e4-b4cd-db5882bf8def</t>
  </si>
  <si>
    <t>Casimir-Perier</t>
  </si>
  <si>
    <t>1893-12-03</t>
  </si>
  <si>
    <t>1894-05-22</t>
  </si>
  <si>
    <t>1847-11-08</t>
  </si>
  <si>
    <t>08nov1847</t>
  </si>
  <si>
    <t>https://urldefense.proofpoint.com/v2/url?u=http-3A__dbpedia.org_resource_Jean-5FCasimir-2DPerier&amp;d=BQID-g&amp;c=kbmfwr1Yojg42sGEpaQh5ofMHBeTl9EI2eaqQZhHbOU&amp;r=ZliGVSRwfirWoETOrKCh2RSnoygzVPWEk95Me9L-Kwo&amp;m=EaKyFx9mpkhPdFxsxzvW_fiM3jbYwM3xYLjVbSFoDAg&amp;s=hvVqNJwGkxQltrj1_d6QMOZ6p3aVKr9eKyKzICxGnAI&amp;e=</t>
  </si>
  <si>
    <t>50骞?170</t>
  </si>
  <si>
    <t>FRN-1894</t>
  </si>
  <si>
    <t>1894-05-30</t>
  </si>
  <si>
    <t>1895-01-14</t>
  </si>
  <si>
    <t>50骞?229</t>
  </si>
  <si>
    <t>FRN-1895-1</t>
  </si>
  <si>
    <t>1895-01-27</t>
  </si>
  <si>
    <t>1895-10-28</t>
  </si>
  <si>
    <t>50骞?274</t>
  </si>
  <si>
    <t>FRN-1895-2</t>
  </si>
  <si>
    <t>820c0fd0-1e42-11e4-b4cd-db5882bf8def</t>
  </si>
  <si>
    <t>Bourgeois</t>
  </si>
  <si>
    <t>1895-11-01</t>
  </si>
  <si>
    <t>1896-04-22</t>
  </si>
  <si>
    <t>https://urldefense.proofpoint.com/v2/url?u=http-3A__dbpedia.org_resource_L-25C3-25A9on-5FBourgeois&amp;d=BQID-g&amp;c=kbmfwr1Yojg42sGEpaQh5ofMHBeTl9EI2eaqQZhHbOU&amp;r=ZliGVSRwfirWoETOrKCh2RSnoygzVPWEk95Me9L-Kwo&amp;m=EaKyFx9mpkhPdFxsxzvW_fiM3jbYwM3xYLjVbSFoDAg&amp;s=oFq0dbHGV_Dn57TkHduS5BjBuG_caUCkrHWa5BU6n5Q&amp;e=</t>
  </si>
  <si>
    <t>FRN-1896</t>
  </si>
  <si>
    <t>820c0fd1-1e42-11e4-b4cd-db5882bf8def</t>
  </si>
  <si>
    <t>Meline</t>
  </si>
  <si>
    <t>1896-04-29</t>
  </si>
  <si>
    <t>1898-06-14</t>
  </si>
  <si>
    <t>https://urldefense.proofpoint.com/v2/url?u=http-3A__dbpedia.org_resource_Jules-5FM-25C3-25A9line&amp;d=BQID-g&amp;c=kbmfwr1Yojg42sGEpaQh5ofMHBeTl9EI2eaqQZhHbOU&amp;r=ZliGVSRwfirWoETOrKCh2RSnoygzVPWEk95Me9L-Kwo&amp;m=EaKyFx9mpkhPdFxsxzvW_fiM3jbYwM3xYLjVbSFoDAg&amp;s=cvxvnMACkYiM3QWVzWxgUBdNeE26NN2_MfiQRX8dL4o&amp;e=</t>
  </si>
  <si>
    <t>50骞?776</t>
  </si>
  <si>
    <t>FRN-1898-1</t>
  </si>
  <si>
    <t>1898-06-27</t>
  </si>
  <si>
    <t>1898-10-25</t>
  </si>
  <si>
    <t>50骞?120</t>
  </si>
  <si>
    <t>FRN-1898-2</t>
  </si>
  <si>
    <t>1898-10-31</t>
  </si>
  <si>
    <t>1899-06-12</t>
  </si>
  <si>
    <t>50骞?224</t>
  </si>
  <si>
    <t>FRN-1899</t>
  </si>
  <si>
    <t>820c0fd2-1e42-11e4-b4cd-db5882bf8def</t>
  </si>
  <si>
    <t>Waldeck-Rousseau</t>
  </si>
  <si>
    <t>1899-06-22</t>
  </si>
  <si>
    <t>50骞?1070</t>
  </si>
  <si>
    <t>FRN-1902</t>
  </si>
  <si>
    <t>820c0fd3-1e42-11e4-b4cd-db5882bf8def</t>
  </si>
  <si>
    <t>Combes</t>
  </si>
  <si>
    <t>https://urldefense.proofpoint.com/v2/url?u=http-3A__dbpedia.org_resource_-25C3-2589mile-5FCombes&amp;d=BQID-g&amp;c=kbmfwr1Yojg42sGEpaQh5ofMHBeTl9EI2eaqQZhHbOU&amp;r=ZliGVSRwfirWoETOrKCh2RSnoygzVPWEk95Me9L-Kwo&amp;m=EaKyFx9mpkhPdFxsxzvW_fiM3jbYwM3xYLjVbSFoDAg&amp;s=xe5e1kwuX81QhZoeyE3GI1Xvp9e0RCfh9heMhGxYbuM&amp;e=</t>
  </si>
  <si>
    <t>50骞?957</t>
  </si>
  <si>
    <t>FRN-1905</t>
  </si>
  <si>
    <t>50骞?407</t>
  </si>
  <si>
    <t>FRN-1906-1</t>
  </si>
  <si>
    <t>820c0fd4-1e42-11e4-b4cd-db5882bf8def</t>
  </si>
  <si>
    <t>Sarrien</t>
  </si>
  <si>
    <t>https://urldefense.proofpoint.com/v2/url?u=http-3A__dbpedia.org_resource_Ferdinand-5FSarrien&amp;d=BQID-g&amp;c=kbmfwr1Yojg42sGEpaQh5ofMHBeTl9EI2eaqQZhHbOU&amp;r=ZliGVSRwfirWoETOrKCh2RSnoygzVPWEk95Me9L-Kwo&amp;m=EaKyFx9mpkhPdFxsxzvW_fiM3jbYwM3xYLjVbSFoDAg&amp;s=vh1vxwDYiZ0e9dx0oT4M9SStG38eZy1cab89eImo0uk&amp;e=</t>
  </si>
  <si>
    <t>50骞?220</t>
  </si>
  <si>
    <t>FRN-1906-2</t>
  </si>
  <si>
    <t>820c0fd5-1e42-11e4-b4cd-db5882bf8def</t>
  </si>
  <si>
    <t>Clemenceau</t>
  </si>
  <si>
    <t>1841-09-28</t>
  </si>
  <si>
    <t>28sep1841</t>
  </si>
  <si>
    <t>https://urldefense.proofpoint.com/v2/url?u=http-3A__dbpedia.org_resource_Georges-5FClemenceau&amp;d=BQID-g&amp;c=kbmfwr1Yojg42sGEpaQh5ofMHBeTl9EI2eaqQZhHbOU&amp;r=ZliGVSRwfirWoETOrKCh2RSnoygzVPWEk95Me9L-Kwo&amp;m=EaKyFx9mpkhPdFxsxzvW_fiM3jbYwM3xYLjVbSFoDAg&amp;s=PrzsCg727r1qvqHKq-3YpaD5eiIlqYXOi4cLoGnSTuQ&amp;e=</t>
  </si>
  <si>
    <t>50骞?996</t>
  </si>
  <si>
    <t>FRN-1909</t>
  </si>
  <si>
    <t>820c40a4-1e42-11e4-b4cd-db5882bf8def</t>
  </si>
  <si>
    <t>Briand</t>
  </si>
  <si>
    <t>1862-03-28</t>
  </si>
  <si>
    <t>28mar1862</t>
  </si>
  <si>
    <t>https://urldefense.proofpoint.com/v2/url?u=http-3A__dbpedia.org_resource_Aristide-5FBriand&amp;d=BQID-g&amp;c=kbmfwr1Yojg42sGEpaQh5ofMHBeTl9EI2eaqQZhHbOU&amp;r=ZliGVSRwfirWoETOrKCh2RSnoygzVPWEk95Me9L-Kwo&amp;m=EaKyFx9mpkhPdFxsxzvW_fiM3jbYwM3xYLjVbSFoDAg&amp;s=owMf27IvU3WcUZERGQrQXLO8Sl_1uC6Fuv8Xu9cRV04&amp;e=</t>
  </si>
  <si>
    <t>50骞?580</t>
  </si>
  <si>
    <t>FRN-1911-1</t>
  </si>
  <si>
    <t>820c40a5-1e42-11e4-b4cd-db5882bf8def</t>
  </si>
  <si>
    <t>Monis</t>
  </si>
  <si>
    <t>https://urldefense.proofpoint.com/v2/url?u=http-3A__dbpedia.org_resource_Ernest-5FMonis&amp;d=BQID-g&amp;c=kbmfwr1Yojg42sGEpaQh5ofMHBeTl9EI2eaqQZhHbOU&amp;r=ZliGVSRwfirWoETOrKCh2RSnoygzVPWEk95Me9L-Kwo&amp;m=EaKyFx9mpkhPdFxsxzvW_fiM3jbYwM3xYLjVbSFoDAg&amp;s=otOTzZwon7hxKPlFCf5vJsd4NABNumQLAL48wR3WCh8&amp;e=</t>
  </si>
  <si>
    <t>50骞?110</t>
  </si>
  <si>
    <t>FRN-1911-2</t>
  </si>
  <si>
    <t>820c40a6-1e42-11e4-b4cd-db5882bf8def</t>
  </si>
  <si>
    <t>Caillaux</t>
  </si>
  <si>
    <t>50骞?197</t>
  </si>
  <si>
    <t>FRN-1912</t>
  </si>
  <si>
    <t>820c40a7-1e42-11e4-b4cd-db5882bf8def</t>
  </si>
  <si>
    <t>Poincare</t>
  </si>
  <si>
    <t>1860-08-20</t>
  </si>
  <si>
    <t>20aug1860</t>
  </si>
  <si>
    <t>https://urldefense.proofpoint.com/v2/url?u=http-3A__dbpedia.org_resource_Raymond-5FPoincar-25C3-25A9&amp;d=BQID-g&amp;c=kbmfwr1Yojg42sGEpaQh5ofMHBeTl9EI2eaqQZhHbOU&amp;r=ZliGVSRwfirWoETOrKCh2RSnoygzVPWEk95Me9L-Kwo&amp;m=EaKyFx9mpkhPdFxsxzvW_fiM3jbYwM3xYLjVbSFoDAg&amp;s=DUAHwQpzS5a3BvTYMCDqfhvLw7AAjVdG9i6V5ASukAM&amp;e=</t>
  </si>
  <si>
    <t>50骞?370</t>
  </si>
  <si>
    <t>FRN-1913-1</t>
  </si>
  <si>
    <t>50骞?59</t>
  </si>
  <si>
    <t>FRN-1913-2</t>
  </si>
  <si>
    <t>820c40a8-1e42-11e4-b4cd-db5882bf8def</t>
  </si>
  <si>
    <t>Barthou</t>
  </si>
  <si>
    <t>1862-08-25</t>
  </si>
  <si>
    <t>25aug1862</t>
  </si>
  <si>
    <t>https://urldefense.proofpoint.com/v2/url?u=http-3A__dbpedia.org_resource_Louis-5FBarthou&amp;d=BQID-g&amp;c=kbmfwr1Yojg42sGEpaQh5ofMHBeTl9EI2eaqQZhHbOU&amp;r=ZliGVSRwfirWoETOrKCh2RSnoygzVPWEk95Me9L-Kwo&amp;m=EaKyFx9mpkhPdFxsxzvW_fiM3jbYwM3xYLjVbSFoDAg&amp;s=5YnZWiXD_0Z-U4xp8uGnplSFlQl6VqLfER0RlUUkW9M&amp;e=</t>
  </si>
  <si>
    <t>50骞?253</t>
  </si>
  <si>
    <t>FRN-1913-3</t>
  </si>
  <si>
    <t>820c40a9-1e42-11e4-b4cd-db5882bf8def</t>
  </si>
  <si>
    <t>Doumergue</t>
  </si>
  <si>
    <t>1863-08-01</t>
  </si>
  <si>
    <t>01aug1863</t>
  </si>
  <si>
    <t>https://urldefense.proofpoint.com/v2/url?u=http-3A__dbpedia.org_resource_Gaston-5FDoumergue&amp;d=BQID-g&amp;c=kbmfwr1Yojg42sGEpaQh5ofMHBeTl9EI2eaqQZhHbOU&amp;r=ZliGVSRwfirWoETOrKCh2RSnoygzVPWEk95Me9L-Kwo&amp;m=EaKyFx9mpkhPdFxsxzvW_fiM3jbYwM3xYLjVbSFoDAg&amp;s=Apal11iUoiESRIARJRcVzSApmXai8BLfae0ddDJrCHA&amp;e=</t>
  </si>
  <si>
    <t>50骞?178</t>
  </si>
  <si>
    <t>FRN-1914</t>
  </si>
  <si>
    <t>820c7178-1e42-11e4-b4cd-db5882bf8def</t>
  </si>
  <si>
    <t>Viviani</t>
  </si>
  <si>
    <t>https://urldefense.proofpoint.com/v2/url?u=http-3A__dbpedia.org_resource_Ren-25C3-25A9-5FViviani&amp;d=BQID-g&amp;c=kbmfwr1Yojg42sGEpaQh5ofMHBeTl9EI2eaqQZhHbOU&amp;r=ZliGVSRwfirWoETOrKCh2RSnoygzVPWEk95Me9L-Kwo&amp;m=EaKyFx9mpkhPdFxsxzvW_fiM3jbYwM3xYLjVbSFoDAg&amp;s=KYd-5a6LK5_bLl7f3ewrVbaisdEhDL2zfZhU1tcHeZQ&amp;e=</t>
  </si>
  <si>
    <t>50骞?507</t>
  </si>
  <si>
    <t>FRN-1915</t>
  </si>
  <si>
    <t>50骞?505</t>
  </si>
  <si>
    <t>FRN-1917-1</t>
  </si>
  <si>
    <t>50骞?171</t>
  </si>
  <si>
    <t>FRN-1917-2</t>
  </si>
  <si>
    <t>820c7179-1e42-11e4-b4cd-db5882bf8def</t>
  </si>
  <si>
    <t>Painleve</t>
  </si>
  <si>
    <t>https://urldefense.proofpoint.com/v2/url?u=http-3A__dbpedia.org_resource_Paul-5FPainlev-25C3-25A9&amp;d=BQID-g&amp;c=kbmfwr1Yojg42sGEpaQh5ofMHBeTl9EI2eaqQZhHbOU&amp;r=ZliGVSRwfirWoETOrKCh2RSnoygzVPWEk95Me9L-Kwo&amp;m=EaKyFx9mpkhPdFxsxzvW_fiM3jbYwM3xYLjVbSFoDAg&amp;s=g4VvtbkHqLi9aC0VRGtSW5iFkdgVnFtoFN6yd6wYlGE&amp;e=</t>
  </si>
  <si>
    <t>50骞?62</t>
  </si>
  <si>
    <t>FRN-1917-3</t>
  </si>
  <si>
    <t>50骞?794</t>
  </si>
  <si>
    <t>FRN-1920-1</t>
  </si>
  <si>
    <t>820c717a-1e42-11e4-b4cd-db5882bf8def</t>
  </si>
  <si>
    <t>Millerand</t>
  </si>
  <si>
    <t>1859-02-10</t>
  </si>
  <si>
    <t>10feb1859</t>
  </si>
  <si>
    <t>https://urldefense.proofpoint.com/v2/url?u=http-3A__dbpedia.org_resource_Alexandre-5FMillerand&amp;d=BQID-g&amp;c=kbmfwr1Yojg42sGEpaQh5ofMHBeTl9EI2eaqQZhHbOU&amp;r=ZliGVSRwfirWoETOrKCh2RSnoygzVPWEk95Me9L-Kwo&amp;m=EaKyFx9mpkhPdFxsxzvW_fiM3jbYwM3xYLjVbSFoDAg&amp;s=83SaS70BCBwYGwoqq9BYAgr3xEGDetuwp7o2x427cB0&amp;e=</t>
  </si>
  <si>
    <t>50骞?228</t>
  </si>
  <si>
    <t>FRN-1920-2</t>
  </si>
  <si>
    <t>820c717b-1e42-11e4-b4cd-db5882bf8def</t>
  </si>
  <si>
    <t>Leygues</t>
  </si>
  <si>
    <t>https://urldefense.proofpoint.com/v2/url?u=http-3A__dbpedia.org_resource_Georges-5FLeygues&amp;d=BQID-g&amp;c=kbmfwr1Yojg42sGEpaQh5ofMHBeTl9EI2eaqQZhHbOU&amp;r=ZliGVSRwfirWoETOrKCh2RSnoygzVPWEk95Me9L-Kwo&amp;m=EaKyFx9mpkhPdFxsxzvW_fiM3jbYwM3xYLjVbSFoDAg&amp;s=z7-nhdNe8zqn-rH-a7WfsHjtsR6Vi8pjKynbzx9UATg&amp;e=</t>
  </si>
  <si>
    <t>50骞?135</t>
  </si>
  <si>
    <t>FRN-1921</t>
  </si>
  <si>
    <t>50骞?365</t>
  </si>
  <si>
    <t>FRN-1922</t>
  </si>
  <si>
    <t>50骞?874</t>
  </si>
  <si>
    <t>FRN-1924-1</t>
  </si>
  <si>
    <t>820c717c-1e42-11e4-b4cd-db5882bf8def</t>
  </si>
  <si>
    <t>Francois-Marsat</t>
  </si>
  <si>
    <t>https://urldefense.proofpoint.com/v2/url?u=http-3A__dbpedia.org_resource_Fr-25C3-25A9d-25C3-25A9ric-5FFran-25C3-25A7ois-2DMarsal&amp;d=BQID-g&amp;c=kbmfwr1Yojg42sGEpaQh5ofMHBeTl9EI2eaqQZhHbOU&amp;r=ZliGVSRwfirWoETOrKCh2RSnoygzVPWEk95Me9L-Kwo&amp;m=EaKyFx9mpkhPdFxsxzvW_fiM3jbYwM3xYLjVbSFoDAg&amp;s=_mDmVmabbUTlWOs9-3Yi_9xHIKgaHXdt9SmWERbK9Ro&amp;e=</t>
  </si>
  <si>
    <t>50骞?6</t>
  </si>
  <si>
    <t>FRN-1924-2</t>
  </si>
  <si>
    <t>820c717d-1e42-11e4-b4cd-db5882bf8def</t>
  </si>
  <si>
    <t>Herriot</t>
  </si>
  <si>
    <t>https://urldefense.proofpoint.com/v2/url?u=http-3A__dbpedia.org_resource_-25C3-2589douard-5FHerriot&amp;d=BQID-g&amp;c=kbmfwr1Yojg42sGEpaQh5ofMHBeTl9EI2eaqQZhHbOU&amp;r=ZliGVSRwfirWoETOrKCh2RSnoygzVPWEk95Me9L-Kwo&amp;m=EaKyFx9mpkhPdFxsxzvW_fiM3jbYwM3xYLjVbSFoDAg&amp;s=gk3uMwHIo6euyrNbBC4wY5YhWSFtj4dVH-ZR99cqjHo&amp;e=</t>
  </si>
  <si>
    <t>50骞?307</t>
  </si>
  <si>
    <t>FRN-1925-1</t>
  </si>
  <si>
    <t>50骞?199</t>
  </si>
  <si>
    <t>FRN-1925-2</t>
  </si>
  <si>
    <t>50骞?233</t>
  </si>
  <si>
    <t>FRN-1926-1</t>
  </si>
  <si>
    <t>50骞?4</t>
  </si>
  <si>
    <t>FRN-1926-2</t>
  </si>
  <si>
    <t>50骞?1100</t>
  </si>
  <si>
    <t>FRN-1929-1</t>
  </si>
  <si>
    <t>50骞?98</t>
  </si>
  <si>
    <t>FRN-1929-2</t>
  </si>
  <si>
    <t>820ca24c-1e42-11e4-b4cd-db5882bf8def</t>
  </si>
  <si>
    <t>Tardieu</t>
  </si>
  <si>
    <t>https://urldefense.proofpoint.com/v2/url?u=http-3A__dbpedia.org_resource_Andr-25C3-25A9-5FTardieu&amp;d=BQID-g&amp;c=kbmfwr1Yojg42sGEpaQh5ofMHBeTl9EI2eaqQZhHbOU&amp;r=ZliGVSRwfirWoETOrKCh2RSnoygzVPWEk95Me9L-Kwo&amp;m=EaKyFx9mpkhPdFxsxzvW_fiM3jbYwM3xYLjVbSFoDAg&amp;s=tfpvO7FKUhgown7OtF-heMPxavKVxpTQBToARAVu3Ec&amp;e=</t>
  </si>
  <si>
    <t>FRN-1930-1</t>
  </si>
  <si>
    <t>820ca24d-1e42-11e4-b4cd-db5882bf8def</t>
  </si>
  <si>
    <t>Chautemps</t>
  </si>
  <si>
    <t>https://urldefense.proofpoint.com/v2/url?u=http-3A__dbpedia.org_resource_Camille-5FChautemps&amp;d=BQID-g&amp;c=kbmfwr1Yojg42sGEpaQh5ofMHBeTl9EI2eaqQZhHbOU&amp;r=ZliGVSRwfirWoETOrKCh2RSnoygzVPWEk95Me9L-Kwo&amp;m=EaKyFx9mpkhPdFxsxzvW_fiM3jbYwM3xYLjVbSFoDAg&amp;s=IdSXaw8xvmhBoDaiozvjoWGdR1OYILqSoEONiBufYHQ&amp;e=</t>
  </si>
  <si>
    <t>50骞?9</t>
  </si>
  <si>
    <t>FRN-1930-2</t>
  </si>
  <si>
    <t>50骞?286</t>
  </si>
  <si>
    <t>FRN-1930-3</t>
  </si>
  <si>
    <t>820ca24e-1e42-11e4-b4cd-db5882bf8def</t>
  </si>
  <si>
    <t>Steeg</t>
  </si>
  <si>
    <t>https://urldefense.proofpoint.com/v2/url?u=http-3A__dbpedia.org_resource_Th-25C3-25A9odore-5FSteeg&amp;d=BQID-g&amp;c=kbmfwr1Yojg42sGEpaQh5ofMHBeTl9EI2eaqQZhHbOU&amp;r=ZliGVSRwfirWoETOrKCh2RSnoygzVPWEk95Me9L-Kwo&amp;m=EaKyFx9mpkhPdFxsxzvW_fiM3jbYwM3xYLjVbSFoDAg&amp;s=4jh0NrEpYmFHOYMtdaaF6evG0eud8FnbL81Y_C_Wpis&amp;e=</t>
  </si>
  <si>
    <t>50骞?45</t>
  </si>
  <si>
    <t>FRN-1931</t>
  </si>
  <si>
    <t>820ca24f-1e42-11e4-b4cd-db5882bf8def</t>
  </si>
  <si>
    <t>Laval</t>
  </si>
  <si>
    <t>1883-06-28</t>
  </si>
  <si>
    <t>28jun1883</t>
  </si>
  <si>
    <t>https://urldefense.proofpoint.com/v2/url?u=http-3A__dbpedia.org_resource_Pierre-5FLaval&amp;d=BQID-g&amp;c=kbmfwr1Yojg42sGEpaQh5ofMHBeTl9EI2eaqQZhHbOU&amp;r=ZliGVSRwfirWoETOrKCh2RSnoygzVPWEk95Me9L-Kwo&amp;m=EaKyFx9mpkhPdFxsxzvW_fiM3jbYwM3xYLjVbSFoDAg&amp;s=5FIBfK29cEXJSOoMkOFw4_-YbA8j4aHsHEqGEKkkdNc&amp;e=</t>
  </si>
  <si>
    <t>50骞?392</t>
  </si>
  <si>
    <t>FRN-1932-1</t>
  </si>
  <si>
    <t>50骞?102</t>
  </si>
  <si>
    <t>FRN-1932-2</t>
  </si>
  <si>
    <t>FRN-1932-3</t>
  </si>
  <si>
    <t>820ca250-1e42-11e4-b4cd-db5882bf8def</t>
  </si>
  <si>
    <t>Paul-Boncour</t>
  </si>
  <si>
    <t>1873-08-04</t>
  </si>
  <si>
    <t>04aug1873</t>
  </si>
  <si>
    <t>https://urldefense.proofpoint.com/v2/url?u=http-3A__dbpedia.org_resource_Joseph-5FPaul-2DBoncour&amp;d=BQID-g&amp;c=kbmfwr1Yojg42sGEpaQh5ofMHBeTl9EI2eaqQZhHbOU&amp;r=ZliGVSRwfirWoETOrKCh2RSnoygzVPWEk95Me9L-Kwo&amp;m=EaKyFx9mpkhPdFxsxzvW_fiM3jbYwM3xYLjVbSFoDAg&amp;s=9VCujzvSYslhuTpR0iwufcf13yHo4WLB2laC2llyC0c&amp;e=</t>
  </si>
  <si>
    <t>50骞?42</t>
  </si>
  <si>
    <t>FRN-1933-1</t>
  </si>
  <si>
    <t>820ca251-1e42-11e4-b4cd-db5882bf8def</t>
  </si>
  <si>
    <t>Daladier</t>
  </si>
  <si>
    <t>1884-06-18</t>
  </si>
  <si>
    <t>18jun1884</t>
  </si>
  <si>
    <t>https://urldefense.proofpoint.com/v2/url?u=http-3A__dbpedia.org_resource_-25C3-2589douard-5FDaladier&amp;d=BQID-g&amp;c=kbmfwr1Yojg42sGEpaQh5ofMHBeTl9EI2eaqQZhHbOU&amp;r=ZliGVSRwfirWoETOrKCh2RSnoygzVPWEk95Me9L-Kwo&amp;m=EaKyFx9mpkhPdFxsxzvW_fiM3jbYwM3xYLjVbSFoDAg&amp;s=tkHzWZQryOnvxxnUvJxWROs-Nhhu-MgflLliP_30_A0&amp;e=</t>
  </si>
  <si>
    <t>50骞?266</t>
  </si>
  <si>
    <t>FRN-1933-2</t>
  </si>
  <si>
    <t>820ca252-1e42-11e4-b4cd-db5882bf8def</t>
  </si>
  <si>
    <t>Sarraut</t>
  </si>
  <si>
    <t>https://urldefense.proofpoint.com/v2/url?u=http-3A__dbpedia.org_resource_Albert-5FSarraut&amp;d=BQID-g&amp;c=kbmfwr1Yojg42sGEpaQh5ofMHBeTl9EI2eaqQZhHbOU&amp;r=ZliGVSRwfirWoETOrKCh2RSnoygzVPWEk95Me9L-Kwo&amp;m=EaKyFx9mpkhPdFxsxzvW_fiM3jbYwM3xYLjVbSFoDAg&amp;s=7ZmFMdlhxdM_niWS2qHxUQBh1w7WGaO2CUuXCl_OjxI&amp;e=</t>
  </si>
  <si>
    <t>50骞?29</t>
  </si>
  <si>
    <t>FRN-1933-3</t>
  </si>
  <si>
    <t>50骞?69</t>
  </si>
  <si>
    <t>FRN-1934-1</t>
  </si>
  <si>
    <t>50骞?10</t>
  </si>
  <si>
    <t>FRN-1934-2</t>
  </si>
  <si>
    <t>FRN-1934-3</t>
  </si>
  <si>
    <t>820cd320-1e42-11e4-b4cd-db5882bf8def</t>
  </si>
  <si>
    <t>Flandin</t>
  </si>
  <si>
    <t>1889-04-12</t>
  </si>
  <si>
    <t>12apr1889</t>
  </si>
  <si>
    <t>https://urldefense.proofpoint.com/v2/url?u=http-3A__dbpedia.org_resource_Pierre-2D-25C3-2589tienne-5FFlandin&amp;d=BQID-g&amp;c=kbmfwr1Yojg42sGEpaQh5ofMHBeTl9EI2eaqQZhHbOU&amp;r=ZliGVSRwfirWoETOrKCh2RSnoygzVPWEk95Me9L-Kwo&amp;m=EaKyFx9mpkhPdFxsxzvW_fiM3jbYwM3xYLjVbSFoDAg&amp;s=sbLiAi7ykkm8pjkVDZItGlSspDUjFb1WRV9qsQmzJCY&amp;e=</t>
  </si>
  <si>
    <t>50骞?201</t>
  </si>
  <si>
    <t>FRN-1935-1</t>
  </si>
  <si>
    <t>820cd321-1e42-11e4-b4cd-db5882bf8def</t>
  </si>
  <si>
    <t>Bouissin</t>
  </si>
  <si>
    <t>https://urldefense.proofpoint.com/v2/url?u=http-3A__dbpedia.org_resource_Fernand-5FBouisson&amp;d=BQID-g&amp;c=kbmfwr1Yojg42sGEpaQh5ofMHBeTl9EI2eaqQZhHbOU&amp;r=ZliGVSRwfirWoETOrKCh2RSnoygzVPWEk95Me9L-Kwo&amp;m=EaKyFx9mpkhPdFxsxzvW_fiM3jbYwM3xYLjVbSFoDAg&amp;s=jPDKD89upy30VI4qYWR_x88aUED4SYBIyOxqGkMf6Vc&amp;e=</t>
  </si>
  <si>
    <t>50骞?3</t>
  </si>
  <si>
    <t>FRN-1935-2</t>
  </si>
  <si>
    <t>50骞?232</t>
  </si>
  <si>
    <t>FRN-1936-1</t>
  </si>
  <si>
    <t>50骞?130</t>
  </si>
  <si>
    <t>FRN-1936-2</t>
  </si>
  <si>
    <t>820cd322-1e42-11e4-b4cd-db5882bf8def</t>
  </si>
  <si>
    <t>Blum</t>
  </si>
  <si>
    <t>1872-04-09</t>
  </si>
  <si>
    <t>09apr1872</t>
  </si>
  <si>
    <t>https://urldefense.proofpoint.com/v2/url?u=http-3A__dbpedia.org_resource_L-25C3-25A9on-5FBlum&amp;d=BQID-g&amp;c=kbmfwr1Yojg42sGEpaQh5ofMHBeTl9EI2eaqQZhHbOU&amp;r=ZliGVSRwfirWoETOrKCh2RSnoygzVPWEk95Me9L-Kwo&amp;m=EaKyFx9mpkhPdFxsxzvW_fiM3jbYwM3xYLjVbSFoDAg&amp;s=UJZ1MooXFwwGcbBM5KG-GMrVFD25f8cS41gaaEFCGZU&amp;e=</t>
  </si>
  <si>
    <t>FRN-1937</t>
  </si>
  <si>
    <t>50骞?262</t>
  </si>
  <si>
    <t>FRN-1938-1</t>
  </si>
  <si>
    <t>FRN-1938-2</t>
  </si>
  <si>
    <t>50骞?711</t>
  </si>
  <si>
    <t>FRN-1940-1</t>
  </si>
  <si>
    <t>820cd323-1e42-11e4-b4cd-db5882bf8def</t>
  </si>
  <si>
    <t>Reynaud</t>
  </si>
  <si>
    <t>https://urldefense.proofpoint.com/v2/url?u=http-3A__dbpedia.org_resource_Paul-5FReynaud&amp;d=BQID-g&amp;c=kbmfwr1Yojg42sGEpaQh5ofMHBeTl9EI2eaqQZhHbOU&amp;r=ZliGVSRwfirWoETOrKCh2RSnoygzVPWEk95Me9L-Kwo&amp;m=EaKyFx9mpkhPdFxsxzvW_fiM3jbYwM3xYLjVbSFoDAg&amp;s=9lWhNdJkiG5MeEFFvUGSpcW4n8ct3UrNfKJ_p7EfQ34&amp;e=</t>
  </si>
  <si>
    <t>50骞?82</t>
  </si>
  <si>
    <t>FRN-1940-2</t>
  </si>
  <si>
    <t>820cd324-1e42-11e4-b4cd-db5882bf8def</t>
  </si>
  <si>
    <t>Petain</t>
  </si>
  <si>
    <t>1856-04-24</t>
  </si>
  <si>
    <t>24apr1856</t>
  </si>
  <si>
    <t>https://urldefense.proofpoint.com/v2/url?u=http-3A__dbpedia.org_resource_Philippe-5FP-25C3-25A9tain&amp;d=BQID-g&amp;c=kbmfwr1Yojg42sGEpaQh5ofMHBeTl9EI2eaqQZhHbOU&amp;r=ZliGVSRwfirWoETOrKCh2RSnoygzVPWEk95Me9L-Kwo&amp;m=EaKyFx9mpkhPdFxsxzvW_fiM3jbYwM3xYLjVbSFoDAg&amp;s=L0YgPTuZ_cgqt8ukWzVEVDKxlUQmX1P8gkylMH7Pjm4&amp;e=</t>
  </si>
  <si>
    <t>50骞?670</t>
  </si>
  <si>
    <t>FRN-1942</t>
  </si>
  <si>
    <t>50骞?852</t>
  </si>
  <si>
    <t>FRN-1944</t>
  </si>
  <si>
    <t>820cd325-1e42-11e4-b4cd-db5882bf8def</t>
  </si>
  <si>
    <t>De Gaulle</t>
  </si>
  <si>
    <t>1890-11-22</t>
  </si>
  <si>
    <t>22nov1890</t>
  </si>
  <si>
    <t>https://urldefense.proofpoint.com/v2/url?u=http-3A__dbpedia.org_resource_Charles-5Fde-5FGaulle&amp;d=BQID-g&amp;c=kbmfwr1Yojg42sGEpaQh5ofMHBeTl9EI2eaqQZhHbOU&amp;r=ZliGVSRwfirWoETOrKCh2RSnoygzVPWEk95Me9L-Kwo&amp;m=EaKyFx9mpkhPdFxsxzvW_fiM3jbYwM3xYLjVbSFoDAg&amp;s=lV3-aRWCh1W6mHqOkAON0yqBsin3rgJbuHHnIjZVj_w&amp;e=</t>
  </si>
  <si>
    <t>50骞?497</t>
  </si>
  <si>
    <t>FRN-1946-1</t>
  </si>
  <si>
    <t>820d03f4-1e42-11e4-b4cd-db5882bf8def</t>
  </si>
  <si>
    <t>Gouin</t>
  </si>
  <si>
    <t>1884-10-04</t>
  </si>
  <si>
    <t>04oct1884</t>
  </si>
  <si>
    <t>https://urldefense.proofpoint.com/v2/url?u=http-3A__dbpedia.org_resource_F-25C3-25A9lix-5FGouin&amp;d=BQID-g&amp;c=kbmfwr1Yojg42sGEpaQh5ofMHBeTl9EI2eaqQZhHbOU&amp;r=ZliGVSRwfirWoETOrKCh2RSnoygzVPWEk95Me9L-Kwo&amp;m=EaKyFx9mpkhPdFxsxzvW_fiM3jbYwM3xYLjVbSFoDAg&amp;s=8udWLHFdAnmaJO5Ig2FMRRyeFvHfK_p8NGZoPsoHhiQ&amp;e=</t>
  </si>
  <si>
    <t>50骞?137</t>
  </si>
  <si>
    <t>FRN-1946-2</t>
  </si>
  <si>
    <t>357ffcc8-3bbd-11e5-afeb-eb6f07f9fec7</t>
  </si>
  <si>
    <t>Bidault</t>
  </si>
  <si>
    <t>1899-10-05</t>
  </si>
  <si>
    <t>05oct1899</t>
  </si>
  <si>
    <t>https://urldefense.proofpoint.com/v2/url?u=http-3A__dbpedia.org_resource_Georges-5FBidault&amp;d=BQID-g&amp;c=kbmfwr1Yojg42sGEpaQh5ofMHBeTl9EI2eaqQZhHbOU&amp;r=ZliGVSRwfirWoETOrKCh2RSnoygzVPWEk95Me9L-Kwo&amp;m=EaKyFx9mpkhPdFxsxzvW_fiM3jbYwM3xYLjVbSFoDAg&amp;s=A5RYWEEfZ2AhbjWJgNNxo4R5UgxXmWceNo-PHyq7xzQ&amp;e=</t>
  </si>
  <si>
    <t>50骞?157</t>
  </si>
  <si>
    <t>FRN-1946-3</t>
  </si>
  <si>
    <t>50骞?31</t>
  </si>
  <si>
    <t>FRN-1947-1</t>
  </si>
  <si>
    <t>820d03f6-1e42-11e4-b4cd-db5882bf8def</t>
  </si>
  <si>
    <t>Ramadier</t>
  </si>
  <si>
    <t>1888-03-17</t>
  </si>
  <si>
    <t>17mar1888</t>
  </si>
  <si>
    <t>https://urldefense.proofpoint.com/v2/url?u=http-3A__dbpedia.org_resource_Paul-5FRamadier&amp;d=BQID-g&amp;c=kbmfwr1Yojg42sGEpaQh5ofMHBeTl9EI2eaqQZhHbOU&amp;r=ZliGVSRwfirWoETOrKCh2RSnoygzVPWEk95Me9L-Kwo&amp;m=EaKyFx9mpkhPdFxsxzvW_fiM3jbYwM3xYLjVbSFoDAg&amp;s=GlNSGjFI1hafp-8B8c3KN4nnm5irWjOaEG0F2_hA7Vo&amp;e=</t>
  </si>
  <si>
    <t>50骞?301</t>
  </si>
  <si>
    <t>FRN-1947-2</t>
  </si>
  <si>
    <t>820d03f7-1e42-11e4-b4cd-db5882bf8def</t>
  </si>
  <si>
    <t>Schuman</t>
  </si>
  <si>
    <t>https://urldefense.proofpoint.com/v2/url?u=http-3A__dbpedia.org_resource_Robert-5FSchuman&amp;d=BQID-g&amp;c=kbmfwr1Yojg42sGEpaQh5ofMHBeTl9EI2eaqQZhHbOU&amp;r=ZliGVSRwfirWoETOrKCh2RSnoygzVPWEk95Me9L-Kwo&amp;m=EaKyFx9mpkhPdFxsxzvW_fiM3jbYwM3xYLjVbSFoDAg&amp;s=GSM06SuL0k_4PUGloNr90sjVxABWNsxsvG7-r-XTkkM&amp;e=</t>
  </si>
  <si>
    <t>50骞?238</t>
  </si>
  <si>
    <t>FRN-1948-1</t>
  </si>
  <si>
    <t>820d03f8-1e42-11e4-b4cd-db5882bf8def</t>
  </si>
  <si>
    <t>Marie</t>
  </si>
  <si>
    <t>https://urldefense.proofpoint.com/v2/url?u=http-3A__dbpedia.org_resource_Andr-25C3-25A9-5FMarie&amp;d=BQID-g&amp;c=kbmfwr1Yojg42sGEpaQh5ofMHBeTl9EI2eaqQZhHbOU&amp;r=ZliGVSRwfirWoETOrKCh2RSnoygzVPWEk95Me9L-Kwo&amp;m=EaKyFx9mpkhPdFxsxzvW_fiM3jbYwM3xYLjVbSFoDAg&amp;s=-A52KjGEyVKzxKUFG6A-7uTQHxydN1HijQhFsUCKi4E&amp;e=</t>
  </si>
  <si>
    <t>FRN-1948-2</t>
  </si>
  <si>
    <t>50骞?8</t>
  </si>
  <si>
    <t>FRN-1948-3</t>
  </si>
  <si>
    <t>820d03f9-1e42-11e4-b4cd-db5882bf8def</t>
  </si>
  <si>
    <t>Queuille</t>
  </si>
  <si>
    <t>https://urldefense.proofpoint.com/v2/url?u=http-3A__dbpedia.org_resource_Henri-5FQueuille&amp;d=BQID-g&amp;c=kbmfwr1Yojg42sGEpaQh5ofMHBeTl9EI2eaqQZhHbOU&amp;r=ZliGVSRwfirWoETOrKCh2RSnoygzVPWEk95Me9L-Kwo&amp;m=EaKyFx9mpkhPdFxsxzvW_fiM3jbYwM3xYLjVbSFoDAg&amp;s=cH5fDsqASTzxI0D2IM8Mgc3zkd8opX_FdUhit8WypoQ&amp;e=</t>
  </si>
  <si>
    <t>50骞?388</t>
  </si>
  <si>
    <t>FRN-1949</t>
  </si>
  <si>
    <t>50骞?239</t>
  </si>
  <si>
    <t>FRN-1950-1</t>
  </si>
  <si>
    <t>FRN-1950-2</t>
  </si>
  <si>
    <t>820d34c9-1e42-11e4-b4cd-db5882bf8def</t>
  </si>
  <si>
    <t>Pleven</t>
  </si>
  <si>
    <t>https://urldefense.proofpoint.com/v2/url?u=http-3A__dbpedia.org_resource_Ren-25C3-25A9-5FPleven&amp;d=BQID-g&amp;c=kbmfwr1Yojg42sGEpaQh5ofMHBeTl9EI2eaqQZhHbOU&amp;r=ZliGVSRwfirWoETOrKCh2RSnoygzVPWEk95Me9L-Kwo&amp;m=EaKyFx9mpkhPdFxsxzvW_fiM3jbYwM3xYLjVbSFoDAg&amp;s=ty6NIKsI4C-pz6EhKcpd4fvV6j-ONXZ7clMSdaUZxxw&amp;e=</t>
  </si>
  <si>
    <t>FRN-1951-1</t>
  </si>
  <si>
    <t>50骞?123</t>
  </si>
  <si>
    <t>FRN-1951-2</t>
  </si>
  <si>
    <t>50骞?153</t>
  </si>
  <si>
    <t>FRN-1952-1</t>
  </si>
  <si>
    <t>820d34ca-1e42-11e4-b4cd-db5882bf8def</t>
  </si>
  <si>
    <t>Faure</t>
  </si>
  <si>
    <t>https://urldefense.proofpoint.com/v2/url?u=http-3A__dbpedia.org_resource_Edgar-5FFaure&amp;d=BQID-g&amp;c=kbmfwr1Yojg42sGEpaQh5ofMHBeTl9EI2eaqQZhHbOU&amp;r=ZliGVSRwfirWoETOrKCh2RSnoygzVPWEk95Me9L-Kwo&amp;m=EaKyFx9mpkhPdFxsxzvW_fiM3jbYwM3xYLjVbSFoDAg&amp;s=WhSHSMZ6b-KgbBbb_QSsspxi-Zd2EXToM9KR9YcNI1c&amp;e=</t>
  </si>
  <si>
    <t>FRN-1952-2</t>
  </si>
  <si>
    <t>820d34cb-1e42-11e4-b4cd-db5882bf8def</t>
  </si>
  <si>
    <t>Pinay</t>
  </si>
  <si>
    <t>1891-12-30</t>
  </si>
  <si>
    <t>30dec1891</t>
  </si>
  <si>
    <t>https://urldefense.proofpoint.com/v2/url?u=http-3A__dbpedia.org_resource_Antoine-5FPinay&amp;d=BQID-g&amp;c=kbmfwr1Yojg42sGEpaQh5ofMHBeTl9EI2eaqQZhHbOU&amp;r=ZliGVSRwfirWoETOrKCh2RSnoygzVPWEk95Me9L-Kwo&amp;m=EaKyFx9mpkhPdFxsxzvW_fiM3jbYwM3xYLjVbSFoDAg&amp;s=jseIO36Jv_zwUqCgh-TOfVT29puF9NQnfXThUVvCOsg&amp;e=</t>
  </si>
  <si>
    <t>50骞?291</t>
  </si>
  <si>
    <t>FRN-1953-1</t>
  </si>
  <si>
    <t>820d34cc-1e42-11e4-b4cd-db5882bf8def</t>
  </si>
  <si>
    <t>Mayer</t>
  </si>
  <si>
    <t>https://urldefense.proofpoint.com/v2/url?u=http-3A__dbpedia.org_resource_Ren-25C3-25A9-5FMayer&amp;d=BQID-g&amp;c=kbmfwr1Yojg42sGEpaQh5ofMHBeTl9EI2eaqQZhHbOU&amp;r=ZliGVSRwfirWoETOrKCh2RSnoygzVPWEk95Me9L-Kwo&amp;m=EaKyFx9mpkhPdFxsxzvW_fiM3jbYwM3xYLjVbSFoDAg&amp;s=BhiaIDSLrxpUawZMHrWClJkstoXMFOYnyoAE1VZQ8BY&amp;e=</t>
  </si>
  <si>
    <t>50骞?134</t>
  </si>
  <si>
    <t>FRN-1953-2</t>
  </si>
  <si>
    <t>820d34cd-1e42-11e4-b4cd-db5882bf8def</t>
  </si>
  <si>
    <t>Laniel</t>
  </si>
  <si>
    <t>https://urldefense.proofpoint.com/v2/url?u=http-3A__dbpedia.org_resource_Joseph-5FLaniel&amp;d=BQID-g&amp;c=kbmfwr1Yojg42sGEpaQh5ofMHBeTl9EI2eaqQZhHbOU&amp;r=ZliGVSRwfirWoETOrKCh2RSnoygzVPWEk95Me9L-Kwo&amp;m=EaKyFx9mpkhPdFxsxzvW_fiM3jbYwM3xYLjVbSFoDAg&amp;s=253qyL8naG0f5VmhCyLKnfc00_Qp0yy8tR7vaIUi4YA&amp;e=</t>
  </si>
  <si>
    <t>50骞?351</t>
  </si>
  <si>
    <t>FRN-1954</t>
  </si>
  <si>
    <t>820d659c-1e42-11e4-b4cd-db5882bf8def</t>
  </si>
  <si>
    <t>Mendes-France</t>
  </si>
  <si>
    <t>FRN-1955</t>
  </si>
  <si>
    <t>FRN-1956</t>
  </si>
  <si>
    <t>820d659d-1e42-11e4-b4cd-db5882bf8def</t>
  </si>
  <si>
    <t>Mollet</t>
  </si>
  <si>
    <t>https://urldefense.proofpoint.com/v2/url?u=http-3A__dbpedia.org_resource_Guy-5FMollet&amp;d=BQID-g&amp;c=kbmfwr1Yojg42sGEpaQh5ofMHBeTl9EI2eaqQZhHbOU&amp;r=ZliGVSRwfirWoETOrKCh2RSnoygzVPWEk95Me9L-Kwo&amp;m=EaKyFx9mpkhPdFxsxzvW_fiM3jbYwM3xYLjVbSFoDAg&amp;s=VZN9Ad175CfyNGAG3HA1szg6e8e1J5FL0nl54jAVCEk&amp;e=</t>
  </si>
  <si>
    <t>50骞?499</t>
  </si>
  <si>
    <t>FRN-1957-1</t>
  </si>
  <si>
    <t>820d659e-1e42-11e4-b4cd-db5882bf8def</t>
  </si>
  <si>
    <t>Bourges-Maunory</t>
  </si>
  <si>
    <t>https://urldefense.proofpoint.com/v2/url?u=http-3A__dbpedia.org_resource_Maurice-5FBourg-25C3-25A8s-2DMaunoury&amp;d=BQID-g&amp;c=kbmfwr1Yojg42sGEpaQh5ofMHBeTl9EI2eaqQZhHbOU&amp;r=ZliGVSRwfirWoETOrKCh2RSnoygzVPWEk95Me9L-Kwo&amp;m=EaKyFx9mpkhPdFxsxzvW_fiM3jbYwM3xYLjVbSFoDAg&amp;s=co-wW1djvkQsXbErn4s0gsrKt8AaeoWV8JVH1jmT_KY&amp;e=</t>
  </si>
  <si>
    <t>50骞?145</t>
  </si>
  <si>
    <t>FRN-1957-2</t>
  </si>
  <si>
    <t>820d659f-1e42-11e4-b4cd-db5882bf8def</t>
  </si>
  <si>
    <t>Gaillard</t>
  </si>
  <si>
    <t>https://urldefense.proofpoint.com/v2/url?u=http-3A__dbpedia.org_resource_F-25C3-25A9lix-5FGaillard&amp;d=BQID-g&amp;c=kbmfwr1Yojg42sGEpaQh5ofMHBeTl9EI2eaqQZhHbOU&amp;r=ZliGVSRwfirWoETOrKCh2RSnoygzVPWEk95Me9L-Kwo&amp;m=EaKyFx9mpkhPdFxsxzvW_fiM3jbYwM3xYLjVbSFoDAg&amp;s=376tD-7oFWxRVJ3zK8OpP2cZnUjHfZZ3wF4tcA7dZm0&amp;e=</t>
  </si>
  <si>
    <t>50骞?188</t>
  </si>
  <si>
    <t>FRN-1958-1</t>
  </si>
  <si>
    <t>820d65a0-1e42-11e4-b4cd-db5882bf8def</t>
  </si>
  <si>
    <t>Pflimin</t>
  </si>
  <si>
    <t>https://urldefense.proofpoint.com/v2/url?u=http-3A__dbpedia.org_resource_Pierre-5FPflimlin&amp;d=BQID-g&amp;c=kbmfwr1Yojg42sGEpaQh5ofMHBeTl9EI2eaqQZhHbOU&amp;r=ZliGVSRwfirWoETOrKCh2RSnoygzVPWEk95Me9L-Kwo&amp;m=EaKyFx9mpkhPdFxsxzvW_fiM3jbYwM3xYLjVbSFoDAg&amp;s=fYBzzZUC2RB1ride_YNIYNp4QZm9nrSDaRPDPpLqKDs&amp;e=</t>
  </si>
  <si>
    <t>50骞?17</t>
  </si>
  <si>
    <t>FRN-1958-2</t>
  </si>
  <si>
    <t>50骞?3983</t>
  </si>
  <si>
    <t>FRN-1969-1</t>
  </si>
  <si>
    <t>820d65a1-1e42-11e4-b4cd-db5882bf8def</t>
  </si>
  <si>
    <t>Poher</t>
  </si>
  <si>
    <t>https://urldefense.proofpoint.com/v2/url?u=http-3A__dbpedia.org_resource_Alain-5FPoher&amp;d=BQID-g&amp;c=kbmfwr1Yojg42sGEpaQh5ofMHBeTl9EI2eaqQZhHbOU&amp;r=ZliGVSRwfirWoETOrKCh2RSnoygzVPWEk95Me9L-Kwo&amp;m=EaKyFx9mpkhPdFxsxzvW_fiM3jbYwM3xYLjVbSFoDAg&amp;s=KHMB4wS0yb4XM-bE09Fh7rpjqiHVgcDqBbD8picG5PQ&amp;e=</t>
  </si>
  <si>
    <t>50骞?54</t>
  </si>
  <si>
    <t>FRN-1969-2</t>
  </si>
  <si>
    <t>820d967a-1e42-11e4-b4cd-db5882bf8def</t>
  </si>
  <si>
    <t>Pompidou</t>
  </si>
  <si>
    <t>https://urldefense.proofpoint.com/v2/url?u=http-3A__dbpedia.org_resource_Georges-5FPompidou&amp;d=BQID-g&amp;c=kbmfwr1Yojg42sGEpaQh5ofMHBeTl9EI2eaqQZhHbOU&amp;r=ZliGVSRwfirWoETOrKCh2RSnoygzVPWEk95Me9L-Kwo&amp;m=EaKyFx9mpkhPdFxsxzvW_fiM3jbYwM3xYLjVbSFoDAg&amp;s=BXPWNb-_eLtnAT4YvtqwtCvmeXmumNWTDhp4UPSKQ1o&amp;e=</t>
  </si>
  <si>
    <t>50骞?1747</t>
  </si>
  <si>
    <t>FRN-1974-1</t>
  </si>
  <si>
    <t>50骞?55</t>
  </si>
  <si>
    <t>FRN-1974-2</t>
  </si>
  <si>
    <t>820d967b-1e42-11e4-b4cd-db5882bf8def</t>
  </si>
  <si>
    <t>Giscard D'Estaing</t>
  </si>
  <si>
    <t>50骞?2551</t>
  </si>
  <si>
    <t>FRN-1981</t>
  </si>
  <si>
    <t>820d967c-1e42-11e4-b4cd-db5882bf8def</t>
  </si>
  <si>
    <t>Mitterand</t>
  </si>
  <si>
    <t>https://urldefense.proofpoint.com/v2/url?u=http-3A__dbpedia.org_resource_Fran-25C3-25A7ois-5FMitterrand&amp;d=BQID-g&amp;c=kbmfwr1Yojg42sGEpaQh5ofMHBeTl9EI2eaqQZhHbOU&amp;r=ZliGVSRwfirWoETOrKCh2RSnoygzVPWEk95Me9L-Kwo&amp;m=EaKyFx9mpkhPdFxsxzvW_fiM3jbYwM3xYLjVbSFoDAg&amp;s=6VFj_q11aQqMSJE-vRBo4AHp0zzhRQdGMczIC6LF8GI&amp;e=</t>
  </si>
  <si>
    <t>50骞?5109</t>
  </si>
  <si>
    <t>FRN-1995</t>
  </si>
  <si>
    <t>820d967d-1e42-11e4-b4cd-db5882bf8def</t>
  </si>
  <si>
    <t>Chirac</t>
  </si>
  <si>
    <t>https://urldefense.proofpoint.com/v2/url?u=http-3A__dbpedia.org_resource_Jacques-5FChirac&amp;d=BQID-g&amp;c=kbmfwr1Yojg42sGEpaQh5ofMHBeTl9EI2eaqQZhHbOU&amp;r=ZliGVSRwfirWoETOrKCh2RSnoygzVPWEk95Me9L-Kwo&amp;m=EaKyFx9mpkhPdFxsxzvW_fiM3jbYwM3xYLjVbSFoDAg&amp;s=2jOcmkVAaVn6PORC3Qc3bTX2SRe0ll6XF5OrDnZf3QI&amp;e=</t>
  </si>
  <si>
    <t>50骞?4382</t>
  </si>
  <si>
    <t>FRN-2007</t>
  </si>
  <si>
    <t>82511d05-1e42-11e4-b4cd-db5882bf8def</t>
  </si>
  <si>
    <t>Sarkozy</t>
  </si>
  <si>
    <t>50骞?1826</t>
  </si>
  <si>
    <t>FRN-2012</t>
  </si>
  <si>
    <t>2b37a455-3481-11e4-8dba-bbcd9ed46413</t>
  </si>
  <si>
    <t>Hollande</t>
  </si>
  <si>
    <t>50骞?1325</t>
  </si>
  <si>
    <t>SWZ-1875</t>
  </si>
  <si>
    <t>820d967e-1e42-11e4-b4cd-db5882bf8def</t>
  </si>
  <si>
    <t>SWZ</t>
  </si>
  <si>
    <t>Scherer</t>
  </si>
  <si>
    <t>1875-01-01</t>
  </si>
  <si>
    <t>1875-12-31</t>
  </si>
  <si>
    <t>SWZ-1876</t>
  </si>
  <si>
    <t>19ace128-3bbd-11e5-afeb-eb6f07f9fec7</t>
  </si>
  <si>
    <t>Welti</t>
  </si>
  <si>
    <t>1876-01-01</t>
  </si>
  <si>
    <t>1876-12-31</t>
  </si>
  <si>
    <t>1825-04-23</t>
  </si>
  <si>
    <t>23apr1825</t>
  </si>
  <si>
    <t>SWZ-1877</t>
  </si>
  <si>
    <t>820d967f-1e42-11e4-b4cd-db5882bf8def</t>
  </si>
  <si>
    <t>Heer</t>
  </si>
  <si>
    <t>1877-01-01</t>
  </si>
  <si>
    <t>1877-12-31</t>
  </si>
  <si>
    <t>1825-09-25</t>
  </si>
  <si>
    <t>25sep1825</t>
  </si>
  <si>
    <t>SWZ-1878</t>
  </si>
  <si>
    <t>19b08aa8-3bbd-11e5-afeb-eb6f07f9fec7</t>
  </si>
  <si>
    <t>Schenck</t>
  </si>
  <si>
    <t>1878-01-01</t>
  </si>
  <si>
    <t>1878-12-31</t>
  </si>
  <si>
    <t>1823-12-01</t>
  </si>
  <si>
    <t>01dec1823</t>
  </si>
  <si>
    <t>SWZ-1879</t>
  </si>
  <si>
    <t>820dc74e-1e42-11e4-b4cd-db5882bf8def</t>
  </si>
  <si>
    <t>Hammer</t>
  </si>
  <si>
    <t>1879-12-31</t>
  </si>
  <si>
    <t>1822-03-03</t>
  </si>
  <si>
    <t>03mar1822</t>
  </si>
  <si>
    <t>SWZ-1880</t>
  </si>
  <si>
    <t>1880-01-01</t>
  </si>
  <si>
    <t>1880-12-31</t>
  </si>
  <si>
    <t>SWZ-1881</t>
  </si>
  <si>
    <t>820dc74f-1e42-11e4-b4cd-db5882bf8def</t>
  </si>
  <si>
    <t>Droz</t>
  </si>
  <si>
    <t>1881-01-01</t>
  </si>
  <si>
    <t>01jan1881</t>
  </si>
  <si>
    <t>1881-12-31</t>
  </si>
  <si>
    <t>1844-01-27</t>
  </si>
  <si>
    <t>27jan1844</t>
  </si>
  <si>
    <t>SWZ-1882</t>
  </si>
  <si>
    <t>820dc750-1e42-11e4-b4cd-db5882bf8def</t>
  </si>
  <si>
    <t>Bavier</t>
  </si>
  <si>
    <t>1882-01-01</t>
  </si>
  <si>
    <t>1825-09-16</t>
  </si>
  <si>
    <t>16sep1825</t>
  </si>
  <si>
    <t>SWZ-1883</t>
  </si>
  <si>
    <t>820dc751-1e42-11e4-b4cd-db5882bf8def</t>
  </si>
  <si>
    <t>Ruchonnet</t>
  </si>
  <si>
    <t>1883-01-01</t>
  </si>
  <si>
    <t>01jan1883</t>
  </si>
  <si>
    <t>1883-12-31</t>
  </si>
  <si>
    <t>1834-04-28</t>
  </si>
  <si>
    <t>28apr1834</t>
  </si>
  <si>
    <t>https://urldefense.proofpoint.com/v2/url?u=http-3A__dbpedia.org_resource_Louis-5FRuchonnet&amp;d=BQID-g&amp;c=kbmfwr1Yojg42sGEpaQh5ofMHBeTl9EI2eaqQZhHbOU&amp;r=ZliGVSRwfirWoETOrKCh2RSnoygzVPWEk95Me9L-Kwo&amp;m=EaKyFx9mpkhPdFxsxzvW_fiM3jbYwM3xYLjVbSFoDAg&amp;s=cFVyeQrfPpybWixxuR3piFJ1jJWV61lq-Q-p2VGrNdo&amp;e=</t>
  </si>
  <si>
    <t>SWZ-1884</t>
  </si>
  <si>
    <t>1884-01-01</t>
  </si>
  <si>
    <t>1884-12-31</t>
  </si>
  <si>
    <t>SWZ-1885</t>
  </si>
  <si>
    <t>1885-01-01</t>
  </si>
  <si>
    <t>1885-12-31</t>
  </si>
  <si>
    <t>SWZ-1886</t>
  </si>
  <si>
    <t>820dc752-1e42-11e4-b4cd-db5882bf8def</t>
  </si>
  <si>
    <t>Deucher</t>
  </si>
  <si>
    <t>1886-01-01</t>
  </si>
  <si>
    <t>1886-12-31</t>
  </si>
  <si>
    <t>1831-02-15</t>
  </si>
  <si>
    <t>15feb1831</t>
  </si>
  <si>
    <t>SWZ-1887</t>
  </si>
  <si>
    <t>1887-01-01</t>
  </si>
  <si>
    <t>1887-12-31</t>
  </si>
  <si>
    <t>SWZ-1888-1</t>
  </si>
  <si>
    <t>820df822-1e42-11e4-b4cd-db5882bf8def</t>
  </si>
  <si>
    <t>Hertenstein</t>
  </si>
  <si>
    <t>1888-01-01</t>
  </si>
  <si>
    <t>1888-11-27</t>
  </si>
  <si>
    <t>27nov1888</t>
  </si>
  <si>
    <t>1825-03-05</t>
  </si>
  <si>
    <t>05mar1825</t>
  </si>
  <si>
    <t>SWZ-1888-2</t>
  </si>
  <si>
    <t>1889-12-31</t>
  </si>
  <si>
    <t>31dec1889</t>
  </si>
  <si>
    <t>SWZ-1890</t>
  </si>
  <si>
    <t>1890-01-01</t>
  </si>
  <si>
    <t>1890-12-31</t>
  </si>
  <si>
    <t>SWZ-1891</t>
  </si>
  <si>
    <t>1891-01-01</t>
  </si>
  <si>
    <t>1891-12-31</t>
  </si>
  <si>
    <t>SWZ-1892</t>
  </si>
  <si>
    <t>820df823-1e42-11e4-b4cd-db5882bf8def</t>
  </si>
  <si>
    <t>Hauser</t>
  </si>
  <si>
    <t>1892-01-01</t>
  </si>
  <si>
    <t>01jan1892</t>
  </si>
  <si>
    <t>1892-12-31</t>
  </si>
  <si>
    <t>1837-05-01</t>
  </si>
  <si>
    <t>01may1837</t>
  </si>
  <si>
    <t>SWZ-1893</t>
  </si>
  <si>
    <t>1893-01-01</t>
  </si>
  <si>
    <t>1893-12-31</t>
  </si>
  <si>
    <t>SWZ-1894</t>
  </si>
  <si>
    <t>820df824-1e42-11e4-b4cd-db5882bf8def</t>
  </si>
  <si>
    <t>Frey</t>
  </si>
  <si>
    <t>1894-01-01</t>
  </si>
  <si>
    <t>1894-12-31</t>
  </si>
  <si>
    <t>1838-10-24</t>
  </si>
  <si>
    <t>24oct1838</t>
  </si>
  <si>
    <t>SWZ-1895</t>
  </si>
  <si>
    <t>820df825-1e42-11e4-b4cd-db5882bf8def</t>
  </si>
  <si>
    <t>Zemp</t>
  </si>
  <si>
    <t>1895-01-01</t>
  </si>
  <si>
    <t>1895-12-31</t>
  </si>
  <si>
    <t>1834-09-02</t>
  </si>
  <si>
    <t>02sep1834</t>
  </si>
  <si>
    <t>SWZ-1896</t>
  </si>
  <si>
    <t>820df826-1e42-11e4-b4cd-db5882bf8def</t>
  </si>
  <si>
    <t>Lachenal</t>
  </si>
  <si>
    <t>1896-01-01</t>
  </si>
  <si>
    <t>1896-12-31</t>
  </si>
  <si>
    <t>1849-05-19</t>
  </si>
  <si>
    <t>19may1849</t>
  </si>
  <si>
    <t>SWZ-1897</t>
  </si>
  <si>
    <t>1897-01-01</t>
  </si>
  <si>
    <t>1897-12-31</t>
  </si>
  <si>
    <t>SWZ-1898</t>
  </si>
  <si>
    <t>820e28f6-1e42-11e4-b4cd-db5882bf8def</t>
  </si>
  <si>
    <t>Ruffy</t>
  </si>
  <si>
    <t>1898-01-01</t>
  </si>
  <si>
    <t>1898-12-31</t>
  </si>
  <si>
    <t>1854-08-02</t>
  </si>
  <si>
    <t>02aug1854</t>
  </si>
  <si>
    <t>SWZ-1899</t>
  </si>
  <si>
    <t>820e28f7-1e42-11e4-b4cd-db5882bf8def</t>
  </si>
  <si>
    <t>Muller</t>
  </si>
  <si>
    <t>1899-01-01</t>
  </si>
  <si>
    <t>1899-12-31</t>
  </si>
  <si>
    <t>1848-11-12</t>
  </si>
  <si>
    <t>12nov1848</t>
  </si>
  <si>
    <t>SWZ-1900</t>
  </si>
  <si>
    <t>SWZ-1901</t>
  </si>
  <si>
    <t>820e28f8-1e42-11e4-b4cd-db5882bf8def</t>
  </si>
  <si>
    <t>Brenner</t>
  </si>
  <si>
    <t>SWZ-1902</t>
  </si>
  <si>
    <t>SWZ-1903</t>
  </si>
  <si>
    <t>SWZ-1904</t>
  </si>
  <si>
    <t>820e28f9-1e42-11e4-b4cd-db5882bf8def</t>
  </si>
  <si>
    <t>Comtesse</t>
  </si>
  <si>
    <t>1847-08-14</t>
  </si>
  <si>
    <t>14aug1847</t>
  </si>
  <si>
    <t>SWZ-1905</t>
  </si>
  <si>
    <t>820e28fa-1e42-11e4-b4cd-db5882bf8def</t>
  </si>
  <si>
    <t>Ruchet</t>
  </si>
  <si>
    <t>1853-09-14</t>
  </si>
  <si>
    <t>14sep1853</t>
  </si>
  <si>
    <t>SWZ-1906</t>
  </si>
  <si>
    <t>820e59ca-1e42-11e4-b4cd-db5882bf8def</t>
  </si>
  <si>
    <t>Forrer</t>
  </si>
  <si>
    <t>1845-02-09</t>
  </si>
  <si>
    <t>09feb1845</t>
  </si>
  <si>
    <t>SWZ-1907</t>
  </si>
  <si>
    <t>SWZ-1908</t>
  </si>
  <si>
    <t>SWZ-1909</t>
  </si>
  <si>
    <t>SWZ-1910</t>
  </si>
  <si>
    <t>SWZ-1911</t>
  </si>
  <si>
    <t>SWZ-1912</t>
  </si>
  <si>
    <t>SWZ-1913</t>
  </si>
  <si>
    <t>SWZ-1914</t>
  </si>
  <si>
    <t>820e59cb-1e42-11e4-b4cd-db5882bf8def</t>
  </si>
  <si>
    <t>Hoffman</t>
  </si>
  <si>
    <t>1857-06-08</t>
  </si>
  <si>
    <t>08jun1857</t>
  </si>
  <si>
    <t>SWZ-1915</t>
  </si>
  <si>
    <t>820e59cc-1e42-11e4-b4cd-db5882bf8def</t>
  </si>
  <si>
    <t>Motta</t>
  </si>
  <si>
    <t>1871-12-17</t>
  </si>
  <si>
    <t>17dec1871</t>
  </si>
  <si>
    <t>SWZ-1916</t>
  </si>
  <si>
    <t>820e59cd-1e42-11e4-b4cd-db5882bf8def</t>
  </si>
  <si>
    <t>Decoppet</t>
  </si>
  <si>
    <t>1862-06-04</t>
  </si>
  <si>
    <t>04jun1862</t>
  </si>
  <si>
    <t>SWZ-1917</t>
  </si>
  <si>
    <t>820e59ce-1e42-11e4-b4cd-db5882bf8def</t>
  </si>
  <si>
    <t>Schulthess</t>
  </si>
  <si>
    <t>1868-03-02</t>
  </si>
  <si>
    <t>02mar1868</t>
  </si>
  <si>
    <t>SWZ-1918</t>
  </si>
  <si>
    <t>820e59cf-1e42-11e4-b4cd-db5882bf8def</t>
  </si>
  <si>
    <t>Calonder</t>
  </si>
  <si>
    <t>1863-10-07</t>
  </si>
  <si>
    <t>07oct1863</t>
  </si>
  <si>
    <t>SWZ-1919</t>
  </si>
  <si>
    <t>820e8a9e-1e42-11e4-b4cd-db5882bf8def</t>
  </si>
  <si>
    <t>Ador</t>
  </si>
  <si>
    <t>1845-12-23</t>
  </si>
  <si>
    <t>23dec1845</t>
  </si>
  <si>
    <t>SWZ-1920</t>
  </si>
  <si>
    <t>SWZ-1921</t>
  </si>
  <si>
    <t>SWZ-1922</t>
  </si>
  <si>
    <t>820e8a9f-1e42-11e4-b4cd-db5882bf8def</t>
  </si>
  <si>
    <t>Haab</t>
  </si>
  <si>
    <t>SWZ-1923</t>
  </si>
  <si>
    <t>820e8aa0-1e42-11e4-b4cd-db5882bf8def</t>
  </si>
  <si>
    <t>Scheurer</t>
  </si>
  <si>
    <t>SWZ-1924</t>
  </si>
  <si>
    <t>820e8aa1-1e42-11e4-b4cd-db5882bf8def</t>
  </si>
  <si>
    <t>Chuard</t>
  </si>
  <si>
    <t>SWZ-1925</t>
  </si>
  <si>
    <t>820e8aa2-1e42-11e4-b4cd-db5882bf8def</t>
  </si>
  <si>
    <t>Musy</t>
  </si>
  <si>
    <t>1876-04-10</t>
  </si>
  <si>
    <t>10apr1876</t>
  </si>
  <si>
    <t>SWZ-1926</t>
  </si>
  <si>
    <t>820ebb72-1e42-11e4-b4cd-db5882bf8def</t>
  </si>
  <si>
    <t>Haberlin</t>
  </si>
  <si>
    <t>1868-09-06</t>
  </si>
  <si>
    <t>06sep1868</t>
  </si>
  <si>
    <t>SWZ-1927</t>
  </si>
  <si>
    <t>SWZ-1928</t>
  </si>
  <si>
    <t>SWZ-1929</t>
  </si>
  <si>
    <t>SWZ-1930</t>
  </si>
  <si>
    <t>SWZ-1931</t>
  </si>
  <si>
    <t>SWZ-1932</t>
  </si>
  <si>
    <t>SWZ-1933</t>
  </si>
  <si>
    <t>SWZ-1934</t>
  </si>
  <si>
    <t>820ebb73-1e42-11e4-b4cd-db5882bf8def</t>
  </si>
  <si>
    <t>Golaz</t>
  </si>
  <si>
    <t>SWZ-1935</t>
  </si>
  <si>
    <t>820ebb74-1e42-11e4-b4cd-db5882bf8def</t>
  </si>
  <si>
    <t>Minger</t>
  </si>
  <si>
    <t>1881-11-12</t>
  </si>
  <si>
    <t>12nov1881</t>
  </si>
  <si>
    <t>SWZ-1936</t>
  </si>
  <si>
    <t>820ebb75-1e42-11e4-b4cd-db5882bf8def</t>
  </si>
  <si>
    <t>Meyer</t>
  </si>
  <si>
    <t>1870-03-12</t>
  </si>
  <si>
    <t>12mar1870</t>
  </si>
  <si>
    <t>SWZ-1937</t>
  </si>
  <si>
    <t>SWZ-1938</t>
  </si>
  <si>
    <t>820ebb76-1e42-11e4-b4cd-db5882bf8def</t>
  </si>
  <si>
    <t>Baumann</t>
  </si>
  <si>
    <t>1874-11-27</t>
  </si>
  <si>
    <t>27nov1874</t>
  </si>
  <si>
    <t>SWZ-1939</t>
  </si>
  <si>
    <t>820eec46-1e42-11e4-b4cd-db5882bf8def</t>
  </si>
  <si>
    <t>Etter</t>
  </si>
  <si>
    <t>1891-12-21</t>
  </si>
  <si>
    <t>21dec1891</t>
  </si>
  <si>
    <t>SWZ-1940</t>
  </si>
  <si>
    <t>SWZ-1941</t>
  </si>
  <si>
    <t>820eec47-1e42-11e4-b4cd-db5882bf8def</t>
  </si>
  <si>
    <t>Wetter</t>
  </si>
  <si>
    <t>1877-08-27</t>
  </si>
  <si>
    <t>27aug1877</t>
  </si>
  <si>
    <t>SWZ-1942</t>
  </si>
  <si>
    <t>SWZ-1943</t>
  </si>
  <si>
    <t>3586da98-3bbd-11e5-afeb-eb6f07f9fec7</t>
  </si>
  <si>
    <t>Enrico Celio</t>
  </si>
  <si>
    <t>1889-06-19</t>
  </si>
  <si>
    <t>19jun1889</t>
  </si>
  <si>
    <t>SWZ-1944</t>
  </si>
  <si>
    <t>820eec49-1e42-11e4-b4cd-db5882bf8def</t>
  </si>
  <si>
    <t>Stampfli</t>
  </si>
  <si>
    <t>1884-12-03</t>
  </si>
  <si>
    <t>03dec1884</t>
  </si>
  <si>
    <t>SWZ-1945</t>
  </si>
  <si>
    <t>820eec4a-1e42-11e4-b4cd-db5882bf8def</t>
  </si>
  <si>
    <t>von Steiger</t>
  </si>
  <si>
    <t>1881-07-02</t>
  </si>
  <si>
    <t>02jul1881</t>
  </si>
  <si>
    <t>SWZ-1946</t>
  </si>
  <si>
    <t>820f1d1a-1e42-11e4-b4cd-db5882bf8def</t>
  </si>
  <si>
    <t>Kobelt</t>
  </si>
  <si>
    <t>1891-08-01</t>
  </si>
  <si>
    <t>01aug1891</t>
  </si>
  <si>
    <t>SWZ-1947</t>
  </si>
  <si>
    <t>SWZ-1948</t>
  </si>
  <si>
    <t>SWZ-1949</t>
  </si>
  <si>
    <t>820f1d1b-1e42-11e4-b4cd-db5882bf8def</t>
  </si>
  <si>
    <t>Nobs</t>
  </si>
  <si>
    <t>1886-07-14</t>
  </si>
  <si>
    <t>14jul1886</t>
  </si>
  <si>
    <t>SWZ-1950</t>
  </si>
  <si>
    <t>820f1d1c-1e42-11e4-b4cd-db5882bf8def</t>
  </si>
  <si>
    <t>Petipierre</t>
  </si>
  <si>
    <t>1899-02-26</t>
  </si>
  <si>
    <t>26feb1899</t>
  </si>
  <si>
    <t>SWZ-1951</t>
  </si>
  <si>
    <t>SWZ-1952</t>
  </si>
  <si>
    <t>SWZ-1953</t>
  </si>
  <si>
    <t>SWZ-1954</t>
  </si>
  <si>
    <t>820f1d1d-1e42-11e4-b4cd-db5882bf8def</t>
  </si>
  <si>
    <t>Rubattel</t>
  </si>
  <si>
    <t>1896-09-04</t>
  </si>
  <si>
    <t>04sep1896</t>
  </si>
  <si>
    <t>SWZ-1955</t>
  </si>
  <si>
    <t>SWZ-1956</t>
  </si>
  <si>
    <t>820f1d1e-1e42-11e4-b4cd-db5882bf8def</t>
  </si>
  <si>
    <t>Feldmann</t>
  </si>
  <si>
    <t>1897-05-21</t>
  </si>
  <si>
    <t>21may1897</t>
  </si>
  <si>
    <t>SWZ-1957</t>
  </si>
  <si>
    <t>820f4dee-1e42-11e4-b4cd-db5882bf8def</t>
  </si>
  <si>
    <t>Streuli</t>
  </si>
  <si>
    <t>1892-07-13</t>
  </si>
  <si>
    <t>13jul1892</t>
  </si>
  <si>
    <t>SWZ-1958</t>
  </si>
  <si>
    <t>820f4def-1e42-11e4-b4cd-db5882bf8def</t>
  </si>
  <si>
    <t>Holenstein</t>
  </si>
  <si>
    <t>1896-12-07</t>
  </si>
  <si>
    <t>07dec1896</t>
  </si>
  <si>
    <t>SWZ-1959</t>
  </si>
  <si>
    <t>820f4df0-1e42-11e4-b4cd-db5882bf8def</t>
  </si>
  <si>
    <t>Chaudet</t>
  </si>
  <si>
    <t>SWZ-1960</t>
  </si>
  <si>
    <t>SWZ-1961</t>
  </si>
  <si>
    <t>820f4df1-1e42-11e4-b4cd-db5882bf8def</t>
  </si>
  <si>
    <t>Friedrich</t>
  </si>
  <si>
    <t>1899-04-10</t>
  </si>
  <si>
    <t>10apr1899</t>
  </si>
  <si>
    <t>SWZ-1962</t>
  </si>
  <si>
    <t>SWZ-1963</t>
  </si>
  <si>
    <t>820f4df2-1e42-11e4-b4cd-db5882bf8def</t>
  </si>
  <si>
    <t>Spuhler</t>
  </si>
  <si>
    <t>SWZ-1964</t>
  </si>
  <si>
    <t>820f7ecc-1e42-11e4-b4cd-db5882bf8def</t>
  </si>
  <si>
    <t>von Moos</t>
  </si>
  <si>
    <t>SWZ-1965</t>
  </si>
  <si>
    <t>820f7ecd-1e42-11e4-b4cd-db5882bf8def</t>
  </si>
  <si>
    <t>Tschudi</t>
  </si>
  <si>
    <t>SWZ-1966</t>
  </si>
  <si>
    <t>820f7ece-1e42-11e4-b4cd-db5882bf8def</t>
  </si>
  <si>
    <t>Schaffner</t>
  </si>
  <si>
    <t>SWZ-1967</t>
  </si>
  <si>
    <t>820f7ecf-1e42-11e4-b4cd-db5882bf8def</t>
  </si>
  <si>
    <t>Bonvin</t>
  </si>
  <si>
    <t>SWZ-1968</t>
  </si>
  <si>
    <t>SWZ-1969</t>
  </si>
  <si>
    <t>SWZ-1970</t>
  </si>
  <si>
    <t>SWZ-1971</t>
  </si>
  <si>
    <t>820f7ed0-1e42-11e4-b4cd-db5882bf8def</t>
  </si>
  <si>
    <t>Gnagi</t>
  </si>
  <si>
    <t>SWZ-1972</t>
  </si>
  <si>
    <t>43f5aea4-de6a-11e5-ba44-bb6d7c1a9a58</t>
  </si>
  <si>
    <t>Nello Celio</t>
  </si>
  <si>
    <t>SWZ-1973</t>
  </si>
  <si>
    <t>SWZ-1974</t>
  </si>
  <si>
    <t>820fafa1-1e42-11e4-b4cd-db5882bf8def</t>
  </si>
  <si>
    <t>Brugger</t>
  </si>
  <si>
    <t>SWZ-1975</t>
  </si>
  <si>
    <t>820fafa2-1e42-11e4-b4cd-db5882bf8def</t>
  </si>
  <si>
    <t>Graber</t>
  </si>
  <si>
    <t>SWZ-1976</t>
  </si>
  <si>
    <t>SWZ-1977</t>
  </si>
  <si>
    <t>820fafa3-1e42-11e4-b4cd-db5882bf8def</t>
  </si>
  <si>
    <t>Furgler</t>
  </si>
  <si>
    <t>SWZ-1978</t>
  </si>
  <si>
    <t>820fafa4-1e42-11e4-b4cd-db5882bf8def</t>
  </si>
  <si>
    <t>Ritschard</t>
  </si>
  <si>
    <t>SWZ-1979</t>
  </si>
  <si>
    <t>820fe074-1e42-11e4-b4cd-db5882bf8def</t>
  </si>
  <si>
    <t>Hurlimann</t>
  </si>
  <si>
    <t>SWZ-1980</t>
  </si>
  <si>
    <t>820fe075-1e42-11e4-b4cd-db5882bf8def</t>
  </si>
  <si>
    <t>Chevallaz</t>
  </si>
  <si>
    <t>SWZ-1981</t>
  </si>
  <si>
    <t>SWZ-1982</t>
  </si>
  <si>
    <t>820fe076-1e42-11e4-b4cd-db5882bf8def</t>
  </si>
  <si>
    <t>Honegger</t>
  </si>
  <si>
    <t>SWZ-1983</t>
  </si>
  <si>
    <t>820fe077-1e42-11e4-b4cd-db5882bf8def</t>
  </si>
  <si>
    <t>Aubert</t>
  </si>
  <si>
    <t>SWZ-1984</t>
  </si>
  <si>
    <t>820fe078-1e42-11e4-b4cd-db5882bf8def</t>
  </si>
  <si>
    <t>Schlumpf</t>
  </si>
  <si>
    <t>SWZ-1985</t>
  </si>
  <si>
    <t>SWZ-1986</t>
  </si>
  <si>
    <t>82101148-1e42-11e4-b4cd-db5882bf8def</t>
  </si>
  <si>
    <t>Egli</t>
  </si>
  <si>
    <t>SWZ-1987</t>
  </si>
  <si>
    <t>SWZ-1988</t>
  </si>
  <si>
    <t>82101149-1e42-11e4-b4cd-db5882bf8def</t>
  </si>
  <si>
    <t>Stich</t>
  </si>
  <si>
    <t>SWZ-1989</t>
  </si>
  <si>
    <t>8210114a-1e42-11e4-b4cd-db5882bf8def</t>
  </si>
  <si>
    <t>Delamuraz</t>
  </si>
  <si>
    <t>SWZ-1990</t>
  </si>
  <si>
    <t>8210114b-1e42-11e4-b4cd-db5882bf8def</t>
  </si>
  <si>
    <t>Koller</t>
  </si>
  <si>
    <t>SWZ-1991</t>
  </si>
  <si>
    <t>8210114c-1e42-11e4-b4cd-db5882bf8def</t>
  </si>
  <si>
    <t>Cotti</t>
  </si>
  <si>
    <t>SWZ-1992</t>
  </si>
  <si>
    <t>8210421c-1e42-11e4-b4cd-db5882bf8def</t>
  </si>
  <si>
    <t>Felber</t>
  </si>
  <si>
    <t>SWZ-1993</t>
  </si>
  <si>
    <t>8210421d-1e42-11e4-b4cd-db5882bf8def</t>
  </si>
  <si>
    <t>Ogi</t>
  </si>
  <si>
    <t>SWZ-1994</t>
  </si>
  <si>
    <t>SWZ-1995</t>
  </si>
  <si>
    <t>8210421e-1e42-11e4-b4cd-db5882bf8def</t>
  </si>
  <si>
    <t>Villiger</t>
  </si>
  <si>
    <t>SWZ-1996</t>
  </si>
  <si>
    <t>SWZ-1997</t>
  </si>
  <si>
    <t>SWZ-1998</t>
  </si>
  <si>
    <t>SWZ-1999</t>
  </si>
  <si>
    <t>8210421f-1e42-11e4-b4cd-db5882bf8def</t>
  </si>
  <si>
    <t>Dreifuss</t>
  </si>
  <si>
    <t>SWZ-2000</t>
  </si>
  <si>
    <t>SWZ-2001</t>
  </si>
  <si>
    <t>358af948-3bbd-11e5-afeb-eb6f07f9fec7</t>
  </si>
  <si>
    <t>Leuenberger</t>
  </si>
  <si>
    <t>SWZ-2002</t>
  </si>
  <si>
    <t>SWZ-2003</t>
  </si>
  <si>
    <t>358b2058-3bbd-11e5-afeb-eb6f07f9fec7</t>
  </si>
  <si>
    <t>Pascal Couchepin</t>
  </si>
  <si>
    <t>SWZ-2004</t>
  </si>
  <si>
    <t>821072f0-1e42-11e4-b4cd-db5882bf8def</t>
  </si>
  <si>
    <t>Joseph Deiss</t>
  </si>
  <si>
    <t>SWZ-2005</t>
  </si>
  <si>
    <t>82514dd4-1e42-11e4-b4cd-db5882bf8def</t>
  </si>
  <si>
    <t>Schmid</t>
  </si>
  <si>
    <t>SWZ-2006</t>
  </si>
  <si>
    <t>SWZ-2007</t>
  </si>
  <si>
    <t>82514dd6-1e42-11e4-b4cd-db5882bf8def</t>
  </si>
  <si>
    <t>Calmy-Rey</t>
  </si>
  <si>
    <t>SWZ-2008</t>
  </si>
  <si>
    <t>SWZ-2009</t>
  </si>
  <si>
    <t>82514dd8-1e42-11e4-b4cd-db5882bf8def</t>
  </si>
  <si>
    <t>Hans-Rudolf Merz</t>
  </si>
  <si>
    <t>SWZ-2010</t>
  </si>
  <si>
    <t>82514dd9-1e42-11e4-b4cd-db5882bf8def</t>
  </si>
  <si>
    <t>Doris Leuthard</t>
  </si>
  <si>
    <t>SWZ-2011</t>
  </si>
  <si>
    <t>SWZ-2012</t>
  </si>
  <si>
    <t>2b37a456-3481-11e4-8dba-bbcd9ed46413</t>
  </si>
  <si>
    <t>Eveline Widmer-Schlumpf</t>
  </si>
  <si>
    <t>SWZ-2013</t>
  </si>
  <si>
    <t>149e3ccd-aae0-11e4-b3bc-29f2fa19767e</t>
  </si>
  <si>
    <t>Ueli Maurer</t>
  </si>
  <si>
    <t>SWZ-2014</t>
  </si>
  <si>
    <t>149e3cce-aae0-11e4-b3bc-29f2fa19767e</t>
  </si>
  <si>
    <t>Didier Burkhalter</t>
  </si>
  <si>
    <t>1960-04-1970</t>
  </si>
  <si>
    <t>SWZ-2015</t>
  </si>
  <si>
    <t>43f5aea5-de6a-11e5-ba44-bb6d7c1a9a58</t>
  </si>
  <si>
    <t>Simonetta Sommaruga</t>
  </si>
  <si>
    <t>SPN-1874</t>
  </si>
  <si>
    <t>821072f1-1e42-11e4-b4cd-db5882bf8def</t>
  </si>
  <si>
    <t>SPN</t>
  </si>
  <si>
    <t>del Castillo</t>
  </si>
  <si>
    <t>1874-12-30</t>
  </si>
  <si>
    <t>1875-09-10</t>
  </si>
  <si>
    <t>1828-02-08</t>
  </si>
  <si>
    <t>08feb1828</t>
  </si>
  <si>
    <t>https://urldefense.proofpoint.com/v2/url?u=http-3A__dbpedia.org_resource_Antonio-5FC-25C3-25A1novas-5Fdel-5FCastillo&amp;d=BQID-g&amp;c=kbmfwr1Yojg42sGEpaQh5ofMHBeTl9EI2eaqQZhHbOU&amp;r=ZliGVSRwfirWoETOrKCh2RSnoygzVPWEk95Me9L-Kwo&amp;m=EaKyFx9mpkhPdFxsxzvW_fiM3jbYwM3xYLjVbSFoDAg&amp;s=RGCXYM6yq7HFDjFY40ipENwjC3sru6rBU3LqhQpU8bg&amp;e=</t>
  </si>
  <si>
    <t>200骞?254</t>
  </si>
  <si>
    <t>SPN-1875-1</t>
  </si>
  <si>
    <t>821072f2-1e42-11e4-b4cd-db5882bf8def</t>
  </si>
  <si>
    <t>Jovellar</t>
  </si>
  <si>
    <t>1875-09-11</t>
  </si>
  <si>
    <t>1875-12-02</t>
  </si>
  <si>
    <t>200骞?82</t>
  </si>
  <si>
    <t>SPN-1875-2</t>
  </si>
  <si>
    <t>1879-03-07</t>
  </si>
  <si>
    <t>200骞?1191</t>
  </si>
  <si>
    <t>SPN-1879-1</t>
  </si>
  <si>
    <t>19772b28-3bbd-11e5-afeb-eb6f07f9fec7</t>
  </si>
  <si>
    <t>Martinez-Campos</t>
  </si>
  <si>
    <t>1879-12-09</t>
  </si>
  <si>
    <t>1831-12-12</t>
  </si>
  <si>
    <t>12dec1831</t>
  </si>
  <si>
    <t>200骞?277</t>
  </si>
  <si>
    <t>SPN-1879-2</t>
  </si>
  <si>
    <t>1881-02-08</t>
  </si>
  <si>
    <t>200骞?427</t>
  </si>
  <si>
    <t>SPN-1881</t>
  </si>
  <si>
    <t>19b45b38-3bbd-11e5-afeb-eb6f07f9fec7</t>
  </si>
  <si>
    <t>Sagasta</t>
  </si>
  <si>
    <t>1883-10-13</t>
  </si>
  <si>
    <t>1827-07-21</t>
  </si>
  <si>
    <t>21jul1827</t>
  </si>
  <si>
    <t>200骞?977</t>
  </si>
  <si>
    <t>SPN-1883</t>
  </si>
  <si>
    <t>821072f3-1e42-11e4-b4cd-db5882bf8def</t>
  </si>
  <si>
    <t>Herrera</t>
  </si>
  <si>
    <t>1884-01-18</t>
  </si>
  <si>
    <t>200骞?97</t>
  </si>
  <si>
    <t>SPN-1884</t>
  </si>
  <si>
    <t>1885-11-27</t>
  </si>
  <si>
    <t>200骞?679</t>
  </si>
  <si>
    <t>SPN-1885</t>
  </si>
  <si>
    <t>1890-07-05</t>
  </si>
  <si>
    <t>200骞?1681</t>
  </si>
  <si>
    <t>SPN-1890</t>
  </si>
  <si>
    <t>1892-12-11</t>
  </si>
  <si>
    <t>200骞?890</t>
  </si>
  <si>
    <t>SPN-1892</t>
  </si>
  <si>
    <t>1895-03-23</t>
  </si>
  <si>
    <t>200骞?832</t>
  </si>
  <si>
    <t>SPN-1895</t>
  </si>
  <si>
    <t>1897-08-08</t>
  </si>
  <si>
    <t>200骞?869</t>
  </si>
  <si>
    <t>SPN-1897-1</t>
  </si>
  <si>
    <t>821072f4-1e42-11e4-b4cd-db5882bf8def</t>
  </si>
  <si>
    <t>Azcarraga y Palmero</t>
  </si>
  <si>
    <t>1897-10-04</t>
  </si>
  <si>
    <t>1832-09-04</t>
  </si>
  <si>
    <t>04sep1832</t>
  </si>
  <si>
    <t>200骞?57</t>
  </si>
  <si>
    <t>SPN-1897-2</t>
  </si>
  <si>
    <t>1899-03-05</t>
  </si>
  <si>
    <t>200骞?517</t>
  </si>
  <si>
    <t>SPN-1899</t>
  </si>
  <si>
    <t>8210a3c4-1e42-11e4-b4cd-db5882bf8def</t>
  </si>
  <si>
    <t>Le-Vielleuze</t>
  </si>
  <si>
    <t>1843-12-15</t>
  </si>
  <si>
    <t>15dec1843</t>
  </si>
  <si>
    <t>200骞?596</t>
  </si>
  <si>
    <t>SPN-1900</t>
  </si>
  <si>
    <t>200骞?127</t>
  </si>
  <si>
    <t>SPN-1901</t>
  </si>
  <si>
    <t>200骞?648</t>
  </si>
  <si>
    <t>SPN-1902</t>
  </si>
  <si>
    <t>200骞?226</t>
  </si>
  <si>
    <t>SPN-1903-1</t>
  </si>
  <si>
    <t>8210a3c5-1e42-11e4-b4cd-db5882bf8def</t>
  </si>
  <si>
    <t>Villaverde</t>
  </si>
  <si>
    <t>1848-01-20</t>
  </si>
  <si>
    <t>20jan1848</t>
  </si>
  <si>
    <t>200骞?139</t>
  </si>
  <si>
    <t>SPN-1903-2</t>
  </si>
  <si>
    <t>8210a3c6-1e42-11e4-b4cd-db5882bf8def</t>
  </si>
  <si>
    <t>Maura y Montaner</t>
  </si>
  <si>
    <t>1853-05-02</t>
  </si>
  <si>
    <t>02may1853</t>
  </si>
  <si>
    <t>200骞?376</t>
  </si>
  <si>
    <t>SPN-1904</t>
  </si>
  <si>
    <t>200骞?42</t>
  </si>
  <si>
    <t>SPN-1905-1</t>
  </si>
  <si>
    <t>200骞?147</t>
  </si>
  <si>
    <t>SPN-1905-2</t>
  </si>
  <si>
    <t>8210a3c7-1e42-11e4-b4cd-db5882bf8def</t>
  </si>
  <si>
    <t>Rios</t>
  </si>
  <si>
    <t>1832-11-12</t>
  </si>
  <si>
    <t>12nov1832</t>
  </si>
  <si>
    <t>200骞?161</t>
  </si>
  <si>
    <t>SPN-1905-3</t>
  </si>
  <si>
    <t>8210a3c8-1e42-11e4-b4cd-db5882bf8def</t>
  </si>
  <si>
    <t>Moret y Prendergast</t>
  </si>
  <si>
    <t>1838-07-02</t>
  </si>
  <si>
    <t>02jul1838</t>
  </si>
  <si>
    <t>200骞?216</t>
  </si>
  <si>
    <t>SPN-1906-1</t>
  </si>
  <si>
    <t>8210d498-1e42-11e4-b4cd-db5882bf8def</t>
  </si>
  <si>
    <t>Dominguez</t>
  </si>
  <si>
    <t>1829-11-29</t>
  </si>
  <si>
    <t>29nov1829</t>
  </si>
  <si>
    <t>200骞?148</t>
  </si>
  <si>
    <t>SPN-1906-2</t>
  </si>
  <si>
    <t>200骞?4</t>
  </si>
  <si>
    <t>SPN-1906-3</t>
  </si>
  <si>
    <t>8211056c-1e42-11e4-b4cd-db5882bf8def</t>
  </si>
  <si>
    <t>Aguilar y Correa</t>
  </si>
  <si>
    <t>1824-06-30</t>
  </si>
  <si>
    <t>30jun1824</t>
  </si>
  <si>
    <t>200骞?51</t>
  </si>
  <si>
    <t>SPN-1907</t>
  </si>
  <si>
    <t>200骞?1001</t>
  </si>
  <si>
    <t>SPN-1909</t>
  </si>
  <si>
    <t>200骞?111</t>
  </si>
  <si>
    <t>SPN-1910</t>
  </si>
  <si>
    <t>8211056d-1e42-11e4-b4cd-db5882bf8def</t>
  </si>
  <si>
    <t>Canalejas y Mendez</t>
  </si>
  <si>
    <t>1854-07-03</t>
  </si>
  <si>
    <t>03jul1854</t>
  </si>
  <si>
    <t>200骞?1007</t>
  </si>
  <si>
    <t>SPN-1912-1</t>
  </si>
  <si>
    <t>82113640-1e42-11e4-b4cd-db5882bf8def</t>
  </si>
  <si>
    <t>Figueroa y Torres</t>
  </si>
  <si>
    <t>200骞?3</t>
  </si>
  <si>
    <t>SPN-1912-2</t>
  </si>
  <si>
    <t>82113641-1e42-11e4-b4cd-db5882bf8def</t>
  </si>
  <si>
    <t>Garcia Prieto</t>
  </si>
  <si>
    <t>1859-11-05</t>
  </si>
  <si>
    <t>05nov1859</t>
  </si>
  <si>
    <t>200骞?346</t>
  </si>
  <si>
    <t>SPN-1913</t>
  </si>
  <si>
    <t>8211671e-1e42-11e4-b4cd-db5882bf8def</t>
  </si>
  <si>
    <t>Dato y Iradier</t>
  </si>
  <si>
    <t>1856-08-12</t>
  </si>
  <si>
    <t>12aug1856</t>
  </si>
  <si>
    <t>200骞?773</t>
  </si>
  <si>
    <t>SPN-1915</t>
  </si>
  <si>
    <t>200骞?497</t>
  </si>
  <si>
    <t>SPN-1917-1</t>
  </si>
  <si>
    <t>200骞?53</t>
  </si>
  <si>
    <t>SPN-1917-2</t>
  </si>
  <si>
    <t>200骞?145</t>
  </si>
  <si>
    <t>SPN-1917-3</t>
  </si>
  <si>
    <t>SPN-1918-1</t>
  </si>
  <si>
    <t>200骞?232</t>
  </si>
  <si>
    <t>SPN-1918-2</t>
  </si>
  <si>
    <t>200骞?26</t>
  </si>
  <si>
    <t>SPN-1918-3</t>
  </si>
  <si>
    <t>200骞?130</t>
  </si>
  <si>
    <t>SPN-1919-1</t>
  </si>
  <si>
    <t>SPN-1919-2</t>
  </si>
  <si>
    <t>8211671f-1e42-11e4-b4cd-db5882bf8def</t>
  </si>
  <si>
    <t>de Toca</t>
  </si>
  <si>
    <t>SPN-1919-3</t>
  </si>
  <si>
    <t>82116720-1e42-11e4-b4cd-db5882bf8def</t>
  </si>
  <si>
    <t>Allende Salazar</t>
  </si>
  <si>
    <t>SPN-1920</t>
  </si>
  <si>
    <t>200骞?307</t>
  </si>
  <si>
    <t>SPN-1921-1</t>
  </si>
  <si>
    <t>82116721-1e42-11e4-b4cd-db5882bf8def</t>
  </si>
  <si>
    <t>Araugo</t>
  </si>
  <si>
    <t>SPN-1921-2</t>
  </si>
  <si>
    <t>200骞?154</t>
  </si>
  <si>
    <t>SPN-1921-3</t>
  </si>
  <si>
    <t>200骞?206</t>
  </si>
  <si>
    <t>SPN-1922-1</t>
  </si>
  <si>
    <t>82116722-1e42-11e4-b4cd-db5882bf8def</t>
  </si>
  <si>
    <t>Sanchez Guerra</t>
  </si>
  <si>
    <t>200骞?272</t>
  </si>
  <si>
    <t>SPN-1922-2</t>
  </si>
  <si>
    <t>200骞?283</t>
  </si>
  <si>
    <t>SPN-1923</t>
  </si>
  <si>
    <t>821197f2-1e42-11e4-b4cd-db5882bf8def</t>
  </si>
  <si>
    <t>de Rivera</t>
  </si>
  <si>
    <t>1870-01-09</t>
  </si>
  <si>
    <t>09jan1870</t>
  </si>
  <si>
    <t>200骞?2328</t>
  </si>
  <si>
    <t>SPN-1930</t>
  </si>
  <si>
    <t>821197f3-1e42-11e4-b4cd-db5882bf8def</t>
  </si>
  <si>
    <t>Berenguer</t>
  </si>
  <si>
    <t>200骞?380</t>
  </si>
  <si>
    <t>SPN-1931-1</t>
  </si>
  <si>
    <t>821197f4-1e42-11e4-b4cd-db5882bf8def</t>
  </si>
  <si>
    <t>Azmar-Cabanas</t>
  </si>
  <si>
    <t>200骞?55</t>
  </si>
  <si>
    <t>SPN-1931-2</t>
  </si>
  <si>
    <t>821197f5-1e42-11e4-b4cd-db5882bf8def</t>
  </si>
  <si>
    <t>Alcala Zamora</t>
  </si>
  <si>
    <t>1877-07-06</t>
  </si>
  <si>
    <t>06jul1877</t>
  </si>
  <si>
    <t>200骞?183</t>
  </si>
  <si>
    <t>SPN-1931-3</t>
  </si>
  <si>
    <t>821197f6-1e42-11e4-b4cd-db5882bf8def</t>
  </si>
  <si>
    <t>Azana y Diez</t>
  </si>
  <si>
    <t>1880-11-10</t>
  </si>
  <si>
    <t>10nov1880</t>
  </si>
  <si>
    <t>200骞?695</t>
  </si>
  <si>
    <t>SPN-1933-1</t>
  </si>
  <si>
    <t>8211c8c6-1e42-11e4-b4cd-db5882bf8def</t>
  </si>
  <si>
    <t>Lerroux y Garcia</t>
  </si>
  <si>
    <t>1866-02-26</t>
  </si>
  <si>
    <t>26feb1866</t>
  </si>
  <si>
    <t>https://urldefense.proofpoint.com/v2/url?u=http-3A__dbpedia.org_resource_Alejandro-5FLerroux&amp;d=BQID-g&amp;c=kbmfwr1Yojg42sGEpaQh5ofMHBeTl9EI2eaqQZhHbOU&amp;r=ZliGVSRwfirWoETOrKCh2RSnoygzVPWEk95Me9L-Kwo&amp;m=EaKyFx9mpkhPdFxsxzvW_fiM3jbYwM3xYLjVbSFoDAg&amp;s=0I0FksA_Dv2aoCwT-_WUiec7UhwOVIi5KX62uTYlD44&amp;e=</t>
  </si>
  <si>
    <t>200骞?21</t>
  </si>
  <si>
    <t>SPN-1933-2</t>
  </si>
  <si>
    <t>8211c8c7-1e42-11e4-b4cd-db5882bf8def</t>
  </si>
  <si>
    <t>Martinez Barro</t>
  </si>
  <si>
    <t>1883-11-25</t>
  </si>
  <si>
    <t>25nov1883</t>
  </si>
  <si>
    <t>200骞?68</t>
  </si>
  <si>
    <t>SPN-1933-3</t>
  </si>
  <si>
    <t>200骞?120</t>
  </si>
  <si>
    <t>SPN-1934-1</t>
  </si>
  <si>
    <t>8211c8c8-1e42-11e4-b4cd-db5882bf8def</t>
  </si>
  <si>
    <t>Ibanez</t>
  </si>
  <si>
    <t>1881-08-25</t>
  </si>
  <si>
    <t>25aug1881</t>
  </si>
  <si>
    <t>200骞?156</t>
  </si>
  <si>
    <t>SPN-1934-2</t>
  </si>
  <si>
    <t>200骞?375</t>
  </si>
  <si>
    <t>SPN-1935-1</t>
  </si>
  <si>
    <t>8211c8c9-1e42-11e4-b4cd-db5882bf8def</t>
  </si>
  <si>
    <t>Chapaprieta</t>
  </si>
  <si>
    <t>1871-10-26</t>
  </si>
  <si>
    <t>26oct1871</t>
  </si>
  <si>
    <t>200骞?45</t>
  </si>
  <si>
    <t>SPN-1935-2</t>
  </si>
  <si>
    <t>8211c8ca-1e42-11e4-b4cd-db5882bf8def</t>
  </si>
  <si>
    <t>Portela</t>
  </si>
  <si>
    <t>200骞?50</t>
  </si>
  <si>
    <t>SPN-1936-1</t>
  </si>
  <si>
    <t>SPN-1936-2</t>
  </si>
  <si>
    <t>8211c8cb-1e42-11e4-b4cd-db5882bf8def</t>
  </si>
  <si>
    <t>Casares Quiroga</t>
  </si>
  <si>
    <t>200骞?67</t>
  </si>
  <si>
    <t>SPN-1936-3</t>
  </si>
  <si>
    <t>200骞?0</t>
  </si>
  <si>
    <t>SPN-1936-4</t>
  </si>
  <si>
    <t>8211f99a-1e42-11e4-b4cd-db5882bf8def</t>
  </si>
  <si>
    <t>Giral y Pereyra</t>
  </si>
  <si>
    <t>1879-10-22</t>
  </si>
  <si>
    <t>22oct1879</t>
  </si>
  <si>
    <t>200骞?47</t>
  </si>
  <si>
    <t>SPN-1936-5</t>
  </si>
  <si>
    <t>8211f99b-1e42-11e4-b4cd-db5882bf8def</t>
  </si>
  <si>
    <t>Largo Caballero</t>
  </si>
  <si>
    <t>1869-10-15</t>
  </si>
  <si>
    <t>15oct1869</t>
  </si>
  <si>
    <t>200骞?253</t>
  </si>
  <si>
    <t>SPN-1937</t>
  </si>
  <si>
    <t>8211f99c-1e42-11e4-b4cd-db5882bf8def</t>
  </si>
  <si>
    <t>Negrin</t>
  </si>
  <si>
    <t>200骞?656</t>
  </si>
  <si>
    <t>SPN-1939-1</t>
  </si>
  <si>
    <t>8211f99d-1e42-11e4-b4cd-db5882bf8def</t>
  </si>
  <si>
    <t>Miaja</t>
  </si>
  <si>
    <t>SPN-1939-2</t>
  </si>
  <si>
    <t>8211f99e-1e42-11e4-b4cd-db5882bf8def</t>
  </si>
  <si>
    <t>Franco</t>
  </si>
  <si>
    <t>1892-12-04</t>
  </si>
  <si>
    <t>04dec1892</t>
  </si>
  <si>
    <t>https://urldefense.proofpoint.com/v2/url?u=http-3A__dbpedia.org_resource_Francisco-5FFranco&amp;d=BQID-g&amp;c=kbmfwr1Yojg42sGEpaQh5ofMHBeTl9EI2eaqQZhHbOU&amp;r=ZliGVSRwfirWoETOrKCh2RSnoygzVPWEk95Me9L-Kwo&amp;m=EaKyFx9mpkhPdFxsxzvW_fiM3jbYwM3xYLjVbSFoDAg&amp;s=h4XbplSQ52mUvj0HoNiaYQ1LJdNyIlFlgRB-LylziWc&amp;e=</t>
  </si>
  <si>
    <t>200骞?13361</t>
  </si>
  <si>
    <t>SPN-1975-1</t>
  </si>
  <si>
    <t>8211f99f-1e42-11e4-b4cd-db5882bf8def</t>
  </si>
  <si>
    <t>Juan Carlos</t>
  </si>
  <si>
    <t>200骞?7</t>
  </si>
  <si>
    <t>SPN-1975-2</t>
  </si>
  <si>
    <t>82122a6e-1e42-11e4-b4cd-db5882bf8def</t>
  </si>
  <si>
    <t>Arias Navarro</t>
  </si>
  <si>
    <t>200骞?235</t>
  </si>
  <si>
    <t>SPN-1976</t>
  </si>
  <si>
    <t>82122a6f-1e42-11e4-b4cd-db5882bf8def</t>
  </si>
  <si>
    <t>Suarez Gonzalez</t>
  </si>
  <si>
    <t>200骞?1700</t>
  </si>
  <si>
    <t>SPN-1981</t>
  </si>
  <si>
    <t>82122a70-1e42-11e4-b4cd-db5882bf8def</t>
  </si>
  <si>
    <t>Calvo-Sotelo</t>
  </si>
  <si>
    <t>200骞?645</t>
  </si>
  <si>
    <t>SPN-1982</t>
  </si>
  <si>
    <t>82122a71-1e42-11e4-b4cd-db5882bf8def</t>
  </si>
  <si>
    <t>Gonzalez Marquez</t>
  </si>
  <si>
    <t>200骞?4903</t>
  </si>
  <si>
    <t>SPN-1996</t>
  </si>
  <si>
    <t>82122a72-1e42-11e4-b4cd-db5882bf8def</t>
  </si>
  <si>
    <t>Aznar</t>
  </si>
  <si>
    <t>https://urldefense.proofpoint.com/v2/url?u=http-3A__dbpedia.org_resource_Jos-25C3-25A9-5FMar-25C3-25ADa-5FAznar&amp;d=BQID-g&amp;c=kbmfwr1Yojg42sGEpaQh5ofMHBeTl9EI2eaqQZhHbOU&amp;r=ZliGVSRwfirWoETOrKCh2RSnoygzVPWEk95Me9L-Kwo&amp;m=EaKyFx9mpkhPdFxsxzvW_fiM3jbYwM3xYLjVbSFoDAg&amp;s=hfWthSjoa3MAaHBZ3p_UiYpoduWjghQPThTJGJ5l17A&amp;e=</t>
  </si>
  <si>
    <t>200骞?2904</t>
  </si>
  <si>
    <t>SPN-2004</t>
  </si>
  <si>
    <t>82125b42-1e42-11e4-b4cd-db5882bf8def</t>
  </si>
  <si>
    <t>Rodriguez Zapatero</t>
  </si>
  <si>
    <t>200骞?2803</t>
  </si>
  <si>
    <t>SPN-2011</t>
  </si>
  <si>
    <t>82517ea8-1e42-11e4-b4cd-db5882bf8def</t>
  </si>
  <si>
    <t>Rajoy Brey</t>
  </si>
  <si>
    <t>200骞?1472</t>
  </si>
  <si>
    <t>POR-1861</t>
  </si>
  <si>
    <t>82125b43-1e42-11e4-b4cd-db5882bf8def</t>
  </si>
  <si>
    <t>POR</t>
  </si>
  <si>
    <t>Luis I</t>
  </si>
  <si>
    <t>1861-11-11</t>
  </si>
  <si>
    <t>1889-10-19</t>
  </si>
  <si>
    <t>52骞?10204</t>
  </si>
  <si>
    <t>POR-1889</t>
  </si>
  <si>
    <t>82125b44-1e42-11e4-b4cd-db5882bf8def</t>
  </si>
  <si>
    <t>Carlos I</t>
  </si>
  <si>
    <t>1863-09-28</t>
  </si>
  <si>
    <t>28sep1863</t>
  </si>
  <si>
    <t>https://urldefense.proofpoint.com/v2/url?u=http-3A__dbpedia.org_resource_Carlos-5FI-5Fof-5FPortugal&amp;d=BQID-g&amp;c=kbmfwr1Yojg42sGEpaQh5ofMHBeTl9EI2eaqQZhHbOU&amp;r=ZliGVSRwfirWoETOrKCh2RSnoygzVPWEk95Me9L-Kwo&amp;m=EaKyFx9mpkhPdFxsxzvW_fiM3jbYwM3xYLjVbSFoDAg&amp;s=Qyo1T2AMb0FjSgHSYb5qzK2ogOeJj_dvHR2dP3E24Qw&amp;e=</t>
  </si>
  <si>
    <t>52骞?6678</t>
  </si>
  <si>
    <t>POR-1908</t>
  </si>
  <si>
    <t>82125b45-1e42-11e4-b4cd-db5882bf8def</t>
  </si>
  <si>
    <t>Manuel II</t>
  </si>
  <si>
    <t>https://urldefense.proofpoint.com/v2/url?u=http-3A__dbpedia.org_resource_Manuel-5FII-5Fof-5FPortugal&amp;d=BQID-g&amp;c=kbmfwr1Yojg42sGEpaQh5ofMHBeTl9EI2eaqQZhHbOU&amp;r=ZliGVSRwfirWoETOrKCh2RSnoygzVPWEk95Me9L-Kwo&amp;m=EaKyFx9mpkhPdFxsxzvW_fiM3jbYwM3xYLjVbSFoDAg&amp;s=4bcW1zmGofx2Mv2DaqXhuxKv3_Vz1MTfyg_02ZsliSA&amp;e=</t>
  </si>
  <si>
    <t>52骞?977</t>
  </si>
  <si>
    <t>POR-1910</t>
  </si>
  <si>
    <t>82125b46-1e42-11e4-b4cd-db5882bf8def</t>
  </si>
  <si>
    <t>Braga</t>
  </si>
  <si>
    <t>https://urldefense.proofpoint.com/v2/url?u=http-3A__dbpedia.org_resource_Te-25C3-25B3filo-5FBraga&amp;d=BQID-g&amp;c=kbmfwr1Yojg42sGEpaQh5ofMHBeTl9EI2eaqQZhHbOU&amp;r=ZliGVSRwfirWoETOrKCh2RSnoygzVPWEk95Me9L-Kwo&amp;m=EaKyFx9mpkhPdFxsxzvW_fiM3jbYwM3xYLjVbSFoDAg&amp;s=cA51BcSHXXoDSB3OGOSfwn5xsHQriNtM5TSpVMhbmg0&amp;e=</t>
  </si>
  <si>
    <t>52骞?323</t>
  </si>
  <si>
    <t>POR-1911</t>
  </si>
  <si>
    <t>82128c16-1e42-11e4-b4cd-db5882bf8def</t>
  </si>
  <si>
    <t>Arriaga</t>
  </si>
  <si>
    <t>https://urldefense.proofpoint.com/v2/url?u=http-3A__dbpedia.org_resource_Manuel-5Fde-5FArriaga&amp;d=BQID-g&amp;c=kbmfwr1Yojg42sGEpaQh5ofMHBeTl9EI2eaqQZhHbOU&amp;r=ZliGVSRwfirWoETOrKCh2RSnoygzVPWEk95Me9L-Kwo&amp;m=EaKyFx9mpkhPdFxsxzvW_fiM3jbYwM3xYLjVbSFoDAg&amp;s=IXU5Xi4AOD1r06tjtYTB9hhbSrX02uLdP49sZYnXW_U&amp;e=</t>
  </si>
  <si>
    <t>52骞?1374</t>
  </si>
  <si>
    <t>POR-1915-1</t>
  </si>
  <si>
    <t>52骞?129</t>
  </si>
  <si>
    <t>POR-1915-2</t>
  </si>
  <si>
    <t>82128c17-1e42-11e4-b4cd-db5882bf8def</t>
  </si>
  <si>
    <t>Machado Guimaraes</t>
  </si>
  <si>
    <t>1851-03-28</t>
  </si>
  <si>
    <t>28mar1851</t>
  </si>
  <si>
    <t>52骞?795</t>
  </si>
  <si>
    <t>POR-1917</t>
  </si>
  <si>
    <t>82128c18-1e42-11e4-b4cd-db5882bf8def</t>
  </si>
  <si>
    <t>Paes</t>
  </si>
  <si>
    <t>https://urldefense.proofpoint.com/v2/url?u=http-3A__dbpedia.org_resource_Sid-25C3-25B3nio-5FPais&amp;d=BQID-g&amp;c=kbmfwr1Yojg42sGEpaQh5ofMHBeTl9EI2eaqQZhHbOU&amp;r=ZliGVSRwfirWoETOrKCh2RSnoygzVPWEk95Me9L-Kwo&amp;m=EaKyFx9mpkhPdFxsxzvW_fiM3jbYwM3xYLjVbSFoDAg&amp;s=g0HrImHSF_PHvjvHb9U7Er57RzTHzsGuqscOjVozt34&amp;e=</t>
  </si>
  <si>
    <t>52骞?371</t>
  </si>
  <si>
    <t>POR-1918</t>
  </si>
  <si>
    <t>82128c19-1e42-11e4-b4cd-db5882bf8def</t>
  </si>
  <si>
    <t>Joao Canto e Castro</t>
  </si>
  <si>
    <t>https://urldefense.proofpoint.com/v2/url?u=http-3A__dbpedia.org_resource_Jo-25C3-25A3o-5Fdo-5FCanto-5Fe-5FCastro&amp;d=BQID-g&amp;c=kbmfwr1Yojg42sGEpaQh5ofMHBeTl9EI2eaqQZhHbOU&amp;r=ZliGVSRwfirWoETOrKCh2RSnoygzVPWEk95Me9L-Kwo&amp;m=EaKyFx9mpkhPdFxsxzvW_fiM3jbYwM3xYLjVbSFoDAg&amp;s=mo8OrT_EBTPW7CQkRT5wbNByQv3w2DSJzG8w3PuXnLI&amp;e=</t>
  </si>
  <si>
    <t>52骞?293</t>
  </si>
  <si>
    <t>POR-1919</t>
  </si>
  <si>
    <t>8212bcea-1e42-11e4-b4cd-db5882bf8def</t>
  </si>
  <si>
    <t>Almeida</t>
  </si>
  <si>
    <t>https://urldefense.proofpoint.com/v2/url?u=http-3A__dbpedia.org_resource_Ant-25C3-25B3nio-5FJos-25C3-25A9-5Fde-5FAlmeida&amp;d=BQID-g&amp;c=kbmfwr1Yojg42sGEpaQh5ofMHBeTl9EI2eaqQZhHbOU&amp;r=ZliGVSRwfirWoETOrKCh2RSnoygzVPWEk95Me9L-Kwo&amp;m=EaKyFx9mpkhPdFxsxzvW_fiM3jbYwM3xYLjVbSFoDAg&amp;s=32AnC5aZNvSwqAVYSFWXJkoE-al9e_fhYm6JaRjCOGg&amp;e=</t>
  </si>
  <si>
    <t>52骞?1401</t>
  </si>
  <si>
    <t>POR-1923</t>
  </si>
  <si>
    <t>8212bceb-1e42-11e4-b4cd-db5882bf8def</t>
  </si>
  <si>
    <t>Gomes</t>
  </si>
  <si>
    <t>https://urldefense.proofpoint.com/v2/url?u=http-3A__dbpedia.org_resource_Manuel-5FTeixeira-5FGomes&amp;d=BQID-g&amp;c=kbmfwr1Yojg42sGEpaQh5ofMHBeTl9EI2eaqQZhHbOU&amp;r=ZliGVSRwfirWoETOrKCh2RSnoygzVPWEk95Me9L-Kwo&amp;m=EaKyFx9mpkhPdFxsxzvW_fiM3jbYwM3xYLjVbSFoDAg&amp;s=S7ojZRNrv_R6UIMSfOxL1UWt20W7POQsirDvyLYbTFA&amp;e=</t>
  </si>
  <si>
    <t>52骞?858</t>
  </si>
  <si>
    <t>POR-1925</t>
  </si>
  <si>
    <t>52骞?163</t>
  </si>
  <si>
    <t>POR-1926</t>
  </si>
  <si>
    <t>8212bcec-1e42-11e4-b4cd-db5882bf8def</t>
  </si>
  <si>
    <t>Carmona</t>
  </si>
  <si>
    <t>1869-11-29</t>
  </si>
  <si>
    <t>29nov1869</t>
  </si>
  <si>
    <t>52骞?2230</t>
  </si>
  <si>
    <t>POR-1932</t>
  </si>
  <si>
    <t>8212bced-1e42-11e4-b4cd-db5882bf8def</t>
  </si>
  <si>
    <t>Salazar</t>
  </si>
  <si>
    <t>https://urldefense.proofpoint.com/v2/url?u=http-3A__dbpedia.org_resource_Ant-25C3-25B3nio-5Fde-5FOliveira-5FSalazar&amp;d=BQID-g&amp;c=kbmfwr1Yojg42sGEpaQh5ofMHBeTl9EI2eaqQZhHbOU&amp;r=ZliGVSRwfirWoETOrKCh2RSnoygzVPWEk95Me9L-Kwo&amp;m=EaKyFx9mpkhPdFxsxzvW_fiM3jbYwM3xYLjVbSFoDAg&amp;s=RJj8NDGRbSjbFsT6qUamIDdE8P3nEA52d8mtBQKAOBc&amp;e=</t>
  </si>
  <si>
    <t>52骞?13222</t>
  </si>
  <si>
    <t>POR-1968</t>
  </si>
  <si>
    <t>8212bcee-1e42-11e4-b4cd-db5882bf8def</t>
  </si>
  <si>
    <t>Caetano</t>
  </si>
  <si>
    <t>https://urldefense.proofpoint.com/v2/url?u=http-3A__dbpedia.org_resource_Marcelo-5FCaetano&amp;d=BQID-g&amp;c=kbmfwr1Yojg42sGEpaQh5ofMHBeTl9EI2eaqQZhHbOU&amp;r=ZliGVSRwfirWoETOrKCh2RSnoygzVPWEk95Me9L-Kwo&amp;m=EaKyFx9mpkhPdFxsxzvW_fiM3jbYwM3xYLjVbSFoDAg&amp;s=W6kUmfcG5UCM51OaA-OStheWsUV16dKsrT_EOfByskM&amp;e=</t>
  </si>
  <si>
    <t>52骞?2036</t>
  </si>
  <si>
    <t>POR-1974-1</t>
  </si>
  <si>
    <t>8212edbe-1e42-11e4-b4cd-db5882bf8def</t>
  </si>
  <si>
    <t>Spinola</t>
  </si>
  <si>
    <t>52骞?158</t>
  </si>
  <si>
    <t>POR-1974-2</t>
  </si>
  <si>
    <t>8212edbf-1e42-11e4-b4cd-db5882bf8def</t>
  </si>
  <si>
    <t>Costa Gomes</t>
  </si>
  <si>
    <t>52骞?662</t>
  </si>
  <si>
    <t>POR-1976</t>
  </si>
  <si>
    <t>8212edc0-1e42-11e4-b4cd-db5882bf8def</t>
  </si>
  <si>
    <t>Eanes</t>
  </si>
  <si>
    <t>52骞?3516</t>
  </si>
  <si>
    <t>POR-1986</t>
  </si>
  <si>
    <t>8212edc1-1e42-11e4-b4cd-db5882bf8def</t>
  </si>
  <si>
    <t>Soares</t>
  </si>
  <si>
    <t>https://urldefense.proofpoint.com/v2/url?u=http-3A__dbpedia.org_resource_M-25C3-25A1rio-5FSoares&amp;d=BQID-g&amp;c=kbmfwr1Yojg42sGEpaQh5ofMHBeTl9EI2eaqQZhHbOU&amp;r=ZliGVSRwfirWoETOrKCh2RSnoygzVPWEk95Me9L-Kwo&amp;m=EaKyFx9mpkhPdFxsxzvW_fiM3jbYwM3xYLjVbSFoDAg&amp;s=cnjCkckrTACvbCLkGzlDOKGya4PzYf1nGGIJfnn1POs&amp;e=</t>
  </si>
  <si>
    <t>52骞?3653</t>
  </si>
  <si>
    <t>POR-1996</t>
  </si>
  <si>
    <t>8212edc2-1e42-11e4-b4cd-db5882bf8def</t>
  </si>
  <si>
    <t>Sampaio</t>
  </si>
  <si>
    <t>52骞?3652</t>
  </si>
  <si>
    <t>POR-2006</t>
  </si>
  <si>
    <t>82517ea9-1e42-11e4-b4cd-db5882bf8def</t>
  </si>
  <si>
    <t>Cavaco Silva</t>
  </si>
  <si>
    <t>52骞?3584</t>
  </si>
  <si>
    <t>BAV-1864</t>
  </si>
  <si>
    <t>8212edc3-1e42-11e4-b4cd-db5882bf8def</t>
  </si>
  <si>
    <t>BAV</t>
  </si>
  <si>
    <t>Ludwig II</t>
  </si>
  <si>
    <t>1864-03-10</t>
  </si>
  <si>
    <t>1871-04-06</t>
  </si>
  <si>
    <t>GMY-1858</t>
  </si>
  <si>
    <t>82131e92-1e42-11e4-b4cd-db5882bf8def</t>
  </si>
  <si>
    <t>GMY</t>
  </si>
  <si>
    <t>Wilhelm I</t>
  </si>
  <si>
    <t>1858-10-07</t>
  </si>
  <si>
    <t>1888-03-09</t>
  </si>
  <si>
    <t>09mar1888</t>
  </si>
  <si>
    <t>1797-03-22</t>
  </si>
  <si>
    <t>22mar1797</t>
  </si>
  <si>
    <t>19骞?10746</t>
  </si>
  <si>
    <t>GMY-1888-1</t>
  </si>
  <si>
    <t>82131e93-1e42-11e4-b4cd-db5882bf8def</t>
  </si>
  <si>
    <t>Friedrich III</t>
  </si>
  <si>
    <t>1888-06-15</t>
  </si>
  <si>
    <t>15jun1888</t>
  </si>
  <si>
    <t>19骞?98</t>
  </si>
  <si>
    <t>GMY-1888-2</t>
  </si>
  <si>
    <t>82131e94-1e42-11e4-b4cd-db5882bf8def</t>
  </si>
  <si>
    <t>Wilhelm II</t>
  </si>
  <si>
    <t>1859-01-27</t>
  </si>
  <si>
    <t>27jan1859</t>
  </si>
  <si>
    <t>19骞?11103</t>
  </si>
  <si>
    <t>GMY-1918</t>
  </si>
  <si>
    <t>82131e95-1e42-11e4-b4cd-db5882bf8def</t>
  </si>
  <si>
    <t>Ebert</t>
  </si>
  <si>
    <t>1871-02-04</t>
  </si>
  <si>
    <t>04feb1871</t>
  </si>
  <si>
    <t>https://urldefense.proofpoint.com/v2/url?u=http-3A__dbpedia.org_resource_Friedrich-5FEbert&amp;d=BQID-g&amp;c=kbmfwr1Yojg42sGEpaQh5ofMHBeTl9EI2eaqQZhHbOU&amp;r=ZliGVSRwfirWoETOrKCh2RSnoygzVPWEk95Me9L-Kwo&amp;m=EaKyFx9mpkhPdFxsxzvW_fiM3jbYwM3xYLjVbSFoDAg&amp;s=wbK0RPK8_t5qjVVqpTK6BljhFgCM9OGxSLXYt39eX7I&amp;e=</t>
  </si>
  <si>
    <t>19骞?94</t>
  </si>
  <si>
    <t>GMY-1919-1</t>
  </si>
  <si>
    <t>82134f70-1e42-11e4-b4cd-db5882bf8def</t>
  </si>
  <si>
    <t>Scheidemann</t>
  </si>
  <si>
    <t>1865-07-26</t>
  </si>
  <si>
    <t>26jul1865</t>
  </si>
  <si>
    <t>https://urldefense.proofpoint.com/v2/url?u=http-3A__dbpedia.org_resource_Philipp-5FScheidemann&amp;d=BQID-g&amp;c=kbmfwr1Yojg42sGEpaQh5ofMHBeTl9EI2eaqQZhHbOU&amp;r=ZliGVSRwfirWoETOrKCh2RSnoygzVPWEk95Me9L-Kwo&amp;m=EaKyFx9mpkhPdFxsxzvW_fiM3jbYwM3xYLjVbSFoDAg&amp;s=RvMlCgfVxXZ6CIcQ2DkzaEaSh4kRl_f3XHWqGcuqyMw&amp;e=</t>
  </si>
  <si>
    <t>19骞?128</t>
  </si>
  <si>
    <t>GMY-1919-2</t>
  </si>
  <si>
    <t>82134f71-1e42-11e4-b4cd-db5882bf8def</t>
  </si>
  <si>
    <t>Bauer</t>
  </si>
  <si>
    <t>1870-01-06</t>
  </si>
  <si>
    <t>06jan1870</t>
  </si>
  <si>
    <t>https://urldefense.proofpoint.com/v2/url?u=http-3A__dbpedia.org_resource_Gustav-5FBauer&amp;d=BQID-g&amp;c=kbmfwr1Yojg42sGEpaQh5ofMHBeTl9EI2eaqQZhHbOU&amp;r=ZliGVSRwfirWoETOrKCh2RSnoygzVPWEk95Me9L-Kwo&amp;m=EaKyFx9mpkhPdFxsxzvW_fiM3jbYwM3xYLjVbSFoDAg&amp;s=fnAK2wio_KxtPRjpoRY4Ax3aqx1pslX1QH1YGZ3J5rM&amp;e=</t>
  </si>
  <si>
    <t>19骞?279</t>
  </si>
  <si>
    <t>GMY-1920-1</t>
  </si>
  <si>
    <t>82134f72-1e42-11e4-b4cd-db5882bf8def</t>
  </si>
  <si>
    <t>19骞?73</t>
  </si>
  <si>
    <t>GMY-1920-2</t>
  </si>
  <si>
    <t>82134f73-1e42-11e4-b4cd-db5882bf8def</t>
  </si>
  <si>
    <t>Fehrenback</t>
  </si>
  <si>
    <t>1852-01-11</t>
  </si>
  <si>
    <t>11jan1852</t>
  </si>
  <si>
    <t>https://urldefense.proofpoint.com/v2/url?u=http-3A__dbpedia.org_resource_Konstantin-5FFehrenbach&amp;d=BQID-g&amp;c=kbmfwr1Yojg42sGEpaQh5ofMHBeTl9EI2eaqQZhHbOU&amp;r=ZliGVSRwfirWoETOrKCh2RSnoygzVPWEk95Me9L-Kwo&amp;m=EaKyFx9mpkhPdFxsxzvW_fiM3jbYwM3xYLjVbSFoDAg&amp;s=wxIJHKDr0ekXuwf8bVdsdvHRXjkGYt8wOtW4m1Y8RmM&amp;e=</t>
  </si>
  <si>
    <t>19骞?313</t>
  </si>
  <si>
    <t>GMY-1921</t>
  </si>
  <si>
    <t>82138044-1e42-11e4-b4cd-db5882bf8def</t>
  </si>
  <si>
    <t>Wirth</t>
  </si>
  <si>
    <t>1879-09-06</t>
  </si>
  <si>
    <t>06sep1879</t>
  </si>
  <si>
    <t>https://urldefense.proofpoint.com/v2/url?u=http-3A__dbpedia.org_resource_Joseph-5FWirth&amp;d=BQID-g&amp;c=kbmfwr1Yojg42sGEpaQh5ofMHBeTl9EI2eaqQZhHbOU&amp;r=ZliGVSRwfirWoETOrKCh2RSnoygzVPWEk95Me9L-Kwo&amp;m=EaKyFx9mpkhPdFxsxzvW_fiM3jbYwM3xYLjVbSFoDAg&amp;s=ZGXJzy_1WhCaihib-IEZi7owliUQc_H7a7e6cA2stmI&amp;e=</t>
  </si>
  <si>
    <t>19骞?553</t>
  </si>
  <si>
    <t>GMY-1922</t>
  </si>
  <si>
    <t>82138045-1e42-11e4-b4cd-db5882bf8def</t>
  </si>
  <si>
    <t>Cuno</t>
  </si>
  <si>
    <t>1876-07-02</t>
  </si>
  <si>
    <t>02jul1876</t>
  </si>
  <si>
    <t>https://urldefense.proofpoint.com/v2/url?u=http-3A__dbpedia.org_resource_Wilhelm-5FCuno&amp;d=BQID-g&amp;c=kbmfwr1Yojg42sGEpaQh5ofMHBeTl9EI2eaqQZhHbOU&amp;r=ZliGVSRwfirWoETOrKCh2RSnoygzVPWEk95Me9L-Kwo&amp;m=EaKyFx9mpkhPdFxsxzvW_fiM3jbYwM3xYLjVbSFoDAg&amp;s=PuygW2hjSL3puUfsRQNp66Z_Gqh1HPdOv-hzg6kOAuc&amp;e=</t>
  </si>
  <si>
    <t>19骞?263</t>
  </si>
  <si>
    <t>GMY-1923-1</t>
  </si>
  <si>
    <t>82138046-1e42-11e4-b4cd-db5882bf8def</t>
  </si>
  <si>
    <t>Stresemann</t>
  </si>
  <si>
    <t>1878-05-10</t>
  </si>
  <si>
    <t>10may1878</t>
  </si>
  <si>
    <t>https://urldefense.proofpoint.com/v2/url?u=http-3A__dbpedia.org_resource_Gustav-5FStresemann&amp;d=BQID-g&amp;c=kbmfwr1Yojg42sGEpaQh5ofMHBeTl9EI2eaqQZhHbOU&amp;r=ZliGVSRwfirWoETOrKCh2RSnoygzVPWEk95Me9L-Kwo&amp;m=EaKyFx9mpkhPdFxsxzvW_fiM3jbYwM3xYLjVbSFoDAg&amp;s=QBSmoK81I8NGwn_bpm7FKq85qVrmg9eDSbqo_eValnw&amp;e=</t>
  </si>
  <si>
    <t>19骞?102</t>
  </si>
  <si>
    <t>GMY-1923-2</t>
  </si>
  <si>
    <t>82138047-1e42-11e4-b4cd-db5882bf8def</t>
  </si>
  <si>
    <t>Marx</t>
  </si>
  <si>
    <t>1863-01-15</t>
  </si>
  <si>
    <t>15jan1863</t>
  </si>
  <si>
    <t>https://urldefense.proofpoint.com/v2/url?u=http-3A__dbpedia.org_resource_Wilhelm-5FMarx&amp;d=BQID-g&amp;c=kbmfwr1Yojg42sGEpaQh5ofMHBeTl9EI2eaqQZhHbOU&amp;r=ZliGVSRwfirWoETOrKCh2RSnoygzVPWEk95Me9L-Kwo&amp;m=EaKyFx9mpkhPdFxsxzvW_fiM3jbYwM3xYLjVbSFoDAg&amp;s=DU25ZxyAYRTTSKc5wxBHEDKNeUAg9d3O8vkMlGwgMfk&amp;e=</t>
  </si>
  <si>
    <t>19骞?381</t>
  </si>
  <si>
    <t>GMY-1925</t>
  </si>
  <si>
    <t>8213b118-1e42-11e4-b4cd-db5882bf8def</t>
  </si>
  <si>
    <t>Luther</t>
  </si>
  <si>
    <t>1879-03-10</t>
  </si>
  <si>
    <t>10mar1879</t>
  </si>
  <si>
    <t>https://urldefense.proofpoint.com/v2/url?u=http-3A__dbpedia.org_resource_Hans-5FLuther&amp;d=BQID-g&amp;c=kbmfwr1Yojg42sGEpaQh5ofMHBeTl9EI2eaqQZhHbOU&amp;r=ZliGVSRwfirWoETOrKCh2RSnoygzVPWEk95Me9L-Kwo&amp;m=EaKyFx9mpkhPdFxsxzvW_fiM3jbYwM3xYLjVbSFoDAg&amp;s=rihI5O8RUCW3q6FdLc3mJfD8Z1medNcL7FWJKL9tEFw&amp;e=</t>
  </si>
  <si>
    <t>19骞?482</t>
  </si>
  <si>
    <t>GMY-1926</t>
  </si>
  <si>
    <t>19骞?758</t>
  </si>
  <si>
    <t>GMY-1928</t>
  </si>
  <si>
    <t>19骞?637</t>
  </si>
  <si>
    <t>GMY-1930</t>
  </si>
  <si>
    <t>8213b119-1e42-11e4-b4cd-db5882bf8def</t>
  </si>
  <si>
    <t>Bruning</t>
  </si>
  <si>
    <t>1885-11-26</t>
  </si>
  <si>
    <t>26nov1885</t>
  </si>
  <si>
    <t>https://urldefense.proofpoint.com/v2/url?u=http-3A__dbpedia.org_resource_Heinrich-5FBr-25C3-25BCning&amp;d=BQID-g&amp;c=kbmfwr1Yojg42sGEpaQh5ofMHBeTl9EI2eaqQZhHbOU&amp;r=ZliGVSRwfirWoETOrKCh2RSnoygzVPWEk95Me9L-Kwo&amp;m=EaKyFx9mpkhPdFxsxzvW_fiM3jbYwM3xYLjVbSFoDAg&amp;s=3W1DK3IAAOJfMvYfgCjibizHxORQ-_hrzFR1WPsl99Q&amp;e=</t>
  </si>
  <si>
    <t>19骞?792</t>
  </si>
  <si>
    <t>GMY-1932-1</t>
  </si>
  <si>
    <t>8213b11a-1e42-11e4-b4cd-db5882bf8def</t>
  </si>
  <si>
    <t>Papen</t>
  </si>
  <si>
    <t>1879-10-29</t>
  </si>
  <si>
    <t>29oct1879</t>
  </si>
  <si>
    <t>https://urldefense.proofpoint.com/v2/url?u=http-3A__dbpedia.org_resource_Franz-5Fvon-5FPapen&amp;d=BQID-g&amp;c=kbmfwr1Yojg42sGEpaQh5ofMHBeTl9EI2eaqQZhHbOU&amp;r=ZliGVSRwfirWoETOrKCh2RSnoygzVPWEk95Me9L-Kwo&amp;m=EaKyFx9mpkhPdFxsxzvW_fiM3jbYwM3xYLjVbSFoDAg&amp;s=Id8BnBAr6wj_ftCIN-n0gBNOkXGsUXz3r3lP9kvJBcg&amp;e=</t>
  </si>
  <si>
    <t>19骞?169</t>
  </si>
  <si>
    <t>GMY-1932-2</t>
  </si>
  <si>
    <t>8213b11b-1e42-11e4-b4cd-db5882bf8def</t>
  </si>
  <si>
    <t>Schleicher</t>
  </si>
  <si>
    <t>1882-04-07</t>
  </si>
  <si>
    <t>07apr1882</t>
  </si>
  <si>
    <t>https://urldefense.proofpoint.com/v2/url?u=http-3A__dbpedia.org_resource_Kurt-5Fvon-5FSchleicher&amp;d=BQID-g&amp;c=kbmfwr1Yojg42sGEpaQh5ofMHBeTl9EI2eaqQZhHbOU&amp;r=ZliGVSRwfirWoETOrKCh2RSnoygzVPWEk95Me9L-Kwo&amp;m=EaKyFx9mpkhPdFxsxzvW_fiM3jbYwM3xYLjVbSFoDAg&amp;s=BnU25M4bQfjfyv6UJfVD3gKeObzBdUbvMWcXCTW-ots&amp;e=</t>
  </si>
  <si>
    <t>19骞?56</t>
  </si>
  <si>
    <t>GMY-1933</t>
  </si>
  <si>
    <t>8213b11c-1e42-11e4-b4cd-db5882bf8def</t>
  </si>
  <si>
    <t>Hitler</t>
  </si>
  <si>
    <t>1889-05-20</t>
  </si>
  <si>
    <t>20may1889</t>
  </si>
  <si>
    <t>https://urldefense.proofpoint.com/v2/url?u=http-3A__dbpedia.org_resource_Adolf-5FHitler&amp;d=BQID-g&amp;c=kbmfwr1Yojg42sGEpaQh5ofMHBeTl9EI2eaqQZhHbOU&amp;r=ZliGVSRwfirWoETOrKCh2RSnoygzVPWEk95Me9L-Kwo&amp;m=EaKyFx9mpkhPdFxsxzvW_fiM3jbYwM3xYLjVbSFoDAg&amp;s=GOKPFlQJQ3XlcfzxzCZ8mzZKtzIExWmVWJ_YGZWyvgM&amp;e=</t>
  </si>
  <si>
    <t>19骞?4473</t>
  </si>
  <si>
    <t>GMY-1945</t>
  </si>
  <si>
    <t>8213e1ec-1e42-11e4-b4cd-db5882bf8def</t>
  </si>
  <si>
    <t>Doenitz</t>
  </si>
  <si>
    <t>1891-09-16</t>
  </si>
  <si>
    <t>16sep1891</t>
  </si>
  <si>
    <t>https://urldefense.proofpoint.com/v2/url?u=http-3A__dbpedia.org_resource_Karl-5FD-25C3-25B6nitz&amp;d=BQID-g&amp;c=kbmfwr1Yojg42sGEpaQh5ofMHBeTl9EI2eaqQZhHbOU&amp;r=ZliGVSRwfirWoETOrKCh2RSnoygzVPWEk95Me9L-Kwo&amp;m=EaKyFx9mpkhPdFxsxzvW_fiM3jbYwM3xYLjVbSFoDAg&amp;s=9oqbEJI7ytCHLt5jkMyOqweIQeeEDTjrfRG6jU1JTAE&amp;e=</t>
  </si>
  <si>
    <t>19骞?23</t>
  </si>
  <si>
    <t>GFR-1949</t>
  </si>
  <si>
    <t>8213e1ed-1e42-11e4-b4cd-db5882bf8def</t>
  </si>
  <si>
    <t>GFR</t>
  </si>
  <si>
    <t>Adenauer</t>
  </si>
  <si>
    <t>1876-01-05</t>
  </si>
  <si>
    <t>05jan1876</t>
  </si>
  <si>
    <t>https://urldefense.proofpoint.com/v2/url?u=http-3A__dbpedia.org_resource_Konrad-5FAdenauer&amp;d=BQID-g&amp;c=kbmfwr1Yojg42sGEpaQh5ofMHBeTl9EI2eaqQZhHbOU&amp;r=ZliGVSRwfirWoETOrKCh2RSnoygzVPWEk95Me9L-Kwo&amp;m=EaKyFx9mpkhPdFxsxzvW_fiM3jbYwM3xYLjVbSFoDAg&amp;s=2oIwhhKEpE4NdZvEU7O09uy59B_rEi2jO3SFdvJD3qk&amp;e=</t>
  </si>
  <si>
    <t>GFR-1963</t>
  </si>
  <si>
    <t>8213e1ee-1e42-11e4-b4cd-db5882bf8def</t>
  </si>
  <si>
    <t>Erhard</t>
  </si>
  <si>
    <t>1897-02-04</t>
  </si>
  <si>
    <t>04feb1897</t>
  </si>
  <si>
    <t>https://urldefense.proofpoint.com/v2/url?u=http-3A__dbpedia.org_resource_Ludwig-5FErhard&amp;d=BQID-g&amp;c=kbmfwr1Yojg42sGEpaQh5ofMHBeTl9EI2eaqQZhHbOU&amp;r=ZliGVSRwfirWoETOrKCh2RSnoygzVPWEk95Me9L-Kwo&amp;m=EaKyFx9mpkhPdFxsxzvW_fiM3jbYwM3xYLjVbSFoDAg&amp;s=V6rYD1dQ9r5RjqNlDexTx3bUy8sPRtFmbiASUUbqEes&amp;e=</t>
  </si>
  <si>
    <t>GFR-1966</t>
  </si>
  <si>
    <t>821412c0-1e42-11e4-b4cd-db5882bf8def</t>
  </si>
  <si>
    <t>Kiesinger</t>
  </si>
  <si>
    <t>https://urldefense.proofpoint.com/v2/url?u=http-3A__dbpedia.org_resource_Kurt-5FGeorg-5FKiesinger&amp;d=BQID-g&amp;c=kbmfwr1Yojg42sGEpaQh5ofMHBeTl9EI2eaqQZhHbOU&amp;r=ZliGVSRwfirWoETOrKCh2RSnoygzVPWEk95Me9L-Kwo&amp;m=EaKyFx9mpkhPdFxsxzvW_fiM3jbYwM3xYLjVbSFoDAg&amp;s=g_fiqahdFDqvq0FiFRDdlo5KjZLqh7u8fsHKfkU0z_U&amp;e=</t>
  </si>
  <si>
    <t>GFR-1969</t>
  </si>
  <si>
    <t>821412c1-1e42-11e4-b4cd-db5882bf8def</t>
  </si>
  <si>
    <t>Brandt</t>
  </si>
  <si>
    <t>https://urldefense.proofpoint.com/v2/url?u=http-3A__dbpedia.org_resource_Willy-5FBrandt&amp;d=BQID-g&amp;c=kbmfwr1Yojg42sGEpaQh5ofMHBeTl9EI2eaqQZhHbOU&amp;r=ZliGVSRwfirWoETOrKCh2RSnoygzVPWEk95Me9L-Kwo&amp;m=EaKyFx9mpkhPdFxsxzvW_fiM3jbYwM3xYLjVbSFoDAg&amp;s=mDqaGYl3qpj_XSt0EsSkFbzcvEyvwLOVsJu-OmUZhBc&amp;e=</t>
  </si>
  <si>
    <t>GFR-1974</t>
  </si>
  <si>
    <t>821412c2-1e42-11e4-b4cd-db5882bf8def</t>
  </si>
  <si>
    <t>Schmidt</t>
  </si>
  <si>
    <t>https://urldefense.proofpoint.com/v2/url?u=http-3A__dbpedia.org_resource_Helmut-5FSchmidt&amp;d=BQID-g&amp;c=kbmfwr1Yojg42sGEpaQh5ofMHBeTl9EI2eaqQZhHbOU&amp;r=ZliGVSRwfirWoETOrKCh2RSnoygzVPWEk95Me9L-Kwo&amp;m=EaKyFx9mpkhPdFxsxzvW_fiM3jbYwM3xYLjVbSFoDAg&amp;s=T-_NjHe0iBZbYVBn25Gu4k9eIJNMUbUJ_V8Oj_fyo9o&amp;e=</t>
  </si>
  <si>
    <t>GFR-1982</t>
  </si>
  <si>
    <t>82144394-1e42-11e4-b4cd-db5882bf8def</t>
  </si>
  <si>
    <t>Kohl</t>
  </si>
  <si>
    <t>https://urldefense.proofpoint.com/v2/url?u=http-3A__dbpedia.org_resource_Helmut-5FKohl&amp;d=BQID-g&amp;c=kbmfwr1Yojg42sGEpaQh5ofMHBeTl9EI2eaqQZhHbOU&amp;r=ZliGVSRwfirWoETOrKCh2RSnoygzVPWEk95Me9L-Kwo&amp;m=EaKyFx9mpkhPdFxsxzvW_fiM3jbYwM3xYLjVbSFoDAg&amp;s=8YgvJKZSFw3f3eHRUTykj0-lxOyQLJw8XZsQx1xHTL8&amp;e=</t>
  </si>
  <si>
    <t>GFR-1998</t>
  </si>
  <si>
    <t>82144395-1e42-11e4-b4cd-db5882bf8def</t>
  </si>
  <si>
    <t>Schroder</t>
  </si>
  <si>
    <t>https://urldefense.proofpoint.com/v2/url?u=http-3A__dbpedia.org_resource_Gerhard-5FSchr-25C3-25B6der&amp;d=BQID-g&amp;c=kbmfwr1Yojg42sGEpaQh5ofMHBeTl9EI2eaqQZhHbOU&amp;r=ZliGVSRwfirWoETOrKCh2RSnoygzVPWEk95Me9L-Kwo&amp;m=EaKyFx9mpkhPdFxsxzvW_fiM3jbYwM3xYLjVbSFoDAg&amp;s=oAflpgM-67ssflIZpi6XmIY54eV8nupN10I5OYSsmtY&amp;e=</t>
  </si>
  <si>
    <t>GFR-2005</t>
  </si>
  <si>
    <t>82517eaa-1e42-11e4-b4cd-db5882bf8def</t>
  </si>
  <si>
    <t>Merkel</t>
  </si>
  <si>
    <t>GDR-1946</t>
  </si>
  <si>
    <t>82144396-1e42-11e4-b4cd-db5882bf8def</t>
  </si>
  <si>
    <t>GDR</t>
  </si>
  <si>
    <t>Wilhelm Pieck</t>
  </si>
  <si>
    <t>https://urldefense.proofpoint.com/v2/url?u=http-3A__dbpedia.org_resource_Wilhelm-5FPieck&amp;d=BQID-g&amp;c=kbmfwr1Yojg42sGEpaQh5ofMHBeTl9EI2eaqQZhHbOU&amp;r=ZliGVSRwfirWoETOrKCh2RSnoygzVPWEk95Me9L-Kwo&amp;m=EaKyFx9mpkhPdFxsxzvW_fiM3jbYwM3xYLjVbSFoDAg&amp;s=MyMez7LcQlRlB1_SBqFOtmowgqHj8Id1rCA4pMyxiTU&amp;e=</t>
  </si>
  <si>
    <t>GDR-1950</t>
  </si>
  <si>
    <t>82144397-1e42-11e4-b4cd-db5882bf8def</t>
  </si>
  <si>
    <t>Ulbricht</t>
  </si>
  <si>
    <t>1893-06-30</t>
  </si>
  <si>
    <t>30jun1893</t>
  </si>
  <si>
    <t>https://urldefense.proofpoint.com/v2/url?u=http-3A__dbpedia.org_resource_Walter-5FUlbricht&amp;d=BQID-g&amp;c=kbmfwr1Yojg42sGEpaQh5ofMHBeTl9EI2eaqQZhHbOU&amp;r=ZliGVSRwfirWoETOrKCh2RSnoygzVPWEk95Me9L-Kwo&amp;m=EaKyFx9mpkhPdFxsxzvW_fiM3jbYwM3xYLjVbSFoDAg&amp;s=oCxMqm-aqThDdC8JdTAvHXuLP2U7ByH85gJn-VkRe9M&amp;e=</t>
  </si>
  <si>
    <t>GDR-1971</t>
  </si>
  <si>
    <t>82144398-1e42-11e4-b4cd-db5882bf8def</t>
  </si>
  <si>
    <t>Honecker</t>
  </si>
  <si>
    <t>https://urldefense.proofpoint.com/v2/url?u=http-3A__dbpedia.org_resource_Erich-5FHonecker&amp;d=BQID-g&amp;c=kbmfwr1Yojg42sGEpaQh5ofMHBeTl9EI2eaqQZhHbOU&amp;r=ZliGVSRwfirWoETOrKCh2RSnoygzVPWEk95Me9L-Kwo&amp;m=EaKyFx9mpkhPdFxsxzvW_fiM3jbYwM3xYLjVbSFoDAg&amp;s=3Bs9gB88yZs7-JbZ-vyNvAl9y7apHXoWYKeAqB1FPQI&amp;e=</t>
  </si>
  <si>
    <t>GDR-1989-1</t>
  </si>
  <si>
    <t>82147468-1e42-11e4-b4cd-db5882bf8def</t>
  </si>
  <si>
    <t>Krenz</t>
  </si>
  <si>
    <t>https://urldefense.proofpoint.com/v2/url?u=http-3A__dbpedia.org_resource_Egon-5FKrenz&amp;d=BQID-g&amp;c=kbmfwr1Yojg42sGEpaQh5ofMHBeTl9EI2eaqQZhHbOU&amp;r=ZliGVSRwfirWoETOrKCh2RSnoygzVPWEk95Me9L-Kwo&amp;m=EaKyFx9mpkhPdFxsxzvW_fiM3jbYwM3xYLjVbSFoDAg&amp;s=9t77MIX80UuSxFuGmbczJfUOu8n_rrvoHE9kJ1Y9THo&amp;e=</t>
  </si>
  <si>
    <t>GDR-1989-2</t>
  </si>
  <si>
    <t>82147469-1e42-11e4-b4cd-db5882bf8def</t>
  </si>
  <si>
    <t>Gysi</t>
  </si>
  <si>
    <t>Irregular, Other</t>
  </si>
  <si>
    <t>POL-1918-1</t>
  </si>
  <si>
    <t>8214746a-1e42-11e4-b4cd-db5882bf8def</t>
  </si>
  <si>
    <t>POL</t>
  </si>
  <si>
    <t>Daszynski</t>
  </si>
  <si>
    <t>1866-10-26</t>
  </si>
  <si>
    <t>26oct1866</t>
  </si>
  <si>
    <t>https://urldefense.proofpoint.com/v2/url?u=http-3A__dbpedia.org_resource_Ignacy-5FDaszy-25C5-2584ski&amp;d=BQID-g&amp;c=kbmfwr1Yojg42sGEpaQh5ofMHBeTl9EI2eaqQZhHbOU&amp;r=ZliGVSRwfirWoETOrKCh2RSnoygzVPWEk95Me9L-Kwo&amp;m=EaKyFx9mpkhPdFxsxzvW_fiM3jbYwM3xYLjVbSFoDAg&amp;s=8XEXIOEYa44vTzEptqHAqdRTZROWXXa4P9hEqNs51vk&amp;e=</t>
  </si>
  <si>
    <t>POL-1918-2</t>
  </si>
  <si>
    <t>8214746b-1e42-11e4-b4cd-db5882bf8def</t>
  </si>
  <si>
    <t>Pildsudski</t>
  </si>
  <si>
    <t>1867-12-05</t>
  </si>
  <si>
    <t>05dec1867</t>
  </si>
  <si>
    <t>https://urldefense.proofpoint.com/v2/url?u=http-3A__dbpedia.org_resource_J-25C3-25B3zef-5FPi-25C5-2582sudski&amp;d=BQID-g&amp;c=kbmfwr1Yojg42sGEpaQh5ofMHBeTl9EI2eaqQZhHbOU&amp;r=ZliGVSRwfirWoETOrKCh2RSnoygzVPWEk95Me9L-Kwo&amp;m=EaKyFx9mpkhPdFxsxzvW_fiM3jbYwM3xYLjVbSFoDAg&amp;s=JEyC_kO4nPNOZdfnak1HJijN52APOpBP1O8sajw2OKw&amp;e=</t>
  </si>
  <si>
    <t>POL-1922-1</t>
  </si>
  <si>
    <t>8214746c-1e42-11e4-b4cd-db5882bf8def</t>
  </si>
  <si>
    <t>Narutowicz</t>
  </si>
  <si>
    <t>1865-03-17</t>
  </si>
  <si>
    <t>17mar1865</t>
  </si>
  <si>
    <t>https://urldefense.proofpoint.com/v2/url?u=http-3A__dbpedia.org_resource_Gabriel-5FNarutowicz&amp;d=BQID-g&amp;c=kbmfwr1Yojg42sGEpaQh5ofMHBeTl9EI2eaqQZhHbOU&amp;r=ZliGVSRwfirWoETOrKCh2RSnoygzVPWEk95Me9L-Kwo&amp;m=EaKyFx9mpkhPdFxsxzvW_fiM3jbYwM3xYLjVbSFoDAg&amp;s=309w-B3tmQVX-Gv2ULh05TgJPWZ1gV-Ni02ur-qDFXU&amp;e=</t>
  </si>
  <si>
    <t>POL-1922-2</t>
  </si>
  <si>
    <t>8214a53c-1e42-11e4-b4cd-db5882bf8def</t>
  </si>
  <si>
    <t>Wojciechowski</t>
  </si>
  <si>
    <t>1869-03-15</t>
  </si>
  <si>
    <t>15mar1869</t>
  </si>
  <si>
    <t>https://urldefense.proofpoint.com/v2/url?u=http-3A__dbpedia.org_resource_Stanis-25C5-2582aw-5FWojciechowski&amp;d=BQID-g&amp;c=kbmfwr1Yojg42sGEpaQh5ofMHBeTl9EI2eaqQZhHbOU&amp;r=ZliGVSRwfirWoETOrKCh2RSnoygzVPWEk95Me9L-Kwo&amp;m=EaKyFx9mpkhPdFxsxzvW_fiM3jbYwM3xYLjVbSFoDAg&amp;s=bQx2Oo-iRqWXu62i1DAR0SQRWFB0__EZmRgk1thHW-g&amp;e=</t>
  </si>
  <si>
    <t>POL-1926</t>
  </si>
  <si>
    <t>POL-1935</t>
  </si>
  <si>
    <t>8214a53d-1e42-11e4-b4cd-db5882bf8def</t>
  </si>
  <si>
    <t>Smigly-Rydz</t>
  </si>
  <si>
    <t>1866-03-11</t>
  </si>
  <si>
    <t>11mar1866</t>
  </si>
  <si>
    <t>POL-1944</t>
  </si>
  <si>
    <t>8214a53e-1e42-11e4-b4cd-db5882bf8def</t>
  </si>
  <si>
    <t>Bierut</t>
  </si>
  <si>
    <t>1892-04-18</t>
  </si>
  <si>
    <t>18apr1892</t>
  </si>
  <si>
    <t>https://urldefense.proofpoint.com/v2/url?u=http-3A__dbpedia.org_resource_Boles-25C5-2582aw-5FBierut&amp;d=BQID-g&amp;c=kbmfwr1Yojg42sGEpaQh5ofMHBeTl9EI2eaqQZhHbOU&amp;r=ZliGVSRwfirWoETOrKCh2RSnoygzVPWEk95Me9L-Kwo&amp;m=EaKyFx9mpkhPdFxsxzvW_fiM3jbYwM3xYLjVbSFoDAg&amp;s=0Ruah6Wxqm2u35JRK-Y9ZO3MFGiDAw_5cS9PxL_z9tw&amp;e=</t>
  </si>
  <si>
    <t>POL-1956-1</t>
  </si>
  <si>
    <t>8214a53f-1e42-11e4-b4cd-db5882bf8def</t>
  </si>
  <si>
    <t>Ochab</t>
  </si>
  <si>
    <t>https://urldefense.proofpoint.com/v2/url?u=http-3A__dbpedia.org_resource_Edward-5FOchab&amp;d=BQID-g&amp;c=kbmfwr1Yojg42sGEpaQh5ofMHBeTl9EI2eaqQZhHbOU&amp;r=ZliGVSRwfirWoETOrKCh2RSnoygzVPWEk95Me9L-Kwo&amp;m=EaKyFx9mpkhPdFxsxzvW_fiM3jbYwM3xYLjVbSFoDAg&amp;s=FCGeDVQLet7Ct1-d9-QUjIeRnLQF2LZTbPgL_YQkAWU&amp;e=</t>
  </si>
  <si>
    <t>POL-1956-2</t>
  </si>
  <si>
    <t>8214d610-1e42-11e4-b4cd-db5882bf8def</t>
  </si>
  <si>
    <t>Gomulka</t>
  </si>
  <si>
    <t>https://urldefense.proofpoint.com/v2/url?u=http-3A__dbpedia.org_resource_W-25C5-2582adys-25C5-2582aw-5FGomu-25C5-2582ka&amp;d=BQID-g&amp;c=kbmfwr1Yojg42sGEpaQh5ofMHBeTl9EI2eaqQZhHbOU&amp;r=ZliGVSRwfirWoETOrKCh2RSnoygzVPWEk95Me9L-Kwo&amp;m=EaKyFx9mpkhPdFxsxzvW_fiM3jbYwM3xYLjVbSFoDAg&amp;s=3r5khUkMZ-NVB7dEEGYhmkmHbvuGuoeeIOR4xdGxFW8&amp;e=</t>
  </si>
  <si>
    <t>POL-1970</t>
  </si>
  <si>
    <t>8214d611-1e42-11e4-b4cd-db5882bf8def</t>
  </si>
  <si>
    <t>Gierek</t>
  </si>
  <si>
    <t>https://urldefense.proofpoint.com/v2/url?u=http-3A__dbpedia.org_resource_Edward-5FGierek&amp;d=BQID-g&amp;c=kbmfwr1Yojg42sGEpaQh5ofMHBeTl9EI2eaqQZhHbOU&amp;r=ZliGVSRwfirWoETOrKCh2RSnoygzVPWEk95Me9L-Kwo&amp;m=EaKyFx9mpkhPdFxsxzvW_fiM3jbYwM3xYLjVbSFoDAg&amp;s=j4_94yymwJ9jHi1XHI5r3wM_S_ro1maNw6ZVMGmdkpw&amp;e=</t>
  </si>
  <si>
    <t>POL-1980</t>
  </si>
  <si>
    <t>821506e4-1e42-11e4-b4cd-db5882bf8def</t>
  </si>
  <si>
    <t>Kania</t>
  </si>
  <si>
    <t>https://urldefense.proofpoint.com/v2/url?u=http-3A__dbpedia.org_resource_Stanis-25C5-2582aw-5FKania&amp;d=BQID-g&amp;c=kbmfwr1Yojg42sGEpaQh5ofMHBeTl9EI2eaqQZhHbOU&amp;r=ZliGVSRwfirWoETOrKCh2RSnoygzVPWEk95Me9L-Kwo&amp;m=EaKyFx9mpkhPdFxsxzvW_fiM3jbYwM3xYLjVbSFoDAg&amp;s=9IzypE_fpgUow3uEEFP2RQhWiuvqbj11v9Q8rsEHHgs&amp;e=</t>
  </si>
  <si>
    <t>POL-1981</t>
  </si>
  <si>
    <t>821506e5-1e42-11e4-b4cd-db5882bf8def</t>
  </si>
  <si>
    <t>Jaruzelski</t>
  </si>
  <si>
    <t>https://urldefense.proofpoint.com/v2/url?u=http-3A__dbpedia.org_resource_Wojciech-5FJaruzelski&amp;d=BQID-g&amp;c=kbmfwr1Yojg42sGEpaQh5ofMHBeTl9EI2eaqQZhHbOU&amp;r=ZliGVSRwfirWoETOrKCh2RSnoygzVPWEk95Me9L-Kwo&amp;m=EaKyFx9mpkhPdFxsxzvW_fiM3jbYwM3xYLjVbSFoDAg&amp;s=9iOuCxN5vn4tIBtAB-qfCSiukOY9mkHuM_tIBSFuNmU&amp;e=</t>
  </si>
  <si>
    <t>POL-1990</t>
  </si>
  <si>
    <t>821537c2-1e42-11e4-b4cd-db5882bf8def</t>
  </si>
  <si>
    <t>Walesa</t>
  </si>
  <si>
    <t>https://urldefense.proofpoint.com/v2/url?u=http-3A__dbpedia.org_resource_Lech-5FWa-25C5-2582-25C4-2599sa&amp;d=BQID-g&amp;c=kbmfwr1Yojg42sGEpaQh5ofMHBeTl9EI2eaqQZhHbOU&amp;r=ZliGVSRwfirWoETOrKCh2RSnoygzVPWEk95Me9L-Kwo&amp;m=EaKyFx9mpkhPdFxsxzvW_fiM3jbYwM3xYLjVbSFoDAg&amp;s=wHTbqI30aWYG2dul0oBHxXFsH_u33tSsn6drHln0avw&amp;e=</t>
  </si>
  <si>
    <t>POL-1995</t>
  </si>
  <si>
    <t>821537c3-1e42-11e4-b4cd-db5882bf8def</t>
  </si>
  <si>
    <t>Kwasniewski</t>
  </si>
  <si>
    <t>https://urldefense.proofpoint.com/v2/url?u=http-3A__dbpedia.org_resource_Aleksander-5FKwa-25C5-259Bniewski&amp;d=BQID-g&amp;c=kbmfwr1Yojg42sGEpaQh5ofMHBeTl9EI2eaqQZhHbOU&amp;r=ZliGVSRwfirWoETOrKCh2RSnoygzVPWEk95Me9L-Kwo&amp;m=EaKyFx9mpkhPdFxsxzvW_fiM3jbYwM3xYLjVbSFoDAg&amp;s=AjyWrwt9hUZAEFnyq5K50GxB2P5HUUKk89_ocMj8ls4&amp;e=</t>
  </si>
  <si>
    <t>POL-2005</t>
  </si>
  <si>
    <t>82517eab-1e42-11e4-b4cd-db5882bf8def</t>
  </si>
  <si>
    <t>Kaczynski</t>
  </si>
  <si>
    <t>POL-2010-1</t>
  </si>
  <si>
    <t>82517eac-1e42-11e4-b4cd-db5882bf8def</t>
  </si>
  <si>
    <t>Komorowski</t>
  </si>
  <si>
    <t>POL-2010-2</t>
  </si>
  <si>
    <t>82517ead-1e42-11e4-b4cd-db5882bf8def</t>
  </si>
  <si>
    <t>Borusewicz</t>
  </si>
  <si>
    <t>POL-2010-3</t>
  </si>
  <si>
    <t>8251af7c-1e42-11e4-b4cd-db5882bf8def</t>
  </si>
  <si>
    <t>Schetyna</t>
  </si>
  <si>
    <t>POL-2010-4</t>
  </si>
  <si>
    <t>AUH-1848</t>
  </si>
  <si>
    <t>82156896-1e42-11e4-b4cd-db5882bf8def</t>
  </si>
  <si>
    <t>AUH</t>
  </si>
  <si>
    <t>Francis Joseph I</t>
  </si>
  <si>
    <t>1848-12-02</t>
  </si>
  <si>
    <t>1830-08-18</t>
  </si>
  <si>
    <t>18aug1830</t>
  </si>
  <si>
    <t>https://urldefense.proofpoint.com/v2/url?u=http-3A__dbpedia.org_resource_Franz-5FJoseph-5FI-5Fof-5FAustria&amp;d=BQID-g&amp;c=kbmfwr1Yojg42sGEpaQh5ofMHBeTl9EI2eaqQZhHbOU&amp;r=ZliGVSRwfirWoETOrKCh2RSnoygzVPWEk95Me9L-Kwo&amp;m=EaKyFx9mpkhPdFxsxzvW_fiM3jbYwM3xYLjVbSFoDAg&amp;s=uZPBy6b_5xm4ZsuAISkprG3H4CfxH7ehuPY4XYT7af8&amp;e=</t>
  </si>
  <si>
    <t>AUH-1916</t>
  </si>
  <si>
    <t>82156897-1e42-11e4-b4cd-db5882bf8def</t>
  </si>
  <si>
    <t>Karl</t>
  </si>
  <si>
    <t>1887-08-17</t>
  </si>
  <si>
    <t>17aug1887</t>
  </si>
  <si>
    <t>https://urldefense.proofpoint.com/v2/url?u=http-3A__dbpedia.org_resource_Charles-5FI-5Fof-5FAustria&amp;d=BQID-g&amp;c=kbmfwr1Yojg42sGEpaQh5ofMHBeTl9EI2eaqQZhHbOU&amp;r=ZliGVSRwfirWoETOrKCh2RSnoygzVPWEk95Me9L-Kwo&amp;m=EaKyFx9mpkhPdFxsxzvW_fiM3jbYwM3xYLjVbSFoDAg&amp;s=LA6TQaThnTm-jmWCRDWH8hxn6mT8QqE_RBwy0DPaHGY&amp;e=</t>
  </si>
  <si>
    <t>AUS-1918</t>
  </si>
  <si>
    <t>8215996a-1e42-11e4-b4cd-db5882bf8def</t>
  </si>
  <si>
    <t>AUS</t>
  </si>
  <si>
    <t>Renner</t>
  </si>
  <si>
    <t>https://urldefense.proofpoint.com/v2/url?u=http-3A__dbpedia.org_resource_Karl-5FRenner&amp;d=BQID-g&amp;c=kbmfwr1Yojg42sGEpaQh5ofMHBeTl9EI2eaqQZhHbOU&amp;r=ZliGVSRwfirWoETOrKCh2RSnoygzVPWEk95Me9L-Kwo&amp;m=EaKyFx9mpkhPdFxsxzvW_fiM3jbYwM3xYLjVbSFoDAg&amp;s=rtndXfEcCpaUhjBUMI74CsuK9L7tOiLJ-LJs4GAc-Ac&amp;e=</t>
  </si>
  <si>
    <t>AUS-1920</t>
  </si>
  <si>
    <t>8215996b-1e42-11e4-b4cd-db5882bf8def</t>
  </si>
  <si>
    <t>Mayr</t>
  </si>
  <si>
    <t>AUS-1921</t>
  </si>
  <si>
    <t>8215ca3e-1e42-11e4-b4cd-db5882bf8def</t>
  </si>
  <si>
    <t>Schober</t>
  </si>
  <si>
    <t>1870-11-14</t>
  </si>
  <si>
    <t>14nov1870</t>
  </si>
  <si>
    <t>AUS-1922</t>
  </si>
  <si>
    <t>8215ca3f-1e42-11e4-b4cd-db5882bf8def</t>
  </si>
  <si>
    <t>Seipel</t>
  </si>
  <si>
    <t>1876-07-19</t>
  </si>
  <si>
    <t>19jul1876</t>
  </si>
  <si>
    <t>AUS-1924</t>
  </si>
  <si>
    <t>8215ca40-1e42-11e4-b4cd-db5882bf8def</t>
  </si>
  <si>
    <t>Ramek</t>
  </si>
  <si>
    <t>1881-04-12</t>
  </si>
  <si>
    <t>12apr1881</t>
  </si>
  <si>
    <t>AUS-1926</t>
  </si>
  <si>
    <t>AUS-1929-1</t>
  </si>
  <si>
    <t>8215ca41-1e42-11e4-b4cd-db5882bf8def</t>
  </si>
  <si>
    <t>Streeruwitz</t>
  </si>
  <si>
    <t>AUS-1929-2</t>
  </si>
  <si>
    <t>AUS-1930-1</t>
  </si>
  <si>
    <t>8215ca42-1e42-11e4-b4cd-db5882bf8def</t>
  </si>
  <si>
    <t>Vaugoin</t>
  </si>
  <si>
    <t>AUS-1930-2</t>
  </si>
  <si>
    <t>8215fb12-1e42-11e4-b4cd-db5882bf8def</t>
  </si>
  <si>
    <t>Ender</t>
  </si>
  <si>
    <t>1875-12-24</t>
  </si>
  <si>
    <t>24dec1875</t>
  </si>
  <si>
    <t>AUS-1931</t>
  </si>
  <si>
    <t>8215fb13-1e42-11e4-b4cd-db5882bf8def</t>
  </si>
  <si>
    <t>Buresch</t>
  </si>
  <si>
    <t>AUS-1932</t>
  </si>
  <si>
    <t>82162be6-1e42-11e4-b4cd-db5882bf8def</t>
  </si>
  <si>
    <t>Dollfuss</t>
  </si>
  <si>
    <t>1882-10-04</t>
  </si>
  <si>
    <t>04oct1882</t>
  </si>
  <si>
    <t>https://urldefense.proofpoint.com/v2/url?u=http-3A__dbpedia.org_resource_Engelbert-5FDollfuss&amp;d=BQID-g&amp;c=kbmfwr1Yojg42sGEpaQh5ofMHBeTl9EI2eaqQZhHbOU&amp;r=ZliGVSRwfirWoETOrKCh2RSnoygzVPWEk95Me9L-Kwo&amp;m=EaKyFx9mpkhPdFxsxzvW_fiM3jbYwM3xYLjVbSFoDAg&amp;s=-aOTzi65ou5MagQOGYT2fFk7e2swlmV23OGSCFUKNos&amp;e=</t>
  </si>
  <si>
    <t>AUS-1934</t>
  </si>
  <si>
    <t>82162be7-1e42-11e4-b4cd-db5882bf8def</t>
  </si>
  <si>
    <t>Schuschnigg</t>
  </si>
  <si>
    <t>1897-12-14</t>
  </si>
  <si>
    <t>14dec1897</t>
  </si>
  <si>
    <t>AUS-1938</t>
  </si>
  <si>
    <t>82165cba-1e42-11e4-b4cd-db5882bf8def</t>
  </si>
  <si>
    <t>Seyss-Inquart</t>
  </si>
  <si>
    <t>1892-07-22</t>
  </si>
  <si>
    <t>22jul1892</t>
  </si>
  <si>
    <t>https://urldefense.proofpoint.com/v2/url?u=http-3A__dbpedia.org_resource_Arthur-5FSeyss-2DInquart&amp;d=BQID-g&amp;c=kbmfwr1Yojg42sGEpaQh5ofMHBeTl9EI2eaqQZhHbOU&amp;r=ZliGVSRwfirWoETOrKCh2RSnoygzVPWEk95Me9L-Kwo&amp;m=EaKyFx9mpkhPdFxsxzvW_fiM3jbYwM3xYLjVbSFoDAg&amp;s=LCzWCHz9ejPaG32xWkQkZkltlNGiPSM_lzNv23-t2S8&amp;e=</t>
  </si>
  <si>
    <t>AUS-1945-1</t>
  </si>
  <si>
    <t>AUS-1945-2</t>
  </si>
  <si>
    <t>82165cbb-1e42-11e4-b4cd-db5882bf8def</t>
  </si>
  <si>
    <t>Figl</t>
  </si>
  <si>
    <t>AUS-1953</t>
  </si>
  <si>
    <t>82165cbc-1e42-11e4-b4cd-db5882bf8def</t>
  </si>
  <si>
    <t>Raab</t>
  </si>
  <si>
    <t>1891-11-29</t>
  </si>
  <si>
    <t>29nov1891</t>
  </si>
  <si>
    <t>AUS-1961</t>
  </si>
  <si>
    <t>82168d8e-1e42-11e4-b4cd-db5882bf8def</t>
  </si>
  <si>
    <t>Gorbach</t>
  </si>
  <si>
    <t>1898-10-02</t>
  </si>
  <si>
    <t>02oct1898</t>
  </si>
  <si>
    <t>https://urldefense.proofpoint.com/v2/url?u=http-3A__dbpedia.org_resource_Alfons-5FGorbach&amp;d=BQID-g&amp;c=kbmfwr1Yojg42sGEpaQh5ofMHBeTl9EI2eaqQZhHbOU&amp;r=ZliGVSRwfirWoETOrKCh2RSnoygzVPWEk95Me9L-Kwo&amp;m=EaKyFx9mpkhPdFxsxzvW_fiM3jbYwM3xYLjVbSFoDAg&amp;s=-busQVKvEj1cLtXFMZjvy08TDcN3ObUfM2wbw0l_eqg&amp;e=</t>
  </si>
  <si>
    <t>AUS-1964</t>
  </si>
  <si>
    <t>82168d8f-1e42-11e4-b4cd-db5882bf8def</t>
  </si>
  <si>
    <t>Klaus</t>
  </si>
  <si>
    <t>https://urldefense.proofpoint.com/v2/url?u=http-3A__dbpedia.org_resource_Josef-5FKlaus&amp;d=BQID-g&amp;c=kbmfwr1Yojg42sGEpaQh5ofMHBeTl9EI2eaqQZhHbOU&amp;r=ZliGVSRwfirWoETOrKCh2RSnoygzVPWEk95Me9L-Kwo&amp;m=EaKyFx9mpkhPdFxsxzvW_fiM3jbYwM3xYLjVbSFoDAg&amp;s=CnGB4I4mAMKgjyPGkHuUbElFkSQoMM62NCZ3tbo6_Q0&amp;e=</t>
  </si>
  <si>
    <t>AUS-1970</t>
  </si>
  <si>
    <t>8216be62-1e42-11e4-b4cd-db5882bf8def</t>
  </si>
  <si>
    <t>Kreisky</t>
  </si>
  <si>
    <t>https://urldefense.proofpoint.com/v2/url?u=http-3A__dbpedia.org_resource_Bruno-5FKreisky&amp;d=BQID-g&amp;c=kbmfwr1Yojg42sGEpaQh5ofMHBeTl9EI2eaqQZhHbOU&amp;r=ZliGVSRwfirWoETOrKCh2RSnoygzVPWEk95Me9L-Kwo&amp;m=EaKyFx9mpkhPdFxsxzvW_fiM3jbYwM3xYLjVbSFoDAg&amp;s=ARUByxuSWm9zj-Q7pw93O8n88KNH3v1TI6cfy0T1kuI&amp;e=</t>
  </si>
  <si>
    <t>AUS-1983</t>
  </si>
  <si>
    <t>8216be63-1e42-11e4-b4cd-db5882bf8def</t>
  </si>
  <si>
    <t>Sinowatz</t>
  </si>
  <si>
    <t>AUS-1986</t>
  </si>
  <si>
    <t>8216ef36-1e42-11e4-b4cd-db5882bf8def</t>
  </si>
  <si>
    <t>Vranitzky</t>
  </si>
  <si>
    <t>https://urldefense.proofpoint.com/v2/url?u=http-3A__dbpedia.org_resource_Franz-5FVranitzky&amp;d=BQID-g&amp;c=kbmfwr1Yojg42sGEpaQh5ofMHBeTl9EI2eaqQZhHbOU&amp;r=ZliGVSRwfirWoETOrKCh2RSnoygzVPWEk95Me9L-Kwo&amp;m=EaKyFx9mpkhPdFxsxzvW_fiM3jbYwM3xYLjVbSFoDAg&amp;s=eCdkstUALKj4rqxZ6TM6Is2O6DzwNlMJLr4Z94Jc9SM&amp;e=</t>
  </si>
  <si>
    <t>AUS-1997</t>
  </si>
  <si>
    <t>8216ef37-1e42-11e4-b4cd-db5882bf8def</t>
  </si>
  <si>
    <t>Klima</t>
  </si>
  <si>
    <t>https://urldefense.proofpoint.com/v2/url?u=http-3A__dbpedia.org_resource_Viktor-5FKlima&amp;d=BQID-g&amp;c=kbmfwr1Yojg42sGEpaQh5ofMHBeTl9EI2eaqQZhHbOU&amp;r=ZliGVSRwfirWoETOrKCh2RSnoygzVPWEk95Me9L-Kwo&amp;m=EaKyFx9mpkhPdFxsxzvW_fiM3jbYwM3xYLjVbSFoDAg&amp;s=Zu832xju6FpLpiVOrAsyGhhCYMaS6hBRRLNPla-3UdI&amp;e=</t>
  </si>
  <si>
    <t>AUS-2000</t>
  </si>
  <si>
    <t>8216ef38-1e42-11e4-b4cd-db5882bf8def</t>
  </si>
  <si>
    <t>Schussel</t>
  </si>
  <si>
    <t>https://urldefense.proofpoint.com/v2/url?u=http-3A__dbpedia.org_resource_Wolfgang-5FSch-25C3-25BCssel&amp;d=BQID-g&amp;c=kbmfwr1Yojg42sGEpaQh5ofMHBeTl9EI2eaqQZhHbOU&amp;r=ZliGVSRwfirWoETOrKCh2RSnoygzVPWEk95Me9L-Kwo&amp;m=EaKyFx9mpkhPdFxsxzvW_fiM3jbYwM3xYLjVbSFoDAg&amp;s=JjCpV10bSjgs1ykyEh5kMYFa1TBZPPQ9WS0gQ5Azkuo&amp;e=</t>
  </si>
  <si>
    <t>AUS-2007</t>
  </si>
  <si>
    <t>8251af7d-1e42-11e4-b4cd-db5882bf8def</t>
  </si>
  <si>
    <t>Gusenbauer</t>
  </si>
  <si>
    <t>AUS-2008</t>
  </si>
  <si>
    <t>8251af7e-1e42-11e4-b4cd-db5882bf8def</t>
  </si>
  <si>
    <t>Faymann</t>
  </si>
  <si>
    <t>HUN-1918</t>
  </si>
  <si>
    <t>8216ef39-1e42-11e4-b4cd-db5882bf8def</t>
  </si>
  <si>
    <t>HUN</t>
  </si>
  <si>
    <t>Karolyi</t>
  </si>
  <si>
    <t>1875-03-04</t>
  </si>
  <si>
    <t>04mar1875</t>
  </si>
  <si>
    <t>https://urldefense.proofpoint.com/v2/url?u=http-3A__dbpedia.org_resource_Mih-25C3-25A1ly-5FK-25C3-25A1rolyi&amp;d=BQID-g&amp;c=kbmfwr1Yojg42sGEpaQh5ofMHBeTl9EI2eaqQZhHbOU&amp;r=ZliGVSRwfirWoETOrKCh2RSnoygzVPWEk95Me9L-Kwo&amp;m=EaKyFx9mpkhPdFxsxzvW_fiM3jbYwM3xYLjVbSFoDAg&amp;s=M7rwc0JTYNpbND40hoga3LhRDCAXJ_KsSui0qm080X8&amp;e=</t>
  </si>
  <si>
    <t>HUN-1919-1</t>
  </si>
  <si>
    <t>8216ef3a-1e42-11e4-b4cd-db5882bf8def</t>
  </si>
  <si>
    <t>Kun</t>
  </si>
  <si>
    <t>1886-02-20</t>
  </si>
  <si>
    <t>20feb1886</t>
  </si>
  <si>
    <t>HUN-1919-2</t>
  </si>
  <si>
    <t>82172014-1e42-11e4-b4cd-db5882bf8def</t>
  </si>
  <si>
    <t>Peidl</t>
  </si>
  <si>
    <t>1873-04-03</t>
  </si>
  <si>
    <t>03apr1873</t>
  </si>
  <si>
    <t>https://urldefense.proofpoint.com/v2/url?u=http-3A__dbpedia.org_resource_Gyula-5FPeidl&amp;d=BQID-g&amp;c=kbmfwr1Yojg42sGEpaQh5ofMHBeTl9EI2eaqQZhHbOU&amp;r=ZliGVSRwfirWoETOrKCh2RSnoygzVPWEk95Me9L-Kwo&amp;m=EaKyFx9mpkhPdFxsxzvW_fiM3jbYwM3xYLjVbSFoDAg&amp;s=6KBdGx1n5D0X2oIxZ57EmD_VjAvznU99FqpkD9Oim04&amp;e=</t>
  </si>
  <si>
    <t>HUN-1919-3</t>
  </si>
  <si>
    <t>82172015-1e42-11e4-b4cd-db5882bf8def</t>
  </si>
  <si>
    <t>1883-07-01</t>
  </si>
  <si>
    <t>01jul1883</t>
  </si>
  <si>
    <t>HUN-1919-4</t>
  </si>
  <si>
    <t>82172016-1e42-11e4-b4cd-db5882bf8def</t>
  </si>
  <si>
    <t>Huszar</t>
  </si>
  <si>
    <t>1882-09-10</t>
  </si>
  <si>
    <t>10sep1882</t>
  </si>
  <si>
    <t>HUN-1920</t>
  </si>
  <si>
    <t>82172017-1e42-11e4-b4cd-db5882bf8def</t>
  </si>
  <si>
    <t>Horthy</t>
  </si>
  <si>
    <t>1868-06-18</t>
  </si>
  <si>
    <t>18jun1868</t>
  </si>
  <si>
    <t>https://urldefense.proofpoint.com/v2/url?u=http-3A__dbpedia.org_resource_Mikl-25C3-25B3s-5FHorthy&amp;d=BQID-g&amp;c=kbmfwr1Yojg42sGEpaQh5ofMHBeTl9EI2eaqQZhHbOU&amp;r=ZliGVSRwfirWoETOrKCh2RSnoygzVPWEk95Me9L-Kwo&amp;m=EaKyFx9mpkhPdFxsxzvW_fiM3jbYwM3xYLjVbSFoDAg&amp;s=-VLAwUHZfIITbs4UJxQU80lhhx7Dc7TRh4CWxS8yFpc&amp;e=</t>
  </si>
  <si>
    <t>HUN-1945</t>
  </si>
  <si>
    <t>82172018-1e42-11e4-b4cd-db5882bf8def</t>
  </si>
  <si>
    <t>Rakoski</t>
  </si>
  <si>
    <t>1892-03-14</t>
  </si>
  <si>
    <t>14mar1892</t>
  </si>
  <si>
    <t>https://urldefense.proofpoint.com/v2/url?u=http-3A__dbpedia.org_resource_M-25C3-25A1ty-25C3-25A1s-5FR-25C3-25A1kosi&amp;d=BQID-g&amp;c=kbmfwr1Yojg42sGEpaQh5ofMHBeTl9EI2eaqQZhHbOU&amp;r=ZliGVSRwfirWoETOrKCh2RSnoygzVPWEk95Me9L-Kwo&amp;m=EaKyFx9mpkhPdFxsxzvW_fiM3jbYwM3xYLjVbSFoDAg&amp;s=9mNuWMbgADwxs4xVEfCmDDCgMtKoDTY-_56XB_udG24&amp;e=</t>
  </si>
  <si>
    <t>HUN-1956-1</t>
  </si>
  <si>
    <t>821750e8-1e42-11e4-b4cd-db5882bf8def</t>
  </si>
  <si>
    <t>Gero</t>
  </si>
  <si>
    <t>1898-07-08</t>
  </si>
  <si>
    <t>08jul1898</t>
  </si>
  <si>
    <t>HUN-1956-2</t>
  </si>
  <si>
    <t>821750e9-1e42-11e4-b4cd-db5882bf8def</t>
  </si>
  <si>
    <t>Nagy</t>
  </si>
  <si>
    <t>1896-06-07</t>
  </si>
  <si>
    <t>07jun1896</t>
  </si>
  <si>
    <t>https://urldefense.proofpoint.com/v2/url?u=http-3A__dbpedia.org_resource_Imre-5FNagy&amp;d=BQID-g&amp;c=kbmfwr1Yojg42sGEpaQh5ofMHBeTl9EI2eaqQZhHbOU&amp;r=ZliGVSRwfirWoETOrKCh2RSnoygzVPWEk95Me9L-Kwo&amp;m=EaKyFx9mpkhPdFxsxzvW_fiM3jbYwM3xYLjVbSFoDAg&amp;s=nOMW9HIOACcY1qi__G43fpYVxJYvtdxRY9dOfTZCcT4&amp;e=</t>
  </si>
  <si>
    <t>HUN-1956-3</t>
  </si>
  <si>
    <t>821750ea-1e42-11e4-b4cd-db5882bf8def</t>
  </si>
  <si>
    <t>Kadar</t>
  </si>
  <si>
    <t>https://urldefense.proofpoint.com/v2/url?u=http-3A__dbpedia.org_resource_J-25C3-25A1nos-5FK-25C3-25A1d-25C3-25A1r&amp;d=BQID-g&amp;c=kbmfwr1Yojg42sGEpaQh5ofMHBeTl9EI2eaqQZhHbOU&amp;r=ZliGVSRwfirWoETOrKCh2RSnoygzVPWEk95Me9L-Kwo&amp;m=EaKyFx9mpkhPdFxsxzvW_fiM3jbYwM3xYLjVbSFoDAg&amp;s=1Ye9HilUMagfbVg3GSapdynj6FyHGbuMIBLu3Mq1FOI&amp;e=</t>
  </si>
  <si>
    <t>HUN-1988</t>
  </si>
  <si>
    <t>821750eb-1e42-11e4-b4cd-db5882bf8def</t>
  </si>
  <si>
    <t>Grosz</t>
  </si>
  <si>
    <t>https://urldefense.proofpoint.com/v2/url?u=http-3A__dbpedia.org_resource_K-25C3-25A1roly-5FGr-25C3-25B3sz&amp;d=BQID-g&amp;c=kbmfwr1Yojg42sGEpaQh5ofMHBeTl9EI2eaqQZhHbOU&amp;r=ZliGVSRwfirWoETOrKCh2RSnoygzVPWEk95Me9L-Kwo&amp;m=EaKyFx9mpkhPdFxsxzvW_fiM3jbYwM3xYLjVbSFoDAg&amp;s=uiPRizvMp0qjwEm9NUMpPSvrLU7m5zfz9BrvOz_5eaU&amp;e=</t>
  </si>
  <si>
    <t>HUN-1989</t>
  </si>
  <si>
    <t>821750ec-1e42-11e4-b4cd-db5882bf8def</t>
  </si>
  <si>
    <t>Szuros</t>
  </si>
  <si>
    <t>https://urldefense.proofpoint.com/v2/url?u=http-3A__dbpedia.org_resource_M-25C3-25A1ty-25C3-25A1s-5FSz-25C5-25B1r-25C3-25B6s&amp;d=BQID-g&amp;c=kbmfwr1Yojg42sGEpaQh5ofMHBeTl9EI2eaqQZhHbOU&amp;r=ZliGVSRwfirWoETOrKCh2RSnoygzVPWEk95Me9L-Kwo&amp;m=EaKyFx9mpkhPdFxsxzvW_fiM3jbYwM3xYLjVbSFoDAg&amp;s=1c9sqLjv05K8hjlycOdpbkHb2fQV8JlOFCRaRqUm1zw&amp;e=</t>
  </si>
  <si>
    <t>HUN-1990</t>
  </si>
  <si>
    <t>821750ed-1e42-11e4-b4cd-db5882bf8def</t>
  </si>
  <si>
    <t>Antall</t>
  </si>
  <si>
    <t>https://urldefense.proofpoint.com/v2/url?u=http-3A__dbpedia.org_resource_J-25C3-25B3zsef-5FAntall&amp;d=BQID-g&amp;c=kbmfwr1Yojg42sGEpaQh5ofMHBeTl9EI2eaqQZhHbOU&amp;r=ZliGVSRwfirWoETOrKCh2RSnoygzVPWEk95Me9L-Kwo&amp;m=EaKyFx9mpkhPdFxsxzvW_fiM3jbYwM3xYLjVbSFoDAg&amp;s=FX86aVZFDhJf5UGglhs_mSdisRxnq38cUSSP421nNIk&amp;e=</t>
  </si>
  <si>
    <t>HUN-1993</t>
  </si>
  <si>
    <t>821781bc-1e42-11e4-b4cd-db5882bf8def</t>
  </si>
  <si>
    <t>Boross</t>
  </si>
  <si>
    <t>HUN-1994</t>
  </si>
  <si>
    <t>821781bd-1e42-11e4-b4cd-db5882bf8def</t>
  </si>
  <si>
    <t>Horn</t>
  </si>
  <si>
    <t>https://urldefense.proofpoint.com/v2/url?u=http-3A__dbpedia.org_resource_Gyula-5FHorn&amp;d=BQID-g&amp;c=kbmfwr1Yojg42sGEpaQh5ofMHBeTl9EI2eaqQZhHbOU&amp;r=ZliGVSRwfirWoETOrKCh2RSnoygzVPWEk95Me9L-Kwo&amp;m=EaKyFx9mpkhPdFxsxzvW_fiM3jbYwM3xYLjVbSFoDAg&amp;s=qyDCl-0Mawkuh2lxrMo98A3uMG1oRlnD43flxOivI24&amp;e=</t>
  </si>
  <si>
    <t>HUN-1998</t>
  </si>
  <si>
    <t>821781be-1e42-11e4-b4cd-db5882bf8def</t>
  </si>
  <si>
    <t>Orban</t>
  </si>
  <si>
    <t>HUN-2002</t>
  </si>
  <si>
    <t>821781bf-1e42-11e4-b4cd-db5882bf8def</t>
  </si>
  <si>
    <t>Peter Medgyessy</t>
  </si>
  <si>
    <t>https://urldefense.proofpoint.com/v2/url?u=http-3A__dbpedia.org_resource_P-25C3-25A9ter-5FMedgyessy&amp;d=BQID-g&amp;c=kbmfwr1Yojg42sGEpaQh5ofMHBeTl9EI2eaqQZhHbOU&amp;r=ZliGVSRwfirWoETOrKCh2RSnoygzVPWEk95Me9L-Kwo&amp;m=EaKyFx9mpkhPdFxsxzvW_fiM3jbYwM3xYLjVbSFoDAg&amp;s=hUipxoQpPPZkaWGKDlJYkoc4gXFZrqPqnbsS8J4IiPk&amp;e=</t>
  </si>
  <si>
    <t>HUN-2004</t>
  </si>
  <si>
    <t>821781c0-1e42-11e4-b4cd-db5882bf8def</t>
  </si>
  <si>
    <t>Ferenc Gyurcsany</t>
  </si>
  <si>
    <t>https://urldefense.proofpoint.com/v2/url?u=http-3A__dbpedia.org_resource_Ferenc-5FGyurcs-25C3-25A1ny&amp;d=BQID-g&amp;c=kbmfwr1Yojg42sGEpaQh5ofMHBeTl9EI2eaqQZhHbOU&amp;r=ZliGVSRwfirWoETOrKCh2RSnoygzVPWEk95Me9L-Kwo&amp;m=EaKyFx9mpkhPdFxsxzvW_fiM3jbYwM3xYLjVbSFoDAg&amp;s=wDDeBwXMxl4XYDsxx4_M2ZFiVKRc_cntmHSv1FzmcvQ&amp;e=</t>
  </si>
  <si>
    <t>HUN-2009</t>
  </si>
  <si>
    <t>8251af7f-1e42-11e4-b4cd-db5882bf8def</t>
  </si>
  <si>
    <t>Bajnai</t>
  </si>
  <si>
    <t>HUN-2010</t>
  </si>
  <si>
    <t>CZE-1918</t>
  </si>
  <si>
    <t>8217b290-1e42-11e4-b4cd-db5882bf8def</t>
  </si>
  <si>
    <t>CZE</t>
  </si>
  <si>
    <t>Masaryk</t>
  </si>
  <si>
    <t>1850-03-07</t>
  </si>
  <si>
    <t>07mar1850</t>
  </si>
  <si>
    <t>CZE-1935</t>
  </si>
  <si>
    <t>8217b291-1e42-11e4-b4cd-db5882bf8def</t>
  </si>
  <si>
    <t>Benes</t>
  </si>
  <si>
    <t>1884-05-28</t>
  </si>
  <si>
    <t>28may1884</t>
  </si>
  <si>
    <t>https://urldefense.proofpoint.com/v2/url?u=http-3A__dbpedia.org_resource_Edvard-5FBene-25C5-25A1&amp;d=BQID-g&amp;c=kbmfwr1Yojg42sGEpaQh5ofMHBeTl9EI2eaqQZhHbOU&amp;r=ZliGVSRwfirWoETOrKCh2RSnoygzVPWEk95Me9L-Kwo&amp;m=EaKyFx9mpkhPdFxsxzvW_fiM3jbYwM3xYLjVbSFoDAg&amp;s=tQ-_mTXlUMEssQwvKkSEKQjciEZphk8aeA6jWRAuJ5I&amp;e=</t>
  </si>
  <si>
    <t>CZE-1938-1</t>
  </si>
  <si>
    <t>8217b292-1e42-11e4-b4cd-db5882bf8def</t>
  </si>
  <si>
    <t>Syrovy</t>
  </si>
  <si>
    <t>CZE-1938-2</t>
  </si>
  <si>
    <t>8217b293-1e42-11e4-b4cd-db5882bf8def</t>
  </si>
  <si>
    <t>Hacha</t>
  </si>
  <si>
    <t>1872-07-12</t>
  </si>
  <si>
    <t>12jul1872</t>
  </si>
  <si>
    <t>CZE-1945</t>
  </si>
  <si>
    <t>CZE-1948</t>
  </si>
  <si>
    <t>8217b294-1e42-11e4-b4cd-db5882bf8def</t>
  </si>
  <si>
    <t>Gottwald</t>
  </si>
  <si>
    <t>1896-11-23</t>
  </si>
  <si>
    <t>23nov1896</t>
  </si>
  <si>
    <t>https://urldefense.proofpoint.com/v2/url?u=http-3A__dbpedia.org_resource_Klement-5FGottwald&amp;d=BQID-g&amp;c=kbmfwr1Yojg42sGEpaQh5ofMHBeTl9EI2eaqQZhHbOU&amp;r=ZliGVSRwfirWoETOrKCh2RSnoygzVPWEk95Me9L-Kwo&amp;m=EaKyFx9mpkhPdFxsxzvW_fiM3jbYwM3xYLjVbSFoDAg&amp;s=wP3JJ9m7UtnsrQ7vALn58cIZKzp_7eE8zdEJho_FGp8&amp;e=</t>
  </si>
  <si>
    <t>CZE-1953</t>
  </si>
  <si>
    <t>8217b295-1e42-11e4-b4cd-db5882bf8def</t>
  </si>
  <si>
    <t>Zapotocky</t>
  </si>
  <si>
    <t>1884-12-19</t>
  </si>
  <si>
    <t>19dec1884</t>
  </si>
  <si>
    <t>https://urldefense.proofpoint.com/v2/url?u=http-3A__dbpedia.org_resource_Anton-25C3-25ADn-5FZ-25C3-25A1potock-25C3-25BD&amp;d=BQID-g&amp;c=kbmfwr1Yojg42sGEpaQh5ofMHBeTl9EI2eaqQZhHbOU&amp;r=ZliGVSRwfirWoETOrKCh2RSnoygzVPWEk95Me9L-Kwo&amp;m=EaKyFx9mpkhPdFxsxzvW_fiM3jbYwM3xYLjVbSFoDAg&amp;s=d9vBQTVP1M6iq3QIrVYOMaybxgt5WyG2oLEsgoKzq_s&amp;e=</t>
  </si>
  <si>
    <t>CZE-1957</t>
  </si>
  <si>
    <t>8217e364-1e42-11e4-b4cd-db5882bf8def</t>
  </si>
  <si>
    <t>Novotny</t>
  </si>
  <si>
    <t>https://urldefense.proofpoint.com/v2/url?u=http-3A__dbpedia.org_resource_Anton-25C3-25ADn-5FNovotn-25C3-25BD&amp;d=BQID-g&amp;c=kbmfwr1Yojg42sGEpaQh5ofMHBeTl9EI2eaqQZhHbOU&amp;r=ZliGVSRwfirWoETOrKCh2RSnoygzVPWEk95Me9L-Kwo&amp;m=EaKyFx9mpkhPdFxsxzvW_fiM3jbYwM3xYLjVbSFoDAg&amp;s=XhR9if8m68_MANbF2zUSLHrlt8rKR2Q4UccJtCxBuek&amp;e=</t>
  </si>
  <si>
    <t>CZE-1968-1</t>
  </si>
  <si>
    <t>8217e365-1e42-11e4-b4cd-db5882bf8def</t>
  </si>
  <si>
    <t>Dubcek</t>
  </si>
  <si>
    <t>CZE-1968-2</t>
  </si>
  <si>
    <t>8217e366-1e42-11e4-b4cd-db5882bf8def</t>
  </si>
  <si>
    <t>Svoboda</t>
  </si>
  <si>
    <t>1895-11-25</t>
  </si>
  <si>
    <t>25nov1895</t>
  </si>
  <si>
    <t>https://urldefense.proofpoint.com/v2/url?u=http-3A__dbpedia.org_resource_Ludv-25C3-25ADk-5FSvoboda&amp;d=BQID-g&amp;c=kbmfwr1Yojg42sGEpaQh5ofMHBeTl9EI2eaqQZhHbOU&amp;r=ZliGVSRwfirWoETOrKCh2RSnoygzVPWEk95Me9L-Kwo&amp;m=EaKyFx9mpkhPdFxsxzvW_fiM3jbYwM3xYLjVbSFoDAg&amp;s=BeuVcozdkpZ9zkJaoasqlnnTsUXPS3VXmoTSXQq4kQA&amp;e=</t>
  </si>
  <si>
    <t>CZE-1968-3</t>
  </si>
  <si>
    <t>8217e367-1e42-11e4-b4cd-db5882bf8def</t>
  </si>
  <si>
    <t>Husak</t>
  </si>
  <si>
    <t>https://urldefense.proofpoint.com/v2/url?u=http-3A__dbpedia.org_resource_Gust-25C3-25A1v-5FHus-25C3-25A1k&amp;d=BQID-g&amp;c=kbmfwr1Yojg42sGEpaQh5ofMHBeTl9EI2eaqQZhHbOU&amp;r=ZliGVSRwfirWoETOrKCh2RSnoygzVPWEk95Me9L-Kwo&amp;m=EaKyFx9mpkhPdFxsxzvW_fiM3jbYwM3xYLjVbSFoDAg&amp;s=KvXvBcimOVDeNZJr--ux9MjwEhAD9smhcKRRtkkK9w8&amp;e=</t>
  </si>
  <si>
    <t>CZE-1989</t>
  </si>
  <si>
    <t>82181438-1e42-11e4-b4cd-db5882bf8def</t>
  </si>
  <si>
    <t>Calfa</t>
  </si>
  <si>
    <t>https://urldefense.proofpoint.com/v2/url?u=http-3A__dbpedia.org_resource_Mari-25C3-25A1n-5F-25C4-258Calfa&amp;d=BQID-g&amp;c=kbmfwr1Yojg42sGEpaQh5ofMHBeTl9EI2eaqQZhHbOU&amp;r=ZliGVSRwfirWoETOrKCh2RSnoygzVPWEk95Me9L-Kwo&amp;m=EaKyFx9mpkhPdFxsxzvW_fiM3jbYwM3xYLjVbSFoDAg&amp;s=yTlEmSCF0s4pHyz9sB2iaaAJCLFXRkd8RAB8WkChEXk&amp;e=</t>
  </si>
  <si>
    <t>CZE-1992</t>
  </si>
  <si>
    <t>82181439-1e42-11e4-b4cd-db5882bf8def</t>
  </si>
  <si>
    <t>Strasky</t>
  </si>
  <si>
    <t>CZR-1993</t>
  </si>
  <si>
    <t>8218143a-1e42-11e4-b4cd-db5882bf8def</t>
  </si>
  <si>
    <t>CZR</t>
  </si>
  <si>
    <t>CZR-1997</t>
  </si>
  <si>
    <t>8218143b-1e42-11e4-b4cd-db5882bf8def</t>
  </si>
  <si>
    <t>Tosovsky</t>
  </si>
  <si>
    <t>CZR-1998</t>
  </si>
  <si>
    <t>8218143c-1e42-11e4-b4cd-db5882bf8def</t>
  </si>
  <si>
    <t>Zeman</t>
  </si>
  <si>
    <t>CZR-2002</t>
  </si>
  <si>
    <t>8218450c-1e42-11e4-b4cd-db5882bf8def</t>
  </si>
  <si>
    <t>Spidla</t>
  </si>
  <si>
    <t>CZR-2004</t>
  </si>
  <si>
    <t>8218450d-1e42-11e4-b4cd-db5882bf8def</t>
  </si>
  <si>
    <t>Stanislav Gross</t>
  </si>
  <si>
    <t>https://urldefense.proofpoint.com/v2/url?u=http-3A__dbpedia.org_resource_Stanislav-5FGross&amp;d=BQID-g&amp;c=kbmfwr1Yojg42sGEpaQh5ofMHBeTl9EI2eaqQZhHbOU&amp;r=ZliGVSRwfirWoETOrKCh2RSnoygzVPWEk95Me9L-Kwo&amp;m=EaKyFx9mpkhPdFxsxzvW_fiM3jbYwM3xYLjVbSFoDAg&amp;s=RPhufIJHTHP0y1IFDONn3ZKMbllxRTMhXZgFbPDfYZY&amp;e=</t>
  </si>
  <si>
    <t>CZR-2005</t>
  </si>
  <si>
    <t>8251af80-1e42-11e4-b4cd-db5882bf8def</t>
  </si>
  <si>
    <t>Paroubek</t>
  </si>
  <si>
    <t>CZR-2006</t>
  </si>
  <si>
    <t>8251af81-1e42-11e4-b4cd-db5882bf8def</t>
  </si>
  <si>
    <t>Topolanek</t>
  </si>
  <si>
    <t>CZR-2009</t>
  </si>
  <si>
    <t>8251e050-1e42-11e4-b4cd-db5882bf8def</t>
  </si>
  <si>
    <t>Fischer</t>
  </si>
  <si>
    <t>CZR-2010</t>
  </si>
  <si>
    <t>8251e051-1e42-11e4-b4cd-db5882bf8def</t>
  </si>
  <si>
    <t>Necas</t>
  </si>
  <si>
    <t>CZR-2013</t>
  </si>
  <si>
    <t>2b37a457-3481-11e4-8dba-bbcd9ed46413</t>
  </si>
  <si>
    <t>Rusnok</t>
  </si>
  <si>
    <t>CZR-2014</t>
  </si>
  <si>
    <t>149e3ccf-aae0-11e4-b3bc-29f2fa19767e</t>
  </si>
  <si>
    <t>Sobotka</t>
  </si>
  <si>
    <t>SLO-1993</t>
  </si>
  <si>
    <t>8218450e-1e42-11e4-b4cd-db5882bf8def</t>
  </si>
  <si>
    <t>SLO</t>
  </si>
  <si>
    <t>Meciar</t>
  </si>
  <si>
    <t>https://urldefense.proofpoint.com/v2/url?u=http-3A__dbpedia.org_resource_Vladim-25C3-25ADr-5FMe-25C4-258Diar&amp;d=BQID-g&amp;c=kbmfwr1Yojg42sGEpaQh5ofMHBeTl9EI2eaqQZhHbOU&amp;r=ZliGVSRwfirWoETOrKCh2RSnoygzVPWEk95Me9L-Kwo&amp;m=EaKyFx9mpkhPdFxsxzvW_fiM3jbYwM3xYLjVbSFoDAg&amp;s=3fZBu4vJXaNVuTFmobt5BWZAQmM3QoCGhmCWxF7C8Vk&amp;e=</t>
  </si>
  <si>
    <t>SLO-1994-1</t>
  </si>
  <si>
    <t>8218450f-1e42-11e4-b4cd-db5882bf8def</t>
  </si>
  <si>
    <t>Moravcik</t>
  </si>
  <si>
    <t>SLO-1994-2</t>
  </si>
  <si>
    <t>SLO-1998</t>
  </si>
  <si>
    <t>82184510-1e42-11e4-b4cd-db5882bf8def</t>
  </si>
  <si>
    <t>Dzurinda</t>
  </si>
  <si>
    <t>https://urldefense.proofpoint.com/v2/url?u=http-3A__dbpedia.org_resource_Mikul-25C3-25A1-25C5-25A1-5FDzurinda&amp;d=BQID-g&amp;c=kbmfwr1Yojg42sGEpaQh5ofMHBeTl9EI2eaqQZhHbOU&amp;r=ZliGVSRwfirWoETOrKCh2RSnoygzVPWEk95Me9L-Kwo&amp;m=EaKyFx9mpkhPdFxsxzvW_fiM3jbYwM3xYLjVbSFoDAg&amp;s=YANQn-hSbLQPoaZSvipguI4sGw84UQnnS3lycAGWuDU&amp;e=</t>
  </si>
  <si>
    <t>SLO-2006</t>
  </si>
  <si>
    <t>8251e052-1e42-11e4-b4cd-db5882bf8def</t>
  </si>
  <si>
    <t>Fico</t>
  </si>
  <si>
    <t>SLO-2010</t>
  </si>
  <si>
    <t>8251e053-1e42-11e4-b4cd-db5882bf8def</t>
  </si>
  <si>
    <t>Radicova</t>
  </si>
  <si>
    <t>SLO-2012</t>
  </si>
  <si>
    <t>ITA-1873</t>
  </si>
  <si>
    <t>19775238-3bbd-11e5-afeb-eb6f07f9fec7</t>
  </si>
  <si>
    <t>ITA</t>
  </si>
  <si>
    <t>Minghetti</t>
  </si>
  <si>
    <t>1873-08-10</t>
  </si>
  <si>
    <t>1876-03-18</t>
  </si>
  <si>
    <t>https://urldefense.proofpoint.com/v2/url?u=http-3A__dbpedia.org_resource_Marco-5FMinghetti&amp;d=BQID-g&amp;c=kbmfwr1Yojg42sGEpaQh5ofMHBeTl9EI2eaqQZhHbOU&amp;r=ZliGVSRwfirWoETOrKCh2RSnoygzVPWEk95Me9L-Kwo&amp;m=EaKyFx9mpkhPdFxsxzvW_fiM3jbYwM3xYLjVbSFoDAg&amp;s=WZESJY7DsqLbr9yEar9PDvKUs4v_A7COjeBBF1rzGPU&amp;e=</t>
  </si>
  <si>
    <t>19骞?951</t>
  </si>
  <si>
    <t>ITA-1876</t>
  </si>
  <si>
    <t>821875e0-1e42-11e4-b4cd-db5882bf8def</t>
  </si>
  <si>
    <t>Depretis</t>
  </si>
  <si>
    <t>1876-03-25</t>
  </si>
  <si>
    <t>1878-03-11</t>
  </si>
  <si>
    <t>https://urldefense.proofpoint.com/v2/url?u=http-3A__dbpedia.org_resource_Agostino-5FDepretis&amp;d=BQID-g&amp;c=kbmfwr1Yojg42sGEpaQh5ofMHBeTl9EI2eaqQZhHbOU&amp;r=ZliGVSRwfirWoETOrKCh2RSnoygzVPWEk95Me9L-Kwo&amp;m=EaKyFx9mpkhPdFxsxzvW_fiM3jbYwM3xYLjVbSFoDAg&amp;s=Ou4A6CmkB5MbRrDLzpA4zo1m_mLgMgBDhZIgy7GGgGA&amp;e=</t>
  </si>
  <si>
    <t>19骞?716</t>
  </si>
  <si>
    <t>ITA-1878-1</t>
  </si>
  <si>
    <t>821875e1-1e42-11e4-b4cd-db5882bf8def</t>
  </si>
  <si>
    <t>Cairoli</t>
  </si>
  <si>
    <t>1878-03-23</t>
  </si>
  <si>
    <t>1878-12-09</t>
  </si>
  <si>
    <t>https://urldefense.proofpoint.com/v2/url?u=http-3A__dbpedia.org_resource_Benedetto-5FCairoli&amp;d=BQID-g&amp;c=kbmfwr1Yojg42sGEpaQh5ofMHBeTl9EI2eaqQZhHbOU&amp;r=ZliGVSRwfirWoETOrKCh2RSnoygzVPWEk95Me9L-Kwo&amp;m=EaKyFx9mpkhPdFxsxzvW_fiM3jbYwM3xYLjVbSFoDAg&amp;s=zIT9PYW42uPFtiXDFfap_3ejeCrXgSvEEZw7X5PhR5c&amp;e=</t>
  </si>
  <si>
    <t>19骞?261</t>
  </si>
  <si>
    <t>ITA-1878-2</t>
  </si>
  <si>
    <t>1878-12-18</t>
  </si>
  <si>
    <t>1879-07-03</t>
  </si>
  <si>
    <t>19骞?197</t>
  </si>
  <si>
    <t>ITA-1879</t>
  </si>
  <si>
    <t>1879-07-12</t>
  </si>
  <si>
    <t>1881-05-14</t>
  </si>
  <si>
    <t>19骞?672</t>
  </si>
  <si>
    <t>ITA-1881</t>
  </si>
  <si>
    <t>1881-05-28</t>
  </si>
  <si>
    <t>1887-07-29</t>
  </si>
  <si>
    <t>19骞?2253</t>
  </si>
  <si>
    <t>ITA-1887</t>
  </si>
  <si>
    <t>821875e2-1e42-11e4-b4cd-db5882bf8def</t>
  </si>
  <si>
    <t>Crispi</t>
  </si>
  <si>
    <t>1891-01-31</t>
  </si>
  <si>
    <t>1819-10-04</t>
  </si>
  <si>
    <t>04oct1819</t>
  </si>
  <si>
    <t>https://urldefense.proofpoint.com/v2/url?u=http-3A__dbpedia.org_resource_Francesco-5FCrispi&amp;d=BQID-g&amp;c=kbmfwr1Yojg42sGEpaQh5ofMHBeTl9EI2eaqQZhHbOU&amp;r=ZliGVSRwfirWoETOrKCh2RSnoygzVPWEk95Me9L-Kwo&amp;m=EaKyFx9mpkhPdFxsxzvW_fiM3jbYwM3xYLjVbSFoDAg&amp;s=-sFOcy4J-wb7tOG0JK5x-t-plZnaJAFhL9-0ItSTaBE&amp;e=</t>
  </si>
  <si>
    <t>19骞?1272</t>
  </si>
  <si>
    <t>ITA-1891</t>
  </si>
  <si>
    <t>821875e3-1e42-11e4-b4cd-db5882bf8def</t>
  </si>
  <si>
    <t>Rudini</t>
  </si>
  <si>
    <t>1891-02-09</t>
  </si>
  <si>
    <t>1892-05-05</t>
  </si>
  <si>
    <t>19骞?451</t>
  </si>
  <si>
    <t>ITA-1892</t>
  </si>
  <si>
    <t>821875e4-1e42-11e4-b4cd-db5882bf8def</t>
  </si>
  <si>
    <t>Giolitti</t>
  </si>
  <si>
    <t>1892-05-15</t>
  </si>
  <si>
    <t>1893-11-24</t>
  </si>
  <si>
    <t>1842-10-27</t>
  </si>
  <si>
    <t>27oct1842</t>
  </si>
  <si>
    <t>https://urldefense.proofpoint.com/v2/url?u=http-3A__dbpedia.org_resource_Giovanni-5FGiolitti&amp;d=BQID-g&amp;c=kbmfwr1Yojg42sGEpaQh5ofMHBeTl9EI2eaqQZhHbOU&amp;r=ZliGVSRwfirWoETOrKCh2RSnoygzVPWEk95Me9L-Kwo&amp;m=EaKyFx9mpkhPdFxsxzvW_fiM3jbYwM3xYLjVbSFoDAg&amp;s=uMgB7UXK--wzSU5JFFKpyEK_j05QcnlXoJMoPpIYFNY&amp;e=</t>
  </si>
  <si>
    <t>19骞?558</t>
  </si>
  <si>
    <t>ITA-1893</t>
  </si>
  <si>
    <t>1893-12-10</t>
  </si>
  <si>
    <t>1896-03-05</t>
  </si>
  <si>
    <t>19骞?816</t>
  </si>
  <si>
    <t>ITA-1896</t>
  </si>
  <si>
    <t>1896-03-10</t>
  </si>
  <si>
    <t>1898-06-18</t>
  </si>
  <si>
    <t>19骞?830</t>
  </si>
  <si>
    <t>ITA-1898</t>
  </si>
  <si>
    <t>8218a6b4-1e42-11e4-b4cd-db5882bf8def</t>
  </si>
  <si>
    <t>Pelloux</t>
  </si>
  <si>
    <t>1898-06-29</t>
  </si>
  <si>
    <t>1839-03-01</t>
  </si>
  <si>
    <t>01mar1839</t>
  </si>
  <si>
    <t>https://urldefense.proofpoint.com/v2/url?u=http-3A__dbpedia.org_resource_Luigi-5FPelloux&amp;d=BQID-g&amp;c=kbmfwr1Yojg42sGEpaQh5ofMHBeTl9EI2eaqQZhHbOU&amp;r=ZliGVSRwfirWoETOrKCh2RSnoygzVPWEk95Me9L-Kwo&amp;m=EaKyFx9mpkhPdFxsxzvW_fiM3jbYwM3xYLjVbSFoDAg&amp;s=HaW8NBb_dprMgK0dnEG7hG3YFzLOA7QM14-XQLT83B4&amp;e=</t>
  </si>
  <si>
    <t>19骞?719</t>
  </si>
  <si>
    <t>ITA-1900</t>
  </si>
  <si>
    <t>8218a6b5-1e42-11e4-b4cd-db5882bf8def</t>
  </si>
  <si>
    <t>Saracco</t>
  </si>
  <si>
    <t>1821-10-09</t>
  </si>
  <si>
    <t>09oct1821</t>
  </si>
  <si>
    <t>https://urldefense.proofpoint.com/v2/url?u=http-3A__dbpedia.org_resource_Giuseppe-5FSaracco&amp;d=BQID-g&amp;c=kbmfwr1Yojg42sGEpaQh5ofMHBeTl9EI2eaqQZhHbOU&amp;r=ZliGVSRwfirWoETOrKCh2RSnoygzVPWEk95Me9L-Kwo&amp;m=EaKyFx9mpkhPdFxsxzvW_fiM3jbYwM3xYLjVbSFoDAg&amp;s=nHUlyKl4T6-wl9Gys-4A8BqO_BvEw61Gd5TLvyiUWpw&amp;e=</t>
  </si>
  <si>
    <t>19骞?231</t>
  </si>
  <si>
    <t>ITA-1901</t>
  </si>
  <si>
    <t>8218a6b6-1e42-11e4-b4cd-db5882bf8def</t>
  </si>
  <si>
    <t>Zanardelli</t>
  </si>
  <si>
    <t>1826-10-29</t>
  </si>
  <si>
    <t>29oct1826</t>
  </si>
  <si>
    <t>https://urldefense.proofpoint.com/v2/url?u=http-3A__dbpedia.org_resource_Giuseppe-5FZanardelli&amp;d=BQID-g&amp;c=kbmfwr1Yojg42sGEpaQh5ofMHBeTl9EI2eaqQZhHbOU&amp;r=ZliGVSRwfirWoETOrKCh2RSnoygzVPWEk95Me9L-Kwo&amp;m=EaKyFx9mpkhPdFxsxzvW_fiM3jbYwM3xYLjVbSFoDAg&amp;s=ain2G8QNDMYkUjuapTjFHuumPNY5yOY8JuS5gYFgqck&amp;e=</t>
  </si>
  <si>
    <t>19骞?978</t>
  </si>
  <si>
    <t>ITA-1903</t>
  </si>
  <si>
    <t>19骞?487</t>
  </si>
  <si>
    <t>ITA-1905</t>
  </si>
  <si>
    <t>8218a6b7-1e42-11e4-b4cd-db5882bf8def</t>
  </si>
  <si>
    <t>Fortis</t>
  </si>
  <si>
    <t>1842-09-16</t>
  </si>
  <si>
    <t>16sep1842</t>
  </si>
  <si>
    <t>https://urldefense.proofpoint.com/v2/url?u=http-3A__dbpedia.org_resource_Alessandro-5FFortis&amp;d=BQID-g&amp;c=kbmfwr1Yojg42sGEpaQh5ofMHBeTl9EI2eaqQZhHbOU&amp;r=ZliGVSRwfirWoETOrKCh2RSnoygzVPWEk95Me9L-Kwo&amp;m=EaKyFx9mpkhPdFxsxzvW_fiM3jbYwM3xYLjVbSFoDAg&amp;s=vGBRMDOnqScFgLDm0drryLArdehxPh7065dm99gm0YA&amp;e=</t>
  </si>
  <si>
    <t>19骞?311</t>
  </si>
  <si>
    <t>ITA-1906-1</t>
  </si>
  <si>
    <t>8218a6b8-1e42-11e4-b4cd-db5882bf8def</t>
  </si>
  <si>
    <t>Sonnino</t>
  </si>
  <si>
    <t>1847-03-11</t>
  </si>
  <si>
    <t>11mar1847</t>
  </si>
  <si>
    <t>https://urldefense.proofpoint.com/v2/url?u=http-3A__dbpedia.org_resource_Sidney-5FSonnino&amp;d=BQID-g&amp;c=kbmfwr1Yojg42sGEpaQh5ofMHBeTl9EI2eaqQZhHbOU&amp;r=ZliGVSRwfirWoETOrKCh2RSnoygzVPWEk95Me9L-Kwo&amp;m=EaKyFx9mpkhPdFxsxzvW_fiM3jbYwM3xYLjVbSFoDAg&amp;s=oW1QqrDCHKk-UIYwmXIyGT7hMP2odzmmwUhyuFTT3co&amp;e=</t>
  </si>
  <si>
    <t>ITA-1906-2</t>
  </si>
  <si>
    <t>19骞?1283</t>
  </si>
  <si>
    <t>ITA-1909</t>
  </si>
  <si>
    <t>19骞?101</t>
  </si>
  <si>
    <t>ITA-1910</t>
  </si>
  <si>
    <t>8218d788-1e42-11e4-b4cd-db5882bf8def</t>
  </si>
  <si>
    <t>Luzzati</t>
  </si>
  <si>
    <t>1841-03-01</t>
  </si>
  <si>
    <t>01mar1841</t>
  </si>
  <si>
    <t>https://urldefense.proofpoint.com/v2/url?u=http-3A__dbpedia.org_resource_Luigi-5FLuzzatti&amp;d=BQID-g&amp;c=kbmfwr1Yojg42sGEpaQh5ofMHBeTl9EI2eaqQZhHbOU&amp;r=ZliGVSRwfirWoETOrKCh2RSnoygzVPWEk95Me9L-Kwo&amp;m=EaKyFx9mpkhPdFxsxzvW_fiM3jbYwM3xYLjVbSFoDAg&amp;s=5KtS4pCMMYGu3VAY1gIrzpkt1jTO9Cbcr1tR87qKSbU&amp;e=</t>
  </si>
  <si>
    <t>19骞?355</t>
  </si>
  <si>
    <t>ITA-1911</t>
  </si>
  <si>
    <t>19骞?1079</t>
  </si>
  <si>
    <t>ITA-1914</t>
  </si>
  <si>
    <t>8218d789-1e42-11e4-b4cd-db5882bf8def</t>
  </si>
  <si>
    <t>Salandra</t>
  </si>
  <si>
    <t>1853-08-13</t>
  </si>
  <si>
    <t>13aug1853</t>
  </si>
  <si>
    <t>https://urldefense.proofpoint.com/v2/url?u=http-3A__dbpedia.org_resource_Antonio-5FSalandra&amp;d=BQID-g&amp;c=kbmfwr1Yojg42sGEpaQh5ofMHBeTl9EI2eaqQZhHbOU&amp;r=ZliGVSRwfirWoETOrKCh2RSnoygzVPWEk95Me9L-Kwo&amp;m=EaKyFx9mpkhPdFxsxzvW_fiM3jbYwM3xYLjVbSFoDAg&amp;s=LtB0kx5yn0hftlX-XfXodax4HDtaeG2zd-sJmps8gkI&amp;e=</t>
  </si>
  <si>
    <t>19骞?814</t>
  </si>
  <si>
    <t>ITA-1916</t>
  </si>
  <si>
    <t>8218d78a-1e42-11e4-b4cd-db5882bf8def</t>
  </si>
  <si>
    <t>Boselli</t>
  </si>
  <si>
    <t>1838-06-08</t>
  </si>
  <si>
    <t>08jun1838</t>
  </si>
  <si>
    <t>https://urldefense.proofpoint.com/v2/url?u=http-3A__dbpedia.org_resource_Paolo-5FBoselli&amp;d=BQID-g&amp;c=kbmfwr1Yojg42sGEpaQh5ofMHBeTl9EI2eaqQZhHbOU&amp;r=ZliGVSRwfirWoETOrKCh2RSnoygzVPWEk95Me9L-Kwo&amp;m=EaKyFx9mpkhPdFxsxzvW_fiM3jbYwM3xYLjVbSFoDAg&amp;s=7B6jrbgzA66GkBHuhtiF537uqeYAnEXZmXY4PV5inHI&amp;e=</t>
  </si>
  <si>
    <t>19骞?500</t>
  </si>
  <si>
    <t>ITA-1917</t>
  </si>
  <si>
    <t>8218d78b-1e42-11e4-b4cd-db5882bf8def</t>
  </si>
  <si>
    <t>Orlando</t>
  </si>
  <si>
    <t>1860-05-19</t>
  </si>
  <si>
    <t>19may1860</t>
  </si>
  <si>
    <t>https://urldefense.proofpoint.com/v2/url?u=http-3A__dbpedia.org_resource_Vittorio-5FEmanuele-5FOrlando&amp;d=BQID-g&amp;c=kbmfwr1Yojg42sGEpaQh5ofMHBeTl9EI2eaqQZhHbOU&amp;r=ZliGVSRwfirWoETOrKCh2RSnoygzVPWEk95Me9L-Kwo&amp;m=EaKyFx9mpkhPdFxsxzvW_fiM3jbYwM3xYLjVbSFoDAg&amp;s=_ChsNMd-8pHQOb0WvNj8FQ3WmuWg8xmSLLHAmZGrxUQ&amp;e=</t>
  </si>
  <si>
    <t>19骞?597</t>
  </si>
  <si>
    <t>ITA-1919</t>
  </si>
  <si>
    <t>8218d78c-1e42-11e4-b4cd-db5882bf8def</t>
  </si>
  <si>
    <t>Nitti</t>
  </si>
  <si>
    <t>1868-07-19</t>
  </si>
  <si>
    <t>19jul1868</t>
  </si>
  <si>
    <t>https://urldefense.proofpoint.com/v2/url?u=http-3A__dbpedia.org_resource_Francesco-5FSaverio-5FNitti&amp;d=BQID-g&amp;c=kbmfwr1Yojg42sGEpaQh5ofMHBeTl9EI2eaqQZhHbOU&amp;r=ZliGVSRwfirWoETOrKCh2RSnoygzVPWEk95Me9L-Kwo&amp;m=EaKyFx9mpkhPdFxsxzvW_fiM3jbYwM3xYLjVbSFoDAg&amp;s=P3taWaARXr1Q4sIdhoC_N30T3CvUw8SnW5qQLP9o1iI&amp;e=</t>
  </si>
  <si>
    <t>19骞?352</t>
  </si>
  <si>
    <t>ITA-1920</t>
  </si>
  <si>
    <t>19骞?375</t>
  </si>
  <si>
    <t>ITA-1921</t>
  </si>
  <si>
    <t>8218d78d-1e42-11e4-b4cd-db5882bf8def</t>
  </si>
  <si>
    <t>Bonomi</t>
  </si>
  <si>
    <t>1873-10-18</t>
  </si>
  <si>
    <t>18oct1873</t>
  </si>
  <si>
    <t>https://urldefense.proofpoint.com/v2/url?u=http-3A__dbpedia.org_resource_Ivanoe-5FBonomi&amp;d=BQID-g&amp;c=kbmfwr1Yojg42sGEpaQh5ofMHBeTl9EI2eaqQZhHbOU&amp;r=ZliGVSRwfirWoETOrKCh2RSnoygzVPWEk95Me9L-Kwo&amp;m=EaKyFx9mpkhPdFxsxzvW_fiM3jbYwM3xYLjVbSFoDAg&amp;s=0H4UgxNfAgFDdSpbBant11iT92jrwKppyBdMySSIwsk&amp;e=</t>
  </si>
  <si>
    <t>19骞?244</t>
  </si>
  <si>
    <t>ITA-1922-1</t>
  </si>
  <si>
    <t>82190866-1e42-11e4-b4cd-db5882bf8def</t>
  </si>
  <si>
    <t>Facta</t>
  </si>
  <si>
    <t>1861-11-16</t>
  </si>
  <si>
    <t>16nov1861</t>
  </si>
  <si>
    <t>https://urldefense.proofpoint.com/v2/url?u=http-3A__dbpedia.org_resource_Luigi-5FFacta&amp;d=BQID-g&amp;c=kbmfwr1Yojg42sGEpaQh5ofMHBeTl9EI2eaqQZhHbOU&amp;r=ZliGVSRwfirWoETOrKCh2RSnoygzVPWEk95Me9L-Kwo&amp;m=EaKyFx9mpkhPdFxsxzvW_fiM3jbYwM3xYLjVbSFoDAg&amp;s=iYvNB3bACeQrzq4FcNzXmr6ias_gPQNQOP9HsAerkVw&amp;e=</t>
  </si>
  <si>
    <t>ITA-1922-2</t>
  </si>
  <si>
    <t>82190867-1e42-11e4-b4cd-db5882bf8def</t>
  </si>
  <si>
    <t>Mussolini</t>
  </si>
  <si>
    <t>1883-07-29</t>
  </si>
  <si>
    <t>29jul1883</t>
  </si>
  <si>
    <t>https://urldefense.proofpoint.com/v2/url?u=http-3A__dbpedia.org_resource_Benito-5FMussolini&amp;d=BQID-g&amp;c=kbmfwr1Yojg42sGEpaQh5ofMHBeTl9EI2eaqQZhHbOU&amp;r=ZliGVSRwfirWoETOrKCh2RSnoygzVPWEk95Me9L-Kwo&amp;m=EaKyFx9mpkhPdFxsxzvW_fiM3jbYwM3xYLjVbSFoDAg&amp;s=wAFmECcKqivQEFWdT0ML1Y_fjBfOvTwYC874L7VW5tQ&amp;e=</t>
  </si>
  <si>
    <t>19骞?7573</t>
  </si>
  <si>
    <t>ITA-1943</t>
  </si>
  <si>
    <t>82190868-1e42-11e4-b4cd-db5882bf8def</t>
  </si>
  <si>
    <t>Badoglio</t>
  </si>
  <si>
    <t>https://urldefense.proofpoint.com/v2/url?u=http-3A__dbpedia.org_resource_Pietro-5FBadoglio&amp;d=BQID-g&amp;c=kbmfwr1Yojg42sGEpaQh5ofMHBeTl9EI2eaqQZhHbOU&amp;r=ZliGVSRwfirWoETOrKCh2RSnoygzVPWEk95Me9L-Kwo&amp;m=EaKyFx9mpkhPdFxsxzvW_fiM3jbYwM3xYLjVbSFoDAg&amp;s=yEHKRgUvtm-a2_T_-K3x-LeAliO6tHiZSJNwhfmbGKk&amp;e=</t>
  </si>
  <si>
    <t>19骞?312</t>
  </si>
  <si>
    <t>ITA-1944</t>
  </si>
  <si>
    <t>19骞?376</t>
  </si>
  <si>
    <t>ITA-1945-1</t>
  </si>
  <si>
    <t>82190869-1e42-11e4-b4cd-db5882bf8def</t>
  </si>
  <si>
    <t>Parri</t>
  </si>
  <si>
    <t>1890-06-19</t>
  </si>
  <si>
    <t>19jun1890</t>
  </si>
  <si>
    <t>https://urldefense.proofpoint.com/v2/url?u=http-3A__dbpedia.org_resource_Ferruccio-5FParri&amp;d=BQID-g&amp;c=kbmfwr1Yojg42sGEpaQh5ofMHBeTl9EI2eaqQZhHbOU&amp;r=ZliGVSRwfirWoETOrKCh2RSnoygzVPWEk95Me9L-Kwo&amp;m=EaKyFx9mpkhPdFxsxzvW_fiM3jbYwM3xYLjVbSFoDAg&amp;s=9iWam_IYRQ4a9oavX3nrW3cLl1rHXgfiHAt8Rb-rc98&amp;e=</t>
  </si>
  <si>
    <t>19骞?159</t>
  </si>
  <si>
    <t>ITA-1945-2</t>
  </si>
  <si>
    <t>8219086a-1e42-11e4-b4cd-db5882bf8def</t>
  </si>
  <si>
    <t>de Gasperi</t>
  </si>
  <si>
    <t>1881-04-03</t>
  </si>
  <si>
    <t>03apr1881</t>
  </si>
  <si>
    <t>https://urldefense.proofpoint.com/v2/url?u=http-3A__dbpedia.org_resource_Alcide-5FDe-5FGasperi&amp;d=BQID-g&amp;c=kbmfwr1Yojg42sGEpaQh5ofMHBeTl9EI2eaqQZhHbOU&amp;r=ZliGVSRwfirWoETOrKCh2RSnoygzVPWEk95Me9L-Kwo&amp;m=EaKyFx9mpkhPdFxsxzvW_fiM3jbYwM3xYLjVbSFoDAg&amp;s=22xQeX5X8RFAVWKLJ8msMZeICeUXOoEj_NCOV0bC3KA&amp;e=</t>
  </si>
  <si>
    <t>19骞?2787</t>
  </si>
  <si>
    <t>ITA-1953</t>
  </si>
  <si>
    <t>8219086b-1e42-11e4-b4cd-db5882bf8def</t>
  </si>
  <si>
    <t>Pella</t>
  </si>
  <si>
    <t>https://urldefense.proofpoint.com/v2/url?u=http-3A__dbpedia.org_resource_Giuseppe-5FPella&amp;d=BQID-g&amp;c=kbmfwr1Yojg42sGEpaQh5ofMHBeTl9EI2eaqQZhHbOU&amp;r=ZliGVSRwfirWoETOrKCh2RSnoygzVPWEk95Me9L-Kwo&amp;m=EaKyFx9mpkhPdFxsxzvW_fiM3jbYwM3xYLjVbSFoDAg&amp;s=CqKVNJptjfDJUPFlDzgDSkGLq2aw8zHYEPW14-_aR9U&amp;e=</t>
  </si>
  <si>
    <t>19骞?144</t>
  </si>
  <si>
    <t>ITA-1954-1</t>
  </si>
  <si>
    <t>8219393a-1e42-11e4-b4cd-db5882bf8def</t>
  </si>
  <si>
    <t>Fanfani</t>
  </si>
  <si>
    <t>https://urldefense.proofpoint.com/v2/url?u=http-3A__dbpedia.org_resource_Amintore-5FFanfani&amp;d=BQID-g&amp;c=kbmfwr1Yojg42sGEpaQh5ofMHBeTl9EI2eaqQZhHbOU&amp;r=ZliGVSRwfirWoETOrKCh2RSnoygzVPWEk95Me9L-Kwo&amp;m=EaKyFx9mpkhPdFxsxzvW_fiM3jbYwM3xYLjVbSFoDAg&amp;s=MEQnOTvGGxIA0sM4pmzVNUqssWWY4kG9a5YsPynMxlI&amp;e=</t>
  </si>
  <si>
    <t>19骞?13</t>
  </si>
  <si>
    <t>ITA-1954-2</t>
  </si>
  <si>
    <t>8219393b-1e42-11e4-b4cd-db5882bf8def</t>
  </si>
  <si>
    <t>Scelba</t>
  </si>
  <si>
    <t>https://urldefense.proofpoint.com/v2/url?u=http-3A__dbpedia.org_resource_Mario-5FScelba&amp;d=BQID-g&amp;c=kbmfwr1Yojg42sGEpaQh5ofMHBeTl9EI2eaqQZhHbOU&amp;r=ZliGVSRwfirWoETOrKCh2RSnoygzVPWEk95Me9L-Kwo&amp;m=EaKyFx9mpkhPdFxsxzvW_fiM3jbYwM3xYLjVbSFoDAg&amp;s=6fhn1O_5X1OToKyo8kUrh4SoUUtVist1vkD1FAHN6UM&amp;e=</t>
  </si>
  <si>
    <t>19骞?498</t>
  </si>
  <si>
    <t>ITA-1955</t>
  </si>
  <si>
    <t>8219393c-1e42-11e4-b4cd-db5882bf8def</t>
  </si>
  <si>
    <t>Segni</t>
  </si>
  <si>
    <t>1891-02-02</t>
  </si>
  <si>
    <t>02feb1891</t>
  </si>
  <si>
    <t>https://urldefense.proofpoint.com/v2/url?u=http-3A__dbpedia.org_resource_Antonio-5FSegni&amp;d=BQID-g&amp;c=kbmfwr1Yojg42sGEpaQh5ofMHBeTl9EI2eaqQZhHbOU&amp;r=ZliGVSRwfirWoETOrKCh2RSnoygzVPWEk95Me9L-Kwo&amp;m=EaKyFx9mpkhPdFxsxzvW_fiM3jbYwM3xYLjVbSFoDAg&amp;s=StZCLk-J3bxvTusjgXjDuQpZVrZ-rI9UapSx36f35hc&amp;e=</t>
  </si>
  <si>
    <t>19骞?670</t>
  </si>
  <si>
    <t>ITA-1957</t>
  </si>
  <si>
    <t>8219393d-1e42-11e4-b4cd-db5882bf8def</t>
  </si>
  <si>
    <t>Zoli</t>
  </si>
  <si>
    <t>1887-12-16</t>
  </si>
  <si>
    <t>16dec1887</t>
  </si>
  <si>
    <t>https://urldefense.proofpoint.com/v2/url?u=http-3A__dbpedia.org_resource_Adone-5FZoli&amp;d=BQID-g&amp;c=kbmfwr1Yojg42sGEpaQh5ofMHBeTl9EI2eaqQZhHbOU&amp;r=ZliGVSRwfirWoETOrKCh2RSnoygzVPWEk95Me9L-Kwo&amp;m=EaKyFx9mpkhPdFxsxzvW_fiM3jbYwM3xYLjVbSFoDAg&amp;s=R44_oVKUGvX0vDVdVl1-0QgzkJnCeZqgLY52FvBkIso&amp;e=</t>
  </si>
  <si>
    <t>19骞?396</t>
  </si>
  <si>
    <t>ITA-1958</t>
  </si>
  <si>
    <t>19骞?208</t>
  </si>
  <si>
    <t>ITA-1959</t>
  </si>
  <si>
    <t>19骞?374</t>
  </si>
  <si>
    <t>ITA-1960-1</t>
  </si>
  <si>
    <t>8219393e-1e42-11e4-b4cd-db5882bf8def</t>
  </si>
  <si>
    <t>Tambroni</t>
  </si>
  <si>
    <t>https://urldefense.proofpoint.com/v2/url?u=http-3A__dbpedia.org_resource_Fernando-5FTambroni&amp;d=BQID-g&amp;c=kbmfwr1Yojg42sGEpaQh5ofMHBeTl9EI2eaqQZhHbOU&amp;r=ZliGVSRwfirWoETOrKCh2RSnoygzVPWEk95Me9L-Kwo&amp;m=EaKyFx9mpkhPdFxsxzvW_fiM3jbYwM3xYLjVbSFoDAg&amp;s=vOIYezMCLdrxee_is5Oki2drWgslEvDduf_OCDZddP8&amp;e=</t>
  </si>
  <si>
    <t>19骞?116</t>
  </si>
  <si>
    <t>ITA-1960-2</t>
  </si>
  <si>
    <t>19骞?1024</t>
  </si>
  <si>
    <t>ITA-1963-1</t>
  </si>
  <si>
    <t>8219393f-1e42-11e4-b4cd-db5882bf8def</t>
  </si>
  <si>
    <t>Leone</t>
  </si>
  <si>
    <t>https://urldefense.proofpoint.com/v2/url?u=http-3A__dbpedia.org_resource_Giovanni-5FLeone&amp;d=BQID-g&amp;c=kbmfwr1Yojg42sGEpaQh5ofMHBeTl9EI2eaqQZhHbOU&amp;r=ZliGVSRwfirWoETOrKCh2RSnoygzVPWEk95Me9L-Kwo&amp;m=EaKyFx9mpkhPdFxsxzvW_fiM3jbYwM3xYLjVbSFoDAg&amp;s=0Mcb-PTPuqvN4R1OTbwvHED0a7kwaYO3qFd2DF2AN9o&amp;e=</t>
  </si>
  <si>
    <t>19骞?137</t>
  </si>
  <si>
    <t>ITA-1963-2</t>
  </si>
  <si>
    <t>82196a0e-1e42-11e4-b4cd-db5882bf8def</t>
  </si>
  <si>
    <t>Moro</t>
  </si>
  <si>
    <t>https://urldefense.proofpoint.com/v2/url?u=http-3A__dbpedia.org_resource_Aldo-5FMoro&amp;d=BQID-g&amp;c=kbmfwr1Yojg42sGEpaQh5ofMHBeTl9EI2eaqQZhHbOU&amp;r=ZliGVSRwfirWoETOrKCh2RSnoygzVPWEk95Me9L-Kwo&amp;m=EaKyFx9mpkhPdFxsxzvW_fiM3jbYwM3xYLjVbSFoDAg&amp;s=K8ycy9d3gz5PRb5h5cyNv34bKUOP0n0vs6L8JQadN_M&amp;e=</t>
  </si>
  <si>
    <t>19骞?1644</t>
  </si>
  <si>
    <t>ITA-1968-1</t>
  </si>
  <si>
    <t>19骞?147</t>
  </si>
  <si>
    <t>ITA-1968-2</t>
  </si>
  <si>
    <t>82196a0f-1e42-11e4-b4cd-db5882bf8def</t>
  </si>
  <si>
    <t>Rumor</t>
  </si>
  <si>
    <t>https://urldefense.proofpoint.com/v2/url?u=http-3A__dbpedia.org_resource_Mariano-5FRumor&amp;d=BQID-g&amp;c=kbmfwr1Yojg42sGEpaQh5ofMHBeTl9EI2eaqQZhHbOU&amp;r=ZliGVSRwfirWoETOrKCh2RSnoygzVPWEk95Me9L-Kwo&amp;m=EaKyFx9mpkhPdFxsxzvW_fiM3jbYwM3xYLjVbSFoDAg&amp;s=RwbFf9mYC81bLJQbjAqIgbpR4TOkSgowCbab9Hv8kng&amp;e=</t>
  </si>
  <si>
    <t>19骞?570</t>
  </si>
  <si>
    <t>ITA-1970</t>
  </si>
  <si>
    <t>82196a10-1e42-11e4-b4cd-db5882bf8def</t>
  </si>
  <si>
    <t>Colombo</t>
  </si>
  <si>
    <t>https://urldefense.proofpoint.com/v2/url?u=http-3A__dbpedia.org_resource_Emilio-5FColombo&amp;d=BQID-g&amp;c=kbmfwr1Yojg42sGEpaQh5ofMHBeTl9EI2eaqQZhHbOU&amp;r=ZliGVSRwfirWoETOrKCh2RSnoygzVPWEk95Me9L-Kwo&amp;m=EaKyFx9mpkhPdFxsxzvW_fiM3jbYwM3xYLjVbSFoDAg&amp;s=Ol1N0aiCIdVAURnlnIih9VLaEg6UoXTxa570uMpiVtk&amp;e=</t>
  </si>
  <si>
    <t>19骞?527</t>
  </si>
  <si>
    <t>ITA-1972</t>
  </si>
  <si>
    <t>82196a11-1e42-11e4-b4cd-db5882bf8def</t>
  </si>
  <si>
    <t>Andreotti</t>
  </si>
  <si>
    <t>https://urldefense.proofpoint.com/v2/url?u=http-3A__dbpedia.org_resource_Giulio-5FAndreotti&amp;d=BQID-g&amp;c=kbmfwr1Yojg42sGEpaQh5ofMHBeTl9EI2eaqQZhHbOU&amp;r=ZliGVSRwfirWoETOrKCh2RSnoygzVPWEk95Me9L-Kwo&amp;m=EaKyFx9mpkhPdFxsxzvW_fiM3jbYwM3xYLjVbSFoDAg&amp;s=XvD4yBO5GlUqzcQBC82HRIPz4f5_uqIcQzsm0Sy8JbM&amp;e=</t>
  </si>
  <si>
    <t>19骞?480</t>
  </si>
  <si>
    <t>ITA-1973</t>
  </si>
  <si>
    <t>19骞?503</t>
  </si>
  <si>
    <t>ITA-1974</t>
  </si>
  <si>
    <t>19骞?615</t>
  </si>
  <si>
    <t>ITA-1976</t>
  </si>
  <si>
    <t>19骞?1101</t>
  </si>
  <si>
    <t>ITA-1979</t>
  </si>
  <si>
    <t>82196a12-1e42-11e4-b4cd-db5882bf8def</t>
  </si>
  <si>
    <t>Cossiga</t>
  </si>
  <si>
    <t>https://urldefense.proofpoint.com/v2/url?u=http-3A__dbpedia.org_resource_Francesco-5FCossiga&amp;d=BQID-g&amp;c=kbmfwr1Yojg42sGEpaQh5ofMHBeTl9EI2eaqQZhHbOU&amp;r=ZliGVSRwfirWoETOrKCh2RSnoygzVPWEk95Me9L-Kwo&amp;m=EaKyFx9mpkhPdFxsxzvW_fiM3jbYwM3xYLjVbSFoDAg&amp;s=K3zpm6y2BEM109K_sCj56ioqjJwo2sz9NkWKFrhXiIw&amp;e=</t>
  </si>
  <si>
    <t>19骞?440</t>
  </si>
  <si>
    <t>ITA-1980</t>
  </si>
  <si>
    <t>82196a13-1e42-11e4-b4cd-db5882bf8def</t>
  </si>
  <si>
    <t>Forlani</t>
  </si>
  <si>
    <t>https://urldefense.proofpoint.com/v2/url?u=http-3A__dbpedia.org_resource_Arnaldo-5FForlani&amp;d=BQID-g&amp;c=kbmfwr1Yojg42sGEpaQh5ofMHBeTl9EI2eaqQZhHbOU&amp;r=ZliGVSRwfirWoETOrKCh2RSnoygzVPWEk95Me9L-Kwo&amp;m=EaKyFx9mpkhPdFxsxzvW_fiM3jbYwM3xYLjVbSFoDAg&amp;s=u0askVEqgGENSuSkSHsB3o7tOY_jPHo46SvGkgBDQGA&amp;e=</t>
  </si>
  <si>
    <t>19骞?220</t>
  </si>
  <si>
    <t>ITA-1981</t>
  </si>
  <si>
    <t>82199ae2-1e42-11e4-b4cd-db5882bf8def</t>
  </si>
  <si>
    <t>Spadolini</t>
  </si>
  <si>
    <t>https://urldefense.proofpoint.com/v2/url?u=http-3A__dbpedia.org_resource_Giovanni-5FSpadolini&amp;d=BQID-g&amp;c=kbmfwr1Yojg42sGEpaQh5ofMHBeTl9EI2eaqQZhHbOU&amp;r=ZliGVSRwfirWoETOrKCh2RSnoygzVPWEk95Me9L-Kwo&amp;m=EaKyFx9mpkhPdFxsxzvW_fiM3jbYwM3xYLjVbSFoDAg&amp;s=Or7HMa9vpcF4QcFnSq_j5KlDp6dzQRffrV-xOToCllk&amp;e=</t>
  </si>
  <si>
    <t>19骞?520</t>
  </si>
  <si>
    <t>ITA-1982</t>
  </si>
  <si>
    <t>19骞?247</t>
  </si>
  <si>
    <t>ITA-1983</t>
  </si>
  <si>
    <t>82199ae3-1e42-11e4-b4cd-db5882bf8def</t>
  </si>
  <si>
    <t>Craxi</t>
  </si>
  <si>
    <t>https://urldefense.proofpoint.com/v2/url?u=http-3A__dbpedia.org_resource_Bettino-5FCraxi&amp;d=BQID-g&amp;c=kbmfwr1Yojg42sGEpaQh5ofMHBeTl9EI2eaqQZhHbOU&amp;r=ZliGVSRwfirWoETOrKCh2RSnoygzVPWEk95Me9L-Kwo&amp;m=EaKyFx9mpkhPdFxsxzvW_fiM3jbYwM3xYLjVbSFoDAg&amp;s=dNDOn-Mze6JdbLuSHLf8B_4YJVjl8LGkD0DJjo3mMpM&amp;e=</t>
  </si>
  <si>
    <t>19骞?1353</t>
  </si>
  <si>
    <t>ITA-1987-1</t>
  </si>
  <si>
    <t>ITA-1987-2</t>
  </si>
  <si>
    <t>82199ae4-1e42-11e4-b4cd-db5882bf8def</t>
  </si>
  <si>
    <t>Goria</t>
  </si>
  <si>
    <t>https://urldefense.proofpoint.com/v2/url?u=http-3A__dbpedia.org_resource_Giovanni-5FGoria&amp;d=BQID-g&amp;c=kbmfwr1Yojg42sGEpaQh5ofMHBeTl9EI2eaqQZhHbOU&amp;r=ZliGVSRwfirWoETOrKCh2RSnoygzVPWEk95Me9L-Kwo&amp;m=EaKyFx9mpkhPdFxsxzvW_fiM3jbYwM3xYLjVbSFoDAg&amp;s=JcOuHv4FwoNsw-3a4iGsLhjcbWBlmxv_fW4yvz0FJpE&amp;e=</t>
  </si>
  <si>
    <t>19骞?259</t>
  </si>
  <si>
    <t>ITA-1988</t>
  </si>
  <si>
    <t>82199ae5-1e42-11e4-b4cd-db5882bf8def</t>
  </si>
  <si>
    <t>Mita</t>
  </si>
  <si>
    <t>https://urldefense.proofpoint.com/v2/url?u=http-3A__dbpedia.org_resource_Ciriaco-5Fde-5FMita&amp;d=BQID-g&amp;c=kbmfwr1Yojg42sGEpaQh5ofMHBeTl9EI2eaqQZhHbOU&amp;r=ZliGVSRwfirWoETOrKCh2RSnoygzVPWEk95Me9L-Kwo&amp;m=EaKyFx9mpkhPdFxsxzvW_fiM3jbYwM3xYLjVbSFoDAg&amp;s=eXMakjbyMO8oH-nKjaHpmiUGIzgzav3lrnK-0V41MBc&amp;e=</t>
  </si>
  <si>
    <t>19骞?455</t>
  </si>
  <si>
    <t>ITA-1989</t>
  </si>
  <si>
    <t>19骞?1071</t>
  </si>
  <si>
    <t>ITA-1992</t>
  </si>
  <si>
    <t>82199ae6-1e42-11e4-b4cd-db5882bf8def</t>
  </si>
  <si>
    <t>Amato</t>
  </si>
  <si>
    <t>https://urldefense.proofpoint.com/v2/url?u=http-3A__dbpedia.org_resource_Giuliano-5FAmato&amp;d=BQID-g&amp;c=kbmfwr1Yojg42sGEpaQh5ofMHBeTl9EI2eaqQZhHbOU&amp;r=ZliGVSRwfirWoETOrKCh2RSnoygzVPWEk95Me9L-Kwo&amp;m=EaKyFx9mpkhPdFxsxzvW_fiM3jbYwM3xYLjVbSFoDAg&amp;s=0NAd2sUtjZstUaZYUwexNlHJxZ05X6edImdCYUNJCKs&amp;e=</t>
  </si>
  <si>
    <t>19骞?305</t>
  </si>
  <si>
    <t>ITA-1993</t>
  </si>
  <si>
    <t>82199ae7-1e42-11e4-b4cd-db5882bf8def</t>
  </si>
  <si>
    <t>Ciampi</t>
  </si>
  <si>
    <t>https://urldefense.proofpoint.com/v2/url?u=http-3A__dbpedia.org_resource_Carlo-5FAzeglio-5FCiampi&amp;d=BQID-g&amp;c=kbmfwr1Yojg42sGEpaQh5ofMHBeTl9EI2eaqQZhHbOU&amp;r=ZliGVSRwfirWoETOrKCh2RSnoygzVPWEk95Me9L-Kwo&amp;m=EaKyFx9mpkhPdFxsxzvW_fiM3jbYwM3xYLjVbSFoDAg&amp;s=GoHG6MfPc1hXiZkuGGiv8KF5dqn27f3iNRsZ7jeUh5Y&amp;e=</t>
  </si>
  <si>
    <t>19骞?377</t>
  </si>
  <si>
    <t>ITA-1994</t>
  </si>
  <si>
    <t>8219cbb6-1e42-11e4-b4cd-db5882bf8def</t>
  </si>
  <si>
    <t>Berlusconi</t>
  </si>
  <si>
    <t>https://urldefense.proofpoint.com/v2/url?u=http-3A__dbpedia.org_resource_Silvio-5FBerlusconi&amp;d=BQID-g&amp;c=kbmfwr1Yojg42sGEpaQh5ofMHBeTl9EI2eaqQZhHbOU&amp;r=ZliGVSRwfirWoETOrKCh2RSnoygzVPWEk95Me9L-Kwo&amp;m=EaKyFx9mpkhPdFxsxzvW_fiM3jbYwM3xYLjVbSFoDAg&amp;s=UTuKKJDPZ_56rFNTqFwVqs1pku_L2---Dz4-8ZTL-_U&amp;e=</t>
  </si>
  <si>
    <t>19骞?251</t>
  </si>
  <si>
    <t>ITA-1995</t>
  </si>
  <si>
    <t>8219cbb7-1e42-11e4-b4cd-db5882bf8def</t>
  </si>
  <si>
    <t>Dini</t>
  </si>
  <si>
    <t>https://urldefense.proofpoint.com/v2/url?u=http-3A__dbpedia.org_resource_Lamberto-5FDini&amp;d=BQID-g&amp;c=kbmfwr1Yojg42sGEpaQh5ofMHBeTl9EI2eaqQZhHbOU&amp;r=ZliGVSRwfirWoETOrKCh2RSnoygzVPWEk95Me9L-Kwo&amp;m=EaKyFx9mpkhPdFxsxzvW_fiM3jbYwM3xYLjVbSFoDAg&amp;s=fWI-Jkcpkm91gxUmDTxiZasW6QDVgfQDma52e8YFdE4&amp;e=</t>
  </si>
  <si>
    <t>ITA-1996</t>
  </si>
  <si>
    <t>35aed4f8-3bbd-11e5-afeb-eb6f07f9fec7</t>
  </si>
  <si>
    <t>Prodi</t>
  </si>
  <si>
    <t>https://urldefense.proofpoint.com/v2/url?u=http-3A__dbpedia.org_resource_Romano-5FProdi&amp;d=BQID-g&amp;c=kbmfwr1Yojg42sGEpaQh5ofMHBeTl9EI2eaqQZhHbOU&amp;r=ZliGVSRwfirWoETOrKCh2RSnoygzVPWEk95Me9L-Kwo&amp;m=EaKyFx9mpkhPdFxsxzvW_fiM3jbYwM3xYLjVbSFoDAg&amp;s=ZSvPEWH5fQGewoH3KQRfhvNExgpfcXQ0O72DyLmForQ&amp;e=</t>
  </si>
  <si>
    <t>19骞?886</t>
  </si>
  <si>
    <t>ITA-1998</t>
  </si>
  <si>
    <t>8219cbb9-1e42-11e4-b4cd-db5882bf8def</t>
  </si>
  <si>
    <t>D'Alema</t>
  </si>
  <si>
    <t>ITA-2000</t>
  </si>
  <si>
    <t>19骞?411</t>
  </si>
  <si>
    <t>ITA-2001</t>
  </si>
  <si>
    <t>19骞?1801</t>
  </si>
  <si>
    <t>ITA-2006</t>
  </si>
  <si>
    <t>19骞?722</t>
  </si>
  <si>
    <t>ITA-2008</t>
  </si>
  <si>
    <t>19骞?1287</t>
  </si>
  <si>
    <t>ITA-2011</t>
  </si>
  <si>
    <t>8251e055-1e42-11e4-b4cd-db5882bf8def</t>
  </si>
  <si>
    <t>Monti</t>
  </si>
  <si>
    <t>19骞?529</t>
  </si>
  <si>
    <t>ITA-2013</t>
  </si>
  <si>
    <t>2b37a458-3481-11e4-8dba-bbcd9ed46413</t>
  </si>
  <si>
    <t>Letta</t>
  </si>
  <si>
    <t>19骞?300</t>
  </si>
  <si>
    <t>ITA-2014</t>
  </si>
  <si>
    <t>149e63e6-aae0-11e4-b3bc-29f2fa19767e</t>
  </si>
  <si>
    <t>Renzi</t>
  </si>
  <si>
    <t>19骞?677</t>
  </si>
  <si>
    <t>MLT-1962</t>
  </si>
  <si>
    <t>8219cbba-1e42-11e4-b4cd-db5882bf8def</t>
  </si>
  <si>
    <t>MLT</t>
  </si>
  <si>
    <t>Olivier</t>
  </si>
  <si>
    <t>https://urldefense.proofpoint.com/v2/url?u=http-3A__dbpedia.org_resource_Giorgio-5FBorg-5FOlivier&amp;d=BQID-g&amp;c=kbmfwr1Yojg42sGEpaQh5ofMHBeTl9EI2eaqQZhHbOU&amp;r=ZliGVSRwfirWoETOrKCh2RSnoygzVPWEk95Me9L-Kwo&amp;m=EaKyFx9mpkhPdFxsxzvW_fiM3jbYwM3xYLjVbSFoDAg&amp;s=tRvB4rGl4bPK3TQlwhDcXnYLHd2UQp8PZXKkquA1vzs&amp;e=</t>
  </si>
  <si>
    <t>MLT-1971</t>
  </si>
  <si>
    <t>8219cbbb-1e42-11e4-b4cd-db5882bf8def</t>
  </si>
  <si>
    <t>Mintoff</t>
  </si>
  <si>
    <t>https://urldefense.proofpoint.com/v2/url?u=http-3A__dbpedia.org_resource_Dom-5FMintoff&amp;d=BQID-g&amp;c=kbmfwr1Yojg42sGEpaQh5ofMHBeTl9EI2eaqQZhHbOU&amp;r=ZliGVSRwfirWoETOrKCh2RSnoygzVPWEk95Me9L-Kwo&amp;m=EaKyFx9mpkhPdFxsxzvW_fiM3jbYwM3xYLjVbSFoDAg&amp;s=QCh3DxT-ooF8GvvK8jAXciif6ibpjNr4woy79Db9j24&amp;e=</t>
  </si>
  <si>
    <t>MLT-1984</t>
  </si>
  <si>
    <t>8219cbbc-1e42-11e4-b4cd-db5882bf8def</t>
  </si>
  <si>
    <t>Bonnici</t>
  </si>
  <si>
    <t>MLT-1987</t>
  </si>
  <si>
    <t>8219fc8a-1e42-11e4-b4cd-db5882bf8def</t>
  </si>
  <si>
    <t>Adami</t>
  </si>
  <si>
    <t>https://urldefense.proofpoint.com/v2/url?u=http-3A__dbpedia.org_resource_Eddie-5FFenech-5FAdami&amp;d=BQID-g&amp;c=kbmfwr1Yojg42sGEpaQh5ofMHBeTl9EI2eaqQZhHbOU&amp;r=ZliGVSRwfirWoETOrKCh2RSnoygzVPWEk95Me9L-Kwo&amp;m=EaKyFx9mpkhPdFxsxzvW_fiM3jbYwM3xYLjVbSFoDAg&amp;s=APPc6Zib9kOSNbs5aYBSC1bpx_Hz-m3fI8o9PhzBq5U&amp;e=</t>
  </si>
  <si>
    <t>MLT-1996</t>
  </si>
  <si>
    <t>8219fc8b-1e42-11e4-b4cd-db5882bf8def</t>
  </si>
  <si>
    <t>Sant</t>
  </si>
  <si>
    <t>MLT-1998</t>
  </si>
  <si>
    <t>MLT-2004</t>
  </si>
  <si>
    <t>82521124-1e42-11e4-b4cd-db5882bf8def</t>
  </si>
  <si>
    <t>Gonzi</t>
  </si>
  <si>
    <t>MLT-2013</t>
  </si>
  <si>
    <t>2b3a05ae-3481-11e4-8dba-bbcd9ed46413</t>
  </si>
  <si>
    <t>Muscat</t>
  </si>
  <si>
    <t>ALB-1912</t>
  </si>
  <si>
    <t>8219fc8c-1e42-11e4-b4cd-db5882bf8def</t>
  </si>
  <si>
    <t>ALB</t>
  </si>
  <si>
    <t>Ismail Qemali Bej</t>
  </si>
  <si>
    <t>19骞?419</t>
  </si>
  <si>
    <t>ALB-1914-1</t>
  </si>
  <si>
    <t>8219fc8d-1e42-11e4-b4cd-db5882bf8def</t>
  </si>
  <si>
    <t>Fevzi Bej</t>
  </si>
  <si>
    <t>19骞?30</t>
  </si>
  <si>
    <t>ALB-1914-2</t>
  </si>
  <si>
    <t>821a2d5e-1e42-11e4-b4cd-db5882bf8def</t>
  </si>
  <si>
    <t>Wilhelm zu Wied</t>
  </si>
  <si>
    <t>19骞?194</t>
  </si>
  <si>
    <t>ALB-1914-3</t>
  </si>
  <si>
    <t>821a2d5f-1e42-11e4-b4cd-db5882bf8def</t>
  </si>
  <si>
    <t>Esat Pashe Toptani</t>
  </si>
  <si>
    <t>19骞?507</t>
  </si>
  <si>
    <t>ALB-1918</t>
  </si>
  <si>
    <t>821a2d60-1e42-11e4-b4cd-db5882bf8def</t>
  </si>
  <si>
    <t>Turkhan Pasha</t>
  </si>
  <si>
    <t>ALB-1920-1</t>
  </si>
  <si>
    <t>821a2d61-1e42-11e4-b4cd-db5882bf8def</t>
  </si>
  <si>
    <t>Delvina</t>
  </si>
  <si>
    <t>19骞?238</t>
  </si>
  <si>
    <t>ALB-1920-2</t>
  </si>
  <si>
    <t>821a2d62-1e42-11e4-b4cd-db5882bf8def</t>
  </si>
  <si>
    <t>Vrioni</t>
  </si>
  <si>
    <t>19骞?310</t>
  </si>
  <si>
    <t>ALB-1921-1</t>
  </si>
  <si>
    <t>821a5e32-1e42-11e4-b4cd-db5882bf8def</t>
  </si>
  <si>
    <t>Evangeli</t>
  </si>
  <si>
    <t>19骞?51</t>
  </si>
  <si>
    <t>ALB-1921-2</t>
  </si>
  <si>
    <t>821a5e33-1e42-11e4-b4cd-db5882bf8def</t>
  </si>
  <si>
    <t>Prishtina</t>
  </si>
  <si>
    <t>19骞?4</t>
  </si>
  <si>
    <t>ALB-1921-3</t>
  </si>
  <si>
    <t>821a5e34-1e42-11e4-b4cd-db5882bf8def</t>
  </si>
  <si>
    <t>Idomeni Kosturis</t>
  </si>
  <si>
    <t>ALB-1921-4</t>
  </si>
  <si>
    <t>821a5e35-1e42-11e4-b4cd-db5882bf8def</t>
  </si>
  <si>
    <t>Djafer Ypi</t>
  </si>
  <si>
    <t>19骞?343</t>
  </si>
  <si>
    <t>ALB-1922</t>
  </si>
  <si>
    <t>821a5e36-1e42-11e4-b4cd-db5882bf8def</t>
  </si>
  <si>
    <t>Zogu</t>
  </si>
  <si>
    <t>https://urldefense.proofpoint.com/v2/url?u=http-3A__dbpedia.org_resource_Zog-5Fof-5FAlbania&amp;d=BQID-g&amp;c=kbmfwr1Yojg42sGEpaQh5ofMHBeTl9EI2eaqQZhHbOU&amp;r=ZliGVSRwfirWoETOrKCh2RSnoygzVPWEk95Me9L-Kwo&amp;m=EaKyFx9mpkhPdFxsxzvW_fiM3jbYwM3xYLjVbSFoDAg&amp;s=IqWAqtPGN6FvWjES02z-AMX2DQCzNzZoZegzUf4lVJs&amp;e=</t>
  </si>
  <si>
    <t>19骞?456</t>
  </si>
  <si>
    <t>ALB-1924-1</t>
  </si>
  <si>
    <t>821a8f06-1e42-11e4-b4cd-db5882bf8def</t>
  </si>
  <si>
    <t>Verlaci</t>
  </si>
  <si>
    <t>19骞?88</t>
  </si>
  <si>
    <t>ALB-1924-2</t>
  </si>
  <si>
    <t>19骞?9</t>
  </si>
  <si>
    <t>ALB-1924-3</t>
  </si>
  <si>
    <t>821a8f07-1e42-11e4-b4cd-db5882bf8def</t>
  </si>
  <si>
    <t>Fan S. Noli</t>
  </si>
  <si>
    <t>https://urldefense.proofpoint.com/v2/url?u=http-3A__dbpedia.org_resource_Fan-5FS.-5FNoli&amp;d=BQID-g&amp;c=kbmfwr1Yojg42sGEpaQh5ofMHBeTl9EI2eaqQZhHbOU&amp;r=ZliGVSRwfirWoETOrKCh2RSnoygzVPWEk95Me9L-Kwo&amp;m=EaKyFx9mpkhPdFxsxzvW_fiM3jbYwM3xYLjVbSFoDAg&amp;s=G-PbrmEFx7giA1mpRfO4FeIWiSehNlTWtPhz4dKUqyU&amp;e=</t>
  </si>
  <si>
    <t>19骞?195</t>
  </si>
  <si>
    <t>ALB-1924-4</t>
  </si>
  <si>
    <t>19骞?17</t>
  </si>
  <si>
    <t>ALB-1925</t>
  </si>
  <si>
    <t>19骞?5205</t>
  </si>
  <si>
    <t>ALB-1944</t>
  </si>
  <si>
    <t>821a8f08-1e42-11e4-b4cd-db5882bf8def</t>
  </si>
  <si>
    <t>Hoxha</t>
  </si>
  <si>
    <t>https://urldefense.proofpoint.com/v2/url?u=http-3A__dbpedia.org_resource_Enver-5FHoxha&amp;d=BQID-g&amp;c=kbmfwr1Yojg42sGEpaQh5ofMHBeTl9EI2eaqQZhHbOU&amp;r=ZliGVSRwfirWoETOrKCh2RSnoygzVPWEk95Me9L-Kwo&amp;m=EaKyFx9mpkhPdFxsxzvW_fiM3jbYwM3xYLjVbSFoDAg&amp;s=whbP2nqZKjNnD7Dt9uPG_D4sAMBBp2-ZbDGJoUZmHd0&amp;e=</t>
  </si>
  <si>
    <t>19骞?14743</t>
  </si>
  <si>
    <t>ALB-1985</t>
  </si>
  <si>
    <t>821a8f09-1e42-11e4-b4cd-db5882bf8def</t>
  </si>
  <si>
    <t>Alia</t>
  </si>
  <si>
    <t>https://urldefense.proofpoint.com/v2/url?u=http-3A__dbpedia.org_resource_Ramiz-5FAlia&amp;d=BQID-g&amp;c=kbmfwr1Yojg42sGEpaQh5ofMHBeTl9EI2eaqQZhHbOU&amp;r=ZliGVSRwfirWoETOrKCh2RSnoygzVPWEk95Me9L-Kwo&amp;m=EaKyFx9mpkhPdFxsxzvW_fiM3jbYwM3xYLjVbSFoDAg&amp;s=cVB434R_CIuSyUy0QZ3ChffuO1eywq4JfZHzpkw3nb0&amp;e=</t>
  </si>
  <si>
    <t>19骞?2547</t>
  </si>
  <si>
    <t>ALB-1992</t>
  </si>
  <si>
    <t>35b38fe8-3bbd-11e5-afeb-eb6f07f9fec7</t>
  </si>
  <si>
    <t>Berisha</t>
  </si>
  <si>
    <t>https://urldefense.proofpoint.com/v2/url?u=http-3A__dbpedia.org_resource_Sali-5FBerisha&amp;d=BQID-g&amp;c=kbmfwr1Yojg42sGEpaQh5ofMHBeTl9EI2eaqQZhHbOU&amp;r=ZliGVSRwfirWoETOrKCh2RSnoygzVPWEk95Me9L-Kwo&amp;m=EaKyFx9mpkhPdFxsxzvW_fiM3jbYwM3xYLjVbSFoDAg&amp;s=6x8g4EKTqTYkPlViQGR2NGChuYJ3p2MWDm-PotNFDnc&amp;e=</t>
  </si>
  <si>
    <t>19骞?1932</t>
  </si>
  <si>
    <t>ALB-1997</t>
  </si>
  <si>
    <t>821abfda-1e42-11e4-b4cd-db5882bf8def</t>
  </si>
  <si>
    <t>Fatos Nano</t>
  </si>
  <si>
    <t>https://urldefense.proofpoint.com/v2/url?u=http-3A__dbpedia.org_resource_Fatos-5FNano&amp;d=BQID-g&amp;c=kbmfwr1Yojg42sGEpaQh5ofMHBeTl9EI2eaqQZhHbOU&amp;r=ZliGVSRwfirWoETOrKCh2RSnoygzVPWEk95Me9L-Kwo&amp;m=EaKyFx9mpkhPdFxsxzvW_fiM3jbYwM3xYLjVbSFoDAg&amp;s=11sl0oJwz8gNo8nbjH4c0w8RkGxCQ3eB0psVPSTMGFM&amp;e=</t>
  </si>
  <si>
    <t>19骞?435</t>
  </si>
  <si>
    <t>ALB-1998</t>
  </si>
  <si>
    <t>821abfdb-1e42-11e4-b4cd-db5882bf8def</t>
  </si>
  <si>
    <t>Majko</t>
  </si>
  <si>
    <t>https://urldefense.proofpoint.com/v2/url?u=http-3A__dbpedia.org_resource_Pandeli-5FMajko&amp;d=BQID-g&amp;c=kbmfwr1Yojg42sGEpaQh5ofMHBeTl9EI2eaqQZhHbOU&amp;r=ZliGVSRwfirWoETOrKCh2RSnoygzVPWEk95Me9L-Kwo&amp;m=EaKyFx9mpkhPdFxsxzvW_fiM3jbYwM3xYLjVbSFoDAg&amp;s=FhuWFOkSg5jdZgI3ZesntgXPb0jrcoqHI24BimRnHg4&amp;e=</t>
  </si>
  <si>
    <t>19骞?392</t>
  </si>
  <si>
    <t>ALB-1999</t>
  </si>
  <si>
    <t>821abfdc-1e42-11e4-b4cd-db5882bf8def</t>
  </si>
  <si>
    <t>Meta</t>
  </si>
  <si>
    <t>19骞?847</t>
  </si>
  <si>
    <t>ALB-2002-1</t>
  </si>
  <si>
    <t>ALB-2002-2</t>
  </si>
  <si>
    <t>19骞?1138</t>
  </si>
  <si>
    <t>ALB-2005</t>
  </si>
  <si>
    <t>19骞?2926</t>
  </si>
  <si>
    <t>ALB-2013</t>
  </si>
  <si>
    <t>149e63e7-aae0-11e4-b3bc-29f2fa19767e</t>
  </si>
  <si>
    <t>Rama</t>
  </si>
  <si>
    <t>19骞?837</t>
  </si>
  <si>
    <t>SER-1882</t>
  </si>
  <si>
    <t>821abfdd-1e42-11e4-b4cd-db5882bf8def</t>
  </si>
  <si>
    <t>SER</t>
  </si>
  <si>
    <t>Milan I</t>
  </si>
  <si>
    <t>1882-03-06</t>
  </si>
  <si>
    <t>1889-03-06</t>
  </si>
  <si>
    <t>https://urldefense.proofpoint.com/v2/url?u=http-3A__dbpedia.org_resource_Milan-5FI-5Fof-5FSerbia&amp;d=BQID-g&amp;c=kbmfwr1Yojg42sGEpaQh5ofMHBeTl9EI2eaqQZhHbOU&amp;r=ZliGVSRwfirWoETOrKCh2RSnoygzVPWEk95Me9L-Kwo&amp;m=EaKyFx9mpkhPdFxsxzvW_fiM3jbYwM3xYLjVbSFoDAg&amp;s=eKFD-Ea59KsUZkV_em5jCsVuM8dxUhzSg0dUUfCyEGE&amp;e=</t>
  </si>
  <si>
    <t>SER-1889</t>
  </si>
  <si>
    <t>821abfde-1e42-11e4-b4cd-db5882bf8def</t>
  </si>
  <si>
    <t>Ristic (Regency)</t>
  </si>
  <si>
    <t>1893-04-13</t>
  </si>
  <si>
    <t>SER-1893</t>
  </si>
  <si>
    <t>821abfdf-1e42-11e4-b4cd-db5882bf8def</t>
  </si>
  <si>
    <t>Alexander I</t>
  </si>
  <si>
    <t>https://urldefense.proofpoint.com/v2/url?u=http-3A__dbpedia.org_resource_Alexander-5FI-5Fof-5FSerbia&amp;d=BQID-g&amp;c=kbmfwr1Yojg42sGEpaQh5ofMHBeTl9EI2eaqQZhHbOU&amp;r=ZliGVSRwfirWoETOrKCh2RSnoygzVPWEk95Me9L-Kwo&amp;m=EaKyFx9mpkhPdFxsxzvW_fiM3jbYwM3xYLjVbSFoDAg&amp;s=oCe887q-9odzXGEloCVLGlU83B-5EMtuWf5sGBHakYo&amp;e=</t>
  </si>
  <si>
    <t>SER-1903</t>
  </si>
  <si>
    <t>821af0b8-1e42-11e4-b4cd-db5882bf8def</t>
  </si>
  <si>
    <t>Peter I</t>
  </si>
  <si>
    <t>SER-1914</t>
  </si>
  <si>
    <t>821af0b9-1e42-11e4-b4cd-db5882bf8def</t>
  </si>
  <si>
    <t>Alexander</t>
  </si>
  <si>
    <t>1888-12-16</t>
  </si>
  <si>
    <t>16dec1888</t>
  </si>
  <si>
    <t>https://urldefense.proofpoint.com/v2/url?u=http-3A__dbpedia.org_resource_Alexander-5FI-5Fof-5FYugoslavia&amp;d=BQID-g&amp;c=kbmfwr1Yojg42sGEpaQh5ofMHBeTl9EI2eaqQZhHbOU&amp;r=ZliGVSRwfirWoETOrKCh2RSnoygzVPWEk95Me9L-Kwo&amp;m=EaKyFx9mpkhPdFxsxzvW_fiM3jbYwM3xYLjVbSFoDAg&amp;s=hkCaRKRHNcAbMTxSSiT6HE4YSNHV1D49rupurgAtr5A&amp;e=</t>
  </si>
  <si>
    <t>SER-2006</t>
  </si>
  <si>
    <t>821be4de-1e42-11e4-b4cd-db5882bf8def</t>
  </si>
  <si>
    <t>Kostunica</t>
  </si>
  <si>
    <t>https://urldefense.proofpoint.com/v2/url?u=http-3A__dbpedia.org_resource_Vojislav-5FKo-25C5-25A1tunica&amp;d=BQID-g&amp;c=kbmfwr1Yojg42sGEpaQh5ofMHBeTl9EI2eaqQZhHbOU&amp;r=ZliGVSRwfirWoETOrKCh2RSnoygzVPWEk95Me9L-Kwo&amp;m=EaKyFx9mpkhPdFxsxzvW_fiM3jbYwM3xYLjVbSFoDAg&amp;s=mT2yDCuPIXn2Eb5KrEt4NY-wAdwyFfCy5PRtU7bwmJk&amp;e=</t>
  </si>
  <si>
    <t>SER-2008</t>
  </si>
  <si>
    <t>82521128-1e42-11e4-b4cd-db5882bf8def</t>
  </si>
  <si>
    <t>Cvetkovic</t>
  </si>
  <si>
    <t>SER-2012</t>
  </si>
  <si>
    <t>2b3a05af-3481-11e4-8dba-bbcd9ed46413</t>
  </si>
  <si>
    <t>Dacic</t>
  </si>
  <si>
    <t>SER-2014</t>
  </si>
  <si>
    <t>149e63e8-aae0-11e4-b3bc-29f2fa19767e</t>
  </si>
  <si>
    <t>Vucic</t>
  </si>
  <si>
    <t>MNG-1860</t>
  </si>
  <si>
    <t>821af0ba-1e42-11e4-b4cd-db5882bf8def</t>
  </si>
  <si>
    <t>MNG</t>
  </si>
  <si>
    <t>Nikola I Petrovic-Njegos</t>
  </si>
  <si>
    <t>1860-08-13</t>
  </si>
  <si>
    <t>MAC-1991</t>
  </si>
  <si>
    <t>821af0bb-1e42-11e4-b4cd-db5882bf8def</t>
  </si>
  <si>
    <t>MAC</t>
  </si>
  <si>
    <t>Nikola Kljusev</t>
  </si>
  <si>
    <t>MAC-1992</t>
  </si>
  <si>
    <t>821af0bc-1e42-11e4-b4cd-db5882bf8def</t>
  </si>
  <si>
    <t>Crvenkovski</t>
  </si>
  <si>
    <t>MAC-1998</t>
  </si>
  <si>
    <t>821b218c-1e42-11e4-b4cd-db5882bf8def</t>
  </si>
  <si>
    <t>Georgievski</t>
  </si>
  <si>
    <t>MAC-2002</t>
  </si>
  <si>
    <t>MAC-2004-1</t>
  </si>
  <si>
    <t>821b218d-1e42-11e4-b4cd-db5882bf8def</t>
  </si>
  <si>
    <t>Radmila Sekerinska</t>
  </si>
  <si>
    <t>MAC-2004-2</t>
  </si>
  <si>
    <t>821b218e-1e42-11e4-b4cd-db5882bf8def</t>
  </si>
  <si>
    <t>Hari Kostov</t>
  </si>
  <si>
    <t>MAC-2004-3</t>
  </si>
  <si>
    <t>MAC-2004-4</t>
  </si>
  <si>
    <t>821b218f-1e42-11e4-b4cd-db5882bf8def</t>
  </si>
  <si>
    <t>Vlado Buckovski</t>
  </si>
  <si>
    <t>https://urldefense.proofpoint.com/v2/url?u=http-3A__dbpedia.org_resource_Vlado-5FBu-25C4-258Dkovski&amp;d=BQID-g&amp;c=kbmfwr1Yojg42sGEpaQh5ofMHBeTl9EI2eaqQZhHbOU&amp;r=ZliGVSRwfirWoETOrKCh2RSnoygzVPWEk95Me9L-Kwo&amp;m=EaKyFx9mpkhPdFxsxzvW_fiM3jbYwM3xYLjVbSFoDAg&amp;s=aXxkBOqTKZvrShfpy4XsChSTg2wMPUnZkyE5DazXsc0&amp;e=</t>
  </si>
  <si>
    <t>MAC-2006</t>
  </si>
  <si>
    <t>82521126-1e42-11e4-b4cd-db5882bf8def</t>
  </si>
  <si>
    <t>Gruevski</t>
  </si>
  <si>
    <t>CRO-1990</t>
  </si>
  <si>
    <t>821b2190-1e42-11e4-b4cd-db5882bf8def</t>
  </si>
  <si>
    <t>CRO</t>
  </si>
  <si>
    <t>Tudjman</t>
  </si>
  <si>
    <t>https://urldefense.proofpoint.com/v2/url?u=http-3A__dbpedia.org_resource_Franjo-5FTu-25C4-2591man&amp;d=BQID-g&amp;c=kbmfwr1Yojg42sGEpaQh5ofMHBeTl9EI2eaqQZhHbOU&amp;r=ZliGVSRwfirWoETOrKCh2RSnoygzVPWEk95Me9L-Kwo&amp;m=EaKyFx9mpkhPdFxsxzvW_fiM3jbYwM3xYLjVbSFoDAg&amp;s=8r-usCB3_Y7lzG77ZyLwNFRzhyMdFaTjjkOHdhP-nPw&amp;e=</t>
  </si>
  <si>
    <t>CRO-1999</t>
  </si>
  <si>
    <t>821b5260-1e42-11e4-b4cd-db5882bf8def</t>
  </si>
  <si>
    <t>Pavletic</t>
  </si>
  <si>
    <t>CRO-2000-1</t>
  </si>
  <si>
    <t>821b5261-1e42-11e4-b4cd-db5882bf8def</t>
  </si>
  <si>
    <t>Tomcic</t>
  </si>
  <si>
    <t>CRO-2000-2</t>
  </si>
  <si>
    <t>821b5262-1e42-11e4-b4cd-db5882bf8def</t>
  </si>
  <si>
    <t>Mesic</t>
  </si>
  <si>
    <t>https://urldefense.proofpoint.com/v2/url?u=http-3A__dbpedia.org_resource_Stjepan-5FMesi-25C4-2587&amp;d=BQID-g&amp;c=kbmfwr1Yojg42sGEpaQh5ofMHBeTl9EI2eaqQZhHbOU&amp;r=ZliGVSRwfirWoETOrKCh2RSnoygzVPWEk95Me9L-Kwo&amp;m=EaKyFx9mpkhPdFxsxzvW_fiM3jbYwM3xYLjVbSFoDAg&amp;s=rKigniXG-tnY7D9mB5GW6lhDRN7YUglyNYvRG3-F1AQ&amp;e=</t>
  </si>
  <si>
    <t>CRO-2010</t>
  </si>
  <si>
    <t>82521127-1e42-11e4-b4cd-db5882bf8def</t>
  </si>
  <si>
    <t>Josipovic</t>
  </si>
  <si>
    <t>CRO-2015</t>
  </si>
  <si>
    <t>43f5aea6-de6a-11e5-ba44-bb6d7c1a9a58</t>
  </si>
  <si>
    <t>Kolinda Grabar-Kitarovic</t>
  </si>
  <si>
    <t>YUG-1918</t>
  </si>
  <si>
    <t>19777948-3bbd-11e5-afeb-eb6f07f9fec7</t>
  </si>
  <si>
    <t>YUG</t>
  </si>
  <si>
    <t>YUG-1934</t>
  </si>
  <si>
    <t>821b5263-1e42-11e4-b4cd-db5882bf8def</t>
  </si>
  <si>
    <t>Prince Paul</t>
  </si>
  <si>
    <t>YUG-1941</t>
  </si>
  <si>
    <t>821b5264-1e42-11e4-b4cd-db5882bf8def</t>
  </si>
  <si>
    <t>Peter II</t>
  </si>
  <si>
    <t>https://urldefense.proofpoint.com/v2/url?u=http-3A__dbpedia.org_resource_Peter-5FII-5Fof-5FYugoslavia&amp;d=BQID-g&amp;c=kbmfwr1Yojg42sGEpaQh5ofMHBeTl9EI2eaqQZhHbOU&amp;r=ZliGVSRwfirWoETOrKCh2RSnoygzVPWEk95Me9L-Kwo&amp;m=EaKyFx9mpkhPdFxsxzvW_fiM3jbYwM3xYLjVbSFoDAg&amp;s=Z8goBBRX8j8o0MgGdwWvxVMDzB5be4E3ePl1J9Bu6_I&amp;e=</t>
  </si>
  <si>
    <t>YUG-1945</t>
  </si>
  <si>
    <t>821b8334-1e42-11e4-b4cd-db5882bf8def</t>
  </si>
  <si>
    <t>Tito</t>
  </si>
  <si>
    <t>1892-05-07</t>
  </si>
  <si>
    <t>07may1892</t>
  </si>
  <si>
    <t>https://urldefense.proofpoint.com/v2/url?u=http-3A__dbpedia.org_resource_Josip-5FBroz-5FTito&amp;d=BQID-g&amp;c=kbmfwr1Yojg42sGEpaQh5ofMHBeTl9EI2eaqQZhHbOU&amp;r=ZliGVSRwfirWoETOrKCh2RSnoygzVPWEk95Me9L-Kwo&amp;m=EaKyFx9mpkhPdFxsxzvW_fiM3jbYwM3xYLjVbSFoDAg&amp;s=NQscYedgZVhl3AP-OLMY5y6ze_JZaj_lTW2PGfkiQB4&amp;e=</t>
  </si>
  <si>
    <t>YUG-1980-1</t>
  </si>
  <si>
    <t>821b8335-1e42-11e4-b4cd-db5882bf8def</t>
  </si>
  <si>
    <t>Kolisevski</t>
  </si>
  <si>
    <t>YUG-1980-2</t>
  </si>
  <si>
    <t>821b8336-1e42-11e4-b4cd-db5882bf8def</t>
  </si>
  <si>
    <t>Mijatovic</t>
  </si>
  <si>
    <t>https://urldefense.proofpoint.com/v2/url?u=http-3A__dbpedia.org_resource_Cvijetin-5FMijatovi-25C4-2587&amp;d=BQID-g&amp;c=kbmfwr1Yojg42sGEpaQh5ofMHBeTl9EI2eaqQZhHbOU&amp;r=ZliGVSRwfirWoETOrKCh2RSnoygzVPWEk95Me9L-Kwo&amp;m=EaKyFx9mpkhPdFxsxzvW_fiM3jbYwM3xYLjVbSFoDAg&amp;s=a9CkuaZiWCvIIlMbHBog6FAwg4tq2rfao3rCOPYSOxY&amp;e=</t>
  </si>
  <si>
    <t>YUG-1981</t>
  </si>
  <si>
    <t>821b8337-1e42-11e4-b4cd-db5882bf8def</t>
  </si>
  <si>
    <t>Kraigher</t>
  </si>
  <si>
    <t>YUG-1982</t>
  </si>
  <si>
    <t>821b8338-1e42-11e4-b4cd-db5882bf8def</t>
  </si>
  <si>
    <t>Stambolic</t>
  </si>
  <si>
    <t>YUG-1983</t>
  </si>
  <si>
    <t>821bb408-1e42-11e4-b4cd-db5882bf8def</t>
  </si>
  <si>
    <t>Spiljac</t>
  </si>
  <si>
    <t>YUG-1984</t>
  </si>
  <si>
    <t>821bb409-1e42-11e4-b4cd-db5882bf8def</t>
  </si>
  <si>
    <t>Djuranovic</t>
  </si>
  <si>
    <t>YUG-1985</t>
  </si>
  <si>
    <t>821bb40a-1e42-11e4-b4cd-db5882bf8def</t>
  </si>
  <si>
    <t>Vlajkovic</t>
  </si>
  <si>
    <t>https://urldefense.proofpoint.com/v2/url?u=http-3A__dbpedia.org_resource_Radovan-5FVlajkovi-25C4-2587&amp;d=BQID-g&amp;c=kbmfwr1Yojg42sGEpaQh5ofMHBeTl9EI2eaqQZhHbOU&amp;r=ZliGVSRwfirWoETOrKCh2RSnoygzVPWEk95Me9L-Kwo&amp;m=EaKyFx9mpkhPdFxsxzvW_fiM3jbYwM3xYLjVbSFoDAg&amp;s=3SP0-Q1wzA849VA-52uv39wMXKso4wuL4eGqfNOLojA&amp;e=</t>
  </si>
  <si>
    <t>YUG-1986</t>
  </si>
  <si>
    <t>821bb40b-1e42-11e4-b4cd-db5882bf8def</t>
  </si>
  <si>
    <t>Hasani</t>
  </si>
  <si>
    <t>YUG-1987</t>
  </si>
  <si>
    <t>821bb40c-1e42-11e4-b4cd-db5882bf8def</t>
  </si>
  <si>
    <t>Mojsov</t>
  </si>
  <si>
    <t>YUG-1988</t>
  </si>
  <si>
    <t>821be4dc-1e42-11e4-b4cd-db5882bf8def</t>
  </si>
  <si>
    <t>Dizarevic</t>
  </si>
  <si>
    <t>YUG-1989</t>
  </si>
  <si>
    <t>821be4dd-1e42-11e4-b4cd-db5882bf8def</t>
  </si>
  <si>
    <t>Milosevic</t>
  </si>
  <si>
    <t>https://urldefense.proofpoint.com/v2/url?u=http-3A__dbpedia.org_resource_Slobodan-5FMilo-25C5-25A1evi-25C4-2587&amp;d=BQID-g&amp;c=kbmfwr1Yojg42sGEpaQh5ofMHBeTl9EI2eaqQZhHbOU&amp;r=ZliGVSRwfirWoETOrKCh2RSnoygzVPWEk95Me9L-Kwo&amp;m=EaKyFx9mpkhPdFxsxzvW_fiM3jbYwM3xYLjVbSFoDAg&amp;s=QyRn7eAsp0pjjEmeHc0ONQ6PhXW4uQmLXVFN0vMz3rE&amp;e=</t>
  </si>
  <si>
    <t>YUG-2000</t>
  </si>
  <si>
    <t>YUG-2003</t>
  </si>
  <si>
    <t>b8187036-4fbb-11e5-b438-d954e400443c</t>
  </si>
  <si>
    <t>Svetozar Marovic</t>
  </si>
  <si>
    <t>BOS-1990</t>
  </si>
  <si>
    <t>35bae2e8-3bbd-11e5-afeb-eb6f07f9fec7</t>
  </si>
  <si>
    <t>BOS</t>
  </si>
  <si>
    <t>Izetbegovic</t>
  </si>
  <si>
    <t>https://urldefense.proofpoint.com/v2/url?u=http-3A__dbpedia.org_resource_Alija-5FIzetbegovi-25C4-2587&amp;d=BQID-g&amp;c=kbmfwr1Yojg42sGEpaQh5ofMHBeTl9EI2eaqQZhHbOU&amp;r=ZliGVSRwfirWoETOrKCh2RSnoygzVPWEk95Me9L-Kwo&amp;m=EaKyFx9mpkhPdFxsxzvW_fiM3jbYwM3xYLjVbSFoDAg&amp;s=MIsrbr5J_f8p-2NMpwIKDVjxSggeaLnHd_0H_6z2gI0&amp;e=</t>
  </si>
  <si>
    <t>Father of Bakir Izetbegovic%43f80ffc-de6a-11e5-ba44-bb6d7c1a9a58</t>
  </si>
  <si>
    <t>BOS-1998</t>
  </si>
  <si>
    <t>821be4e0-1e42-11e4-b4cd-db5882bf8def</t>
  </si>
  <si>
    <t>Radisic</t>
  </si>
  <si>
    <t>BOS-1999</t>
  </si>
  <si>
    <t>821c15b0-1e42-11e4-b4cd-db5882bf8def</t>
  </si>
  <si>
    <t>Jelavic</t>
  </si>
  <si>
    <t>BOS-2000-1</t>
  </si>
  <si>
    <t>Alija Izetbegovic</t>
  </si>
  <si>
    <t>BOS-2000-2</t>
  </si>
  <si>
    <t>BOS-2001</t>
  </si>
  <si>
    <t>821c15b1-1e42-11e4-b4cd-db5882bf8def</t>
  </si>
  <si>
    <t>Krizanovic</t>
  </si>
  <si>
    <t>https://urldefense.proofpoint.com/v2/url?u=http-3A__dbpedia.org_resource_Jozo-5FKri-25C5-25BEanovi-25C4-2587&amp;d=BQID-g&amp;c=kbmfwr1Yojg42sGEpaQh5ofMHBeTl9EI2eaqQZhHbOU&amp;r=ZliGVSRwfirWoETOrKCh2RSnoygzVPWEk95Me9L-Kwo&amp;m=EaKyFx9mpkhPdFxsxzvW_fiM3jbYwM3xYLjVbSFoDAg&amp;s=4Dql35ObzjQuXgK57gR-h8A61z9qpvckcOm0UK12c5o&amp;e=</t>
  </si>
  <si>
    <t>BOS-2002-1</t>
  </si>
  <si>
    <t>821c4684-1e42-11e4-b4cd-db5882bf8def</t>
  </si>
  <si>
    <t>Belkic</t>
  </si>
  <si>
    <t>BOS-2002-2</t>
  </si>
  <si>
    <t>821c4685-1e42-11e4-b4cd-db5882bf8def</t>
  </si>
  <si>
    <t>Sarovic</t>
  </si>
  <si>
    <t>BOS-2003-1</t>
  </si>
  <si>
    <t>821c4686-1e42-11e4-b4cd-db5882bf8def</t>
  </si>
  <si>
    <t>Borislav Paravac</t>
  </si>
  <si>
    <t>BOS-2003-2</t>
  </si>
  <si>
    <t>821c4687-1e42-11e4-b4cd-db5882bf8def</t>
  </si>
  <si>
    <t>Dragan Covic</t>
  </si>
  <si>
    <t>BOS-2004-1</t>
  </si>
  <si>
    <t>821c4688-1e42-11e4-b4cd-db5882bf8def</t>
  </si>
  <si>
    <t>Sulejman Tihic</t>
  </si>
  <si>
    <t>BOS-2004-2</t>
  </si>
  <si>
    <t>BOS-2005</t>
  </si>
  <si>
    <t>82521129-1e42-11e4-b4cd-db5882bf8def</t>
  </si>
  <si>
    <t>Miro Jovic</t>
  </si>
  <si>
    <t>BOS-2006-1</t>
  </si>
  <si>
    <t>BOS-2006-2</t>
  </si>
  <si>
    <t>82524202-1e42-11e4-b4cd-db5882bf8def</t>
  </si>
  <si>
    <t>Radmanovic</t>
  </si>
  <si>
    <t>BOS-2007</t>
  </si>
  <si>
    <t>82524203-1e42-11e4-b4cd-db5882bf8def</t>
  </si>
  <si>
    <t>Zeljko Komsic</t>
  </si>
  <si>
    <t>BOS-2008-1</t>
  </si>
  <si>
    <t>82524204-1e42-11e4-b4cd-db5882bf8def</t>
  </si>
  <si>
    <t>Silajdzic</t>
  </si>
  <si>
    <t>BOS-2008-2</t>
  </si>
  <si>
    <t>BOS-2009</t>
  </si>
  <si>
    <t>BOS-2010-1</t>
  </si>
  <si>
    <t>BOS-2010-2</t>
  </si>
  <si>
    <t>BOS-2011</t>
  </si>
  <si>
    <t>BOS-2014-1</t>
  </si>
  <si>
    <t>43f80ffc-de6a-11e5-ba44-bb6d7c1a9a58</t>
  </si>
  <si>
    <t>Bakir Izetbegovic</t>
  </si>
  <si>
    <t>Son of Alija Izetbegovic%35bae2e8-3bbd-11e5-afeb-eb6f07f9fec7</t>
  </si>
  <si>
    <t>BOS-2014-2</t>
  </si>
  <si>
    <t>149e8af6-aae0-11e4-b3bc-29f2fa19767e</t>
  </si>
  <si>
    <t>Ivanic</t>
  </si>
  <si>
    <t>BOS-2015</t>
  </si>
  <si>
    <t>43f80ffd-de6a-11e5-ba44-bb6d7c1a9a58</t>
  </si>
  <si>
    <t>KOS-2008</t>
  </si>
  <si>
    <t>149e8af7-aae0-11e4-b3bc-29f2fa19767e</t>
  </si>
  <si>
    <t>KOS</t>
  </si>
  <si>
    <t>Hashim Thaci</t>
  </si>
  <si>
    <t>KOS-2014</t>
  </si>
  <si>
    <t>149e8af8-aae0-11e4-b3bc-29f2fa19767e</t>
  </si>
  <si>
    <t>Isa Mustafa</t>
  </si>
  <si>
    <t>SLV-1990</t>
  </si>
  <si>
    <t>821c7758-1e42-11e4-b4cd-db5882bf8def</t>
  </si>
  <si>
    <t>SLV</t>
  </si>
  <si>
    <t>Kucan</t>
  </si>
  <si>
    <t>SLV-1991</t>
  </si>
  <si>
    <t>821c7759-1e42-11e4-b4cd-db5882bf8def</t>
  </si>
  <si>
    <t>Peterle</t>
  </si>
  <si>
    <t>SLV-1992</t>
  </si>
  <si>
    <t>821c775a-1e42-11e4-b4cd-db5882bf8def</t>
  </si>
  <si>
    <t>Drnovsek</t>
  </si>
  <si>
    <t>https://urldefense.proofpoint.com/v2/url?u=http-3A__dbpedia.org_resource_Janez-5FDrnov-25C5-25A1ek&amp;d=BQID-g&amp;c=kbmfwr1Yojg42sGEpaQh5ofMHBeTl9EI2eaqQZhHbOU&amp;r=ZliGVSRwfirWoETOrKCh2RSnoygzVPWEk95Me9L-Kwo&amp;m=EaKyFx9mpkhPdFxsxzvW_fiM3jbYwM3xYLjVbSFoDAg&amp;s=5Ac9HjToG4CxvT6i6d0TLLJhmG8hphSU79iY_twFX9E&amp;e=</t>
  </si>
  <si>
    <t>SLV-2000-1</t>
  </si>
  <si>
    <t>821c775b-1e42-11e4-b4cd-db5882bf8def</t>
  </si>
  <si>
    <t>Bajuk</t>
  </si>
  <si>
    <t>https://urldefense.proofpoint.com/v2/url?u=http-3A__dbpedia.org_resource_Andrej-5FBajuk&amp;d=BQID-g&amp;c=kbmfwr1Yojg42sGEpaQh5ofMHBeTl9EI2eaqQZhHbOU&amp;r=ZliGVSRwfirWoETOrKCh2RSnoygzVPWEk95Me9L-Kwo&amp;m=EaKyFx9mpkhPdFxsxzvW_fiM3jbYwM3xYLjVbSFoDAg&amp;s=hLadLSSO2cSwi9xVCD5CCEIMqkTvK2ThDRj-MZxYkv4&amp;e=</t>
  </si>
  <si>
    <t>SLV-2000-2</t>
  </si>
  <si>
    <t>SLV-2002</t>
  </si>
  <si>
    <t>821c775c-1e42-11e4-b4cd-db5882bf8def</t>
  </si>
  <si>
    <t>Anton Rop</t>
  </si>
  <si>
    <t>https://urldefense.proofpoint.com/v2/url?u=http-3A__dbpedia.org_resource_Anton-5FRop&amp;d=BQID-g&amp;c=kbmfwr1Yojg42sGEpaQh5ofMHBeTl9EI2eaqQZhHbOU&amp;r=ZliGVSRwfirWoETOrKCh2RSnoygzVPWEk95Me9L-Kwo&amp;m=EaKyFx9mpkhPdFxsxzvW_fiM3jbYwM3xYLjVbSFoDAg&amp;s=yNcPA-J352au89m0aane92Y7qgO2xSb1MXpGmKF865U&amp;e=</t>
  </si>
  <si>
    <t>SLV-2004</t>
  </si>
  <si>
    <t>821ca82c-1e42-11e4-b4cd-db5882bf8def</t>
  </si>
  <si>
    <t>Janez Jansa</t>
  </si>
  <si>
    <t>https://urldefense.proofpoint.com/v2/url?u=http-3A__dbpedia.org_resource_Janez-5FJan-25C5-25A1a&amp;d=BQID-g&amp;c=kbmfwr1Yojg42sGEpaQh5ofMHBeTl9EI2eaqQZhHbOU&amp;r=ZliGVSRwfirWoETOrKCh2RSnoygzVPWEk95Me9L-Kwo&amp;m=EaKyFx9mpkhPdFxsxzvW_fiM3jbYwM3xYLjVbSFoDAg&amp;s=zAP4SsplFtoWfBK4KFD0mzEVpfFFhwi9LhICsziK7Z4&amp;e=</t>
  </si>
  <si>
    <t>SLV-2008</t>
  </si>
  <si>
    <t>825272d6-1e42-11e4-b4cd-db5882bf8def</t>
  </si>
  <si>
    <t>Borut Pahor</t>
  </si>
  <si>
    <t>SLV-2012</t>
  </si>
  <si>
    <t>SLV-2013</t>
  </si>
  <si>
    <t>149e8af9-aae0-11e4-b3bc-29f2fa19767e</t>
  </si>
  <si>
    <t>Bratusek</t>
  </si>
  <si>
    <t>SLV-2014</t>
  </si>
  <si>
    <t>149eb206-aae0-11e4-b3bc-29f2fa19767e</t>
  </si>
  <si>
    <t>Cerar</t>
  </si>
  <si>
    <t>GRC-1863</t>
  </si>
  <si>
    <t>821ca82d-1e42-11e4-b4cd-db5882bf8def</t>
  </si>
  <si>
    <t>GRC</t>
  </si>
  <si>
    <t>George I</t>
  </si>
  <si>
    <t>1863-03-30</t>
  </si>
  <si>
    <t>1845-12-24</t>
  </si>
  <si>
    <t>24dec1845</t>
  </si>
  <si>
    <t>https://urldefense.proofpoint.com/v2/url?u=http-3A__dbpedia.org_resource_George-5FI-5Fof-5FGreece&amp;d=BQID-g&amp;c=kbmfwr1Yojg42sGEpaQh5ofMHBeTl9EI2eaqQZhHbOU&amp;r=ZliGVSRwfirWoETOrKCh2RSnoygzVPWEk95Me9L-Kwo&amp;m=EaKyFx9mpkhPdFxsxzvW_fiM3jbYwM3xYLjVbSFoDAg&amp;s=5aiYou8URkuXX819BK0gqj7ENOSLmu03fxvlpVtkFBk&amp;e=</t>
  </si>
  <si>
    <t>19骞?18250</t>
  </si>
  <si>
    <t>GRC-1913</t>
  </si>
  <si>
    <t>821ca82e-1e42-11e4-b4cd-db5882bf8def</t>
  </si>
  <si>
    <t>Konstantinos I</t>
  </si>
  <si>
    <t>https://urldefense.proofpoint.com/v2/url?u=http-3A__dbpedia.org_resource_Constantine-5FI-5Fof-5FGreece&amp;d=BQID-g&amp;c=kbmfwr1Yojg42sGEpaQh5ofMHBeTl9EI2eaqQZhHbOU&amp;r=ZliGVSRwfirWoETOrKCh2RSnoygzVPWEk95Me9L-Kwo&amp;m=EaKyFx9mpkhPdFxsxzvW_fiM3jbYwM3xYLjVbSFoDAg&amp;s=dSHvY4CJ-xKVGodEKfOCjybonbR5yRfnUc-M-DLTLls&amp;e=</t>
  </si>
  <si>
    <t>19骞?1547</t>
  </si>
  <si>
    <t>GRC-1917</t>
  </si>
  <si>
    <t>821ca82f-1e42-11e4-b4cd-db5882bf8def</t>
  </si>
  <si>
    <t>Venizelos</t>
  </si>
  <si>
    <t>1864-08-23</t>
  </si>
  <si>
    <t>23aug1864</t>
  </si>
  <si>
    <t>https://urldefense.proofpoint.com/v2/url?u=http-3A__dbpedia.org_resource_Eleftherios-5FVenizelos&amp;d=BQID-g&amp;c=kbmfwr1Yojg42sGEpaQh5ofMHBeTl9EI2eaqQZhHbOU&amp;r=ZliGVSRwfirWoETOrKCh2RSnoygzVPWEk95Me9L-Kwo&amp;m=EaKyFx9mpkhPdFxsxzvW_fiM3jbYwM3xYLjVbSFoDAg&amp;s=dgAjjImJchEJd92pXqKbGVq1Mf_nJNDZrt2KEfhWKGU&amp;e=</t>
  </si>
  <si>
    <t>Father of S. Venizelos%821d9c5c-1e42-11e4-b4cd-db5882bf8def</t>
  </si>
  <si>
    <t>19骞?1240</t>
  </si>
  <si>
    <t>GRC-1920-1</t>
  </si>
  <si>
    <t>35bf76c8-3bbd-11e5-afeb-eb6f07f9fec7</t>
  </si>
  <si>
    <t>Dimitrios Rallis</t>
  </si>
  <si>
    <t>Grandfather of A. Papandreou%821e2ed9-1e42-11e4-b4cd-db5882bf8def</t>
  </si>
  <si>
    <t>GRC-1920-2</t>
  </si>
  <si>
    <t>19骞?655</t>
  </si>
  <si>
    <t>GRC-1922-1</t>
  </si>
  <si>
    <t>821cd90a-1e42-11e4-b4cd-db5882bf8def</t>
  </si>
  <si>
    <t>Plastiras</t>
  </si>
  <si>
    <t>https://urldefense.proofpoint.com/v2/url?u=http-3A__dbpedia.org_resource_Nikolaos-5FPlastiras&amp;d=BQID-g&amp;c=kbmfwr1Yojg42sGEpaQh5ofMHBeTl9EI2eaqQZhHbOU&amp;r=ZliGVSRwfirWoETOrKCh2RSnoygzVPWEk95Me9L-Kwo&amp;m=EaKyFx9mpkhPdFxsxzvW_fiM3jbYwM3xYLjVbSFoDAg&amp;s=1D690oMFCnkntSTqdxtX3FCDBNDI0j7Oao0WX2PIk0c&amp;e=</t>
  </si>
  <si>
    <t>19骞?61</t>
  </si>
  <si>
    <t>GRC-1922-2</t>
  </si>
  <si>
    <t>821cd90b-1e42-11e4-b4cd-db5882bf8def</t>
  </si>
  <si>
    <t>Gonatas</t>
  </si>
  <si>
    <t>19骞?423</t>
  </si>
  <si>
    <t>GRC-1924-1</t>
  </si>
  <si>
    <t>19骞?26</t>
  </si>
  <si>
    <t>GRC-1924-2</t>
  </si>
  <si>
    <t>821cd90c-1e42-11e4-b4cd-db5882bf8def</t>
  </si>
  <si>
    <t>Kaphantaris</t>
  </si>
  <si>
    <t>https://urldefense.proofpoint.com/v2/url?u=http-3A__dbpedia.org_resource_Georgios-5FKafantaris&amp;d=BQID-g&amp;c=kbmfwr1Yojg42sGEpaQh5ofMHBeTl9EI2eaqQZhHbOU&amp;r=ZliGVSRwfirWoETOrKCh2RSnoygzVPWEk95Me9L-Kwo&amp;m=EaKyFx9mpkhPdFxsxzvW_fiM3jbYwM3xYLjVbSFoDAg&amp;s=ZR7rCni9CbCOryiVYnhX5qJjiD9PZtzi5vvWoLccL_I&amp;e=</t>
  </si>
  <si>
    <t>19骞?22</t>
  </si>
  <si>
    <t>GRC-1924-3</t>
  </si>
  <si>
    <t>821cd90d-1e42-11e4-b4cd-db5882bf8def</t>
  </si>
  <si>
    <t>Papanastasiou</t>
  </si>
  <si>
    <t>https://urldefense.proofpoint.com/v2/url?u=http-3A__dbpedia.org_resource_Alexandros-5FPapanastasiou&amp;d=BQID-g&amp;c=kbmfwr1Yojg42sGEpaQh5ofMHBeTl9EI2eaqQZhHbOU&amp;r=ZliGVSRwfirWoETOrKCh2RSnoygzVPWEk95Me9L-Kwo&amp;m=EaKyFx9mpkhPdFxsxzvW_fiM3jbYwM3xYLjVbSFoDAg&amp;s=WGw32cM8KRUD3cBc2QtQ62wheyN4IteIwvP4Xb92-Nk&amp;e=</t>
  </si>
  <si>
    <t>19骞?134</t>
  </si>
  <si>
    <t>GRC-1924-4</t>
  </si>
  <si>
    <t>821cd90e-1e42-11e4-b4cd-db5882bf8def</t>
  </si>
  <si>
    <t>Sophoulis</t>
  </si>
  <si>
    <t>19骞?75</t>
  </si>
  <si>
    <t>GRC-1924-5</t>
  </si>
  <si>
    <t>821d09de-1e42-11e4-b4cd-db5882bf8def</t>
  </si>
  <si>
    <t>Michalakopoulos</t>
  </si>
  <si>
    <t>19骞?262</t>
  </si>
  <si>
    <t>GRC-1925</t>
  </si>
  <si>
    <t>821d09df-1e42-11e4-b4cd-db5882bf8def</t>
  </si>
  <si>
    <t>Pangalos</t>
  </si>
  <si>
    <t>1878-01-11</t>
  </si>
  <si>
    <t>11jan1878</t>
  </si>
  <si>
    <t>19骞?422</t>
  </si>
  <si>
    <t>GRC-1926-1</t>
  </si>
  <si>
    <t>821d09e0-1e42-11e4-b4cd-db5882bf8def</t>
  </si>
  <si>
    <t>Kondilis</t>
  </si>
  <si>
    <t>19骞?103</t>
  </si>
  <si>
    <t>GRC-1926-2</t>
  </si>
  <si>
    <t>821d09e1-1e42-11e4-b4cd-db5882bf8def</t>
  </si>
  <si>
    <t>Zaimis</t>
  </si>
  <si>
    <t>https://urldefense.proofpoint.com/v2/url?u=http-3A__dbpedia.org_resource_Alexandros-5FZaimis&amp;d=BQID-g&amp;c=kbmfwr1Yojg42sGEpaQh5ofMHBeTl9EI2eaqQZhHbOU&amp;r=ZliGVSRwfirWoETOrKCh2RSnoygzVPWEk95Me9L-Kwo&amp;m=EaKyFx9mpkhPdFxsxzvW_fiM3jbYwM3xYLjVbSFoDAg&amp;s=AU1uE7RmDsaGYTlzvnO6ywEUIWCdkwkJRvLYC1vtVh4&amp;e=</t>
  </si>
  <si>
    <t>19骞?578</t>
  </si>
  <si>
    <t>GRC-1928</t>
  </si>
  <si>
    <t>19骞?1422</t>
  </si>
  <si>
    <t>GRC-1932-1</t>
  </si>
  <si>
    <t>19骞?10</t>
  </si>
  <si>
    <t>GRC-1932-2</t>
  </si>
  <si>
    <t>19骞?151</t>
  </si>
  <si>
    <t>GRC-1932-3</t>
  </si>
  <si>
    <t>821d09e2-1e42-11e4-b4cd-db5882bf8def</t>
  </si>
  <si>
    <t>Tsaldaris</t>
  </si>
  <si>
    <t>Uncle of K. Tsaldaris%821d6b8a-1e42-11e4-b4cd-db5882bf8def</t>
  </si>
  <si>
    <t>19骞?68</t>
  </si>
  <si>
    <t>GRC-1933-1</t>
  </si>
  <si>
    <t>19骞?49</t>
  </si>
  <si>
    <t>GRC-1933-2</t>
  </si>
  <si>
    <t>GRC-1933-3</t>
  </si>
  <si>
    <t>19骞?944</t>
  </si>
  <si>
    <t>GRC-1935-1</t>
  </si>
  <si>
    <t>GRC-1935-2</t>
  </si>
  <si>
    <t>821d3ab2-1e42-11e4-b4cd-db5882bf8def</t>
  </si>
  <si>
    <t>Demertzis</t>
  </si>
  <si>
    <t>GRC-1936</t>
  </si>
  <si>
    <t>821d3ab3-1e42-11e4-b4cd-db5882bf8def</t>
  </si>
  <si>
    <t>Metaxas</t>
  </si>
  <si>
    <t>1871-04-12</t>
  </si>
  <si>
    <t>12apr1871</t>
  </si>
  <si>
    <t>https://urldefense.proofpoint.com/v2/url?u=http-3A__dbpedia.org_resource_Ioannis-5FMetaxas&amp;d=BQID-g&amp;c=kbmfwr1Yojg42sGEpaQh5ofMHBeTl9EI2eaqQZhHbOU&amp;r=ZliGVSRwfirWoETOrKCh2RSnoygzVPWEk95Me9L-Kwo&amp;m=EaKyFx9mpkhPdFxsxzvW_fiM3jbYwM3xYLjVbSFoDAg&amp;s=2MfErPGFDV1FY0d64qkr-c2YURUM5tUgzr6S2fcPz_s&amp;e=</t>
  </si>
  <si>
    <t>19骞?1743</t>
  </si>
  <si>
    <t>GRC-1941-1</t>
  </si>
  <si>
    <t>821d3ab4-1e42-11e4-b4cd-db5882bf8def</t>
  </si>
  <si>
    <t>Korizis</t>
  </si>
  <si>
    <t>19骞?79</t>
  </si>
  <si>
    <t>GRC-1941-2</t>
  </si>
  <si>
    <t>821d3ab5-1e42-11e4-b4cd-db5882bf8def</t>
  </si>
  <si>
    <t>Tsouderos</t>
  </si>
  <si>
    <t>19骞?8</t>
  </si>
  <si>
    <t>GRC-1944</t>
  </si>
  <si>
    <t>821d3ab6-1e42-11e4-b4cd-db5882bf8def</t>
  </si>
  <si>
    <t>G. Papandreou</t>
  </si>
  <si>
    <t>1888-02-13</t>
  </si>
  <si>
    <t>13feb1888</t>
  </si>
  <si>
    <t>Father of A. Papandreou%821e2ed9-1e42-11e4-b4cd-db5882bf8def</t>
  </si>
  <si>
    <t>19骞?77</t>
  </si>
  <si>
    <t>GRC-1945-1</t>
  </si>
  <si>
    <t>19骞?96</t>
  </si>
  <si>
    <t>GRC-1945-2</t>
  </si>
  <si>
    <t>821d6b86-1e42-11e4-b4cd-db5882bf8def</t>
  </si>
  <si>
    <t>Voulgaris</t>
  </si>
  <si>
    <t>https://urldefense.proofpoint.com/v2/url?u=http-3A__dbpedia.org_resource_Petros-5FVoulgaris&amp;d=BQID-g&amp;c=kbmfwr1Yojg42sGEpaQh5ofMHBeTl9EI2eaqQZhHbOU&amp;r=ZliGVSRwfirWoETOrKCh2RSnoygzVPWEk95Me9L-Kwo&amp;m=EaKyFx9mpkhPdFxsxzvW_fiM3jbYwM3xYLjVbSFoDAg&amp;s=1lUYL_7BJabqjj6Ptj8C1tGTDa_zp72j5PyvG3lZVqY&amp;e=</t>
  </si>
  <si>
    <t>19骞?183</t>
  </si>
  <si>
    <t>GRC-1945-3</t>
  </si>
  <si>
    <t>821d6b87-1e42-11e4-b4cd-db5882bf8def</t>
  </si>
  <si>
    <t>Damaskinos</t>
  </si>
  <si>
    <t>1891-03-03</t>
  </si>
  <si>
    <t>03mar1891</t>
  </si>
  <si>
    <t>19骞?15</t>
  </si>
  <si>
    <t>GRC-1945-4</t>
  </si>
  <si>
    <t>821d6b88-1e42-11e4-b4cd-db5882bf8def</t>
  </si>
  <si>
    <t>Kanellopoulos</t>
  </si>
  <si>
    <t>19骞?21</t>
  </si>
  <si>
    <t>GRC-1945-5</t>
  </si>
  <si>
    <t>19骞?133</t>
  </si>
  <si>
    <t>GRC-1946-1</t>
  </si>
  <si>
    <t>821d6b89-1e42-11e4-b4cd-db5882bf8def</t>
  </si>
  <si>
    <t>Poulitsas</t>
  </si>
  <si>
    <t>19骞?14</t>
  </si>
  <si>
    <t>GRC-1946-2</t>
  </si>
  <si>
    <t>821d6b8a-1e42-11e4-b4cd-db5882bf8def</t>
  </si>
  <si>
    <t>K. Tsaldaris</t>
  </si>
  <si>
    <t>Nephew of Tsaldaris%821d09e2-1e42-11e4-b4cd-db5882bf8def</t>
  </si>
  <si>
    <t>GRC-1947-1</t>
  </si>
  <si>
    <t>821d6b8b-1e42-11e4-b4cd-db5882bf8def</t>
  </si>
  <si>
    <t>Maximos</t>
  </si>
  <si>
    <t>19骞?212</t>
  </si>
  <si>
    <t>GRC-1947-2</t>
  </si>
  <si>
    <t>19骞?7</t>
  </si>
  <si>
    <t>GRC-1947-3</t>
  </si>
  <si>
    <t>GRC-1949</t>
  </si>
  <si>
    <t>821d9c5a-1e42-11e4-b4cd-db5882bf8def</t>
  </si>
  <si>
    <t>Diomidis</t>
  </si>
  <si>
    <t>https://urldefense.proofpoint.com/v2/url?u=http-3A__dbpedia.org_resource_Alexandros-5FDiomidis&amp;d=BQID-g&amp;c=kbmfwr1Yojg42sGEpaQh5ofMHBeTl9EI2eaqQZhHbOU&amp;r=ZliGVSRwfirWoETOrKCh2RSnoygzVPWEk95Me9L-Kwo&amp;m=EaKyFx9mpkhPdFxsxzvW_fiM3jbYwM3xYLjVbSFoDAg&amp;s=S598oGmRNAYr6TQ-_qRJw2gR-oWeX7goNgrkSIMCrR8&amp;e=</t>
  </si>
  <si>
    <t>19骞?190</t>
  </si>
  <si>
    <t>GRC-1950-1</t>
  </si>
  <si>
    <t>821d9c5b-1e42-11e4-b4cd-db5882bf8def</t>
  </si>
  <si>
    <t>Theotokis</t>
  </si>
  <si>
    <t>19骞?58</t>
  </si>
  <si>
    <t>GRC-1950-2</t>
  </si>
  <si>
    <t>821d9c5c-1e42-11e4-b4cd-db5882bf8def</t>
  </si>
  <si>
    <t>S. Venizelos</t>
  </si>
  <si>
    <t>Son of Venizelos%821ca82f-1e42-11e4-b4cd-db5882bf8def</t>
  </si>
  <si>
    <t>GRC-1950-3</t>
  </si>
  <si>
    <t>GRC-1950-4</t>
  </si>
  <si>
    <t>19骞?437</t>
  </si>
  <si>
    <t>GRC-1951</t>
  </si>
  <si>
    <t>19骞?345</t>
  </si>
  <si>
    <t>GRC-1952-1</t>
  </si>
  <si>
    <t>821d9c5d-1e42-11e4-b4cd-db5882bf8def</t>
  </si>
  <si>
    <t>Kiousopoulos</t>
  </si>
  <si>
    <t>https://urldefense.proofpoint.com/v2/url?u=http-3A__dbpedia.org_resource_Dimitrios-5FKiousopoulos&amp;d=BQID-g&amp;c=kbmfwr1Yojg42sGEpaQh5ofMHBeTl9EI2eaqQZhHbOU&amp;r=ZliGVSRwfirWoETOrKCh2RSnoygzVPWEk95Me9L-Kwo&amp;m=EaKyFx9mpkhPdFxsxzvW_fiM3jbYwM3xYLjVbSFoDAg&amp;s=SgVxE21VRwYc-CWNPSrbGVU6W6QxN7VLRZbv77uRvOk&amp;e=</t>
  </si>
  <si>
    <t>19骞?39</t>
  </si>
  <si>
    <t>GRC-1952-2</t>
  </si>
  <si>
    <t>821d9c5e-1e42-11e4-b4cd-db5882bf8def</t>
  </si>
  <si>
    <t>Papagos</t>
  </si>
  <si>
    <t>https://urldefense.proofpoint.com/v2/url?u=http-3A__dbpedia.org_resource_Alexander-5FPapagos&amp;d=BQID-g&amp;c=kbmfwr1Yojg42sGEpaQh5ofMHBeTl9EI2eaqQZhHbOU&amp;r=ZliGVSRwfirWoETOrKCh2RSnoygzVPWEk95Me9L-Kwo&amp;m=EaKyFx9mpkhPdFxsxzvW_fiM3jbYwM3xYLjVbSFoDAg&amp;s=B0zxMbRnYQVimFkrZYVuPesSm0GXvX5sH4CuLZkH8GI&amp;e=</t>
  </si>
  <si>
    <t>19骞?1049</t>
  </si>
  <si>
    <t>GRC-1955-1</t>
  </si>
  <si>
    <t>821dcd2e-1e42-11e4-b4cd-db5882bf8def</t>
  </si>
  <si>
    <t>Stephanopoulos</t>
  </si>
  <si>
    <t>19骞?2</t>
  </si>
  <si>
    <t>GRC-1955-2</t>
  </si>
  <si>
    <t>821dcd2f-1e42-11e4-b4cd-db5882bf8def</t>
  </si>
  <si>
    <t>Karamanlis</t>
  </si>
  <si>
    <t>Uncle of Konstantinos Karamanlis%821e907e-1e42-11e4-b4cd-db5882bf8def</t>
  </si>
  <si>
    <t>19骞?881</t>
  </si>
  <si>
    <t>GRC-1958-1</t>
  </si>
  <si>
    <t>821dcd30-1e42-11e4-b4cd-db5882bf8def</t>
  </si>
  <si>
    <t>Georgakopoulos</t>
  </si>
  <si>
    <t>GRC-1958-2</t>
  </si>
  <si>
    <t>19骞?1222</t>
  </si>
  <si>
    <t>GRC-1961-1</t>
  </si>
  <si>
    <t>821dcd31-1e42-11e4-b4cd-db5882bf8def</t>
  </si>
  <si>
    <t>Dovas</t>
  </si>
  <si>
    <t>19骞?45</t>
  </si>
  <si>
    <t>GRC-1961-2</t>
  </si>
  <si>
    <t>19骞?584</t>
  </si>
  <si>
    <t>GRC-1963-1</t>
  </si>
  <si>
    <t>821dcd32-1e42-11e4-b4cd-db5882bf8def</t>
  </si>
  <si>
    <t>Pipinelis</t>
  </si>
  <si>
    <t>19骞?104</t>
  </si>
  <si>
    <t>GRC-1963-2</t>
  </si>
  <si>
    <t>821dfe02-1e42-11e4-b4cd-db5882bf8def</t>
  </si>
  <si>
    <t>Mavromichalis</t>
  </si>
  <si>
    <t>https://urldefense.proofpoint.com/v2/url?u=http-3A__dbpedia.org_resource_Stylianos-5FMavromichalis&amp;d=BQID-g&amp;c=kbmfwr1Yojg42sGEpaQh5ofMHBeTl9EI2eaqQZhHbOU&amp;r=ZliGVSRwfirWoETOrKCh2RSnoygzVPWEk95Me9L-Kwo&amp;m=EaKyFx9mpkhPdFxsxzvW_fiM3jbYwM3xYLjVbSFoDAg&amp;s=tmfHaznIxSN94eeG54Ge9XHoM-GVg6s_WtnilAF-1VM&amp;e=</t>
  </si>
  <si>
    <t>19骞?40</t>
  </si>
  <si>
    <t>GRC-1963-3</t>
  </si>
  <si>
    <t>19骞?46</t>
  </si>
  <si>
    <t>GRC-1963-4</t>
  </si>
  <si>
    <t>821dfe03-1e42-11e4-b4cd-db5882bf8def</t>
  </si>
  <si>
    <t>Paraskevopoulos</t>
  </si>
  <si>
    <t>GRC-1964</t>
  </si>
  <si>
    <t>19骞?513</t>
  </si>
  <si>
    <t>GRC-1965-1</t>
  </si>
  <si>
    <t>821dfe04-1e42-11e4-b4cd-db5882bf8def</t>
  </si>
  <si>
    <t>Athaniadis-Novas</t>
  </si>
  <si>
    <t>https://urldefense.proofpoint.com/v2/url?u=http-3A__dbpedia.org_resource_Georgios-5FAthanasiadis-2DNovas&amp;d=BQID-g&amp;c=kbmfwr1Yojg42sGEpaQh5ofMHBeTl9EI2eaqQZhHbOU&amp;r=ZliGVSRwfirWoETOrKCh2RSnoygzVPWEk95Me9L-Kwo&amp;m=EaKyFx9mpkhPdFxsxzvW_fiM3jbYwM3xYLjVbSFoDAg&amp;s=1LYfuUvoUFaYOALsebeq7ovUmtPM2sMd3RgTUQ97-wQ&amp;e=</t>
  </si>
  <si>
    <t>GRC-1965-2</t>
  </si>
  <si>
    <t>821dfe05-1e42-11e4-b4cd-db5882bf8def</t>
  </si>
  <si>
    <t>Tsirimokos</t>
  </si>
  <si>
    <t>GRC-1965-3</t>
  </si>
  <si>
    <t>19骞?461</t>
  </si>
  <si>
    <t>GRC-1966</t>
  </si>
  <si>
    <t>GRC-1967-1</t>
  </si>
  <si>
    <t>19骞?18</t>
  </si>
  <si>
    <t>GRC-1967-2</t>
  </si>
  <si>
    <t>821dfe06-1e42-11e4-b4cd-db5882bf8def</t>
  </si>
  <si>
    <t>Kollias</t>
  </si>
  <si>
    <t>19骞?236</t>
  </si>
  <si>
    <t>GRC-1967-3</t>
  </si>
  <si>
    <t>821e2ed6-1e42-11e4-b4cd-db5882bf8def</t>
  </si>
  <si>
    <t>Papadopoulos</t>
  </si>
  <si>
    <t>https://urldefense.proofpoint.com/v2/url?u=http-3A__dbpedia.org_resource_Georgios-5FPapadopoulos&amp;d=BQID-g&amp;c=kbmfwr1Yojg42sGEpaQh5ofMHBeTl9EI2eaqQZhHbOU&amp;r=ZliGVSRwfirWoETOrKCh2RSnoygzVPWEk95Me9L-Kwo&amp;m=EaKyFx9mpkhPdFxsxzvW_fiM3jbYwM3xYLjVbSFoDAg&amp;s=PkP4Z0Xw_klL1TYWcEQWTMUBDvENKykG0Hf8ExdYN0A&amp;e=</t>
  </si>
  <si>
    <t>19骞?2174</t>
  </si>
  <si>
    <t>GRC-1973</t>
  </si>
  <si>
    <t>821e2ed7-1e42-11e4-b4cd-db5882bf8def</t>
  </si>
  <si>
    <t>Ionannides</t>
  </si>
  <si>
    <t>19骞?241</t>
  </si>
  <si>
    <t>GRC-1974</t>
  </si>
  <si>
    <t>19骞?2116</t>
  </si>
  <si>
    <t>GRC-1980</t>
  </si>
  <si>
    <t>43f80ffe-de6a-11e5-ba44-bb6d7c1a9a58</t>
  </si>
  <si>
    <t>Georgios Rallis</t>
  </si>
  <si>
    <t>https://urldefense.proofpoint.com/v2/url?u=http-3A__dbpedia.org_resource_George-5FRallis&amp;d=BQID-g&amp;c=kbmfwr1Yojg42sGEpaQh5ofMHBeTl9EI2eaqQZhHbOU&amp;r=ZliGVSRwfirWoETOrKCh2RSnoygzVPWEk95Me9L-Kwo&amp;m=EaKyFx9mpkhPdFxsxzvW_fiM3jbYwM3xYLjVbSFoDAg&amp;s=K2zJEmqcgHwPSk8VPh-xW3A9ojG_0ZNnc-YiW1O2yKk&amp;e=</t>
  </si>
  <si>
    <t>19骞?530</t>
  </si>
  <si>
    <t>GRC-1981</t>
  </si>
  <si>
    <t>821e2ed9-1e42-11e4-b4cd-db5882bf8def</t>
  </si>
  <si>
    <t>A. Papandreou</t>
  </si>
  <si>
    <t>https://urldefense.proofpoint.com/v2/url?u=http-3A__dbpedia.org_resource_Andreas-5FPapandreou&amp;d=BQID-g&amp;c=kbmfwr1Yojg42sGEpaQh5ofMHBeTl9EI2eaqQZhHbOU&amp;r=ZliGVSRwfirWoETOrKCh2RSnoygzVPWEk95Me9L-Kwo&amp;m=EaKyFx9mpkhPdFxsxzvW_fiM3jbYwM3xYLjVbSFoDAg&amp;s=vgaNXYWxfOqkDUaFWy_NTHoO1NwV-QVjfGs93hIZIuE&amp;e=</t>
  </si>
  <si>
    <t>Grandson of Dimitrios Rallis%35bf76c8-3bbd-11e5-afeb-eb6f07f9fec7;Son of A. Papandreou%821d3ab6-1e42-11e4-b4cd-db5882bf8def;Father of Georgios Papandreou%825272d7-1e42-11e4-b4cd-db5882bf8def</t>
  </si>
  <si>
    <t>19骞?2811</t>
  </si>
  <si>
    <t>GRC-1989-1</t>
  </si>
  <si>
    <t>821e2eda-1e42-11e4-b4cd-db5882bf8def</t>
  </si>
  <si>
    <t>Tzannetakis</t>
  </si>
  <si>
    <t>GRC-1989-2</t>
  </si>
  <si>
    <t>821e5faa-1e42-11e4-b4cd-db5882bf8def</t>
  </si>
  <si>
    <t>Grivas</t>
  </si>
  <si>
    <t>19骞?43</t>
  </si>
  <si>
    <t>GRC-1989-3</t>
  </si>
  <si>
    <t>821e5fab-1e42-11e4-b4cd-db5882bf8def</t>
  </si>
  <si>
    <t>Zolotas</t>
  </si>
  <si>
    <t>https://urldefense.proofpoint.com/v2/url?u=http-3A__dbpedia.org_resource_Xenophon-5FZolotas&amp;d=BQID-g&amp;c=kbmfwr1Yojg42sGEpaQh5ofMHBeTl9EI2eaqQZhHbOU&amp;r=ZliGVSRwfirWoETOrKCh2RSnoygzVPWEk95Me9L-Kwo&amp;m=EaKyFx9mpkhPdFxsxzvW_fiM3jbYwM3xYLjVbSFoDAg&amp;s=f8XhB1K9wE4EHcsfzRUuVHMR9YSk1M9-v8Wvcs0IB5Y&amp;e=</t>
  </si>
  <si>
    <t>GRC-1990</t>
  </si>
  <si>
    <t>821e5fac-1e42-11e4-b4cd-db5882bf8def</t>
  </si>
  <si>
    <t>Mitsotakis</t>
  </si>
  <si>
    <t>19骞?1281</t>
  </si>
  <si>
    <t>GRC-1993</t>
  </si>
  <si>
    <t>19骞?768</t>
  </si>
  <si>
    <t>GRC-1995</t>
  </si>
  <si>
    <t>821e5fad-1e42-11e4-b4cd-db5882bf8def</t>
  </si>
  <si>
    <t>Tsokhatzopulos</t>
  </si>
  <si>
    <t>19骞?63</t>
  </si>
  <si>
    <t>GRC-1996</t>
  </si>
  <si>
    <t>821e5fae-1e42-11e4-b4cd-db5882bf8def</t>
  </si>
  <si>
    <t>Simitis</t>
  </si>
  <si>
    <t>19骞?2970</t>
  </si>
  <si>
    <t>GRC-2004</t>
  </si>
  <si>
    <t>821e907e-1e42-11e4-b4cd-db5882bf8def</t>
  </si>
  <si>
    <t>Konstantinos Karamanlis</t>
  </si>
  <si>
    <t>Nephew of Karamanlis%821dcd2f-1e42-11e4-b4cd-db5882bf8def</t>
  </si>
  <si>
    <t>19骞?2036</t>
  </si>
  <si>
    <t>GRC-2009</t>
  </si>
  <si>
    <t>825272d7-1e42-11e4-b4cd-db5882bf8def</t>
  </si>
  <si>
    <t>Georgios Papandreou</t>
  </si>
  <si>
    <t>Son of A. Papandreou%821e2ed9-1e42-11e4-b4cd-db5882bf8def</t>
  </si>
  <si>
    <t>19骞?766</t>
  </si>
  <si>
    <t>GRC-2011</t>
  </si>
  <si>
    <t>825272d8-1e42-11e4-b4cd-db5882bf8def</t>
  </si>
  <si>
    <t>Loukas Papadimos</t>
  </si>
  <si>
    <t>19骞?187</t>
  </si>
  <si>
    <t>GRC-2012-1</t>
  </si>
  <si>
    <t>149eb207-aae0-11e4-b3bc-29f2fa19767e</t>
  </si>
  <si>
    <t>Panagiotis Pikrammenos</t>
  </si>
  <si>
    <t>19骞?35</t>
  </si>
  <si>
    <t>GRC-2012-2</t>
  </si>
  <si>
    <t>149eb208-aae0-11e4-b3bc-29f2fa19767e</t>
  </si>
  <si>
    <t>Antonis Konstantinou Samaras</t>
  </si>
  <si>
    <t>19骞?950</t>
  </si>
  <si>
    <t>GRC-2015</t>
  </si>
  <si>
    <t>43f80fff-de6a-11e5-ba44-bb6d7c1a9a58</t>
  </si>
  <si>
    <t>Alexis Tsipras</t>
  </si>
  <si>
    <t>19骞?339</t>
  </si>
  <si>
    <t>CYP-1960</t>
  </si>
  <si>
    <t>821e907f-1e42-11e4-b4cd-db5882bf8def</t>
  </si>
  <si>
    <t>CYP</t>
  </si>
  <si>
    <t>Makarios</t>
  </si>
  <si>
    <t>https://urldefense.proofpoint.com/v2/url?u=http-3A__dbpedia.org_resource_Makarios-5FIII&amp;d=BQID-g&amp;c=kbmfwr1Yojg42sGEpaQh5ofMHBeTl9EI2eaqQZhHbOU&amp;r=ZliGVSRwfirWoETOrKCh2RSnoygzVPWEk95Me9L-Kwo&amp;m=EaKyFx9mpkhPdFxsxzvW_fiM3jbYwM3xYLjVbSFoDAg&amp;s=iT_A_oJv67fX_mszjVxmv1qZwrEoQ1w2mtSLuiVy2fM&amp;e=</t>
  </si>
  <si>
    <t>CYP-1974-1</t>
  </si>
  <si>
    <t>821e9080-1e42-11e4-b4cd-db5882bf8def</t>
  </si>
  <si>
    <t>Sampson</t>
  </si>
  <si>
    <t>CYP-1974-2</t>
  </si>
  <si>
    <t>821e9081-1e42-11e4-b4cd-db5882bf8def</t>
  </si>
  <si>
    <t>Clerides</t>
  </si>
  <si>
    <t>CYP-1974-3</t>
  </si>
  <si>
    <t>CYP-1977</t>
  </si>
  <si>
    <t>821e9082-1e42-11e4-b4cd-db5882bf8def</t>
  </si>
  <si>
    <t>Kyprianou</t>
  </si>
  <si>
    <t>https://urldefense.proofpoint.com/v2/url?u=http-3A__dbpedia.org_resource_Spyros-5FKyprianou&amp;d=BQID-g&amp;c=kbmfwr1Yojg42sGEpaQh5ofMHBeTl9EI2eaqQZhHbOU&amp;r=ZliGVSRwfirWoETOrKCh2RSnoygzVPWEk95Me9L-Kwo&amp;m=EaKyFx9mpkhPdFxsxzvW_fiM3jbYwM3xYLjVbSFoDAg&amp;s=Q_9wWRFHwCz2GkCPHFcWXLErivH48HHWZdrObsG-Jt8&amp;e=</t>
  </si>
  <si>
    <t>CYP-1988</t>
  </si>
  <si>
    <t>821ec15c-1e42-11e4-b4cd-db5882bf8def</t>
  </si>
  <si>
    <t>Vassiliou</t>
  </si>
  <si>
    <t>CYP-1993</t>
  </si>
  <si>
    <t>CYP-2003</t>
  </si>
  <si>
    <t>821ec15d-1e42-11e4-b4cd-db5882bf8def</t>
  </si>
  <si>
    <t>Tassos Nikolaou Papadopoulos</t>
  </si>
  <si>
    <t>CYP-2008</t>
  </si>
  <si>
    <t>825272d9-1e42-11e4-b4cd-db5882bf8def</t>
  </si>
  <si>
    <t>Dimitris Christofias</t>
  </si>
  <si>
    <t>CYP-2013</t>
  </si>
  <si>
    <t>2b3a05b0-3481-11e4-8dba-bbcd9ed46413</t>
  </si>
  <si>
    <t>Anastasiades</t>
  </si>
  <si>
    <t>BUL-1887</t>
  </si>
  <si>
    <t>821ec15e-1e42-11e4-b4cd-db5882bf8def</t>
  </si>
  <si>
    <t>BUL</t>
  </si>
  <si>
    <t>Ferdinand I</t>
  </si>
  <si>
    <t>1887-08-07</t>
  </si>
  <si>
    <t>1861-02-26</t>
  </si>
  <si>
    <t>26feb1861</t>
  </si>
  <si>
    <t>https://urldefense.proofpoint.com/v2/url?u=http-3A__dbpedia.org_resource_Ferdinand-5FI-5Fof-5FBulgaria&amp;d=BQID-g&amp;c=kbmfwr1Yojg42sGEpaQh5ofMHBeTl9EI2eaqQZhHbOU&amp;r=ZliGVSRwfirWoETOrKCh2RSnoygzVPWEk95Me9L-Kwo&amp;m=EaKyFx9mpkhPdFxsxzvW_fiM3jbYwM3xYLjVbSFoDAg&amp;s=94GPD_BNCblxN5dUm1m2IB5T5yI0zdlZGKkJRHGKZD0&amp;e=</t>
  </si>
  <si>
    <t>BUL-1918</t>
  </si>
  <si>
    <t>821ec15f-1e42-11e4-b4cd-db5882bf8def</t>
  </si>
  <si>
    <t>Boris III</t>
  </si>
  <si>
    <t>1894-01-30</t>
  </si>
  <si>
    <t>30jan1894</t>
  </si>
  <si>
    <t>https://urldefense.proofpoint.com/v2/url?u=http-3A__dbpedia.org_resource_Boris-5FIII-5Fof-5FBulgaria&amp;d=BQID-g&amp;c=kbmfwr1Yojg42sGEpaQh5ofMHBeTl9EI2eaqQZhHbOU&amp;r=ZliGVSRwfirWoETOrKCh2RSnoygzVPWEk95Me9L-Kwo&amp;m=EaKyFx9mpkhPdFxsxzvW_fiM3jbYwM3xYLjVbSFoDAg&amp;s=VgFIunTgr93oByxvyELLzDGhWRBca-sVf72-iHGW3bY&amp;e=</t>
  </si>
  <si>
    <t>BUL-1943</t>
  </si>
  <si>
    <t>821ec160-1e42-11e4-b4cd-db5882bf8def</t>
  </si>
  <si>
    <t>Cyril</t>
  </si>
  <si>
    <t>BUL-1944</t>
  </si>
  <si>
    <t>821ef230-1e42-11e4-b4cd-db5882bf8def</t>
  </si>
  <si>
    <t>Georgiev</t>
  </si>
  <si>
    <t>BUL-1946</t>
  </si>
  <si>
    <t>35c9d708-3bbd-11e5-afeb-eb6f07f9fec7</t>
  </si>
  <si>
    <t>Georgi Dimitrov</t>
  </si>
  <si>
    <t>1882-06-30</t>
  </si>
  <si>
    <t>30jun1882</t>
  </si>
  <si>
    <t>Brother-in-law of Kolarov%821ef232-1e42-11e4-b4cd-db5882bf8def</t>
  </si>
  <si>
    <t>BUL-1949</t>
  </si>
  <si>
    <t>821ef232-1e42-11e4-b4cd-db5882bf8def</t>
  </si>
  <si>
    <t>Kolarov</t>
  </si>
  <si>
    <t>1877-07-28</t>
  </si>
  <si>
    <t>28jul1877</t>
  </si>
  <si>
    <t>Brother-in-law of Georgi Dimitrov%35c9d708-3bbd-11e5-afeb-eb6f07f9fec7</t>
  </si>
  <si>
    <t>BUL-1950</t>
  </si>
  <si>
    <t>821ef233-1e42-11e4-b4cd-db5882bf8def</t>
  </si>
  <si>
    <t>Chervenkov</t>
  </si>
  <si>
    <t>BUL-1956</t>
  </si>
  <si>
    <t>821ef234-1e42-11e4-b4cd-db5882bf8def</t>
  </si>
  <si>
    <t>Zhivkov</t>
  </si>
  <si>
    <t>https://urldefense.proofpoint.com/v2/url?u=http-3A__dbpedia.org_resource_Todor-5FZhivkov&amp;d=BQID-g&amp;c=kbmfwr1Yojg42sGEpaQh5ofMHBeTl9EI2eaqQZhHbOU&amp;r=ZliGVSRwfirWoETOrKCh2RSnoygzVPWEk95Me9L-Kwo&amp;m=EaKyFx9mpkhPdFxsxzvW_fiM3jbYwM3xYLjVbSFoDAg&amp;s=Gz1--tuilqHPEhVMZjERdYECXcKl3aCA_iEtVJZHkhA&amp;e=</t>
  </si>
  <si>
    <t>BUL-1989</t>
  </si>
  <si>
    <t>821f2304-1e42-11e4-b4cd-db5882bf8def</t>
  </si>
  <si>
    <t>Mladenov</t>
  </si>
  <si>
    <t>https://urldefense.proofpoint.com/v2/url?u=http-3A__dbpedia.org_resource_Petar-5FMladenov&amp;d=BQID-g&amp;c=kbmfwr1Yojg42sGEpaQh5ofMHBeTl9EI2eaqQZhHbOU&amp;r=ZliGVSRwfirWoETOrKCh2RSnoygzVPWEk95Me9L-Kwo&amp;m=EaKyFx9mpkhPdFxsxzvW_fiM3jbYwM3xYLjVbSFoDAg&amp;s=_3XT_C8O8x07sXnIK7HLRFRILeKj12tmNpkVeuVhOwk&amp;e=</t>
  </si>
  <si>
    <t>BUL-1990-1</t>
  </si>
  <si>
    <t>821f2305-1e42-11e4-b4cd-db5882bf8def</t>
  </si>
  <si>
    <t>Lukanov</t>
  </si>
  <si>
    <t>BUL-1990-2</t>
  </si>
  <si>
    <t>821f2306-1e42-11e4-b4cd-db5882bf8def</t>
  </si>
  <si>
    <t>Popov</t>
  </si>
  <si>
    <t>BUL-1991</t>
  </si>
  <si>
    <t>43f81000-de6a-11e5-ba44-bb6d7c1a9a58</t>
  </si>
  <si>
    <t>Filip Dimitrov</t>
  </si>
  <si>
    <t>BUL-1992</t>
  </si>
  <si>
    <t>821f2308-1e42-11e4-b4cd-db5882bf8def</t>
  </si>
  <si>
    <t>Berov</t>
  </si>
  <si>
    <t>BUL-1994</t>
  </si>
  <si>
    <t>821f53d8-1e42-11e4-b4cd-db5882bf8def</t>
  </si>
  <si>
    <t>Indzhova</t>
  </si>
  <si>
    <t>https://urldefense.proofpoint.com/v2/url?u=http-3A__dbpedia.org_resource_Reneta-5FIndzhova&amp;d=BQID-g&amp;c=kbmfwr1Yojg42sGEpaQh5ofMHBeTl9EI2eaqQZhHbOU&amp;r=ZliGVSRwfirWoETOrKCh2RSnoygzVPWEk95Me9L-Kwo&amp;m=EaKyFx9mpkhPdFxsxzvW_fiM3jbYwM3xYLjVbSFoDAg&amp;s=ExaX6vB2-_2DCwTAb_dvaCJssa53clPyN_q0vsHxGkI&amp;e=</t>
  </si>
  <si>
    <t>BUL-1995</t>
  </si>
  <si>
    <t>821f53d9-1e42-11e4-b4cd-db5882bf8def</t>
  </si>
  <si>
    <t>Videnov</t>
  </si>
  <si>
    <t>BUL-1997-1</t>
  </si>
  <si>
    <t>821f53da-1e42-11e4-b4cd-db5882bf8def</t>
  </si>
  <si>
    <t>Sofiyanski</t>
  </si>
  <si>
    <t>BUL-1997-2</t>
  </si>
  <si>
    <t>821f53db-1e42-11e4-b4cd-db5882bf8def</t>
  </si>
  <si>
    <t>Kostov</t>
  </si>
  <si>
    <t>BUL-2001</t>
  </si>
  <si>
    <t>821f53dc-1e42-11e4-b4cd-db5882bf8def</t>
  </si>
  <si>
    <t>Saksgoburggotski</t>
  </si>
  <si>
    <t>BUL-2005</t>
  </si>
  <si>
    <t>825272da-1e42-11e4-b4cd-db5882bf8def</t>
  </si>
  <si>
    <t>Stanishev</t>
  </si>
  <si>
    <t>BUL-2009</t>
  </si>
  <si>
    <t>8252a3aa-1e42-11e4-b4cd-db5882bf8def</t>
  </si>
  <si>
    <t>Boyko Borisov</t>
  </si>
  <si>
    <t>BUL-2013-1</t>
  </si>
  <si>
    <t>149eb209-aae0-11e4-b3bc-29f2fa19767e</t>
  </si>
  <si>
    <t>Raykov</t>
  </si>
  <si>
    <t>BUL-2013-2</t>
  </si>
  <si>
    <t>2b3a05b1-3481-11e4-8dba-bbcd9ed46413</t>
  </si>
  <si>
    <t>Oresharski</t>
  </si>
  <si>
    <t>BUL-2014-1</t>
  </si>
  <si>
    <t>149ed916-aae0-11e4-b3bc-29f2fa19767e</t>
  </si>
  <si>
    <t>Bliznashki</t>
  </si>
  <si>
    <t>BUL-2014-2</t>
  </si>
  <si>
    <t>MLD-1990</t>
  </si>
  <si>
    <t>821f84ac-1e42-11e4-b4cd-db5882bf8def</t>
  </si>
  <si>
    <t>MLD</t>
  </si>
  <si>
    <t>Snegur</t>
  </si>
  <si>
    <t>MLD-1997</t>
  </si>
  <si>
    <t>821f84ad-1e42-11e4-b4cd-db5882bf8def</t>
  </si>
  <si>
    <t>Lucinschi</t>
  </si>
  <si>
    <t>https://urldefense.proofpoint.com/v2/url?u=http-3A__dbpedia.org_resource_Petru-5FLucinschi&amp;d=BQID-g&amp;c=kbmfwr1Yojg42sGEpaQh5ofMHBeTl9EI2eaqQZhHbOU&amp;r=ZliGVSRwfirWoETOrKCh2RSnoygzVPWEk95Me9L-Kwo&amp;m=EaKyFx9mpkhPdFxsxzvW_fiM3jbYwM3xYLjVbSFoDAg&amp;s=ZPZV_11U-Q80qx1e0LT5Q0CwX9uD8XCZlwKMby5Zq7c&amp;e=</t>
  </si>
  <si>
    <t>MLD-2001</t>
  </si>
  <si>
    <t>821f84ae-1e42-11e4-b4cd-db5882bf8def</t>
  </si>
  <si>
    <t>Tarlev</t>
  </si>
  <si>
    <t>MLD-2008</t>
  </si>
  <si>
    <t>8252a3ab-1e42-11e4-b4cd-db5882bf8def</t>
  </si>
  <si>
    <t>Greceanii</t>
  </si>
  <si>
    <t>MLD-2009-1</t>
  </si>
  <si>
    <t>8252a3ac-1e42-11e4-b4cd-db5882bf8def</t>
  </si>
  <si>
    <t>Pirlog</t>
  </si>
  <si>
    <t>MLD-2009-2</t>
  </si>
  <si>
    <t>8252a3ad-1e42-11e4-b4cd-db5882bf8def</t>
  </si>
  <si>
    <t>Vlad Filat</t>
  </si>
  <si>
    <t>MLD-2013</t>
  </si>
  <si>
    <t>2b3a05b2-3481-11e4-8dba-bbcd9ed46413</t>
  </si>
  <si>
    <t>Iurie Leanca</t>
  </si>
  <si>
    <t>MLD-2015-1</t>
  </si>
  <si>
    <t>43f81001-de6a-11e5-ba44-bb6d7c1a9a58</t>
  </si>
  <si>
    <t>Chiril Gaburici</t>
  </si>
  <si>
    <t>MLD-2015-2</t>
  </si>
  <si>
    <t>43f81002-de6a-11e5-ba44-bb6d7c1a9a58</t>
  </si>
  <si>
    <t>Natalia Gherman</t>
  </si>
  <si>
    <t>MLD-2015-3</t>
  </si>
  <si>
    <t>43f81003-de6a-11e5-ba44-bb6d7c1a9a58</t>
  </si>
  <si>
    <t>Valeriu Strelet</t>
  </si>
  <si>
    <t>RUM-1866</t>
  </si>
  <si>
    <t>821f84af-1e42-11e4-b4cd-db5882bf8def</t>
  </si>
  <si>
    <t>RUM</t>
  </si>
  <si>
    <t>Carol I</t>
  </si>
  <si>
    <t>1866-05-22</t>
  </si>
  <si>
    <t>https://urldefense.proofpoint.com/v2/url?u=http-3A__dbpedia.org_resource_Carol-5FI-5Fof-5FRomania&amp;d=BQID-g&amp;c=kbmfwr1Yojg42sGEpaQh5ofMHBeTl9EI2eaqQZhHbOU&amp;r=ZliGVSRwfirWoETOrKCh2RSnoygzVPWEk95Me9L-Kwo&amp;m=EaKyFx9mpkhPdFxsxzvW_fiM3jbYwM3xYLjVbSFoDAg&amp;s=gpogx1kaiP-WgYF_NCBkGN0PjT6KNyr5Fgo6iYYl7HA&amp;e=</t>
  </si>
  <si>
    <t>RUM-1914</t>
  </si>
  <si>
    <t>821f84b0-1e42-11e4-b4cd-db5882bf8def</t>
  </si>
  <si>
    <t>RUM-1927</t>
  </si>
  <si>
    <t>821f84b1-1e42-11e4-b4cd-db5882bf8def</t>
  </si>
  <si>
    <t>Nicholas</t>
  </si>
  <si>
    <t>RUM-1930</t>
  </si>
  <si>
    <t>821fb580-1e42-11e4-b4cd-db5882bf8def</t>
  </si>
  <si>
    <t>Carol II</t>
  </si>
  <si>
    <t>https://urldefense.proofpoint.com/v2/url?u=http-3A__dbpedia.org_resource_Carol-5FII-5Fof-5FRomania&amp;d=BQID-g&amp;c=kbmfwr1Yojg42sGEpaQh5ofMHBeTl9EI2eaqQZhHbOU&amp;r=ZliGVSRwfirWoETOrKCh2RSnoygzVPWEk95Me9L-Kwo&amp;m=EaKyFx9mpkhPdFxsxzvW_fiM3jbYwM3xYLjVbSFoDAg&amp;s=g1AU17LiGQpanKwKsUyoRIMtKess39xFAwEWy_BCEqc&amp;e=</t>
  </si>
  <si>
    <t>RUM-1940</t>
  </si>
  <si>
    <t>821fb581-1e42-11e4-b4cd-db5882bf8def</t>
  </si>
  <si>
    <t>Antonescu</t>
  </si>
  <si>
    <t>1882-06-15</t>
  </si>
  <si>
    <t>15jun1882</t>
  </si>
  <si>
    <t>https://urldefense.proofpoint.com/v2/url?u=http-3A__dbpedia.org_resource_Ion-5FAntonescu&amp;d=BQID-g&amp;c=kbmfwr1Yojg42sGEpaQh5ofMHBeTl9EI2eaqQZhHbOU&amp;r=ZliGVSRwfirWoETOrKCh2RSnoygzVPWEk95Me9L-Kwo&amp;m=EaKyFx9mpkhPdFxsxzvW_fiM3jbYwM3xYLjVbSFoDAg&amp;s=e2HzzURmtM-npaD-kMvlF7O47cBcHtUussZfjTRrj90&amp;e=</t>
  </si>
  <si>
    <t>RUM-1944</t>
  </si>
  <si>
    <t>821fb582-1e42-11e4-b4cd-db5882bf8def</t>
  </si>
  <si>
    <t>Michael</t>
  </si>
  <si>
    <t>RUM-1947</t>
  </si>
  <si>
    <t>821fb583-1e42-11e4-b4cd-db5882bf8def</t>
  </si>
  <si>
    <t>Georghiu-Dej</t>
  </si>
  <si>
    <t>https://urldefense.proofpoint.com/v2/url?u=http-3A__dbpedia.org_resource_Gheorghe-5FGheorghiu-2DDej&amp;d=BQID-g&amp;c=kbmfwr1Yojg42sGEpaQh5ofMHBeTl9EI2eaqQZhHbOU&amp;r=ZliGVSRwfirWoETOrKCh2RSnoygzVPWEk95Me9L-Kwo&amp;m=EaKyFx9mpkhPdFxsxzvW_fiM3jbYwM3xYLjVbSFoDAg&amp;s=oPZ2CCXmpZFi5F7v0p8O0v393eN-9UP726Xe_38Thc0&amp;e=</t>
  </si>
  <si>
    <t>RUM-1965</t>
  </si>
  <si>
    <t>821fb584-1e42-11e4-b4cd-db5882bf8def</t>
  </si>
  <si>
    <t>Ceausescu</t>
  </si>
  <si>
    <t>https://urldefense.proofpoint.com/v2/url?u=http-3A__dbpedia.org_resource_Nicolae-5FCeau-25C5-259Fescu&amp;d=BQID-g&amp;c=kbmfwr1Yojg42sGEpaQh5ofMHBeTl9EI2eaqQZhHbOU&amp;r=ZliGVSRwfirWoETOrKCh2RSnoygzVPWEk95Me9L-Kwo&amp;m=EaKyFx9mpkhPdFxsxzvW_fiM3jbYwM3xYLjVbSFoDAg&amp;s=pFtFoLBJIatyBm4fG7pxZ64XiiAqg7PUz8JIgmVunO8&amp;e=</t>
  </si>
  <si>
    <t>RUM-1989</t>
  </si>
  <si>
    <t>821fe654-1e42-11e4-b4cd-db5882bf8def</t>
  </si>
  <si>
    <t>Roman</t>
  </si>
  <si>
    <t>RUM-1991</t>
  </si>
  <si>
    <t>821fe655-1e42-11e4-b4cd-db5882bf8def</t>
  </si>
  <si>
    <t>Stolojan</t>
  </si>
  <si>
    <t>RUM-1992</t>
  </si>
  <si>
    <t>821fe656-1e42-11e4-b4cd-db5882bf8def</t>
  </si>
  <si>
    <t>Vacariou</t>
  </si>
  <si>
    <t>RUM-1996</t>
  </si>
  <si>
    <t>821fe657-1e42-11e4-b4cd-db5882bf8def</t>
  </si>
  <si>
    <t>Ciorbea</t>
  </si>
  <si>
    <t>RUM-1998-1</t>
  </si>
  <si>
    <t>821fe658-1e42-11e4-b4cd-db5882bf8def</t>
  </si>
  <si>
    <t>Dejeu</t>
  </si>
  <si>
    <t>RUM-1998-2</t>
  </si>
  <si>
    <t>82201728-1e42-11e4-b4cd-db5882bf8def</t>
  </si>
  <si>
    <t>Vasile</t>
  </si>
  <si>
    <t>RUM-1999-1</t>
  </si>
  <si>
    <t>82201729-1e42-11e4-b4cd-db5882bf8def</t>
  </si>
  <si>
    <t>Athanasiu</t>
  </si>
  <si>
    <t>RUM-1999-2</t>
  </si>
  <si>
    <t>8220172a-1e42-11e4-b4cd-db5882bf8def</t>
  </si>
  <si>
    <t>Isarescu</t>
  </si>
  <si>
    <t>RUM-2000</t>
  </si>
  <si>
    <t>8220172b-1e42-11e4-b4cd-db5882bf8def</t>
  </si>
  <si>
    <t>A. Nastase</t>
  </si>
  <si>
    <t>RUM-2004-1</t>
  </si>
  <si>
    <t>8220172c-1e42-11e4-b4cd-db5882bf8def</t>
  </si>
  <si>
    <t>Eugen Bejinariu</t>
  </si>
  <si>
    <t>RUM-2004-2</t>
  </si>
  <si>
    <t>8220172d-1e42-11e4-b4cd-db5882bf8def</t>
  </si>
  <si>
    <t>Traian Basescu</t>
  </si>
  <si>
    <t>https://urldefense.proofpoint.com/v2/url?u=http-3A__dbpedia.org_resource_Traian-5FB-25C4-2583sescu&amp;d=BQID-g&amp;c=kbmfwr1Yojg42sGEpaQh5ofMHBeTl9EI2eaqQZhHbOU&amp;r=ZliGVSRwfirWoETOrKCh2RSnoygzVPWEk95Me9L-Kwo&amp;m=EaKyFx9mpkhPdFxsxzvW_fiM3jbYwM3xYLjVbSFoDAg&amp;s=dYEigUIzHTa5X_u7WvYZbXXG0cH6-K8Ku5_F6H0s2mw&amp;e=</t>
  </si>
  <si>
    <t>RUM-2007-1</t>
  </si>
  <si>
    <t>RUM-2007-2</t>
  </si>
  <si>
    <t>RUM-2012-1</t>
  </si>
  <si>
    <t>b8187037-4fbb-11e5-b438-d954e400443c</t>
  </si>
  <si>
    <t>Crin Antonescu</t>
  </si>
  <si>
    <t>RUM-2012-2</t>
  </si>
  <si>
    <t>RUS-1855</t>
  </si>
  <si>
    <t>822047fc-1e42-11e4-b4cd-db5882bf8def</t>
  </si>
  <si>
    <t>RUS</t>
  </si>
  <si>
    <t>Alexander II</t>
  </si>
  <si>
    <t>1855-03-02</t>
  </si>
  <si>
    <t>1881-03-13</t>
  </si>
  <si>
    <t>13mar1881</t>
  </si>
  <si>
    <t>1818-04-20</t>
  </si>
  <si>
    <t>20apr1818</t>
  </si>
  <si>
    <t>https://urldefense.proofpoint.com/v2/url?u=http-3A__dbpedia.org_resource_Alexander-5FII-5Fof-5FRussia&amp;d=BQID-g&amp;c=kbmfwr1Yojg42sGEpaQh5ofMHBeTl9EI2eaqQZhHbOU&amp;r=ZliGVSRwfirWoETOrKCh2RSnoygzVPWEk95Me9L-Kwo&amp;m=EaKyFx9mpkhPdFxsxzvW_fiM3jbYwM3xYLjVbSFoDAg&amp;s=zOiAIl-rbnH0Jm87Kx4RU7hl9YuCmhPEvvWQgnirOHw&amp;e=</t>
  </si>
  <si>
    <t>91骞?9508</t>
  </si>
  <si>
    <t>RUS-1881</t>
  </si>
  <si>
    <t>822047fd-1e42-11e4-b4cd-db5882bf8def</t>
  </si>
  <si>
    <t>Alexander III</t>
  </si>
  <si>
    <t>1894-11-01</t>
  </si>
  <si>
    <t>01nov1894</t>
  </si>
  <si>
    <t>https://urldefense.proofpoint.com/v2/url?u=http-3A__dbpedia.org_resource_Alexander-5FIII-5Fof-5FRussia&amp;d=BQID-g&amp;c=kbmfwr1Yojg42sGEpaQh5ofMHBeTl9EI2eaqQZhHbOU&amp;r=ZliGVSRwfirWoETOrKCh2RSnoygzVPWEk95Me9L-Kwo&amp;m=EaKyFx9mpkhPdFxsxzvW_fiM3jbYwM3xYLjVbSFoDAg&amp;s=tkHj9YWosc67NWZrTVo943zuIaDZmaXhlm_oELLeGW8&amp;e=</t>
  </si>
  <si>
    <t>91骞?4981</t>
  </si>
  <si>
    <t>RUS-1894</t>
  </si>
  <si>
    <t>822047fe-1e42-11e4-b4cd-db5882bf8def</t>
  </si>
  <si>
    <t>Nicholas II</t>
  </si>
  <si>
    <t>1868-05-18</t>
  </si>
  <si>
    <t>18may1868</t>
  </si>
  <si>
    <t>91骞?8405</t>
  </si>
  <si>
    <t>RUS-1917</t>
  </si>
  <si>
    <t>822047ff-1e42-11e4-b4cd-db5882bf8def</t>
  </si>
  <si>
    <t>Lenin</t>
  </si>
  <si>
    <t>1870-04-22</t>
  </si>
  <si>
    <t>22apr1870</t>
  </si>
  <si>
    <t>91骞?1949</t>
  </si>
  <si>
    <t>RUS-1923</t>
  </si>
  <si>
    <t>82204800-1e42-11e4-b4cd-db5882bf8def</t>
  </si>
  <si>
    <t>Stalin</t>
  </si>
  <si>
    <t>https://urldefense.proofpoint.com/v2/url?u=http-3A__dbpedia.org_resource_Joseph-5FStalin&amp;d=BQID-g&amp;c=kbmfwr1Yojg42sGEpaQh5ofMHBeTl9EI2eaqQZhHbOU&amp;r=ZliGVSRwfirWoETOrKCh2RSnoygzVPWEk95Me9L-Kwo&amp;m=EaKyFx9mpkhPdFxsxzvW_fiM3jbYwM3xYLjVbSFoDAg&amp;s=fBEabfKrhXuVYm42mpW_ICH4H6J8COHlWkOVBmYvbOA&amp;e=</t>
  </si>
  <si>
    <t>91骞?10953</t>
  </si>
  <si>
    <t>RUS-1953-1</t>
  </si>
  <si>
    <t>822078d0-1e42-11e4-b4cd-db5882bf8def</t>
  </si>
  <si>
    <t>Malenkov</t>
  </si>
  <si>
    <t>91骞?14</t>
  </si>
  <si>
    <t>RUS-1953-2</t>
  </si>
  <si>
    <t>822078d1-1e42-11e4-b4cd-db5882bf8def</t>
  </si>
  <si>
    <t>Khrushchev</t>
  </si>
  <si>
    <t>1894-04-15</t>
  </si>
  <si>
    <t>15apr1894</t>
  </si>
  <si>
    <t>91骞?4227</t>
  </si>
  <si>
    <t>RUS-1964</t>
  </si>
  <si>
    <t>822078d2-1e42-11e4-b4cd-db5882bf8def</t>
  </si>
  <si>
    <t>Brezhnev</t>
  </si>
  <si>
    <t>91骞?6600</t>
  </si>
  <si>
    <t>RUS-1982</t>
  </si>
  <si>
    <t>822078d3-1e42-11e4-b4cd-db5882bf8def</t>
  </si>
  <si>
    <t>Andropov</t>
  </si>
  <si>
    <t>91骞?456</t>
  </si>
  <si>
    <t>RUS-1984</t>
  </si>
  <si>
    <t>822078d4-1e42-11e4-b4cd-db5882bf8def</t>
  </si>
  <si>
    <t>Chernenko</t>
  </si>
  <si>
    <t>https://urldefense.proofpoint.com/v2/url?u=http-3A__dbpedia.org_resource_Konstantin-5FChernenko&amp;d=BQID-g&amp;c=kbmfwr1Yojg42sGEpaQh5ofMHBeTl9EI2eaqQZhHbOU&amp;r=ZliGVSRwfirWoETOrKCh2RSnoygzVPWEk95Me9L-Kwo&amp;m=EaKyFx9mpkhPdFxsxzvW_fiM3jbYwM3xYLjVbSFoDAg&amp;s=zbnVSqEATmX6R9_0KPr1SC6_HZ6No4WxjQwveKvUreI&amp;e=</t>
  </si>
  <si>
    <t>91骞?391</t>
  </si>
  <si>
    <t>RUS-1985</t>
  </si>
  <si>
    <t>8220a9ae-1e42-11e4-b4cd-db5882bf8def</t>
  </si>
  <si>
    <t>Gorbachev</t>
  </si>
  <si>
    <t>https://urldefense.proofpoint.com/v2/url?u=http-3A__dbpedia.org_resource_Mikhail-5FGorbachev&amp;d=BQID-g&amp;c=kbmfwr1Yojg42sGEpaQh5ofMHBeTl9EI2eaqQZhHbOU&amp;r=ZliGVSRwfirWoETOrKCh2RSnoygzVPWEk95Me9L-Kwo&amp;m=EaKyFx9mpkhPdFxsxzvW_fiM3jbYwM3xYLjVbSFoDAg&amp;s=6d_uEZA4KSbaSElYkwN-UYYv2hxQ2lbsXUN6LNE9hfk&amp;e=</t>
  </si>
  <si>
    <t>91骞?2354</t>
  </si>
  <si>
    <t>RUS-1991</t>
  </si>
  <si>
    <t>8220a9af-1e42-11e4-b4cd-db5882bf8def</t>
  </si>
  <si>
    <t>Yeltsin</t>
  </si>
  <si>
    <t>https://urldefense.proofpoint.com/v2/url?u=http-3A__dbpedia.org_resource_Boris-5FYeltsin&amp;d=BQID-g&amp;c=kbmfwr1Yojg42sGEpaQh5ofMHBeTl9EI2eaqQZhHbOU&amp;r=ZliGVSRwfirWoETOrKCh2RSnoygzVPWEk95Me9L-Kwo&amp;m=EaKyFx9mpkhPdFxsxzvW_fiM3jbYwM3xYLjVbSFoDAg&amp;s=rqidh7zQ9jZi3rOgaZXIywgOfx27It7rUF6wIUsnZQY&amp;e=</t>
  </si>
  <si>
    <t>91骞?3054</t>
  </si>
  <si>
    <t>RUS-2000</t>
  </si>
  <si>
    <t>8220a9b0-1e42-11e4-b4cd-db5882bf8def</t>
  </si>
  <si>
    <t>Putin</t>
  </si>
  <si>
    <t>https://urldefense.proofpoint.com/v2/url?u=http-3A__dbpedia.org_resource_Vladimir-5FPutin&amp;d=BQID-g&amp;c=kbmfwr1Yojg42sGEpaQh5ofMHBeTl9EI2eaqQZhHbOU&amp;r=ZliGVSRwfirWoETOrKCh2RSnoygzVPWEk95Me9L-Kwo&amp;m=EaKyFx9mpkhPdFxsxzvW_fiM3jbYwM3xYLjVbSFoDAg&amp;s=Z0EMJr29ID2PbhIXPl_70SlgJEO9EWgHtmZYEJZhXi4&amp;e=</t>
  </si>
  <si>
    <t>91骞?5843</t>
  </si>
  <si>
    <t>EST-1918</t>
  </si>
  <si>
    <t>8220a9b1-1e42-11e4-b4cd-db5882bf8def</t>
  </si>
  <si>
    <t>EST</t>
  </si>
  <si>
    <t>Pats</t>
  </si>
  <si>
    <t>1874-02-23</t>
  </si>
  <si>
    <t>23feb1874</t>
  </si>
  <si>
    <t>https://urldefense.proofpoint.com/v2/url?u=http-3A__dbpedia.org_resource_Konstantin-5FP-25C3-25A4ts&amp;d=BQID-g&amp;c=kbmfwr1Yojg42sGEpaQh5ofMHBeTl9EI2eaqQZhHbOU&amp;r=ZliGVSRwfirWoETOrKCh2RSnoygzVPWEk95Me9L-Kwo&amp;m=EaKyFx9mpkhPdFxsxzvW_fiM3jbYwM3xYLjVbSFoDAg&amp;s=Z8VLeAJDzsMikIwy1WxkA_aC2bDoaBhGCaAVPjFOc14&amp;e=</t>
  </si>
  <si>
    <t>EST-1919-1</t>
  </si>
  <si>
    <t>8220a9b2-1e42-11e4-b4cd-db5882bf8def</t>
  </si>
  <si>
    <t>Strandman</t>
  </si>
  <si>
    <t>1875-11-30</t>
  </si>
  <si>
    <t>30nov1875</t>
  </si>
  <si>
    <t>https://urldefense.proofpoint.com/v2/url?u=http-3A__dbpedia.org_resource_Otto-5FStrandman&amp;d=BQID-g&amp;c=kbmfwr1Yojg42sGEpaQh5ofMHBeTl9EI2eaqQZhHbOU&amp;r=ZliGVSRwfirWoETOrKCh2RSnoygzVPWEk95Me9L-Kwo&amp;m=EaKyFx9mpkhPdFxsxzvW_fiM3jbYwM3xYLjVbSFoDAg&amp;s=KXLDTzprfl8O8qHcIeFSUPrg0z6M7wyyKA8VRPEJV2Y&amp;e=</t>
  </si>
  <si>
    <t>EST-1919-2</t>
  </si>
  <si>
    <t>8220da82-1e42-11e4-b4cd-db5882bf8def</t>
  </si>
  <si>
    <t>Tonisson</t>
  </si>
  <si>
    <t>1868-12-22</t>
  </si>
  <si>
    <t>22dec1868</t>
  </si>
  <si>
    <t>https://urldefense.proofpoint.com/v2/url?u=http-3A__dbpedia.org_resource_Jaan-5FT-25C3-25B5nisson&amp;d=BQID-g&amp;c=kbmfwr1Yojg42sGEpaQh5ofMHBeTl9EI2eaqQZhHbOU&amp;r=ZliGVSRwfirWoETOrKCh2RSnoygzVPWEk95Me9L-Kwo&amp;m=EaKyFx9mpkhPdFxsxzvW_fiM3jbYwM3xYLjVbSFoDAg&amp;s=Elpgi4fZU5FNDMiJGZzWOMu0z10_NbnjetlUYP_is7Q&amp;e=</t>
  </si>
  <si>
    <t>EST-1920</t>
  </si>
  <si>
    <t>8220da83-1e42-11e4-b4cd-db5882bf8def</t>
  </si>
  <si>
    <t>Piip</t>
  </si>
  <si>
    <t>https://urldefense.proofpoint.com/v2/url?u=http-3A__dbpedia.org_resource_Ants-5FPiip&amp;d=BQID-g&amp;c=kbmfwr1Yojg42sGEpaQh5ofMHBeTl9EI2eaqQZhHbOU&amp;r=ZliGVSRwfirWoETOrKCh2RSnoygzVPWEk95Me9L-Kwo&amp;m=EaKyFx9mpkhPdFxsxzvW_fiM3jbYwM3xYLjVbSFoDAg&amp;s=-6yK-WgM96iPGXYKx1Tq7kf8725dWdaSgjMd9OKUYm0&amp;e=</t>
  </si>
  <si>
    <t>EST-1921</t>
  </si>
  <si>
    <t>EST-1922</t>
  </si>
  <si>
    <t>8220da84-1e42-11e4-b4cd-db5882bf8def</t>
  </si>
  <si>
    <t>Kukk</t>
  </si>
  <si>
    <t>EST-1923</t>
  </si>
  <si>
    <t>EST-1924-1</t>
  </si>
  <si>
    <t>8220da85-1e42-11e4-b4cd-db5882bf8def</t>
  </si>
  <si>
    <t>Akel</t>
  </si>
  <si>
    <t>EST-1924-2</t>
  </si>
  <si>
    <t>8220da86-1e42-11e4-b4cd-db5882bf8def</t>
  </si>
  <si>
    <t>Jaakson</t>
  </si>
  <si>
    <t>EST-1925</t>
  </si>
  <si>
    <t>82210b56-1e42-11e4-b4cd-db5882bf8def</t>
  </si>
  <si>
    <t>Teemant</t>
  </si>
  <si>
    <t>1872-09-24</t>
  </si>
  <si>
    <t>24sep1872</t>
  </si>
  <si>
    <t>EST-1927</t>
  </si>
  <si>
    <t>EST-1928</t>
  </si>
  <si>
    <t>82210b58-1e42-11e4-b4cd-db5882bf8def</t>
  </si>
  <si>
    <t>Rei</t>
  </si>
  <si>
    <t>1886-03-22</t>
  </si>
  <si>
    <t>22mar1886</t>
  </si>
  <si>
    <t>EST-1929</t>
  </si>
  <si>
    <t>EST-1931</t>
  </si>
  <si>
    <t>EST-1932-1</t>
  </si>
  <si>
    <t>EST-1932-2</t>
  </si>
  <si>
    <t>82210b59-1e42-11e4-b4cd-db5882bf8def</t>
  </si>
  <si>
    <t>Einbund</t>
  </si>
  <si>
    <t>EST-1932-3</t>
  </si>
  <si>
    <t>EST-1933-1</t>
  </si>
  <si>
    <t>EST-1933-2</t>
  </si>
  <si>
    <t>EST-1940</t>
  </si>
  <si>
    <t>82210b5a-1e42-11e4-b4cd-db5882bf8def</t>
  </si>
  <si>
    <t>Vares</t>
  </si>
  <si>
    <t>1890-01-12</t>
  </si>
  <si>
    <t>12jan1890</t>
  </si>
  <si>
    <t>EST-1991</t>
  </si>
  <si>
    <t>82213c2a-1e42-11e4-b4cd-db5882bf8def</t>
  </si>
  <si>
    <t>Savisaar</t>
  </si>
  <si>
    <t>EST-1992-1</t>
  </si>
  <si>
    <t>82213c2b-1e42-11e4-b4cd-db5882bf8def</t>
  </si>
  <si>
    <t>Vahi</t>
  </si>
  <si>
    <t>EST-1992-2</t>
  </si>
  <si>
    <t>82213c2c-1e42-11e4-b4cd-db5882bf8def</t>
  </si>
  <si>
    <t>Laar</t>
  </si>
  <si>
    <t>https://urldefense.proofpoint.com/v2/url?u=http-3A__dbpedia.org_resource_Mart-5FLaar&amp;d=BQID-g&amp;c=kbmfwr1Yojg42sGEpaQh5ofMHBeTl9EI2eaqQZhHbOU&amp;r=ZliGVSRwfirWoETOrKCh2RSnoygzVPWEk95Me9L-Kwo&amp;m=EaKyFx9mpkhPdFxsxzvW_fiM3jbYwM3xYLjVbSFoDAg&amp;s=fG-zpJfuzuHAEYEIiRVGni8IHqpLbFcz5n-eZEr9b6Y&amp;e=</t>
  </si>
  <si>
    <t>EST-1994</t>
  </si>
  <si>
    <t>82213c2d-1e42-11e4-b4cd-db5882bf8def</t>
  </si>
  <si>
    <t>Tarand</t>
  </si>
  <si>
    <t>EST-1995</t>
  </si>
  <si>
    <t>EST-1997</t>
  </si>
  <si>
    <t>82216cfe-1e42-11e4-b4cd-db5882bf8def</t>
  </si>
  <si>
    <t>Siimann</t>
  </si>
  <si>
    <t>EST-1999</t>
  </si>
  <si>
    <t>EST-2002</t>
  </si>
  <si>
    <t>82216cff-1e42-11e4-b4cd-db5882bf8def</t>
  </si>
  <si>
    <t>Kallas</t>
  </si>
  <si>
    <t>EST-2003</t>
  </si>
  <si>
    <t>82216d00-1e42-11e4-b4cd-db5882bf8def</t>
  </si>
  <si>
    <t>Parts</t>
  </si>
  <si>
    <t>EST-2005</t>
  </si>
  <si>
    <t>8252d47f-1e42-11e4-b4cd-db5882bf8def</t>
  </si>
  <si>
    <t>Ansip</t>
  </si>
  <si>
    <t>EST-2014</t>
  </si>
  <si>
    <t>149ed919-aae0-11e4-b3bc-29f2fa19767e</t>
  </si>
  <si>
    <t>Roivas</t>
  </si>
  <si>
    <t>LAT-1918</t>
  </si>
  <si>
    <t>82216d01-1e42-11e4-b4cd-db5882bf8def</t>
  </si>
  <si>
    <t>LAT</t>
  </si>
  <si>
    <t>Ulmanis</t>
  </si>
  <si>
    <t>1877-09-04</t>
  </si>
  <si>
    <t>04sep1877</t>
  </si>
  <si>
    <t>https://urldefense.proofpoint.com/v2/url?u=http-3A__dbpedia.org_resource_K-25C4-2581rlis-5FUlmanis&amp;d=BQID-g&amp;c=kbmfwr1Yojg42sGEpaQh5ofMHBeTl9EI2eaqQZhHbOU&amp;r=ZliGVSRwfirWoETOrKCh2RSnoygzVPWEk95Me9L-Kwo&amp;m=EaKyFx9mpkhPdFxsxzvW_fiM3jbYwM3xYLjVbSFoDAg&amp;s=5GenJdkFkhAPKjA4QxcYjNqG8XfHRTOpm7_k93yliQA&amp;e=</t>
  </si>
  <si>
    <t>LAT-1919-1</t>
  </si>
  <si>
    <t>82216d02-1e42-11e4-b4cd-db5882bf8def</t>
  </si>
  <si>
    <t>Oskars Borkovskis</t>
  </si>
  <si>
    <t>LAT-1919-2</t>
  </si>
  <si>
    <t>82219dd2-1e42-11e4-b4cd-db5882bf8def</t>
  </si>
  <si>
    <t>Andrievs Niedra</t>
  </si>
  <si>
    <t>1871-02-08</t>
  </si>
  <si>
    <t>08feb1871</t>
  </si>
  <si>
    <t>LAT-1919-3</t>
  </si>
  <si>
    <t>LAT-1921</t>
  </si>
  <si>
    <t>82219dd3-1e42-11e4-b4cd-db5882bf8def</t>
  </si>
  <si>
    <t>Meierovics</t>
  </si>
  <si>
    <t>https://urldefense.proofpoint.com/v2/url?u=http-3A__dbpedia.org_resource_Zigfr-25C4-25ABds-5FAnna-5FMeierovics&amp;d=BQID-g&amp;c=kbmfwr1Yojg42sGEpaQh5ofMHBeTl9EI2eaqQZhHbOU&amp;r=ZliGVSRwfirWoETOrKCh2RSnoygzVPWEk95Me9L-Kwo&amp;m=EaKyFx9mpkhPdFxsxzvW_fiM3jbYwM3xYLjVbSFoDAg&amp;s=aP8U4gUw6xnlP4J7GSN-DwQ1AWRLEoQvphSsykLSsW0&amp;e=</t>
  </si>
  <si>
    <t>LAT-1923-1</t>
  </si>
  <si>
    <t>82219dd4-1e42-11e4-b4cd-db5882bf8def</t>
  </si>
  <si>
    <t>Pauluks</t>
  </si>
  <si>
    <t>LAT-1923-2</t>
  </si>
  <si>
    <t>LAT-1924-1</t>
  </si>
  <si>
    <t>82219dd5-1e42-11e4-b4cd-db5882bf8def</t>
  </si>
  <si>
    <t>Zamuelis</t>
  </si>
  <si>
    <t>1872-05-22</t>
  </si>
  <si>
    <t>22may1872</t>
  </si>
  <si>
    <t>LAT-1924-2</t>
  </si>
  <si>
    <t>82219dd6-1e42-11e4-b4cd-db5882bf8def</t>
  </si>
  <si>
    <t>Celmins</t>
  </si>
  <si>
    <t>LAT-1925</t>
  </si>
  <si>
    <t>LAT-1926-1</t>
  </si>
  <si>
    <t>8221cea6-1e42-11e4-b4cd-db5882bf8def</t>
  </si>
  <si>
    <t>Alberings</t>
  </si>
  <si>
    <t>LAT-1926-2</t>
  </si>
  <si>
    <t>8221cea7-1e42-11e4-b4cd-db5882bf8def</t>
  </si>
  <si>
    <t>Skujenieks</t>
  </si>
  <si>
    <t>1886-06-23</t>
  </si>
  <si>
    <t>23jun1886</t>
  </si>
  <si>
    <t>LAT-1928-1</t>
  </si>
  <si>
    <t>8221cea8-1e42-11e4-b4cd-db5882bf8def</t>
  </si>
  <si>
    <t>Juresevskis</t>
  </si>
  <si>
    <t>LAT-1928-2</t>
  </si>
  <si>
    <t>LAT-1931-1</t>
  </si>
  <si>
    <t>LAT-1931-2</t>
  </si>
  <si>
    <t>LAT-1933</t>
  </si>
  <si>
    <t>8221cea9-1e42-11e4-b4cd-db5882bf8def</t>
  </si>
  <si>
    <t>Blodnieks</t>
  </si>
  <si>
    <t>LAT-1934</t>
  </si>
  <si>
    <t>LAT-1990</t>
  </si>
  <si>
    <t>8221ceaa-1e42-11e4-b4cd-db5882bf8def</t>
  </si>
  <si>
    <t>Godmanis</t>
  </si>
  <si>
    <t>https://urldefense.proofpoint.com/v2/url?u=http-3A__dbpedia.org_resource_Ivars-5FGodmanis&amp;d=BQID-g&amp;c=kbmfwr1Yojg42sGEpaQh5ofMHBeTl9EI2eaqQZhHbOU&amp;r=ZliGVSRwfirWoETOrKCh2RSnoygzVPWEk95Me9L-Kwo&amp;m=EaKyFx9mpkhPdFxsxzvW_fiM3jbYwM3xYLjVbSFoDAg&amp;s=N629k1_l6ZQpeDEVvEplZ3N3ZlXGKiFqx0vu6Bpczv8&amp;e=</t>
  </si>
  <si>
    <t>LAT-1993</t>
  </si>
  <si>
    <t>8221ff7a-1e42-11e4-b4cd-db5882bf8def</t>
  </si>
  <si>
    <t>Birkavs</t>
  </si>
  <si>
    <t>LAT-1994</t>
  </si>
  <si>
    <t>8221ff7b-1e42-11e4-b4cd-db5882bf8def</t>
  </si>
  <si>
    <t>Gailis</t>
  </si>
  <si>
    <t>LAT-1995</t>
  </si>
  <si>
    <t>8221ff7c-1e42-11e4-b4cd-db5882bf8def</t>
  </si>
  <si>
    <t>Skele</t>
  </si>
  <si>
    <t>LAT-1997</t>
  </si>
  <si>
    <t>8221ff7d-1e42-11e4-b4cd-db5882bf8def</t>
  </si>
  <si>
    <t>Krasts</t>
  </si>
  <si>
    <t>LAT-1998</t>
  </si>
  <si>
    <t>8221ff7e-1e42-11e4-b4cd-db5882bf8def</t>
  </si>
  <si>
    <t>Kristopans</t>
  </si>
  <si>
    <t>LAT-1999</t>
  </si>
  <si>
    <t>LAT-2000</t>
  </si>
  <si>
    <t>8222304e-1e42-11e4-b4cd-db5882bf8def</t>
  </si>
  <si>
    <t>Berzins</t>
  </si>
  <si>
    <t>https://urldefense.proofpoint.com/v2/url?u=http-3A__dbpedia.org_resource_Andris-5FB-25C4-2593rzi-25C5-2586-25C5-25A1&amp;d=BQID-g&amp;c=kbmfwr1Yojg42sGEpaQh5ofMHBeTl9EI2eaqQZhHbOU&amp;r=ZliGVSRwfirWoETOrKCh2RSnoygzVPWEk95Me9L-Kwo&amp;m=EaKyFx9mpkhPdFxsxzvW_fiM3jbYwM3xYLjVbSFoDAg&amp;s=2EbiEi4EQpSiw72Ndxx056etrJoCVpH8OIVAHKL5xOc&amp;e=</t>
  </si>
  <si>
    <t>LAT-2002</t>
  </si>
  <si>
    <t>8222304f-1e42-11e4-b4cd-db5882bf8def</t>
  </si>
  <si>
    <t>Repse</t>
  </si>
  <si>
    <t>LAT-2004-1</t>
  </si>
  <si>
    <t>82223050-1e42-11e4-b4cd-db5882bf8def</t>
  </si>
  <si>
    <t>Indulis Emsis</t>
  </si>
  <si>
    <t>LAT-2004-2</t>
  </si>
  <si>
    <t>82223051-1e42-11e4-b4cd-db5882bf8def</t>
  </si>
  <si>
    <t>Aigars Kalvitis</t>
  </si>
  <si>
    <t>LAT-2007</t>
  </si>
  <si>
    <t>LAT-2009</t>
  </si>
  <si>
    <t>8252d480-1e42-11e4-b4cd-db5882bf8def</t>
  </si>
  <si>
    <t>Dombrovskis</t>
  </si>
  <si>
    <t>LAT-2014</t>
  </si>
  <si>
    <t>2b3a05b4-3481-11e4-8dba-bbcd9ed46413</t>
  </si>
  <si>
    <t>Lamdota Straujuma</t>
  </si>
  <si>
    <t>LIT-1917</t>
  </si>
  <si>
    <t>82223052-1e42-11e4-b4cd-db5882bf8def</t>
  </si>
  <si>
    <t>LIT</t>
  </si>
  <si>
    <t>Smetona</t>
  </si>
  <si>
    <t>1874-08-10</t>
  </si>
  <si>
    <t>10aug1874</t>
  </si>
  <si>
    <t>https://urldefense.proofpoint.com/v2/url?u=http-3A__dbpedia.org_resource_Antanas-5FSmetona&amp;d=BQID-g&amp;c=kbmfwr1Yojg42sGEpaQh5ofMHBeTl9EI2eaqQZhHbOU&amp;r=ZliGVSRwfirWoETOrKCh2RSnoygzVPWEk95Me9L-Kwo&amp;m=EaKyFx9mpkhPdFxsxzvW_fiM3jbYwM3xYLjVbSFoDAg&amp;s=L3V186A5bhBoE_M_ZdZ7gI10lIoL9luLoKfdN4UDhUA&amp;e=</t>
  </si>
  <si>
    <t>LIT-1918-1</t>
  </si>
  <si>
    <t>82223053-1e42-11e4-b4cd-db5882bf8def</t>
  </si>
  <si>
    <t>Mindaugas II</t>
  </si>
  <si>
    <t>1864-05-30</t>
  </si>
  <si>
    <t>30may1864</t>
  </si>
  <si>
    <t>https://urldefense.proofpoint.com/v2/url?u=http-3A__dbpedia.org_resource_Mindaugas-5FII-5Fof-5FLithuania&amp;d=BQID-g&amp;c=kbmfwr1Yojg42sGEpaQh5ofMHBeTl9EI2eaqQZhHbOU&amp;r=ZliGVSRwfirWoETOrKCh2RSnoygzVPWEk95Me9L-Kwo&amp;m=EaKyFx9mpkhPdFxsxzvW_fiM3jbYwM3xYLjVbSFoDAg&amp;s=rGPaxEtJ1gxz0oCFOe0y2pWjCSZCgoil1aeXk9c333U&amp;e=</t>
  </si>
  <si>
    <t>LIT-1918-2</t>
  </si>
  <si>
    <t>LIT-1920</t>
  </si>
  <si>
    <t>82226122-1e42-11e4-b4cd-db5882bf8def</t>
  </si>
  <si>
    <t>Stulginskis</t>
  </si>
  <si>
    <t>1885-02-26</t>
  </si>
  <si>
    <t>26feb1885</t>
  </si>
  <si>
    <t>https://urldefense.proofpoint.com/v2/url?u=http-3A__dbpedia.org_resource_Aleksandras-5FStulginskis&amp;d=BQID-g&amp;c=kbmfwr1Yojg42sGEpaQh5ofMHBeTl9EI2eaqQZhHbOU&amp;r=ZliGVSRwfirWoETOrKCh2RSnoygzVPWEk95Me9L-Kwo&amp;m=EaKyFx9mpkhPdFxsxzvW_fiM3jbYwM3xYLjVbSFoDAg&amp;s=C3EpA799cfJBudI-WmzxYVhlXl5PtbxzS6EeEQjHfjw&amp;e=</t>
  </si>
  <si>
    <t>LIT-1926-1</t>
  </si>
  <si>
    <t>82226123-1e42-11e4-b4cd-db5882bf8def</t>
  </si>
  <si>
    <t>Grinius</t>
  </si>
  <si>
    <t>1866-12-17</t>
  </si>
  <si>
    <t>17dec1866</t>
  </si>
  <si>
    <t>https://urldefense.proofpoint.com/v2/url?u=http-3A__dbpedia.org_resource_Kazys-5FGrinius&amp;d=BQID-g&amp;c=kbmfwr1Yojg42sGEpaQh5ofMHBeTl9EI2eaqQZhHbOU&amp;r=ZliGVSRwfirWoETOrKCh2RSnoygzVPWEk95Me9L-Kwo&amp;m=EaKyFx9mpkhPdFxsxzvW_fiM3jbYwM3xYLjVbSFoDAg&amp;s=-J-eEQADrqoDlF55GG6pQXRgTTUfnGyc1q7gLDTxBPk&amp;e=</t>
  </si>
  <si>
    <t>LIT-1926-2</t>
  </si>
  <si>
    <t>LIT-1990</t>
  </si>
  <si>
    <t>82226124-1e42-11e4-b4cd-db5882bf8def</t>
  </si>
  <si>
    <t>Landsbergis</t>
  </si>
  <si>
    <t>LIT-1992</t>
  </si>
  <si>
    <t>82226125-1e42-11e4-b4cd-db5882bf8def</t>
  </si>
  <si>
    <t>Brazauskas</t>
  </si>
  <si>
    <t>LIT-1998</t>
  </si>
  <si>
    <t>82226126-1e42-11e4-b4cd-db5882bf8def</t>
  </si>
  <si>
    <t>Adamkus</t>
  </si>
  <si>
    <t>https://urldefense.proofpoint.com/v2/url?u=http-3A__dbpedia.org_resource_Valdas-5FAdamkus&amp;d=BQID-g&amp;c=kbmfwr1Yojg42sGEpaQh5ofMHBeTl9EI2eaqQZhHbOU&amp;r=ZliGVSRwfirWoETOrKCh2RSnoygzVPWEk95Me9L-Kwo&amp;m=EaKyFx9mpkhPdFxsxzvW_fiM3jbYwM3xYLjVbSFoDAg&amp;s=RROKjb2yJ6rEeVTd1w8Rr8NNTJbvRoApPojj5vDQ9rA&amp;e=</t>
  </si>
  <si>
    <t>LIT-2003</t>
  </si>
  <si>
    <t>82229200-1e42-11e4-b4cd-db5882bf8def</t>
  </si>
  <si>
    <t>Paksas</t>
  </si>
  <si>
    <t>https://urldefense.proofpoint.com/v2/url?u=http-3A__dbpedia.org_resource_Rolandas-5FPaksas&amp;d=BQID-g&amp;c=kbmfwr1Yojg42sGEpaQh5ofMHBeTl9EI2eaqQZhHbOU&amp;r=ZliGVSRwfirWoETOrKCh2RSnoygzVPWEk95Me9L-Kwo&amp;m=EaKyFx9mpkhPdFxsxzvW_fiM3jbYwM3xYLjVbSFoDAg&amp;s=kY946d8pOclgg7evYT6V91ugmj_O_Tu208_SIuaxn38&amp;e=</t>
  </si>
  <si>
    <t>LIT-2004-1</t>
  </si>
  <si>
    <t>8222c2d4-1e42-11e4-b4cd-db5882bf8def</t>
  </si>
  <si>
    <t>Paulauskas</t>
  </si>
  <si>
    <t>LIT-2004-2</t>
  </si>
  <si>
    <t>LIT-2009</t>
  </si>
  <si>
    <t>8252d481-1e42-11e4-b4cd-db5882bf8def</t>
  </si>
  <si>
    <t>Grybauskaite</t>
  </si>
  <si>
    <t>UKR-1990</t>
  </si>
  <si>
    <t>8222c2d5-1e42-11e4-b4cd-db5882bf8def</t>
  </si>
  <si>
    <t>UKR</t>
  </si>
  <si>
    <t>Kravchuk</t>
  </si>
  <si>
    <t>https://urldefense.proofpoint.com/v2/url?u=http-3A__dbpedia.org_resource_Leonid-5FKravchuk&amp;d=BQID-g&amp;c=kbmfwr1Yojg42sGEpaQh5ofMHBeTl9EI2eaqQZhHbOU&amp;r=ZliGVSRwfirWoETOrKCh2RSnoygzVPWEk95Me9L-Kwo&amp;m=EaKyFx9mpkhPdFxsxzvW_fiM3jbYwM3xYLjVbSFoDAg&amp;s=iUhiNEKGENturYvE27uUblsbr56ZDcJVLleKSFrSPY4&amp;e=</t>
  </si>
  <si>
    <t>UKR-1994</t>
  </si>
  <si>
    <t>8222f3a8-1e42-11e4-b4cd-db5882bf8def</t>
  </si>
  <si>
    <t>Kuchma</t>
  </si>
  <si>
    <t>https://urldefense.proofpoint.com/v2/url?u=http-3A__dbpedia.org_resource_Leonid-5FKuchma&amp;d=BQID-g&amp;c=kbmfwr1Yojg42sGEpaQh5ofMHBeTl9EI2eaqQZhHbOU&amp;r=ZliGVSRwfirWoETOrKCh2RSnoygzVPWEk95Me9L-Kwo&amp;m=EaKyFx9mpkhPdFxsxzvW_fiM3jbYwM3xYLjVbSFoDAg&amp;s=vPVNvbfkt9_HHe2GAEEFIsGeRZUbtExENCYy8NdBwcs&amp;e=</t>
  </si>
  <si>
    <t>UKR-2005</t>
  </si>
  <si>
    <t>8252d482-1e42-11e4-b4cd-db5882bf8def</t>
  </si>
  <si>
    <t>Yushchenko</t>
  </si>
  <si>
    <t>UKR-2010</t>
  </si>
  <si>
    <t>8252d483-1e42-11e4-b4cd-db5882bf8def</t>
  </si>
  <si>
    <t>Yanukovych</t>
  </si>
  <si>
    <t>UKR-2014-1</t>
  </si>
  <si>
    <t>43f81004-de6a-11e5-ba44-bb6d7c1a9a58</t>
  </si>
  <si>
    <t>Oleksandr Turchynov</t>
  </si>
  <si>
    <t>UKR-2014-2</t>
  </si>
  <si>
    <t>43f81005-de6a-11e5-ba44-bb6d7c1a9a58</t>
  </si>
  <si>
    <t>Petro Poroshenko</t>
  </si>
  <si>
    <t>BLR-1991</t>
  </si>
  <si>
    <t>8222f3a9-1e42-11e4-b4cd-db5882bf8def</t>
  </si>
  <si>
    <t>BLR</t>
  </si>
  <si>
    <t>Shushkevich</t>
  </si>
  <si>
    <t>BLR-1994-1</t>
  </si>
  <si>
    <t>8223247c-1e42-11e4-b4cd-db5882bf8def</t>
  </si>
  <si>
    <t>Kuznyatsu</t>
  </si>
  <si>
    <t>https://urldefense.proofpoint.com/v2/url?u=http-3A__dbpedia.org_resource_Vyacheslau-5FKuznyetsov&amp;d=BQID-g&amp;c=kbmfwr1Yojg42sGEpaQh5ofMHBeTl9EI2eaqQZhHbOU&amp;r=ZliGVSRwfirWoETOrKCh2RSnoygzVPWEk95Me9L-Kwo&amp;m=EaKyFx9mpkhPdFxsxzvW_fiM3jbYwM3xYLjVbSFoDAg&amp;s=LS6fz7m0nsaxmDiBw57_BC-kQo8aTP7UDJcz0dTO0Qo&amp;e=</t>
  </si>
  <si>
    <t>BLR-1994-2</t>
  </si>
  <si>
    <t>8223247d-1e42-11e4-b4cd-db5882bf8def</t>
  </si>
  <si>
    <t>Hryb</t>
  </si>
  <si>
    <t>BLR-1994-3</t>
  </si>
  <si>
    <t>82235550-1e42-11e4-b4cd-db5882bf8def</t>
  </si>
  <si>
    <t>Lukashenko</t>
  </si>
  <si>
    <t>https://urldefense.proofpoint.com/v2/url?u=http-3A__dbpedia.org_resource_Alexander-5FLukashenko&amp;d=BQID-g&amp;c=kbmfwr1Yojg42sGEpaQh5ofMHBeTl9EI2eaqQZhHbOU&amp;r=ZliGVSRwfirWoETOrKCh2RSnoygzVPWEk95Me9L-Kwo&amp;m=EaKyFx9mpkhPdFxsxzvW_fiM3jbYwM3xYLjVbSFoDAg&amp;s=Qz4hOXHZuGhrVhIS_k2ifSLxNwW2eUBq3nzB45HaStc&amp;e=</t>
  </si>
  <si>
    <t>ARM-1991</t>
  </si>
  <si>
    <t>82235551-1e42-11e4-b4cd-db5882bf8def</t>
  </si>
  <si>
    <t>ARM</t>
  </si>
  <si>
    <t>Ter-Petrosyan</t>
  </si>
  <si>
    <t>ARM-1998</t>
  </si>
  <si>
    <t>82235552-1e42-11e4-b4cd-db5882bf8def</t>
  </si>
  <si>
    <t>Kocharian</t>
  </si>
  <si>
    <t>https://urldefense.proofpoint.com/v2/url?u=http-3A__dbpedia.org_resource_Robert-5FKocharyan&amp;d=BQID-g&amp;c=kbmfwr1Yojg42sGEpaQh5ofMHBeTl9EI2eaqQZhHbOU&amp;r=ZliGVSRwfirWoETOrKCh2RSnoygzVPWEk95Me9L-Kwo&amp;m=EaKyFx9mpkhPdFxsxzvW_fiM3jbYwM3xYLjVbSFoDAg&amp;s=DKa_lqIIoQpVoXDuQiw6LqQvy4wXXsXVKE1aKJuxavE&amp;e=</t>
  </si>
  <si>
    <t>ARM-2008</t>
  </si>
  <si>
    <t>82530552-1e42-11e4-b4cd-db5882bf8def</t>
  </si>
  <si>
    <t>Sarkisyan</t>
  </si>
  <si>
    <t>GRG-1991</t>
  </si>
  <si>
    <t>82235553-1e42-11e4-b4cd-db5882bf8def</t>
  </si>
  <si>
    <t>GRG</t>
  </si>
  <si>
    <t>Gamsakhurdia</t>
  </si>
  <si>
    <t>https://urldefense.proofpoint.com/v2/url?u=http-3A__dbpedia.org_resource_Zviad-5FGamsakhurdia&amp;d=BQID-g&amp;c=kbmfwr1Yojg42sGEpaQh5ofMHBeTl9EI2eaqQZhHbOU&amp;r=ZliGVSRwfirWoETOrKCh2RSnoygzVPWEk95Me9L-Kwo&amp;m=EaKyFx9mpkhPdFxsxzvW_fiM3jbYwM3xYLjVbSFoDAg&amp;s=iwUm7o5k_qQA5dsWVrSAp_K5nMTkptgTEaGAIhyyebc&amp;e=</t>
  </si>
  <si>
    <t>GRG-1992-1</t>
  </si>
  <si>
    <t>82235554-1e42-11e4-b4cd-db5882bf8def</t>
  </si>
  <si>
    <t>Ioseliani</t>
  </si>
  <si>
    <t>GRG-1992-2</t>
  </si>
  <si>
    <t>82238624-1e42-11e4-b4cd-db5882bf8def</t>
  </si>
  <si>
    <t>Shevardnadze</t>
  </si>
  <si>
    <t>https://urldefense.proofpoint.com/v2/url?u=http-3A__dbpedia.org_resource_Eduard-5FShevardnadze&amp;d=BQID-g&amp;c=kbmfwr1Yojg42sGEpaQh5ofMHBeTl9EI2eaqQZhHbOU&amp;r=ZliGVSRwfirWoETOrKCh2RSnoygzVPWEk95Me9L-Kwo&amp;m=EaKyFx9mpkhPdFxsxzvW_fiM3jbYwM3xYLjVbSFoDAg&amp;s=04z4ySic2ZXjLyqBDkr9ZyOZSLZ8SsL19QvuNobYXkM&amp;e=</t>
  </si>
  <si>
    <t>GRG-2003</t>
  </si>
  <si>
    <t>82238625-1e42-11e4-b4cd-db5882bf8def</t>
  </si>
  <si>
    <t>Burdjanadze</t>
  </si>
  <si>
    <t>https://urldefense.proofpoint.com/v2/url?u=http-3A__dbpedia.org_resource_Nino-5FBurjanadze&amp;d=BQID-g&amp;c=kbmfwr1Yojg42sGEpaQh5ofMHBeTl9EI2eaqQZhHbOU&amp;r=ZliGVSRwfirWoETOrKCh2RSnoygzVPWEk95Me9L-Kwo&amp;m=EaKyFx9mpkhPdFxsxzvW_fiM3jbYwM3xYLjVbSFoDAg&amp;s=UKeIX38kuiq8m-jgVlnDbBmfM3At4mT4vw-064RqbY4&amp;e=</t>
  </si>
  <si>
    <t>GRG-2004</t>
  </si>
  <si>
    <t>82238626-1e42-11e4-b4cd-db5882bf8def</t>
  </si>
  <si>
    <t>Saakashvili</t>
  </si>
  <si>
    <t>https://urldefense.proofpoint.com/v2/url?u=http-3A__dbpedia.org_resource_Mikheil-5FSaakashvili&amp;d=BQID-g&amp;c=kbmfwr1Yojg42sGEpaQh5ofMHBeTl9EI2eaqQZhHbOU&amp;r=ZliGVSRwfirWoETOrKCh2RSnoygzVPWEk95Me9L-Kwo&amp;m=EaKyFx9mpkhPdFxsxzvW_fiM3jbYwM3xYLjVbSFoDAg&amp;s=AqiLlS52PnAV7Evq5n9SMPdPbaee-iDs-b_Lu_mYw0k&amp;e=</t>
  </si>
  <si>
    <t>GRG-2007</t>
  </si>
  <si>
    <t>1977c768-3bbd-11e5-afeb-eb6f07f9fec7</t>
  </si>
  <si>
    <t>Burdzhanadze</t>
  </si>
  <si>
    <t>GRG-2008</t>
  </si>
  <si>
    <t>GRG-2013</t>
  </si>
  <si>
    <t>2b3a05b5-3481-11e4-8dba-bbcd9ed46413</t>
  </si>
  <si>
    <t>Margvelashvili</t>
  </si>
  <si>
    <t>AZE-1991</t>
  </si>
  <si>
    <t>82238627-1e42-11e4-b4cd-db5882bf8def</t>
  </si>
  <si>
    <t>AZE</t>
  </si>
  <si>
    <t>Mutalibov</t>
  </si>
  <si>
    <t>https://urldefense.proofpoint.com/v2/url?u=http-3A__dbpedia.org_resource_Ayaz-5FM-25C3-25BCtallibov&amp;d=BQID-g&amp;c=kbmfwr1Yojg42sGEpaQh5ofMHBeTl9EI2eaqQZhHbOU&amp;r=ZliGVSRwfirWoETOrKCh2RSnoygzVPWEk95Me9L-Kwo&amp;m=EaKyFx9mpkhPdFxsxzvW_fiM3jbYwM3xYLjVbSFoDAg&amp;s=9wd4QSL8BoA3FXbufxMXGryqOKZag67LsCwMQptb0ZQ&amp;e=</t>
  </si>
  <si>
    <t>AZE-1992-1</t>
  </si>
  <si>
    <t>8223b6f8-1e42-11e4-b4cd-db5882bf8def</t>
  </si>
  <si>
    <t>Mamedov</t>
  </si>
  <si>
    <t>AZE-1992-2</t>
  </si>
  <si>
    <t>AZE-1992-3</t>
  </si>
  <si>
    <t>8223b6f9-1e42-11e4-b4cd-db5882bf8def</t>
  </si>
  <si>
    <t>Gambarov</t>
  </si>
  <si>
    <t>AZE-1992-4</t>
  </si>
  <si>
    <t>8223e7cc-1e42-11e4-b4cd-db5882bf8def</t>
  </si>
  <si>
    <t>Abulfaz Elchibey</t>
  </si>
  <si>
    <t>https://urldefense.proofpoint.com/v2/url?u=http-3A__dbpedia.org_resource_Ab-25C3-25BClfaz-5FEl-25C3-25A7ibay&amp;d=BQID-g&amp;c=kbmfwr1Yojg42sGEpaQh5ofMHBeTl9EI2eaqQZhHbOU&amp;r=ZliGVSRwfirWoETOrKCh2RSnoygzVPWEk95Me9L-Kwo&amp;m=EaKyFx9mpkhPdFxsxzvW_fiM3jbYwM3xYLjVbSFoDAg&amp;s=5UG8-iOnSZc1eo6WjfEXGsgf4I4tz_aJiaBltoWCE1c&amp;e=</t>
  </si>
  <si>
    <t>AZE-1993</t>
  </si>
  <si>
    <t>8223e7cd-1e42-11e4-b4cd-db5882bf8def</t>
  </si>
  <si>
    <t>H. Aliyev</t>
  </si>
  <si>
    <t>https://urldefense.proofpoint.com/v2/url?u=http-3A__dbpedia.org_resource_Heydar-5FAliyev&amp;d=BQID-g&amp;c=kbmfwr1Yojg42sGEpaQh5ofMHBeTl9EI2eaqQZhHbOU&amp;r=ZliGVSRwfirWoETOrKCh2RSnoygzVPWEk95Me9L-Kwo&amp;m=EaKyFx9mpkhPdFxsxzvW_fiM3jbYwM3xYLjVbSFoDAg&amp;s=GwemrJo1jwU6RJ9P3q9HMejfs7mXH_PtxlrzbdLKaho&amp;e=</t>
  </si>
  <si>
    <t>Father of Ilhma Aliyev%8223e7ce-1e42-11e4-b4cd-db5882bf8def</t>
  </si>
  <si>
    <t>AZE-2003</t>
  </si>
  <si>
    <t>8223e7ce-1e42-11e4-b4cd-db5882bf8def</t>
  </si>
  <si>
    <t>Ilhma Aliyev</t>
  </si>
  <si>
    <t>https://urldefense.proofpoint.com/v2/url?u=http-3A__dbpedia.org_resource_Ilham-5FAliyev&amp;d=BQID-g&amp;c=kbmfwr1Yojg42sGEpaQh5ofMHBeTl9EI2eaqQZhHbOU&amp;r=ZliGVSRwfirWoETOrKCh2RSnoygzVPWEk95Me9L-Kwo&amp;m=EaKyFx9mpkhPdFxsxzvW_fiM3jbYwM3xYLjVbSFoDAg&amp;s=hmD2v5RO_5f0YRIonvOgVrRoGmAdiJm4F1VQ2MiQnsE&amp;e=</t>
  </si>
  <si>
    <t>Son of H. Aliyev%8223e7cd-1e42-11e4-b4cd-db5882bf8def</t>
  </si>
  <si>
    <t>FIN-1917</t>
  </si>
  <si>
    <t>822418a0-1e42-11e4-b4cd-db5882bf8def</t>
  </si>
  <si>
    <t>FIN</t>
  </si>
  <si>
    <t>Svinhufud</t>
  </si>
  <si>
    <t>1861-12-15</t>
  </si>
  <si>
    <t>15dec1861</t>
  </si>
  <si>
    <t>https://urldefense.proofpoint.com/v2/url?u=http-3A__dbpedia.org_resource_Pehr-5FEvind-5FSvinhufvud&amp;d=BQID-g&amp;c=kbmfwr1Yojg42sGEpaQh5ofMHBeTl9EI2eaqQZhHbOU&amp;r=ZliGVSRwfirWoETOrKCh2RSnoygzVPWEk95Me9L-Kwo&amp;m=EaKyFx9mpkhPdFxsxzvW_fiM3jbYwM3xYLjVbSFoDAg&amp;s=NFk4ilx9-y120d0FQj3ZOZBi_CXzHKZ5V2P89QYsll0&amp;e=</t>
  </si>
  <si>
    <t>FIN-1918</t>
  </si>
  <si>
    <t>82244974-1e42-11e4-b4cd-db5882bf8def</t>
  </si>
  <si>
    <t>Mannerheim</t>
  </si>
  <si>
    <t>1867-06-04</t>
  </si>
  <si>
    <t>04jun1867</t>
  </si>
  <si>
    <t>https://urldefense.proofpoint.com/v2/url?u=http-3A__dbpedia.org_resource_Carl-5FGustaf-5FEmil-5FMannerheim&amp;d=BQID-g&amp;c=kbmfwr1Yojg42sGEpaQh5ofMHBeTl9EI2eaqQZhHbOU&amp;r=ZliGVSRwfirWoETOrKCh2RSnoygzVPWEk95Me9L-Kwo&amp;m=EaKyFx9mpkhPdFxsxzvW_fiM3jbYwM3xYLjVbSFoDAg&amp;s=GrMkqS-1fgdCuP112cTCEMkrPETatSxjEKuSqDiUujU&amp;e=</t>
  </si>
  <si>
    <t>FIN-1919</t>
  </si>
  <si>
    <t>82244975-1e42-11e4-b4cd-db5882bf8def</t>
  </si>
  <si>
    <t>Stahlberg</t>
  </si>
  <si>
    <t>1865-01-28</t>
  </si>
  <si>
    <t>28jan1865</t>
  </si>
  <si>
    <t>https://urldefense.proofpoint.com/v2/url?u=http-3A__dbpedia.org_resource_Kaarlo-5FJuho-5FSt-25C3-25A5hlberg&amp;d=BQID-g&amp;c=kbmfwr1Yojg42sGEpaQh5ofMHBeTl9EI2eaqQZhHbOU&amp;r=ZliGVSRwfirWoETOrKCh2RSnoygzVPWEk95Me9L-Kwo&amp;m=EaKyFx9mpkhPdFxsxzvW_fiM3jbYwM3xYLjVbSFoDAg&amp;s=OEJISEYg4YTMKzF9N-vANew7RmfilBSKbvVRq47Q6Vk&amp;e=</t>
  </si>
  <si>
    <t>FIN-1925</t>
  </si>
  <si>
    <t>82247a52-1e42-11e4-b4cd-db5882bf8def</t>
  </si>
  <si>
    <t>Relander</t>
  </si>
  <si>
    <t>1883-05-31</t>
  </si>
  <si>
    <t>31may1883</t>
  </si>
  <si>
    <t>https://urldefense.proofpoint.com/v2/url?u=http-3A__dbpedia.org_resource_Lauri-5FKristian-5FRelander&amp;d=BQID-g&amp;c=kbmfwr1Yojg42sGEpaQh5ofMHBeTl9EI2eaqQZhHbOU&amp;r=ZliGVSRwfirWoETOrKCh2RSnoygzVPWEk95Me9L-Kwo&amp;m=EaKyFx9mpkhPdFxsxzvW_fiM3jbYwM3xYLjVbSFoDAg&amp;s=JNIwzXqs_yygve6Q7mW9A92nYiDu0UIlfGYkO8_rXZE&amp;e=</t>
  </si>
  <si>
    <t>FIN-1931</t>
  </si>
  <si>
    <t>FIN-1937</t>
  </si>
  <si>
    <t>82247a53-1e42-11e4-b4cd-db5882bf8def</t>
  </si>
  <si>
    <t>Kallio</t>
  </si>
  <si>
    <t>1873-04-10</t>
  </si>
  <si>
    <t>10apr1873</t>
  </si>
  <si>
    <t>https://urldefense.proofpoint.com/v2/url?u=http-3A__dbpedia.org_resource_Ky-25C3-25B6sti-5FKallio&amp;d=BQID-g&amp;c=kbmfwr1Yojg42sGEpaQh5ofMHBeTl9EI2eaqQZhHbOU&amp;r=ZliGVSRwfirWoETOrKCh2RSnoygzVPWEk95Me9L-Kwo&amp;m=EaKyFx9mpkhPdFxsxzvW_fiM3jbYwM3xYLjVbSFoDAg&amp;s=s2NhWtS77OduxUYsi2kVHktHy-QAlEo8IS6HhY8mTOk&amp;e=</t>
  </si>
  <si>
    <t>FIN-1940</t>
  </si>
  <si>
    <t>8224ab26-1e42-11e4-b4cd-db5882bf8def</t>
  </si>
  <si>
    <t>Ryti</t>
  </si>
  <si>
    <t>1889-02-03</t>
  </si>
  <si>
    <t>03feb1889</t>
  </si>
  <si>
    <t>https://urldefense.proofpoint.com/v2/url?u=http-3A__dbpedia.org_resource_Risto-5FRyti&amp;d=BQID-g&amp;c=kbmfwr1Yojg42sGEpaQh5ofMHBeTl9EI2eaqQZhHbOU&amp;r=ZliGVSRwfirWoETOrKCh2RSnoygzVPWEk95Me9L-Kwo&amp;m=EaKyFx9mpkhPdFxsxzvW_fiM3jbYwM3xYLjVbSFoDAg&amp;s=JNUQCq9Mj80UD5zxO-SDp0DavTNGwtGHhHdk8l1lgo0&amp;e=</t>
  </si>
  <si>
    <t>FIN-1944</t>
  </si>
  <si>
    <t>FIN-1946</t>
  </si>
  <si>
    <t>8224ab27-1e42-11e4-b4cd-db5882bf8def</t>
  </si>
  <si>
    <t>Paasikivi</t>
  </si>
  <si>
    <t>1879-11-27</t>
  </si>
  <si>
    <t>27nov1879</t>
  </si>
  <si>
    <t>https://urldefense.proofpoint.com/v2/url?u=http-3A__dbpedia.org_resource_Juho-5FKusti-5FPaasikivi&amp;d=BQID-g&amp;c=kbmfwr1Yojg42sGEpaQh5ofMHBeTl9EI2eaqQZhHbOU&amp;r=ZliGVSRwfirWoETOrKCh2RSnoygzVPWEk95Me9L-Kwo&amp;m=EaKyFx9mpkhPdFxsxzvW_fiM3jbYwM3xYLjVbSFoDAg&amp;s=xQReuBwAI30mDptnfL9x-_8sHj7VwOo8iBdZaiBqbkU&amp;e=</t>
  </si>
  <si>
    <t>FIN-1956</t>
  </si>
  <si>
    <t>8224ab28-1e42-11e4-b4cd-db5882bf8def</t>
  </si>
  <si>
    <t>Kekkonen</t>
  </si>
  <si>
    <t>https://urldefense.proofpoint.com/v2/url?u=http-3A__dbpedia.org_resource_Urho-5FKekkonen&amp;d=BQID-g&amp;c=kbmfwr1Yojg42sGEpaQh5ofMHBeTl9EI2eaqQZhHbOU&amp;r=ZliGVSRwfirWoETOrKCh2RSnoygzVPWEk95Me9L-Kwo&amp;m=EaKyFx9mpkhPdFxsxzvW_fiM3jbYwM3xYLjVbSFoDAg&amp;s=hTpunyMdxjgbxyInk3Kk5GHpiqjuilI8SFhNwj7D8Sk&amp;e=</t>
  </si>
  <si>
    <t>FIN-1981</t>
  </si>
  <si>
    <t>8224ab29-1e42-11e4-b4cd-db5882bf8def</t>
  </si>
  <si>
    <t>Koivisto</t>
  </si>
  <si>
    <t>https://urldefense.proofpoint.com/v2/url?u=http-3A__dbpedia.org_resource_Mauno-5FKoivisto&amp;d=BQID-g&amp;c=kbmfwr1Yojg42sGEpaQh5ofMHBeTl9EI2eaqQZhHbOU&amp;r=ZliGVSRwfirWoETOrKCh2RSnoygzVPWEk95Me9L-Kwo&amp;m=EaKyFx9mpkhPdFxsxzvW_fiM3jbYwM3xYLjVbSFoDAg&amp;s=3CYZTXNvmX3M0Y81v5E2eghQr_rS7d9hkSVxt4zDf8g&amp;e=</t>
  </si>
  <si>
    <t>FIN-1994</t>
  </si>
  <si>
    <t>8224ab2a-1e42-11e4-b4cd-db5882bf8def</t>
  </si>
  <si>
    <t>Marthi Ahtisaari</t>
  </si>
  <si>
    <t>https://urldefense.proofpoint.com/v2/url?u=http-3A__dbpedia.org_resource_Martti-5FAhtisaari&amp;d=BQID-g&amp;c=kbmfwr1Yojg42sGEpaQh5ofMHBeTl9EI2eaqQZhHbOU&amp;r=ZliGVSRwfirWoETOrKCh2RSnoygzVPWEk95Me9L-Kwo&amp;m=EaKyFx9mpkhPdFxsxzvW_fiM3jbYwM3xYLjVbSFoDAg&amp;s=dfvHPjJ9_LxI56b9DT5-GJLALCrjW37xmWXnPWAsQEY&amp;e=</t>
  </si>
  <si>
    <t>FIN-2000</t>
  </si>
  <si>
    <t>8224dbfa-1e42-11e4-b4cd-db5882bf8def</t>
  </si>
  <si>
    <t>Halonen</t>
  </si>
  <si>
    <t>https://urldefense.proofpoint.com/v2/url?u=http-3A__dbpedia.org_resource_Tarja-5FHalonen&amp;d=BQID-g&amp;c=kbmfwr1Yojg42sGEpaQh5ofMHBeTl9EI2eaqQZhHbOU&amp;r=ZliGVSRwfirWoETOrKCh2RSnoygzVPWEk95Me9L-Kwo&amp;m=EaKyFx9mpkhPdFxsxzvW_fiM3jbYwM3xYLjVbSFoDAg&amp;s=dXQedmLe_-hRmkYNelc87NMcrBSBvplWfndoNw2desE&amp;e=</t>
  </si>
  <si>
    <t>FIN-2012</t>
  </si>
  <si>
    <t>2b3a05b6-3481-11e4-8dba-bbcd9ed46413</t>
  </si>
  <si>
    <t>Sauli Niinist枚</t>
  </si>
  <si>
    <t>SWD-1872</t>
  </si>
  <si>
    <t>8224dbfb-1e42-11e4-b4cd-db5882bf8def</t>
  </si>
  <si>
    <t>SWD</t>
  </si>
  <si>
    <t>Oscar II</t>
  </si>
  <si>
    <t>1872-09-18</t>
  </si>
  <si>
    <t>1876-03-20</t>
  </si>
  <si>
    <t>1829-01-21</t>
  </si>
  <si>
    <t>21jan1829</t>
  </si>
  <si>
    <t>https://urldefense.proofpoint.com/v2/url?u=http-3A__dbpedia.org_resource_Oscar-5FII-5Fof-5FSweden&amp;d=BQID-g&amp;c=kbmfwr1Yojg42sGEpaQh5ofMHBeTl9EI2eaqQZhHbOU&amp;r=ZliGVSRwfirWoETOrKCh2RSnoygzVPWEk95Me9L-Kwo&amp;m=EaKyFx9mpkhPdFxsxzvW_fiM3jbYwM3xYLjVbSFoDAg&amp;s=DEqZdEjIYXT8UCxdxPnFdHWN_T30kXqun7bRH5acL7k&amp;e=</t>
  </si>
  <si>
    <t>73骞?1279</t>
  </si>
  <si>
    <t>SWD-1876</t>
  </si>
  <si>
    <t>8224dbfc-1e42-11e4-b4cd-db5882bf8def</t>
  </si>
  <si>
    <t>de Geer af Finsp氓ng</t>
  </si>
  <si>
    <t>1880-04-19</t>
  </si>
  <si>
    <t>Father of de Geer%82256e77-1e42-11e4-b4cd-db5882bf8def</t>
  </si>
  <si>
    <t>73骞?1491</t>
  </si>
  <si>
    <t>SWD-1880</t>
  </si>
  <si>
    <t>8224dbfd-1e42-11e4-b4cd-db5882bf8def</t>
  </si>
  <si>
    <t>Posse</t>
  </si>
  <si>
    <t>1883-06-13</t>
  </si>
  <si>
    <t>https://urldefense.proofpoint.com/v2/url?u=http-3A__dbpedia.org_resource_Arvid-5FPosse&amp;d=BQID-g&amp;c=kbmfwr1Yojg42sGEpaQh5ofMHBeTl9EI2eaqQZhHbOU&amp;r=ZliGVSRwfirWoETOrKCh2RSnoygzVPWEk95Me9L-Kwo&amp;m=EaKyFx9mpkhPdFxsxzvW_fiM3jbYwM3xYLjVbSFoDAg&amp;s=KqK-tJZyClCc7HRpLsD5JJ2LD-qaFipZ4zsz_J3n_2M&amp;e=</t>
  </si>
  <si>
    <t>73骞?1150</t>
  </si>
  <si>
    <t>SWD-1883</t>
  </si>
  <si>
    <t>8224dbfe-1e42-11e4-b4cd-db5882bf8def</t>
  </si>
  <si>
    <t>Thyselius</t>
  </si>
  <si>
    <t>1884-05-16</t>
  </si>
  <si>
    <t>1811-06-08</t>
  </si>
  <si>
    <t>08jun1811</t>
  </si>
  <si>
    <t>1891-01-11</t>
  </si>
  <si>
    <t>11jan1891</t>
  </si>
  <si>
    <t>https://urldefense.proofpoint.com/v2/url?u=http-3A__dbpedia.org_resource_Carl-5FJohan-5FThyselius&amp;d=BQID-g&amp;c=kbmfwr1Yojg42sGEpaQh5ofMHBeTl9EI2eaqQZhHbOU&amp;r=ZliGVSRwfirWoETOrKCh2RSnoygzVPWEk95Me9L-Kwo&amp;m=EaKyFx9mpkhPdFxsxzvW_fiM3jbYwM3xYLjVbSFoDAg&amp;s=0iyTpVjWR2jJ0dpsA9Xr6gNFO9Z6HNckOHuTAXRBKu4&amp;e=</t>
  </si>
  <si>
    <t>73骞?338</t>
  </si>
  <si>
    <t>SWD-1884</t>
  </si>
  <si>
    <t>8224dbff-1e42-11e4-b4cd-db5882bf8def</t>
  </si>
  <si>
    <t>Themptander</t>
  </si>
  <si>
    <t>1888-02-06</t>
  </si>
  <si>
    <t>1844-02-14</t>
  </si>
  <si>
    <t>14feb1844</t>
  </si>
  <si>
    <t>1897-01-30</t>
  </si>
  <si>
    <t>30jan1897</t>
  </si>
  <si>
    <t>https://urldefense.proofpoint.com/v2/url?u=http-3A__dbpedia.org_resource_Robert-5FThemptander&amp;d=BQID-g&amp;c=kbmfwr1Yojg42sGEpaQh5ofMHBeTl9EI2eaqQZhHbOU&amp;r=ZliGVSRwfirWoETOrKCh2RSnoygzVPWEk95Me9L-Kwo&amp;m=EaKyFx9mpkhPdFxsxzvW_fiM3jbYwM3xYLjVbSFoDAg&amp;s=6cPObOSR57DwHi-TD77FJQX2f-B5IM-s8AFqAzlru7A&amp;e=</t>
  </si>
  <si>
    <t>73骞?1361</t>
  </si>
  <si>
    <t>SWD-1888</t>
  </si>
  <si>
    <t>35debe98-3bbd-11e5-afeb-eb6f07f9fec7</t>
  </si>
  <si>
    <t>Bildt</t>
  </si>
  <si>
    <t>1889-10-12</t>
  </si>
  <si>
    <t>https://urldefense.proofpoint.com/v2/url?u=http-3A__dbpedia.org_resource_Gillis-5FBildt&amp;d=BQID-g&amp;c=kbmfwr1Yojg42sGEpaQh5ofMHBeTl9EI2eaqQZhHbOU&amp;r=ZliGVSRwfirWoETOrKCh2RSnoygzVPWEk95Me9L-Kwo&amp;m=EaKyFx9mpkhPdFxsxzvW_fiM3jbYwM3xYLjVbSFoDAg&amp;s=Nv2RVCC9cyseWqjTY_38JSB57D2n3vghgSpQA6x0z0c&amp;e=</t>
  </si>
  <si>
    <t>Direct ancestor (grandfather+) of Bildt%35debe98-3bbd-11e5-afeb-eb6f07f9fec7</t>
  </si>
  <si>
    <t>73骞?614</t>
  </si>
  <si>
    <t>SWD-1889</t>
  </si>
  <si>
    <t>82250ccf-1e42-11e4-b4cd-db5882bf8def</t>
  </si>
  <si>
    <t>Akerhjelm</t>
  </si>
  <si>
    <t>1891-07-15</t>
  </si>
  <si>
    <t>https://urldefense.proofpoint.com/v2/url?u=http-3A__dbpedia.org_resource_Gustaf-5F-25C3-2585kerhielm&amp;d=BQID-g&amp;c=kbmfwr1Yojg42sGEpaQh5ofMHBeTl9EI2eaqQZhHbOU&amp;r=ZliGVSRwfirWoETOrKCh2RSnoygzVPWEk95Me9L-Kwo&amp;m=EaKyFx9mpkhPdFxsxzvW_fiM3jbYwM3xYLjVbSFoDAg&amp;s=wVTOpEioQFKwCo3OSq8I7bLJ2uB8W03VgytnVjEbCsY&amp;e=</t>
  </si>
  <si>
    <t>73骞?641</t>
  </si>
  <si>
    <t>SWD-1891</t>
  </si>
  <si>
    <t>82250cd0-1e42-11e4-b4cd-db5882bf8def</t>
  </si>
  <si>
    <t>Bostrom</t>
  </si>
  <si>
    <t>1842-02-11</t>
  </si>
  <si>
    <t>11feb1842</t>
  </si>
  <si>
    <t>https://urldefense.proofpoint.com/v2/url?u=http-3A__dbpedia.org_resource_Erik-5FGustaf-5FBostr-25C3-25B6m&amp;d=BQID-g&amp;c=kbmfwr1Yojg42sGEpaQh5ofMHBeTl9EI2eaqQZhHbOU&amp;r=ZliGVSRwfirWoETOrKCh2RSnoygzVPWEk95Me9L-Kwo&amp;m=EaKyFx9mpkhPdFxsxzvW_fiM3jbYwM3xYLjVbSFoDAg&amp;s=hjkAuz2Iecd4yoBFr9-l4n3OinGMPYUHU1L7r0Jo36Y&amp;e=</t>
  </si>
  <si>
    <t>73骞?3346</t>
  </si>
  <si>
    <t>SWD-1900</t>
  </si>
  <si>
    <t>82250cd1-1e42-11e4-b4cd-db5882bf8def</t>
  </si>
  <si>
    <t>Otter</t>
  </si>
  <si>
    <t>1833-04-11</t>
  </si>
  <si>
    <t>11apr1833</t>
  </si>
  <si>
    <t>https://urldefense.proofpoint.com/v2/url?u=http-3A__dbpedia.org_resource_Fredrik-5Fvon-5FOtter&amp;d=BQID-g&amp;c=kbmfwr1Yojg42sGEpaQh5ofMHBeTl9EI2eaqQZhHbOU&amp;r=ZliGVSRwfirWoETOrKCh2RSnoygzVPWEk95Me9L-Kwo&amp;m=EaKyFx9mpkhPdFxsxzvW_fiM3jbYwM3xYLjVbSFoDAg&amp;s=hQnS_VgwYXbk9dF0LwbtcG3T9Eioq_qjaa4_uyi3QSo&amp;e=</t>
  </si>
  <si>
    <t>73骞?661</t>
  </si>
  <si>
    <t>SWD-1902</t>
  </si>
  <si>
    <t>73骞?1013</t>
  </si>
  <si>
    <t>SWD-1905-1</t>
  </si>
  <si>
    <t>82250cd2-1e42-11e4-b4cd-db5882bf8def</t>
  </si>
  <si>
    <t>Ramstedt</t>
  </si>
  <si>
    <t>https://urldefense.proofpoint.com/v2/url?u=http-3A__dbpedia.org_resource_Johan-5FRamstedt&amp;d=BQID-g&amp;c=kbmfwr1Yojg42sGEpaQh5ofMHBeTl9EI2eaqQZhHbOU&amp;r=ZliGVSRwfirWoETOrKCh2RSnoygzVPWEk95Me9L-Kwo&amp;m=EaKyFx9mpkhPdFxsxzvW_fiM3jbYwM3xYLjVbSFoDAg&amp;s=XS5WcBvO6EXJQs6P9L24pWkgIOuj_H7Fd7cBcRASC9U&amp;e=</t>
  </si>
  <si>
    <t>73骞?111</t>
  </si>
  <si>
    <t>SWD-1905-2</t>
  </si>
  <si>
    <t>82250cd3-1e42-11e4-b4cd-db5882bf8def</t>
  </si>
  <si>
    <t>Lundeberg</t>
  </si>
  <si>
    <t>1842-07-14</t>
  </si>
  <si>
    <t>14jul1842</t>
  </si>
  <si>
    <t>https://urldefense.proofpoint.com/v2/url?u=http-3A__dbpedia.org_resource_Christian-5FLundeberg&amp;d=BQID-g&amp;c=kbmfwr1Yojg42sGEpaQh5ofMHBeTl9EI2eaqQZhHbOU&amp;r=ZliGVSRwfirWoETOrKCh2RSnoygzVPWEk95Me9L-Kwo&amp;m=EaKyFx9mpkhPdFxsxzvW_fiM3jbYwM3xYLjVbSFoDAg&amp;s=8JL7ymwyqSYlCkO8L2xz-79kW_XfYYl6XfP_m2xA-3w&amp;e=</t>
  </si>
  <si>
    <t>73骞?97</t>
  </si>
  <si>
    <t>SWD-1905-3</t>
  </si>
  <si>
    <t>82253da2-1e42-11e4-b4cd-db5882bf8def</t>
  </si>
  <si>
    <t>Staaf</t>
  </si>
  <si>
    <t>1860-01-21</t>
  </si>
  <si>
    <t>21jan1860</t>
  </si>
  <si>
    <t>https://urldefense.proofpoint.com/v2/url?u=http-3A__dbpedia.org_resource_Karl-5FStaaff&amp;d=BQID-g&amp;c=kbmfwr1Yojg42sGEpaQh5ofMHBeTl9EI2eaqQZhHbOU&amp;r=ZliGVSRwfirWoETOrKCh2RSnoygzVPWEk95Me9L-Kwo&amp;m=EaKyFx9mpkhPdFxsxzvW_fiM3jbYwM3xYLjVbSFoDAg&amp;s=tLbIFBDMHeUzyTklQW63GreUsyYv8rkoSKRzQtExRB0&amp;e=</t>
  </si>
  <si>
    <t>73骞?203</t>
  </si>
  <si>
    <t>SWD-1906</t>
  </si>
  <si>
    <t>82253da3-1e42-11e4-b4cd-db5882bf8def</t>
  </si>
  <si>
    <t>Lindman</t>
  </si>
  <si>
    <t>1862-09-19</t>
  </si>
  <si>
    <t>19sep1862</t>
  </si>
  <si>
    <t>https://urldefense.proofpoint.com/v2/url?u=http-3A__dbpedia.org_resource_Arvid-5FLindman&amp;d=BQID-g&amp;c=kbmfwr1Yojg42sGEpaQh5ofMHBeTl9EI2eaqQZhHbOU&amp;r=ZliGVSRwfirWoETOrKCh2RSnoygzVPWEk95Me9L-Kwo&amp;m=EaKyFx9mpkhPdFxsxzvW_fiM3jbYwM3xYLjVbSFoDAg&amp;s=r87eErrDguQ_tbrf1iw6lziHBga2hc_C3j8pXZ55qJ8&amp;e=</t>
  </si>
  <si>
    <t>73骞?1950</t>
  </si>
  <si>
    <t>SWD-1911</t>
  </si>
  <si>
    <t>73骞?864</t>
  </si>
  <si>
    <t>SWD-1914</t>
  </si>
  <si>
    <t>82253da4-1e42-11e4-b4cd-db5882bf8def</t>
  </si>
  <si>
    <t>Hammarskjold</t>
  </si>
  <si>
    <t>1862-02-04</t>
  </si>
  <si>
    <t>04feb1862</t>
  </si>
  <si>
    <t>https://urldefense.proofpoint.com/v2/url?u=http-3A__dbpedia.org_resource_Hjalmar-5FHammarskj-25C3-25B6ld&amp;d=BQID-g&amp;c=kbmfwr1Yojg42sGEpaQh5ofMHBeTl9EI2eaqQZhHbOU&amp;r=ZliGVSRwfirWoETOrKCh2RSnoygzVPWEk95Me9L-Kwo&amp;m=EaKyFx9mpkhPdFxsxzvW_fiM3jbYwM3xYLjVbSFoDAg&amp;s=TrYbDr9vubjOKdVhuj6UzpjFNhvw-VnolsNhhpGPsDc&amp;e=</t>
  </si>
  <si>
    <t>73骞?1136</t>
  </si>
  <si>
    <t>SWD-1917-1</t>
  </si>
  <si>
    <t>82253da5-1e42-11e4-b4cd-db5882bf8def</t>
  </si>
  <si>
    <t>Swartz</t>
  </si>
  <si>
    <t>1858-06-09</t>
  </si>
  <si>
    <t>09jun1858</t>
  </si>
  <si>
    <t>https://urldefense.proofpoint.com/v2/url?u=http-3A__dbpedia.org_resource_Carl-5FSwartz&amp;d=BQID-g&amp;c=kbmfwr1Yojg42sGEpaQh5ofMHBeTl9EI2eaqQZhHbOU&amp;r=ZliGVSRwfirWoETOrKCh2RSnoygzVPWEk95Me9L-Kwo&amp;m=EaKyFx9mpkhPdFxsxzvW_fiM3jbYwM3xYLjVbSFoDAg&amp;s=jxdpSWmgQKRaXWbOekxrNZzd5IpVo-4wKAk7JYATya0&amp;e=</t>
  </si>
  <si>
    <t>73骞?204</t>
  </si>
  <si>
    <t>SWD-1917-2</t>
  </si>
  <si>
    <t>82253da6-1e42-11e4-b4cd-db5882bf8def</t>
  </si>
  <si>
    <t>1871-08-25</t>
  </si>
  <si>
    <t>25aug1871</t>
  </si>
  <si>
    <t>https://urldefense.proofpoint.com/v2/url?u=http-3A__dbpedia.org_resource_Nils-5FEd-25C3-25A9n&amp;d=BQID-g&amp;c=kbmfwr1Yojg42sGEpaQh5ofMHBeTl9EI2eaqQZhHbOU&amp;r=ZliGVSRwfirWoETOrKCh2RSnoygzVPWEk95Me9L-Kwo&amp;m=EaKyFx9mpkhPdFxsxzvW_fiM3jbYwM3xYLjVbSFoDAg&amp;s=94XQ0cDtzZsZFfjoWlAqiOkCzOVxLRFjRcV6DRzvyHY&amp;e=</t>
  </si>
  <si>
    <t>73骞?869</t>
  </si>
  <si>
    <t>SWD-1920-1</t>
  </si>
  <si>
    <t>82256e76-1e42-11e4-b4cd-db5882bf8def</t>
  </si>
  <si>
    <t>Branting</t>
  </si>
  <si>
    <t>1860-11-23</t>
  </si>
  <si>
    <t>23nov1860</t>
  </si>
  <si>
    <t>https://urldefense.proofpoint.com/v2/url?u=http-3A__dbpedia.org_resource_Hjalmar-5FBranting&amp;d=BQID-g&amp;c=kbmfwr1Yojg42sGEpaQh5ofMHBeTl9EI2eaqQZhHbOU&amp;r=ZliGVSRwfirWoETOrKCh2RSnoygzVPWEk95Me9L-Kwo&amp;m=EaKyFx9mpkhPdFxsxzvW_fiM3jbYwM3xYLjVbSFoDAg&amp;s=-mJqlFe8RfOoLmB3apjdUaxZafNHB69_BuClpV2TK8Y&amp;e=</t>
  </si>
  <si>
    <t>73骞?230</t>
  </si>
  <si>
    <t>SWD-1920-2</t>
  </si>
  <si>
    <t>82256e77-1e42-11e4-b4cd-db5882bf8def</t>
  </si>
  <si>
    <t>1854-11-27</t>
  </si>
  <si>
    <t>27nov1854</t>
  </si>
  <si>
    <t>https://urldefense.proofpoint.com/v2/url?u=http-3A__dbpedia.org_resource_Louis-5FGerhard-5FDe-5FGeer&amp;d=BQID-g&amp;c=kbmfwr1Yojg42sGEpaQh5ofMHBeTl9EI2eaqQZhHbOU&amp;r=ZliGVSRwfirWoETOrKCh2RSnoygzVPWEk95Me9L-Kwo&amp;m=EaKyFx9mpkhPdFxsxzvW_fiM3jbYwM3xYLjVbSFoDAg&amp;s=QBFKh676VJ8F5gWwZF90zVqdFZlWFFTCHXLgYAxNsgo&amp;e=</t>
  </si>
  <si>
    <t>Son of de Geer af Finsp氓ng%8224dbfc-1e42-11e4-b4cd-db5882bf8def</t>
  </si>
  <si>
    <t>73骞?119</t>
  </si>
  <si>
    <t>SWD-1921-1</t>
  </si>
  <si>
    <t>82256e78-1e42-11e4-b4cd-db5882bf8def</t>
  </si>
  <si>
    <t>von Sydow</t>
  </si>
  <si>
    <t>1873-07-12</t>
  </si>
  <si>
    <t>12jul1873</t>
  </si>
  <si>
    <t>https://urldefense.proofpoint.com/v2/url?u=http-3A__dbpedia.org_resource_Oscar-5Fvon-5FSydow&amp;d=BQID-g&amp;c=kbmfwr1Yojg42sGEpaQh5ofMHBeTl9EI2eaqQZhHbOU&amp;r=ZliGVSRwfirWoETOrKCh2RSnoygzVPWEk95Me9L-Kwo&amp;m=EaKyFx9mpkhPdFxsxzvW_fiM3jbYwM3xYLjVbSFoDAg&amp;s=x3PipHhuZlGiAdxsTWxTdB_hU9adz7MUV5r1q6zy3jo&amp;e=</t>
  </si>
  <si>
    <t>73骞?232</t>
  </si>
  <si>
    <t>SWD-1921-2</t>
  </si>
  <si>
    <t>73骞?540</t>
  </si>
  <si>
    <t>SWD-1923</t>
  </si>
  <si>
    <t>82256e79-1e42-11e4-b4cd-db5882bf8def</t>
  </si>
  <si>
    <t>Trygger</t>
  </si>
  <si>
    <t>1857-10-20</t>
  </si>
  <si>
    <t>20oct1857</t>
  </si>
  <si>
    <t>https://urldefense.proofpoint.com/v2/url?u=http-3A__dbpedia.org_resource_Ernst-5FTrygger&amp;d=BQID-g&amp;c=kbmfwr1Yojg42sGEpaQh5ofMHBeTl9EI2eaqQZhHbOU&amp;r=ZliGVSRwfirWoETOrKCh2RSnoygzVPWEk95Me9L-Kwo&amp;m=EaKyFx9mpkhPdFxsxzvW_fiM3jbYwM3xYLjVbSFoDAg&amp;s=4Ml0IOlTTAfdYGCfjnQRBh4b10K8qaLZrQqXBlyBqIk&amp;e=</t>
  </si>
  <si>
    <t>73骞?561</t>
  </si>
  <si>
    <t>SWD-1924</t>
  </si>
  <si>
    <t>73骞?98</t>
  </si>
  <si>
    <t>SWD-1925</t>
  </si>
  <si>
    <t>82256e7a-1e42-11e4-b4cd-db5882bf8def</t>
  </si>
  <si>
    <t>Sandler</t>
  </si>
  <si>
    <t>1884-01-29</t>
  </si>
  <si>
    <t>29jan1884</t>
  </si>
  <si>
    <t>https://urldefense.proofpoint.com/v2/url?u=http-3A__dbpedia.org_resource_Rickard-5FSandler&amp;d=BQID-g&amp;c=kbmfwr1Yojg42sGEpaQh5ofMHBeTl9EI2eaqQZhHbOU&amp;r=ZliGVSRwfirWoETOrKCh2RSnoygzVPWEk95Me9L-Kwo&amp;m=EaKyFx9mpkhPdFxsxzvW_fiM3jbYwM3xYLjVbSFoDAg&amp;s=r7xBIyiZWnPdGrw7OJz64y5RkVjb3ULZuN0iMItE5kU&amp;e=</t>
  </si>
  <si>
    <t>73骞?494</t>
  </si>
  <si>
    <t>SWD-1926</t>
  </si>
  <si>
    <t>82259f4a-1e42-11e4-b4cd-db5882bf8def</t>
  </si>
  <si>
    <t>Ekman</t>
  </si>
  <si>
    <t>1872-10-05</t>
  </si>
  <si>
    <t>05oct1872</t>
  </si>
  <si>
    <t>https://urldefense.proofpoint.com/v2/url?u=http-3A__dbpedia.org_resource_Carl-5FGustaf-5FEkman&amp;d=BQID-g&amp;c=kbmfwr1Yojg42sGEpaQh5ofMHBeTl9EI2eaqQZhHbOU&amp;r=ZliGVSRwfirWoETOrKCh2RSnoygzVPWEk95Me9L-Kwo&amp;m=EaKyFx9mpkhPdFxsxzvW_fiM3jbYwM3xYLjVbSFoDAg&amp;s=BHZcNq3ebfUSHtOXvwU_u3GalBn921y2jPCtrmp2elQ&amp;e=</t>
  </si>
  <si>
    <t>73骞?843</t>
  </si>
  <si>
    <t>SWD-1928</t>
  </si>
  <si>
    <t>73骞?609</t>
  </si>
  <si>
    <t>SWD-1930</t>
  </si>
  <si>
    <t>73骞?792</t>
  </si>
  <si>
    <t>SWD-1932-1</t>
  </si>
  <si>
    <t>82259f4b-1e42-11e4-b4cd-db5882bf8def</t>
  </si>
  <si>
    <t>Hamrin</t>
  </si>
  <si>
    <t>1875-01-14</t>
  </si>
  <si>
    <t>14jan1875</t>
  </si>
  <si>
    <t>https://urldefense.proofpoint.com/v2/url?u=http-3A__dbpedia.org_resource_Felix-5FHamrin&amp;d=BQID-g&amp;c=kbmfwr1Yojg42sGEpaQh5ofMHBeTl9EI2eaqQZhHbOU&amp;r=ZliGVSRwfirWoETOrKCh2RSnoygzVPWEk95Me9L-Kwo&amp;m=EaKyFx9mpkhPdFxsxzvW_fiM3jbYwM3xYLjVbSFoDAg&amp;s=8J6NSwOItejfgp7AJusTj9fTfB_hLKTs8u-dTJjCpg8&amp;e=</t>
  </si>
  <si>
    <t>73骞?44</t>
  </si>
  <si>
    <t>SWD-1932-2</t>
  </si>
  <si>
    <t>82259f4c-1e42-11e4-b4cd-db5882bf8def</t>
  </si>
  <si>
    <t>Hansson</t>
  </si>
  <si>
    <t>1885-10-28</t>
  </si>
  <si>
    <t>28oct1885</t>
  </si>
  <si>
    <t>https://urldefense.proofpoint.com/v2/url?u=http-3A__dbpedia.org_resource_Per-5FAlbin-5FHansson&amp;d=BQID-g&amp;c=kbmfwr1Yojg42sGEpaQh5ofMHBeTl9EI2eaqQZhHbOU&amp;r=ZliGVSRwfirWoETOrKCh2RSnoygzVPWEk95Me9L-Kwo&amp;m=EaKyFx9mpkhPdFxsxzvW_fiM3jbYwM3xYLjVbSFoDAg&amp;s=tg5rLZ3fpTe7VAKkHdRGBH69bYONnCwR3HUzH5cwD5w&amp;e=</t>
  </si>
  <si>
    <t>73骞?1360</t>
  </si>
  <si>
    <t>SWD-1936-1</t>
  </si>
  <si>
    <t>82259f4d-1e42-11e4-b4cd-db5882bf8def</t>
  </si>
  <si>
    <t>Pehrsson-Bramst</t>
  </si>
  <si>
    <t>1883-08-19</t>
  </si>
  <si>
    <t>19aug1883</t>
  </si>
  <si>
    <t>https://urldefense.proofpoint.com/v2/url?u=http-3A__dbpedia.org_resource_Axel-5FPehrsson-2DBramstorp&amp;d=BQID-g&amp;c=kbmfwr1Yojg42sGEpaQh5ofMHBeTl9EI2eaqQZhHbOU&amp;r=ZliGVSRwfirWoETOrKCh2RSnoygzVPWEk95Me9L-Kwo&amp;m=EaKyFx9mpkhPdFxsxzvW_fiM3jbYwM3xYLjVbSFoDAg&amp;s=2bF1QqXsiZKjKXaZxmEulB2ucrL0ByG1L_OFAlfcAL0&amp;e=</t>
  </si>
  <si>
    <t>73骞?96</t>
  </si>
  <si>
    <t>SWD-1936-2</t>
  </si>
  <si>
    <t>73骞?3660</t>
  </si>
  <si>
    <t>SWD-1946</t>
  </si>
  <si>
    <t>82259f4e-1e42-11e4-b4cd-db5882bf8def</t>
  </si>
  <si>
    <t>Erlander</t>
  </si>
  <si>
    <t>https://urldefense.proofpoint.com/v2/url?u=http-3A__dbpedia.org_resource_Tage-5FErlander&amp;d=BQID-g&amp;c=kbmfwr1Yojg42sGEpaQh5ofMHBeTl9EI2eaqQZhHbOU&amp;r=ZliGVSRwfirWoETOrKCh2RSnoygzVPWEk95Me9L-Kwo&amp;m=EaKyFx9mpkhPdFxsxzvW_fiM3jbYwM3xYLjVbSFoDAg&amp;s=dVomktt0XguF6vpodRSk6seK4coV0DUphIg4oAfkrp0&amp;e=</t>
  </si>
  <si>
    <t>73骞?8400</t>
  </si>
  <si>
    <t>SWD-1969</t>
  </si>
  <si>
    <t>82259f4f-1e42-11e4-b4cd-db5882bf8def</t>
  </si>
  <si>
    <t>Palme</t>
  </si>
  <si>
    <t>https://urldefense.proofpoint.com/v2/url?u=http-3A__dbpedia.org_resource_Olof-5FPalme&amp;d=BQID-g&amp;c=kbmfwr1Yojg42sGEpaQh5ofMHBeTl9EI2eaqQZhHbOU&amp;r=ZliGVSRwfirWoETOrKCh2RSnoygzVPWEk95Me9L-Kwo&amp;m=EaKyFx9mpkhPdFxsxzvW_fiM3jbYwM3xYLjVbSFoDAg&amp;s=sog8vxb3lqUFIifxWyaW8oMGK59YmK0Z3irR4bSulNs&amp;e=</t>
  </si>
  <si>
    <t>73骞?2533</t>
  </si>
  <si>
    <t>SWD-1976</t>
  </si>
  <si>
    <t>8225d01e-1e42-11e4-b4cd-db5882bf8def</t>
  </si>
  <si>
    <t>Falldin</t>
  </si>
  <si>
    <t>https://urldefense.proofpoint.com/v2/url?u=http-3A__dbpedia.org_resource_Thorbj-25C3-25B6rn-5FF-25C3-25A4lldin&amp;d=BQID-g&amp;c=kbmfwr1Yojg42sGEpaQh5ofMHBeTl9EI2eaqQZhHbOU&amp;r=ZliGVSRwfirWoETOrKCh2RSnoygzVPWEk95Me9L-Kwo&amp;m=EaKyFx9mpkhPdFxsxzvW_fiM3jbYwM3xYLjVbSFoDAg&amp;s=YiBlchs40Dme1khSSbXuvF1NVzBN7RKjpqxxaQVdx24&amp;e=</t>
  </si>
  <si>
    <t>73骞?744</t>
  </si>
  <si>
    <t>SWD-1978</t>
  </si>
  <si>
    <t>8225d01f-1e42-11e4-b4cd-db5882bf8def</t>
  </si>
  <si>
    <t>Ullsten</t>
  </si>
  <si>
    <t>https://urldefense.proofpoint.com/v2/url?u=http-3A__dbpedia.org_resource_Ola-5FUllsten&amp;d=BQID-g&amp;c=kbmfwr1Yojg42sGEpaQh5ofMHBeTl9EI2eaqQZhHbOU&amp;r=ZliGVSRwfirWoETOrKCh2RSnoygzVPWEk95Me9L-Kwo&amp;m=EaKyFx9mpkhPdFxsxzvW_fiM3jbYwM3xYLjVbSFoDAg&amp;s=NPp-AUqBe0FUhESi3vS3cmNCJ2p__0DAXxfnOw4nMCM&amp;e=</t>
  </si>
  <si>
    <t>73骞?356</t>
  </si>
  <si>
    <t>SWD-1979</t>
  </si>
  <si>
    <t>73骞?1094</t>
  </si>
  <si>
    <t>SWD-1982</t>
  </si>
  <si>
    <t>73骞?1240</t>
  </si>
  <si>
    <t>SWD-1986</t>
  </si>
  <si>
    <t>8225d020-1e42-11e4-b4cd-db5882bf8def</t>
  </si>
  <si>
    <t>Carlsson</t>
  </si>
  <si>
    <t>https://urldefense.proofpoint.com/v2/url?u=http-3A__dbpedia.org_resource_Ingvar-5FCarlsson&amp;d=BQID-g&amp;c=kbmfwr1Yojg42sGEpaQh5ofMHBeTl9EI2eaqQZhHbOU&amp;r=ZliGVSRwfirWoETOrKCh2RSnoygzVPWEk95Me9L-Kwo&amp;m=EaKyFx9mpkhPdFxsxzvW_fiM3jbYwM3xYLjVbSFoDAg&amp;s=uNo1tINBorR1-Ay3mP6fWU_Pq_7Jy9kgCmrTqEsipcE&amp;e=</t>
  </si>
  <si>
    <t>73骞?2058</t>
  </si>
  <si>
    <t>SWD-1991</t>
  </si>
  <si>
    <t>https://urldefense.proofpoint.com/v2/url?u=http-3A__dbpedia.org_resource_Carl-5FBildt&amp;d=BQID-g&amp;c=kbmfwr1Yojg42sGEpaQh5ofMHBeTl9EI2eaqQZhHbOU&amp;r=ZliGVSRwfirWoETOrKCh2RSnoygzVPWEk95Me9L-Kwo&amp;m=EaKyFx9mpkhPdFxsxzvW_fiM3jbYwM3xYLjVbSFoDAg&amp;s=94ktCZDSbMCNR-nlTpB6dEpklRKnGCNCplPYy8a0MZ8&amp;e=</t>
  </si>
  <si>
    <t>73骞?1073</t>
  </si>
  <si>
    <t>SWD-1994</t>
  </si>
  <si>
    <t>73骞?531</t>
  </si>
  <si>
    <t>SWD-1996</t>
  </si>
  <si>
    <t>822600f2-1e42-11e4-b4cd-db5882bf8def</t>
  </si>
  <si>
    <t>Persson</t>
  </si>
  <si>
    <t>https://urldefense.proofpoint.com/v2/url?u=http-3A__dbpedia.org_resource_G-25C3-25B6ran-5FPersson&amp;d=BQID-g&amp;c=kbmfwr1Yojg42sGEpaQh5ofMHBeTl9EI2eaqQZhHbOU&amp;r=ZliGVSRwfirWoETOrKCh2RSnoygzVPWEk95Me9L-Kwo&amp;m=EaKyFx9mpkhPdFxsxzvW_fiM3jbYwM3xYLjVbSFoDAg&amp;s=KxkXl6i9QiL8RV_8OO0A6zky0RwTxuzY5KP7bm4Grxg&amp;e=</t>
  </si>
  <si>
    <t>73骞?3851</t>
  </si>
  <si>
    <t>SWD-2006</t>
  </si>
  <si>
    <t>82530553-1e42-11e4-b4cd-db5882bf8def</t>
  </si>
  <si>
    <t>Reinfeldt</t>
  </si>
  <si>
    <t>73骞?2919</t>
  </si>
  <si>
    <t>SWD-2014</t>
  </si>
  <si>
    <t>149f0026-aae0-11e4-b3bc-29f2fa19767e</t>
  </si>
  <si>
    <t>Stefan L枚fven</t>
  </si>
  <si>
    <t>73骞?454</t>
  </si>
  <si>
    <t>NOR-1905</t>
  </si>
  <si>
    <t>822600f3-1e42-11e4-b4cd-db5882bf8def</t>
  </si>
  <si>
    <t>NOR</t>
  </si>
  <si>
    <t>Michelsen</t>
  </si>
  <si>
    <t>1857-03-15</t>
  </si>
  <si>
    <t>15mar1857</t>
  </si>
  <si>
    <t>https://urldefense.proofpoint.com/v2/url?u=http-3A__dbpedia.org_resource_Christian-5FMichelsen&amp;d=BQID-g&amp;c=kbmfwr1Yojg42sGEpaQh5ofMHBeTl9EI2eaqQZhHbOU&amp;r=ZliGVSRwfirWoETOrKCh2RSnoygzVPWEk95Me9L-Kwo&amp;m=EaKyFx9mpkhPdFxsxzvW_fiM3jbYwM3xYLjVbSFoDAg&amp;s=pEjjM9mRTpclYcfliU03YJDoXOTBdND3XP_vbWvnBrc&amp;e=</t>
  </si>
  <si>
    <t>71骞?970</t>
  </si>
  <si>
    <t>NOR-1907</t>
  </si>
  <si>
    <t>822600f4-1e42-11e4-b4cd-db5882bf8def</t>
  </si>
  <si>
    <t>Lovland</t>
  </si>
  <si>
    <t>1857-02-03</t>
  </si>
  <si>
    <t>03feb1857</t>
  </si>
  <si>
    <t>71骞?137</t>
  </si>
  <si>
    <t>NOR-1908</t>
  </si>
  <si>
    <t>822600f5-1e42-11e4-b4cd-db5882bf8def</t>
  </si>
  <si>
    <t>Knudsen</t>
  </si>
  <si>
    <t>1848-09-19</t>
  </si>
  <si>
    <t>19sep1848</t>
  </si>
  <si>
    <t>71骞?684</t>
  </si>
  <si>
    <t>NOR-1910</t>
  </si>
  <si>
    <t>822600f6-1e42-11e4-b4cd-db5882bf8def</t>
  </si>
  <si>
    <t>Konow</t>
  </si>
  <si>
    <t>71骞?748</t>
  </si>
  <si>
    <t>NOR-1912</t>
  </si>
  <si>
    <t>822600f7-1e42-11e4-b4cd-db5882bf8def</t>
  </si>
  <si>
    <t>Bratlie</t>
  </si>
  <si>
    <t>1856-01-17</t>
  </si>
  <si>
    <t>17jan1856</t>
  </si>
  <si>
    <t>71骞?345</t>
  </si>
  <si>
    <t>NOR-1913</t>
  </si>
  <si>
    <t>71骞?2699</t>
  </si>
  <si>
    <t>NOR-1920</t>
  </si>
  <si>
    <t>822631c6-1e42-11e4-b4cd-db5882bf8def</t>
  </si>
  <si>
    <t>Halvorsen</t>
  </si>
  <si>
    <t>1872-05-28</t>
  </si>
  <si>
    <t>28may1872</t>
  </si>
  <si>
    <t>71骞?367</t>
  </si>
  <si>
    <t>NOR-1921</t>
  </si>
  <si>
    <t>1977ee78-3bbd-11e5-afeb-eb6f07f9fec7</t>
  </si>
  <si>
    <t>Blehr</t>
  </si>
  <si>
    <t>1847-02-17</t>
  </si>
  <si>
    <t>17feb1847</t>
  </si>
  <si>
    <t>71骞?621</t>
  </si>
  <si>
    <t>NOR-1923-1</t>
  </si>
  <si>
    <t>71骞?79</t>
  </si>
  <si>
    <t>NOR-1923-2</t>
  </si>
  <si>
    <t>822631c7-1e42-11e4-b4cd-db5882bf8def</t>
  </si>
  <si>
    <t>Berge</t>
  </si>
  <si>
    <t>1851-08-20</t>
  </si>
  <si>
    <t>20aug1851</t>
  </si>
  <si>
    <t>71骞?399</t>
  </si>
  <si>
    <t>NOR-1924</t>
  </si>
  <si>
    <t>822631c8-1e42-11e4-b4cd-db5882bf8def</t>
  </si>
  <si>
    <t>Mowinckel</t>
  </si>
  <si>
    <t>1870-10-22</t>
  </si>
  <si>
    <t>22oct1870</t>
  </si>
  <si>
    <t>71骞?616</t>
  </si>
  <si>
    <t>NOR-1926</t>
  </si>
  <si>
    <t>822631c9-1e42-11e4-b4cd-db5882bf8def</t>
  </si>
  <si>
    <t>Lykke</t>
  </si>
  <si>
    <t>1872-01-09</t>
  </si>
  <si>
    <t>09jan1872</t>
  </si>
  <si>
    <t>https://urldefense.proofpoint.com/v2/url?u=http-3A__dbpedia.org_resource_Ivar-5FLykke&amp;d=BQID-g&amp;c=kbmfwr1Yojg42sGEpaQh5ofMHBeTl9EI2eaqQZhHbOU&amp;r=ZliGVSRwfirWoETOrKCh2RSnoygzVPWEk95Me9L-Kwo&amp;m=EaKyFx9mpkhPdFxsxzvW_fiM3jbYwM3xYLjVbSFoDAg&amp;s=e-VyTvbe2o04ThlUtBC9pGRfheRFhNNxn-UNCPbOJQo&amp;e=</t>
  </si>
  <si>
    <t>71骞?688</t>
  </si>
  <si>
    <t>NOR-1928-1</t>
  </si>
  <si>
    <t>822631ca-1e42-11e4-b4cd-db5882bf8def</t>
  </si>
  <si>
    <t>Hornsrud</t>
  </si>
  <si>
    <t>1859-11-15</t>
  </si>
  <si>
    <t>15nov1859</t>
  </si>
  <si>
    <t>71骞?26</t>
  </si>
  <si>
    <t>NOR-1928-2</t>
  </si>
  <si>
    <t>71骞?1179</t>
  </si>
  <si>
    <t>NOR-1931</t>
  </si>
  <si>
    <t>822662a4-1e42-11e4-b4cd-db5882bf8def</t>
  </si>
  <si>
    <t>Kolstad</t>
  </si>
  <si>
    <t>71骞?266</t>
  </si>
  <si>
    <t>NOR-1932-1</t>
  </si>
  <si>
    <t>822662a5-1e42-11e4-b4cd-db5882bf8def</t>
  </si>
  <si>
    <t>Braadland</t>
  </si>
  <si>
    <t>71骞?42</t>
  </si>
  <si>
    <t>NOR-1932-2</t>
  </si>
  <si>
    <t>822662a6-1e42-11e4-b4cd-db5882bf8def</t>
  </si>
  <si>
    <t>Hundseid</t>
  </si>
  <si>
    <t>71骞?348</t>
  </si>
  <si>
    <t>NOR-1933</t>
  </si>
  <si>
    <t>71骞?744</t>
  </si>
  <si>
    <t>NOR-1935</t>
  </si>
  <si>
    <t>822662a7-1e42-11e4-b4cd-db5882bf8def</t>
  </si>
  <si>
    <t>Nygaardsvold</t>
  </si>
  <si>
    <t>71骞?1848</t>
  </si>
  <si>
    <t>NOR-1940</t>
  </si>
  <si>
    <t>822662a8-1e42-11e4-b4cd-db5882bf8def</t>
  </si>
  <si>
    <t>Quisling</t>
  </si>
  <si>
    <t>1887-07-18</t>
  </si>
  <si>
    <t>18jul1887</t>
  </si>
  <si>
    <t>71骞?1854</t>
  </si>
  <si>
    <t>NOR-1945-1</t>
  </si>
  <si>
    <t>71骞?49</t>
  </si>
  <si>
    <t>NOR-1945-2</t>
  </si>
  <si>
    <t>82269378-1e42-11e4-b4cd-db5882bf8def</t>
  </si>
  <si>
    <t>Gerhardsen</t>
  </si>
  <si>
    <t>1897-05-10</t>
  </si>
  <si>
    <t>10may1897</t>
  </si>
  <si>
    <t>https://urldefense.proofpoint.com/v2/url?u=http-3A__dbpedia.org_resource_Einar-5FGerhardsen&amp;d=BQID-g&amp;c=kbmfwr1Yojg42sGEpaQh5ofMHBeTl9EI2eaqQZhHbOU&amp;r=ZliGVSRwfirWoETOrKCh2RSnoygzVPWEk95Me9L-Kwo&amp;m=EaKyFx9mpkhPdFxsxzvW_fiM3jbYwM3xYLjVbSFoDAg&amp;s=prSwGv6oE1JCZuaB54RpFte55GG86WuJDQ1MxyhsBdY&amp;e=</t>
  </si>
  <si>
    <t>71骞?2331</t>
  </si>
  <si>
    <t>NOR-1951</t>
  </si>
  <si>
    <t>82269379-1e42-11e4-b4cd-db5882bf8def</t>
  </si>
  <si>
    <t>Torp</t>
  </si>
  <si>
    <t>1893-06-08</t>
  </si>
  <si>
    <t>08jun1893</t>
  </si>
  <si>
    <t>71骞?1158</t>
  </si>
  <si>
    <t>NOR-1955</t>
  </si>
  <si>
    <t>71骞?3135</t>
  </si>
  <si>
    <t>NOR-1963-1</t>
  </si>
  <si>
    <t>8226937a-1e42-11e4-b4cd-db5882bf8def</t>
  </si>
  <si>
    <t>Lyng</t>
  </si>
  <si>
    <t>71骞?29</t>
  </si>
  <si>
    <t>NOR-1963-2</t>
  </si>
  <si>
    <t>NOR-1965</t>
  </si>
  <si>
    <t>8226937b-1e42-11e4-b4cd-db5882bf8def</t>
  </si>
  <si>
    <t>Borten</t>
  </si>
  <si>
    <t>https://urldefense.proofpoint.com/v2/url?u=http-3A__dbpedia.org_resource_Per-5FBorten&amp;d=BQID-g&amp;c=kbmfwr1Yojg42sGEpaQh5ofMHBeTl9EI2eaqQZhHbOU&amp;r=ZliGVSRwfirWoETOrKCh2RSnoygzVPWEk95Me9L-Kwo&amp;m=EaKyFx9mpkhPdFxsxzvW_fiM3jbYwM3xYLjVbSFoDAg&amp;s=ET3BN1X5GOaQKigx5xNFIse4DI_HdRdkxMpNbiL26N8&amp;e=</t>
  </si>
  <si>
    <t>71骞?1981</t>
  </si>
  <si>
    <t>NOR-1971</t>
  </si>
  <si>
    <t>8226937c-1e42-11e4-b4cd-db5882bf8def</t>
  </si>
  <si>
    <t>Bratteli</t>
  </si>
  <si>
    <t>71骞?581</t>
  </si>
  <si>
    <t>NOR-1972</t>
  </si>
  <si>
    <t>8226c44c-1e42-11e4-b4cd-db5882bf8def</t>
  </si>
  <si>
    <t>Korvald</t>
  </si>
  <si>
    <t>https://urldefense.proofpoint.com/v2/url?u=http-3A__dbpedia.org_resource_Lars-5FKorvald&amp;d=BQID-g&amp;c=kbmfwr1Yojg42sGEpaQh5ofMHBeTl9EI2eaqQZhHbOU&amp;r=ZliGVSRwfirWoETOrKCh2RSnoygzVPWEk95Me9L-Kwo&amp;m=EaKyFx9mpkhPdFxsxzvW_fiM3jbYwM3xYLjVbSFoDAg&amp;s=Mljcp2RnfcBg06JN1lsI7AMx-J-I2aT-seiwfbDdQUU&amp;e=</t>
  </si>
  <si>
    <t>71骞?363</t>
  </si>
  <si>
    <t>NOR-1973</t>
  </si>
  <si>
    <t>71骞?816</t>
  </si>
  <si>
    <t>NOR-1976</t>
  </si>
  <si>
    <t>8226c44d-1e42-11e4-b4cd-db5882bf8def</t>
  </si>
  <si>
    <t>Nordli</t>
  </si>
  <si>
    <t>https://urldefense.proofpoint.com/v2/url?u=http-3A__dbpedia.org_resource_Odvar-5FNordli&amp;d=BQID-g&amp;c=kbmfwr1Yojg42sGEpaQh5ofMHBeTl9EI2eaqQZhHbOU&amp;r=ZliGVSRwfirWoETOrKCh2RSnoygzVPWEk95Me9L-Kwo&amp;m=EaKyFx9mpkhPdFxsxzvW_fiM3jbYwM3xYLjVbSFoDAg&amp;s=7G6bx0zFPnDwXpSlgCVZUXyhW5ii1juguN5mcCirrWs&amp;e=</t>
  </si>
  <si>
    <t>71骞?1853</t>
  </si>
  <si>
    <t>NOR-1981-1</t>
  </si>
  <si>
    <t>8226c44e-1e42-11e4-b4cd-db5882bf8def</t>
  </si>
  <si>
    <t>Brundtland</t>
  </si>
  <si>
    <t>https://urldefense.proofpoint.com/v2/url?u=http-3A__dbpedia.org_resource_Gro-5FHarlem-5FBrundtland&amp;d=BQID-g&amp;c=kbmfwr1Yojg42sGEpaQh5ofMHBeTl9EI2eaqQZhHbOU&amp;r=ZliGVSRwfirWoETOrKCh2RSnoygzVPWEk95Me9L-Kwo&amp;m=EaKyFx9mpkhPdFxsxzvW_fiM3jbYwM3xYLjVbSFoDAg&amp;s=aM7InN3yzsfjoxKELDm4GWObBs0z3FVe8Jr6uNharm0&amp;e=</t>
  </si>
  <si>
    <t>71骞?252</t>
  </si>
  <si>
    <t>NOR-1981-2</t>
  </si>
  <si>
    <t>8226c44f-1e42-11e4-b4cd-db5882bf8def</t>
  </si>
  <si>
    <t>Willoch</t>
  </si>
  <si>
    <t>https://urldefense.proofpoint.com/v2/url?u=http-3A__dbpedia.org_resource_K-25C3-25A5re-5FWilloch&amp;d=BQID-g&amp;c=kbmfwr1Yojg42sGEpaQh5ofMHBeTl9EI2eaqQZhHbOU&amp;r=ZliGVSRwfirWoETOrKCh2RSnoygzVPWEk95Me9L-Kwo&amp;m=EaKyFx9mpkhPdFxsxzvW_fiM3jbYwM3xYLjVbSFoDAg&amp;s=O7feEaoef1SjsX7sYQX5cPmZtSlsG7sJI5AlNZ7xpbY&amp;e=</t>
  </si>
  <si>
    <t>71骞?1668</t>
  </si>
  <si>
    <t>NOR-1986</t>
  </si>
  <si>
    <t>71骞?1256</t>
  </si>
  <si>
    <t>NOR-1989</t>
  </si>
  <si>
    <t>8226c450-1e42-11e4-b4cd-db5882bf8def</t>
  </si>
  <si>
    <t>Syse</t>
  </si>
  <si>
    <t>https://urldefense.proofpoint.com/v2/url?u=http-3A__dbpedia.org_resource_Jan-5FP.-5FSyse&amp;d=BQID-g&amp;c=kbmfwr1Yojg42sGEpaQh5ofMHBeTl9EI2eaqQZhHbOU&amp;r=ZliGVSRwfirWoETOrKCh2RSnoygzVPWEk95Me9L-Kwo&amp;m=EaKyFx9mpkhPdFxsxzvW_fiM3jbYwM3xYLjVbSFoDAg&amp;s=ondMWdly6OW9ZL4-VjJ0qOqKpfpPomZB8bknR8FaWPM&amp;e=</t>
  </si>
  <si>
    <t>71骞?383</t>
  </si>
  <si>
    <t>NOR-1990</t>
  </si>
  <si>
    <t>71骞?2183</t>
  </si>
  <si>
    <t>NOR-1996</t>
  </si>
  <si>
    <t>8226f520-1e42-11e4-b4cd-db5882bf8def</t>
  </si>
  <si>
    <t>Jagland</t>
  </si>
  <si>
    <t>https://urldefense.proofpoint.com/v2/url?u=http-3A__dbpedia.org_resource_Thorbj-25C3-25B8rn-5FJagland&amp;d=BQID-g&amp;c=kbmfwr1Yojg42sGEpaQh5ofMHBeTl9EI2eaqQZhHbOU&amp;r=ZliGVSRwfirWoETOrKCh2RSnoygzVPWEk95Me9L-Kwo&amp;m=EaKyFx9mpkhPdFxsxzvW_fiM3jbYwM3xYLjVbSFoDAg&amp;s=swc-MLGWDA415k8cLlbAPSP4vBVKreMAGh3ob5cTaaM&amp;e=</t>
  </si>
  <si>
    <t>71骞?357</t>
  </si>
  <si>
    <t>NOR-1997</t>
  </si>
  <si>
    <t>8226f521-1e42-11e4-b4cd-db5882bf8def</t>
  </si>
  <si>
    <t>Bondevik</t>
  </si>
  <si>
    <t>https://urldefense.proofpoint.com/v2/url?u=http-3A__dbpedia.org_resource_Kjell-5FMagne-5FBondevik&amp;d=BQID-g&amp;c=kbmfwr1Yojg42sGEpaQh5ofMHBeTl9EI2eaqQZhHbOU&amp;r=ZliGVSRwfirWoETOrKCh2RSnoygzVPWEk95Me9L-Kwo&amp;m=EaKyFx9mpkhPdFxsxzvW_fiM3jbYwM3xYLjVbSFoDAg&amp;s=7qeFLJVEjoC3pSyNaSJJIARw3qJoywHnZa7mcalXJ6o&amp;e=</t>
  </si>
  <si>
    <t>71骞?317</t>
  </si>
  <si>
    <t>NOR-1998-1</t>
  </si>
  <si>
    <t>8226f522-1e42-11e4-b4cd-db5882bf8def</t>
  </si>
  <si>
    <t>Lahnstein</t>
  </si>
  <si>
    <t>71骞?24</t>
  </si>
  <si>
    <t>NOR-1998-2</t>
  </si>
  <si>
    <t>71骞?540</t>
  </si>
  <si>
    <t>NOR-2000</t>
  </si>
  <si>
    <t>8226f523-1e42-11e4-b4cd-db5882bf8def</t>
  </si>
  <si>
    <t>Stoltenberg</t>
  </si>
  <si>
    <t>NOR-2001</t>
  </si>
  <si>
    <t>71骞?1459</t>
  </si>
  <si>
    <t>NOR-2005</t>
  </si>
  <si>
    <t>71骞?2921</t>
  </si>
  <si>
    <t>NOR-2013</t>
  </si>
  <si>
    <t>2b3a05b7-3481-11e4-8dba-bbcd9ed46413</t>
  </si>
  <si>
    <t>Solberg</t>
  </si>
  <si>
    <t>71骞?806</t>
  </si>
  <si>
    <t>DEN-1874</t>
  </si>
  <si>
    <t>8226f524-1e42-11e4-b4cd-db5882bf8def</t>
  </si>
  <si>
    <t>DEN</t>
  </si>
  <si>
    <t>Fonnesbech</t>
  </si>
  <si>
    <t>1874-07-14</t>
  </si>
  <si>
    <t>1875-06-11</t>
  </si>
  <si>
    <t>1817-07-07</t>
  </si>
  <si>
    <t>07jul1817</t>
  </si>
  <si>
    <t>https://urldefense.proofpoint.com/v2/url?u=http-3A__dbpedia.org_resource_Christen-5FAndreas-5FFonnesbech&amp;d=BQID-g&amp;c=kbmfwr1Yojg42sGEpaQh5ofMHBeTl9EI2eaqQZhHbOU&amp;r=ZliGVSRwfirWoETOrKCh2RSnoygzVPWEk95Me9L-Kwo&amp;m=EaKyFx9mpkhPdFxsxzvW_fiM3jbYwM3xYLjVbSFoDAg&amp;s=U_qnv2Yg7fEX2Vvp-cFYlrEtuyYP51zl9vubekt8Ais&amp;e=</t>
  </si>
  <si>
    <t>71骞?332</t>
  </si>
  <si>
    <t>DEN-1875</t>
  </si>
  <si>
    <t>822725f4-1e42-11e4-b4cd-db5882bf8def</t>
  </si>
  <si>
    <t>Estrup</t>
  </si>
  <si>
    <t>1894-08-07</t>
  </si>
  <si>
    <t>1825-04-06</t>
  </si>
  <si>
    <t>06apr1825</t>
  </si>
  <si>
    <t>https://urldefense.proofpoint.com/v2/url?u=http-3A__dbpedia.org_resource_Jacob-5FBr-25C3-25B8nnum-5FScavenius-5FEstrup&amp;d=BQID-g&amp;c=kbmfwr1Yojg42sGEpaQh5ofMHBeTl9EI2eaqQZhHbOU&amp;r=ZliGVSRwfirWoETOrKCh2RSnoygzVPWEk95Me9L-Kwo&amp;m=EaKyFx9mpkhPdFxsxzvW_fiM3jbYwM3xYLjVbSFoDAg&amp;s=7tXc3kpw-3e3rMghzUQlY475gnym1p9aDQr44XHGkgw&amp;e=</t>
  </si>
  <si>
    <t>71骞?6997</t>
  </si>
  <si>
    <t>DEN-1894</t>
  </si>
  <si>
    <t>822725f5-1e42-11e4-b4cd-db5882bf8def</t>
  </si>
  <si>
    <t>Reedtz-Thott</t>
  </si>
  <si>
    <t>1897-05-23</t>
  </si>
  <si>
    <t>https://urldefense.proofpoint.com/v2/url?u=http-3A__dbpedia.org_resource_Tage-5FReedtz-2DThott&amp;d=BQID-g&amp;c=kbmfwr1Yojg42sGEpaQh5ofMHBeTl9EI2eaqQZhHbOU&amp;r=ZliGVSRwfirWoETOrKCh2RSnoygzVPWEk95Me9L-Kwo&amp;m=EaKyFx9mpkhPdFxsxzvW_fiM3jbYwM3xYLjVbSFoDAg&amp;s=hCz0uc86Y-E3IFRpSi3GPshVNfLnWg3M-ZulCQaiNQE&amp;e=</t>
  </si>
  <si>
    <t>71骞?1020</t>
  </si>
  <si>
    <t>DEN-1897</t>
  </si>
  <si>
    <t>822725f6-1e42-11e4-b4cd-db5882bf8def</t>
  </si>
  <si>
    <t>Horring</t>
  </si>
  <si>
    <t>1842-08-17</t>
  </si>
  <si>
    <t>17aug1842</t>
  </si>
  <si>
    <t>https://urldefense.proofpoint.com/v2/url?u=http-3A__dbpedia.org_resource_Hugo-5FEgmont-5FH-25C3-25B8rring&amp;d=BQID-g&amp;c=kbmfwr1Yojg42sGEpaQh5ofMHBeTl9EI2eaqQZhHbOU&amp;r=ZliGVSRwfirWoETOrKCh2RSnoygzVPWEk95Me9L-Kwo&amp;m=EaKyFx9mpkhPdFxsxzvW_fiM3jbYwM3xYLjVbSFoDAg&amp;s=UNY15uqkbaXesRTG-1Owchr1P9qoUGskCm3VNPCyUXA&amp;e=</t>
  </si>
  <si>
    <t>71骞?1066</t>
  </si>
  <si>
    <t>DEN-1900</t>
  </si>
  <si>
    <t>822725f7-1e42-11e4-b4cd-db5882bf8def</t>
  </si>
  <si>
    <t>Sehested</t>
  </si>
  <si>
    <t>1842-11-16</t>
  </si>
  <si>
    <t>16nov1842</t>
  </si>
  <si>
    <t>71骞?456</t>
  </si>
  <si>
    <t>DEN-1901</t>
  </si>
  <si>
    <t>822725f8-1e42-11e4-b4cd-db5882bf8def</t>
  </si>
  <si>
    <t>Deuntzer</t>
  </si>
  <si>
    <t>1845-05-21</t>
  </si>
  <si>
    <t>21may1845</t>
  </si>
  <si>
    <t>https://urldefense.proofpoint.com/v2/url?u=http-3A__dbpedia.org_resource_Johan-5FHenrik-5FDeuntzer&amp;d=BQID-g&amp;c=kbmfwr1Yojg42sGEpaQh5ofMHBeTl9EI2eaqQZhHbOU&amp;r=ZliGVSRwfirWoETOrKCh2RSnoygzVPWEk95Me9L-Kwo&amp;m=EaKyFx9mpkhPdFxsxzvW_fiM3jbYwM3xYLjVbSFoDAg&amp;s=ESKuJlBMqnUQv2qynVvQ3NoQkchxOw4IqCUaB7MBb_k&amp;e=</t>
  </si>
  <si>
    <t>71骞?1270</t>
  </si>
  <si>
    <t>DEN-1905</t>
  </si>
  <si>
    <t>822756c8-1e42-11e4-b4cd-db5882bf8def</t>
  </si>
  <si>
    <t>Christensen</t>
  </si>
  <si>
    <t>1856-11-21</t>
  </si>
  <si>
    <t>21nov1856</t>
  </si>
  <si>
    <t>https://urldefense.proofpoint.com/v2/url?u=http-3A__dbpedia.org_resource_J.-5FC.-5FChristensen&amp;d=BQID-g&amp;c=kbmfwr1Yojg42sGEpaQh5ofMHBeTl9EI2eaqQZhHbOU&amp;r=ZliGVSRwfirWoETOrKCh2RSnoygzVPWEk95Me9L-Kwo&amp;m=EaKyFx9mpkhPdFxsxzvW_fiM3jbYwM3xYLjVbSFoDAg&amp;s=qHsw9AU4JiJ5GPGK0rUfLPf-3bTQT6OeYbtKuS3NSA0&amp;e=</t>
  </si>
  <si>
    <t>71骞?1367</t>
  </si>
  <si>
    <t>DEN-1908</t>
  </si>
  <si>
    <t>822756c9-1e42-11e4-b4cd-db5882bf8def</t>
  </si>
  <si>
    <t>Neergaard</t>
  </si>
  <si>
    <t>1854-04-27</t>
  </si>
  <si>
    <t>27apr1854</t>
  </si>
  <si>
    <t>https://urldefense.proofpoint.com/v2/url?u=http-3A__dbpedia.org_resource_Niels-5FNeergaard&amp;d=BQID-g&amp;c=kbmfwr1Yojg42sGEpaQh5ofMHBeTl9EI2eaqQZhHbOU&amp;r=ZliGVSRwfirWoETOrKCh2RSnoygzVPWEk95Me9L-Kwo&amp;m=EaKyFx9mpkhPdFxsxzvW_fiM3jbYwM3xYLjVbSFoDAg&amp;s=upT8hoX1LAC6aEuBc5ZsUJ_yG26TKZgoI4TmsCqMF4U&amp;e=</t>
  </si>
  <si>
    <t>71骞?308</t>
  </si>
  <si>
    <t>DEN-1909-1</t>
  </si>
  <si>
    <t>822756ca-1e42-11e4-b4cd-db5882bf8def</t>
  </si>
  <si>
    <t>J. Holstein</t>
  </si>
  <si>
    <t>1839-06-10</t>
  </si>
  <si>
    <t>10jun1839</t>
  </si>
  <si>
    <t>https://urldefense.proofpoint.com/v2/url?u=http-3A__dbpedia.org_resource_Ludvig-5FHolstein-2DLedreborg&amp;d=BQID-g&amp;c=kbmfwr1Yojg42sGEpaQh5ofMHBeTl9EI2eaqQZhHbOU&amp;r=ZliGVSRwfirWoETOrKCh2RSnoygzVPWEk95Me9L-Kwo&amp;m=EaKyFx9mpkhPdFxsxzvW_fiM3jbYwM3xYLjVbSFoDAg&amp;s=FWtn_RhxtPR5xW6vUmQJCemarzgxLNKirmpR-PJ7rvQ&amp;e=</t>
  </si>
  <si>
    <t>71骞?73</t>
  </si>
  <si>
    <t>DEN-1909-2</t>
  </si>
  <si>
    <t>822756cb-1e42-11e4-b4cd-db5882bf8def</t>
  </si>
  <si>
    <t>Zahle</t>
  </si>
  <si>
    <t>1866-01-19</t>
  </si>
  <si>
    <t>19jan1866</t>
  </si>
  <si>
    <t>https://urldefense.proofpoint.com/v2/url?u=http-3A__dbpedia.org_resource_Carl-5FTheodor-5FZahle&amp;d=BQID-g&amp;c=kbmfwr1Yojg42sGEpaQh5ofMHBeTl9EI2eaqQZhHbOU&amp;r=ZliGVSRwfirWoETOrKCh2RSnoygzVPWEk95Me9L-Kwo&amp;m=EaKyFx9mpkhPdFxsxzvW_fiM3jbYwM3xYLjVbSFoDAg&amp;s=DjoyC4B0srtQAKwUE3sJHz3U_xGVOGkpC4Fyw-KHcbs&amp;e=</t>
  </si>
  <si>
    <t>71骞?250</t>
  </si>
  <si>
    <t>DEN-1910</t>
  </si>
  <si>
    <t>822756cc-1e42-11e4-b4cd-db5882bf8def</t>
  </si>
  <si>
    <t>Bernsten</t>
  </si>
  <si>
    <t>1844-06-12</t>
  </si>
  <si>
    <t>12jun1844</t>
  </si>
  <si>
    <t>https://urldefense.proofpoint.com/v2/url?u=http-3A__dbpedia.org_resource_Klaus-5FBerntsen&amp;d=BQID-g&amp;c=kbmfwr1Yojg42sGEpaQh5ofMHBeTl9EI2eaqQZhHbOU&amp;r=ZliGVSRwfirWoETOrKCh2RSnoygzVPWEk95Me9L-Kwo&amp;m=EaKyFx9mpkhPdFxsxzvW_fiM3jbYwM3xYLjVbSFoDAg&amp;s=bprbgCflEFwPs4OID54xT7uSO3ZYC5UBXL5bRQWW5DA&amp;e=</t>
  </si>
  <si>
    <t>71骞?1082</t>
  </si>
  <si>
    <t>DEN-1913</t>
  </si>
  <si>
    <t>71骞?2474</t>
  </si>
  <si>
    <t>DEN-1920-1</t>
  </si>
  <si>
    <t>8227879c-1e42-11e4-b4cd-db5882bf8def</t>
  </si>
  <si>
    <t>Liebe</t>
  </si>
  <si>
    <t>1860-05-24</t>
  </si>
  <si>
    <t>24may1860</t>
  </si>
  <si>
    <t>https://urldefense.proofpoint.com/v2/url?u=http-3A__dbpedia.org_resource_Otto-5FLiebe&amp;d=BQID-g&amp;c=kbmfwr1Yojg42sGEpaQh5ofMHBeTl9EI2eaqQZhHbOU&amp;r=ZliGVSRwfirWoETOrKCh2RSnoygzVPWEk95Me9L-Kwo&amp;m=EaKyFx9mpkhPdFxsxzvW_fiM3jbYwM3xYLjVbSFoDAg&amp;s=3iBYiVLxekm2xZ4KZinoVdUdK2Bf5lkqlyBDT9w7f9s&amp;e=</t>
  </si>
  <si>
    <t>71骞?6</t>
  </si>
  <si>
    <t>DEN-1920-2</t>
  </si>
  <si>
    <t>8227879d-1e42-11e4-b4cd-db5882bf8def</t>
  </si>
  <si>
    <t>Friis</t>
  </si>
  <si>
    <t>1870-08-16</t>
  </si>
  <si>
    <t>16aug1870</t>
  </si>
  <si>
    <t>71骞?30</t>
  </si>
  <si>
    <t>DEN-1920-3</t>
  </si>
  <si>
    <t>71骞?1449</t>
  </si>
  <si>
    <t>DEN-1924</t>
  </si>
  <si>
    <t>8227879e-1e42-11e4-b4cd-db5882bf8def</t>
  </si>
  <si>
    <t>Stauning</t>
  </si>
  <si>
    <t>1873-10-26</t>
  </si>
  <si>
    <t>26oct1873</t>
  </si>
  <si>
    <t>https://urldefense.proofpoint.com/v2/url?u=http-3A__dbpedia.org_resource_Thorvald-5FStauning&amp;d=BQID-g&amp;c=kbmfwr1Yojg42sGEpaQh5ofMHBeTl9EI2eaqQZhHbOU&amp;r=ZliGVSRwfirWoETOrKCh2RSnoygzVPWEk95Me9L-Kwo&amp;m=EaKyFx9mpkhPdFxsxzvW_fiM3jbYwM3xYLjVbSFoDAg&amp;s=7KzBlZqIVu41RpYb3ThvPE_etQZo0qZH7FhrZ9Hm0Ps&amp;e=</t>
  </si>
  <si>
    <t>71骞?965</t>
  </si>
  <si>
    <t>DEN-1926</t>
  </si>
  <si>
    <t>8227879f-1e42-11e4-b4cd-db5882bf8def</t>
  </si>
  <si>
    <t>Madsen-Mygdat</t>
  </si>
  <si>
    <t>1876-12-24</t>
  </si>
  <si>
    <t>24dec1876</t>
  </si>
  <si>
    <t>https://urldefense.proofpoint.com/v2/url?u=http-3A__dbpedia.org_resource_Thomas-5FMadsen-2DMygdal&amp;d=BQID-g&amp;c=kbmfwr1Yojg42sGEpaQh5ofMHBeTl9EI2eaqQZhHbOU&amp;r=ZliGVSRwfirWoETOrKCh2RSnoygzVPWEk95Me9L-Kwo&amp;m=EaKyFx9mpkhPdFxsxzvW_fiM3jbYwM3xYLjVbSFoDAg&amp;s=OVgMLdYVotsye0qOTpYsDD7HdG6gm6EEkYbvuKw1i2M&amp;e=</t>
  </si>
  <si>
    <t>71骞?863</t>
  </si>
  <si>
    <t>DEN-1929</t>
  </si>
  <si>
    <t>71骞?4751</t>
  </si>
  <si>
    <t>DEN-1942-1</t>
  </si>
  <si>
    <t>35e74a18-3bbd-11e5-afeb-eb6f07f9fec7</t>
  </si>
  <si>
    <t>Buhl</t>
  </si>
  <si>
    <t>1881-10-16</t>
  </si>
  <si>
    <t>16oct1881</t>
  </si>
  <si>
    <t>https://urldefense.proofpoint.com/v2/url?u=http-3A__dbpedia.org_resource_Vilhelm-5FBuhl&amp;d=BQID-g&amp;c=kbmfwr1Yojg42sGEpaQh5ofMHBeTl9EI2eaqQZhHbOU&amp;r=ZliGVSRwfirWoETOrKCh2RSnoygzVPWEk95Me9L-Kwo&amp;m=EaKyFx9mpkhPdFxsxzvW_fiM3jbYwM3xYLjVbSFoDAg&amp;s=_B4F7YCsU6fpKnG2zGEr18YrYcoj55MUtGiSIH8cBJs&amp;e=</t>
  </si>
  <si>
    <t>71骞?190</t>
  </si>
  <si>
    <t>DEN-1942-2</t>
  </si>
  <si>
    <t>8227b870-1e42-11e4-b4cd-db5882bf8def</t>
  </si>
  <si>
    <t>Scavenius</t>
  </si>
  <si>
    <t>1877-06-13</t>
  </si>
  <si>
    <t>13jun1877</t>
  </si>
  <si>
    <t>https://urldefense.proofpoint.com/v2/url?u=http-3A__dbpedia.org_resource_Erik-5FScavenius&amp;d=BQID-g&amp;c=kbmfwr1Yojg42sGEpaQh5ofMHBeTl9EI2eaqQZhHbOU&amp;r=ZliGVSRwfirWoETOrKCh2RSnoygzVPWEk95Me9L-Kwo&amp;m=EaKyFx9mpkhPdFxsxzvW_fiM3jbYwM3xYLjVbSFoDAg&amp;s=Ak-IaXYpPU45UG7stq3di_cvLCPwbP8Z5QrWyj3Gs4A&amp;e=</t>
  </si>
  <si>
    <t>71骞?294</t>
  </si>
  <si>
    <t>DEN-1945-1</t>
  </si>
  <si>
    <t>71骞?186</t>
  </si>
  <si>
    <t>DEN-1945-2</t>
  </si>
  <si>
    <t>19781588-3bbd-11e5-afeb-eb6f07f9fec7</t>
  </si>
  <si>
    <t>Kristensen</t>
  </si>
  <si>
    <t>1880-10-26</t>
  </si>
  <si>
    <t>26oct1880</t>
  </si>
  <si>
    <t>https://urldefense.proofpoint.com/v2/url?u=http-3A__dbpedia.org_resource_Knud-5FKristensen&amp;d=BQID-g&amp;c=kbmfwr1Yojg42sGEpaQh5ofMHBeTl9EI2eaqQZhHbOU&amp;r=ZliGVSRwfirWoETOrKCh2RSnoygzVPWEk95Me9L-Kwo&amp;m=EaKyFx9mpkhPdFxsxzvW_fiM3jbYwM3xYLjVbSFoDAg&amp;s=Z16QIzd7NMWhc3i45OP347ueH0e1e8aYAWuSztWGKbc&amp;e=</t>
  </si>
  <si>
    <t>71骞?695</t>
  </si>
  <si>
    <t>DEN-1947</t>
  </si>
  <si>
    <t>8227b872-1e42-11e4-b4cd-db5882bf8def</t>
  </si>
  <si>
    <t>Hedtoft</t>
  </si>
  <si>
    <t>https://urldefense.proofpoint.com/v2/url?u=http-3A__dbpedia.org_resource_Hans-5FHedtoft&amp;d=BQID-g&amp;c=kbmfwr1Yojg42sGEpaQh5ofMHBeTl9EI2eaqQZhHbOU&amp;r=ZliGVSRwfirWoETOrKCh2RSnoygzVPWEk95Me9L-Kwo&amp;m=EaKyFx9mpkhPdFxsxzvW_fiM3jbYwM3xYLjVbSFoDAg&amp;s=zUweon19ojD8u5t0yb2WgSBtK9Pgqxg0uycNyf_sKmU&amp;e=</t>
  </si>
  <si>
    <t>71骞?1078</t>
  </si>
  <si>
    <t>DEN-1950</t>
  </si>
  <si>
    <t>8227b873-1e42-11e4-b4cd-db5882bf8def</t>
  </si>
  <si>
    <t>Eriksen</t>
  </si>
  <si>
    <t>https://urldefense.proofpoint.com/v2/url?u=http-3A__dbpedia.org_resource_Erik-5FEriksen&amp;d=BQID-g&amp;c=kbmfwr1Yojg42sGEpaQh5ofMHBeTl9EI2eaqQZhHbOU&amp;r=ZliGVSRwfirWoETOrKCh2RSnoygzVPWEk95Me9L-Kwo&amp;m=EaKyFx9mpkhPdFxsxzvW_fiM3jbYwM3xYLjVbSFoDAg&amp;s=609BcV6V0BEqShToZZQWK4G9gfDwJpg2CYDB1XeP9go&amp;e=</t>
  </si>
  <si>
    <t>71骞?1068</t>
  </si>
  <si>
    <t>DEN-1953</t>
  </si>
  <si>
    <t>71骞?486</t>
  </si>
  <si>
    <t>DEN-1955</t>
  </si>
  <si>
    <t>8227b874-1e42-11e4-b4cd-db5882bf8def</t>
  </si>
  <si>
    <t>Hansen</t>
  </si>
  <si>
    <t>https://urldefense.proofpoint.com/v2/url?u=http-3A__dbpedia.org_resource_H.-5FC.-5FHansen&amp;d=BQID-g&amp;c=kbmfwr1Yojg42sGEpaQh5ofMHBeTl9EI2eaqQZhHbOU&amp;r=ZliGVSRwfirWoETOrKCh2RSnoygzVPWEk95Me9L-Kwo&amp;m=EaKyFx9mpkhPdFxsxzvW_fiM3jbYwM3xYLjVbSFoDAg&amp;s=w2vCfIgDFAKtp84H6cPYslxod0-6tTi1XRZQmUTtbGk&amp;e=</t>
  </si>
  <si>
    <t>71骞?1844</t>
  </si>
  <si>
    <t>DEN-1960</t>
  </si>
  <si>
    <t>8227e944-1e42-11e4-b4cd-db5882bf8def</t>
  </si>
  <si>
    <t>Kampmann</t>
  </si>
  <si>
    <t>https://urldefense.proofpoint.com/v2/url?u=http-3A__dbpedia.org_resource_Viggo-5FKampmann&amp;d=BQID-g&amp;c=kbmfwr1Yojg42sGEpaQh5ofMHBeTl9EI2eaqQZhHbOU&amp;r=ZliGVSRwfirWoETOrKCh2RSnoygzVPWEk95Me9L-Kwo&amp;m=EaKyFx9mpkhPdFxsxzvW_fiM3jbYwM3xYLjVbSFoDAg&amp;s=3Q0e_49eG_fp0pUQHwcem5_RKxqzhVFnrLZnkWwXBgY&amp;e=</t>
  </si>
  <si>
    <t>71骞?927</t>
  </si>
  <si>
    <t>DEN-1962</t>
  </si>
  <si>
    <t>8227e945-1e42-11e4-b4cd-db5882bf8def</t>
  </si>
  <si>
    <t>Krag</t>
  </si>
  <si>
    <t>https://urldefense.proofpoint.com/v2/url?u=http-3A__dbpedia.org_resource_Jens-5FOtto-5FKrag&amp;d=BQID-g&amp;c=kbmfwr1Yojg42sGEpaQh5ofMHBeTl9EI2eaqQZhHbOU&amp;r=ZliGVSRwfirWoETOrKCh2RSnoygzVPWEk95Me9L-Kwo&amp;m=EaKyFx9mpkhPdFxsxzvW_fiM3jbYwM3xYLjVbSFoDAg&amp;s=5slYG10UEcLZBXO11XiR7uBK_TqgLUwf-cEs94YmKI8&amp;e=</t>
  </si>
  <si>
    <t>71骞?1994</t>
  </si>
  <si>
    <t>DEN-1968</t>
  </si>
  <si>
    <t>8227e946-1e42-11e4-b4cd-db5882bf8def</t>
  </si>
  <si>
    <t>Baunsgaard</t>
  </si>
  <si>
    <t>https://urldefense.proofpoint.com/v2/url?u=http-3A__dbpedia.org_resource_Hilmar-5FBaunsgaard&amp;d=BQID-g&amp;c=kbmfwr1Yojg42sGEpaQh5ofMHBeTl9EI2eaqQZhHbOU&amp;r=ZliGVSRwfirWoETOrKCh2RSnoygzVPWEk95Me9L-Kwo&amp;m=EaKyFx9mpkhPdFxsxzvW_fiM3jbYwM3xYLjVbSFoDAg&amp;s=VhY2Q7OyBsdGY8ODWpCs2J2rSrA3pt9t-t00_lnWRnA&amp;e=</t>
  </si>
  <si>
    <t>71骞?1326</t>
  </si>
  <si>
    <t>DEN-1971</t>
  </si>
  <si>
    <t>71骞?358</t>
  </si>
  <si>
    <t>DEN-1972</t>
  </si>
  <si>
    <t>8227e947-1e42-11e4-b4cd-db5882bf8def</t>
  </si>
  <si>
    <t>Jorgensen</t>
  </si>
  <si>
    <t>71骞?440</t>
  </si>
  <si>
    <t>DEN-1973</t>
  </si>
  <si>
    <t>8227e948-1e42-11e4-b4cd-db5882bf8def</t>
  </si>
  <si>
    <t>Hartling</t>
  </si>
  <si>
    <t>https://urldefense.proofpoint.com/v2/url?u=http-3A__dbpedia.org_resource_Poul-5FHartling&amp;d=BQID-g&amp;c=kbmfwr1Yojg42sGEpaQh5ofMHBeTl9EI2eaqQZhHbOU&amp;r=ZliGVSRwfirWoETOrKCh2RSnoygzVPWEk95Me9L-Kwo&amp;m=EaKyFx9mpkhPdFxsxzvW_fiM3jbYwM3xYLjVbSFoDAg&amp;s=2AE31PNCi3ahfn80Tqlvm5F1NFWcSiw_bSTbcs8V4K8&amp;e=</t>
  </si>
  <si>
    <t>71骞?406</t>
  </si>
  <si>
    <t>DEN-1975</t>
  </si>
  <si>
    <t>71骞?2766</t>
  </si>
  <si>
    <t>DEN-1982</t>
  </si>
  <si>
    <t>82281a18-1e42-11e4-b4cd-db5882bf8def</t>
  </si>
  <si>
    <t>Schluter</t>
  </si>
  <si>
    <t>https://urldefense.proofpoint.com/v2/url?u=http-3A__dbpedia.org_resource_Poul-5FSchl-25C3-25BCter&amp;d=BQID-g&amp;c=kbmfwr1Yojg42sGEpaQh5ofMHBeTl9EI2eaqQZhHbOU&amp;r=ZliGVSRwfirWoETOrKCh2RSnoygzVPWEk95Me9L-Kwo&amp;m=EaKyFx9mpkhPdFxsxzvW_fiM3jbYwM3xYLjVbSFoDAg&amp;s=3S5AguphZryyblcnpNPIv8ywI-pqbZvHEzfrDN1Cgmo&amp;e=</t>
  </si>
  <si>
    <t>71骞?3790</t>
  </si>
  <si>
    <t>DEN-1993</t>
  </si>
  <si>
    <t>82281a19-1e42-11e4-b4cd-db5882bf8def</t>
  </si>
  <si>
    <t>Nyrup Rasmussen</t>
  </si>
  <si>
    <t>https://urldefense.proofpoint.com/v2/url?u=http-3A__dbpedia.org_resource_Poul-5FNyrup-5FRasmussen&amp;d=BQID-g&amp;c=kbmfwr1Yojg42sGEpaQh5ofMHBeTl9EI2eaqQZhHbOU&amp;r=ZliGVSRwfirWoETOrKCh2RSnoygzVPWEk95Me9L-Kwo&amp;m=EaKyFx9mpkhPdFxsxzvW_fiM3jbYwM3xYLjVbSFoDAg&amp;s=6Ry8ZcgzuuYHA9JgXu5Dv_Dvkchicfvmxo6BW-Yeglg&amp;e=</t>
  </si>
  <si>
    <t>71骞?3228</t>
  </si>
  <si>
    <t>DEN-2001</t>
  </si>
  <si>
    <t>82281a1a-1e42-11e4-b4cd-db5882bf8def</t>
  </si>
  <si>
    <t>Fogh Rasmussen</t>
  </si>
  <si>
    <t>https://urldefense.proofpoint.com/v2/url?u=http-3A__dbpedia.org_resource_Anders-5FFogh-5FRasmussen&amp;d=BQID-g&amp;c=kbmfwr1Yojg42sGEpaQh5ofMHBeTl9EI2eaqQZhHbOU&amp;r=ZliGVSRwfirWoETOrKCh2RSnoygzVPWEk95Me9L-Kwo&amp;m=EaKyFx9mpkhPdFxsxzvW_fiM3jbYwM3xYLjVbSFoDAg&amp;s=9Uju6leXLHKwBuGTVB58VSTyJKjbSdp4rwm72h-046U&amp;e=</t>
  </si>
  <si>
    <t>71骞?2686</t>
  </si>
  <si>
    <t>DEN-2009</t>
  </si>
  <si>
    <t>82530554-1e42-11e4-b4cd-db5882bf8def</t>
  </si>
  <si>
    <t>Lars L酶kke Rasmussen</t>
  </si>
  <si>
    <t>71骞?911</t>
  </si>
  <si>
    <t>DEN-2011</t>
  </si>
  <si>
    <t>82530555-1e42-11e4-b4cd-db5882bf8def</t>
  </si>
  <si>
    <t>Thorning-Schmidt</t>
  </si>
  <si>
    <t>71骞?1364</t>
  </si>
  <si>
    <t>DEN-2015</t>
  </si>
  <si>
    <t>43f81006-de6a-11e5-ba44-bb6d7c1a9a58</t>
  </si>
  <si>
    <t>ICE-1944-1</t>
  </si>
  <si>
    <t>82281a1b-1e42-11e4-b4cd-db5882bf8def</t>
  </si>
  <si>
    <t>ICE</t>
  </si>
  <si>
    <t>Thordarson</t>
  </si>
  <si>
    <t>71骞?157</t>
  </si>
  <si>
    <t>ICE-1944-2</t>
  </si>
  <si>
    <t>82281a1c-1e42-11e4-b4cd-db5882bf8def</t>
  </si>
  <si>
    <t>Thors</t>
  </si>
  <si>
    <t>1892-01-19</t>
  </si>
  <si>
    <t>19jan1892</t>
  </si>
  <si>
    <t>https://urldefense.proofpoint.com/v2/url?u=http-3A__dbpedia.org_resource_-25C3-2593lafur-5FThors&amp;d=BQID-g&amp;c=kbmfwr1Yojg42sGEpaQh5ofMHBeTl9EI2eaqQZhHbOU&amp;r=ZliGVSRwfirWoETOrKCh2RSnoygzVPWEk95Me9L-Kwo&amp;m=EaKyFx9mpkhPdFxsxzvW_fiM3jbYwM3xYLjVbSFoDAg&amp;s=upDxQlBHUHLfX-eH_q8NwxddfQhpE83Qq6Ssh7ZtmNU&amp;e=</t>
  </si>
  <si>
    <t>71骞?835</t>
  </si>
  <si>
    <t>ICE-1947</t>
  </si>
  <si>
    <t>82284af6-1e42-11e4-b4cd-db5882bf8def</t>
  </si>
  <si>
    <t>Stefansson</t>
  </si>
  <si>
    <t>1894-07-20</t>
  </si>
  <si>
    <t>20jul1894</t>
  </si>
  <si>
    <t>https://urldefense.proofpoint.com/v2/url?u=http-3A__dbpedia.org_resource_Stef-25C3-25A1n-5FJ-25C3-25B3hann-5FStef-25C3-25A1nsson&amp;d=BQID-g&amp;c=kbmfwr1Yojg42sGEpaQh5ofMHBeTl9EI2eaqQZhHbOU&amp;r=ZliGVSRwfirWoETOrKCh2RSnoygzVPWEk95Me9L-Kwo&amp;m=EaKyFx9mpkhPdFxsxzvW_fiM3jbYwM3xYLjVbSFoDAg&amp;s=CIIa99pLYFcwFYaqtu70-qakJpAdUArI0qHMNMEyggQ&amp;e=</t>
  </si>
  <si>
    <t>71骞?1037</t>
  </si>
  <si>
    <t>ICE-1949</t>
  </si>
  <si>
    <t>71骞?98</t>
  </si>
  <si>
    <t>ICE-1950</t>
  </si>
  <si>
    <t>82284af7-1e42-11e4-b4cd-db5882bf8def</t>
  </si>
  <si>
    <t>Steinthorsson</t>
  </si>
  <si>
    <t>1893-02-12</t>
  </si>
  <si>
    <t>12feb1893</t>
  </si>
  <si>
    <t>https://urldefense.proofpoint.com/v2/url?u=http-3A__dbpedia.org_resource_Steingr-25C3-25ADmur-5FStein-25C3-25BE-25C3-25B3rsson&amp;d=BQID-g&amp;c=kbmfwr1Yojg42sGEpaQh5ofMHBeTl9EI2eaqQZhHbOU&amp;r=ZliGVSRwfirWoETOrKCh2RSnoygzVPWEk95Me9L-Kwo&amp;m=EaKyFx9mpkhPdFxsxzvW_fiM3jbYwM3xYLjVbSFoDAg&amp;s=aYxWsrzIL_w-kS-hqbEPZ0Zb1IpugfO7Yx0DgDTYAxQ&amp;e=</t>
  </si>
  <si>
    <t>71骞?1279</t>
  </si>
  <si>
    <t>ICE-1953</t>
  </si>
  <si>
    <t>71骞?1042</t>
  </si>
  <si>
    <t>ICE-1956</t>
  </si>
  <si>
    <t>82284af8-1e42-11e4-b4cd-db5882bf8def</t>
  </si>
  <si>
    <t>Jonasson</t>
  </si>
  <si>
    <t>1896-12-25</t>
  </si>
  <si>
    <t>25dec1896</t>
  </si>
  <si>
    <t>Father of Hermannsson%8228ac9e-1e42-11e4-b4cd-db5882bf8def</t>
  </si>
  <si>
    <t>71骞?866</t>
  </si>
  <si>
    <t>ICE-1958</t>
  </si>
  <si>
    <t>82284af9-1e42-11e4-b4cd-db5882bf8def</t>
  </si>
  <si>
    <t>Jonsson</t>
  </si>
  <si>
    <t>https://urldefense.proofpoint.com/v2/url?u=http-3A__dbpedia.org_resource_Emil-5FJ-25C3-25B3nsson&amp;d=BQID-g&amp;c=kbmfwr1Yojg42sGEpaQh5ofMHBeTl9EI2eaqQZhHbOU&amp;r=ZliGVSRwfirWoETOrKCh2RSnoygzVPWEk95Me9L-Kwo&amp;m=EaKyFx9mpkhPdFxsxzvW_fiM3jbYwM3xYLjVbSFoDAg&amp;s=6Jjwmj06udaCvmWLbvEb_bjTVM-LTuD5TtrVkYsbrM0&amp;e=</t>
  </si>
  <si>
    <t>ICE-1959</t>
  </si>
  <si>
    <t>71骞?1453</t>
  </si>
  <si>
    <t>ICE-1963</t>
  </si>
  <si>
    <t>82284afa-1e42-11e4-b4cd-db5882bf8def</t>
  </si>
  <si>
    <t>Benediktsson</t>
  </si>
  <si>
    <t>https://urldefense.proofpoint.com/v2/url?u=http-3A__dbpedia.org_resource_Bjarni-5FBenediktsson&amp;d=BQID-g&amp;c=kbmfwr1Yojg42sGEpaQh5ofMHBeTl9EI2eaqQZhHbOU&amp;r=ZliGVSRwfirWoETOrKCh2RSnoygzVPWEk95Me9L-Kwo&amp;m=EaKyFx9mpkhPdFxsxzvW_fiM3jbYwM3xYLjVbSFoDAg&amp;s=Shs1EVVUIR9dqu8UQvpTcYhutJGVvXI2zewYcbkuLRo&amp;e=</t>
  </si>
  <si>
    <t>71骞?2430</t>
  </si>
  <si>
    <t>ICE-1970</t>
  </si>
  <si>
    <t>82287bca-1e42-11e4-b4cd-db5882bf8def</t>
  </si>
  <si>
    <t>Hafstein</t>
  </si>
  <si>
    <t>https://urldefense.proofpoint.com/v2/url?u=http-3A__dbpedia.org_resource_J-25C3-25B3hann-5FHafstein&amp;d=BQID-g&amp;c=kbmfwr1Yojg42sGEpaQh5ofMHBeTl9EI2eaqQZhHbOU&amp;r=ZliGVSRwfirWoETOrKCh2RSnoygzVPWEk95Me9L-Kwo&amp;m=EaKyFx9mpkhPdFxsxzvW_fiM3jbYwM3xYLjVbSFoDAg&amp;s=qzkzqcENCCYtEJdoBxgRC_SE3XdAkFVrlEE5g4DmLOg&amp;e=</t>
  </si>
  <si>
    <t>71骞?369</t>
  </si>
  <si>
    <t>ICE-1971</t>
  </si>
  <si>
    <t>82287bcb-1e42-11e4-b4cd-db5882bf8def</t>
  </si>
  <si>
    <t>Johannesson</t>
  </si>
  <si>
    <t>https://urldefense.proofpoint.com/v2/url?u=http-3A__dbpedia.org_resource_-25C3-2593lafur-5FJ-25C3-25B3hannesson&amp;d=BQID-g&amp;c=kbmfwr1Yojg42sGEpaQh5ofMHBeTl9EI2eaqQZhHbOU&amp;r=ZliGVSRwfirWoETOrKCh2RSnoygzVPWEk95Me9L-Kwo&amp;m=EaKyFx9mpkhPdFxsxzvW_fiM3jbYwM3xYLjVbSFoDAg&amp;s=s80-KW9onm8qG2NI7NiJeSwiFc3unTodc6jEMC6AHQI&amp;e=</t>
  </si>
  <si>
    <t>71骞?1141</t>
  </si>
  <si>
    <t>ICE-1974</t>
  </si>
  <si>
    <t>82287bcc-1e42-11e4-b4cd-db5882bf8def</t>
  </si>
  <si>
    <t>Hallgrimsson</t>
  </si>
  <si>
    <t>https://urldefense.proofpoint.com/v2/url?u=http-3A__dbpedia.org_resource_Geir-5FHallgr-25C3-25ADmsson&amp;d=BQID-g&amp;c=kbmfwr1Yojg42sGEpaQh5ofMHBeTl9EI2eaqQZhHbOU&amp;r=ZliGVSRwfirWoETOrKCh2RSnoygzVPWEk95Me9L-Kwo&amp;m=EaKyFx9mpkhPdFxsxzvW_fiM3jbYwM3xYLjVbSFoDAg&amp;s=Yum08nDhlHRFYOZdzhqYSuvDlRsJTCFuVOO8LoCGGxU&amp;e=</t>
  </si>
  <si>
    <t>71骞?1463</t>
  </si>
  <si>
    <t>ICE-1978</t>
  </si>
  <si>
    <t>71骞?410</t>
  </si>
  <si>
    <t>ICE-1979</t>
  </si>
  <si>
    <t>82287bcd-1e42-11e4-b4cd-db5882bf8def</t>
  </si>
  <si>
    <t>Groendal</t>
  </si>
  <si>
    <t>https://urldefense.proofpoint.com/v2/url?u=http-3A__dbpedia.org_resource_Benedikt-5FSigur-25C3-25B0sson-5FGr-25C3-25B6ndal&amp;d=BQID-g&amp;c=kbmfwr1Yojg42sGEpaQh5ofMHBeTl9EI2eaqQZhHbOU&amp;r=ZliGVSRwfirWoETOrKCh2RSnoygzVPWEk95Me9L-Kwo&amp;m=EaKyFx9mpkhPdFxsxzvW_fiM3jbYwM3xYLjVbSFoDAg&amp;s=Gjwi0Inr37YWfZbofAe4Ww1h8Q077tuk93-LHfkePpA&amp;e=</t>
  </si>
  <si>
    <t>71骞?116</t>
  </si>
  <si>
    <t>ICE-1980</t>
  </si>
  <si>
    <t>82287bce-1e42-11e4-b4cd-db5882bf8def</t>
  </si>
  <si>
    <t>Thoroddsen</t>
  </si>
  <si>
    <t>https://urldefense.proofpoint.com/v2/url?u=http-3A__dbpedia.org_resource_Gunnar-5FThoroddsen&amp;d=BQID-g&amp;c=kbmfwr1Yojg42sGEpaQh5ofMHBeTl9EI2eaqQZhHbOU&amp;r=ZliGVSRwfirWoETOrKCh2RSnoygzVPWEk95Me9L-Kwo&amp;m=EaKyFx9mpkhPdFxsxzvW_fiM3jbYwM3xYLjVbSFoDAg&amp;s=AEB0VwAzbojjJ9tjrZsO1LVuepFsAi4Fudr7dKye9CM&amp;e=</t>
  </si>
  <si>
    <t>71骞?1203</t>
  </si>
  <si>
    <t>ICE-1983</t>
  </si>
  <si>
    <t>8228ac9e-1e42-11e4-b4cd-db5882bf8def</t>
  </si>
  <si>
    <t>Hermannsson</t>
  </si>
  <si>
    <t>https://urldefense.proofpoint.com/v2/url?u=http-3A__dbpedia.org_resource_Steingr-25C3-25ADmur-5FHermannsson&amp;d=BQID-g&amp;c=kbmfwr1Yojg42sGEpaQh5ofMHBeTl9EI2eaqQZhHbOU&amp;r=ZliGVSRwfirWoETOrKCh2RSnoygzVPWEk95Me9L-Kwo&amp;m=EaKyFx9mpkhPdFxsxzvW_fiM3jbYwM3xYLjVbSFoDAg&amp;s=_VcKooMoqTN_q2hu82Y1gFI6FSZQ6E1jlburphJu6tM&amp;e=</t>
  </si>
  <si>
    <t>Son of Jonasson%82284af8-1e42-11e4-b4cd-db5882bf8def</t>
  </si>
  <si>
    <t>71骞?1504</t>
  </si>
  <si>
    <t>ICE-1987</t>
  </si>
  <si>
    <t>8228ac9f-1e42-11e4-b4cd-db5882bf8def</t>
  </si>
  <si>
    <t>Palsson</t>
  </si>
  <si>
    <t>https://urldefense.proofpoint.com/v2/url?u=http-3A__dbpedia.org_resource_-25C3-259Eorsteinn-5FP-25C3-25A1lsson&amp;d=BQID-g&amp;c=kbmfwr1Yojg42sGEpaQh5ofMHBeTl9EI2eaqQZhHbOU&amp;r=ZliGVSRwfirWoETOrKCh2RSnoygzVPWEk95Me9L-Kwo&amp;m=EaKyFx9mpkhPdFxsxzvW_fiM3jbYwM3xYLjVbSFoDAg&amp;s=izDPONT2wCb7LhcM0EPy_PxWPgHVoyGnONVCrCFz2Bg&amp;e=</t>
  </si>
  <si>
    <t>71骞?448</t>
  </si>
  <si>
    <t>ICE-1988</t>
  </si>
  <si>
    <t>71骞?944</t>
  </si>
  <si>
    <t>ICE-1991</t>
  </si>
  <si>
    <t>8228dd72-1e42-11e4-b4cd-db5882bf8def</t>
  </si>
  <si>
    <t>Oddsson</t>
  </si>
  <si>
    <t>https://urldefense.proofpoint.com/v2/url?u=http-3A__dbpedia.org_resource_Dav-25C3-25AD-25C3-25B0-5FOddsson&amp;d=BQID-g&amp;c=kbmfwr1Yojg42sGEpaQh5ofMHBeTl9EI2eaqQZhHbOU&amp;r=ZliGVSRwfirWoETOrKCh2RSnoygzVPWEk95Me9L-Kwo&amp;m=EaKyFx9mpkhPdFxsxzvW_fiM3jbYwM3xYLjVbSFoDAg&amp;s=dicn6WhTgjebW1bJPzdGOmxUbnpm2N16fMQ2zU643Cs&amp;e=</t>
  </si>
  <si>
    <t>71骞?4887</t>
  </si>
  <si>
    <t>ICE-2004</t>
  </si>
  <si>
    <t>8228dd73-1e42-11e4-b4cd-db5882bf8def</t>
  </si>
  <si>
    <t>Halldor Asgrimsson</t>
  </si>
  <si>
    <t>71骞?638</t>
  </si>
  <si>
    <t>ICE-2006</t>
  </si>
  <si>
    <t>82530556-1e42-11e4-b4cd-db5882bf8def</t>
  </si>
  <si>
    <t>Hilmar Haarde</t>
  </si>
  <si>
    <t>71骞?962</t>
  </si>
  <si>
    <t>ICE-2009</t>
  </si>
  <si>
    <t>82530557-1e42-11e4-b4cd-db5882bf8def</t>
  </si>
  <si>
    <t>Sigurdardottir</t>
  </si>
  <si>
    <t>71骞?1572</t>
  </si>
  <si>
    <t>ICE-2013</t>
  </si>
  <si>
    <t>149f0027-aae0-11e4-b3bc-29f2fa19767e</t>
  </si>
  <si>
    <t>Gunnlaugsson</t>
  </si>
  <si>
    <t>71骞?952</t>
  </si>
  <si>
    <t>CAP-1975</t>
  </si>
  <si>
    <t>82290e46-1e42-11e4-b4cd-db5882bf8def</t>
  </si>
  <si>
    <t>CAP</t>
  </si>
  <si>
    <t>Pires</t>
  </si>
  <si>
    <t>https://urldefense.proofpoint.com/v2/url?u=http-3A__dbpedia.org_resource_Pedro-5FPires&amp;d=BQID-g&amp;c=kbmfwr1Yojg42sGEpaQh5ofMHBeTl9EI2eaqQZhHbOU&amp;r=ZliGVSRwfirWoETOrKCh2RSnoygzVPWEk95Me9L-Kwo&amp;m=EaKyFx9mpkhPdFxsxzvW_fiM3jbYwM3xYLjVbSFoDAg&amp;s=w2eX39z5YyA2tKzayO4af1h9s4tRgxsCp5qDeNU2bxo&amp;e=</t>
  </si>
  <si>
    <t>CAP-1991</t>
  </si>
  <si>
    <t>82290e47-1e42-11e4-b4cd-db5882bf8def</t>
  </si>
  <si>
    <t>Veiga</t>
  </si>
  <si>
    <t>CAP-2000</t>
  </si>
  <si>
    <t>82293f1a-1e42-11e4-b4cd-db5882bf8def</t>
  </si>
  <si>
    <t>do Rosario</t>
  </si>
  <si>
    <t>CAP-2001</t>
  </si>
  <si>
    <t>82293f1b-1e42-11e4-b4cd-db5882bf8def</t>
  </si>
  <si>
    <t>Neves</t>
  </si>
  <si>
    <t>GNB-1974</t>
  </si>
  <si>
    <t>82296fee-1e42-11e4-b4cd-db5882bf8def</t>
  </si>
  <si>
    <t>GNB</t>
  </si>
  <si>
    <t>GNB-1980</t>
  </si>
  <si>
    <t>82296fef-1e42-11e4-b4cd-db5882bf8def</t>
  </si>
  <si>
    <t>Vieira</t>
  </si>
  <si>
    <t>GNB-1999-1</t>
  </si>
  <si>
    <t>8229a0c2-1e42-11e4-b4cd-db5882bf8def</t>
  </si>
  <si>
    <t>Mane</t>
  </si>
  <si>
    <t>GNB-1999-2</t>
  </si>
  <si>
    <t>8229a0c3-1e42-11e4-b4cd-db5882bf8def</t>
  </si>
  <si>
    <t>Sanha</t>
  </si>
  <si>
    <t>https://urldefense.proofpoint.com/v2/url?u=http-3A__dbpedia.org_resource_Malam-5FBacai-5FSanh-25C3-25A1&amp;d=BQID-g&amp;c=kbmfwr1Yojg42sGEpaQh5ofMHBeTl9EI2eaqQZhHbOU&amp;r=ZliGVSRwfirWoETOrKCh2RSnoygzVPWEk95Me9L-Kwo&amp;m=EaKyFx9mpkhPdFxsxzvW_fiM3jbYwM3xYLjVbSFoDAg&amp;s=mHIMQjGqGkzZ3n6EAT5T-wxZJogalhKh6suHZYuGQJw&amp;e=</t>
  </si>
  <si>
    <t>GNB-2000</t>
  </si>
  <si>
    <t>8229d196-1e42-11e4-b4cd-db5882bf8def</t>
  </si>
  <si>
    <t>Kumba Iala</t>
  </si>
  <si>
    <t>GNB-2003-1</t>
  </si>
  <si>
    <t>8229d197-1e42-11e4-b4cd-db5882bf8def</t>
  </si>
  <si>
    <t>Correia Seabra</t>
  </si>
  <si>
    <t>GNB-2003-2</t>
  </si>
  <si>
    <t>822a026a-1e42-11e4-b4cd-db5882bf8def</t>
  </si>
  <si>
    <t>Henrique Pereira Rosa</t>
  </si>
  <si>
    <t>GNB-2005</t>
  </si>
  <si>
    <t>GNB-2009-1</t>
  </si>
  <si>
    <t>82533626-1e42-11e4-b4cd-db5882bf8def</t>
  </si>
  <si>
    <t>Raimundo Perreira</t>
  </si>
  <si>
    <t>GNB-2009-2</t>
  </si>
  <si>
    <t>GNB-2012-1</t>
  </si>
  <si>
    <t>149f2736-aae0-11e4-b3bc-29f2fa19767e</t>
  </si>
  <si>
    <t>Raimundo Pereira</t>
  </si>
  <si>
    <t>GNB-2012-2</t>
  </si>
  <si>
    <t>149f2737-aae0-11e4-b3bc-29f2fa19767e</t>
  </si>
  <si>
    <t>Mamadu Ture Kuruma</t>
  </si>
  <si>
    <t>GNB-2012-3</t>
  </si>
  <si>
    <t>2b3a05b8-3481-11e4-8dba-bbcd9ed46413</t>
  </si>
  <si>
    <t>Manuel Serifo Nhamadjo</t>
  </si>
  <si>
    <t>GNB-2014</t>
  </si>
  <si>
    <t>149f4e46-aae0-11e4-b3bc-29f2fa19767e</t>
  </si>
  <si>
    <t>Vaz</t>
  </si>
  <si>
    <t>EQG-1963</t>
  </si>
  <si>
    <t>822a3348-1e42-11e4-b4cd-db5882bf8def</t>
  </si>
  <si>
    <t>EQG</t>
  </si>
  <si>
    <t>Bonifacio Ondo Edu</t>
  </si>
  <si>
    <t>EQG-1968</t>
  </si>
  <si>
    <t>822a3349-1e42-11e4-b4cd-db5882bf8def</t>
  </si>
  <si>
    <t>Macias Nguema</t>
  </si>
  <si>
    <t>https://urldefense.proofpoint.com/v2/url?u=http-3A__dbpedia.org_resource_Francisco-5FMac-25C3-25ADas-5FNguema&amp;d=BQID-g&amp;c=kbmfwr1Yojg42sGEpaQh5ofMHBeTl9EI2eaqQZhHbOU&amp;r=ZliGVSRwfirWoETOrKCh2RSnoygzVPWEk95Me9L-Kwo&amp;m=EaKyFx9mpkhPdFxsxzvW_fiM3jbYwM3xYLjVbSFoDAg&amp;s=L48YGPbyRNnQffq6glMX0CKpQiK2vKDW3P73ejxkRbQ&amp;e=</t>
  </si>
  <si>
    <t>Uncle of Nguema Mbasogo%822a334a-1e42-11e4-b4cd-db5882bf8def</t>
  </si>
  <si>
    <t>EQG-1979</t>
  </si>
  <si>
    <t>822a334a-1e42-11e4-b4cd-db5882bf8def</t>
  </si>
  <si>
    <t>Nguema Mbasogo</t>
  </si>
  <si>
    <t>Nephew of Macias Nguema%822a3349-1e42-11e4-b4cd-db5882bf8def</t>
  </si>
  <si>
    <t>GAM-1965</t>
  </si>
  <si>
    <t>822a641c-1e42-11e4-b4cd-db5882bf8def</t>
  </si>
  <si>
    <t>GAM</t>
  </si>
  <si>
    <t>Jawara</t>
  </si>
  <si>
    <t>GAM-1994</t>
  </si>
  <si>
    <t>822a641d-1e42-11e4-b4cd-db5882bf8def</t>
  </si>
  <si>
    <t>Jammeh</t>
  </si>
  <si>
    <t>https://urldefense.proofpoint.com/v2/url?u=http-3A__dbpedia.org_resource_Yahya-5FJammeh&amp;d=BQID-g&amp;c=kbmfwr1Yojg42sGEpaQh5ofMHBeTl9EI2eaqQZhHbOU&amp;r=ZliGVSRwfirWoETOrKCh2RSnoygzVPWEk95Me9L-Kwo&amp;m=EaKyFx9mpkhPdFxsxzvW_fiM3jbYwM3xYLjVbSFoDAg&amp;s=hnVkuFSprrQSiKJaXsotR-sHMVtf3ULP8G5_SP1ZjN0&amp;e=</t>
  </si>
  <si>
    <t>MLI-1960</t>
  </si>
  <si>
    <t>822a94f0-1e42-11e4-b4cd-db5882bf8def</t>
  </si>
  <si>
    <t>MLI</t>
  </si>
  <si>
    <t>Keita</t>
  </si>
  <si>
    <t>MLI-1968</t>
  </si>
  <si>
    <t>822a94f1-1e42-11e4-b4cd-db5882bf8def</t>
  </si>
  <si>
    <t>Traore</t>
  </si>
  <si>
    <t>MLI-1991</t>
  </si>
  <si>
    <t>822ac5c4-1e42-11e4-b4cd-db5882bf8def</t>
  </si>
  <si>
    <t>Amadou Toure</t>
  </si>
  <si>
    <t>https://urldefense.proofpoint.com/v2/url?u=http-3A__dbpedia.org_resource_Amadou-5FToumani-5FTour-25C3-25A9&amp;d=BQID-g&amp;c=kbmfwr1Yojg42sGEpaQh5ofMHBeTl9EI2eaqQZhHbOU&amp;r=ZliGVSRwfirWoETOrKCh2RSnoygzVPWEk95Me9L-Kwo&amp;m=EaKyFx9mpkhPdFxsxzvW_fiM3jbYwM3xYLjVbSFoDAg&amp;s=hms9mclhW3dvWO17INJ5JuM7QOlVI_Jt5MoG71Ql1Lw&amp;e=</t>
  </si>
  <si>
    <t>MLI-1992</t>
  </si>
  <si>
    <t>822ac5c5-1e42-11e4-b4cd-db5882bf8def</t>
  </si>
  <si>
    <t>Konare</t>
  </si>
  <si>
    <t>MLI-2002</t>
  </si>
  <si>
    <t>MLI-2012-1</t>
  </si>
  <si>
    <t>149f4e47-aae0-11e4-b3bc-29f2fa19767e</t>
  </si>
  <si>
    <t>Amadou Sanogo</t>
  </si>
  <si>
    <t>MLI-2012-2</t>
  </si>
  <si>
    <t>149f4e48-aae0-11e4-b3bc-29f2fa19767e</t>
  </si>
  <si>
    <t>Dioncounda Traore</t>
  </si>
  <si>
    <t>MLI-2013</t>
  </si>
  <si>
    <t>2b3c6718-3481-11e4-8dba-bbcd9ed46413</t>
  </si>
  <si>
    <t>Ibrahim Boubacar Keita</t>
  </si>
  <si>
    <t>SEN-1960</t>
  </si>
  <si>
    <t>822af698-1e42-11e4-b4cd-db5882bf8def</t>
  </si>
  <si>
    <t>SEN</t>
  </si>
  <si>
    <t>Senghor</t>
  </si>
  <si>
    <t>https://urldefense.proofpoint.com/v2/url?u=http-3A__dbpedia.org_resource_L-25C3-25A9opold-5FS-25C3-25A9dar-5FSenghor&amp;d=BQID-g&amp;c=kbmfwr1Yojg42sGEpaQh5ofMHBeTl9EI2eaqQZhHbOU&amp;r=ZliGVSRwfirWoETOrKCh2RSnoygzVPWEk95Me9L-Kwo&amp;m=EaKyFx9mpkhPdFxsxzvW_fiM3jbYwM3xYLjVbSFoDAg&amp;s=gEa9INks4SuY2DwguNEevGU-I1w1ACWgE2Tb73v1bUI&amp;e=</t>
  </si>
  <si>
    <t>13骞?7438</t>
  </si>
  <si>
    <t>SEN-1981</t>
  </si>
  <si>
    <t>822af699-1e42-11e4-b4cd-db5882bf8def</t>
  </si>
  <si>
    <t>Diouf</t>
  </si>
  <si>
    <t>https://urldefense.proofpoint.com/v2/url?u=http-3A__dbpedia.org_resource_Abdou-5FDiouf&amp;d=BQID-g&amp;c=kbmfwr1Yojg42sGEpaQh5ofMHBeTl9EI2eaqQZhHbOU&amp;r=ZliGVSRwfirWoETOrKCh2RSnoygzVPWEk95Me9L-Kwo&amp;m=EaKyFx9mpkhPdFxsxzvW_fiM3jbYwM3xYLjVbSFoDAg&amp;s=XGl9gWH0Wa0VntH0XGu8ShtCdzXvEwc6DexHWcbKPX0&amp;e=</t>
  </si>
  <si>
    <t>13骞?7030</t>
  </si>
  <si>
    <t>SEN-2000</t>
  </si>
  <si>
    <t>822b276c-1e42-11e4-b4cd-db5882bf8def</t>
  </si>
  <si>
    <t>Abdoulaye Wade</t>
  </si>
  <si>
    <t>13骞?4383</t>
  </si>
  <si>
    <t>SEN-2012</t>
  </si>
  <si>
    <t>2b3c6719-3481-11e4-8dba-bbcd9ed46413</t>
  </si>
  <si>
    <t>Sall</t>
  </si>
  <si>
    <t>13骞?1368</t>
  </si>
  <si>
    <t>BEN-1960</t>
  </si>
  <si>
    <t>822b276d-1e42-11e4-b4cd-db5882bf8def</t>
  </si>
  <si>
    <t>BEN</t>
  </si>
  <si>
    <t>Maga</t>
  </si>
  <si>
    <t>https://urldefense.proofpoint.com/v2/url?u=http-3A__dbpedia.org_resource_Hubert-5FMaga&amp;d=BQID-g&amp;c=kbmfwr1Yojg42sGEpaQh5ofMHBeTl9EI2eaqQZhHbOU&amp;r=ZliGVSRwfirWoETOrKCh2RSnoygzVPWEk95Me9L-Kwo&amp;m=EaKyFx9mpkhPdFxsxzvW_fiM3jbYwM3xYLjVbSFoDAg&amp;s=Ywrpk62BmAojZfHGIGFNDaZDLtvleIx3eVjzAeIe_2w&amp;e=</t>
  </si>
  <si>
    <t>BEN-1963</t>
  </si>
  <si>
    <t>822b5840-1e42-11e4-b4cd-db5882bf8def</t>
  </si>
  <si>
    <t>Soglo</t>
  </si>
  <si>
    <t>BEN-1964</t>
  </si>
  <si>
    <t>822b8914-1e42-11e4-b4cd-db5882bf8def</t>
  </si>
  <si>
    <t>Apithy</t>
  </si>
  <si>
    <t>BEN-1965-1</t>
  </si>
  <si>
    <t>822b8915-1e42-11e4-b4cd-db5882bf8def</t>
  </si>
  <si>
    <t>Congacou</t>
  </si>
  <si>
    <t>BEN-1965-2</t>
  </si>
  <si>
    <t>BEN-1967</t>
  </si>
  <si>
    <t>822bb9e8-1e42-11e4-b4cd-db5882bf8def</t>
  </si>
  <si>
    <t>Alley</t>
  </si>
  <si>
    <t>BEN-1968</t>
  </si>
  <si>
    <t>822bb9e9-1e42-11e4-b4cd-db5882bf8def</t>
  </si>
  <si>
    <t>Zinsou</t>
  </si>
  <si>
    <t>https://urldefense.proofpoint.com/v2/url?u=http-3A__dbpedia.org_resource_-25C3-2589mile-5FDerlin-5FZinsou&amp;d=BQID-g&amp;c=kbmfwr1Yojg42sGEpaQh5ofMHBeTl9EI2eaqQZhHbOU&amp;r=ZliGVSRwfirWoETOrKCh2RSnoygzVPWEk95Me9L-Kwo&amp;m=EaKyFx9mpkhPdFxsxzvW_fiM3jbYwM3xYLjVbSFoDAg&amp;s=wNMmZ2_4Td3DfHBFyvRWpcolipCmxhtxvIrUry9dAq8&amp;e=</t>
  </si>
  <si>
    <t>BEN-1969-1</t>
  </si>
  <si>
    <t>822beabc-1e42-11e4-b4cd-db5882bf8def</t>
  </si>
  <si>
    <t>Kouandete</t>
  </si>
  <si>
    <t>Cousin of Kerekou%822c1b9b-1e42-11e4-b4cd-db5882bf8def</t>
  </si>
  <si>
    <t>BEN-1969-2</t>
  </si>
  <si>
    <t>822beabd-1e42-11e4-b4cd-db5882bf8def</t>
  </si>
  <si>
    <t>Paul-Emile de Souza</t>
  </si>
  <si>
    <t>BEN-1970</t>
  </si>
  <si>
    <t>BEN-1972-1</t>
  </si>
  <si>
    <t>822c1b9a-1e42-11e4-b4cd-db5882bf8def</t>
  </si>
  <si>
    <t>Ahomadegbe</t>
  </si>
  <si>
    <t>BEN-1972-2</t>
  </si>
  <si>
    <t>822c1b9b-1e42-11e4-b4cd-db5882bf8def</t>
  </si>
  <si>
    <t>Kerekou</t>
  </si>
  <si>
    <t>Cousin of Kouandete%822beabc-1e42-11e4-b4cd-db5882bf8def</t>
  </si>
  <si>
    <t>BEN-1991</t>
  </si>
  <si>
    <t>822c4c6e-1e42-11e4-b4cd-db5882bf8def</t>
  </si>
  <si>
    <t>Soglo, N</t>
  </si>
  <si>
    <t>BEN-1996</t>
  </si>
  <si>
    <t>BEN-2006</t>
  </si>
  <si>
    <t>82533627-1e42-11e4-b4cd-db5882bf8def</t>
  </si>
  <si>
    <t>Yayi Boni</t>
  </si>
  <si>
    <t>MAA-1960</t>
  </si>
  <si>
    <t>822c4c6f-1e42-11e4-b4cd-db5882bf8def</t>
  </si>
  <si>
    <t>MAA</t>
  </si>
  <si>
    <t>Ould Daddah</t>
  </si>
  <si>
    <t>https://urldefense.proofpoint.com/v2/url?u=http-3A__dbpedia.org_resource_Moktar-5FOuld-5FDaddah&amp;d=BQID-g&amp;c=kbmfwr1Yojg42sGEpaQh5ofMHBeTl9EI2eaqQZhHbOU&amp;r=ZliGVSRwfirWoETOrKCh2RSnoygzVPWEk95Me9L-Kwo&amp;m=EaKyFx9mpkhPdFxsxzvW_fiM3jbYwM3xYLjVbSFoDAg&amp;s=jvXD89UfjA2S3Lc-1cIQ2P0q1rlCFZCqIDx7DSBAiE4&amp;e=</t>
  </si>
  <si>
    <t>14骞?6433</t>
  </si>
  <si>
    <t>MAA-1978</t>
  </si>
  <si>
    <t>822c7d42-1e42-11e4-b4cd-db5882bf8def</t>
  </si>
  <si>
    <t>Ould Mohamed Salek</t>
  </si>
  <si>
    <t>14骞?270</t>
  </si>
  <si>
    <t>MAA-1979-1</t>
  </si>
  <si>
    <t>822c7d43-1e42-11e4-b4cd-db5882bf8def</t>
  </si>
  <si>
    <t>Ould Bouceif</t>
  </si>
  <si>
    <t>14骞?51</t>
  </si>
  <si>
    <t>MAA-1979-2</t>
  </si>
  <si>
    <t>822cae16-1e42-11e4-b4cd-db5882bf8def</t>
  </si>
  <si>
    <t>Ould Sidi</t>
  </si>
  <si>
    <t>14骞?4</t>
  </si>
  <si>
    <t>MAA-1979-3</t>
  </si>
  <si>
    <t>822cae17-1e42-11e4-b4cd-db5882bf8def</t>
  </si>
  <si>
    <t>Ould Ahmed Louly</t>
  </si>
  <si>
    <t>14骞?215</t>
  </si>
  <si>
    <t>MAA-1980</t>
  </si>
  <si>
    <t>822cdeea-1e42-11e4-b4cd-db5882bf8def</t>
  </si>
  <si>
    <t>Ould Haidalla</t>
  </si>
  <si>
    <t>14骞?1804</t>
  </si>
  <si>
    <t>MAA-1984</t>
  </si>
  <si>
    <t>822cdeeb-1e42-11e4-b4cd-db5882bf8def</t>
  </si>
  <si>
    <t>Sidi Ahmed Taya</t>
  </si>
  <si>
    <t>14骞?7539</t>
  </si>
  <si>
    <t>MAA-2005</t>
  </si>
  <si>
    <t>82533628-1e42-11e4-b4cd-db5882bf8def</t>
  </si>
  <si>
    <t>Ould Mohamed Vall</t>
  </si>
  <si>
    <t>14骞?624</t>
  </si>
  <si>
    <t>MAA-2007</t>
  </si>
  <si>
    <t>82533629-1e42-11e4-b4cd-db5882bf8def</t>
  </si>
  <si>
    <t>Ould Cheikh Abdellahi</t>
  </si>
  <si>
    <t>14骞?475</t>
  </si>
  <si>
    <t>MAA-2008</t>
  </si>
  <si>
    <t>8253362a-1e42-11e4-b4cd-db5882bf8def</t>
  </si>
  <si>
    <t>Ould Abdel Aziz</t>
  </si>
  <si>
    <t>14骞?252</t>
  </si>
  <si>
    <t>MAA-2009-1</t>
  </si>
  <si>
    <t>8253362b-1e42-11e4-b4cd-db5882bf8def</t>
  </si>
  <si>
    <t>dit M'Bare</t>
  </si>
  <si>
    <t>14骞?112</t>
  </si>
  <si>
    <t>MAA-2009-2</t>
  </si>
  <si>
    <t>14骞?2339</t>
  </si>
  <si>
    <t>NIR-1960</t>
  </si>
  <si>
    <t>822d0fbe-1e42-11e4-b4cd-db5882bf8def</t>
  </si>
  <si>
    <t>NIR</t>
  </si>
  <si>
    <t>Diori</t>
  </si>
  <si>
    <t>https://urldefense.proofpoint.com/v2/url?u=http-3A__dbpedia.org_resource_Hamani-5FDiori&amp;d=BQID-g&amp;c=kbmfwr1Yojg42sGEpaQh5ofMHBeTl9EI2eaqQZhHbOU&amp;r=ZliGVSRwfirWoETOrKCh2RSnoygzVPWEk95Me9L-Kwo&amp;m=EaKyFx9mpkhPdFxsxzvW_fiM3jbYwM3xYLjVbSFoDAg&amp;s=tCJmXrci9leB07vmb7pD74qYuRt4kHssJ0xhT_EjOP8&amp;e=</t>
  </si>
  <si>
    <t>NIR-1974</t>
  </si>
  <si>
    <t>822d0fbf-1e42-11e4-b4cd-db5882bf8def</t>
  </si>
  <si>
    <t>Kountche</t>
  </si>
  <si>
    <t>https://urldefense.proofpoint.com/v2/url?u=http-3A__dbpedia.org_resource_Seyni-5FKountch-25C3-25A9&amp;d=BQID-g&amp;c=kbmfwr1Yojg42sGEpaQh5ofMHBeTl9EI2eaqQZhHbOU&amp;r=ZliGVSRwfirWoETOrKCh2RSnoygzVPWEk95Me9L-Kwo&amp;m=EaKyFx9mpkhPdFxsxzvW_fiM3jbYwM3xYLjVbSFoDAg&amp;s=QVqrwxt9Y3YaEXp9KeK-DEFv5sUm3RZ6lwSx-qm2BP0&amp;e=</t>
  </si>
  <si>
    <t>Cousin of Seibou%822d4092-1e42-11e4-b4cd-db5882bf8def</t>
  </si>
  <si>
    <t>NIR-1987</t>
  </si>
  <si>
    <t>822d4092-1e42-11e4-b4cd-db5882bf8def</t>
  </si>
  <si>
    <t>Seibou</t>
  </si>
  <si>
    <t>Cousin of Kountche%822d0fbf-1e42-11e4-b4cd-db5882bf8def</t>
  </si>
  <si>
    <t>NIR-1993</t>
  </si>
  <si>
    <t>822d4093-1e42-11e4-b4cd-db5882bf8def</t>
  </si>
  <si>
    <t>Ousmane</t>
  </si>
  <si>
    <t>NIR-1996</t>
  </si>
  <si>
    <t>822d4094-1e42-11e4-b4cd-db5882bf8def</t>
  </si>
  <si>
    <t>Mainassara</t>
  </si>
  <si>
    <t>https://urldefense.proofpoint.com/v2/url?u=http-3A__dbpedia.org_resource_Ibrahim-5FBar-25C3-25A9-5FMa-25C3-25AFnassara&amp;d=BQID-g&amp;c=kbmfwr1Yojg42sGEpaQh5ofMHBeTl9EI2eaqQZhHbOU&amp;r=ZliGVSRwfirWoETOrKCh2RSnoygzVPWEk95Me9L-Kwo&amp;m=EaKyFx9mpkhPdFxsxzvW_fiM3jbYwM3xYLjVbSFoDAg&amp;s=eUIJT4CUwUXx1u37sbx0k8bvrF938mpuMvqXxz47g94&amp;e=</t>
  </si>
  <si>
    <t>NIR-1999-1</t>
  </si>
  <si>
    <t>822d7166-1e42-11e4-b4cd-db5882bf8def</t>
  </si>
  <si>
    <t>Wanke</t>
  </si>
  <si>
    <t>NIR-1999-2</t>
  </si>
  <si>
    <t>822d7167-1e42-11e4-b4cd-db5882bf8def</t>
  </si>
  <si>
    <t>Mamadou Tandja</t>
  </si>
  <si>
    <t>NIR-2010</t>
  </si>
  <si>
    <t>825366fa-1e42-11e4-b4cd-db5882bf8def</t>
  </si>
  <si>
    <t>Djibo</t>
  </si>
  <si>
    <t>NIR-2011</t>
  </si>
  <si>
    <t>825366fb-1e42-11e4-b4cd-db5882bf8def</t>
  </si>
  <si>
    <t>Issoufou</t>
  </si>
  <si>
    <t>CDI-1960</t>
  </si>
  <si>
    <t>822d7168-1e42-11e4-b4cd-db5882bf8def</t>
  </si>
  <si>
    <t>CDI</t>
  </si>
  <si>
    <t>Houphouet-Boigny</t>
  </si>
  <si>
    <t>https://urldefense.proofpoint.com/v2/url?u=http-3A__dbpedia.org_resource_F-25C3-25A9lix-5FHouphou-25C3-25ABt-2DBoigny&amp;d=BQID-g&amp;c=kbmfwr1Yojg42sGEpaQh5ofMHBeTl9EI2eaqQZhHbOU&amp;r=ZliGVSRwfirWoETOrKCh2RSnoygzVPWEk95Me9L-Kwo&amp;m=EaKyFx9mpkhPdFxsxzvW_fiM3jbYwM3xYLjVbSFoDAg&amp;s=8-uaPvWSLH2JwUx1-QqVa7084Cb6YrKNP8iFtk4A6Zs&amp;e=</t>
  </si>
  <si>
    <t>CDI-1993</t>
  </si>
  <si>
    <t>822da23a-1e42-11e4-b4cd-db5882bf8def</t>
  </si>
  <si>
    <t>Konan Bedie</t>
  </si>
  <si>
    <t>CDI-1999</t>
  </si>
  <si>
    <t>822da23b-1e42-11e4-b4cd-db5882bf8def</t>
  </si>
  <si>
    <t>Guei</t>
  </si>
  <si>
    <t>CDI-2000</t>
  </si>
  <si>
    <t>822dd30e-1e42-11e4-b4cd-db5882bf8def</t>
  </si>
  <si>
    <t>Laurent Gbagbo</t>
  </si>
  <si>
    <t>https://urldefense.proofpoint.com/v2/url?u=http-3A__dbpedia.org_resource_Laurent-5FGbagbo&amp;d=BQID-g&amp;c=kbmfwr1Yojg42sGEpaQh5ofMHBeTl9EI2eaqQZhHbOU&amp;r=ZliGVSRwfirWoETOrKCh2RSnoygzVPWEk95Me9L-Kwo&amp;m=EaKyFx9mpkhPdFxsxzvW_fiM3jbYwM3xYLjVbSFoDAg&amp;s=ZYVTpHUgPJ_7lGdMESd9aDyq_f9VAQ3WcXICW4lQFAA&amp;e=</t>
  </si>
  <si>
    <t>CDI-2011</t>
  </si>
  <si>
    <t>825366fc-1e42-11e4-b4cd-db5882bf8def</t>
  </si>
  <si>
    <t>Ouattara</t>
  </si>
  <si>
    <t>GUI-1958</t>
  </si>
  <si>
    <t>822dd30f-1e42-11e4-b4cd-db5882bf8def</t>
  </si>
  <si>
    <t>GUI</t>
  </si>
  <si>
    <t>Toure</t>
  </si>
  <si>
    <t>https://urldefense.proofpoint.com/v2/url?u=http-3A__dbpedia.org_resource_Ahmed-5FS-25C3-25A9kou-5FTour-25C3-25A9&amp;d=BQID-g&amp;c=kbmfwr1Yojg42sGEpaQh5ofMHBeTl9EI2eaqQZhHbOU&amp;r=ZliGVSRwfirWoETOrKCh2RSnoygzVPWEk95Me9L-Kwo&amp;m=EaKyFx9mpkhPdFxsxzvW_fiM3jbYwM3xYLjVbSFoDAg&amp;s=Um7a9LrEat2uJzggZHuh9D6Cj0Om_TsLOOvuydPFXCc&amp;e=</t>
  </si>
  <si>
    <t>15骞?9307</t>
  </si>
  <si>
    <t>GUI-1984-1</t>
  </si>
  <si>
    <t>822dd310-1e42-11e4-b4cd-db5882bf8def</t>
  </si>
  <si>
    <t>Beavogui</t>
  </si>
  <si>
    <t>15骞?7</t>
  </si>
  <si>
    <t>GUI-1984-2</t>
  </si>
  <si>
    <t>822e03ec-1e42-11e4-b4cd-db5882bf8def</t>
  </si>
  <si>
    <t>Conte</t>
  </si>
  <si>
    <t>15骞?9029</t>
  </si>
  <si>
    <t>GUI-2008-1</t>
  </si>
  <si>
    <t>825366fd-1e42-11e4-b4cd-db5882bf8def</t>
  </si>
  <si>
    <t>Sompare</t>
  </si>
  <si>
    <t>15骞?1</t>
  </si>
  <si>
    <t>GUI-2008-2</t>
  </si>
  <si>
    <t>825366fe-1e42-11e4-b4cd-db5882bf8def</t>
  </si>
  <si>
    <t>Dadis Camara</t>
  </si>
  <si>
    <t>15骞?347</t>
  </si>
  <si>
    <t>GUI-2009</t>
  </si>
  <si>
    <t>825366ff-1e42-11e4-b4cd-db5882bf8def</t>
  </si>
  <si>
    <t>Sekouba Konate</t>
  </si>
  <si>
    <t>15骞?381</t>
  </si>
  <si>
    <t>GUI-2010</t>
  </si>
  <si>
    <t>82536700-1e42-11e4-b4cd-db5882bf8def</t>
  </si>
  <si>
    <t>Conde</t>
  </si>
  <si>
    <t>15骞?1836</t>
  </si>
  <si>
    <t>BFO-1960</t>
  </si>
  <si>
    <t>822e03ed-1e42-11e4-b4cd-db5882bf8def</t>
  </si>
  <si>
    <t>BFO</t>
  </si>
  <si>
    <t>Yameogo</t>
  </si>
  <si>
    <t>https://urldefense.proofpoint.com/v2/url?u=http-3A__dbpedia.org_resource_Maurice-5FYam-25C3-25A9ogo&amp;d=BQID-g&amp;c=kbmfwr1Yojg42sGEpaQh5ofMHBeTl9EI2eaqQZhHbOU&amp;r=ZliGVSRwfirWoETOrKCh2RSnoygzVPWEk95Me9L-Kwo&amp;m=EaKyFx9mpkhPdFxsxzvW_fiM3jbYwM3xYLjVbSFoDAg&amp;s=iQr5rxNiAF8fszj_SR7rCZ1C2muiNdTPe4uZloqme4E&amp;e=</t>
  </si>
  <si>
    <t>BFO-1966</t>
  </si>
  <si>
    <t>822e03ee-1e42-11e4-b4cd-db5882bf8def</t>
  </si>
  <si>
    <t>Lamizana</t>
  </si>
  <si>
    <t>BFO-1971</t>
  </si>
  <si>
    <t>822e34c0-1e42-11e4-b4cd-db5882bf8def</t>
  </si>
  <si>
    <t>Gerard Kango Ouedraogo</t>
  </si>
  <si>
    <t>BFO-1974</t>
  </si>
  <si>
    <t>BFO-1980</t>
  </si>
  <si>
    <t>822e34c1-1e42-11e4-b4cd-db5882bf8def</t>
  </si>
  <si>
    <t>Zerbo</t>
  </si>
  <si>
    <t>BFO-1982</t>
  </si>
  <si>
    <t>822e34c2-1e42-11e4-b4cd-db5882bf8def</t>
  </si>
  <si>
    <t>J. P. Ouedraogo</t>
  </si>
  <si>
    <t>BFO-1983</t>
  </si>
  <si>
    <t>822e6594-1e42-11e4-b4cd-db5882bf8def</t>
  </si>
  <si>
    <t>Sankara</t>
  </si>
  <si>
    <t>https://urldefense.proofpoint.com/v2/url?u=http-3A__dbpedia.org_resource_Thomas-5FSankara&amp;d=BQID-g&amp;c=kbmfwr1Yojg42sGEpaQh5ofMHBeTl9EI2eaqQZhHbOU&amp;r=ZliGVSRwfirWoETOrKCh2RSnoygzVPWEk95Me9L-Kwo&amp;m=EaKyFx9mpkhPdFxsxzvW_fiM3jbYwM3xYLjVbSFoDAg&amp;s=0U3ptwUqVlYWvr98u1DbY1q-OAPpCo89_iqRbbLC62k&amp;e=</t>
  </si>
  <si>
    <t>BFO-1987</t>
  </si>
  <si>
    <t>822e6595-1e42-11e4-b4cd-db5882bf8def</t>
  </si>
  <si>
    <t>Campaore</t>
  </si>
  <si>
    <t>https://urldefense.proofpoint.com/v2/url?u=http-3A__dbpedia.org_resource_Blaise-5FCompaor-25C3-25A9&amp;d=BQID-g&amp;c=kbmfwr1Yojg42sGEpaQh5ofMHBeTl9EI2eaqQZhHbOU&amp;r=ZliGVSRwfirWoETOrKCh2RSnoygzVPWEk95Me9L-Kwo&amp;m=EaKyFx9mpkhPdFxsxzvW_fiM3jbYwM3xYLjVbSFoDAg&amp;s=LolGKwh1d5Mc7G_t_X7VkvMHxXZlunzYYH4YOjcJ1Fw&amp;e=</t>
  </si>
  <si>
    <t>BFO-2014-1</t>
  </si>
  <si>
    <t>149f7556-aae0-11e4-b3bc-29f2fa19767e</t>
  </si>
  <si>
    <t>BFO-2014-2</t>
  </si>
  <si>
    <t>149f7557-aae0-11e4-b3bc-29f2fa19767e</t>
  </si>
  <si>
    <t>Zida</t>
  </si>
  <si>
    <t>BFO-2014-3</t>
  </si>
  <si>
    <t>149f7558-aae0-11e4-b3bc-29f2fa19767e</t>
  </si>
  <si>
    <t>Kafando</t>
  </si>
  <si>
    <t>BFO-2015</t>
  </si>
  <si>
    <t>43fa715c-de6a-11e5-ba44-bb6d7c1a9a58</t>
  </si>
  <si>
    <t>Roch Marc Christian Kabore</t>
  </si>
  <si>
    <t>LBR-1872</t>
  </si>
  <si>
    <t>197863a8-3bbd-11e5-afeb-eb6f07f9fec7</t>
  </si>
  <si>
    <t>LBR</t>
  </si>
  <si>
    <t>Joseph Jenkins Roberts</t>
  </si>
  <si>
    <t>1872-01-01</t>
  </si>
  <si>
    <t>1875-06-27</t>
  </si>
  <si>
    <t>https://urldefense.proofpoint.com/v2/url?u=http-3A__dbpedia.org_resource_Joseph-5FJenkins-5FRoberts&amp;d=BQID-g&amp;c=kbmfwr1Yojg42sGEpaQh5ofMHBeTl9EI2eaqQZhHbOU&amp;r=ZliGVSRwfirWoETOrKCh2RSnoygzVPWEk95Me9L-Kwo&amp;m=EaKyFx9mpkhPdFxsxzvW_fiM3jbYwM3xYLjVbSFoDAg&amp;s=7UJnBZlmkOZwEx0o0w9lQ3aI6XExiJVizLm9A1suYdo&amp;e=</t>
  </si>
  <si>
    <t>40骞?1273</t>
  </si>
  <si>
    <t>LBR-1875</t>
  </si>
  <si>
    <t>822e6596-1e42-11e4-b4cd-db5882bf8def</t>
  </si>
  <si>
    <t>Anthony William Gardiner</t>
  </si>
  <si>
    <t>1876-01-03</t>
  </si>
  <si>
    <t>40骞?190</t>
  </si>
  <si>
    <t>LBR-1876</t>
  </si>
  <si>
    <t>19788ab8-3bbd-11e5-afeb-eb6f07f9fec7</t>
  </si>
  <si>
    <t>James Spriggs Payne</t>
  </si>
  <si>
    <t>1878-01-07</t>
  </si>
  <si>
    <t>https://urldefense.proofpoint.com/v2/url?u=http-3A__dbpedia.org_resource_James-5FSpriggs-5FPayne&amp;d=BQID-g&amp;c=kbmfwr1Yojg42sGEpaQh5ofMHBeTl9EI2eaqQZhHbOU&amp;r=ZliGVSRwfirWoETOrKCh2RSnoygzVPWEk95Me9L-Kwo&amp;m=EaKyFx9mpkhPdFxsxzvW_fiM3jbYwM3xYLjVbSFoDAg&amp;s=GRURxhn2RuF-NzOHxMkXxq2H2JfJODjT72osTkQ07Sg&amp;e=</t>
  </si>
  <si>
    <t>40骞?735</t>
  </si>
  <si>
    <t>LBR-1878</t>
  </si>
  <si>
    <t>1883-01-20</t>
  </si>
  <si>
    <t>40骞?1839</t>
  </si>
  <si>
    <t>LBR-1883</t>
  </si>
  <si>
    <t>822e6597-1e42-11e4-b4cd-db5882bf8def</t>
  </si>
  <si>
    <t>Alfred Francis Russell</t>
  </si>
  <si>
    <t>1884-01-07</t>
  </si>
  <si>
    <t>https://urldefense.proofpoint.com/v2/url?u=http-3A__dbpedia.org_resource_Alfred-5FFrancis-5FRussell&amp;d=BQID-g&amp;c=kbmfwr1Yojg42sGEpaQh5ofMHBeTl9EI2eaqQZhHbOU&amp;r=ZliGVSRwfirWoETOrKCh2RSnoygzVPWEk95Me9L-Kwo&amp;m=EaKyFx9mpkhPdFxsxzvW_fiM3jbYwM3xYLjVbSFoDAg&amp;s=F9xDPbAUzGUXGAovyryEkA-NcwZKZm-hW1NHNOIWIGI&amp;e=</t>
  </si>
  <si>
    <t>40骞?352</t>
  </si>
  <si>
    <t>LBR-1884</t>
  </si>
  <si>
    <t>822e9668-1e42-11e4-b4cd-db5882bf8def</t>
  </si>
  <si>
    <t>Hilary Richard Wright Johnson</t>
  </si>
  <si>
    <t>1892-01-04</t>
  </si>
  <si>
    <t>40骞?2919</t>
  </si>
  <si>
    <t>LBR-1892</t>
  </si>
  <si>
    <t>822e9669-1e42-11e4-b4cd-db5882bf8def</t>
  </si>
  <si>
    <t>Joseph James Cheeseman</t>
  </si>
  <si>
    <t>1896-11-12</t>
  </si>
  <si>
    <t>40骞?1774</t>
  </si>
  <si>
    <t>LBR-1896</t>
  </si>
  <si>
    <t>822e966a-1e42-11e4-b4cd-db5882bf8def</t>
  </si>
  <si>
    <t>William David Coleman</t>
  </si>
  <si>
    <t>1842-07-18</t>
  </si>
  <si>
    <t>18jul1842</t>
  </si>
  <si>
    <t>40骞?1489</t>
  </si>
  <si>
    <t>LBR-1900</t>
  </si>
  <si>
    <t>822e966b-1e42-11e4-b4cd-db5882bf8def</t>
  </si>
  <si>
    <t>Garretson Wilmot Gibson</t>
  </si>
  <si>
    <t>1832-05-20</t>
  </si>
  <si>
    <t>20may1832</t>
  </si>
  <si>
    <t>https://urldefense.proofpoint.com/v2/url?u=http-3A__dbpedia.org_resource_Garreston-5FW.-5FGibson&amp;d=BQID-g&amp;c=kbmfwr1Yojg42sGEpaQh5ofMHBeTl9EI2eaqQZhHbOU&amp;r=ZliGVSRwfirWoETOrKCh2RSnoygzVPWEk95Me9L-Kwo&amp;m=EaKyFx9mpkhPdFxsxzvW_fiM3jbYwM3xYLjVbSFoDAg&amp;s=7rGCxX4ANfxpxRXYKpkW2k3ws8daiGDji_U9px3HE4I&amp;e=</t>
  </si>
  <si>
    <t>40骞?1119</t>
  </si>
  <si>
    <t>LBR-1904</t>
  </si>
  <si>
    <t>822ec73c-1e42-11e4-b4cd-db5882bf8def</t>
  </si>
  <si>
    <t>Arthur Barclay</t>
  </si>
  <si>
    <t>1854-07-31</t>
  </si>
  <si>
    <t>31jul1854</t>
  </si>
  <si>
    <t>https://urldefense.proofpoint.com/v2/url?u=http-3A__dbpedia.org_resource_Arthur-5FBarclay&amp;d=BQID-g&amp;c=kbmfwr1Yojg42sGEpaQh5ofMHBeTl9EI2eaqQZhHbOU&amp;r=ZliGVSRwfirWoETOrKCh2RSnoygzVPWEk95Me9L-Kwo&amp;m=EaKyFx9mpkhPdFxsxzvW_fiM3jbYwM3xYLjVbSFoDAg&amp;s=Z3EY5HUFT2HfSlQ_IvLyt_7a247BcuSFMVFFN-YkF9s&amp;e=</t>
  </si>
  <si>
    <t>Uncle of Edwin Barclay%822ef810-1e42-11e4-b4cd-db5882bf8def</t>
  </si>
  <si>
    <t>LBR-1912</t>
  </si>
  <si>
    <t>822ec73d-1e42-11e4-b4cd-db5882bf8def</t>
  </si>
  <si>
    <t>Daniel E. Howard</t>
  </si>
  <si>
    <t>1861-08-04</t>
  </si>
  <si>
    <t>04aug1861</t>
  </si>
  <si>
    <t>https://urldefense.proofpoint.com/v2/url?u=http-3A__dbpedia.org_resource_Daniel-5FEdward-5FHoward&amp;d=BQID-g&amp;c=kbmfwr1Yojg42sGEpaQh5ofMHBeTl9EI2eaqQZhHbOU&amp;r=ZliGVSRwfirWoETOrKCh2RSnoygzVPWEk95Me9L-Kwo&amp;m=EaKyFx9mpkhPdFxsxzvW_fiM3jbYwM3xYLjVbSFoDAg&amp;s=0BT8B3cCSHURWn6nWtD7hfTF7PozKet4Z8ZV1iGPvZE&amp;e=</t>
  </si>
  <si>
    <t>40骞?2926</t>
  </si>
  <si>
    <t>LBR-1920</t>
  </si>
  <si>
    <t>822ec73e-1e42-11e4-b4cd-db5882bf8def</t>
  </si>
  <si>
    <t>Burgess King</t>
  </si>
  <si>
    <t>40骞?3985</t>
  </si>
  <si>
    <t>LBR-1930</t>
  </si>
  <si>
    <t>822ef810-1e42-11e4-b4cd-db5882bf8def</t>
  </si>
  <si>
    <t>Edwin Barclay</t>
  </si>
  <si>
    <t>1882-01-05</t>
  </si>
  <si>
    <t>05jan1882</t>
  </si>
  <si>
    <t>Nephew of Arthur Barclay%822ec73c-1e42-11e4-b4cd-db5882bf8def</t>
  </si>
  <si>
    <t>40骞?4776</t>
  </si>
  <si>
    <t>LBR-1944</t>
  </si>
  <si>
    <t>822ef811-1e42-11e4-b4cd-db5882bf8def</t>
  </si>
  <si>
    <t>Tubman</t>
  </si>
  <si>
    <t>1895-11-29</t>
  </si>
  <si>
    <t>29nov1895</t>
  </si>
  <si>
    <t>https://urldefense.proofpoint.com/v2/url?u=http-3A__dbpedia.org_resource_William-5FTubman&amp;d=BQID-g&amp;c=kbmfwr1Yojg42sGEpaQh5ofMHBeTl9EI2eaqQZhHbOU&amp;r=ZliGVSRwfirWoETOrKCh2RSnoygzVPWEk95Me9L-Kwo&amp;m=EaKyFx9mpkhPdFxsxzvW_fiM3jbYwM3xYLjVbSFoDAg&amp;s=ZmkrCcluwYsQbN3SSpv7IwQON2ByqbC5e4dw_-Fkczc&amp;e=</t>
  </si>
  <si>
    <t>40骞?10065</t>
  </si>
  <si>
    <t>LBR-1971</t>
  </si>
  <si>
    <t>822ef812-1e42-11e4-b4cd-db5882bf8def</t>
  </si>
  <si>
    <t>Tolbert</t>
  </si>
  <si>
    <t>40骞?3186</t>
  </si>
  <si>
    <t>LBR-1980</t>
  </si>
  <si>
    <t>822ef813-1e42-11e4-b4cd-db5882bf8def</t>
  </si>
  <si>
    <t>Doe</t>
  </si>
  <si>
    <t>https://urldefense.proofpoint.com/v2/url?u=http-3A__dbpedia.org_resource_Samuel-5FDoe&amp;d=BQID-g&amp;c=kbmfwr1Yojg42sGEpaQh5ofMHBeTl9EI2eaqQZhHbOU&amp;r=ZliGVSRwfirWoETOrKCh2RSnoygzVPWEk95Me9L-Kwo&amp;m=EaKyFx9mpkhPdFxsxzvW_fiM3jbYwM3xYLjVbSFoDAg&amp;s=o41Qz3AKFriQtjpUNpzSIQzR5nFLmAU6h890rLRsoa0&amp;e=</t>
  </si>
  <si>
    <t>40骞?3802</t>
  </si>
  <si>
    <t>LBR-1990</t>
  </si>
  <si>
    <t>822f28e4-1e42-11e4-b4cd-db5882bf8def</t>
  </si>
  <si>
    <t>Sawyer</t>
  </si>
  <si>
    <t>40骞?1201</t>
  </si>
  <si>
    <t>LBR-1994</t>
  </si>
  <si>
    <t>822f28e5-1e42-11e4-b4cd-db5882bf8def</t>
  </si>
  <si>
    <t>Kpormapkor</t>
  </si>
  <si>
    <t>40骞?543</t>
  </si>
  <si>
    <t>LBR-1995</t>
  </si>
  <si>
    <t>822f28e6-1e42-11e4-b4cd-db5882bf8def</t>
  </si>
  <si>
    <t>Sankawulo</t>
  </si>
  <si>
    <t>40骞?368</t>
  </si>
  <si>
    <t>LBR-1996</t>
  </si>
  <si>
    <t>822f28e7-1e42-11e4-b4cd-db5882bf8def</t>
  </si>
  <si>
    <t>Ruth Perry</t>
  </si>
  <si>
    <t>40骞?333</t>
  </si>
  <si>
    <t>LBR-1997</t>
  </si>
  <si>
    <t>822f59b8-1e42-11e4-b4cd-db5882bf8def</t>
  </si>
  <si>
    <t>Taylor</t>
  </si>
  <si>
    <t>40骞?2200</t>
  </si>
  <si>
    <t>LBR-2003-1</t>
  </si>
  <si>
    <t>822f59b9-1e42-11e4-b4cd-db5882bf8def</t>
  </si>
  <si>
    <t>Moses Zeh Blah</t>
  </si>
  <si>
    <t>40骞?64</t>
  </si>
  <si>
    <t>LBR-2003-2</t>
  </si>
  <si>
    <t>822f59ba-1e42-11e4-b4cd-db5882bf8def</t>
  </si>
  <si>
    <t>Bryant</t>
  </si>
  <si>
    <t>40骞?825</t>
  </si>
  <si>
    <t>LBR-2006</t>
  </si>
  <si>
    <t>825397ce-1e42-11e4-b4cd-db5882bf8def</t>
  </si>
  <si>
    <t>Johnson Sirleaf</t>
  </si>
  <si>
    <t>40骞?3636</t>
  </si>
  <si>
    <t>SIE-1961</t>
  </si>
  <si>
    <t>822f59bb-1e42-11e4-b4cd-db5882bf8def</t>
  </si>
  <si>
    <t>SIE</t>
  </si>
  <si>
    <t>Margai,M</t>
  </si>
  <si>
    <t>1895-12-07</t>
  </si>
  <si>
    <t>07dec1895</t>
  </si>
  <si>
    <t>https://urldefense.proofpoint.com/v2/url?u=http-3A__dbpedia.org_resource_Milton-5FMargai&amp;d=BQID-g&amp;c=kbmfwr1Yojg42sGEpaQh5ofMHBeTl9EI2eaqQZhHbOU&amp;r=ZliGVSRwfirWoETOrKCh2RSnoygzVPWEk95Me9L-Kwo&amp;m=EaKyFx9mpkhPdFxsxzvW_fiM3jbYwM3xYLjVbSFoDAg&amp;s=HMa-uR2hV7Fpegb7L9MhMqvLgaU_vdGRgOpz7OAVnSA&amp;e=</t>
  </si>
  <si>
    <t>Brother of Margai, A%822f8a8c-1e42-11e4-b4cd-db5882bf8def</t>
  </si>
  <si>
    <t>SIE-1964</t>
  </si>
  <si>
    <t>822f8a8c-1e42-11e4-b4cd-db5882bf8def</t>
  </si>
  <si>
    <t>Margai, A</t>
  </si>
  <si>
    <t>https://urldefense.proofpoint.com/v2/url?u=http-3A__dbpedia.org_resource_Albert-5FMargai&amp;d=BQID-g&amp;c=kbmfwr1Yojg42sGEpaQh5ofMHBeTl9EI2eaqQZhHbOU&amp;r=ZliGVSRwfirWoETOrKCh2RSnoygzVPWEk95Me9L-Kwo&amp;m=EaKyFx9mpkhPdFxsxzvW_fiM3jbYwM3xYLjVbSFoDAg&amp;s=QmiYrOCOkaJdoWu0yo3AxAp9cUWxf2yhtFBDYHV2C28&amp;e=</t>
  </si>
  <si>
    <t>Brother of Margai,M%822f59bb-1e42-11e4-b4cd-db5882bf8def</t>
  </si>
  <si>
    <t>SIE-1967-1</t>
  </si>
  <si>
    <t>822f8a8d-1e42-11e4-b4cd-db5882bf8def</t>
  </si>
  <si>
    <t>Lansana</t>
  </si>
  <si>
    <t>SIE-1967-2</t>
  </si>
  <si>
    <t>822f8a8e-1e42-11e4-b4cd-db5882bf8def</t>
  </si>
  <si>
    <t>Juxon-Smith</t>
  </si>
  <si>
    <t>SIE-1968</t>
  </si>
  <si>
    <t>822f8a8f-1e42-11e4-b4cd-db5882bf8def</t>
  </si>
  <si>
    <t>Stevens</t>
  </si>
  <si>
    <t>https://urldefense.proofpoint.com/v2/url?u=http-3A__dbpedia.org_resource_Siaka-5FStevens&amp;d=BQID-g&amp;c=kbmfwr1Yojg42sGEpaQh5ofMHBeTl9EI2eaqQZhHbOU&amp;r=ZliGVSRwfirWoETOrKCh2RSnoygzVPWEk95Me9L-Kwo&amp;m=EaKyFx9mpkhPdFxsxzvW_fiM3jbYwM3xYLjVbSFoDAg&amp;s=ej_hik2ixx6bLX7o_Fg42FlPO-EeRNYp1rGDgKiLQlg&amp;e=</t>
  </si>
  <si>
    <t>SIE-1985</t>
  </si>
  <si>
    <t>822f8a90-1e42-11e4-b4cd-db5882bf8def</t>
  </si>
  <si>
    <t>Momoh</t>
  </si>
  <si>
    <t>https://urldefense.proofpoint.com/v2/url?u=http-3A__dbpedia.org_resource_Joseph-5FSaidu-5FMomoh&amp;d=BQID-g&amp;c=kbmfwr1Yojg42sGEpaQh5ofMHBeTl9EI2eaqQZhHbOU&amp;r=ZliGVSRwfirWoETOrKCh2RSnoygzVPWEk95Me9L-Kwo&amp;m=EaKyFx9mpkhPdFxsxzvW_fiM3jbYwM3xYLjVbSFoDAg&amp;s=WK06EW4HSXDTD_zpovMo9G1tDK-6sQDCRqd7g1ujEaU&amp;e=</t>
  </si>
  <si>
    <t>SIE-1992</t>
  </si>
  <si>
    <t>822fbb60-1e42-11e4-b4cd-db5882bf8def</t>
  </si>
  <si>
    <t>Strasser</t>
  </si>
  <si>
    <t>SIE-1996-1</t>
  </si>
  <si>
    <t>822fbb61-1e42-11e4-b4cd-db5882bf8def</t>
  </si>
  <si>
    <t>Bio</t>
  </si>
  <si>
    <t>SIE-1996-2</t>
  </si>
  <si>
    <t>822fbb62-1e42-11e4-b4cd-db5882bf8def</t>
  </si>
  <si>
    <t>Kabbah</t>
  </si>
  <si>
    <t>https://urldefense.proofpoint.com/v2/url?u=http-3A__dbpedia.org_resource_Ahmad-5FTejan-5FKabbah&amp;d=BQID-g&amp;c=kbmfwr1Yojg42sGEpaQh5ofMHBeTl9EI2eaqQZhHbOU&amp;r=ZliGVSRwfirWoETOrKCh2RSnoygzVPWEk95Me9L-Kwo&amp;m=EaKyFx9mpkhPdFxsxzvW_fiM3jbYwM3xYLjVbSFoDAg&amp;s=dMiludHo2Usq1LBFpt0kE30kfj7xg2Q5c8MhOdeH1o0&amp;e=</t>
  </si>
  <si>
    <t>SIE-1997</t>
  </si>
  <si>
    <t>822fbb63-1e42-11e4-b4cd-db5882bf8def</t>
  </si>
  <si>
    <t>Koroma</t>
  </si>
  <si>
    <t>https://urldefense.proofpoint.com/v2/url?u=http-3A__dbpedia.org_resource_Johnny-5FPaul-5FKoroma&amp;d=BQID-g&amp;c=kbmfwr1Yojg42sGEpaQh5ofMHBeTl9EI2eaqQZhHbOU&amp;r=ZliGVSRwfirWoETOrKCh2RSnoygzVPWEk95Me9L-Kwo&amp;m=EaKyFx9mpkhPdFxsxzvW_fiM3jbYwM3xYLjVbSFoDAg&amp;s=h52c0amC-tz5-m5tEr4qvW9Vx9rNOL3gJGIF81txQqs&amp;e=</t>
  </si>
  <si>
    <t>SIE-1998</t>
  </si>
  <si>
    <t>SIE-2007</t>
  </si>
  <si>
    <t>825397cf-1e42-11e4-b4cd-db5882bf8def</t>
  </si>
  <si>
    <t>Bai Koroma</t>
  </si>
  <si>
    <t>GHA-1952</t>
  </si>
  <si>
    <t>822fbb64-1e42-11e4-b4cd-db5882bf8def</t>
  </si>
  <si>
    <t>GHA</t>
  </si>
  <si>
    <t>Nkrumah</t>
  </si>
  <si>
    <t>https://urldefense.proofpoint.com/v2/url?u=http-3A__dbpedia.org_resource_Kwame-5FNkrumah&amp;d=BQID-g&amp;c=kbmfwr1Yojg42sGEpaQh5ofMHBeTl9EI2eaqQZhHbOU&amp;r=ZliGVSRwfirWoETOrKCh2RSnoygzVPWEk95Me9L-Kwo&amp;m=EaKyFx9mpkhPdFxsxzvW_fiM3jbYwM3xYLjVbSFoDAg&amp;s=yltyQ5vUJO01zF61WCtKOwue0ooFxeedkRqzZHFzmKU&amp;e=</t>
  </si>
  <si>
    <t>GHA-1966</t>
  </si>
  <si>
    <t>822fec3e-1e42-11e4-b4cd-db5882bf8def</t>
  </si>
  <si>
    <t>Ankrah</t>
  </si>
  <si>
    <t>https://urldefense.proofpoint.com/v2/url?u=http-3A__dbpedia.org_resource_Joseph-5FArthur-5FAnkrah&amp;d=BQID-g&amp;c=kbmfwr1Yojg42sGEpaQh5ofMHBeTl9EI2eaqQZhHbOU&amp;r=ZliGVSRwfirWoETOrKCh2RSnoygzVPWEk95Me9L-Kwo&amp;m=EaKyFx9mpkhPdFxsxzvW_fiM3jbYwM3xYLjVbSFoDAg&amp;s=3JHpn3Cs4UMW-4wQcZre5yBM--0F6vz0ZA8sQH2S92g&amp;e=</t>
  </si>
  <si>
    <t>GHA-1969-1</t>
  </si>
  <si>
    <t>822fec3f-1e42-11e4-b4cd-db5882bf8def</t>
  </si>
  <si>
    <t>Afrifa</t>
  </si>
  <si>
    <t>https://urldefense.proofpoint.com/v2/url?u=http-3A__dbpedia.org_resource_Akwasi-5FAfrifa&amp;d=BQID-g&amp;c=kbmfwr1Yojg42sGEpaQh5ofMHBeTl9EI2eaqQZhHbOU&amp;r=ZliGVSRwfirWoETOrKCh2RSnoygzVPWEk95Me9L-Kwo&amp;m=EaKyFx9mpkhPdFxsxzvW_fiM3jbYwM3xYLjVbSFoDAg&amp;s=6xsP7Pp2wNtPnL531PfrTAiz20ueRXz3Fs_6w6vx1Xg&amp;e=</t>
  </si>
  <si>
    <t>GHA-1969-2</t>
  </si>
  <si>
    <t>822fec40-1e42-11e4-b4cd-db5882bf8def</t>
  </si>
  <si>
    <t>Busia</t>
  </si>
  <si>
    <t>GHA-1972</t>
  </si>
  <si>
    <t>822fec41-1e42-11e4-b4cd-db5882bf8def</t>
  </si>
  <si>
    <t>Acheampong</t>
  </si>
  <si>
    <t>https://urldefense.proofpoint.com/v2/url?u=http-3A__dbpedia.org_resource_Ignatius-5FKutu-5FAcheampong&amp;d=BQID-g&amp;c=kbmfwr1Yojg42sGEpaQh5ofMHBeTl9EI2eaqQZhHbOU&amp;r=ZliGVSRwfirWoETOrKCh2RSnoygzVPWEk95Me9L-Kwo&amp;m=EaKyFx9mpkhPdFxsxzvW_fiM3jbYwM3xYLjVbSFoDAg&amp;s=UckkzomJE6DAIe52fif0TJvzob1CBwSMGl-Qc6520RI&amp;e=</t>
  </si>
  <si>
    <t>GHA-1978</t>
  </si>
  <si>
    <t>822fec42-1e42-11e4-b4cd-db5882bf8def</t>
  </si>
  <si>
    <t>Akuffo</t>
  </si>
  <si>
    <t>https://urldefense.proofpoint.com/v2/url?u=http-3A__dbpedia.org_resource_Fred-5FAkuffo&amp;d=BQID-g&amp;c=kbmfwr1Yojg42sGEpaQh5ofMHBeTl9EI2eaqQZhHbOU&amp;r=ZliGVSRwfirWoETOrKCh2RSnoygzVPWEk95Me9L-Kwo&amp;m=EaKyFx9mpkhPdFxsxzvW_fiM3jbYwM3xYLjVbSFoDAg&amp;s=6TyK4AorG1owqD0t3xbYMt2JTEnewEIHiPLkC2Hw7lU&amp;e=</t>
  </si>
  <si>
    <t>GHA-1979-1</t>
  </si>
  <si>
    <t>82301d12-1e42-11e4-b4cd-db5882bf8def</t>
  </si>
  <si>
    <t>Rawlings</t>
  </si>
  <si>
    <t>https://urldefense.proofpoint.com/v2/url?u=http-3A__dbpedia.org_resource_Jerry-5FRawlings&amp;d=BQID-g&amp;c=kbmfwr1Yojg42sGEpaQh5ofMHBeTl9EI2eaqQZhHbOU&amp;r=ZliGVSRwfirWoETOrKCh2RSnoygzVPWEk95Me9L-Kwo&amp;m=EaKyFx9mpkhPdFxsxzvW_fiM3jbYwM3xYLjVbSFoDAg&amp;s=7Cwm0nMOXo2UtuWUbV7AerUuCun5FcQPe_yMPWvI1Kk&amp;e=</t>
  </si>
  <si>
    <t>GHA-1979-2</t>
  </si>
  <si>
    <t>82301d13-1e42-11e4-b4cd-db5882bf8def</t>
  </si>
  <si>
    <t>Limann</t>
  </si>
  <si>
    <t>https://urldefense.proofpoint.com/v2/url?u=http-3A__dbpedia.org_resource_Hilla-5FLimann&amp;d=BQID-g&amp;c=kbmfwr1Yojg42sGEpaQh5ofMHBeTl9EI2eaqQZhHbOU&amp;r=ZliGVSRwfirWoETOrKCh2RSnoygzVPWEk95Me9L-Kwo&amp;m=EaKyFx9mpkhPdFxsxzvW_fiM3jbYwM3xYLjVbSFoDAg&amp;s=XJjZ35HjozHxRnbEdHOl5RnQz3fEU1PQFRb_3x_1Xew&amp;e=</t>
  </si>
  <si>
    <t>GHA-1981</t>
  </si>
  <si>
    <t>GHA-2001</t>
  </si>
  <si>
    <t>82301d14-1e42-11e4-b4cd-db5882bf8def</t>
  </si>
  <si>
    <t>John Agyekum Kufuor</t>
  </si>
  <si>
    <t>https://urldefense.proofpoint.com/v2/url?u=http-3A__dbpedia.org_resource_John-5FKufuor&amp;d=BQID-g&amp;c=kbmfwr1Yojg42sGEpaQh5ofMHBeTl9EI2eaqQZhHbOU&amp;r=ZliGVSRwfirWoETOrKCh2RSnoygzVPWEk95Me9L-Kwo&amp;m=EaKyFx9mpkhPdFxsxzvW_fiM3jbYwM3xYLjVbSFoDAg&amp;s=yzdbDHjc2KetU8pYV_C5kfvV2aMMENsCaorSIWuUxeE&amp;e=</t>
  </si>
  <si>
    <t>GHA-2009</t>
  </si>
  <si>
    <t>825397d0-1e42-11e4-b4cd-db5882bf8def</t>
  </si>
  <si>
    <t>Atta Mills</t>
  </si>
  <si>
    <t>GHA-2012</t>
  </si>
  <si>
    <t>2b3c671a-3481-11e4-8dba-bbcd9ed46413</t>
  </si>
  <si>
    <t>John Mahama</t>
  </si>
  <si>
    <t>TOG-1960</t>
  </si>
  <si>
    <t>82301d15-1e42-11e4-b4cd-db5882bf8def</t>
  </si>
  <si>
    <t>TOG</t>
  </si>
  <si>
    <t>Olympio</t>
  </si>
  <si>
    <t>Brother-in-law of Grunitzky%82301d16-1e42-11e4-b4cd-db5882bf8def</t>
  </si>
  <si>
    <t>TOG-1963</t>
  </si>
  <si>
    <t>82301d16-1e42-11e4-b4cd-db5882bf8def</t>
  </si>
  <si>
    <t>Grunitzky</t>
  </si>
  <si>
    <t>Brother-in-law of Olympio%82301d15-1e42-11e4-b4cd-db5882bf8def</t>
  </si>
  <si>
    <t>TOG-1967-1</t>
  </si>
  <si>
    <t>82304de6-1e42-11e4-b4cd-db5882bf8def</t>
  </si>
  <si>
    <t>Dadjo</t>
  </si>
  <si>
    <t>TOG-1967-2</t>
  </si>
  <si>
    <t>82304de7-1e42-11e4-b4cd-db5882bf8def</t>
  </si>
  <si>
    <t>Eyadema</t>
  </si>
  <si>
    <t>https://urldefense.proofpoint.com/v2/url?u=http-3A__dbpedia.org_resource_Gnassingb-25C3-25A9-5FEyad-25C3-25A9ma&amp;d=BQID-g&amp;c=kbmfwr1Yojg42sGEpaQh5ofMHBeTl9EI2eaqQZhHbOU&amp;r=ZliGVSRwfirWoETOrKCh2RSnoygzVPWEk95Me9L-Kwo&amp;m=EaKyFx9mpkhPdFxsxzvW_fiM3jbYwM3xYLjVbSFoDAg&amp;s=ASpMSN_Qs9QoobloEcc4cTf_F42zkdj-2eBAfWOXPmM&amp;e=</t>
  </si>
  <si>
    <t>Father of Faure Gnassingbe%36009e78-3bbd-11e5-afeb-eb6f07f9fec7</t>
  </si>
  <si>
    <t>TOG-2005-1</t>
  </si>
  <si>
    <t>36009e78-3bbd-11e5-afeb-eb6f07f9fec7</t>
  </si>
  <si>
    <t>Faure Gnassingbe</t>
  </si>
  <si>
    <t>Son of Eyadema%82304de7-1e42-11e4-b4cd-db5882bf8def</t>
  </si>
  <si>
    <t>TOG-2005-2</t>
  </si>
  <si>
    <t>825397d2-1e42-11e4-b4cd-db5882bf8def</t>
  </si>
  <si>
    <t>Bonfoh</t>
  </si>
  <si>
    <t>TOG-2005-3</t>
  </si>
  <si>
    <t>CAO-1960</t>
  </si>
  <si>
    <t>82304de8-1e42-11e4-b4cd-db5882bf8def</t>
  </si>
  <si>
    <t>CAO</t>
  </si>
  <si>
    <t>Ahidjo</t>
  </si>
  <si>
    <t>https://urldefense.proofpoint.com/v2/url?u=http-3A__dbpedia.org_resource_Ahmadou-5FAhidjo&amp;d=BQID-g&amp;c=kbmfwr1Yojg42sGEpaQh5ofMHBeTl9EI2eaqQZhHbOU&amp;r=ZliGVSRwfirWoETOrKCh2RSnoygzVPWEk95Me9L-Kwo&amp;m=EaKyFx9mpkhPdFxsxzvW_fiM3jbYwM3xYLjVbSFoDAg&amp;s=vRhypUifczi3ft_uwscZJHftTx5lPWAOSMIr5D4Kss4&amp;e=</t>
  </si>
  <si>
    <t>14骞?8345</t>
  </si>
  <si>
    <t>CAO-1982</t>
  </si>
  <si>
    <t>82304de9-1e42-11e4-b4cd-db5882bf8def</t>
  </si>
  <si>
    <t>Biya</t>
  </si>
  <si>
    <t>https://urldefense.proofpoint.com/v2/url?u=http-3A__dbpedia.org_resource_Paul-5FBiya&amp;d=BQID-g&amp;c=kbmfwr1Yojg42sGEpaQh5ofMHBeTl9EI2eaqQZhHbOU&amp;r=ZliGVSRwfirWoETOrKCh2RSnoygzVPWEk95Me9L-Kwo&amp;m=EaKyFx9mpkhPdFxsxzvW_fiM3jbYwM3xYLjVbSFoDAg&amp;s=mbL1g1vzJmiAYhPHlj50a50Hkw1C5Sckkum_L7VnkTg&amp;e=</t>
  </si>
  <si>
    <t>14骞?12108</t>
  </si>
  <si>
    <t>NIG-1960</t>
  </si>
  <si>
    <t>82304dea-1e42-11e4-b4cd-db5882bf8def</t>
  </si>
  <si>
    <t>NIG</t>
  </si>
  <si>
    <t>Balewa</t>
  </si>
  <si>
    <t>https://urldefense.proofpoint.com/v2/url?u=http-3A__dbpedia.org_resource_Abubakar-5FTafawa-5FBalewa&amp;d=BQID-g&amp;c=kbmfwr1Yojg42sGEpaQh5ofMHBeTl9EI2eaqQZhHbOU&amp;r=ZliGVSRwfirWoETOrKCh2RSnoygzVPWEk95Me9L-Kwo&amp;m=EaKyFx9mpkhPdFxsxzvW_fiM3jbYwM3xYLjVbSFoDAg&amp;s=ecMagiQRA55t0GNes5hZG31qVucN9Frn0bd-iuyHX5o&amp;e=</t>
  </si>
  <si>
    <t>14骞?1932</t>
  </si>
  <si>
    <t>NIG-1966-1</t>
  </si>
  <si>
    <t>82307eba-1e42-11e4-b4cd-db5882bf8def</t>
  </si>
  <si>
    <t>Ironsi</t>
  </si>
  <si>
    <t>14骞?195</t>
  </si>
  <si>
    <t>NIG-1966-2</t>
  </si>
  <si>
    <t>82307ebb-1e42-11e4-b4cd-db5882bf8def</t>
  </si>
  <si>
    <t>Gowon</t>
  </si>
  <si>
    <t>https://urldefense.proofpoint.com/v2/url?u=http-3A__dbpedia.org_resource_Yakubu-5FGowon&amp;d=BQID-g&amp;c=kbmfwr1Yojg42sGEpaQh5ofMHBeTl9EI2eaqQZhHbOU&amp;r=ZliGVSRwfirWoETOrKCh2RSnoygzVPWEk95Me9L-Kwo&amp;m=EaKyFx9mpkhPdFxsxzvW_fiM3jbYwM3xYLjVbSFoDAg&amp;s=tTwUMoFxCi8h1Byr7wl_vSps9YvSjdvl5RHwmPQufxU&amp;e=</t>
  </si>
  <si>
    <t>14骞?3287</t>
  </si>
  <si>
    <t>NIG-1975</t>
  </si>
  <si>
    <t>82307ebc-1e42-11e4-b4cd-db5882bf8def</t>
  </si>
  <si>
    <t>Ramat Mohammed</t>
  </si>
  <si>
    <t>https://urldefense.proofpoint.com/v2/url?u=http-3A__dbpedia.org_resource_Murtala-5FMohammed&amp;d=BQID-g&amp;c=kbmfwr1Yojg42sGEpaQh5ofMHBeTl9EI2eaqQZhHbOU&amp;r=ZliGVSRwfirWoETOrKCh2RSnoygzVPWEk95Me9L-Kwo&amp;m=EaKyFx9mpkhPdFxsxzvW_fiM3jbYwM3xYLjVbSFoDAg&amp;s=3NO7bCLJvrffgNSvx4mqGhFDuRBHfpM23qPQIUdvypg&amp;e=</t>
  </si>
  <si>
    <t>14骞?199</t>
  </si>
  <si>
    <t>NIG-1976</t>
  </si>
  <si>
    <t>82307ebd-1e42-11e4-b4cd-db5882bf8def</t>
  </si>
  <si>
    <t>Obasanjo</t>
  </si>
  <si>
    <t>https://urldefense.proofpoint.com/v2/url?u=http-3A__dbpedia.org_resource_Olusegun-5FObasanjo&amp;d=BQID-g&amp;c=kbmfwr1Yojg42sGEpaQh5ofMHBeTl9EI2eaqQZhHbOU&amp;r=ZliGVSRwfirWoETOrKCh2RSnoygzVPWEk95Me9L-Kwo&amp;m=EaKyFx9mpkhPdFxsxzvW_fiM3jbYwM3xYLjVbSFoDAg&amp;s=KbS1ryDCljaHqiiKDouGSGyEeDrjggsn1CBHrUDS_O8&amp;e=</t>
  </si>
  <si>
    <t>14骞?1326</t>
  </si>
  <si>
    <t>NIG-1979</t>
  </si>
  <si>
    <t>82307ebe-1e42-11e4-b4cd-db5882bf8def</t>
  </si>
  <si>
    <t>Shagari</t>
  </si>
  <si>
    <t>14骞?1552</t>
  </si>
  <si>
    <t>NIG-1983</t>
  </si>
  <si>
    <t>8230af8e-1e42-11e4-b4cd-db5882bf8def</t>
  </si>
  <si>
    <t>Buhari</t>
  </si>
  <si>
    <t>https://urldefense.proofpoint.com/v2/url?u=http-3A__dbpedia.org_resource_Muhammadu-5FBuhari&amp;d=BQID-g&amp;c=kbmfwr1Yojg42sGEpaQh5ofMHBeTl9EI2eaqQZhHbOU&amp;r=ZliGVSRwfirWoETOrKCh2RSnoygzVPWEk95Me9L-Kwo&amp;m=EaKyFx9mpkhPdFxsxzvW_fiM3jbYwM3xYLjVbSFoDAg&amp;s=qjfTeufVdGis0QxN5sgWktmA0AHdPxMrqc2wg73g1FU&amp;e=</t>
  </si>
  <si>
    <t>14骞?605</t>
  </si>
  <si>
    <t>NIG-1985</t>
  </si>
  <si>
    <t>8230af8f-1e42-11e4-b4cd-db5882bf8def</t>
  </si>
  <si>
    <t>Babangida</t>
  </si>
  <si>
    <t>https://urldefense.proofpoint.com/v2/url?u=http-3A__dbpedia.org_resource_Ibrahim-5FBabangida&amp;d=BQID-g&amp;c=kbmfwr1Yojg42sGEpaQh5ofMHBeTl9EI2eaqQZhHbOU&amp;r=ZliGVSRwfirWoETOrKCh2RSnoygzVPWEk95Me9L-Kwo&amp;m=EaKyFx9mpkhPdFxsxzvW_fiM3jbYwM3xYLjVbSFoDAg&amp;s=n0PObCgyaVpzX6OrdRCaSGv4sFkyoRCJjJ21XxpD_Ks&amp;e=</t>
  </si>
  <si>
    <t>14骞?2921</t>
  </si>
  <si>
    <t>NIG-1993-1</t>
  </si>
  <si>
    <t>8230af90-1e42-11e4-b4cd-db5882bf8def</t>
  </si>
  <si>
    <t>Shonekan</t>
  </si>
  <si>
    <t>14骞?83</t>
  </si>
  <si>
    <t>NIG-1993-2</t>
  </si>
  <si>
    <t>8230af91-1e42-11e4-b4cd-db5882bf8def</t>
  </si>
  <si>
    <t>Abacha</t>
  </si>
  <si>
    <t>https://urldefense.proofpoint.com/v2/url?u=http-3A__dbpedia.org_resource_Sani-5FAbacha&amp;d=BQID-g&amp;c=kbmfwr1Yojg42sGEpaQh5ofMHBeTl9EI2eaqQZhHbOU&amp;r=ZliGVSRwfirWoETOrKCh2RSnoygzVPWEk95Me9L-Kwo&amp;m=EaKyFx9mpkhPdFxsxzvW_fiM3jbYwM3xYLjVbSFoDAg&amp;s=EAPFrMs0RCHV5rQQ4V_Q3NbcvBlDxvErvk2t_T2tNo0&amp;e=</t>
  </si>
  <si>
    <t>14骞?1664</t>
  </si>
  <si>
    <t>NIG-1998</t>
  </si>
  <si>
    <t>8230af92-1e42-11e4-b4cd-db5882bf8def</t>
  </si>
  <si>
    <t>Abubakar</t>
  </si>
  <si>
    <t>https://urldefense.proofpoint.com/v2/url?u=http-3A__dbpedia.org_resource_Abdulsalami-5FAbubakar&amp;d=BQID-g&amp;c=kbmfwr1Yojg42sGEpaQh5ofMHBeTl9EI2eaqQZhHbOU&amp;r=ZliGVSRwfirWoETOrKCh2RSnoygzVPWEk95Me9L-Kwo&amp;m=EaKyFx9mpkhPdFxsxzvW_fiM3jbYwM3xYLjVbSFoDAg&amp;s=iaj5uc6kQaZ0stGPRmuzYmzXOuMuujT_UNGLijZfbnc&amp;e=</t>
  </si>
  <si>
    <t>14骞?354</t>
  </si>
  <si>
    <t>NIG-1999</t>
  </si>
  <si>
    <t>14骞?2922</t>
  </si>
  <si>
    <t>NIG-2007</t>
  </si>
  <si>
    <t>8253c8a2-1e42-11e4-b4cd-db5882bf8def</t>
  </si>
  <si>
    <t>Yar'Adua</t>
  </si>
  <si>
    <t>14骞?987</t>
  </si>
  <si>
    <t>NIG-2010</t>
  </si>
  <si>
    <t>8253c8a3-1e42-11e4-b4cd-db5882bf8def</t>
  </si>
  <si>
    <t>Goodluck Jonathan</t>
  </si>
  <si>
    <t>14骞?1935</t>
  </si>
  <si>
    <t>NIG-2015</t>
  </si>
  <si>
    <t>43fa715d-de6a-11e5-ba44-bb6d7c1a9a58</t>
  </si>
  <si>
    <t>Muhummadu Buhari</t>
  </si>
  <si>
    <t>14骞?216</t>
  </si>
  <si>
    <t>GAB-1960</t>
  </si>
  <si>
    <t>8230e062-1e42-11e4-b4cd-db5882bf8def</t>
  </si>
  <si>
    <t>GAB</t>
  </si>
  <si>
    <t>Mba</t>
  </si>
  <si>
    <t>14骞?1279</t>
  </si>
  <si>
    <t>GAB-1964-1</t>
  </si>
  <si>
    <t>8230e063-1e42-11e4-b4cd-db5882bf8def</t>
  </si>
  <si>
    <t>Aubaume</t>
  </si>
  <si>
    <t>14骞?2</t>
  </si>
  <si>
    <t>GAB-1964-2</t>
  </si>
  <si>
    <t>14骞?1377</t>
  </si>
  <si>
    <t>GAB-1967</t>
  </si>
  <si>
    <t>8230e064-1e42-11e4-b4cd-db5882bf8def</t>
  </si>
  <si>
    <t>Bongo</t>
  </si>
  <si>
    <t>https://urldefense.proofpoint.com/v2/url?u=http-3A__dbpedia.org_resource_Omar-5FBongo&amp;d=BQID-g&amp;c=kbmfwr1Yojg42sGEpaQh5ofMHBeTl9EI2eaqQZhHbOU&amp;r=ZliGVSRwfirWoETOrKCh2RSnoygzVPWEk95Me9L-Kwo&amp;m=EaKyFx9mpkhPdFxsxzvW_fiM3jbYwM3xYLjVbSFoDAg&amp;s=LmD5m0eq03Uer5n3ecyop9YfLaQ333_fm1vXVrvlMdg&amp;e=</t>
  </si>
  <si>
    <t>14骞?15168</t>
  </si>
  <si>
    <t>GAB-2009-1</t>
  </si>
  <si>
    <t>8253c8a4-1e42-11e4-b4cd-db5882bf8def</t>
  </si>
  <si>
    <t>Rose Francine Rogombe</t>
  </si>
  <si>
    <t>14骞?128</t>
  </si>
  <si>
    <t>GAB-2009-2</t>
  </si>
  <si>
    <t>8253c8a5-1e42-11e4-b4cd-db5882bf8def</t>
  </si>
  <si>
    <t>Ali Bongo Ondimba</t>
  </si>
  <si>
    <t>14骞?2267</t>
  </si>
  <si>
    <t>CEN-1960</t>
  </si>
  <si>
    <t>82311136-1e42-11e4-b4cd-db5882bf8def</t>
  </si>
  <si>
    <t>CEN</t>
  </si>
  <si>
    <t>Dacko</t>
  </si>
  <si>
    <t>Nephew of Bokassa%82311137-1e42-11e4-b4cd-db5882bf8def</t>
  </si>
  <si>
    <t>CEN-1966</t>
  </si>
  <si>
    <t>82311137-1e42-11e4-b4cd-db5882bf8def</t>
  </si>
  <si>
    <t>Bokassa</t>
  </si>
  <si>
    <t>https://urldefense.proofpoint.com/v2/url?u=http-3A__dbpedia.org_resource_Jean-2DB-25C3-25A9del-5FBokassa&amp;d=BQID-g&amp;c=kbmfwr1Yojg42sGEpaQh5ofMHBeTl9EI2eaqQZhHbOU&amp;r=ZliGVSRwfirWoETOrKCh2RSnoygzVPWEk95Me9L-Kwo&amp;m=EaKyFx9mpkhPdFxsxzvW_fiM3jbYwM3xYLjVbSFoDAg&amp;s=B1krgEuIKmPHKeKZzTupVf5kEs1gAP8BsTRsk61gcaI&amp;e=</t>
  </si>
  <si>
    <t>Uncle of Dacko%82311136-1e42-11e4-b4cd-db5882bf8def</t>
  </si>
  <si>
    <t>CEN-1979</t>
  </si>
  <si>
    <t>CEN-1981</t>
  </si>
  <si>
    <t>82311138-1e42-11e4-b4cd-db5882bf8def</t>
  </si>
  <si>
    <t>Kolingba</t>
  </si>
  <si>
    <t>CEN-1993</t>
  </si>
  <si>
    <t>82311139-1e42-11e4-b4cd-db5882bf8def</t>
  </si>
  <si>
    <t>Patasse</t>
  </si>
  <si>
    <t>https://urldefense.proofpoint.com/v2/url?u=http-3A__dbpedia.org_resource_Ange-2DF-25C3-25A9lix-5FPatass-25C3-25A9&amp;d=BQID-g&amp;c=kbmfwr1Yojg42sGEpaQh5ofMHBeTl9EI2eaqQZhHbOU&amp;r=ZliGVSRwfirWoETOrKCh2RSnoygzVPWEk95Me9L-Kwo&amp;m=EaKyFx9mpkhPdFxsxzvW_fiM3jbYwM3xYLjVbSFoDAg&amp;s=M2UUvsZL6Zn62pumlXXEjfQc2FXJCnw1sLSz9vvCiH0&amp;e=</t>
  </si>
  <si>
    <t>CEN-2003</t>
  </si>
  <si>
    <t>8231420a-1e42-11e4-b4cd-db5882bf8def</t>
  </si>
  <si>
    <t>Francois Bozize</t>
  </si>
  <si>
    <t>CEN-2013</t>
  </si>
  <si>
    <t>2b3c671b-3481-11e4-8dba-bbcd9ed46413</t>
  </si>
  <si>
    <t>Djotodia</t>
  </si>
  <si>
    <t>CEN-2014-1</t>
  </si>
  <si>
    <t>149f7559-aae0-11e4-b3bc-29f2fa19767e</t>
  </si>
  <si>
    <t>Nguendet</t>
  </si>
  <si>
    <t>CEN-2014-2</t>
  </si>
  <si>
    <t>149f9c66-aae0-11e4-b3bc-29f2fa19767e</t>
  </si>
  <si>
    <t>Catherine Samba-Panza</t>
  </si>
  <si>
    <t>CHA-1960</t>
  </si>
  <si>
    <t>8231420b-1e42-11e4-b4cd-db5882bf8def</t>
  </si>
  <si>
    <t>CHA</t>
  </si>
  <si>
    <t>Tombalbaye</t>
  </si>
  <si>
    <t>https://urldefense.proofpoint.com/v2/url?u=http-3A__dbpedia.org_resource_Fran-25C3-25A7ois-5FTombalbaye&amp;d=BQID-g&amp;c=kbmfwr1Yojg42sGEpaQh5ofMHBeTl9EI2eaqQZhHbOU&amp;r=ZliGVSRwfirWoETOrKCh2RSnoygzVPWEk95Me9L-Kwo&amp;m=EaKyFx9mpkhPdFxsxzvW_fiM3jbYwM3xYLjVbSFoDAg&amp;s=gDJF45u_UGAKxU8dxb5kmEI8TLOSNPoejqkVDoKKP4k&amp;e=</t>
  </si>
  <si>
    <t>CHA-1975</t>
  </si>
  <si>
    <t>8231420c-1e42-11e4-b4cd-db5882bf8def</t>
  </si>
  <si>
    <t>Malloum</t>
  </si>
  <si>
    <t>CHA-1979</t>
  </si>
  <si>
    <t>8231420d-1e42-11e4-b4cd-db5882bf8def</t>
  </si>
  <si>
    <t>Oueddei</t>
  </si>
  <si>
    <t>https://urldefense.proofpoint.com/v2/url?u=http-3A__dbpedia.org_resource_Goukouni-5FOueddei&amp;d=BQID-g&amp;c=kbmfwr1Yojg42sGEpaQh5ofMHBeTl9EI2eaqQZhHbOU&amp;r=ZliGVSRwfirWoETOrKCh2RSnoygzVPWEk95Me9L-Kwo&amp;m=EaKyFx9mpkhPdFxsxzvW_fiM3jbYwM3xYLjVbSFoDAg&amp;s=rW49Ue780feyo47BT5nmWp6Y8bibiqf7l8tqx05TkOg&amp;e=</t>
  </si>
  <si>
    <t>CHA-1982</t>
  </si>
  <si>
    <t>8231420e-1e42-11e4-b4cd-db5882bf8def</t>
  </si>
  <si>
    <t>Habre</t>
  </si>
  <si>
    <t>CHA-1990</t>
  </si>
  <si>
    <t>823172de-1e42-11e4-b4cd-db5882bf8def</t>
  </si>
  <si>
    <t>Deby</t>
  </si>
  <si>
    <t>CON-1960</t>
  </si>
  <si>
    <t>823172df-1e42-11e4-b4cd-db5882bf8def</t>
  </si>
  <si>
    <t>CON</t>
  </si>
  <si>
    <t>Youlou</t>
  </si>
  <si>
    <t>14骞?1095</t>
  </si>
  <si>
    <t>CON-1963</t>
  </si>
  <si>
    <t>823172e0-1e42-11e4-b4cd-db5882bf8def</t>
  </si>
  <si>
    <t>Debat</t>
  </si>
  <si>
    <t>14骞?1846</t>
  </si>
  <si>
    <t>CON-1968</t>
  </si>
  <si>
    <t>8231a3b2-1e42-11e4-b4cd-db5882bf8def</t>
  </si>
  <si>
    <t>Raoul</t>
  </si>
  <si>
    <t>14骞?119</t>
  </si>
  <si>
    <t>CON-1969</t>
  </si>
  <si>
    <t>8231a3b3-1e42-11e4-b4cd-db5882bf8def</t>
  </si>
  <si>
    <t>Ngouabi</t>
  </si>
  <si>
    <t>14骞?2998</t>
  </si>
  <si>
    <t>CON-1977</t>
  </si>
  <si>
    <t>8231a3b4-1e42-11e4-b4cd-db5882bf8def</t>
  </si>
  <si>
    <t>Opango</t>
  </si>
  <si>
    <t>14骞?689</t>
  </si>
  <si>
    <t>CON-1979</t>
  </si>
  <si>
    <t>8231a3b5-1e42-11e4-b4cd-db5882bf8def</t>
  </si>
  <si>
    <t>Nguesso</t>
  </si>
  <si>
    <t>14骞?4942</t>
  </si>
  <si>
    <t>CON-1992</t>
  </si>
  <si>
    <t>8231d490-1e42-11e4-b4cd-db5882bf8def</t>
  </si>
  <si>
    <t>Lissouba</t>
  </si>
  <si>
    <t>14骞?1871</t>
  </si>
  <si>
    <t>CON-1997</t>
  </si>
  <si>
    <t>14骞?6651</t>
  </si>
  <si>
    <t>DRC-1960-1</t>
  </si>
  <si>
    <t>8231d491-1e42-11e4-b4cd-db5882bf8def</t>
  </si>
  <si>
    <t>DRC</t>
  </si>
  <si>
    <t>Lumumba</t>
  </si>
  <si>
    <t>https://urldefense.proofpoint.com/v2/url?u=http-3A__dbpedia.org_resource_Patrice-5FLumumba&amp;d=BQID-g&amp;c=kbmfwr1Yojg42sGEpaQh5ofMHBeTl9EI2eaqQZhHbOU&amp;r=ZliGVSRwfirWoETOrKCh2RSnoygzVPWEk95Me9L-Kwo&amp;m=EaKyFx9mpkhPdFxsxzvW_fiM3jbYwM3xYLjVbSFoDAg&amp;s=vTz95NF-JS1k0kmkqnF2eV6AXP3tvKrWyhLf4h-dtP0&amp;e=</t>
  </si>
  <si>
    <t>14骞?76</t>
  </si>
  <si>
    <t>DRC-1960-2</t>
  </si>
  <si>
    <t>8231d492-1e42-11e4-b4cd-db5882bf8def</t>
  </si>
  <si>
    <t>Mobutu</t>
  </si>
  <si>
    <t>https://urldefense.proofpoint.com/v2/url?u=http-3A__dbpedia.org_resource_Mobutu-5FSese-5FSeko&amp;d=BQID-g&amp;c=kbmfwr1Yojg42sGEpaQh5ofMHBeTl9EI2eaqQZhHbOU&amp;r=ZliGVSRwfirWoETOrKCh2RSnoygzVPWEk95Me9L-Kwo&amp;m=EaKyFx9mpkhPdFxsxzvW_fiM3jbYwM3xYLjVbSFoDAg&amp;s=1oa9334Z_cHdTQRCYwetrtk4Rhh_w88JAIGwQqYbKqc&amp;e=</t>
  </si>
  <si>
    <t>14骞?6</t>
  </si>
  <si>
    <t>DRC-1960-3</t>
  </si>
  <si>
    <t>8231d493-1e42-11e4-b4cd-db5882bf8def</t>
  </si>
  <si>
    <t>Kasavubu</t>
  </si>
  <si>
    <t>14骞?1892</t>
  </si>
  <si>
    <t>DRC-1965</t>
  </si>
  <si>
    <t>14骞?11495</t>
  </si>
  <si>
    <t>DRC-1997</t>
  </si>
  <si>
    <t>8231d494-1e42-11e4-b4cd-db5882bf8def</t>
  </si>
  <si>
    <t>Laurent Kabila</t>
  </si>
  <si>
    <t>https://urldefense.proofpoint.com/v2/url?u=http-3A__dbpedia.org_resource_Laurent-2DD-25C3-25A9sir-25C3-25A9-5FKabila&amp;d=BQID-g&amp;c=kbmfwr1Yojg42sGEpaQh5ofMHBeTl9EI2eaqQZhHbOU&amp;r=ZliGVSRwfirWoETOrKCh2RSnoygzVPWEk95Me9L-Kwo&amp;m=EaKyFx9mpkhPdFxsxzvW_fiM3jbYwM3xYLjVbSFoDAg&amp;s=begnUBQDRpELmWksaIaCiCJsEXtP_F3u9XyWON1AyEk&amp;e=</t>
  </si>
  <si>
    <t>Father of Joseph Kabila%82320564-1e42-11e4-b4cd-db5882bf8def</t>
  </si>
  <si>
    <t>14骞?1341</t>
  </si>
  <si>
    <t>DRC-2001</t>
  </si>
  <si>
    <t>82320564-1e42-11e4-b4cd-db5882bf8def</t>
  </si>
  <si>
    <t>Joseph Kabila</t>
  </si>
  <si>
    <t>Son of Laurent Kabila%8231d494-1e42-11e4-b4cd-db5882bf8def</t>
  </si>
  <si>
    <t>14骞?5461</t>
  </si>
  <si>
    <t>UGA-1962</t>
  </si>
  <si>
    <t>82320565-1e42-11e4-b4cd-db5882bf8def</t>
  </si>
  <si>
    <t>UGA</t>
  </si>
  <si>
    <t>Obote</t>
  </si>
  <si>
    <t>https://urldefense.proofpoint.com/v2/url?u=http-3A__dbpedia.org_resource_Milton-5FObote&amp;d=BQID-g&amp;c=kbmfwr1Yojg42sGEpaQh5ofMHBeTl9EI2eaqQZhHbOU&amp;r=ZliGVSRwfirWoETOrKCh2RSnoygzVPWEk95Me9L-Kwo&amp;m=EaKyFx9mpkhPdFxsxzvW_fiM3jbYwM3xYLjVbSFoDAg&amp;s=qVryvKFiZz-b61dniE4MEBd4Kr7NFrcMz-n28ShYVhE&amp;e=</t>
  </si>
  <si>
    <t>UGA-1971</t>
  </si>
  <si>
    <t>82320566-1e42-11e4-b4cd-db5882bf8def</t>
  </si>
  <si>
    <t>Amin</t>
  </si>
  <si>
    <t>UGA-1979-1</t>
  </si>
  <si>
    <t>82320567-1e42-11e4-b4cd-db5882bf8def</t>
  </si>
  <si>
    <t>Yusuf Lule</t>
  </si>
  <si>
    <t>UGA-1979-2</t>
  </si>
  <si>
    <t>82323638-1e42-11e4-b4cd-db5882bf8def</t>
  </si>
  <si>
    <t>Banaisa</t>
  </si>
  <si>
    <t>UGA-1980-1</t>
  </si>
  <si>
    <t>82323639-1e42-11e4-b4cd-db5882bf8def</t>
  </si>
  <si>
    <t>Paulo Muwanga</t>
  </si>
  <si>
    <t>https://urldefense.proofpoint.com/v2/url?u=http-3A__dbpedia.org_resource_Paulo-5FMuwanga&amp;d=BQID-g&amp;c=kbmfwr1Yojg42sGEpaQh5ofMHBeTl9EI2eaqQZhHbOU&amp;r=ZliGVSRwfirWoETOrKCh2RSnoygzVPWEk95Me9L-Kwo&amp;m=EaKyFx9mpkhPdFxsxzvW_fiM3jbYwM3xYLjVbSFoDAg&amp;s=aRheWYetq-AnjJC4FOxYrxBCkT9HjmV5e09Bp2EtoFw&amp;e=</t>
  </si>
  <si>
    <t>UGA-1980-2</t>
  </si>
  <si>
    <t>UGA-1985</t>
  </si>
  <si>
    <t>8232363a-1e42-11e4-b4cd-db5882bf8def</t>
  </si>
  <si>
    <t>Okello</t>
  </si>
  <si>
    <t>UGA-1986</t>
  </si>
  <si>
    <t>8232670c-1e42-11e4-b4cd-db5882bf8def</t>
  </si>
  <si>
    <t>Museveni</t>
  </si>
  <si>
    <t>KEN-1963</t>
  </si>
  <si>
    <t>8232670d-1e42-11e4-b4cd-db5882bf8def</t>
  </si>
  <si>
    <t>KEN</t>
  </si>
  <si>
    <t>Kenyatta</t>
  </si>
  <si>
    <t>1891-10-20</t>
  </si>
  <si>
    <t>20oct1891</t>
  </si>
  <si>
    <t>https://urldefense.proofpoint.com/v2/url?u=http-3A__dbpedia.org_resource_Jomo-5FKenyatta&amp;d=BQID-g&amp;c=kbmfwr1Yojg42sGEpaQh5ofMHBeTl9EI2eaqQZhHbOU&amp;r=ZliGVSRwfirWoETOrKCh2RSnoygzVPWEk95Me9L-Kwo&amp;m=EaKyFx9mpkhPdFxsxzvW_fiM3jbYwM3xYLjVbSFoDAg&amp;s=3GNb06ZXxr0yAHt4tlx3el8VLjFbnhtt7UIdaYvUf-s&amp;e=</t>
  </si>
  <si>
    <t>KEN-1978</t>
  </si>
  <si>
    <t>8232670e-1e42-11e4-b4cd-db5882bf8def</t>
  </si>
  <si>
    <t>Moi</t>
  </si>
  <si>
    <t>https://urldefense.proofpoint.com/v2/url?u=http-3A__dbpedia.org_resource_Daniel-5Farap-5FMoi&amp;d=BQID-g&amp;c=kbmfwr1Yojg42sGEpaQh5ofMHBeTl9EI2eaqQZhHbOU&amp;r=ZliGVSRwfirWoETOrKCh2RSnoygzVPWEk95Me9L-Kwo&amp;m=EaKyFx9mpkhPdFxsxzvW_fiM3jbYwM3xYLjVbSFoDAg&amp;s=2OjGGViHWRzPhvGq3S9-awHFldEGpWHEbyZ7lV7knBs&amp;e=</t>
  </si>
  <si>
    <t>KEN-2002</t>
  </si>
  <si>
    <t>8232670f-1e42-11e4-b4cd-db5882bf8def</t>
  </si>
  <si>
    <t>Mwai Kibaki</t>
  </si>
  <si>
    <t>KEN-2013</t>
  </si>
  <si>
    <t>2b3c671c-3481-11e4-8dba-bbcd9ed46413</t>
  </si>
  <si>
    <t>Uhuru Kenyatta</t>
  </si>
  <si>
    <t>TAZ-1961</t>
  </si>
  <si>
    <t>82326710-1e42-11e4-b4cd-db5882bf8def</t>
  </si>
  <si>
    <t>TAZ</t>
  </si>
  <si>
    <t>Nyerere</t>
  </si>
  <si>
    <t>https://urldefense.proofpoint.com/v2/url?u=http-3A__dbpedia.org_resource_Julius-5FNyerere&amp;d=BQID-g&amp;c=kbmfwr1Yojg42sGEpaQh5ofMHBeTl9EI2eaqQZhHbOU&amp;r=ZliGVSRwfirWoETOrKCh2RSnoygzVPWEk95Me9L-Kwo&amp;m=EaKyFx9mpkhPdFxsxzvW_fiM3jbYwM3xYLjVbSFoDAg&amp;s=UJLPKW_LgU2_AxZLsK7KtD9zSjY26zJQlCvsoUR27R8&amp;e=</t>
  </si>
  <si>
    <t>42骞?8762</t>
  </si>
  <si>
    <t>TAZ-1985</t>
  </si>
  <si>
    <t>823297e0-1e42-11e4-b4cd-db5882bf8def</t>
  </si>
  <si>
    <t>Mwinyi</t>
  </si>
  <si>
    <t>https://urldefense.proofpoint.com/v2/url?u=http-3A__dbpedia.org_resource_Ali-5FHassan-5FMwinyi&amp;d=BQID-g&amp;c=kbmfwr1Yojg42sGEpaQh5ofMHBeTl9EI2eaqQZhHbOU&amp;r=ZliGVSRwfirWoETOrKCh2RSnoygzVPWEk95Me9L-Kwo&amp;m=EaKyFx9mpkhPdFxsxzvW_fiM3jbYwM3xYLjVbSFoDAg&amp;s=54KHFr_TJZKBk4eetizPlRH31gigqOCWHpwSxUTlpMc&amp;e=</t>
  </si>
  <si>
    <t>42骞?3652</t>
  </si>
  <si>
    <t>TAZ-1995</t>
  </si>
  <si>
    <t>823297e1-1e42-11e4-b4cd-db5882bf8def</t>
  </si>
  <si>
    <t>Mkapa</t>
  </si>
  <si>
    <t>42骞?3699</t>
  </si>
  <si>
    <t>TAZ-2005</t>
  </si>
  <si>
    <t>8253c8a6-1e42-11e4-b4cd-db5882bf8def</t>
  </si>
  <si>
    <t>Kikwete</t>
  </si>
  <si>
    <t>42骞?3606</t>
  </si>
  <si>
    <t>TAZ-2015</t>
  </si>
  <si>
    <t>43fa715e-de6a-11e5-ba44-bb6d7c1a9a58</t>
  </si>
  <si>
    <t>John Magufuli</t>
  </si>
  <si>
    <t>42骞?56</t>
  </si>
  <si>
    <t>ZAN-1961</t>
  </si>
  <si>
    <t>823297e2-1e42-11e4-b4cd-db5882bf8def</t>
  </si>
  <si>
    <t>ZAN</t>
  </si>
  <si>
    <t>Shamte Hamadi</t>
  </si>
  <si>
    <t>ZAN-1964</t>
  </si>
  <si>
    <t>823297e3-1e42-11e4-b4cd-db5882bf8def</t>
  </si>
  <si>
    <t>Kassim Hanga</t>
  </si>
  <si>
    <t>BUI-1962</t>
  </si>
  <si>
    <t>823297e4-1e42-11e4-b4cd-db5882bf8def</t>
  </si>
  <si>
    <t>BUI</t>
  </si>
  <si>
    <t>Mwambutsa</t>
  </si>
  <si>
    <t>BUI-1966-1</t>
  </si>
  <si>
    <t>8232c8b4-1e42-11e4-b4cd-db5882bf8def</t>
  </si>
  <si>
    <t>Ntare</t>
  </si>
  <si>
    <t>BUI-1966-2</t>
  </si>
  <si>
    <t>8232c8b5-1e42-11e4-b4cd-db5882bf8def</t>
  </si>
  <si>
    <t>Micombero</t>
  </si>
  <si>
    <t>https://urldefense.proofpoint.com/v2/url?u=http-3A__dbpedia.org_resource_Michel-5FMicombero&amp;d=BQID-g&amp;c=kbmfwr1Yojg42sGEpaQh5ofMHBeTl9EI2eaqQZhHbOU&amp;r=ZliGVSRwfirWoETOrKCh2RSnoygzVPWEk95Me9L-Kwo&amp;m=EaKyFx9mpkhPdFxsxzvW_fiM3jbYwM3xYLjVbSFoDAg&amp;s=GxZ5xluQsvw5Akrtq6f4HHxqj_MdC2DEtSShoAhKx9I&amp;e=</t>
  </si>
  <si>
    <t>BUI-1976</t>
  </si>
  <si>
    <t>8232c8b6-1e42-11e4-b4cd-db5882bf8def</t>
  </si>
  <si>
    <t>Bagaza</t>
  </si>
  <si>
    <t>BUI-1987</t>
  </si>
  <si>
    <t>8232c8b7-1e42-11e4-b4cd-db5882bf8def</t>
  </si>
  <si>
    <t>Buyoya</t>
  </si>
  <si>
    <t>BUI-1993-1</t>
  </si>
  <si>
    <t>8232c8b8-1e42-11e4-b4cd-db5882bf8def</t>
  </si>
  <si>
    <t>Ndadaye</t>
  </si>
  <si>
    <t>https://urldefense.proofpoint.com/v2/url?u=http-3A__dbpedia.org_resource_Melchior-5FNdadaye&amp;d=BQID-g&amp;c=kbmfwr1Yojg42sGEpaQh5ofMHBeTl9EI2eaqQZhHbOU&amp;r=ZliGVSRwfirWoETOrKCh2RSnoygzVPWEk95Me9L-Kwo&amp;m=EaKyFx9mpkhPdFxsxzvW_fiM3jbYwM3xYLjVbSFoDAg&amp;s=AxkEr9rbhzmQqZqdDNkC7mEbYQs4XVxxp0j8Xdm-vwg&amp;e=</t>
  </si>
  <si>
    <t>BUI-1993-2</t>
  </si>
  <si>
    <t>8232c8b9-1e42-11e4-b4cd-db5882bf8def</t>
  </si>
  <si>
    <t>Ngueze</t>
  </si>
  <si>
    <t>BUI-1993-3</t>
  </si>
  <si>
    <t>8232f988-1e42-11e4-b4cd-db5882bf8def</t>
  </si>
  <si>
    <t>Kinigi</t>
  </si>
  <si>
    <t>BUI-1994-1</t>
  </si>
  <si>
    <t>8232f989-1e42-11e4-b4cd-db5882bf8def</t>
  </si>
  <si>
    <t>Ntarymira</t>
  </si>
  <si>
    <t>BUI-1994-2</t>
  </si>
  <si>
    <t>8232f98a-1e42-11e4-b4cd-db5882bf8def</t>
  </si>
  <si>
    <t>Ntibantunganya</t>
  </si>
  <si>
    <t>BUI-1996</t>
  </si>
  <si>
    <t>BUI-2003</t>
  </si>
  <si>
    <t>8232f98b-1e42-11e4-b4cd-db5882bf8def</t>
  </si>
  <si>
    <t>Ndayizeye</t>
  </si>
  <si>
    <t>https://urldefense.proofpoint.com/v2/url?u=http-3A__dbpedia.org_resource_Domitien-5FNdayizeye&amp;d=BQID-g&amp;c=kbmfwr1Yojg42sGEpaQh5ofMHBeTl9EI2eaqQZhHbOU&amp;r=ZliGVSRwfirWoETOrKCh2RSnoygzVPWEk95Me9L-Kwo&amp;m=EaKyFx9mpkhPdFxsxzvW_fiM3jbYwM3xYLjVbSFoDAg&amp;s=upcSeVjDTLhzZHZ0lgu4Fg5Qfducs0REfiGeVRuEPDc&amp;e=</t>
  </si>
  <si>
    <t>BUI-2005</t>
  </si>
  <si>
    <t>8253c8a7-1e42-11e4-b4cd-db5882bf8def</t>
  </si>
  <si>
    <t>Nkurunziza</t>
  </si>
  <si>
    <t>RWA-1961</t>
  </si>
  <si>
    <t>8232f98c-1e42-11e4-b4cd-db5882bf8def</t>
  </si>
  <si>
    <t>RWA</t>
  </si>
  <si>
    <t>Kayibanda</t>
  </si>
  <si>
    <t>RWA-1973</t>
  </si>
  <si>
    <t>82332a5c-1e42-11e4-b4cd-db5882bf8def</t>
  </si>
  <si>
    <t>Habyarimana</t>
  </si>
  <si>
    <t>https://urldefense.proofpoint.com/v2/url?u=http-3A__dbpedia.org_resource_Juv-25C3-25A9nal-5FHabyarimana&amp;d=BQID-g&amp;c=kbmfwr1Yojg42sGEpaQh5ofMHBeTl9EI2eaqQZhHbOU&amp;r=ZliGVSRwfirWoETOrKCh2RSnoygzVPWEk95Me9L-Kwo&amp;m=EaKyFx9mpkhPdFxsxzvW_fiM3jbYwM3xYLjVbSFoDAg&amp;s=dIUi261zMrTIWc66B1w4UrXa1yjrdQZ0iZw2CaNaApQ&amp;e=</t>
  </si>
  <si>
    <t>RWA-1994-1</t>
  </si>
  <si>
    <t>82332a5d-1e42-11e4-b4cd-db5882bf8def</t>
  </si>
  <si>
    <t>Sindikubwabo</t>
  </si>
  <si>
    <t>RWA-1994-2</t>
  </si>
  <si>
    <t>82332a5e-1e42-11e4-b4cd-db5882bf8def</t>
  </si>
  <si>
    <t>Paul Kagame</t>
  </si>
  <si>
    <t>https://urldefense.proofpoint.com/v2/url?u=http-3A__dbpedia.org_resource_Paul-5FKagame&amp;d=BQID-g&amp;c=kbmfwr1Yojg42sGEpaQh5ofMHBeTl9EI2eaqQZhHbOU&amp;r=ZliGVSRwfirWoETOrKCh2RSnoygzVPWEk95Me9L-Kwo&amp;m=EaKyFx9mpkhPdFxsxzvW_fiM3jbYwM3xYLjVbSFoDAg&amp;s=0aE5c4r24kTlDtt59GNy8kCodfzS-rq4wRJBX1PM6kY&amp;e=</t>
  </si>
  <si>
    <t>SOM-1960</t>
  </si>
  <si>
    <t>82332a5f-1e42-11e4-b4cd-db5882bf8def</t>
  </si>
  <si>
    <t>SOM</t>
  </si>
  <si>
    <t>Osman Daar</t>
  </si>
  <si>
    <t>https://urldefense.proofpoint.com/v2/url?u=http-3A__dbpedia.org_resource_Aden-5FAbdullah-5FOsman-5FDaar&amp;d=BQID-g&amp;c=kbmfwr1Yojg42sGEpaQh5ofMHBeTl9EI2eaqQZhHbOU&amp;r=ZliGVSRwfirWoETOrKCh2RSnoygzVPWEk95Me9L-Kwo&amp;m=EaKyFx9mpkhPdFxsxzvW_fiM3jbYwM3xYLjVbSFoDAg&amp;s=s8Z7hO3UHvIXyI49eUcSsnu7-UIZkrrEEOQSFr3NC70&amp;e=</t>
  </si>
  <si>
    <t>16骞?2565</t>
  </si>
  <si>
    <t>SOM-1967</t>
  </si>
  <si>
    <t>82332a60-1e42-11e4-b4cd-db5882bf8def</t>
  </si>
  <si>
    <t>Shermarke</t>
  </si>
  <si>
    <t>https://urldefense.proofpoint.com/v2/url?u=http-3A__dbpedia.org_resource_Abdirashid-5FAli-5FShermarke&amp;d=BQID-g&amp;c=kbmfwr1Yojg42sGEpaQh5ofMHBeTl9EI2eaqQZhHbOU&amp;r=ZliGVSRwfirWoETOrKCh2RSnoygzVPWEk95Me9L-Kwo&amp;m=EaKyFx9mpkhPdFxsxzvW_fiM3jbYwM3xYLjVbSFoDAg&amp;s=thHoZpBovhtcZMwu1s_ixMoz-rwviHx0MPcWjQHg07E&amp;e=</t>
  </si>
  <si>
    <t>16骞?828</t>
  </si>
  <si>
    <t>SOM-1969</t>
  </si>
  <si>
    <t>82332a61-1e42-11e4-b4cd-db5882bf8def</t>
  </si>
  <si>
    <t>Siad Barre</t>
  </si>
  <si>
    <t>https://urldefense.proofpoint.com/v2/url?u=http-3A__dbpedia.org_resource_Siad-5FBarre&amp;d=BQID-g&amp;c=kbmfwr1Yojg42sGEpaQh5ofMHBeTl9EI2eaqQZhHbOU&amp;r=ZliGVSRwfirWoETOrKCh2RSnoygzVPWEk95Me9L-Kwo&amp;m=EaKyFx9mpkhPdFxsxzvW_fiM3jbYwM3xYLjVbSFoDAg&amp;s=5lPVvSDTqKhWYMyajKTdBbxKRkFS_YnYjpJ3IKtMv1Q&amp;e=</t>
  </si>
  <si>
    <t>16骞?7767</t>
  </si>
  <si>
    <t>SOM-2012</t>
  </si>
  <si>
    <t>149f9c67-aae0-11e4-b3bc-29f2fa19767e</t>
  </si>
  <si>
    <t>Hassan Sheikh Mohamud</t>
  </si>
  <si>
    <t>16骞?1201</t>
  </si>
  <si>
    <t>DJI-1977</t>
  </si>
  <si>
    <t>82335b30-1e42-11e4-b4cd-db5882bf8def</t>
  </si>
  <si>
    <t>DJI</t>
  </si>
  <si>
    <t>Gouled Aptidon</t>
  </si>
  <si>
    <t>https://urldefense.proofpoint.com/v2/url?u=http-3A__dbpedia.org_resource_Hassan-5FGouled-5FAptidon&amp;d=BQID-g&amp;c=kbmfwr1Yojg42sGEpaQh5ofMHBeTl9EI2eaqQZhHbOU&amp;r=ZliGVSRwfirWoETOrKCh2RSnoygzVPWEk95Me9L-Kwo&amp;m=EaKyFx9mpkhPdFxsxzvW_fiM3jbYwM3xYLjVbSFoDAg&amp;s=Uu-xw5pHC50yLxVZQEo3kJ6Ihu1iUoGnrLGuCwW3hA0&amp;e=</t>
  </si>
  <si>
    <t>Nephew of Guelleh%82335b31-1e42-11e4-b4cd-db5882bf8def</t>
  </si>
  <si>
    <t>DJI-1999</t>
  </si>
  <si>
    <t>82335b31-1e42-11e4-b4cd-db5882bf8def</t>
  </si>
  <si>
    <t>Guelleh</t>
  </si>
  <si>
    <t>Uncle of Gouled Aptidon%82335b30-1e42-11e4-b4cd-db5882bf8def</t>
  </si>
  <si>
    <t>ETH-1871</t>
  </si>
  <si>
    <t>82335b32-1e42-11e4-b4cd-db5882bf8def</t>
  </si>
  <si>
    <t>ETH</t>
  </si>
  <si>
    <t>Yohannes IV</t>
  </si>
  <si>
    <t>1871-07-11</t>
  </si>
  <si>
    <t>1889-03-09</t>
  </si>
  <si>
    <t>32骞?6451</t>
  </si>
  <si>
    <t>ETH-1889</t>
  </si>
  <si>
    <t>82335b33-1e42-11e4-b4cd-db5882bf8def</t>
  </si>
  <si>
    <t>Menelek II</t>
  </si>
  <si>
    <t>1844-08-17</t>
  </si>
  <si>
    <t>17aug1844</t>
  </si>
  <si>
    <t>32骞?8101</t>
  </si>
  <si>
    <t>ETH-1911</t>
  </si>
  <si>
    <t>82335b34-1e42-11e4-b4cd-db5882bf8def</t>
  </si>
  <si>
    <t>Joshua (Lij Yasu)</t>
  </si>
  <si>
    <t>32骞?1962</t>
  </si>
  <si>
    <t>ETH-1916</t>
  </si>
  <si>
    <t>82338c04-1e42-11e4-b4cd-db5882bf8def</t>
  </si>
  <si>
    <t>Judith (Zanditu)</t>
  </si>
  <si>
    <t>32骞?4936</t>
  </si>
  <si>
    <t>ETH-1930</t>
  </si>
  <si>
    <t>82338c05-1e42-11e4-b4cd-db5882bf8def</t>
  </si>
  <si>
    <t>Selassie</t>
  </si>
  <si>
    <t>1892-07-23</t>
  </si>
  <si>
    <t>23jul1892</t>
  </si>
  <si>
    <t>https://urldefense.proofpoint.com/v2/url?u=http-3A__dbpedia.org_resource_Haile-5FSelassie-5FI-5Fof-5FEthiopia&amp;d=BQID-g&amp;c=kbmfwr1Yojg42sGEpaQh5ofMHBeTl9EI2eaqQZhHbOU&amp;r=ZliGVSRwfirWoETOrKCh2RSnoygzVPWEk95Me9L-Kwo&amp;m=EaKyFx9mpkhPdFxsxzvW_fiM3jbYwM3xYLjVbSFoDAg&amp;s=lI-oflyBsbdH4mCkynAoCMrj22tEq-f36UT6EvDwciQ&amp;e=</t>
  </si>
  <si>
    <t>32骞?2234</t>
  </si>
  <si>
    <t>ETH-1936</t>
  </si>
  <si>
    <t>82338c06-1e42-11e4-b4cd-db5882bf8def</t>
  </si>
  <si>
    <t>King of Italy/Emperor of Ethiopia</t>
  </si>
  <si>
    <t>32骞?1788</t>
  </si>
  <si>
    <t>ETH-1941</t>
  </si>
  <si>
    <t>32骞?12183</t>
  </si>
  <si>
    <t>ETH-1974-1</t>
  </si>
  <si>
    <t>82338c07-1e42-11e4-b4cd-db5882bf8def</t>
  </si>
  <si>
    <t>Andom</t>
  </si>
  <si>
    <t>32骞?72</t>
  </si>
  <si>
    <t>ETH-1974-2</t>
  </si>
  <si>
    <t>82338c08-1e42-11e4-b4cd-db5882bf8def</t>
  </si>
  <si>
    <t>Banti</t>
  </si>
  <si>
    <t>32骞?798</t>
  </si>
  <si>
    <t>ETH-1977</t>
  </si>
  <si>
    <t>8233bce2-1e42-11e4-b4cd-db5882bf8def</t>
  </si>
  <si>
    <t>Mengistu Marriam</t>
  </si>
  <si>
    <t>32骞?5212</t>
  </si>
  <si>
    <t>ETH-1991-1</t>
  </si>
  <si>
    <t>8233bce3-1e42-11e4-b4cd-db5882bf8def</t>
  </si>
  <si>
    <t>Gebre Kidan</t>
  </si>
  <si>
    <t>32骞?6</t>
  </si>
  <si>
    <t>ETH-1991-2</t>
  </si>
  <si>
    <t>8233bce4-1e42-11e4-b4cd-db5882bf8def</t>
  </si>
  <si>
    <t>Meles Zenawi</t>
  </si>
  <si>
    <t>32骞?7756</t>
  </si>
  <si>
    <t>ETH-2012</t>
  </si>
  <si>
    <t>2b3c671d-3481-11e4-8dba-bbcd9ed46413</t>
  </si>
  <si>
    <t>Desalegn</t>
  </si>
  <si>
    <t>32骞?1228</t>
  </si>
  <si>
    <t>ERI-1993</t>
  </si>
  <si>
    <t>8233bce5-1e42-11e4-b4cd-db5882bf8def</t>
  </si>
  <si>
    <t>ERI</t>
  </si>
  <si>
    <t>Afeworki</t>
  </si>
  <si>
    <t>ANG-1975</t>
  </si>
  <si>
    <t>8233bce6-1e42-11e4-b4cd-db5882bf8def</t>
  </si>
  <si>
    <t>ANG</t>
  </si>
  <si>
    <t>Neto</t>
  </si>
  <si>
    <t>https://urldefense.proofpoint.com/v2/url?u=http-3A__dbpedia.org_resource_Agostinho-5FNeto&amp;d=BQID-g&amp;c=kbmfwr1Yojg42sGEpaQh5ofMHBeTl9EI2eaqQZhHbOU&amp;r=ZliGVSRwfirWoETOrKCh2RSnoygzVPWEk95Me9L-Kwo&amp;m=EaKyFx9mpkhPdFxsxzvW_fiM3jbYwM3xYLjVbSFoDAg&amp;s=DZyB5hB0VaGckhLDV8W28_u0ZPp_YAxK0X3Y817_K18&amp;e=</t>
  </si>
  <si>
    <t>ANG-1979</t>
  </si>
  <si>
    <t>8233edb6-1e42-11e4-b4cd-db5882bf8def</t>
  </si>
  <si>
    <t>Dos Santos</t>
  </si>
  <si>
    <t>https://urldefense.proofpoint.com/v2/url?u=http-3A__dbpedia.org_resource_Jos-25C3-25A9-5FEduardo-5Fdos-5FSantos&amp;d=BQID-g&amp;c=kbmfwr1Yojg42sGEpaQh5ofMHBeTl9EI2eaqQZhHbOU&amp;r=ZliGVSRwfirWoETOrKCh2RSnoygzVPWEk95Me9L-Kwo&amp;m=EaKyFx9mpkhPdFxsxzvW_fiM3jbYwM3xYLjVbSFoDAg&amp;s=-55x5ctMgOka2osSWlOzeSrmATQh97_BLzA1Ta6kzKU&amp;e=</t>
  </si>
  <si>
    <t>MZM-1975</t>
  </si>
  <si>
    <t>8233edb7-1e42-11e4-b4cd-db5882bf8def</t>
  </si>
  <si>
    <t>MZM</t>
  </si>
  <si>
    <t>Machel</t>
  </si>
  <si>
    <t>https://urldefense.proofpoint.com/v2/url?u=http-3A__dbpedia.org_resource_Samora-5FMachel&amp;d=BQID-g&amp;c=kbmfwr1Yojg42sGEpaQh5ofMHBeTl9EI2eaqQZhHbOU&amp;r=ZliGVSRwfirWoETOrKCh2RSnoygzVPWEk95Me9L-Kwo&amp;m=EaKyFx9mpkhPdFxsxzvW_fiM3jbYwM3xYLjVbSFoDAg&amp;s=oN6rlDpQs6TMVl4RPmtrFHnJw6_gFt-EGCGEhN0-FTs&amp;e=</t>
  </si>
  <si>
    <t>41骞?4134</t>
  </si>
  <si>
    <t>MZM-1986</t>
  </si>
  <si>
    <t>8233edb8-1e42-11e4-b4cd-db5882bf8def</t>
  </si>
  <si>
    <t>Chissano</t>
  </si>
  <si>
    <t>41骞?6663</t>
  </si>
  <si>
    <t>MZM-2005</t>
  </si>
  <si>
    <t>8253f976-1e42-11e4-b4cd-db5882bf8def</t>
  </si>
  <si>
    <t>Guebuza</t>
  </si>
  <si>
    <t>41骞?3634</t>
  </si>
  <si>
    <t>MZM-2015</t>
  </si>
  <si>
    <t>43fa715f-de6a-11e5-ba44-bb6d7c1a9a58</t>
  </si>
  <si>
    <t>Filipe Nyusi</t>
  </si>
  <si>
    <t>41骞?350</t>
  </si>
  <si>
    <t>ZAM-1964</t>
  </si>
  <si>
    <t>8233edb9-1e42-11e4-b4cd-db5882bf8def</t>
  </si>
  <si>
    <t>ZAM</t>
  </si>
  <si>
    <t>Kaunda</t>
  </si>
  <si>
    <t>https://urldefense.proofpoint.com/v2/url?u=http-3A__dbpedia.org_resource_Kenneth-5FKaunda&amp;d=BQID-g&amp;c=kbmfwr1Yojg42sGEpaQh5ofMHBeTl9EI2eaqQZhHbOU&amp;r=ZliGVSRwfirWoETOrKCh2RSnoygzVPWEk95Me9L-Kwo&amp;m=EaKyFx9mpkhPdFxsxzvW_fiM3jbYwM3xYLjVbSFoDAg&amp;s=R5YI8aTaEUwg_7OEh0tQvlCLXuTmrcD_CX1iA0LavoE&amp;e=</t>
  </si>
  <si>
    <t>10骞?9870</t>
  </si>
  <si>
    <t>ZAM-1991</t>
  </si>
  <si>
    <t>8233edba-1e42-11e4-b4cd-db5882bf8def</t>
  </si>
  <si>
    <t>Chiluba</t>
  </si>
  <si>
    <t>https://urldefense.proofpoint.com/v2/url?u=http-3A__dbpedia.org_resource_Frederick-5FChiluba&amp;d=BQID-g&amp;c=kbmfwr1Yojg42sGEpaQh5ofMHBeTl9EI2eaqQZhHbOU&amp;r=ZliGVSRwfirWoETOrKCh2RSnoygzVPWEk95Me9L-Kwo&amp;m=EaKyFx9mpkhPdFxsxzvW_fiM3jbYwM3xYLjVbSFoDAg&amp;s=JGI-hxCFBnwEDrFiTl3GWdrcyBtvQM9jV6Aa4kbInh4&amp;e=</t>
  </si>
  <si>
    <t>10骞?3714</t>
  </si>
  <si>
    <t>ZAM-2002</t>
  </si>
  <si>
    <t>82341e8a-1e42-11e4-b4cd-db5882bf8def</t>
  </si>
  <si>
    <t>Levy Mwanawasa</t>
  </si>
  <si>
    <t>https://urldefense.proofpoint.com/v2/url?u=http-3A__dbpedia.org_resource_Levy-5FMwanawasa&amp;d=BQID-g&amp;c=kbmfwr1Yojg42sGEpaQh5ofMHBeTl9EI2eaqQZhHbOU&amp;r=ZliGVSRwfirWoETOrKCh2RSnoygzVPWEk95Me9L-Kwo&amp;m=EaKyFx9mpkhPdFxsxzvW_fiM3jbYwM3xYLjVbSFoDAg&amp;s=nMsfhgfUZPY7xSpGcrQ7ARSK9YDQkHApIFGCnBRBcok&amp;e=</t>
  </si>
  <si>
    <t>10骞?2369</t>
  </si>
  <si>
    <t>ZAM-2008</t>
  </si>
  <si>
    <t>8253f977-1e42-11e4-b4cd-db5882bf8def</t>
  </si>
  <si>
    <t>Banda</t>
  </si>
  <si>
    <t>10骞?1181</t>
  </si>
  <si>
    <t>ZAM-2011</t>
  </si>
  <si>
    <t>8253f978-1e42-11e4-b4cd-db5882bf8def</t>
  </si>
  <si>
    <t>Sata</t>
  </si>
  <si>
    <t>10骞?1131</t>
  </si>
  <si>
    <t>ZAM-2014</t>
  </si>
  <si>
    <t>149f9c68-aae0-11e4-b3bc-29f2fa19767e</t>
  </si>
  <si>
    <t>Scott</t>
  </si>
  <si>
    <t>10骞?88</t>
  </si>
  <si>
    <t>ZAM-2015</t>
  </si>
  <si>
    <t>43fa7160-de6a-11e5-ba44-bb6d7c1a9a58</t>
  </si>
  <si>
    <t>Edgar Lungu</t>
  </si>
  <si>
    <t>10骞?340</t>
  </si>
  <si>
    <t>ZIM-1965</t>
  </si>
  <si>
    <t>82341e8b-1e42-11e4-b4cd-db5882bf8def</t>
  </si>
  <si>
    <t>ZIM</t>
  </si>
  <si>
    <t>Smith</t>
  </si>
  <si>
    <t>https://urldefense.proofpoint.com/v2/url?u=http-3A__dbpedia.org_resource_Ian-5FSmith&amp;d=BQID-g&amp;c=kbmfwr1Yojg42sGEpaQh5ofMHBeTl9EI2eaqQZhHbOU&amp;r=ZliGVSRwfirWoETOrKCh2RSnoygzVPWEk95Me9L-Kwo&amp;m=EaKyFx9mpkhPdFxsxzvW_fiM3jbYwM3xYLjVbSFoDAg&amp;s=U2mCtRkR-S5L_V-RBZ2KxQPeUTWdpKs_u3rR-fVnDQg&amp;e=</t>
  </si>
  <si>
    <t>ZIM-1979</t>
  </si>
  <si>
    <t>82341e8c-1e42-11e4-b4cd-db5882bf8def</t>
  </si>
  <si>
    <t>Muzorewa</t>
  </si>
  <si>
    <t>ZIM-1980</t>
  </si>
  <si>
    <t>82341e8d-1e42-11e4-b4cd-db5882bf8def</t>
  </si>
  <si>
    <t>Mugabe</t>
  </si>
  <si>
    <t>https://urldefense.proofpoint.com/v2/url?u=http-3A__dbpedia.org_resource_Robert-5FMugabe&amp;d=BQID-g&amp;c=kbmfwr1Yojg42sGEpaQh5ofMHBeTl9EI2eaqQZhHbOU&amp;r=ZliGVSRwfirWoETOrKCh2RSnoygzVPWEk95Me9L-Kwo&amp;m=EaKyFx9mpkhPdFxsxzvW_fiM3jbYwM3xYLjVbSFoDAg&amp;s=svATKmmJ7FSbWR10Ekbn2Qhqvutew0luGpyh-B8y7d8&amp;e=</t>
  </si>
  <si>
    <t>MAW-1964</t>
  </si>
  <si>
    <t>82341e8e-1e42-11e4-b4cd-db5882bf8def</t>
  </si>
  <si>
    <t>MAW</t>
  </si>
  <si>
    <t>https://urldefense.proofpoint.com/v2/url?u=http-3A__dbpedia.org_resource_Hastings-5FBanda&amp;d=BQID-g&amp;c=kbmfwr1Yojg42sGEpaQh5ofMHBeTl9EI2eaqQZhHbOU&amp;r=ZliGVSRwfirWoETOrKCh2RSnoygzVPWEk95Me9L-Kwo&amp;m=EaKyFx9mpkhPdFxsxzvW_fiM3jbYwM3xYLjVbSFoDAg&amp;s=DrZ2EZpil9LKfRonnH3Tf1Jay1hus1U2gcYVmOw5Xf8&amp;e=</t>
  </si>
  <si>
    <t>10骞?10911</t>
  </si>
  <si>
    <t>MAW-1994</t>
  </si>
  <si>
    <t>82344f5e-1e42-11e4-b4cd-db5882bf8def</t>
  </si>
  <si>
    <t>Muluzi</t>
  </si>
  <si>
    <t>10骞?3656</t>
  </si>
  <si>
    <t>MAW-2004</t>
  </si>
  <si>
    <t>82344f5f-1e42-11e4-b4cd-db5882bf8def</t>
  </si>
  <si>
    <t>Bingu wa Mutharika</t>
  </si>
  <si>
    <t>10骞?2875</t>
  </si>
  <si>
    <t>MAW-2012</t>
  </si>
  <si>
    <t>2b3c671e-3481-11e4-8dba-bbcd9ed46413</t>
  </si>
  <si>
    <t>Joyce Hilda Banda</t>
  </si>
  <si>
    <t>10骞?784</t>
  </si>
  <si>
    <t>MAW-2014</t>
  </si>
  <si>
    <t>149f9c69-aae0-11e4-b3bc-29f2fa19767e</t>
  </si>
  <si>
    <t>Peter Mutharika</t>
  </si>
  <si>
    <t>10骞?579</t>
  </si>
  <si>
    <t>SAF-1910</t>
  </si>
  <si>
    <t>1978b1c8-3bbd-11e5-afeb-eb6f07f9fec7</t>
  </si>
  <si>
    <t>SAF</t>
  </si>
  <si>
    <t>Louis Botha</t>
  </si>
  <si>
    <t>1862-09-27</t>
  </si>
  <si>
    <t>27sep1862</t>
  </si>
  <si>
    <t>https://urldefense.proofpoint.com/v2/url?u=http-3A__dbpedia.org_resource_Louis-5FBotha&amp;d=BQID-g&amp;c=kbmfwr1Yojg42sGEpaQh5ofMHBeTl9EI2eaqQZhHbOU&amp;r=ZliGVSRwfirWoETOrKCh2RSnoygzVPWEk95Me9L-Kwo&amp;m=EaKyFx9mpkhPdFxsxzvW_fiM3jbYwM3xYLjVbSFoDAg&amp;s=MZqeXgr7TJGlS6d1OZZqSx74K1qtYV_psbfsT_jNVoo&amp;e=</t>
  </si>
  <si>
    <t>14骞?3375</t>
  </si>
  <si>
    <t>SAF-1919</t>
  </si>
  <si>
    <t>82344f60-1e42-11e4-b4cd-db5882bf8def</t>
  </si>
  <si>
    <t>Smuts</t>
  </si>
  <si>
    <t>1870-05-24</t>
  </si>
  <si>
    <t>24may1870</t>
  </si>
  <si>
    <t>https://urldefense.proofpoint.com/v2/url?u=http-3A__dbpedia.org_resource_Jan-5FSmuts&amp;d=BQID-g&amp;c=kbmfwr1Yojg42sGEpaQh5ofMHBeTl9EI2eaqQZhHbOU&amp;r=ZliGVSRwfirWoETOrKCh2RSnoygzVPWEk95Me9L-Kwo&amp;m=EaKyFx9mpkhPdFxsxzvW_fiM3jbYwM3xYLjVbSFoDAg&amp;s=tZHPHF1JJaNfVw1GtbSebFGHZn1bOp13JdLCU9_Dahs&amp;e=</t>
  </si>
  <si>
    <t>14骞?1761</t>
  </si>
  <si>
    <t>SAF-1924</t>
  </si>
  <si>
    <t>82344f61-1e42-11e4-b4cd-db5882bf8def</t>
  </si>
  <si>
    <t>Hertzog</t>
  </si>
  <si>
    <t>1866-04-03</t>
  </si>
  <si>
    <t>03apr1866</t>
  </si>
  <si>
    <t>14骞?5545</t>
  </si>
  <si>
    <t>SAF-1939</t>
  </si>
  <si>
    <t>14骞?3193</t>
  </si>
  <si>
    <t>SAF-1948</t>
  </si>
  <si>
    <t>82344f62-1e42-11e4-b4cd-db5882bf8def</t>
  </si>
  <si>
    <t>Malan</t>
  </si>
  <si>
    <t>14骞?2371</t>
  </si>
  <si>
    <t>SAF-1954</t>
  </si>
  <si>
    <t>82344f63-1e42-11e4-b4cd-db5882bf8def</t>
  </si>
  <si>
    <t>Strijdom</t>
  </si>
  <si>
    <t>1873-07-14</t>
  </si>
  <si>
    <t>14jul1873</t>
  </si>
  <si>
    <t>14骞?1360</t>
  </si>
  <si>
    <t>SAF-1958-1</t>
  </si>
  <si>
    <t>82348032-1e42-11e4-b4cd-db5882bf8def</t>
  </si>
  <si>
    <t>Swart</t>
  </si>
  <si>
    <t>1894-12-05</t>
  </si>
  <si>
    <t>05dec1894</t>
  </si>
  <si>
    <t>https://urldefense.proofpoint.com/v2/url?u=http-3A__dbpedia.org_resource_Charles-5FRobberts-5FSwart&amp;d=BQID-g&amp;c=kbmfwr1Yojg42sGEpaQh5ofMHBeTl9EI2eaqQZhHbOU&amp;r=ZliGVSRwfirWoETOrKCh2RSnoygzVPWEk95Me9L-Kwo&amp;m=EaKyFx9mpkhPdFxsxzvW_fiM3jbYwM3xYLjVbSFoDAg&amp;s=3esJl6WGSLxlwjlc-HuSoPoU6A39hawFThRa7k7SwSY&amp;e=</t>
  </si>
  <si>
    <t>14骞?11</t>
  </si>
  <si>
    <t>SAF-1958-2</t>
  </si>
  <si>
    <t>82348033-1e42-11e4-b4cd-db5882bf8def</t>
  </si>
  <si>
    <t>Verwoerd</t>
  </si>
  <si>
    <t>14骞?2925</t>
  </si>
  <si>
    <t>SAF-1966-1</t>
  </si>
  <si>
    <t>82348034-1e42-11e4-b4cd-db5882bf8def</t>
  </si>
  <si>
    <t>Donges</t>
  </si>
  <si>
    <t>1898-03-08</t>
  </si>
  <si>
    <t>08mar1898</t>
  </si>
  <si>
    <t>14骞?7</t>
  </si>
  <si>
    <t>SAF-1966-2</t>
  </si>
  <si>
    <t>82348035-1e42-11e4-b4cd-db5882bf8def</t>
  </si>
  <si>
    <t>Vorster</t>
  </si>
  <si>
    <t>https://urldefense.proofpoint.com/v2/url?u=http-3A__dbpedia.org_resource_B.-5FJ.-5FVorster&amp;d=BQID-g&amp;c=kbmfwr1Yojg42sGEpaQh5ofMHBeTl9EI2eaqQZhHbOU&amp;r=ZliGVSRwfirWoETOrKCh2RSnoygzVPWEk95Me9L-Kwo&amp;m=EaKyFx9mpkhPdFxsxzvW_fiM3jbYwM3xYLjVbSFoDAg&amp;s=ggNMYbbOvgbz1FSuMlr2XzpGkzPb2pVyzoL8irTzdFY&amp;e=</t>
  </si>
  <si>
    <t>14骞?4398</t>
  </si>
  <si>
    <t>SAF-1978</t>
  </si>
  <si>
    <t>82348036-1e42-11e4-b4cd-db5882bf8def</t>
  </si>
  <si>
    <t>Botha</t>
  </si>
  <si>
    <t>https://urldefense.proofpoint.com/v2/url?u=http-3A__dbpedia.org_resource_Pieter-5FWillem-5FBotha&amp;d=BQID-g&amp;c=kbmfwr1Yojg42sGEpaQh5ofMHBeTl9EI2eaqQZhHbOU&amp;r=ZliGVSRwfirWoETOrKCh2RSnoygzVPWEk95Me9L-Kwo&amp;m=EaKyFx9mpkhPdFxsxzvW_fiM3jbYwM3xYLjVbSFoDAg&amp;s=yrEQNG7upkTw1VkL8FyrjDXVyDsb-y55GPGcGkUxVXw&amp;e=</t>
  </si>
  <si>
    <t>14骞?3765</t>
  </si>
  <si>
    <t>SAF-1989-1</t>
  </si>
  <si>
    <t>8239a6ac-1e42-11e4-b4cd-db5882bf8def</t>
  </si>
  <si>
    <t>Heunis</t>
  </si>
  <si>
    <t>https://urldefense.proofpoint.com/v2/url?u=http-3A__dbpedia.org_resource_Chris-5FHeunis&amp;d=BQID-g&amp;c=kbmfwr1Yojg42sGEpaQh5ofMHBeTl9EI2eaqQZhHbOU&amp;r=ZliGVSRwfirWoETOrKCh2RSnoygzVPWEk95Me9L-Kwo&amp;m=EaKyFx9mpkhPdFxsxzvW_fiM3jbYwM3xYLjVbSFoDAg&amp;s=KJJPN5SBZFoI202yDE8svtGxKJA-DhdBA20-pBsYhyM&amp;e=</t>
  </si>
  <si>
    <t>14骞?55</t>
  </si>
  <si>
    <t>SAF-1989-2</t>
  </si>
  <si>
    <t>14骞?152</t>
  </si>
  <si>
    <t>SAF-1989-3</t>
  </si>
  <si>
    <t>8239d780-1e42-11e4-b4cd-db5882bf8def</t>
  </si>
  <si>
    <t>deKlerk</t>
  </si>
  <si>
    <t>https://urldefense.proofpoint.com/v2/url?u=http-3A__dbpedia.org_resource_Frederik-5FWillem-5Fde-5FKlerk&amp;d=BQID-g&amp;c=kbmfwr1Yojg42sGEpaQh5ofMHBeTl9EI2eaqQZhHbOU&amp;r=ZliGVSRwfirWoETOrKCh2RSnoygzVPWEk95Me9L-Kwo&amp;m=EaKyFx9mpkhPdFxsxzvW_fiM3jbYwM3xYLjVbSFoDAg&amp;s=XJweYKf-TWWjc0bJ0snLVWGxYKYQLxvFtTM3Zp0GUAQ&amp;e=</t>
  </si>
  <si>
    <t>14骞?1729</t>
  </si>
  <si>
    <t>SAF-1994</t>
  </si>
  <si>
    <t>8239d781-1e42-11e4-b4cd-db5882bf8def</t>
  </si>
  <si>
    <t>Mandela</t>
  </si>
  <si>
    <t>https://urldefense.proofpoint.com/v2/url?u=http-3A__dbpedia.org_resource_Nelson-5FMandela&amp;d=BQID-g&amp;c=kbmfwr1Yojg42sGEpaQh5ofMHBeTl9EI2eaqQZhHbOU&amp;r=ZliGVSRwfirWoETOrKCh2RSnoygzVPWEk95Me9L-Kwo&amp;m=EaKyFx9mpkhPdFxsxzvW_fiM3jbYwM3xYLjVbSFoDAg&amp;s=WsKiptgl3fWAEL0tw2BYthv6MMtQFU6AED0X6mMKsbs&amp;e=</t>
  </si>
  <si>
    <t>14骞?1863</t>
  </si>
  <si>
    <t>SAF-1999</t>
  </si>
  <si>
    <t>8239d782-1e42-11e4-b4cd-db5882bf8def</t>
  </si>
  <si>
    <t>Mbeki</t>
  </si>
  <si>
    <t>https://urldefense.proofpoint.com/v2/url?u=http-3A__dbpedia.org_resource_Thabo-5FMbeki&amp;d=BQID-g&amp;c=kbmfwr1Yojg42sGEpaQh5ofMHBeTl9EI2eaqQZhHbOU&amp;r=ZliGVSRwfirWoETOrKCh2RSnoygzVPWEk95Me9L-Kwo&amp;m=EaKyFx9mpkhPdFxsxzvW_fiM3jbYwM3xYLjVbSFoDAg&amp;s=hoIghD1IP0wqIaXOdANiA8Hu74_j0u2SuheCaK6QYcM&amp;e=</t>
  </si>
  <si>
    <t>14骞?3389</t>
  </si>
  <si>
    <t>SAF-2008</t>
  </si>
  <si>
    <t>8253f979-1e42-11e4-b4cd-db5882bf8def</t>
  </si>
  <si>
    <t>Motlanthe</t>
  </si>
  <si>
    <t>14骞?226</t>
  </si>
  <si>
    <t>SAF-2009</t>
  </si>
  <si>
    <t>8253f97a-1e42-11e4-b4cd-db5882bf8def</t>
  </si>
  <si>
    <t>Zuma</t>
  </si>
  <si>
    <t>14骞?2427</t>
  </si>
  <si>
    <t>TRA-1872</t>
  </si>
  <si>
    <t>8239d783-1e42-11e4-b4cd-db5882bf8def</t>
  </si>
  <si>
    <t>TRA</t>
  </si>
  <si>
    <t>Burgers</t>
  </si>
  <si>
    <t>1872-07-01</t>
  </si>
  <si>
    <t>https://urldefense.proofpoint.com/v2/url?u=http-3A__dbpedia.org_resource_Thomas-5FFran-25C3-25A7ois-5FBurgers&amp;d=BQID-g&amp;c=kbmfwr1Yojg42sGEpaQh5ofMHBeTl9EI2eaqQZhHbOU&amp;r=ZliGVSRwfirWoETOrKCh2RSnoygzVPWEk95Me9L-Kwo&amp;m=EaKyFx9mpkhPdFxsxzvW_fiM3jbYwM3xYLjVbSFoDAg&amp;s=RF2GTnpRmMWPI2teY3OZirbQ-qpOZd7wUBDH0ZS-0os&amp;e=</t>
  </si>
  <si>
    <t>TRA-1877</t>
  </si>
  <si>
    <t>8239d784-1e42-11e4-b4cd-db5882bf8def</t>
  </si>
  <si>
    <t>Shepstone</t>
  </si>
  <si>
    <t>1879-03-04</t>
  </si>
  <si>
    <t>TRA-1879</t>
  </si>
  <si>
    <t>8239d785-1e42-11e4-b4cd-db5882bf8def</t>
  </si>
  <si>
    <t>Lanyon</t>
  </si>
  <si>
    <t>1881-08-08</t>
  </si>
  <si>
    <t>TRA-1881</t>
  </si>
  <si>
    <t>823a0854-1e42-11e4-b4cd-db5882bf8def</t>
  </si>
  <si>
    <t>Triumvirate</t>
  </si>
  <si>
    <t>1883-05-09</t>
  </si>
  <si>
    <t>TRA-1883</t>
  </si>
  <si>
    <t>823a0855-1e42-11e4-b4cd-db5882bf8def</t>
  </si>
  <si>
    <t>Kruger</t>
  </si>
  <si>
    <t>https://urldefense.proofpoint.com/v2/url?u=http-3A__dbpedia.org_resource_Paul-5FKruger&amp;d=BQID-g&amp;c=kbmfwr1Yojg42sGEpaQh5ofMHBeTl9EI2eaqQZhHbOU&amp;r=ZliGVSRwfirWoETOrKCh2RSnoygzVPWEk95Me9L-Kwo&amp;m=EaKyFx9mpkhPdFxsxzvW_fiM3jbYwM3xYLjVbSFoDAg&amp;s=83HOktks2sBbAhpbkhrtOhIN99-0Rw4Y-Vm04achQAs&amp;e=</t>
  </si>
  <si>
    <t>TRA-1900</t>
  </si>
  <si>
    <t>823a0856-1e42-11e4-b4cd-db5882bf8def</t>
  </si>
  <si>
    <t>Schalk Burger</t>
  </si>
  <si>
    <t>TRA-1902</t>
  </si>
  <si>
    <t>823a0857-1e42-11e4-b4cd-db5882bf8def</t>
  </si>
  <si>
    <t>Milner</t>
  </si>
  <si>
    <t>TRA-1905</t>
  </si>
  <si>
    <t>823a0858-1e42-11e4-b4cd-db5882bf8def</t>
  </si>
  <si>
    <t>Palmer</t>
  </si>
  <si>
    <t>TRA-1907</t>
  </si>
  <si>
    <t>823a3928-1e42-11e4-b4cd-db5882bf8def</t>
  </si>
  <si>
    <t>OFS-1873</t>
  </si>
  <si>
    <t>823a3929-1e42-11e4-b4cd-db5882bf8def</t>
  </si>
  <si>
    <t>OFS</t>
  </si>
  <si>
    <t>Johannes Henricus Brand</t>
  </si>
  <si>
    <t>1873-06-16</t>
  </si>
  <si>
    <t>1888-07-14</t>
  </si>
  <si>
    <t>14jul1888</t>
  </si>
  <si>
    <t>https://urldefense.proofpoint.com/v2/url?u=http-3A__dbpedia.org_resource_Johannes-5FBrand&amp;d=BQID-g&amp;c=kbmfwr1Yojg42sGEpaQh5ofMHBeTl9EI2eaqQZhHbOU&amp;r=ZliGVSRwfirWoETOrKCh2RSnoygzVPWEk95Me9L-Kwo&amp;m=EaKyFx9mpkhPdFxsxzvW_fiM3jbYwM3xYLjVbSFoDAg&amp;s=6YsyzjL315LtPtmqqNkhDp2AH8P1sWx2QATm4BnmA8k&amp;e=</t>
  </si>
  <si>
    <t>OFS-1888</t>
  </si>
  <si>
    <t>823a392a-1e42-11e4-b4cd-db5882bf8def</t>
  </si>
  <si>
    <t>Blignaut</t>
  </si>
  <si>
    <t>1889-01-10</t>
  </si>
  <si>
    <t>OFS-1889</t>
  </si>
  <si>
    <t>823a392b-1e42-11e4-b4cd-db5882bf8def</t>
  </si>
  <si>
    <t>Reitz</t>
  </si>
  <si>
    <t>1895-12-11</t>
  </si>
  <si>
    <t>https://urldefense.proofpoint.com/v2/url?u=http-3A__dbpedia.org_resource_Francis-5FWilliam-5FReitz&amp;d=BQID-g&amp;c=kbmfwr1Yojg42sGEpaQh5ofMHBeTl9EI2eaqQZhHbOU&amp;r=ZliGVSRwfirWoETOrKCh2RSnoygzVPWEk95Me9L-Kwo&amp;m=EaKyFx9mpkhPdFxsxzvW_fiM3jbYwM3xYLjVbSFoDAg&amp;s=grGrGhxd-HCT2vFe1TuHHQuHqqTaVDjCeqjnkXPHnks&amp;e=</t>
  </si>
  <si>
    <t>OFS-1895</t>
  </si>
  <si>
    <t>1896-03-04</t>
  </si>
  <si>
    <t>OFS-1896</t>
  </si>
  <si>
    <t>823a392c-1e42-11e4-b4cd-db5882bf8def</t>
  </si>
  <si>
    <t>Steyn</t>
  </si>
  <si>
    <t>https://urldefense.proofpoint.com/v2/url?u=http-3A__dbpedia.org_resource_Martinus-5FTheunis-5FSteyn&amp;d=BQID-g&amp;c=kbmfwr1Yojg42sGEpaQh5ofMHBeTl9EI2eaqQZhHbOU&amp;r=ZliGVSRwfirWoETOrKCh2RSnoygzVPWEk95Me9L-Kwo&amp;m=EaKyFx9mpkhPdFxsxzvW_fiM3jbYwM3xYLjVbSFoDAg&amp;s=4-tnm5bMxukFnMBOZBMqqla9DvKyDxyRUeKP2NBYp38&amp;e=</t>
  </si>
  <si>
    <t>OFS-1902</t>
  </si>
  <si>
    <t>823a392d-1e42-11e4-b4cd-db5882bf8def</t>
  </si>
  <si>
    <t>OFS-1905</t>
  </si>
  <si>
    <t>823a69fc-1e42-11e4-b4cd-db5882bf8def</t>
  </si>
  <si>
    <t>OFS-1907-1</t>
  </si>
  <si>
    <t>823a69fd-1e42-11e4-b4cd-db5882bf8def</t>
  </si>
  <si>
    <t>Hamilton John Goold-Adams</t>
  </si>
  <si>
    <t>OFS-1907-2</t>
  </si>
  <si>
    <t>823a69fe-1e42-11e4-b4cd-db5882bf8def</t>
  </si>
  <si>
    <t>NAM-1990</t>
  </si>
  <si>
    <t>823a69ff-1e42-11e4-b4cd-db5882bf8def</t>
  </si>
  <si>
    <t>NAM</t>
  </si>
  <si>
    <t>Nujoma</t>
  </si>
  <si>
    <t>https://urldefense.proofpoint.com/v2/url?u=http-3A__dbpedia.org_resource_Sam-5FNujoma&amp;d=BQID-g&amp;c=kbmfwr1Yojg42sGEpaQh5ofMHBeTl9EI2eaqQZhHbOU&amp;r=ZliGVSRwfirWoETOrKCh2RSnoygzVPWEk95Me9L-Kwo&amp;m=EaKyFx9mpkhPdFxsxzvW_fiM3jbYwM3xYLjVbSFoDAg&amp;s=NmZMLSwVItpgUAd2IA9F5sWegyhDQEuAJI5fwMZzZpg&amp;e=</t>
  </si>
  <si>
    <t>NAM-2005</t>
  </si>
  <si>
    <t>8253f97b-1e42-11e4-b4cd-db5882bf8def</t>
  </si>
  <si>
    <t>Pohamba</t>
  </si>
  <si>
    <t>NAM-2015</t>
  </si>
  <si>
    <t>43fa7161-de6a-11e5-ba44-bb6d7c1a9a58</t>
  </si>
  <si>
    <t>Hage Geingob</t>
  </si>
  <si>
    <t>LES-1966</t>
  </si>
  <si>
    <t>823a6a00-1e42-11e4-b4cd-db5882bf8def</t>
  </si>
  <si>
    <t>LES</t>
  </si>
  <si>
    <t>Jonathan</t>
  </si>
  <si>
    <t>https://urldefense.proofpoint.com/v2/url?u=http-3A__dbpedia.org_resource_Leabua-5FJonathan&amp;d=BQID-g&amp;c=kbmfwr1Yojg42sGEpaQh5ofMHBeTl9EI2eaqQZhHbOU&amp;r=ZliGVSRwfirWoETOrKCh2RSnoygzVPWEk95Me9L-Kwo&amp;m=EaKyFx9mpkhPdFxsxzvW_fiM3jbYwM3xYLjVbSFoDAg&amp;s=yZyE62j-jt_dmEJyDpNU_3tfxBcmBY46qpdLDvFHLqA&amp;e=</t>
  </si>
  <si>
    <t>LES-1986</t>
  </si>
  <si>
    <t>823a6a01-1e42-11e4-b4cd-db5882bf8def</t>
  </si>
  <si>
    <t>Lekhanya</t>
  </si>
  <si>
    <t>LES-1991</t>
  </si>
  <si>
    <t>823a9ad0-1e42-11e4-b4cd-db5882bf8def</t>
  </si>
  <si>
    <t>Ramaema</t>
  </si>
  <si>
    <t>LES-1993</t>
  </si>
  <si>
    <t>823a9ad1-1e42-11e4-b4cd-db5882bf8def</t>
  </si>
  <si>
    <t>Mokhehle</t>
  </si>
  <si>
    <t>LES-1994-1</t>
  </si>
  <si>
    <t>823a9ad2-1e42-11e4-b4cd-db5882bf8def</t>
  </si>
  <si>
    <t>Letsie III</t>
  </si>
  <si>
    <t>LES-1994-2</t>
  </si>
  <si>
    <t>LES-1998</t>
  </si>
  <si>
    <t>823a9ad3-1e42-11e4-b4cd-db5882bf8def</t>
  </si>
  <si>
    <t>Mosisili</t>
  </si>
  <si>
    <t>https://urldefense.proofpoint.com/v2/url?u=http-3A__dbpedia.org_resource_Pakalitha-5FMosisili&amp;d=BQID-g&amp;c=kbmfwr1Yojg42sGEpaQh5ofMHBeTl9EI2eaqQZhHbOU&amp;r=ZliGVSRwfirWoETOrKCh2RSnoygzVPWEk95Me9L-Kwo&amp;m=EaKyFx9mpkhPdFxsxzvW_fiM3jbYwM3xYLjVbSFoDAg&amp;s=UI0AQKIytc-nnrxOsVHcgTYoRZll3ZlwWx3bkqEvwDQ&amp;e=</t>
  </si>
  <si>
    <t>LES-2012</t>
  </si>
  <si>
    <t>149fc376-aae0-11e4-b3bc-29f2fa19767e</t>
  </si>
  <si>
    <t>Thabane</t>
  </si>
  <si>
    <t>LES-2015</t>
  </si>
  <si>
    <t>43fa7162-de6a-11e5-ba44-bb6d7c1a9a58</t>
  </si>
  <si>
    <t>Pakalitha Mosisili</t>
  </si>
  <si>
    <t>BOT-1966</t>
  </si>
  <si>
    <t>823a9ad4-1e42-11e4-b4cd-db5882bf8def</t>
  </si>
  <si>
    <t>BOT</t>
  </si>
  <si>
    <t>Khama</t>
  </si>
  <si>
    <t>https://urldefense.proofpoint.com/v2/url?u=http-3A__dbpedia.org_resource_Seretse-5FKhama&amp;d=BQID-g&amp;c=kbmfwr1Yojg42sGEpaQh5ofMHBeTl9EI2eaqQZhHbOU&amp;r=ZliGVSRwfirWoETOrKCh2RSnoygzVPWEk95Me9L-Kwo&amp;m=EaKyFx9mpkhPdFxsxzvW_fiM3jbYwM3xYLjVbSFoDAg&amp;s=dPkBffneOwG2eMV2dvtO2mnoNOWqK5-pBUZaQxIPtkM&amp;e=</t>
  </si>
  <si>
    <t>Father of Ian Khama%82542a54-1e42-11e4-b4cd-db5882bf8def</t>
  </si>
  <si>
    <t>23骞?5035</t>
  </si>
  <si>
    <t>BOT-1980</t>
  </si>
  <si>
    <t>823a9ad5-1e42-11e4-b4cd-db5882bf8def</t>
  </si>
  <si>
    <t>Masire</t>
  </si>
  <si>
    <t>https://urldefense.proofpoint.com/v2/url?u=http-3A__dbpedia.org_resource_Quett-5FMasire&amp;d=BQID-g&amp;c=kbmfwr1Yojg42sGEpaQh5ofMHBeTl9EI2eaqQZhHbOU&amp;r=ZliGVSRwfirWoETOrKCh2RSnoygzVPWEk95Me9L-Kwo&amp;m=EaKyFx9mpkhPdFxsxzvW_fiM3jbYwM3xYLjVbSFoDAg&amp;s=dcIPTLqXimKS8-kbgbSodayxdORCOyrZrz4Veng3JN0&amp;e=</t>
  </si>
  <si>
    <t>23骞?6470</t>
  </si>
  <si>
    <t>BOT-1998</t>
  </si>
  <si>
    <t>823acba4-1e42-11e4-b4cd-db5882bf8def</t>
  </si>
  <si>
    <t>Mogae</t>
  </si>
  <si>
    <t>https://urldefense.proofpoint.com/v2/url?u=http-3A__dbpedia.org_resource_Festus-5FMogae&amp;d=BQID-g&amp;c=kbmfwr1Yojg42sGEpaQh5ofMHBeTl9EI2eaqQZhHbOU&amp;r=ZliGVSRwfirWoETOrKCh2RSnoygzVPWEk95Me9L-Kwo&amp;m=EaKyFx9mpkhPdFxsxzvW_fiM3jbYwM3xYLjVbSFoDAg&amp;s=_H3RSbgvOwV1U6X24yr5_MbZIo2z5Fzx5QRH5mBwlFU&amp;e=</t>
  </si>
  <si>
    <t>23骞?3654</t>
  </si>
  <si>
    <t>BOT-2008</t>
  </si>
  <si>
    <t>82542a54-1e42-11e4-b4cd-db5882bf8def</t>
  </si>
  <si>
    <t>Ian Khama</t>
  </si>
  <si>
    <t>Son of Khama%823a9ad4-1e42-11e4-b4cd-db5882bf8def</t>
  </si>
  <si>
    <t>23骞?2830</t>
  </si>
  <si>
    <t>SWA-1968</t>
  </si>
  <si>
    <t>823acba5-1e42-11e4-b4cd-db5882bf8def</t>
  </si>
  <si>
    <t>SWA</t>
  </si>
  <si>
    <t>Subhuza II</t>
  </si>
  <si>
    <t>1899-07-22</t>
  </si>
  <si>
    <t>22jul1899</t>
  </si>
  <si>
    <t>SWA-1982</t>
  </si>
  <si>
    <t>823acba6-1e42-11e4-b4cd-db5882bf8def</t>
  </si>
  <si>
    <t>Dzeliwe Shongwe</t>
  </si>
  <si>
    <t>SWA-1983</t>
  </si>
  <si>
    <t>823acba7-1e42-11e4-b4cd-db5882bf8def</t>
  </si>
  <si>
    <t>Ntombe Thwala</t>
  </si>
  <si>
    <t>SWA-1986</t>
  </si>
  <si>
    <t>823acba8-1e42-11e4-b4cd-db5882bf8def</t>
  </si>
  <si>
    <t>Mswati</t>
  </si>
  <si>
    <t>MAG-1864</t>
  </si>
  <si>
    <t>823afc78-1e42-11e4-b4cd-db5882bf8def</t>
  </si>
  <si>
    <t>MAG</t>
  </si>
  <si>
    <t>Rainilaiarivony</t>
  </si>
  <si>
    <t>1864-07-15</t>
  </si>
  <si>
    <t>1895-09-30</t>
  </si>
  <si>
    <t>56骞?11399</t>
  </si>
  <si>
    <t>MAG-1960</t>
  </si>
  <si>
    <t>823afc79-1e42-11e4-b4cd-db5882bf8def</t>
  </si>
  <si>
    <t>Tsiranana</t>
  </si>
  <si>
    <t>56骞?4487</t>
  </si>
  <si>
    <t>MAG-1972</t>
  </si>
  <si>
    <t>823afc7a-1e42-11e4-b4cd-db5882bf8def</t>
  </si>
  <si>
    <t>Ramanantsoa</t>
  </si>
  <si>
    <t>56骞?846</t>
  </si>
  <si>
    <t>MAG-1975-1</t>
  </si>
  <si>
    <t>823afc7b-1e42-11e4-b4cd-db5882bf8def</t>
  </si>
  <si>
    <t>Ratsimandrava</t>
  </si>
  <si>
    <t>56骞?6</t>
  </si>
  <si>
    <t>MAG-1975-2</t>
  </si>
  <si>
    <t>823afc7c-1e42-11e4-b4cd-db5882bf8def</t>
  </si>
  <si>
    <t>Gilles Andriamahazo</t>
  </si>
  <si>
    <t>56骞?124</t>
  </si>
  <si>
    <t>MAG-1975-3</t>
  </si>
  <si>
    <t>823afc7d-1e42-11e4-b4cd-db5882bf8def</t>
  </si>
  <si>
    <t>Ratsiraka</t>
  </si>
  <si>
    <t>56骞?6495</t>
  </si>
  <si>
    <t>MAG-1993</t>
  </si>
  <si>
    <t>823afc7e-1e42-11e4-b4cd-db5882bf8def</t>
  </si>
  <si>
    <t>Zafy</t>
  </si>
  <si>
    <t>56骞?1258</t>
  </si>
  <si>
    <t>MAG-1996</t>
  </si>
  <si>
    <t>823b2d4c-1e42-11e4-b4cd-db5882bf8def</t>
  </si>
  <si>
    <t>Ratsirahonana</t>
  </si>
  <si>
    <t>56骞?157</t>
  </si>
  <si>
    <t>MAG-1997</t>
  </si>
  <si>
    <t>56骞?1973</t>
  </si>
  <si>
    <t>MAG-2002</t>
  </si>
  <si>
    <t>823b2d4d-1e42-11e4-b4cd-db5882bf8def</t>
  </si>
  <si>
    <t>Marc Ravalomanana</t>
  </si>
  <si>
    <t>https://urldefense.proofpoint.com/v2/url?u=http-3A__dbpedia.org_resource_Marc-5FRavalomanana&amp;d=BQID-g&amp;c=kbmfwr1Yojg42sGEpaQh5ofMHBeTl9EI2eaqQZhHbOU&amp;r=ZliGVSRwfirWoETOrKCh2RSnoygzVPWEk95Me9L-Kwo&amp;m=EaKyFx9mpkhPdFxsxzvW_fiM3jbYwM3xYLjVbSFoDAg&amp;s=IdntKIqj14hGD3aoO84WqRHZ2CtTaQfm6eH8Xz-1Xd0&amp;e=</t>
  </si>
  <si>
    <t>56骞?2446</t>
  </si>
  <si>
    <t>MAG-2009</t>
  </si>
  <si>
    <t>82542a55-1e42-11e4-b4cd-db5882bf8def</t>
  </si>
  <si>
    <t>Rajoelina</t>
  </si>
  <si>
    <t>56骞?1775</t>
  </si>
  <si>
    <t>MAG-2014</t>
  </si>
  <si>
    <t>149fc377-aae0-11e4-b3bc-29f2fa19767e</t>
  </si>
  <si>
    <t>Rajaonarimampianina</t>
  </si>
  <si>
    <t>56骞?705</t>
  </si>
  <si>
    <t>COM-1975-1</t>
  </si>
  <si>
    <t>823b2d4e-1e42-11e4-b4cd-db5882bf8def</t>
  </si>
  <si>
    <t>COM</t>
  </si>
  <si>
    <t>Abdallah</t>
  </si>
  <si>
    <t>https://urldefense.proofpoint.com/v2/url?u=http-3A__dbpedia.org_resource_Ahmed-5FAbdallah&amp;d=BQID-g&amp;c=kbmfwr1Yojg42sGEpaQh5ofMHBeTl9EI2eaqQZhHbOU&amp;r=ZliGVSRwfirWoETOrKCh2RSnoygzVPWEk95Me9L-Kwo&amp;m=EaKyFx9mpkhPdFxsxzvW_fiM3jbYwM3xYLjVbSFoDAg&amp;s=7CNJ-jRYq10qbGhmy622fJZHa8iCrmrE3T0cX6-tQw0&amp;e=</t>
  </si>
  <si>
    <t>Half-brother of Djohar%823b2d51-1e42-11e4-b4cd-db5882bf8def</t>
  </si>
  <si>
    <t>41骞?28</t>
  </si>
  <si>
    <t>COM-1975-2</t>
  </si>
  <si>
    <t>823b2d4f-1e42-11e4-b4cd-db5882bf8def</t>
  </si>
  <si>
    <t>Soilih</t>
  </si>
  <si>
    <t>41骞?1014</t>
  </si>
  <si>
    <t>COM-1978</t>
  </si>
  <si>
    <t>823b2d50-1e42-11e4-b4cd-db5882bf8def</t>
  </si>
  <si>
    <t>Bob Denard</t>
  </si>
  <si>
    <t>41骞?4237</t>
  </si>
  <si>
    <t>COM-1989</t>
  </si>
  <si>
    <t>823b2d51-1e42-11e4-b4cd-db5882bf8def</t>
  </si>
  <si>
    <t>Djohar</t>
  </si>
  <si>
    <t>Half-brother of Abdallah%823b2d4e-1e42-11e4-b4cd-db5882bf8def</t>
  </si>
  <si>
    <t>41骞?2111</t>
  </si>
  <si>
    <t>COM-1995-1</t>
  </si>
  <si>
    <t>41骞?6</t>
  </si>
  <si>
    <t>COM-1995-2</t>
  </si>
  <si>
    <t>823b5e2a-1e42-11e4-b4cd-db5882bf8def</t>
  </si>
  <si>
    <t>el-Yachroutu</t>
  </si>
  <si>
    <t>41骞?113</t>
  </si>
  <si>
    <t>COM-1996-1</t>
  </si>
  <si>
    <t>41骞?59</t>
  </si>
  <si>
    <t>COM-1996-2</t>
  </si>
  <si>
    <t>1978ffe8-3bbd-11e5-afeb-eb6f07f9fec7</t>
  </si>
  <si>
    <t>Abdoulkarim</t>
  </si>
  <si>
    <t>41骞?956</t>
  </si>
  <si>
    <t>COM-1998</t>
  </si>
  <si>
    <t>823b5e2b-1e42-11e4-b4cd-db5882bf8def</t>
  </si>
  <si>
    <t>Massounde</t>
  </si>
  <si>
    <t>41骞?175</t>
  </si>
  <si>
    <t>COM-1999</t>
  </si>
  <si>
    <t>823b5e2c-1e42-11e4-b4cd-db5882bf8def</t>
  </si>
  <si>
    <t>Azali Assoumani</t>
  </si>
  <si>
    <t>41骞?997</t>
  </si>
  <si>
    <t>COM-2002-1</t>
  </si>
  <si>
    <t>823b5e2d-1e42-11e4-b4cd-db5882bf8def</t>
  </si>
  <si>
    <t>Hamada Madi</t>
  </si>
  <si>
    <t>41骞?124</t>
  </si>
  <si>
    <t>COM-2002-2</t>
  </si>
  <si>
    <t>41骞?1460</t>
  </si>
  <si>
    <t>COM-2006</t>
  </si>
  <si>
    <t>82542a56-1e42-11e4-b4cd-db5882bf8def</t>
  </si>
  <si>
    <t>Sambi</t>
  </si>
  <si>
    <t>41骞?1826</t>
  </si>
  <si>
    <t>COM-2011</t>
  </si>
  <si>
    <t>82542a57-1e42-11e4-b4cd-db5882bf8def</t>
  </si>
  <si>
    <t>Dhoinine</t>
  </si>
  <si>
    <t>41骞?1680</t>
  </si>
  <si>
    <t>MAS-1968</t>
  </si>
  <si>
    <t>823b5e2e-1e42-11e4-b4cd-db5882bf8def</t>
  </si>
  <si>
    <t>MAS</t>
  </si>
  <si>
    <t>Ramgoolam</t>
  </si>
  <si>
    <t>https://urldefense.proofpoint.com/v2/url?u=http-3A__dbpedia.org_resource_Seewoosagur-5FRamgoolam&amp;d=BQID-g&amp;c=kbmfwr1Yojg42sGEpaQh5ofMHBeTl9EI2eaqQZhHbOU&amp;r=ZliGVSRwfirWoETOrKCh2RSnoygzVPWEk95Me9L-Kwo&amp;m=EaKyFx9mpkhPdFxsxzvW_fiM3jbYwM3xYLjVbSFoDAg&amp;s=ZIkpbKCpsWtxM0NnVHH9d6OGSo2LRp-w9N9KKR1hSVU&amp;e=</t>
  </si>
  <si>
    <t>Father of Ramgoolam N.%823b8efe-1e42-11e4-b4cd-db5882bf8def</t>
  </si>
  <si>
    <t>48骞?5209</t>
  </si>
  <si>
    <t>MAS-1982</t>
  </si>
  <si>
    <t>823b5e2f-1e42-11e4-b4cd-db5882bf8def</t>
  </si>
  <si>
    <t>Anerood Jugnauth</t>
  </si>
  <si>
    <t>https://urldefense.proofpoint.com/v2/url?u=http-3A__dbpedia.org_resource_Anerood-5FJugnauth&amp;d=BQID-g&amp;c=kbmfwr1Yojg42sGEpaQh5ofMHBeTl9EI2eaqQZhHbOU&amp;r=ZliGVSRwfirWoETOrKCh2RSnoygzVPWEk95Me9L-Kwo&amp;m=EaKyFx9mpkhPdFxsxzvW_fiM3jbYwM3xYLjVbSFoDAg&amp;s=DJpj-w2Owuj4iDt8VEF6kqYyoHwSS2HCEbOIQCmXLys&amp;e=</t>
  </si>
  <si>
    <t>48骞?4937</t>
  </si>
  <si>
    <t>MAS-1995</t>
  </si>
  <si>
    <t>823b8efe-1e42-11e4-b4cd-db5882bf8def</t>
  </si>
  <si>
    <t>Ramgoolam N.</t>
  </si>
  <si>
    <t>Son of Ramgoolam%823b5e2e-1e42-11e4-b4cd-db5882bf8def</t>
  </si>
  <si>
    <t>48骞?1731</t>
  </si>
  <si>
    <t>MAS-2000</t>
  </si>
  <si>
    <t>48骞?1107</t>
  </si>
  <si>
    <t>MAS-2003</t>
  </si>
  <si>
    <t>823b8eff-1e42-11e4-b4cd-db5882bf8def</t>
  </si>
  <si>
    <t>Paul Berenger</t>
  </si>
  <si>
    <t>https://urldefense.proofpoint.com/v2/url?u=http-3A__dbpedia.org_resource_Paul-5FB-25C3-25A9renger&amp;d=BQID-g&amp;c=kbmfwr1Yojg42sGEpaQh5ofMHBeTl9EI2eaqQZhHbOU&amp;r=ZliGVSRwfirWoETOrKCh2RSnoygzVPWEk95Me9L-Kwo&amp;m=EaKyFx9mpkhPdFxsxzvW_fiM3jbYwM3xYLjVbSFoDAg&amp;s=Bt9CnvgrVtFdEhd4oFP1Ju13oL103TSYdoAInPhGGc4&amp;e=</t>
  </si>
  <si>
    <t>48骞?644</t>
  </si>
  <si>
    <t>MAS-2005</t>
  </si>
  <si>
    <t>Navin Ramgoolam</t>
  </si>
  <si>
    <t>48骞?3452</t>
  </si>
  <si>
    <t>MAS-2014</t>
  </si>
  <si>
    <t>48骞?379</t>
  </si>
  <si>
    <t>MOR-1873</t>
  </si>
  <si>
    <t>823b8f00-1e42-11e4-b4cd-db5882bf8def</t>
  </si>
  <si>
    <t>MOR</t>
  </si>
  <si>
    <t>Abu Ali al-Hasan</t>
  </si>
  <si>
    <t>1873-09-25</t>
  </si>
  <si>
    <t>1894-06-07</t>
  </si>
  <si>
    <t>60骞?7560</t>
  </si>
  <si>
    <t>MOR-1894</t>
  </si>
  <si>
    <t>823b8f01-1e42-11e4-b4cd-db5882bf8def</t>
  </si>
  <si>
    <t>Abd al-Aziz</t>
  </si>
  <si>
    <t>1881-02-18</t>
  </si>
  <si>
    <t>18feb1881</t>
  </si>
  <si>
    <t>60骞?4959</t>
  </si>
  <si>
    <t>MOR-1956</t>
  </si>
  <si>
    <t>823b8f02-1e42-11e4-b4cd-db5882bf8def</t>
  </si>
  <si>
    <t>Mohammed V</t>
  </si>
  <si>
    <t>https://urldefense.proofpoint.com/v2/url?u=http-3A__dbpedia.org_resource_Mohammed-5FV-5Fof-5FMorocco&amp;d=BQID-g&amp;c=kbmfwr1Yojg42sGEpaQh5ofMHBeTl9EI2eaqQZhHbOU&amp;r=ZliGVSRwfirWoETOrKCh2RSnoygzVPWEk95Me9L-Kwo&amp;m=EaKyFx9mpkhPdFxsxzvW_fiM3jbYwM3xYLjVbSFoDAg&amp;s=ZWRd0_3ZaZX7gII0KMEgjSUso0k31aJdxmcM7orYz2w&amp;e=</t>
  </si>
  <si>
    <t>60骞?1822</t>
  </si>
  <si>
    <t>MOR-1961</t>
  </si>
  <si>
    <t>823bbfd2-1e42-11e4-b4cd-db5882bf8def</t>
  </si>
  <si>
    <t>Hassan II</t>
  </si>
  <si>
    <t>https://urldefense.proofpoint.com/v2/url?u=http-3A__dbpedia.org_resource_Hassan-5FII-5Fof-5FMorocco&amp;d=BQID-g&amp;c=kbmfwr1Yojg42sGEpaQh5ofMHBeTl9EI2eaqQZhHbOU&amp;r=ZliGVSRwfirWoETOrKCh2RSnoygzVPWEk95Me9L-Kwo&amp;m=EaKyFx9mpkhPdFxsxzvW_fiM3jbYwM3xYLjVbSFoDAg&amp;s=Li5RJXYhNWpxD8XYgXUmT__eia-0z5pUMcKDAo_sSyw&amp;e=</t>
  </si>
  <si>
    <t>60骞?14026</t>
  </si>
  <si>
    <t>MOR-1999</t>
  </si>
  <si>
    <t>823bbfd3-1e42-11e4-b4cd-db5882bf8def</t>
  </si>
  <si>
    <t>Muhammad VI</t>
  </si>
  <si>
    <t>60骞?6005</t>
  </si>
  <si>
    <t>ALG-1962-1</t>
  </si>
  <si>
    <t>823bbfd4-1e42-11e4-b4cd-db5882bf8def</t>
  </si>
  <si>
    <t>ALG</t>
  </si>
  <si>
    <t>Ben Khedda</t>
  </si>
  <si>
    <t>https://urldefense.proofpoint.com/v2/url?u=http-3A__dbpedia.org_resource_Benyoucef-5FBenkhedda&amp;d=BQID-g&amp;c=kbmfwr1Yojg42sGEpaQh5ofMHBeTl9EI2eaqQZhHbOU&amp;r=ZliGVSRwfirWoETOrKCh2RSnoygzVPWEk95Me9L-Kwo&amp;m=EaKyFx9mpkhPdFxsxzvW_fiM3jbYwM3xYLjVbSFoDAg&amp;s=rFtCoEWQn1mcO3j2Uqo1eefVMFSW_HX53_5i_dGa6AM&amp;e=</t>
  </si>
  <si>
    <t>54骞?84</t>
  </si>
  <si>
    <t>ALG-1962-2</t>
  </si>
  <si>
    <t>823bbfd5-1e42-11e4-b4cd-db5882bf8def</t>
  </si>
  <si>
    <t>Bella</t>
  </si>
  <si>
    <t>54骞?997</t>
  </si>
  <si>
    <t>ALG-1965</t>
  </si>
  <si>
    <t>823bbfd6-1e42-11e4-b4cd-db5882bf8def</t>
  </si>
  <si>
    <t>Boumedienne</t>
  </si>
  <si>
    <t>54骞?4939</t>
  </si>
  <si>
    <t>ALG-1978</t>
  </si>
  <si>
    <t>823bbfd7-1e42-11e4-b4cd-db5882bf8def</t>
  </si>
  <si>
    <t>Bitat</t>
  </si>
  <si>
    <t>https://urldefense.proofpoint.com/v2/url?u=http-3A__dbpedia.org_resource_Rabah-5FBitat&amp;d=BQID-g&amp;c=kbmfwr1Yojg42sGEpaQh5ofMHBeTl9EI2eaqQZhHbOU&amp;r=ZliGVSRwfirWoETOrKCh2RSnoygzVPWEk95Me9L-Kwo&amp;m=EaKyFx9mpkhPdFxsxzvW_fiM3jbYwM3xYLjVbSFoDAg&amp;s=CNA1eiDob2mpLV198T4jnzWfyZ5ik2bsJR_gyPt8Pv0&amp;e=</t>
  </si>
  <si>
    <t>54骞?42</t>
  </si>
  <si>
    <t>ALG-1979</t>
  </si>
  <si>
    <t>823bf0a6-1e42-11e4-b4cd-db5882bf8def</t>
  </si>
  <si>
    <t>Benjedid</t>
  </si>
  <si>
    <t>https://urldefense.proofpoint.com/v2/url?u=http-3A__dbpedia.org_resource_Chadli-5FBendjedid&amp;d=BQID-g&amp;c=kbmfwr1Yojg42sGEpaQh5ofMHBeTl9EI2eaqQZhHbOU&amp;r=ZliGVSRwfirWoETOrKCh2RSnoygzVPWEk95Me9L-Kwo&amp;m=EaKyFx9mpkhPdFxsxzvW_fiM3jbYwM3xYLjVbSFoDAg&amp;s=31Ha0ZOw-0ymEgwZaJq4rrAyRBM2Rf8MrEfVdoe8ZrA&amp;e=</t>
  </si>
  <si>
    <t>54骞?4721</t>
  </si>
  <si>
    <t>ALG-1992-1</t>
  </si>
  <si>
    <t>823bf0a7-1e42-11e4-b4cd-db5882bf8def</t>
  </si>
  <si>
    <t>Boudiaf</t>
  </si>
  <si>
    <t>54骞?167</t>
  </si>
  <si>
    <t>ALG-1992-2</t>
  </si>
  <si>
    <t>823bf0a8-1e42-11e4-b4cd-db5882bf8def</t>
  </si>
  <si>
    <t>Kafi</t>
  </si>
  <si>
    <t>54骞?578</t>
  </si>
  <si>
    <t>ALG-1994</t>
  </si>
  <si>
    <t>823bf0a9-1e42-11e4-b4cd-db5882bf8def</t>
  </si>
  <si>
    <t>Zeroual</t>
  </si>
  <si>
    <t>54骞?1912</t>
  </si>
  <si>
    <t>ALG-1999</t>
  </si>
  <si>
    <t>823bf0aa-1e42-11e4-b4cd-db5882bf8def</t>
  </si>
  <si>
    <t>Bouteflika</t>
  </si>
  <si>
    <t>https://urldefense.proofpoint.com/v2/url?u=http-3A__dbpedia.org_resource_Abdelaziz-5FBouteflika&amp;d=BQID-g&amp;c=kbmfwr1Yojg42sGEpaQh5ofMHBeTl9EI2eaqQZhHbOU&amp;r=ZliGVSRwfirWoETOrKCh2RSnoygzVPWEk95Me9L-Kwo&amp;m=EaKyFx9mpkhPdFxsxzvW_fiM3jbYwM3xYLjVbSFoDAg&amp;s=Jt8TImEjowf5O53zKRDQ3xCLYNBfgdLt_4S8VG23-CY&amp;e=</t>
  </si>
  <si>
    <t>54骞?6092</t>
  </si>
  <si>
    <t>TUN-1859</t>
  </si>
  <si>
    <t>823bf0ab-1e42-11e4-b4cd-db5882bf8def</t>
  </si>
  <si>
    <t>TUN</t>
  </si>
  <si>
    <t>Muhammad III</t>
  </si>
  <si>
    <t>1859-09-23</t>
  </si>
  <si>
    <t>1882-10-28</t>
  </si>
  <si>
    <t>28oct1882</t>
  </si>
  <si>
    <t>49骞?8436</t>
  </si>
  <si>
    <t>TUN-1943</t>
  </si>
  <si>
    <t>823c217a-1e42-11e4-b4cd-db5882bf8def</t>
  </si>
  <si>
    <t>Muhammad al-Amin</t>
  </si>
  <si>
    <t>1881-09-04</t>
  </si>
  <si>
    <t>04sep1881</t>
  </si>
  <si>
    <t>49骞?5185</t>
  </si>
  <si>
    <t>TUN-1957</t>
  </si>
  <si>
    <t>823c217b-1e42-11e4-b4cd-db5882bf8def</t>
  </si>
  <si>
    <t>Ben Ali Bourguiba</t>
  </si>
  <si>
    <t>https://urldefense.proofpoint.com/v2/url?u=http-3A__dbpedia.org_resource_Habib-5FBourguiba&amp;d=BQID-g&amp;c=kbmfwr1Yojg42sGEpaQh5ofMHBeTl9EI2eaqQZhHbOU&amp;r=ZliGVSRwfirWoETOrKCh2RSnoygzVPWEk95Me9L-Kwo&amp;m=EaKyFx9mpkhPdFxsxzvW_fiM3jbYwM3xYLjVbSFoDAg&amp;s=QD794-fqQaBffaIt6cBQroE9Q3FWwYIsImeO7jgm_ns&amp;e=</t>
  </si>
  <si>
    <t>49骞?11062</t>
  </si>
  <si>
    <t>TUN-1987</t>
  </si>
  <si>
    <t>823c217c-1e42-11e4-b4cd-db5882bf8def</t>
  </si>
  <si>
    <t>Zine Al-Abidine Ben Ali</t>
  </si>
  <si>
    <t>https://urldefense.proofpoint.com/v2/url?u=http-3A__dbpedia.org_resource_Zine-5FEl-5FAbidine-5FBen-5FAli&amp;d=BQID-g&amp;c=kbmfwr1Yojg42sGEpaQh5ofMHBeTl9EI2eaqQZhHbOU&amp;r=ZliGVSRwfirWoETOrKCh2RSnoygzVPWEk95Me9L-Kwo&amp;m=EaKyFx9mpkhPdFxsxzvW_fiM3jbYwM3xYLjVbSFoDAg&amp;s=hZ4wVTsLvodmQBqlxHHVWuUwtBko6DGlAcu_I5cQviY&amp;e=</t>
  </si>
  <si>
    <t>49骞?8469</t>
  </si>
  <si>
    <t>TUN-2011-1</t>
  </si>
  <si>
    <t>82542a58-1e42-11e4-b4cd-db5882bf8def</t>
  </si>
  <si>
    <t>Ghannouchi</t>
  </si>
  <si>
    <t>49骞?1</t>
  </si>
  <si>
    <t>TUN-2011-2</t>
  </si>
  <si>
    <t>82542a59-1e42-11e4-b4cd-db5882bf8def</t>
  </si>
  <si>
    <t>Mebazaa</t>
  </si>
  <si>
    <t>49骞?332</t>
  </si>
  <si>
    <t>TUN-2011-3</t>
  </si>
  <si>
    <t>82545b28-1e42-11e4-b4cd-db5882bf8def</t>
  </si>
  <si>
    <t>Marzouki</t>
  </si>
  <si>
    <t>49骞?1114</t>
  </si>
  <si>
    <t>TUN-2014</t>
  </si>
  <si>
    <t>43fa7163-de6a-11e5-ba44-bb6d7c1a9a58</t>
  </si>
  <si>
    <t>Caid Essebsi</t>
  </si>
  <si>
    <t>49骞?365</t>
  </si>
  <si>
    <t>LIB-1951</t>
  </si>
  <si>
    <t>823c217d-1e42-11e4-b4cd-db5882bf8def</t>
  </si>
  <si>
    <t>LIB</t>
  </si>
  <si>
    <t>Idris</t>
  </si>
  <si>
    <t>1890-03-12</t>
  </si>
  <si>
    <t>12mar1890</t>
  </si>
  <si>
    <t>https://urldefense.proofpoint.com/v2/url?u=http-3A__dbpedia.org_resource_Idris-5FI-5Fof-5FLibya&amp;d=BQID-g&amp;c=kbmfwr1Yojg42sGEpaQh5ofMHBeTl9EI2eaqQZhHbOU&amp;r=ZliGVSRwfirWoETOrKCh2RSnoygzVPWEk95Me9L-Kwo&amp;m=EaKyFx9mpkhPdFxsxzvW_fiM3jbYwM3xYLjVbSFoDAg&amp;s=h-wkYHVyRC_3kDgMQmVYavZ-ae6vB5vOGUIipTvFP2c&amp;e=</t>
  </si>
  <si>
    <t>11骞?6461</t>
  </si>
  <si>
    <t>LIB-1969</t>
  </si>
  <si>
    <t>823c217e-1e42-11e4-b4cd-db5882bf8def</t>
  </si>
  <si>
    <t>Qaddafi</t>
  </si>
  <si>
    <t>11骞?15331</t>
  </si>
  <si>
    <t>LIB-2011</t>
  </si>
  <si>
    <t>82545b29-1e42-11e4-b4cd-db5882bf8def</t>
  </si>
  <si>
    <t>Mustafa Jalil</t>
  </si>
  <si>
    <t>11骞?351</t>
  </si>
  <si>
    <t>LIB-2012-1</t>
  </si>
  <si>
    <t>149fc378-aae0-11e4-b3bc-29f2fa19767e</t>
  </si>
  <si>
    <t>Mohammed Ali Salim</t>
  </si>
  <si>
    <t>11骞?1</t>
  </si>
  <si>
    <t>LIB-2012-2</t>
  </si>
  <si>
    <t>149fc379-aae0-11e4-b3bc-29f2fa19767e</t>
  </si>
  <si>
    <t>Mohammed Magariaf</t>
  </si>
  <si>
    <t>11骞?292</t>
  </si>
  <si>
    <t>LIB-2013-1</t>
  </si>
  <si>
    <t>149fea90-aae0-11e4-b3bc-29f2fa19767e</t>
  </si>
  <si>
    <t>Giuma Ahmed Atigha</t>
  </si>
  <si>
    <t>11骞?28</t>
  </si>
  <si>
    <t>LIB-2013-2</t>
  </si>
  <si>
    <t>2b3c671f-3481-11e4-8dba-bbcd9ed46413</t>
  </si>
  <si>
    <t>Nouri Abusahmain</t>
  </si>
  <si>
    <t>11骞?405</t>
  </si>
  <si>
    <t>LIB-2014</t>
  </si>
  <si>
    <t>149fea91-aae0-11e4-b3bc-29f2fa19767e</t>
  </si>
  <si>
    <t>Akila Saleh Issa</t>
  </si>
  <si>
    <t>11骞?513</t>
  </si>
  <si>
    <t>SUD-1956-1</t>
  </si>
  <si>
    <t>823c217f-1e42-11e4-b4cd-db5882bf8def</t>
  </si>
  <si>
    <t>SUD</t>
  </si>
  <si>
    <t>Al-Azhari</t>
  </si>
  <si>
    <t>https://urldefense.proofpoint.com/v2/url?u=http-3A__dbpedia.org_resource_Ismail-5Fal-2DAzhari&amp;d=BQID-g&amp;c=kbmfwr1Yojg42sGEpaQh5ofMHBeTl9EI2eaqQZhHbOU&amp;r=ZliGVSRwfirWoETOrKCh2RSnoygzVPWEk95Me9L-Kwo&amp;m=EaKyFx9mpkhPdFxsxzvW_fiM3jbYwM3xYLjVbSFoDAg&amp;s=ZObTTeNqKzCCqm8tbxLvon-w9mu4W9lJIxsdvjF4thY&amp;e=</t>
  </si>
  <si>
    <t>10骞?185</t>
  </si>
  <si>
    <t>SUD-1956-2</t>
  </si>
  <si>
    <t>823c524e-1e42-11e4-b4cd-db5882bf8def</t>
  </si>
  <si>
    <t>Khalil</t>
  </si>
  <si>
    <t>10骞?865</t>
  </si>
  <si>
    <t>SUD-1958</t>
  </si>
  <si>
    <t>823c524f-1e42-11e4-b4cd-db5882bf8def</t>
  </si>
  <si>
    <t>Abboud</t>
  </si>
  <si>
    <t>https://urldefense.proofpoint.com/v2/url?u=http-3A__dbpedia.org_resource_Ibrahim-5FAbboud&amp;d=BQID-g&amp;c=kbmfwr1Yojg42sGEpaQh5ofMHBeTl9EI2eaqQZhHbOU&amp;r=ZliGVSRwfirWoETOrKCh2RSnoygzVPWEk95Me9L-Kwo&amp;m=EaKyFx9mpkhPdFxsxzvW_fiM3jbYwM3xYLjVbSFoDAg&amp;s=iqoRDObJBJjMDcG1SuElseeENI4fZraYU-CAUN-aE2w&amp;e=</t>
  </si>
  <si>
    <t>10骞?2175</t>
  </si>
  <si>
    <t>SUD-1964</t>
  </si>
  <si>
    <t>823c5250-1e42-11e4-b4cd-db5882bf8def</t>
  </si>
  <si>
    <t>al-Khalifa</t>
  </si>
  <si>
    <t>10骞?225</t>
  </si>
  <si>
    <t>SUD-1965</t>
  </si>
  <si>
    <t>823c5251-1e42-11e4-b4cd-db5882bf8def</t>
  </si>
  <si>
    <t>Maghoub</t>
  </si>
  <si>
    <t>10骞?406</t>
  </si>
  <si>
    <t>SUD-1966</t>
  </si>
  <si>
    <t>823c5252-1e42-11e4-b4cd-db5882bf8def</t>
  </si>
  <si>
    <t>Sadiq al-Mahdi</t>
  </si>
  <si>
    <t>10骞?293</t>
  </si>
  <si>
    <t>SUD-1967</t>
  </si>
  <si>
    <t>10骞?736</t>
  </si>
  <si>
    <t>SUD-1969</t>
  </si>
  <si>
    <t>823c5253-1e42-11e4-b4cd-db5882bf8def</t>
  </si>
  <si>
    <t>Nimeiri</t>
  </si>
  <si>
    <t>https://urldefense.proofpoint.com/v2/url?u=http-3A__dbpedia.org_resource_Gaafar-5FNimeiry&amp;d=BQID-g&amp;c=kbmfwr1Yojg42sGEpaQh5ofMHBeTl9EI2eaqQZhHbOU&amp;r=ZliGVSRwfirWoETOrKCh2RSnoygzVPWEk95Me9L-Kwo&amp;m=EaKyFx9mpkhPdFxsxzvW_fiM3jbYwM3xYLjVbSFoDAg&amp;s=g8iTccqippZ62-HwW8_mMpm4n2_uYJ-GzWLjCvlty8c&amp;e=</t>
  </si>
  <si>
    <t>10骞?785</t>
  </si>
  <si>
    <t>SUD-1971-1</t>
  </si>
  <si>
    <t>823c8322-1e42-11e4-b4cd-db5882bf8def</t>
  </si>
  <si>
    <t>Osman</t>
  </si>
  <si>
    <t>10骞?3</t>
  </si>
  <si>
    <t>SUD-1971-2</t>
  </si>
  <si>
    <t>10骞?5007</t>
  </si>
  <si>
    <t>SUD-1985</t>
  </si>
  <si>
    <t>823c8323-1e42-11e4-b4cd-db5882bf8def</t>
  </si>
  <si>
    <t>Abdul Rahman Swaredahab</t>
  </si>
  <si>
    <t>10骞?395</t>
  </si>
  <si>
    <t>SUD-1986</t>
  </si>
  <si>
    <t>10骞?1151</t>
  </si>
  <si>
    <t>SUD-1989</t>
  </si>
  <si>
    <t>823c8325-1e42-11e4-b4cd-db5882bf8def</t>
  </si>
  <si>
    <t>Al-Bashir</t>
  </si>
  <si>
    <t>https://urldefense.proofpoint.com/v2/url?u=http-3A__dbpedia.org_resource_Omar-5Fal-2DBashir&amp;d=BQID-g&amp;c=kbmfwr1Yojg42sGEpaQh5ofMHBeTl9EI2eaqQZhHbOU&amp;r=ZliGVSRwfirWoETOrKCh2RSnoygzVPWEk95Me9L-Kwo&amp;m=EaKyFx9mpkhPdFxsxzvW_fiM3jbYwM3xYLjVbSFoDAg&amp;s=Sdsv1uia_7w9huOUO8nhGZOv0kTyFepj2UgTBZ7Gc9Y&amp;e=</t>
  </si>
  <si>
    <t>10骞?9680</t>
  </si>
  <si>
    <t>SSD-2011</t>
  </si>
  <si>
    <t>149fea92-aae0-11e4-b3bc-29f2fa19767e</t>
  </si>
  <si>
    <t>SSD</t>
  </si>
  <si>
    <t>Salva Kiir</t>
  </si>
  <si>
    <t>IRN-1848</t>
  </si>
  <si>
    <t>823c8326-1e42-11e4-b4cd-db5882bf8def</t>
  </si>
  <si>
    <t>IRN</t>
  </si>
  <si>
    <t>Nasir Ad-Din</t>
  </si>
  <si>
    <t>1848-09-13</t>
  </si>
  <si>
    <t>1831-07-17</t>
  </si>
  <si>
    <t>17jul1831</t>
  </si>
  <si>
    <t>54骞?17397</t>
  </si>
  <si>
    <t>IRN-1896</t>
  </si>
  <si>
    <t>823c8327-1e42-11e4-b4cd-db5882bf8def</t>
  </si>
  <si>
    <t>Muzaffar ad-Din</t>
  </si>
  <si>
    <t>1896-05-02</t>
  </si>
  <si>
    <t>1853-03-25</t>
  </si>
  <si>
    <t>25mar1853</t>
  </si>
  <si>
    <t>54骞?3902</t>
  </si>
  <si>
    <t>IRN-1907</t>
  </si>
  <si>
    <t>823cb3f6-1e42-11e4-b4cd-db5882bf8def</t>
  </si>
  <si>
    <t>Mohammed Ali Shah</t>
  </si>
  <si>
    <t>1872-06-21</t>
  </si>
  <si>
    <t>21jun1872</t>
  </si>
  <si>
    <t>54骞?920</t>
  </si>
  <si>
    <t>IRN-1909</t>
  </si>
  <si>
    <t>823cb3f7-1e42-11e4-b4cd-db5882bf8def</t>
  </si>
  <si>
    <t>Sultan Ahmad</t>
  </si>
  <si>
    <t>1898-01-21</t>
  </si>
  <si>
    <t>21jan1898</t>
  </si>
  <si>
    <t>54骞?4238</t>
  </si>
  <si>
    <t>IRN-1921</t>
  </si>
  <si>
    <t>823cb3f8-1e42-11e4-b4cd-db5882bf8def</t>
  </si>
  <si>
    <t>Reza Khan</t>
  </si>
  <si>
    <t>1878-03-16</t>
  </si>
  <si>
    <t>16mar1878</t>
  </si>
  <si>
    <t>Father of Mohammad Reza%823cb3f9-1e42-11e4-b4cd-db5882bf8def</t>
  </si>
  <si>
    <t>54骞?7512</t>
  </si>
  <si>
    <t>IRN-1941</t>
  </si>
  <si>
    <t>823cb3f9-1e42-11e4-b4cd-db5882bf8def</t>
  </si>
  <si>
    <t>Mohammad Reza</t>
  </si>
  <si>
    <t>https://urldefense.proofpoint.com/v2/url?u=http-3A__dbpedia.org_resource_Mohammad-5FReza-5FPahlavi&amp;d=BQID-g&amp;c=kbmfwr1Yojg42sGEpaQh5ofMHBeTl9EI2eaqQZhHbOU&amp;r=ZliGVSRwfirWoETOrKCh2RSnoygzVPWEk95Me9L-Kwo&amp;m=EaKyFx9mpkhPdFxsxzvW_fiM3jbYwM3xYLjVbSFoDAg&amp;s=rbMEF5eUaauW40rpHYNCcNzDMl72R9EVpSENyvYJK8c&amp;e=</t>
  </si>
  <si>
    <t>Son of Reza Khan%823cb3f8-1e42-11e4-b4cd-db5882bf8def</t>
  </si>
  <si>
    <t>54骞?3513</t>
  </si>
  <si>
    <t>IRN-1951</t>
  </si>
  <si>
    <t>823cb3fa-1e42-11e4-b4cd-db5882bf8def</t>
  </si>
  <si>
    <t>Mohammad Mossadeg</t>
  </si>
  <si>
    <t>1882-05-19</t>
  </si>
  <si>
    <t>19may1882</t>
  </si>
  <si>
    <t>54骞?842</t>
  </si>
  <si>
    <t>IRN-1953</t>
  </si>
  <si>
    <t>54骞?9281</t>
  </si>
  <si>
    <t>IRN-1979</t>
  </si>
  <si>
    <t>823cb3fb-1e42-11e4-b4cd-db5882bf8def</t>
  </si>
  <si>
    <t>Ayatollah Khomeini</t>
  </si>
  <si>
    <t>https://urldefense.proofpoint.com/v2/url?u=http-3A__dbpedia.org_resource_Ruhollah-5FKhomeini&amp;d=BQID-g&amp;c=kbmfwr1Yojg42sGEpaQh5ofMHBeTl9EI2eaqQZhHbOU&amp;r=ZliGVSRwfirWoETOrKCh2RSnoygzVPWEk95Me9L-Kwo&amp;m=EaKyFx9mpkhPdFxsxzvW_fiM3jbYwM3xYLjVbSFoDAg&amp;s=0EZkLQCYKPXacIU63AIL1FZAlHCHhjQ398Z8Kk29v1Q&amp;e=</t>
  </si>
  <si>
    <t>54骞?3775</t>
  </si>
  <si>
    <t>IRN-1989-1</t>
  </si>
  <si>
    <t>823ce4ca-1e42-11e4-b4cd-db5882bf8def</t>
  </si>
  <si>
    <t>Khamenei</t>
  </si>
  <si>
    <t>54骞?60</t>
  </si>
  <si>
    <t>IRN-1989-2</t>
  </si>
  <si>
    <t>823ce4cb-1e42-11e4-b4cd-db5882bf8def</t>
  </si>
  <si>
    <t>Rafsanjani</t>
  </si>
  <si>
    <t>54骞?2908</t>
  </si>
  <si>
    <t>IRN-1997</t>
  </si>
  <si>
    <t>823ce4cc-1e42-11e4-b4cd-db5882bf8def</t>
  </si>
  <si>
    <t>Khatami</t>
  </si>
  <si>
    <t>54骞?2922</t>
  </si>
  <si>
    <t>IRN-2005</t>
  </si>
  <si>
    <t>82545b2a-1e42-11e4-b4cd-db5882bf8def</t>
  </si>
  <si>
    <t>Ahmadinejad</t>
  </si>
  <si>
    <t>IRN-2013</t>
  </si>
  <si>
    <t>2b3c6720-3481-11e4-8dba-bbcd9ed46413</t>
  </si>
  <si>
    <t>Rouhani</t>
  </si>
  <si>
    <t>54骞?880</t>
  </si>
  <si>
    <t>TUR-1861</t>
  </si>
  <si>
    <t>823ce4cd-1e42-11e4-b4cd-db5882bf8def</t>
  </si>
  <si>
    <t>TUR</t>
  </si>
  <si>
    <t>Abdul Aziz</t>
  </si>
  <si>
    <t>1861-06-25</t>
  </si>
  <si>
    <t>1876-05-30</t>
  </si>
  <si>
    <t>1876-06-04</t>
  </si>
  <si>
    <t>04jun1876</t>
  </si>
  <si>
    <t>81骞?5453</t>
  </si>
  <si>
    <t>TUR-1876-1</t>
  </si>
  <si>
    <t>823ce4ce-1e42-11e4-b4cd-db5882bf8def</t>
  </si>
  <si>
    <t>Murad V</t>
  </si>
  <si>
    <t>1876-08-30</t>
  </si>
  <si>
    <t>81骞?92</t>
  </si>
  <si>
    <t>TUR-1876-2</t>
  </si>
  <si>
    <t>823ce4cf-1e42-11e4-b4cd-db5882bf8def</t>
  </si>
  <si>
    <t>Hamid II</t>
  </si>
  <si>
    <t>1842-09-21</t>
  </si>
  <si>
    <t>21sep1842</t>
  </si>
  <si>
    <t>81骞?11927</t>
  </si>
  <si>
    <t>TUR-1909</t>
  </si>
  <si>
    <t>823d159e-1e42-11e4-b4cd-db5882bf8def</t>
  </si>
  <si>
    <t>Mahmud Sefket Pasha</t>
  </si>
  <si>
    <t>1844-11-03</t>
  </si>
  <si>
    <t>03nov1844</t>
  </si>
  <si>
    <t>81骞?1367</t>
  </si>
  <si>
    <t>TUR-1913</t>
  </si>
  <si>
    <t>823d159f-1e42-11e4-b4cd-db5882bf8def</t>
  </si>
  <si>
    <t>Enver Pasha</t>
  </si>
  <si>
    <t>1881-11-22</t>
  </si>
  <si>
    <t>22nov1881</t>
  </si>
  <si>
    <t>81骞?2084</t>
  </si>
  <si>
    <t>TUR-1918</t>
  </si>
  <si>
    <t>823d15a0-1e42-11e4-b4cd-db5882bf8def</t>
  </si>
  <si>
    <t>Mehmet VI Vahidettin</t>
  </si>
  <si>
    <t>1861-01-14</t>
  </si>
  <si>
    <t>14jan1861</t>
  </si>
  <si>
    <t>https://urldefense.proofpoint.com/v2/url?u=http-3A__dbpedia.org_resource_Mehmed-5FVI&amp;d=BQID-g&amp;c=kbmfwr1Yojg42sGEpaQh5ofMHBeTl9EI2eaqQZhHbOU&amp;r=ZliGVSRwfirWoETOrKCh2RSnoygzVPWEk95Me9L-Kwo&amp;m=EaKyFx9mpkhPdFxsxzvW_fiM3jbYwM3xYLjVbSFoDAg&amp;s=siDwQs4LZ3sozrlapocV0oFC0Y-pteg93Mw0Xt67WWk&amp;e=</t>
  </si>
  <si>
    <t>81骞?1485</t>
  </si>
  <si>
    <t>TUR-1922</t>
  </si>
  <si>
    <t>823d15a1-1e42-11e4-b4cd-db5882bf8def</t>
  </si>
  <si>
    <t>Ataturk</t>
  </si>
  <si>
    <t>https://urldefense.proofpoint.com/v2/url?u=http-3A__dbpedia.org_resource_Mustafa-5FKemal-5FAtat-25C3-25BCrk&amp;d=BQID-g&amp;c=kbmfwr1Yojg42sGEpaQh5ofMHBeTl9EI2eaqQZhHbOU&amp;r=ZliGVSRwfirWoETOrKCh2RSnoygzVPWEk95Me9L-Kwo&amp;m=EaKyFx9mpkhPdFxsxzvW_fiM3jbYwM3xYLjVbSFoDAg&amp;s=WPPWVPYYFpV9SVNhIl7x0fGz_06z7IDMjmGCt-esgLw&amp;e=</t>
  </si>
  <si>
    <t>81骞?5853</t>
  </si>
  <si>
    <t>TUR-1938</t>
  </si>
  <si>
    <t>823d15a2-1e42-11e4-b4cd-db5882bf8def</t>
  </si>
  <si>
    <t>Inonu</t>
  </si>
  <si>
    <t>1884-09-25</t>
  </si>
  <si>
    <t>25sep1884</t>
  </si>
  <si>
    <t>Father of Erdal Inonu%823da825-1e42-11e4-b4cd-db5882bf8def</t>
  </si>
  <si>
    <t>81骞?4210</t>
  </si>
  <si>
    <t>TUR-1950</t>
  </si>
  <si>
    <t>823d467c-1e42-11e4-b4cd-db5882bf8def</t>
  </si>
  <si>
    <t>Menderes</t>
  </si>
  <si>
    <t>https://urldefense.proofpoint.com/v2/url?u=http-3A__dbpedia.org_resource_Adnan-5FMenderes&amp;d=BQID-g&amp;c=kbmfwr1Yojg42sGEpaQh5ofMHBeTl9EI2eaqQZhHbOU&amp;r=ZliGVSRwfirWoETOrKCh2RSnoygzVPWEk95Me9L-Kwo&amp;m=EaKyFx9mpkhPdFxsxzvW_fiM3jbYwM3xYLjVbSFoDAg&amp;s=_1VIqWcV18gxE-pIvRrv5t6EzKitIU-YCqlTcDeu7mQ&amp;e=</t>
  </si>
  <si>
    <t>81骞?3658</t>
  </si>
  <si>
    <t>TUR-1960</t>
  </si>
  <si>
    <t>823d467d-1e42-11e4-b4cd-db5882bf8def</t>
  </si>
  <si>
    <t>Gursel</t>
  </si>
  <si>
    <t>https://urldefense.proofpoint.com/v2/url?u=http-3A__dbpedia.org_resource_Cemal-5FG-25C3-25BCrsel&amp;d=BQID-g&amp;c=kbmfwr1Yojg42sGEpaQh5ofMHBeTl9EI2eaqQZhHbOU&amp;r=ZliGVSRwfirWoETOrKCh2RSnoygzVPWEk95Me9L-Kwo&amp;m=EaKyFx9mpkhPdFxsxzvW_fiM3jbYwM3xYLjVbSFoDAg&amp;s=tG8B-0yGVtS0qM9YzEfSo3Lq2twLGbY_bQT24WIV9WA&amp;e=</t>
  </si>
  <si>
    <t>81骞?532</t>
  </si>
  <si>
    <t>TUR-1961</t>
  </si>
  <si>
    <t>81骞?1191</t>
  </si>
  <si>
    <t>TUR-1965-1</t>
  </si>
  <si>
    <t>823d467e-1e42-11e4-b4cd-db5882bf8def</t>
  </si>
  <si>
    <t>Urguplu</t>
  </si>
  <si>
    <t>81骞?256</t>
  </si>
  <si>
    <t>TUR-1965-2</t>
  </si>
  <si>
    <t>823d467f-1e42-11e4-b4cd-db5882bf8def</t>
  </si>
  <si>
    <t>Demirel</t>
  </si>
  <si>
    <t>81骞?1962</t>
  </si>
  <si>
    <t>TUR-1971</t>
  </si>
  <si>
    <t>823d4680-1e42-11e4-b4cd-db5882bf8def</t>
  </si>
  <si>
    <t>Erim</t>
  </si>
  <si>
    <t>81骞?395</t>
  </si>
  <si>
    <t>TUR-1972</t>
  </si>
  <si>
    <t>823d4681-1e42-11e4-b4cd-db5882bf8def</t>
  </si>
  <si>
    <t>Melen</t>
  </si>
  <si>
    <t>81骞?328</t>
  </si>
  <si>
    <t>TUR-1973</t>
  </si>
  <si>
    <t>823d7750-1e42-11e4-b4cd-db5882bf8def</t>
  </si>
  <si>
    <t>Talu</t>
  </si>
  <si>
    <t>81骞?285</t>
  </si>
  <si>
    <t>TUR-1974-1</t>
  </si>
  <si>
    <t>823d7751-1e42-11e4-b4cd-db5882bf8def</t>
  </si>
  <si>
    <t>Ecevit</t>
  </si>
  <si>
    <t>https://urldefense.proofpoint.com/v2/url?u=http-3A__dbpedia.org_resource_B-25C3-25BClent-5FEcevit&amp;d=BQID-g&amp;c=kbmfwr1Yojg42sGEpaQh5ofMHBeTl9EI2eaqQZhHbOU&amp;r=ZliGVSRwfirWoETOrKCh2RSnoygzVPWEk95Me9L-Kwo&amp;m=EaKyFx9mpkhPdFxsxzvW_fiM3jbYwM3xYLjVbSFoDAg&amp;s=8y10JFn_u1fo_7gfZVhh-lgBmfk83I48wjlikMZJoqU&amp;e=</t>
  </si>
  <si>
    <t>81骞?286</t>
  </si>
  <si>
    <t>TUR-1974-2</t>
  </si>
  <si>
    <t>823d7752-1e42-11e4-b4cd-db5882bf8def</t>
  </si>
  <si>
    <t>Irmak</t>
  </si>
  <si>
    <t>81骞?134</t>
  </si>
  <si>
    <t>TUR-1975</t>
  </si>
  <si>
    <t>81骞?813</t>
  </si>
  <si>
    <t>TUR-1977-1</t>
  </si>
  <si>
    <t>81骞?30</t>
  </si>
  <si>
    <t>TUR-1977-2</t>
  </si>
  <si>
    <t>81骞?153</t>
  </si>
  <si>
    <t>TUR-1978</t>
  </si>
  <si>
    <t>81骞?680</t>
  </si>
  <si>
    <t>TUR-1979</t>
  </si>
  <si>
    <t>81骞?313</t>
  </si>
  <si>
    <t>TUR-1980</t>
  </si>
  <si>
    <t>823d7753-1e42-11e4-b4cd-db5882bf8def</t>
  </si>
  <si>
    <t>Evren</t>
  </si>
  <si>
    <t>81骞?1159</t>
  </si>
  <si>
    <t>TUR-1983</t>
  </si>
  <si>
    <t>823d7754-1e42-11e4-b4cd-db5882bf8def</t>
  </si>
  <si>
    <t>Ozal</t>
  </si>
  <si>
    <t>https://urldefense.proofpoint.com/v2/url?u=http-3A__dbpedia.org_resource_Turgut-5F-25C3-2596zal&amp;d=BQID-g&amp;c=kbmfwr1Yojg42sGEpaQh5ofMHBeTl9EI2eaqQZhHbOU&amp;r=ZliGVSRwfirWoETOrKCh2RSnoygzVPWEk95Me9L-Kwo&amp;m=EaKyFx9mpkhPdFxsxzvW_fiM3jbYwM3xYLjVbSFoDAg&amp;s=g4ew8BdWNAUndIrJG-Ny0oFicACYim9Tcr9imEOxnjo&amp;e=</t>
  </si>
  <si>
    <t>81骞?2158</t>
  </si>
  <si>
    <t>TUR-1989</t>
  </si>
  <si>
    <t>823d7755-1e42-11e4-b4cd-db5882bf8def</t>
  </si>
  <si>
    <t>Akbulut</t>
  </si>
  <si>
    <t>81骞?592</t>
  </si>
  <si>
    <t>TUR-1991-1</t>
  </si>
  <si>
    <t>823da824-1e42-11e4-b4cd-db5882bf8def</t>
  </si>
  <si>
    <t>Yilmaz</t>
  </si>
  <si>
    <t>https://urldefense.proofpoint.com/v2/url?u=http-3A__dbpedia.org_resource_Mesut-5FY-25C4-25B1lmaz&amp;d=BQID-g&amp;c=kbmfwr1Yojg42sGEpaQh5ofMHBeTl9EI2eaqQZhHbOU&amp;r=ZliGVSRwfirWoETOrKCh2RSnoygzVPWEk95Me9L-Kwo&amp;m=EaKyFx9mpkhPdFxsxzvW_fiM3jbYwM3xYLjVbSFoDAg&amp;s=ZHzaxZ2wpkyUOeagXxhRsLjPXu4-eGTgC6kc60fEcHI&amp;e=</t>
  </si>
  <si>
    <t>81骞?149</t>
  </si>
  <si>
    <t>TUR-1991-2</t>
  </si>
  <si>
    <t>81骞?543</t>
  </si>
  <si>
    <t>TUR-1993-1</t>
  </si>
  <si>
    <t>823da825-1e42-11e4-b4cd-db5882bf8def</t>
  </si>
  <si>
    <t>Erdal Inonu</t>
  </si>
  <si>
    <t>Son of Inonu%823d15a2-1e42-11e4-b4cd-db5882bf8def</t>
  </si>
  <si>
    <t>81骞?40</t>
  </si>
  <si>
    <t>TUR-1993-2</t>
  </si>
  <si>
    <t>823da826-1e42-11e4-b4cd-db5882bf8def</t>
  </si>
  <si>
    <t>Ciller</t>
  </si>
  <si>
    <t>https://urldefense.proofpoint.com/v2/url?u=http-3A__dbpedia.org_resource_Tansu-5F-25C3-2587iller&amp;d=BQID-g&amp;c=kbmfwr1Yojg42sGEpaQh5ofMHBeTl9EI2eaqQZhHbOU&amp;r=ZliGVSRwfirWoETOrKCh2RSnoygzVPWEk95Me9L-Kwo&amp;m=EaKyFx9mpkhPdFxsxzvW_fiM3jbYwM3xYLjVbSFoDAg&amp;s=PwtaiXGx09jAxqvI4g3ETjTMoRaxRrbA0Fz09FFgyKo&amp;e=</t>
  </si>
  <si>
    <t>81骞?985</t>
  </si>
  <si>
    <t>TUR-1996-1</t>
  </si>
  <si>
    <t>81骞?114</t>
  </si>
  <si>
    <t>TUR-1996-2</t>
  </si>
  <si>
    <t>823da827-1e42-11e4-b4cd-db5882bf8def</t>
  </si>
  <si>
    <t>Erbakan</t>
  </si>
  <si>
    <t>https://urldefense.proofpoint.com/v2/url?u=http-3A__dbpedia.org_resource_Necmettin-5FErbakan&amp;d=BQID-g&amp;c=kbmfwr1Yojg42sGEpaQh5ofMHBeTl9EI2eaqQZhHbOU&amp;r=ZliGVSRwfirWoETOrKCh2RSnoygzVPWEk95Me9L-Kwo&amp;m=EaKyFx9mpkhPdFxsxzvW_fiM3jbYwM3xYLjVbSFoDAg&amp;s=kHyYe0fpgN3O6LvI45CLj6fKM-UzhJ-48if_TVZTL04&amp;e=</t>
  </si>
  <si>
    <t>81骞?367</t>
  </si>
  <si>
    <t>TUR-1997</t>
  </si>
  <si>
    <t>81骞?560</t>
  </si>
  <si>
    <t>TUR-1999</t>
  </si>
  <si>
    <t>81骞?1407</t>
  </si>
  <si>
    <t>TUR-2002</t>
  </si>
  <si>
    <t>823da828-1e42-11e4-b4cd-db5882bf8def</t>
  </si>
  <si>
    <t>Abdullah Gul</t>
  </si>
  <si>
    <t>81骞?115</t>
  </si>
  <si>
    <t>TUR-2003</t>
  </si>
  <si>
    <t>823da829-1e42-11e4-b4cd-db5882bf8def</t>
  </si>
  <si>
    <t>Erdogan</t>
  </si>
  <si>
    <t>https://urldefense.proofpoint.com/v2/url?u=http-3A__dbpedia.org_resource_Recep-5FTayyip-5FErdo-25C4-259Fan&amp;d=BQID-g&amp;c=kbmfwr1Yojg42sGEpaQh5ofMHBeTl9EI2eaqQZhHbOU&amp;r=ZliGVSRwfirWoETOrKCh2RSnoygzVPWEk95Me9L-Kwo&amp;m=EaKyFx9mpkhPdFxsxzvW_fiM3jbYwM3xYLjVbSFoDAg&amp;s=my-JsDsHVdmEB5I0Ay_eRTGklJPZn9flUlF2hprp03c&amp;e=</t>
  </si>
  <si>
    <t>81骞?4675</t>
  </si>
  <si>
    <t>IRQ-1932</t>
  </si>
  <si>
    <t>823dd8f8-1e42-11e4-b4cd-db5882bf8def</t>
  </si>
  <si>
    <t>IRQ</t>
  </si>
  <si>
    <t>Faisal I</t>
  </si>
  <si>
    <t>1885-05-20</t>
  </si>
  <si>
    <t>20may1885</t>
  </si>
  <si>
    <t>https://urldefense.proofpoint.com/v2/url?u=http-3A__dbpedia.org_resource_Faisal-5FI-5Fof-5FIraq&amp;d=BQID-g&amp;c=kbmfwr1Yojg42sGEpaQh5ofMHBeTl9EI2eaqQZhHbOU&amp;r=ZliGVSRwfirWoETOrKCh2RSnoygzVPWEk95Me9L-Kwo&amp;m=EaKyFx9mpkhPdFxsxzvW_fiM3jbYwM3xYLjVbSFoDAg&amp;s=R7Pxen7-sPKKGXKw5oOpOWdERsboMu4KsAMtw70nW6M&amp;e=</t>
  </si>
  <si>
    <t>38骞?340</t>
  </si>
  <si>
    <t>IRQ-1933</t>
  </si>
  <si>
    <t>823dd8f9-1e42-11e4-b4cd-db5882bf8def</t>
  </si>
  <si>
    <t>Ghazi</t>
  </si>
  <si>
    <t>https://urldefense.proofpoint.com/v2/url?u=http-3A__dbpedia.org_resource_Ghazi-5Fof-5FIraq&amp;d=BQID-g&amp;c=kbmfwr1Yojg42sGEpaQh5ofMHBeTl9EI2eaqQZhHbOU&amp;r=ZliGVSRwfirWoETOrKCh2RSnoygzVPWEk95Me9L-Kwo&amp;m=EaKyFx9mpkhPdFxsxzvW_fiM3jbYwM3xYLjVbSFoDAg&amp;s=mLlzUU7TgYaVgwp7P-Dm7VEv89wkNs5wuAjqiC513IA&amp;e=</t>
  </si>
  <si>
    <t>38骞?2034</t>
  </si>
  <si>
    <t>IRQ-1939</t>
  </si>
  <si>
    <t>823dd8fa-1e42-11e4-b4cd-db5882bf8def</t>
  </si>
  <si>
    <t>Abdul-Ilah</t>
  </si>
  <si>
    <t>38骞?5142</t>
  </si>
  <si>
    <t>IRQ-1953</t>
  </si>
  <si>
    <t>823dd8fb-1e42-11e4-b4cd-db5882bf8def</t>
  </si>
  <si>
    <t>Faisal II</t>
  </si>
  <si>
    <t>https://urldefense.proofpoint.com/v2/url?u=http-3A__dbpedia.org_resource_Faisal-5FII-5Fof-5FIraq&amp;d=BQID-g&amp;c=kbmfwr1Yojg42sGEpaQh5ofMHBeTl9EI2eaqQZhHbOU&amp;r=ZliGVSRwfirWoETOrKCh2RSnoygzVPWEk95Me9L-Kwo&amp;m=EaKyFx9mpkhPdFxsxzvW_fiM3jbYwM3xYLjVbSFoDAg&amp;s=CQyY6xGrJ4UhblASxe8T2PGNqIsIZNHMgkg1XLqtUDI&amp;e=</t>
  </si>
  <si>
    <t>38骞?1899</t>
  </si>
  <si>
    <t>IRQ-1958</t>
  </si>
  <si>
    <t>823dd8fc-1e42-11e4-b4cd-db5882bf8def</t>
  </si>
  <si>
    <t>Karrim Kassem</t>
  </si>
  <si>
    <t>38骞?1670</t>
  </si>
  <si>
    <t>IRQ-1963</t>
  </si>
  <si>
    <t>823dd8fd-1e42-11e4-b4cd-db5882bf8def</t>
  </si>
  <si>
    <t>Salem Aref</t>
  </si>
  <si>
    <t>https://urldefense.proofpoint.com/v2/url?u=http-3A__dbpedia.org_resource_Abdul-5FSalam-5FArif&amp;d=BQID-g&amp;c=kbmfwr1Yojg42sGEpaQh5ofMHBeTl9EI2eaqQZhHbOU&amp;r=ZliGVSRwfirWoETOrKCh2RSnoygzVPWEk95Me9L-Kwo&amp;m=EaKyFx9mpkhPdFxsxzvW_fiM3jbYwM3xYLjVbSFoDAg&amp;s=NuZFh4lzfepnpbsjACL_gpzvS0JeHDgRtVZPXVUwruY&amp;e=</t>
  </si>
  <si>
    <t>Brother of Rahmen Aref%823e09cc-1e42-11e4-b4cd-db5882bf8def</t>
  </si>
  <si>
    <t>38骞?1160</t>
  </si>
  <si>
    <t>IRQ-1966</t>
  </si>
  <si>
    <t>823e09cc-1e42-11e4-b4cd-db5882bf8def</t>
  </si>
  <si>
    <t>Rahmen Aref</t>
  </si>
  <si>
    <t>Brother of Salem Aref%823dd8fd-1e42-11e4-b4cd-db5882bf8def</t>
  </si>
  <si>
    <t>38骞?822</t>
  </si>
  <si>
    <t>IRQ-1968</t>
  </si>
  <si>
    <t>823e09cd-1e42-11e4-b4cd-db5882bf8def</t>
  </si>
  <si>
    <t>Hassan Al-Bakr</t>
  </si>
  <si>
    <t>https://urldefense.proofpoint.com/v2/url?u=http-3A__dbpedia.org_resource_Ahmed-5FHassan-5Fal-2DBakr&amp;d=BQID-g&amp;c=kbmfwr1Yojg42sGEpaQh5ofMHBeTl9EI2eaqQZhHbOU&amp;r=ZliGVSRwfirWoETOrKCh2RSnoygzVPWEk95Me9L-Kwo&amp;m=EaKyFx9mpkhPdFxsxzvW_fiM3jbYwM3xYLjVbSFoDAg&amp;s=RoKa6FnZKMhwh2IZu4wGfpE5bmcZuI7yt_iLvhfLhcI&amp;e=</t>
  </si>
  <si>
    <t>Cousin of Saddam Hussein%823e3aa0-1e42-11e4-b4cd-db5882bf8def</t>
  </si>
  <si>
    <t>38骞?4016</t>
  </si>
  <si>
    <t>IRQ-1979</t>
  </si>
  <si>
    <t>823e3aa0-1e42-11e4-b4cd-db5882bf8def</t>
  </si>
  <si>
    <t>Saddam Hussein</t>
  </si>
  <si>
    <t>https://urldefense.proofpoint.com/v2/url?u=http-3A__dbpedia.org_resource_Saddam-5FHussein&amp;d=BQID-g&amp;c=kbmfwr1Yojg42sGEpaQh5ofMHBeTl9EI2eaqQZhHbOU&amp;r=ZliGVSRwfirWoETOrKCh2RSnoygzVPWEk95Me9L-Kwo&amp;m=EaKyFx9mpkhPdFxsxzvW_fiM3jbYwM3xYLjVbSFoDAg&amp;s=gUpp2iNgYNCGpBUd0MADEEoBJn7dKN-oIT92B4earr4&amp;e=</t>
  </si>
  <si>
    <t>Cousin of Hassan Al-Bakr%823e09cd-1e42-11e4-b4cd-db5882bf8def</t>
  </si>
  <si>
    <t>38骞?8668</t>
  </si>
  <si>
    <t>IRQ-2003-1</t>
  </si>
  <si>
    <t>823e3aa1-1e42-11e4-b4cd-db5882bf8def</t>
  </si>
  <si>
    <t>Tommy Ray Franks</t>
  </si>
  <si>
    <t>38骞?12</t>
  </si>
  <si>
    <t>IRQ-2003-2</t>
  </si>
  <si>
    <t>823e3aa2-1e42-11e4-b4cd-db5882bf8def</t>
  </si>
  <si>
    <t>Jay Garner</t>
  </si>
  <si>
    <t>38骞?21</t>
  </si>
  <si>
    <t>IRQ-2003-3</t>
  </si>
  <si>
    <t>823e6b74-1e42-11e4-b4cd-db5882bf8def</t>
  </si>
  <si>
    <t>Paul Bremer</t>
  </si>
  <si>
    <t>38骞?413</t>
  </si>
  <si>
    <t>IRQ-2004</t>
  </si>
  <si>
    <t>823e6b75-1e42-11e4-b4cd-db5882bf8def</t>
  </si>
  <si>
    <t>Iyad Allawi</t>
  </si>
  <si>
    <t>38骞?309</t>
  </si>
  <si>
    <t>IRQ-2005</t>
  </si>
  <si>
    <t>82545b2b-1e42-11e4-b4cd-db5882bf8def</t>
  </si>
  <si>
    <t>al-Jaafari</t>
  </si>
  <si>
    <t>38骞?382</t>
  </si>
  <si>
    <t>IRQ-2006</t>
  </si>
  <si>
    <t>82545b2c-1e42-11e4-b4cd-db5882bf8def</t>
  </si>
  <si>
    <t>al-Maliki</t>
  </si>
  <si>
    <t>38骞?3033</t>
  </si>
  <si>
    <t>IRQ-2014</t>
  </si>
  <si>
    <t>14a011a0-aae0-11e4-b3bc-29f2fa19767e</t>
  </si>
  <si>
    <t>al-Abadi</t>
  </si>
  <si>
    <t>38骞?479</t>
  </si>
  <si>
    <t>EGY-1922</t>
  </si>
  <si>
    <t>823e6b76-1e42-11e4-b4cd-db5882bf8def</t>
  </si>
  <si>
    <t>EGY</t>
  </si>
  <si>
    <t>Fuad I</t>
  </si>
  <si>
    <t>1868-03-26</t>
  </si>
  <si>
    <t>26mar1868</t>
  </si>
  <si>
    <t>https://urldefense.proofpoint.com/v2/url?u=http-3A__dbpedia.org_resource_Fuad-5FI-5Fof-5FEgypt&amp;d=BQID-g&amp;c=kbmfwr1Yojg42sGEpaQh5ofMHBeTl9EI2eaqQZhHbOU&amp;r=ZliGVSRwfirWoETOrKCh2RSnoygzVPWEk95Me9L-Kwo&amp;m=EaKyFx9mpkhPdFxsxzvW_fiM3jbYwM3xYLjVbSFoDAg&amp;s=GqdxpMx2aNeT6oU1rMnN2mivaG-zkmQpW5WvSjGuvzw&amp;e=</t>
  </si>
  <si>
    <t>20骞?5173</t>
  </si>
  <si>
    <t>EGY-1936</t>
  </si>
  <si>
    <t>823e9c48-1e42-11e4-b4cd-db5882bf8def</t>
  </si>
  <si>
    <t>Farouk</t>
  </si>
  <si>
    <t>https://urldefense.proofpoint.com/v2/url?u=http-3A__dbpedia.org_resource_Farouk-5Fof-5FEgypt&amp;d=BQID-g&amp;c=kbmfwr1Yojg42sGEpaQh5ofMHBeTl9EI2eaqQZhHbOU&amp;r=ZliGVSRwfirWoETOrKCh2RSnoygzVPWEk95Me9L-Kwo&amp;m=EaKyFx9mpkhPdFxsxzvW_fiM3jbYwM3xYLjVbSFoDAg&amp;s=oQYgyj4BATEIcsjEj1IZtaPAIhHQGAcWsFmfh_0hPDQ&amp;e=</t>
  </si>
  <si>
    <t>20骞?5929</t>
  </si>
  <si>
    <t>EGY-1952</t>
  </si>
  <si>
    <t>823e9c49-1e42-11e4-b4cd-db5882bf8def</t>
  </si>
  <si>
    <t>Naguib</t>
  </si>
  <si>
    <t>https://urldefense.proofpoint.com/v2/url?u=http-3A__dbpedia.org_resource_Muhammad-5FNaguib&amp;d=BQID-g&amp;c=kbmfwr1Yojg42sGEpaQh5ofMHBeTl9EI2eaqQZhHbOU&amp;r=ZliGVSRwfirWoETOrKCh2RSnoygzVPWEk95Me9L-Kwo&amp;m=EaKyFx9mpkhPdFxsxzvW_fiM3jbYwM3xYLjVbSFoDAg&amp;s=DBfblaTFQFJwl4UezZ2Pc-rwFe1mVqxhF9aI688cmjE&amp;e=</t>
  </si>
  <si>
    <t>20骞?844</t>
  </si>
  <si>
    <t>EGY-1954</t>
  </si>
  <si>
    <t>823e9c4a-1e42-11e4-b4cd-db5882bf8def</t>
  </si>
  <si>
    <t>Nasser</t>
  </si>
  <si>
    <t>https://urldefense.proofpoint.com/v2/url?u=http-3A__dbpedia.org_resource_Gamal-5FAbdel-5FNasser&amp;d=BQID-g&amp;c=kbmfwr1Yojg42sGEpaQh5ofMHBeTl9EI2eaqQZhHbOU&amp;r=ZliGVSRwfirWoETOrKCh2RSnoygzVPWEk95Me9L-Kwo&amp;m=EaKyFx9mpkhPdFxsxzvW_fiM3jbYwM3xYLjVbSFoDAg&amp;s=0SIi1cq6ejWpDT_Vof-fBGbxuBReyquW9H3xW5N55fk&amp;e=</t>
  </si>
  <si>
    <t>20骞?5794</t>
  </si>
  <si>
    <t>EGY-1970</t>
  </si>
  <si>
    <t>823ecd1c-1e42-11e4-b4cd-db5882bf8def</t>
  </si>
  <si>
    <t>Sadat</t>
  </si>
  <si>
    <t>https://urldefense.proofpoint.com/v2/url?u=http-3A__dbpedia.org_resource_Anwar-5FEl-5FSadat&amp;d=BQID-g&amp;c=kbmfwr1Yojg42sGEpaQh5ofMHBeTl9EI2eaqQZhHbOU&amp;r=ZliGVSRwfirWoETOrKCh2RSnoygzVPWEk95Me9L-Kwo&amp;m=EaKyFx9mpkhPdFxsxzvW_fiM3jbYwM3xYLjVbSFoDAg&amp;s=gxT6547Yb2T1K8fB0DPm323LpRtlnoXBWKCze6Hp9DA&amp;e=</t>
  </si>
  <si>
    <t>20骞?4026</t>
  </si>
  <si>
    <t>EGY-1981</t>
  </si>
  <si>
    <t>823ecd1d-1e42-11e4-b4cd-db5882bf8def</t>
  </si>
  <si>
    <t>Mubarak</t>
  </si>
  <si>
    <t>20骞?10712</t>
  </si>
  <si>
    <t>EGY-2011</t>
  </si>
  <si>
    <t>82545b2d-1e42-11e4-b4cd-db5882bf8def</t>
  </si>
  <si>
    <t>Tantawi</t>
  </si>
  <si>
    <t>20骞?505</t>
  </si>
  <si>
    <t>EGY-2012</t>
  </si>
  <si>
    <t>14a011a1-aae0-11e4-b3bc-29f2fa19767e</t>
  </si>
  <si>
    <t>Morsi</t>
  </si>
  <si>
    <t>20骞?368</t>
  </si>
  <si>
    <t>EGY-2013</t>
  </si>
  <si>
    <t>2b3c6721-3481-11e4-8dba-bbcd9ed46413</t>
  </si>
  <si>
    <t>Mansour</t>
  </si>
  <si>
    <t>20骞?339</t>
  </si>
  <si>
    <t>EGY-2014</t>
  </si>
  <si>
    <t>14a011a2-aae0-11e4-b3bc-29f2fa19767e</t>
  </si>
  <si>
    <t>al-Sisi</t>
  </si>
  <si>
    <t>20骞?571</t>
  </si>
  <si>
    <t>SYR-1943</t>
  </si>
  <si>
    <t>823efdf0-1e42-11e4-b4cd-db5882bf8def</t>
  </si>
  <si>
    <t>SYR</t>
  </si>
  <si>
    <t>Kuwatli</t>
  </si>
  <si>
    <t>11骞?2052</t>
  </si>
  <si>
    <t>SYR-1949-1</t>
  </si>
  <si>
    <t>823efdf1-1e42-11e4-b4cd-db5882bf8def</t>
  </si>
  <si>
    <t>Al-Zaim</t>
  </si>
  <si>
    <t>11骞?136</t>
  </si>
  <si>
    <t>SYR-1949-2</t>
  </si>
  <si>
    <t>823efdf2-1e42-11e4-b4cd-db5882bf8def</t>
  </si>
  <si>
    <t>Hinnawi</t>
  </si>
  <si>
    <t>11骞?128</t>
  </si>
  <si>
    <t>SYR-1949-3</t>
  </si>
  <si>
    <t>823f2ece-1e42-11e4-b4cd-db5882bf8def</t>
  </si>
  <si>
    <t>Shishakli</t>
  </si>
  <si>
    <t>11骞?1532</t>
  </si>
  <si>
    <t>SYR-1954</t>
  </si>
  <si>
    <t>19b804b8-3bbd-11e5-afeb-eb6f07f9fec7</t>
  </si>
  <si>
    <t>Atassi, H.</t>
  </si>
  <si>
    <t>https://urldefense.proofpoint.com/v2/url?u=http-3A__dbpedia.org_resource_Hashim-5Fal-2DAtassi&amp;d=BQID-g&amp;c=kbmfwr1Yojg42sGEpaQh5ofMHBeTl9EI2eaqQZhHbOU&amp;r=ZliGVSRwfirWoETOrKCh2RSnoygzVPWEk95Me9L-Kwo&amp;m=EaKyFx9mpkhPdFxsxzvW_fiM3jbYwM3xYLjVbSFoDAg&amp;s=AzIum1XmyL-E277Ave6R17yC8ZA-qx4vEI83Q8O2IOA&amp;e=</t>
  </si>
  <si>
    <t>11骞?555</t>
  </si>
  <si>
    <t>SYR-1955</t>
  </si>
  <si>
    <t>11骞?879</t>
  </si>
  <si>
    <t>SYR-1958</t>
  </si>
  <si>
    <t>823f2ecf-1e42-11e4-b4cd-db5882bf8def</t>
  </si>
  <si>
    <t>Nasser (president of UAR)</t>
  </si>
  <si>
    <t>11骞?1335</t>
  </si>
  <si>
    <t>SYR-1961-1</t>
  </si>
  <si>
    <t>823f2ed0-1e42-11e4-b4cd-db5882bf8def</t>
  </si>
  <si>
    <t>Al-kuzbari</t>
  </si>
  <si>
    <t>11骞?64</t>
  </si>
  <si>
    <t>SYR-1961-2</t>
  </si>
  <si>
    <t>823f5fa2-1e42-11e4-b4cd-db5882bf8def</t>
  </si>
  <si>
    <t>El-Kudsi</t>
  </si>
  <si>
    <t>https://urldefense.proofpoint.com/v2/url?u=http-3A__dbpedia.org_resource_Nazim-5Fal-2DKudsi&amp;d=BQID-g&amp;c=kbmfwr1Yojg42sGEpaQh5ofMHBeTl9EI2eaqQZhHbOU&amp;r=ZliGVSRwfirWoETOrKCh2RSnoygzVPWEk95Me9L-Kwo&amp;m=EaKyFx9mpkhPdFxsxzvW_fiM3jbYwM3xYLjVbSFoDAg&amp;s=rYxJa6xjxBiRVoVbsMpsUr46xKusEiTU3Bu1x8hlV1E&amp;e=</t>
  </si>
  <si>
    <t>11骞?117</t>
  </si>
  <si>
    <t>SYR-1962-1</t>
  </si>
  <si>
    <t>823f5fa3-1e42-11e4-b4cd-db5882bf8def</t>
  </si>
  <si>
    <t>Zahreddin</t>
  </si>
  <si>
    <t>11骞?16</t>
  </si>
  <si>
    <t>SYR-1962-2</t>
  </si>
  <si>
    <t>11骞?329</t>
  </si>
  <si>
    <t>SYR-1963-1</t>
  </si>
  <si>
    <t>823f9076-1e42-11e4-b4cd-db5882bf8def</t>
  </si>
  <si>
    <t>Atassi, L.</t>
  </si>
  <si>
    <t>11骞?140</t>
  </si>
  <si>
    <t>SYR-1963-2</t>
  </si>
  <si>
    <t>823f9077-1e42-11e4-b4cd-db5882bf8def</t>
  </si>
  <si>
    <t>Al-Hafiz</t>
  </si>
  <si>
    <t>11骞?944</t>
  </si>
  <si>
    <t>SYR-1966</t>
  </si>
  <si>
    <t>823f9078-1e42-11e4-b4cd-db5882bf8def</t>
  </si>
  <si>
    <t>El-Atassi, N.</t>
  </si>
  <si>
    <t>https://urldefense.proofpoint.com/v2/url?u=http-3A__dbpedia.org_resource_Nureddin-5Fal-2DAtassi&amp;d=BQID-g&amp;c=kbmfwr1Yojg42sGEpaQh5ofMHBeTl9EI2eaqQZhHbOU&amp;r=ZliGVSRwfirWoETOrKCh2RSnoygzVPWEk95Me9L-Kwo&amp;m=EaKyFx9mpkhPdFxsxzvW_fiM3jbYwM3xYLjVbSFoDAg&amp;s=jiMe49zBHFPZJpjh_ce82sBu2-bcWjrHD7MW7i9hb8g&amp;e=</t>
  </si>
  <si>
    <t>11骞?1722</t>
  </si>
  <si>
    <t>SYR-1970</t>
  </si>
  <si>
    <t>823fc14a-1e42-11e4-b4cd-db5882bf8def</t>
  </si>
  <si>
    <t>Al-Khatib</t>
  </si>
  <si>
    <t>11骞?96</t>
  </si>
  <si>
    <t>SYR-1971</t>
  </si>
  <si>
    <t>823fc14b-1e42-11e4-b4cd-db5882bf8def</t>
  </si>
  <si>
    <t>Al-Assad H.</t>
  </si>
  <si>
    <t>https://urldefense.proofpoint.com/v2/url?u=http-3A__dbpedia.org_resource_Hafez-5Fal-2DAssad&amp;d=BQID-g&amp;c=kbmfwr1Yojg42sGEpaQh5ofMHBeTl9EI2eaqQZhHbOU&amp;r=ZliGVSRwfirWoETOrKCh2RSnoygzVPWEk95Me9L-Kwo&amp;m=EaKyFx9mpkhPdFxsxzvW_fiM3jbYwM3xYLjVbSFoDAg&amp;s=o0C8a0ooBkAW1C5-HXNwVIFTgrcDPpPGT2BmsSe791w&amp;e=</t>
  </si>
  <si>
    <t>Father of Bashar al-Assad%823fc14c-1e42-11e4-b4cd-db5882bf8def</t>
  </si>
  <si>
    <t>11骞?10701</t>
  </si>
  <si>
    <t>SYR-2000</t>
  </si>
  <si>
    <t>823fc14c-1e42-11e4-b4cd-db5882bf8def</t>
  </si>
  <si>
    <t>Bashar al-Assad</t>
  </si>
  <si>
    <t>Son of Al-Assad H.%823fc14b-1e42-11e4-b4cd-db5882bf8def</t>
  </si>
  <si>
    <t>11骞?5681</t>
  </si>
  <si>
    <t>LEB-1943</t>
  </si>
  <si>
    <t>197926f8-3bbd-11e5-afeb-eb6f07f9fec7</t>
  </si>
  <si>
    <t>LEB</t>
  </si>
  <si>
    <t>EL Khoury</t>
  </si>
  <si>
    <t>Relative-in-law of Moawad%823ff223-1e42-11e4-b4cd-db5882bf8def</t>
  </si>
  <si>
    <t>13骞?3223</t>
  </si>
  <si>
    <t>LEB-1952-1</t>
  </si>
  <si>
    <t>823fc14d-1e42-11e4-b4cd-db5882bf8def</t>
  </si>
  <si>
    <t>Chebab</t>
  </si>
  <si>
    <t>13骞?4</t>
  </si>
  <si>
    <t>LEB-1952-2</t>
  </si>
  <si>
    <t>823fc14e-1e42-11e4-b4cd-db5882bf8def</t>
  </si>
  <si>
    <t>Chamoun</t>
  </si>
  <si>
    <t>https://urldefense.proofpoint.com/v2/url?u=http-3A__dbpedia.org_resource_Camille-5FChamoun&amp;d=BQID-g&amp;c=kbmfwr1Yojg42sGEpaQh5ofMHBeTl9EI2eaqQZhHbOU&amp;r=ZliGVSRwfirWoETOrKCh2RSnoygzVPWEk95Me9L-Kwo&amp;m=EaKyFx9mpkhPdFxsxzvW_fiM3jbYwM3xYLjVbSFoDAg&amp;s=FBUmd-DZ6ZaMwaUZtv3N-aqQW5MGAe4bJsWrZUUvsCs&amp;e=</t>
  </si>
  <si>
    <t>13骞?2191</t>
  </si>
  <si>
    <t>LEB-1958</t>
  </si>
  <si>
    <t>19794e08-3bbd-11e5-afeb-eb6f07f9fec7</t>
  </si>
  <si>
    <t>Chehab</t>
  </si>
  <si>
    <t>13骞?2192</t>
  </si>
  <si>
    <t>LEB-1964</t>
  </si>
  <si>
    <t>823ff21e-1e42-11e4-b4cd-db5882bf8def</t>
  </si>
  <si>
    <t>Helou</t>
  </si>
  <si>
    <t>LEB-1970</t>
  </si>
  <si>
    <t>823ff21f-1e42-11e4-b4cd-db5882bf8def</t>
  </si>
  <si>
    <t>Franjieh</t>
  </si>
  <si>
    <t>LEB-1976</t>
  </si>
  <si>
    <t>823ff220-1e42-11e4-b4cd-db5882bf8def</t>
  </si>
  <si>
    <t>Sarkis</t>
  </si>
  <si>
    <t>LEB-1982</t>
  </si>
  <si>
    <t>823ff221-1e42-11e4-b4cd-db5882bf8def</t>
  </si>
  <si>
    <t>Gemayel, Amin</t>
  </si>
  <si>
    <t>LEB-1988</t>
  </si>
  <si>
    <t>823ff222-1e42-11e4-b4cd-db5882bf8def</t>
  </si>
  <si>
    <t>Aoun</t>
  </si>
  <si>
    <t>https://urldefense.proofpoint.com/v2/url?u=http-3A__dbpedia.org_resource_Michel-5FAoun&amp;d=BQID-g&amp;c=kbmfwr1Yojg42sGEpaQh5ofMHBeTl9EI2eaqQZhHbOU&amp;r=ZliGVSRwfirWoETOrKCh2RSnoygzVPWEk95Me9L-Kwo&amp;m=EaKyFx9mpkhPdFxsxzvW_fiM3jbYwM3xYLjVbSFoDAg&amp;s=10CsNh_DxPMi4FHp4Q0BSSCAqQ9sPcZ_t_njGc-wHJg&amp;e=</t>
  </si>
  <si>
    <t>13骞?408</t>
  </si>
  <si>
    <t>LEB-1989-1</t>
  </si>
  <si>
    <t>823ff223-1e42-11e4-b4cd-db5882bf8def</t>
  </si>
  <si>
    <t>Moawad</t>
  </si>
  <si>
    <t>https://urldefense.proofpoint.com/v2/url?u=http-3A__dbpedia.org_resource_Ren-25C3-25A9-5FMoawad&amp;d=BQID-g&amp;c=kbmfwr1Yojg42sGEpaQh5ofMHBeTl9EI2eaqQZhHbOU&amp;r=ZliGVSRwfirWoETOrKCh2RSnoygzVPWEk95Me9L-Kwo&amp;m=EaKyFx9mpkhPdFxsxzvW_fiM3jbYwM3xYLjVbSFoDAg&amp;s=OmtuS8zHrkXEbfQ00y4Q2TPltL98pIdm4B3wQuLu6cQ&amp;e=</t>
  </si>
  <si>
    <t>Relative-in-law of EL Khoury%197926f8-3bbd-11e5-afeb-eb6f07f9fec7</t>
  </si>
  <si>
    <t>13骞?17</t>
  </si>
  <si>
    <t>LEB-1989-2</t>
  </si>
  <si>
    <t>824022f2-1e42-11e4-b4cd-db5882bf8def</t>
  </si>
  <si>
    <t>Elias Hrawi</t>
  </si>
  <si>
    <t>13骞?3288</t>
  </si>
  <si>
    <t>LEB-1998</t>
  </si>
  <si>
    <t>824022f3-1e42-11e4-b4cd-db5882bf8def</t>
  </si>
  <si>
    <t>Emile Lahoud</t>
  </si>
  <si>
    <t>13骞?3286</t>
  </si>
  <si>
    <t>LEB-2007</t>
  </si>
  <si>
    <t>82548bfc-1e42-11e4-b4cd-db5882bf8def</t>
  </si>
  <si>
    <t>Siniora</t>
  </si>
  <si>
    <t>13骞?184</t>
  </si>
  <si>
    <t>LEB-2008</t>
  </si>
  <si>
    <t>82548bfd-1e42-11e4-b4cd-db5882bf8def</t>
  </si>
  <si>
    <t>Suleiman</t>
  </si>
  <si>
    <t>13骞?2190</t>
  </si>
  <si>
    <t>LEB-2014</t>
  </si>
  <si>
    <t>14a011a3-aae0-11e4-b3bc-29f2fa19767e</t>
  </si>
  <si>
    <t>Salam</t>
  </si>
  <si>
    <t>13骞?586</t>
  </si>
  <si>
    <t>JOR-1921</t>
  </si>
  <si>
    <t>824022f4-1e42-11e4-b4cd-db5882bf8def</t>
  </si>
  <si>
    <t>JOR</t>
  </si>
  <si>
    <t>Abdullah Al-Hussein</t>
  </si>
  <si>
    <t>Father of Abdullah El-Hashim%824053c6-1e42-11e4-b4cd-db5882bf8def</t>
  </si>
  <si>
    <t>JOR-1951-1</t>
  </si>
  <si>
    <t>824053c6-1e42-11e4-b4cd-db5882bf8def</t>
  </si>
  <si>
    <t>Abdullah El-Hashim</t>
  </si>
  <si>
    <t>Son of Abdullah Al-Hussein%824022f4-1e42-11e4-b4cd-db5882bf8def</t>
  </si>
  <si>
    <t>JOR-1951-2</t>
  </si>
  <si>
    <t>824053c7-1e42-11e4-b4cd-db5882bf8def</t>
  </si>
  <si>
    <t>Ibn Abdullah-Hashim</t>
  </si>
  <si>
    <t>JOR-1952</t>
  </si>
  <si>
    <t>824053c8-1e42-11e4-b4cd-db5882bf8def</t>
  </si>
  <si>
    <t>Hussein Ibn Talal El-Hashim</t>
  </si>
  <si>
    <t>https://urldefense.proofpoint.com/v2/url?u=http-3A__dbpedia.org_resource_Hussein-5Fof-5FJordan&amp;d=BQID-g&amp;c=kbmfwr1Yojg42sGEpaQh5ofMHBeTl9EI2eaqQZhHbOU&amp;r=ZliGVSRwfirWoETOrKCh2RSnoygzVPWEk95Me9L-Kwo&amp;m=EaKyFx9mpkhPdFxsxzvW_fiM3jbYwM3xYLjVbSFoDAg&amp;s=TqB5i69YM6KgSdFU3r6rY5kG-RZx_41T5Td8cZZ20-o&amp;e=</t>
  </si>
  <si>
    <t>JOR-1999</t>
  </si>
  <si>
    <t>8240849a-1e42-11e4-b4cd-db5882bf8def</t>
  </si>
  <si>
    <t>Abdullah Ibn Hussein El-Hashimi</t>
  </si>
  <si>
    <t>ISR-1948</t>
  </si>
  <si>
    <t>8240849b-1e42-11e4-b4cd-db5882bf8def</t>
  </si>
  <si>
    <t>ISR</t>
  </si>
  <si>
    <t>Ben Gurion</t>
  </si>
  <si>
    <t>1886-10-16</t>
  </si>
  <si>
    <t>16oct1886</t>
  </si>
  <si>
    <t>11骞?2034</t>
  </si>
  <si>
    <t>ISR-1953</t>
  </si>
  <si>
    <t>8240849c-1e42-11e4-b4cd-db5882bf8def</t>
  </si>
  <si>
    <t>Sharett</t>
  </si>
  <si>
    <t>1894-10-15</t>
  </si>
  <si>
    <t>15oct1894</t>
  </si>
  <si>
    <t>https://urldefense.proofpoint.com/v2/url?u=http-3A__dbpedia.org_resource_Moshe-5FSharett&amp;d=BQID-g&amp;c=kbmfwr1Yojg42sGEpaQh5ofMHBeTl9EI2eaqQZhHbOU&amp;r=ZliGVSRwfirWoETOrKCh2RSnoygzVPWEk95Me9L-Kwo&amp;m=EaKyFx9mpkhPdFxsxzvW_fiM3jbYwM3xYLjVbSFoDAg&amp;s=LZc6L3BmSvIFVFVO3blkP3bF-IABXFy7Qb3ODVWfmkg&amp;e=</t>
  </si>
  <si>
    <t>11骞?695</t>
  </si>
  <si>
    <t>ISR-1955</t>
  </si>
  <si>
    <t>11骞?2782</t>
  </si>
  <si>
    <t>ISR-1963</t>
  </si>
  <si>
    <t>8240b56e-1e42-11e4-b4cd-db5882bf8def</t>
  </si>
  <si>
    <t>Eshkol</t>
  </si>
  <si>
    <t>https://urldefense.proofpoint.com/v2/url?u=http-3A__dbpedia.org_resource_Levi-5FEshkol&amp;d=BQID-g&amp;c=kbmfwr1Yojg42sGEpaQh5ofMHBeTl9EI2eaqQZhHbOU&amp;r=ZliGVSRwfirWoETOrKCh2RSnoygzVPWEk95Me9L-Kwo&amp;m=EaKyFx9mpkhPdFxsxzvW_fiM3jbYwM3xYLjVbSFoDAg&amp;s=Qs-9zeHTUTIFjrAZGCngZCoGXgprmljEQ7MfsT_7iIc&amp;e=</t>
  </si>
  <si>
    <t>11骞?2079</t>
  </si>
  <si>
    <t>ISR-1969-1</t>
  </si>
  <si>
    <t>8240b56f-1e42-11e4-b4cd-db5882bf8def</t>
  </si>
  <si>
    <t>Allon</t>
  </si>
  <si>
    <t>11骞?19</t>
  </si>
  <si>
    <t>ISR-1969-2</t>
  </si>
  <si>
    <t>8240b570-1e42-11e4-b4cd-db5882bf8def</t>
  </si>
  <si>
    <t>Meir</t>
  </si>
  <si>
    <t>1898-05-03</t>
  </si>
  <si>
    <t>03may1898</t>
  </si>
  <si>
    <t>https://urldefense.proofpoint.com/v2/url?u=http-3A__dbpedia.org_resource_Golda-5FMeir&amp;d=BQID-g&amp;c=kbmfwr1Yojg42sGEpaQh5ofMHBeTl9EI2eaqQZhHbOU&amp;r=ZliGVSRwfirWoETOrKCh2RSnoygzVPWEk95Me9L-Kwo&amp;m=EaKyFx9mpkhPdFxsxzvW_fiM3jbYwM3xYLjVbSFoDAg&amp;s=lvmJStTL5cDLVsRheLU7lO5A3dWvb37l_EaiHvvmIHg&amp;e=</t>
  </si>
  <si>
    <t>11骞?1904</t>
  </si>
  <si>
    <t>ISR-1974</t>
  </si>
  <si>
    <t>8240e642-1e42-11e4-b4cd-db5882bf8def</t>
  </si>
  <si>
    <t>Rabin</t>
  </si>
  <si>
    <t>https://urldefense.proofpoint.com/v2/url?u=http-3A__dbpedia.org_resource_Yitzhak-5FRabin&amp;d=BQID-g&amp;c=kbmfwr1Yojg42sGEpaQh5ofMHBeTl9EI2eaqQZhHbOU&amp;r=ZliGVSRwfirWoETOrKCh2RSnoygzVPWEk95Me9L-Kwo&amp;m=EaKyFx9mpkhPdFxsxzvW_fiM3jbYwM3xYLjVbSFoDAg&amp;s=SRhc6dRjnWiuN5LzoJwKfDMZrIhY-USkMaaJG-DeBDA&amp;e=</t>
  </si>
  <si>
    <t>11骞?1040</t>
  </si>
  <si>
    <t>ISR-1977-1</t>
  </si>
  <si>
    <t>8240e643-1e42-11e4-b4cd-db5882bf8def</t>
  </si>
  <si>
    <t>Peres</t>
  </si>
  <si>
    <t>https://urldefense.proofpoint.com/v2/url?u=http-3A__dbpedia.org_resource_Shimon-5FPeres&amp;d=BQID-g&amp;c=kbmfwr1Yojg42sGEpaQh5ofMHBeTl9EI2eaqQZhHbOU&amp;r=ZliGVSRwfirWoETOrKCh2RSnoygzVPWEk95Me9L-Kwo&amp;m=EaKyFx9mpkhPdFxsxzvW_fiM3jbYwM3xYLjVbSFoDAg&amp;s=XoihDqot2Bk5VBVUHdE8macMH6JewAyCVr4a2kHXxHg&amp;e=</t>
  </si>
  <si>
    <t>11骞?74</t>
  </si>
  <si>
    <t>ISR-1977-2</t>
  </si>
  <si>
    <t>82411720-1e42-11e4-b4cd-db5882bf8def</t>
  </si>
  <si>
    <t>Begin</t>
  </si>
  <si>
    <t>https://urldefense.proofpoint.com/v2/url?u=http-3A__dbpedia.org_resource_Menachem-5FBegin&amp;d=BQID-g&amp;c=kbmfwr1Yojg42sGEpaQh5ofMHBeTl9EI2eaqQZhHbOU&amp;r=ZliGVSRwfirWoETOrKCh2RSnoygzVPWEk95Me9L-Kwo&amp;m=EaKyFx9mpkhPdFxsxzvW_fiM3jbYwM3xYLjVbSFoDAg&amp;s=V30yDgxJN-Fqu7LW2kKhTC4GcihOEZgXTTmYpZojFq8&amp;e=</t>
  </si>
  <si>
    <t>11骞?2302</t>
  </si>
  <si>
    <t>ISR-1983</t>
  </si>
  <si>
    <t>82411721-1e42-11e4-b4cd-db5882bf8def</t>
  </si>
  <si>
    <t>Shamir</t>
  </si>
  <si>
    <t>11骞?340</t>
  </si>
  <si>
    <t>ISR-1984</t>
  </si>
  <si>
    <t>11骞?766</t>
  </si>
  <si>
    <t>ISR-1986</t>
  </si>
  <si>
    <t>11骞?2092</t>
  </si>
  <si>
    <t>ISR-1992</t>
  </si>
  <si>
    <t>11骞?1210</t>
  </si>
  <si>
    <t>ISR-1995</t>
  </si>
  <si>
    <t>11骞?227</t>
  </si>
  <si>
    <t>ISR-1996</t>
  </si>
  <si>
    <t>82411722-1e42-11e4-b4cd-db5882bf8def</t>
  </si>
  <si>
    <t>Netanyahu</t>
  </si>
  <si>
    <t>11骞?1113</t>
  </si>
  <si>
    <t>ISR-1999</t>
  </si>
  <si>
    <t>824147f4-1e42-11e4-b4cd-db5882bf8def</t>
  </si>
  <si>
    <t>Barak</t>
  </si>
  <si>
    <t>https://urldefense.proofpoint.com/v2/url?u=http-3A__dbpedia.org_resource_Ehud-5FBarak&amp;d=BQID-g&amp;c=kbmfwr1Yojg42sGEpaQh5ofMHBeTl9EI2eaqQZhHbOU&amp;r=ZliGVSRwfirWoETOrKCh2RSnoygzVPWEk95Me9L-Kwo&amp;m=EaKyFx9mpkhPdFxsxzvW_fiM3jbYwM3xYLjVbSFoDAg&amp;s=62BXxfWSzCgo2duvGN1rEVebbASXRodw6eS9EHamXKE&amp;e=</t>
  </si>
  <si>
    <t>11骞?610</t>
  </si>
  <si>
    <t>ISR-2001</t>
  </si>
  <si>
    <t>824147f5-1e42-11e4-b4cd-db5882bf8def</t>
  </si>
  <si>
    <t>Ariel Sharon</t>
  </si>
  <si>
    <t>https://urldefense.proofpoint.com/v2/url?u=http-3A__dbpedia.org_resource_Ariel-5FSharon&amp;d=BQID-g&amp;c=kbmfwr1Yojg42sGEpaQh5ofMHBeTl9EI2eaqQZhHbOU&amp;r=ZliGVSRwfirWoETOrKCh2RSnoygzVPWEk95Me9L-Kwo&amp;m=EaKyFx9mpkhPdFxsxzvW_fiM3jbYwM3xYLjVbSFoDAg&amp;s=basI625QKzSy4UN8FWHkaqt5nsTFZ9czKXUEObFXKSE&amp;e=</t>
  </si>
  <si>
    <t>11骞?1763</t>
  </si>
  <si>
    <t>ISR-2006</t>
  </si>
  <si>
    <t>82548bfe-1e42-11e4-b4cd-db5882bf8def</t>
  </si>
  <si>
    <t>Olmert</t>
  </si>
  <si>
    <t>11骞?1182</t>
  </si>
  <si>
    <t>ISR-2009</t>
  </si>
  <si>
    <t>11骞?2466</t>
  </si>
  <si>
    <t>SAU-1927</t>
  </si>
  <si>
    <t>824147f6-1e42-11e4-b4cd-db5882bf8def</t>
  </si>
  <si>
    <t>SAU</t>
  </si>
  <si>
    <t>Aziz</t>
  </si>
  <si>
    <t>1882-10-21</t>
  </si>
  <si>
    <t>21oct1882</t>
  </si>
  <si>
    <t>Father of Saud%824178c8-1e42-11e4-b4cd-db5882bf8def</t>
  </si>
  <si>
    <t>32骞?9670</t>
  </si>
  <si>
    <t>SAU-1953</t>
  </si>
  <si>
    <t>824178c8-1e42-11e4-b4cd-db5882bf8def</t>
  </si>
  <si>
    <t>Saud</t>
  </si>
  <si>
    <t>Son of Aziz%824147f6-1e42-11e4-b4cd-db5882bf8def</t>
  </si>
  <si>
    <t>32骞?4011</t>
  </si>
  <si>
    <t>SAU-1964</t>
  </si>
  <si>
    <t>824178c9-1e42-11e4-b4cd-db5882bf8def</t>
  </si>
  <si>
    <t>Faisal</t>
  </si>
  <si>
    <t>32骞?3795</t>
  </si>
  <si>
    <t>SAU-1975</t>
  </si>
  <si>
    <t>824178ca-1e42-11e4-b4cd-db5882bf8def</t>
  </si>
  <si>
    <t>Khalid</t>
  </si>
  <si>
    <t>32骞?2637</t>
  </si>
  <si>
    <t>SAU-1982</t>
  </si>
  <si>
    <t>8241a99c-1e42-11e4-b4cd-db5882bf8def</t>
  </si>
  <si>
    <t>Fahd</t>
  </si>
  <si>
    <t>https://urldefense.proofpoint.com/v2/url?u=http-3A__dbpedia.org_resource_Fahd-5Fof-5FSaudi-5FArabia&amp;d=BQID-g&amp;c=kbmfwr1Yojg42sGEpaQh5ofMHBeTl9EI2eaqQZhHbOU&amp;r=ZliGVSRwfirWoETOrKCh2RSnoygzVPWEk95Me9L-Kwo&amp;m=EaKyFx9mpkhPdFxsxzvW_fiM3jbYwM3xYLjVbSFoDAg&amp;s=lc3JNtfp4hHnUhHoXAH3oUC-0mFKHYx9z_lkpjrRxVs&amp;e=</t>
  </si>
  <si>
    <t>32骞?4950</t>
  </si>
  <si>
    <t>SAU-1996</t>
  </si>
  <si>
    <t>8241a99d-1e42-11e4-b4cd-db5882bf8def</t>
  </si>
  <si>
    <t>Abdullah ibn Abdilaziz</t>
  </si>
  <si>
    <t>32骞?6962</t>
  </si>
  <si>
    <t>SAU-2015</t>
  </si>
  <si>
    <t>43fa7164-de6a-11e5-ba44-bb6d7c1a9a58</t>
  </si>
  <si>
    <t>Salman bin Abdulaziz Al Saud</t>
  </si>
  <si>
    <t>32骞?342</t>
  </si>
  <si>
    <t>YEM-1904</t>
  </si>
  <si>
    <t>8241a99e-1e42-11e4-b4cd-db5882bf8def</t>
  </si>
  <si>
    <t>YEM</t>
  </si>
  <si>
    <t>Yahya</t>
  </si>
  <si>
    <t>YEM-1948-1</t>
  </si>
  <si>
    <t>8241a99f-1e42-11e4-b4cd-db5882bf8def</t>
  </si>
  <si>
    <t>Ibn Ahmed Alwazir</t>
  </si>
  <si>
    <t>YEM-1948-2</t>
  </si>
  <si>
    <t>8241a9a0-1e42-11e4-b4cd-db5882bf8def</t>
  </si>
  <si>
    <t>Ibn Yahya Hamid</t>
  </si>
  <si>
    <t>YEM-1962-1</t>
  </si>
  <si>
    <t>8241da70-1e42-11e4-b4cd-db5882bf8def</t>
  </si>
  <si>
    <t>Al-Badr</t>
  </si>
  <si>
    <t>https://urldefense.proofpoint.com/v2/url?u=http-3A__dbpedia.org_resource_Muhammad-5Fal-2DBadr&amp;d=BQID-g&amp;c=kbmfwr1Yojg42sGEpaQh5ofMHBeTl9EI2eaqQZhHbOU&amp;r=ZliGVSRwfirWoETOrKCh2RSnoygzVPWEk95Me9L-Kwo&amp;m=EaKyFx9mpkhPdFxsxzvW_fiM3jbYwM3xYLjVbSFoDAg&amp;s=GStEDDoIeUJVXcd9bLcA07X-wB51D3jursn5imS0460&amp;e=</t>
  </si>
  <si>
    <t>YEM-1962-2</t>
  </si>
  <si>
    <t>8241da71-1e42-11e4-b4cd-db5882bf8def</t>
  </si>
  <si>
    <t>AL-Sallal</t>
  </si>
  <si>
    <t>YEM-1967</t>
  </si>
  <si>
    <t>8241da72-1e42-11e4-b4cd-db5882bf8def</t>
  </si>
  <si>
    <t>Al-Iryani</t>
  </si>
  <si>
    <t>YEM-1974</t>
  </si>
  <si>
    <t>8241da73-1e42-11e4-b4cd-db5882bf8def</t>
  </si>
  <si>
    <t>Al-Hamadi</t>
  </si>
  <si>
    <t>YEM-1977</t>
  </si>
  <si>
    <t>8241da74-1e42-11e4-b4cd-db5882bf8def</t>
  </si>
  <si>
    <t>Al-Ghashmi</t>
  </si>
  <si>
    <t>YEM-1978</t>
  </si>
  <si>
    <t>8241da75-1e42-11e4-b4cd-db5882bf8def</t>
  </si>
  <si>
    <t>Saleh al-Hashidi</t>
  </si>
  <si>
    <t>YEM-2012</t>
  </si>
  <si>
    <t>2b3c6722-3481-11e4-8dba-bbcd9ed46413</t>
  </si>
  <si>
    <t>Abd Rabbuh Mansur Hadi</t>
  </si>
  <si>
    <t>YPR-1967</t>
  </si>
  <si>
    <t>82420b44-1e42-11e4-b4cd-db5882bf8def</t>
  </si>
  <si>
    <t>YPR</t>
  </si>
  <si>
    <t>Al-Shaabi</t>
  </si>
  <si>
    <t>YPR-1969</t>
  </si>
  <si>
    <t>82420b45-1e42-11e4-b4cd-db5882bf8def</t>
  </si>
  <si>
    <t>Ali Rubayyi</t>
  </si>
  <si>
    <t>YPR-1978-1</t>
  </si>
  <si>
    <t>82420b46-1e42-11e4-b4cd-db5882bf8def</t>
  </si>
  <si>
    <t>Ali Nassir Hassani</t>
  </si>
  <si>
    <t>YPR-1978-2</t>
  </si>
  <si>
    <t>82420b47-1e42-11e4-b4cd-db5882bf8def</t>
  </si>
  <si>
    <t>Ismail</t>
  </si>
  <si>
    <t>YPR-1980</t>
  </si>
  <si>
    <t>YPR-1986</t>
  </si>
  <si>
    <t>82420b48-1e42-11e4-b4cd-db5882bf8def</t>
  </si>
  <si>
    <t>Attas</t>
  </si>
  <si>
    <t>KUW-1950</t>
  </si>
  <si>
    <t>82420b49-1e42-11e4-b4cd-db5882bf8def</t>
  </si>
  <si>
    <t>KUW</t>
  </si>
  <si>
    <t>Abdullah As-Sabah</t>
  </si>
  <si>
    <t>KUW-1965</t>
  </si>
  <si>
    <t>82420b4a-1e42-11e4-b4cd-db5882bf8def</t>
  </si>
  <si>
    <t>Sabah As-Sabah</t>
  </si>
  <si>
    <t>KUW-1978</t>
  </si>
  <si>
    <t>82423c18-1e42-11e4-b4cd-db5882bf8def</t>
  </si>
  <si>
    <t>Jabir As-Sabah</t>
  </si>
  <si>
    <t>KUW-1990</t>
  </si>
  <si>
    <t>82423c19-1e42-11e4-b4cd-db5882bf8def</t>
  </si>
  <si>
    <t>KUW-1991</t>
  </si>
  <si>
    <t>KUW-2006-1</t>
  </si>
  <si>
    <t>82548bff-1e42-11e4-b4cd-db5882bf8def</t>
  </si>
  <si>
    <t>Sheikh Saad Al Abdullah Al Salim Al Sabah</t>
  </si>
  <si>
    <t>KUW-2006-2</t>
  </si>
  <si>
    <t>82548c00-1e42-11e4-b4cd-db5882bf8def</t>
  </si>
  <si>
    <t>Sheikh Sabah Al Ahmad Al Jabir Al Sabah</t>
  </si>
  <si>
    <t>BAH-1971</t>
  </si>
  <si>
    <t>82423c1a-1e42-11e4-b4cd-db5882bf8def</t>
  </si>
  <si>
    <t>BAH</t>
  </si>
  <si>
    <t>Isa Ibn Al-Khalifah</t>
  </si>
  <si>
    <t>BAH-1999</t>
  </si>
  <si>
    <t>82423c1b-1e42-11e4-b4cd-db5882bf8def</t>
  </si>
  <si>
    <t>Hamad Isa Ibn Al-Khalifah</t>
  </si>
  <si>
    <t>QAT-1971</t>
  </si>
  <si>
    <t>82423c1c-1e42-11e4-b4cd-db5882bf8def</t>
  </si>
  <si>
    <t>QAT</t>
  </si>
  <si>
    <t>Ahmed Ath-Thani</t>
  </si>
  <si>
    <t>QAT-1972</t>
  </si>
  <si>
    <t>82423c1d-1e42-11e4-b4cd-db5882bf8def</t>
  </si>
  <si>
    <t>Khalifah Ath-Thani</t>
  </si>
  <si>
    <t>QAT-1995</t>
  </si>
  <si>
    <t>82426cec-1e42-11e4-b4cd-db5882bf8def</t>
  </si>
  <si>
    <t>Hamad ibn Khalifah Al Thani</t>
  </si>
  <si>
    <t>QAT-2013</t>
  </si>
  <si>
    <t>2b3ec878-3481-11e4-8dba-bbcd9ed46413</t>
  </si>
  <si>
    <t>Tamim ibn Hamad Al Thani</t>
  </si>
  <si>
    <t>UAE-1971</t>
  </si>
  <si>
    <t>82426ced-1e42-11e4-b4cd-db5882bf8def</t>
  </si>
  <si>
    <t>UAE</t>
  </si>
  <si>
    <t>An-Nahayan</t>
  </si>
  <si>
    <t>UAE-2004</t>
  </si>
  <si>
    <t>8254bcd0-1e42-11e4-b4cd-db5882bf8def</t>
  </si>
  <si>
    <t>Khalifa Al Nahayan</t>
  </si>
  <si>
    <t>OMA-1871</t>
  </si>
  <si>
    <t>82426cee-1e42-11e4-b4cd-db5882bf8def</t>
  </si>
  <si>
    <t>OMA</t>
  </si>
  <si>
    <t>Turki ibn Sa`id</t>
  </si>
  <si>
    <t>1871-01-30</t>
  </si>
  <si>
    <t>1888-06-04</t>
  </si>
  <si>
    <t>04jun1888</t>
  </si>
  <si>
    <t>OMA-1888</t>
  </si>
  <si>
    <t>82426cef-1e42-11e4-b4cd-db5882bf8def</t>
  </si>
  <si>
    <t>Faysal ibn Turki</t>
  </si>
  <si>
    <t>OMA-1913</t>
  </si>
  <si>
    <t>82426cf0-1e42-11e4-b4cd-db5882bf8def</t>
  </si>
  <si>
    <t>Taimur ibn Faysal</t>
  </si>
  <si>
    <t>OMA-1932</t>
  </si>
  <si>
    <t>82429dc0-1e42-11e4-b4cd-db5882bf8def</t>
  </si>
  <si>
    <t>Sa`id ibn Taimur</t>
  </si>
  <si>
    <t>OMA-1970</t>
  </si>
  <si>
    <t>82429dc1-1e42-11e4-b4cd-db5882bf8def</t>
  </si>
  <si>
    <t>Qabus Bin Said</t>
  </si>
  <si>
    <t>https://urldefense.proofpoint.com/v2/url?u=http-3A__dbpedia.org_resource_Qaboos-5Fbin-5FSaid-5Fal-5FSaid&amp;d=BQID-g&amp;c=kbmfwr1Yojg42sGEpaQh5ofMHBeTl9EI2eaqQZhHbOU&amp;r=ZliGVSRwfirWoETOrKCh2RSnoygzVPWEk95Me9L-Kwo&amp;m=EaKyFx9mpkhPdFxsxzvW_fiM3jbYwM3xYLjVbSFoDAg&amp;s=3DvcwsjW5jX10D81DGhGl1KdmxvDIs4jDaUp-XeKe-Q&amp;e=</t>
  </si>
  <si>
    <t>AFG-1868</t>
  </si>
  <si>
    <t>19799c28-3bbd-11e5-afeb-eb6f07f9fec7</t>
  </si>
  <si>
    <t>AFG</t>
  </si>
  <si>
    <t>Shir `Ali Khan</t>
  </si>
  <si>
    <t>1868-09-08</t>
  </si>
  <si>
    <t>1879-02-21</t>
  </si>
  <si>
    <t>21feb1879</t>
  </si>
  <si>
    <t>26骞?3818</t>
  </si>
  <si>
    <t>AFG-1879-1</t>
  </si>
  <si>
    <t>82429dc2-1e42-11e4-b4cd-db5882bf8def</t>
  </si>
  <si>
    <t>Mohammad Ya`qub Khan</t>
  </si>
  <si>
    <t>1879-10-12</t>
  </si>
  <si>
    <t>26骞?233</t>
  </si>
  <si>
    <t>AFG-1879-2</t>
  </si>
  <si>
    <t>82429dc3-1e42-11e4-b4cd-db5882bf8def</t>
  </si>
  <si>
    <t>Mohammad Jan</t>
  </si>
  <si>
    <t>1880-03-31</t>
  </si>
  <si>
    <t>31mar1880</t>
  </si>
  <si>
    <t>26骞?171</t>
  </si>
  <si>
    <t>AFG-1880</t>
  </si>
  <si>
    <t>82429dc4-1e42-11e4-b4cd-db5882bf8def</t>
  </si>
  <si>
    <t>Abdor Rahman Khan</t>
  </si>
  <si>
    <t>1880-07-22</t>
  </si>
  <si>
    <t>https://urldefense.proofpoint.com/v2/url?u=http-3A__dbpedia.org_resource_Abdur-5FRahman-5FKhan&amp;d=BQID-g&amp;c=kbmfwr1Yojg42sGEpaQh5ofMHBeTl9EI2eaqQZhHbOU&amp;r=ZliGVSRwfirWoETOrKCh2RSnoygzVPWEk95Me9L-Kwo&amp;m=EaKyFx9mpkhPdFxsxzvW_fiM3jbYwM3xYLjVbSFoDAg&amp;s=ONrSBlyi25YhXqjo_nqnzu2uyjAWZKYSj5kFSzbtSRA&amp;e=</t>
  </si>
  <si>
    <t>26骞?7742</t>
  </si>
  <si>
    <t>AFG-1901</t>
  </si>
  <si>
    <t>8242ce94-1e42-11e4-b4cd-db5882bf8def</t>
  </si>
  <si>
    <t>Habibullah Khan</t>
  </si>
  <si>
    <t>1872-07-03</t>
  </si>
  <si>
    <t>03jul1872</t>
  </si>
  <si>
    <t>https://urldefense.proofpoint.com/v2/url?u=http-3A__dbpedia.org_resource_Habibullah-5FKhan&amp;d=BQID-g&amp;c=kbmfwr1Yojg42sGEpaQh5ofMHBeTl9EI2eaqQZhHbOU&amp;r=ZliGVSRwfirWoETOrKCh2RSnoygzVPWEk95Me9L-Kwo&amp;m=EaKyFx9mpkhPdFxsxzvW_fiM3jbYwM3xYLjVbSFoDAg&amp;s=x57cqsfMAaRglgqf_WWecJWp7qTQqOV2k9Vx2GJfiSk&amp;e=</t>
  </si>
  <si>
    <t>26骞?6349</t>
  </si>
  <si>
    <t>AFG-1920</t>
  </si>
  <si>
    <t>8242ce95-1e42-11e4-b4cd-db5882bf8def</t>
  </si>
  <si>
    <t>Amanullah Khan</t>
  </si>
  <si>
    <t>1892-06-01</t>
  </si>
  <si>
    <t>01jun1892</t>
  </si>
  <si>
    <t>https://urldefense.proofpoint.com/v2/url?u=http-3A__dbpedia.org_resource_Amanullah-5FKhan&amp;d=BQID-g&amp;c=kbmfwr1Yojg42sGEpaQh5ofMHBeTl9EI2eaqQZhHbOU&amp;r=ZliGVSRwfirWoETOrKCh2RSnoygzVPWEk95Me9L-Kwo&amp;m=EaKyFx9mpkhPdFxsxzvW_fiM3jbYwM3xYLjVbSFoDAg&amp;s=dlqCPliQvhyuwNnFtsbjapgi-BggXWAfd5wJRdUTznU&amp;e=</t>
  </si>
  <si>
    <t>26骞?3301</t>
  </si>
  <si>
    <t>AFG-1929-1</t>
  </si>
  <si>
    <t>8242ce96-1e42-11e4-b4cd-db5882bf8def</t>
  </si>
  <si>
    <t>Inayatullah Khan</t>
  </si>
  <si>
    <t>1888-10-20</t>
  </si>
  <si>
    <t>20oct1888</t>
  </si>
  <si>
    <t>https://urldefense.proofpoint.com/v2/url?u=http-3A__dbpedia.org_resource_Inayatullah-5FKhan&amp;d=BQID-g&amp;c=kbmfwr1Yojg42sGEpaQh5ofMHBeTl9EI2eaqQZhHbOU&amp;r=ZliGVSRwfirWoETOrKCh2RSnoygzVPWEk95Me9L-Kwo&amp;m=EaKyFx9mpkhPdFxsxzvW_fiM3jbYwM3xYLjVbSFoDAg&amp;s=hetO8NZAaQvomR8hIzcfNNLl5T6motXfD3scS_1PpRk&amp;e=</t>
  </si>
  <si>
    <t>26骞?3</t>
  </si>
  <si>
    <t>AFG-1929-2</t>
  </si>
  <si>
    <t>8242ce97-1e42-11e4-b4cd-db5882bf8def</t>
  </si>
  <si>
    <t>Habibullah Ghazi</t>
  </si>
  <si>
    <t>26骞?273</t>
  </si>
  <si>
    <t>AFG-1929-3</t>
  </si>
  <si>
    <t>8242ff72-1e42-11e4-b4cd-db5882bf8def</t>
  </si>
  <si>
    <t>Nadir Shah</t>
  </si>
  <si>
    <t>1880-04-10</t>
  </si>
  <si>
    <t>10apr1880</t>
  </si>
  <si>
    <t>26骞?1483</t>
  </si>
  <si>
    <t>AFG-1933</t>
  </si>
  <si>
    <t>8242ff73-1e42-11e4-b4cd-db5882bf8def</t>
  </si>
  <si>
    <t>Hashim Khan</t>
  </si>
  <si>
    <t>26骞?4570</t>
  </si>
  <si>
    <t>AFG-1946</t>
  </si>
  <si>
    <t>8242ff74-1e42-11e4-b4cd-db5882bf8def</t>
  </si>
  <si>
    <t>Mahmud Khan Ghazi</t>
  </si>
  <si>
    <t>26骞?2673</t>
  </si>
  <si>
    <t>AFG-1953</t>
  </si>
  <si>
    <t>8242ff75-1e42-11e4-b4cd-db5882bf8def</t>
  </si>
  <si>
    <t>Sardar Mohammad Daud Khan</t>
  </si>
  <si>
    <t>https://urldefense.proofpoint.com/v2/url?u=http-3A__dbpedia.org_resource_Mohammed-5FDaoud-5FKhan&amp;d=BQID-g&amp;c=kbmfwr1Yojg42sGEpaQh5ofMHBeTl9EI2eaqQZhHbOU&amp;r=ZliGVSRwfirWoETOrKCh2RSnoygzVPWEk95Me9L-Kwo&amp;m=EaKyFx9mpkhPdFxsxzvW_fiM3jbYwM3xYLjVbSFoDAg&amp;s=XXAO5msOAIXKlcq-HHKVhvJ8g8wXR2JZqAUzN1VkamA&amp;e=</t>
  </si>
  <si>
    <t>26骞?3471</t>
  </si>
  <si>
    <t>AFG-1963</t>
  </si>
  <si>
    <t>8242ff76-1e42-11e4-b4cd-db5882bf8def</t>
  </si>
  <si>
    <t>Mohammad Yusuf</t>
  </si>
  <si>
    <t>26骞?968</t>
  </si>
  <si>
    <t>AFG-1965</t>
  </si>
  <si>
    <t>8242ff77-1e42-11e4-b4cd-db5882bf8def</t>
  </si>
  <si>
    <t>Mohammad Hashim Maiwandwal</t>
  </si>
  <si>
    <t>26骞?708</t>
  </si>
  <si>
    <t>AFG-1967-1</t>
  </si>
  <si>
    <t>8242ff78-1e42-11e4-b4cd-db5882bf8def</t>
  </si>
  <si>
    <t>Abdallah Yakta</t>
  </si>
  <si>
    <t>https://urldefense.proofpoint.com/v2/url?u=http-3A__dbpedia.org_resource_Abdullah-5FYaqta&amp;d=BQID-g&amp;c=kbmfwr1Yojg42sGEpaQh5ofMHBeTl9EI2eaqQZhHbOU&amp;r=ZliGVSRwfirWoETOrKCh2RSnoygzVPWEk95Me9L-Kwo&amp;m=EaKyFx9mpkhPdFxsxzvW_fiM3jbYwM3xYLjVbSFoDAg&amp;s=g6G9dahQoDeb-3MJKybKuxIVj001Tn1WRJAit_TG7eU&amp;e=</t>
  </si>
  <si>
    <t>26骞?21</t>
  </si>
  <si>
    <t>AFG-1967-2</t>
  </si>
  <si>
    <t>82433046-1e42-11e4-b4cd-db5882bf8def</t>
  </si>
  <si>
    <t>Nur Ahmad Etemadi</t>
  </si>
  <si>
    <t>26骞?1316</t>
  </si>
  <si>
    <t>AFG-1971</t>
  </si>
  <si>
    <t>82433047-1e42-11e4-b4cd-db5882bf8def</t>
  </si>
  <si>
    <t>Abdul Zahir</t>
  </si>
  <si>
    <t>26骞?546</t>
  </si>
  <si>
    <t>AFG-1972</t>
  </si>
  <si>
    <t>82433048-1e42-11e4-b4cd-db5882bf8def</t>
  </si>
  <si>
    <t>Mohammad Musa Shafiq</t>
  </si>
  <si>
    <t>26骞?217</t>
  </si>
  <si>
    <t>AFG-1973</t>
  </si>
  <si>
    <t>26骞?1745</t>
  </si>
  <si>
    <t>AFG-1978</t>
  </si>
  <si>
    <t>82433049-1e42-11e4-b4cd-db5882bf8def</t>
  </si>
  <si>
    <t>Taraki</t>
  </si>
  <si>
    <t>26骞?331</t>
  </si>
  <si>
    <t>AFG-1979-1</t>
  </si>
  <si>
    <t>8243304a-1e42-11e4-b4cd-db5882bf8def</t>
  </si>
  <si>
    <t>https://urldefense.proofpoint.com/v2/url?u=http-3A__dbpedia.org_resource_Hafizullah-5FAmin&amp;d=BQID-g&amp;c=kbmfwr1Yojg42sGEpaQh5ofMHBeTl9EI2eaqQZhHbOU&amp;r=ZliGVSRwfirWoETOrKCh2RSnoygzVPWEk95Me9L-Kwo&amp;m=EaKyFx9mpkhPdFxsxzvW_fiM3jbYwM3xYLjVbSFoDAg&amp;s=eIsN-KNP3k1B_5pdxq3xUBgD9lGSWt-ROOq5eaMi73Q&amp;e=</t>
  </si>
  <si>
    <t>26骞?275</t>
  </si>
  <si>
    <t>AFG-1979-2</t>
  </si>
  <si>
    <t>8243611a-1e42-11e4-b4cd-db5882bf8def</t>
  </si>
  <si>
    <t>Karmal</t>
  </si>
  <si>
    <t>https://urldefense.proofpoint.com/v2/url?u=http-3A__dbpedia.org_resource_Babrak-5FKarmal&amp;d=BQID-g&amp;c=kbmfwr1Yojg42sGEpaQh5ofMHBeTl9EI2eaqQZhHbOU&amp;r=ZliGVSRwfirWoETOrKCh2RSnoygzVPWEk95Me9L-Kwo&amp;m=EaKyFx9mpkhPdFxsxzvW_fiM3jbYwM3xYLjVbSFoDAg&amp;s=lVAUXndgd3KmxGkj0jijaSIAvsfiC3okwDy48V3yEAc&amp;e=</t>
  </si>
  <si>
    <t>26骞?2320</t>
  </si>
  <si>
    <t>AFG-1986</t>
  </si>
  <si>
    <t>8243611b-1e42-11e4-b4cd-db5882bf8def</t>
  </si>
  <si>
    <t>Najibullah</t>
  </si>
  <si>
    <t>26骞?2174</t>
  </si>
  <si>
    <t>AFG-1992-1</t>
  </si>
  <si>
    <t>8243611c-1e42-11e4-b4cd-db5882bf8def</t>
  </si>
  <si>
    <t>Mojadidi</t>
  </si>
  <si>
    <t>26骞?61</t>
  </si>
  <si>
    <t>AFG-1992-2</t>
  </si>
  <si>
    <t>8243611d-1e42-11e4-b4cd-db5882bf8def</t>
  </si>
  <si>
    <t>Burhanuddin Rabbani</t>
  </si>
  <si>
    <t>26骞?1552</t>
  </si>
  <si>
    <t>AFG-1996</t>
  </si>
  <si>
    <t>8243611e-1e42-11e4-b4cd-db5882bf8def</t>
  </si>
  <si>
    <t>Mullah Omar</t>
  </si>
  <si>
    <t>26骞?1873</t>
  </si>
  <si>
    <t>AFG-2001</t>
  </si>
  <si>
    <t>8243611f-1e42-11e4-b4cd-db5882bf8def</t>
  </si>
  <si>
    <t>Hamid Karzai</t>
  </si>
  <si>
    <t>https://urldefense.proofpoint.com/v2/url?u=http-3A__dbpedia.org_resource_Hamid-5FKarzai&amp;d=BQID-g&amp;c=kbmfwr1Yojg42sGEpaQh5ofMHBeTl9EI2eaqQZhHbOU&amp;r=ZliGVSRwfirWoETOrKCh2RSnoygzVPWEk95Me9L-Kwo&amp;m=EaKyFx9mpkhPdFxsxzvW_fiM3jbYwM3xYLjVbSFoDAg&amp;s=U8Ug7qDbfAQpBGnAWvRtnnnXT3DzH7Cj-yxV5LItdTY&amp;e=</t>
  </si>
  <si>
    <t>26骞?4664</t>
  </si>
  <si>
    <t>AFG-2014</t>
  </si>
  <si>
    <t>14a038b0-aae0-11e4-b3bc-29f2fa19767e</t>
  </si>
  <si>
    <t>Ahmadzai</t>
  </si>
  <si>
    <t>26骞?458</t>
  </si>
  <si>
    <t>TKM-1990</t>
  </si>
  <si>
    <t>824391ee-1e42-11e4-b4cd-db5882bf8def</t>
  </si>
  <si>
    <t>TKM</t>
  </si>
  <si>
    <t>Niyazov</t>
  </si>
  <si>
    <t>https://urldefense.proofpoint.com/v2/url?u=http-3A__dbpedia.org_resource_Saparmurat-5FNiyazov&amp;d=BQID-g&amp;c=kbmfwr1Yojg42sGEpaQh5ofMHBeTl9EI2eaqQZhHbOU&amp;r=ZliGVSRwfirWoETOrKCh2RSnoygzVPWEk95Me9L-Kwo&amp;m=EaKyFx9mpkhPdFxsxzvW_fiM3jbYwM3xYLjVbSFoDAg&amp;s=GwHzWW_jNyRkSqcEK-VhaCcCzBtFJImTvUifVq9hQrA&amp;e=</t>
  </si>
  <si>
    <t>TKM-2006</t>
  </si>
  <si>
    <t>8254bcd1-1e42-11e4-b4cd-db5882bf8def</t>
  </si>
  <si>
    <t>Berdymukhammedov</t>
  </si>
  <si>
    <t>TAJ-1991-1</t>
  </si>
  <si>
    <t>824391ef-1e42-11e4-b4cd-db5882bf8def</t>
  </si>
  <si>
    <t>TAJ</t>
  </si>
  <si>
    <t>Kadreddin Aslonov</t>
  </si>
  <si>
    <t>TAJ-1991-2</t>
  </si>
  <si>
    <t>824391f0-1e42-11e4-b4cd-db5882bf8def</t>
  </si>
  <si>
    <t>Nabiyev</t>
  </si>
  <si>
    <t>TAJ-1992-1</t>
  </si>
  <si>
    <t>824391f1-1e42-11e4-b4cd-db5882bf8def</t>
  </si>
  <si>
    <t>Iskandrov</t>
  </si>
  <si>
    <t>https://urldefense.proofpoint.com/v2/url?u=http-3A__dbpedia.org_resource_Akbarsho-5FIskandrov&amp;d=BQID-g&amp;c=kbmfwr1Yojg42sGEpaQh5ofMHBeTl9EI2eaqQZhHbOU&amp;r=ZliGVSRwfirWoETOrKCh2RSnoygzVPWEk95Me9L-Kwo&amp;m=EaKyFx9mpkhPdFxsxzvW_fiM3jbYwM3xYLjVbSFoDAg&amp;s=rzMNW2Nt_GSHGHaN855OrP71B8asek5g2UpvN7c3dgc&amp;e=</t>
  </si>
  <si>
    <t>TAJ-1992-2</t>
  </si>
  <si>
    <t>824391f2-1e42-11e4-b4cd-db5882bf8def</t>
  </si>
  <si>
    <t>Rakhmonov</t>
  </si>
  <si>
    <t>KYR-1990</t>
  </si>
  <si>
    <t>824391f3-1e42-11e4-b4cd-db5882bf8def</t>
  </si>
  <si>
    <t>KYR</t>
  </si>
  <si>
    <t>Akayev</t>
  </si>
  <si>
    <t>https://urldefense.proofpoint.com/v2/url?u=http-3A__dbpedia.org_resource_Askar-5FAkayev&amp;d=BQID-g&amp;c=kbmfwr1Yojg42sGEpaQh5ofMHBeTl9EI2eaqQZhHbOU&amp;r=ZliGVSRwfirWoETOrKCh2RSnoygzVPWEk95Me9L-Kwo&amp;m=EaKyFx9mpkhPdFxsxzvW_fiM3jbYwM3xYLjVbSFoDAg&amp;s=gqTgyJh9x0_nzL6qB6PW310-SrH-KZjxuNo5ZKyC-cE&amp;e=</t>
  </si>
  <si>
    <t>KYR-2005</t>
  </si>
  <si>
    <t>8254bcd2-1e42-11e4-b4cd-db5882bf8def</t>
  </si>
  <si>
    <t>Bakiyev</t>
  </si>
  <si>
    <t>KYR-2010</t>
  </si>
  <si>
    <t>8254bcd3-1e42-11e4-b4cd-db5882bf8def</t>
  </si>
  <si>
    <t>Otunbayeva</t>
  </si>
  <si>
    <t>KYR-2011</t>
  </si>
  <si>
    <t>8254bcd4-1e42-11e4-b4cd-db5882bf8def</t>
  </si>
  <si>
    <t>Atambayev</t>
  </si>
  <si>
    <t>UZB-1990</t>
  </si>
  <si>
    <t>824391f4-1e42-11e4-b4cd-db5882bf8def</t>
  </si>
  <si>
    <t>UZB</t>
  </si>
  <si>
    <t>Karimov</t>
  </si>
  <si>
    <t>KZK-1990</t>
  </si>
  <si>
    <t>8243c2c2-1e42-11e4-b4cd-db5882bf8def</t>
  </si>
  <si>
    <t>KZK</t>
  </si>
  <si>
    <t>Nazarbayev</t>
  </si>
  <si>
    <t>https://urldefense.proofpoint.com/v2/url?u=http-3A__dbpedia.org_resource_Nursultan-5FNazarbayev&amp;d=BQID-g&amp;c=kbmfwr1Yojg42sGEpaQh5ofMHBeTl9EI2eaqQZhHbOU&amp;r=ZliGVSRwfirWoETOrKCh2RSnoygzVPWEk95Me9L-Kwo&amp;m=EaKyFx9mpkhPdFxsxzvW_fiM3jbYwM3xYLjVbSFoDAg&amp;s=x27jXExRuGhElTCGd3x6fi9fNYu5hmPeDmkONu16rZE&amp;e=</t>
  </si>
  <si>
    <t>CHN-1861</t>
  </si>
  <si>
    <t>8243c2c3-1e42-11e4-b4cd-db5882bf8def</t>
  </si>
  <si>
    <t>CHN</t>
  </si>
  <si>
    <t>Tz'u Hsi</t>
  </si>
  <si>
    <t>1861-08-22</t>
  </si>
  <si>
    <t>54骞?17251</t>
  </si>
  <si>
    <t>CHN-1908</t>
  </si>
  <si>
    <t>8243c2c4-1e42-11e4-b4cd-db5882bf8def</t>
  </si>
  <si>
    <t>Zaifeng</t>
  </si>
  <si>
    <t>54骞?1099</t>
  </si>
  <si>
    <t>CHN-1911</t>
  </si>
  <si>
    <t>8243c2c5-1e42-11e4-b4cd-db5882bf8def</t>
  </si>
  <si>
    <t>Empress Dowager Jonyu</t>
  </si>
  <si>
    <t>https://urldefense.proofpoint.com/v2/url?u=http-3A__dbpedia.org_resource_Empress-5FDowager-5FLongyu&amp;d=BQID-g&amp;c=kbmfwr1Yojg42sGEpaQh5ofMHBeTl9EI2eaqQZhHbOU&amp;r=ZliGVSRwfirWoETOrKCh2RSnoygzVPWEk95Me9L-Kwo&amp;m=EaKyFx9mpkhPdFxsxzvW_fiM3jbYwM3xYLjVbSFoDAg&amp;s=pXPYaVLNH7PkCIH91TM8t0hFsRzUBagr0afXzpEyAVM&amp;e=</t>
  </si>
  <si>
    <t>54骞?37</t>
  </si>
  <si>
    <t>CHN-1912-1</t>
  </si>
  <si>
    <t>8243c2c6-1e42-11e4-b4cd-db5882bf8def</t>
  </si>
  <si>
    <t>Sun Yat-sen</t>
  </si>
  <si>
    <t>1866-11-12</t>
  </si>
  <si>
    <t>12nov1866</t>
  </si>
  <si>
    <t>https://urldefense.proofpoint.com/v2/url?u=http-3A__dbpedia.org_resource_Sun-5FYat-2Dsen&amp;d=BQID-g&amp;c=kbmfwr1Yojg42sGEpaQh5ofMHBeTl9EI2eaqQZhHbOU&amp;r=ZliGVSRwfirWoETOrKCh2RSnoygzVPWEk95Me9L-Kwo&amp;m=EaKyFx9mpkhPdFxsxzvW_fiM3jbYwM3xYLjVbSFoDAg&amp;s=ig0ZjlyKSZFuEcU-gZ4Oz3pH7dYAKIGMZVO7NqDFDXM&amp;e=</t>
  </si>
  <si>
    <t>54骞?34</t>
  </si>
  <si>
    <t>CHN-1912-2</t>
  </si>
  <si>
    <t>8243c2c7-1e42-11e4-b4cd-db5882bf8def</t>
  </si>
  <si>
    <t>Yuan Shih-kai</t>
  </si>
  <si>
    <t>1859-09-16</t>
  </si>
  <si>
    <t>16sep1859</t>
  </si>
  <si>
    <t>https://urldefense.proofpoint.com/v2/url?u=http-3A__dbpedia.org_resource_Yuan-5FShikai&amp;d=BQID-g&amp;c=kbmfwr1Yojg42sGEpaQh5ofMHBeTl9EI2eaqQZhHbOU&amp;r=ZliGVSRwfirWoETOrKCh2RSnoygzVPWEk95Me9L-Kwo&amp;m=EaKyFx9mpkhPdFxsxzvW_fiM3jbYwM3xYLjVbSFoDAg&amp;s=BIGtoyN9EUqts7M8q2k4jkieX6-xGacCRzeiamQY_-4&amp;e=</t>
  </si>
  <si>
    <t>Relative-in-law of Li Yuan-Hung%8243f396-1e42-11e4-b4cd-db5882bf8def</t>
  </si>
  <si>
    <t>54骞?1573</t>
  </si>
  <si>
    <t>CHN-1916</t>
  </si>
  <si>
    <t>8243f396-1e42-11e4-b4cd-db5882bf8def</t>
  </si>
  <si>
    <t>Li Yuan-Hung</t>
  </si>
  <si>
    <t>Relative-in-law of Yuan Shih-kai%8243c2c7-1e42-11e4-b4cd-db5882bf8def</t>
  </si>
  <si>
    <t>54骞?434</t>
  </si>
  <si>
    <t>CHN-1917</t>
  </si>
  <si>
    <t>8243f397-1e42-11e4-b4cd-db5882bf8def</t>
  </si>
  <si>
    <t>Feng Kuo-chang</t>
  </si>
  <si>
    <t>1859-01-07</t>
  </si>
  <si>
    <t>07jan1859</t>
  </si>
  <si>
    <t>54骞?386</t>
  </si>
  <si>
    <t>CHN-1918</t>
  </si>
  <si>
    <t>8243f398-1e42-11e4-b4cd-db5882bf8def</t>
  </si>
  <si>
    <t>Hsu Shih-ch'ang</t>
  </si>
  <si>
    <t>1855-10-23</t>
  </si>
  <si>
    <t>23oct1855</t>
  </si>
  <si>
    <t>https://urldefense.proofpoint.com/v2/url?u=http-3A__dbpedia.org_resource_Xu-5FShichang&amp;d=BQID-g&amp;c=kbmfwr1Yojg42sGEpaQh5ofMHBeTl9EI2eaqQZhHbOU&amp;r=ZliGVSRwfirWoETOrKCh2RSnoygzVPWEk95Me9L-Kwo&amp;m=EaKyFx9mpkhPdFxsxzvW_fiM3jbYwM3xYLjVbSFoDAg&amp;s=UFAO7cD1BEXqdLUacwXMCUd66LA4vctqE9mX5Q0MJfc&amp;e=</t>
  </si>
  <si>
    <t>54骞?1367</t>
  </si>
  <si>
    <t>CHN-1922</t>
  </si>
  <si>
    <t>54骞?368</t>
  </si>
  <si>
    <t>CHN-1923</t>
  </si>
  <si>
    <t>8243f399-1e42-11e4-b4cd-db5882bf8def</t>
  </si>
  <si>
    <t>Tsao Kun</t>
  </si>
  <si>
    <t>1862-12-12</t>
  </si>
  <si>
    <t>12dec1862</t>
  </si>
  <si>
    <t>54骞?394</t>
  </si>
  <si>
    <t>CHN-1924</t>
  </si>
  <si>
    <t>8243f39a-1e42-11e4-b4cd-db5882bf8def</t>
  </si>
  <si>
    <t>Tuan Chi-jui</t>
  </si>
  <si>
    <t>1865-03-06</t>
  </si>
  <si>
    <t>06mar1865</t>
  </si>
  <si>
    <t>54骞?512</t>
  </si>
  <si>
    <t>CHN-1926</t>
  </si>
  <si>
    <t>8243f39b-1e42-11e4-b4cd-db5882bf8def</t>
  </si>
  <si>
    <t>Chang Tso-lin</t>
  </si>
  <si>
    <t>54骞?903</t>
  </si>
  <si>
    <t>CHN-1928</t>
  </si>
  <si>
    <t>8244246a-1e42-11e4-b4cd-db5882bf8def</t>
  </si>
  <si>
    <t>Chiang Kai-shek</t>
  </si>
  <si>
    <t>1886-10-31</t>
  </si>
  <si>
    <t>31oct1886</t>
  </si>
  <si>
    <t>https://urldefense.proofpoint.com/v2/url?u=http-3A__dbpedia.org_resource_Chiang-5FKai-2Dshek&amp;d=BQID-g&amp;c=kbmfwr1Yojg42sGEpaQh5ofMHBeTl9EI2eaqQZhHbOU&amp;r=ZliGVSRwfirWoETOrKCh2RSnoygzVPWEk95Me9L-Kwo&amp;m=EaKyFx9mpkhPdFxsxzvW_fiM3jbYwM3xYLjVbSFoDAg&amp;s=H4J8YjmhiWGEG_YXqwyDXegaFbM_uU-y-e5Y19Z0SKY&amp;e=</t>
  </si>
  <si>
    <t>54骞?3352</t>
  </si>
  <si>
    <t>CHN-1937</t>
  </si>
  <si>
    <t>8244246b-1e42-11e4-b4cd-db5882bf8def</t>
  </si>
  <si>
    <t>Wang Kemin</t>
  </si>
  <si>
    <t>54骞?837</t>
  </si>
  <si>
    <t>CHN-1940</t>
  </si>
  <si>
    <t>8244246c-1e42-11e4-b4cd-db5882bf8def</t>
  </si>
  <si>
    <t>Wang Jingwei</t>
  </si>
  <si>
    <t>54骞?1686</t>
  </si>
  <si>
    <t>CHN-1944</t>
  </si>
  <si>
    <t>8244246d-1e42-11e4-b4cd-db5882bf8def</t>
  </si>
  <si>
    <t>Chen Gongbo</t>
  </si>
  <si>
    <t>54骞?254</t>
  </si>
  <si>
    <t>CHN-1946</t>
  </si>
  <si>
    <t>54骞?757</t>
  </si>
  <si>
    <t>CHN-1949</t>
  </si>
  <si>
    <t>8244246e-1e42-11e4-b4cd-db5882bf8def</t>
  </si>
  <si>
    <t>Mao Tse-Tung</t>
  </si>
  <si>
    <t>1893-12-26</t>
  </si>
  <si>
    <t>26dec1893</t>
  </si>
  <si>
    <t>https://urldefense.proofpoint.com/v2/url?u=http-3A__dbpedia.org_resource_Mao-5FZedong&amp;d=BQID-g&amp;c=kbmfwr1Yojg42sGEpaQh5ofMHBeTl9EI2eaqQZhHbOU&amp;r=ZliGVSRwfirWoETOrKCh2RSnoygzVPWEk95Me9L-Kwo&amp;m=EaKyFx9mpkhPdFxsxzvW_fiM3jbYwM3xYLjVbSFoDAg&amp;s=wrS5Biw1jxMNzGwYSpUtGtYD_ZLQM_RboQ-MTpVTW_Q&amp;e=</t>
  </si>
  <si>
    <t>54骞?9840</t>
  </si>
  <si>
    <t>CHN-1976</t>
  </si>
  <si>
    <t>8244246f-1e42-11e4-b4cd-db5882bf8def</t>
  </si>
  <si>
    <t>Hua Guofeng</t>
  </si>
  <si>
    <t>https://urldefense.proofpoint.com/v2/url?u=http-3A__dbpedia.org_resource_Hua-5FGuofeng&amp;d=BQID-g&amp;c=kbmfwr1Yojg42sGEpaQh5ofMHBeTl9EI2eaqQZhHbOU&amp;r=ZliGVSRwfirWoETOrKCh2RSnoygzVPWEk95Me9L-Kwo&amp;m=EaKyFx9mpkhPdFxsxzvW_fiM3jbYwM3xYLjVbSFoDAg&amp;s=WPinxjpjksNCrM7yb6BbH7dfHevQl5abBDO__qJB_jA&amp;e=</t>
  </si>
  <si>
    <t>54骞?1434</t>
  </si>
  <si>
    <t>CHN-1980</t>
  </si>
  <si>
    <t>8244553e-1e42-11e4-b4cd-db5882bf8def</t>
  </si>
  <si>
    <t>Deng Xiaoping</t>
  </si>
  <si>
    <t>https://urldefense.proofpoint.com/v2/url?u=http-3A__dbpedia.org_resource_Deng-5FXiaoping&amp;d=BQID-g&amp;c=kbmfwr1Yojg42sGEpaQh5ofMHBeTl9EI2eaqQZhHbOU&amp;r=ZliGVSRwfirWoETOrKCh2RSnoygzVPWEk95Me9L-Kwo&amp;m=EaKyFx9mpkhPdFxsxzvW_fiM3jbYwM3xYLjVbSFoDAg&amp;s=VvzrS_DXxBj7juAQyhuZ8EHEsQXcGxwnPPaFbLPu6AA&amp;e=</t>
  </si>
  <si>
    <t>54骞?6006</t>
  </si>
  <si>
    <t>CHN-1997</t>
  </si>
  <si>
    <t>8244553f-1e42-11e4-b4cd-db5882bf8def</t>
  </si>
  <si>
    <t>Jiang Zemin</t>
  </si>
  <si>
    <t>https://urldefense.proofpoint.com/v2/url?u=http-3A__dbpedia.org_resource_Jiang-5FZemin&amp;d=BQID-g&amp;c=kbmfwr1Yojg42sGEpaQh5ofMHBeTl9EI2eaqQZhHbOU&amp;r=ZliGVSRwfirWoETOrKCh2RSnoygzVPWEk95Me9L-Kwo&amp;m=EaKyFx9mpkhPdFxsxzvW_fiM3jbYwM3xYLjVbSFoDAg&amp;s=56ggL6ew2_Y_HnaaQWN_pDv58lfdRMcn7BATelmWxxg&amp;e=</t>
  </si>
  <si>
    <t>54骞?2215</t>
  </si>
  <si>
    <t>CHN-2003</t>
  </si>
  <si>
    <t>82445540-1e42-11e4-b4cd-db5882bf8def</t>
  </si>
  <si>
    <t>Hu Jintao</t>
  </si>
  <si>
    <t>https://urldefense.proofpoint.com/v2/url?u=http-3A__dbpedia.org_resource_Hu-5FJintao&amp;d=BQID-g&amp;c=kbmfwr1Yojg42sGEpaQh5ofMHBeTl9EI2eaqQZhHbOU&amp;r=ZliGVSRwfirWoETOrKCh2RSnoygzVPWEk95Me9L-Kwo&amp;m=EaKyFx9mpkhPdFxsxzvW_fiM3jbYwM3xYLjVbSFoDAg&amp;s=GnqnXTQH_eYvo2CNOx84tgihhQDiCoUOpWJ5cNAru0A&amp;e=</t>
  </si>
  <si>
    <t>54骞?3533</t>
  </si>
  <si>
    <t>CHN-2012</t>
  </si>
  <si>
    <t>2b3ec879-3481-11e4-8dba-bbcd9ed46413</t>
  </si>
  <si>
    <t>Xi Jinping</t>
  </si>
  <si>
    <t>54骞?1141</t>
  </si>
  <si>
    <t>TBT-1875</t>
  </si>
  <si>
    <t>82445541-1e42-11e4-b4cd-db5882bf8def</t>
  </si>
  <si>
    <t>TBT</t>
  </si>
  <si>
    <t>Tatsak Rinpoche</t>
  </si>
  <si>
    <t>1875-04-25</t>
  </si>
  <si>
    <t>1886-06-15</t>
  </si>
  <si>
    <t>15jun1886</t>
  </si>
  <si>
    <t>TBT-1886</t>
  </si>
  <si>
    <t>82445542-1e42-11e4-b4cd-db5882bf8def</t>
  </si>
  <si>
    <t>Demo Tulku Trinley Rabgyey</t>
  </si>
  <si>
    <t>1895-01-08</t>
  </si>
  <si>
    <t>08jan1895</t>
  </si>
  <si>
    <t>TBT-1895</t>
  </si>
  <si>
    <t>82445543-1e42-11e4-b4cd-db5882bf8def</t>
  </si>
  <si>
    <t>13th Dalai Lama</t>
  </si>
  <si>
    <t>1876-06-26</t>
  </si>
  <si>
    <t>26jun1876</t>
  </si>
  <si>
    <t>TBT-1933</t>
  </si>
  <si>
    <t>82448612-1e42-11e4-b4cd-db5882bf8def</t>
  </si>
  <si>
    <t>Radreng Hutukto</t>
  </si>
  <si>
    <t>TBT-1941</t>
  </si>
  <si>
    <t>82448613-1e42-11e4-b4cd-db5882bf8def</t>
  </si>
  <si>
    <t>Taktra Rimpoche</t>
  </si>
  <si>
    <t>TBT-1950</t>
  </si>
  <si>
    <t>82448614-1e42-11e4-b4cd-db5882bf8def</t>
  </si>
  <si>
    <t>14th Dalai Lama</t>
  </si>
  <si>
    <t>MON-1921-1</t>
  </si>
  <si>
    <t>82448615-1e42-11e4-b4cd-db5882bf8def</t>
  </si>
  <si>
    <t>MON</t>
  </si>
  <si>
    <t>Chagdarjav</t>
  </si>
  <si>
    <t>MON-1921-2</t>
  </si>
  <si>
    <t>82448616-1e42-11e4-b4cd-db5882bf8def</t>
  </si>
  <si>
    <t>Dogsomyn Bodo</t>
  </si>
  <si>
    <t>MON-1922</t>
  </si>
  <si>
    <t>82448617-1e42-11e4-b4cd-db5882bf8def</t>
  </si>
  <si>
    <t>Sukhebaatur</t>
  </si>
  <si>
    <t>1893-02-02</t>
  </si>
  <si>
    <t>02feb1893</t>
  </si>
  <si>
    <t>MON-1923</t>
  </si>
  <si>
    <t>8244b6e6-1e42-11e4-b4cd-db5882bf8def</t>
  </si>
  <si>
    <t>Danzin</t>
  </si>
  <si>
    <t>MON-1924</t>
  </si>
  <si>
    <t>8244b6e7-1e42-11e4-b4cd-db5882bf8def</t>
  </si>
  <si>
    <t>Elbek-Dorzhi Rinchino</t>
  </si>
  <si>
    <t>1898-05-16</t>
  </si>
  <si>
    <t>16may1898</t>
  </si>
  <si>
    <t>MON-1925</t>
  </si>
  <si>
    <t>8244b6e8-1e42-11e4-b4cd-db5882bf8def</t>
  </si>
  <si>
    <t>Dambadorji</t>
  </si>
  <si>
    <t>MON-1928</t>
  </si>
  <si>
    <t>8244b6e9-1e42-11e4-b4cd-db5882bf8def</t>
  </si>
  <si>
    <t>Gendun</t>
  </si>
  <si>
    <t>MON-1936</t>
  </si>
  <si>
    <t>8244b6ea-1e42-11e4-b4cd-db5882bf8def</t>
  </si>
  <si>
    <t>Choibalsan</t>
  </si>
  <si>
    <t>1895-02-08</t>
  </si>
  <si>
    <t>08feb1895</t>
  </si>
  <si>
    <t>MON-1952</t>
  </si>
  <si>
    <t>8244b6eb-1e42-11e4-b4cd-db5882bf8def</t>
  </si>
  <si>
    <t>Tsedenbal</t>
  </si>
  <si>
    <t>MON-1984</t>
  </si>
  <si>
    <t>8244e7c4-1e42-11e4-b4cd-db5882bf8def</t>
  </si>
  <si>
    <t>Batmonh</t>
  </si>
  <si>
    <t>MON-1990</t>
  </si>
  <si>
    <t>8244e7c5-1e42-11e4-b4cd-db5882bf8def</t>
  </si>
  <si>
    <t>Ochirbat</t>
  </si>
  <si>
    <t>MON-1997</t>
  </si>
  <si>
    <t>8244e7c6-1e42-11e4-b4cd-db5882bf8def</t>
  </si>
  <si>
    <t>Bagabandi</t>
  </si>
  <si>
    <t>https://urldefense.proofpoint.com/v2/url?u=http-3A__dbpedia.org_resource_Natsagiin-5FBagabandi&amp;d=BQID-g&amp;c=kbmfwr1Yojg42sGEpaQh5ofMHBeTl9EI2eaqQZhHbOU&amp;r=ZliGVSRwfirWoETOrKCh2RSnoygzVPWEk95Me9L-Kwo&amp;m=EaKyFx9mpkhPdFxsxzvW_fiM3jbYwM3xYLjVbSFoDAg&amp;s=brJOdisKbC7HhyoMjFTUT6boNz4jwTAYoBpUX_XuS70&amp;e=</t>
  </si>
  <si>
    <t>MON-2005</t>
  </si>
  <si>
    <t>8254bcd5-1e42-11e4-b4cd-db5882bf8def</t>
  </si>
  <si>
    <t>Enkhbayar</t>
  </si>
  <si>
    <t>MON-2009</t>
  </si>
  <si>
    <t>8254bcd6-1e42-11e4-b4cd-db5882bf8def</t>
  </si>
  <si>
    <t>Elbegdorj</t>
  </si>
  <si>
    <t>TAW-1949</t>
  </si>
  <si>
    <t>8244e7c7-1e42-11e4-b4cd-db5882bf8def</t>
  </si>
  <si>
    <t>TAW</t>
  </si>
  <si>
    <t>Li Tsung-jen</t>
  </si>
  <si>
    <t>22骞?403</t>
  </si>
  <si>
    <t>TAW-1950</t>
  </si>
  <si>
    <t>8244e7c8-1e42-11e4-b4cd-db5882bf8def</t>
  </si>
  <si>
    <t>Father of Chiang Ching-Kuo%82451898-1e42-11e4-b4cd-db5882bf8def</t>
  </si>
  <si>
    <t>22骞?9166</t>
  </si>
  <si>
    <t>TAW-1975</t>
  </si>
  <si>
    <t>8244e7c9-1e42-11e4-b4cd-db5882bf8def</t>
  </si>
  <si>
    <t>Yen Chia-Kan</t>
  </si>
  <si>
    <t>https://urldefense.proofpoint.com/v2/url?u=http-3A__dbpedia.org_resource_Yen-5FChia-2Dkan&amp;d=BQID-g&amp;c=kbmfwr1Yojg42sGEpaQh5ofMHBeTl9EI2eaqQZhHbOU&amp;r=ZliGVSRwfirWoETOrKCh2RSnoygzVPWEk95Me9L-Kwo&amp;m=EaKyFx9mpkhPdFxsxzvW_fiM3jbYwM3xYLjVbSFoDAg&amp;s=5igFXemLYHGZlzrbkQzDFLzXky7-XEYqReuVzi5Z_ZI&amp;e=</t>
  </si>
  <si>
    <t>22骞?1141</t>
  </si>
  <si>
    <t>TAW-1978</t>
  </si>
  <si>
    <t>82451898-1e42-11e4-b4cd-db5882bf8def</t>
  </si>
  <si>
    <t>Chiang Ching-Kuo</t>
  </si>
  <si>
    <t>https://urldefense.proofpoint.com/v2/url?u=http-3A__dbpedia.org_resource_Chiang-5FChing-2Dkuo&amp;d=BQID-g&amp;c=kbmfwr1Yojg42sGEpaQh5ofMHBeTl9EI2eaqQZhHbOU&amp;r=ZliGVSRwfirWoETOrKCh2RSnoygzVPWEk95Me9L-Kwo&amp;m=EaKyFx9mpkhPdFxsxzvW_fiM3jbYwM3xYLjVbSFoDAg&amp;s=D5Ubzn6g6CQzJKoSX5xHbllNT3dfsbgSaxBowW3YRnk&amp;e=</t>
  </si>
  <si>
    <t>Son of Chiang Kai-shek%8244e7c8-1e42-11e4-b4cd-db5882bf8def</t>
  </si>
  <si>
    <t>22骞?3525</t>
  </si>
  <si>
    <t>TAW-1988</t>
  </si>
  <si>
    <t>82451899-1e42-11e4-b4cd-db5882bf8def</t>
  </si>
  <si>
    <t>Lee Teng-Hui</t>
  </si>
  <si>
    <t>https://urldefense.proofpoint.com/v2/url?u=http-3A__dbpedia.org_resource_Lee-5FTeng-2Dhui&amp;d=BQID-g&amp;c=kbmfwr1Yojg42sGEpaQh5ofMHBeTl9EI2eaqQZhHbOU&amp;r=ZliGVSRwfirWoETOrKCh2RSnoygzVPWEk95Me9L-Kwo&amp;m=EaKyFx9mpkhPdFxsxzvW_fiM3jbYwM3xYLjVbSFoDAg&amp;s=MYTL8ATXVgsIR4VzavIQrlIThH9qt8P3rMdOqihbrhk&amp;e=</t>
  </si>
  <si>
    <t>22骞?4511</t>
  </si>
  <si>
    <t>TAW-2000</t>
  </si>
  <si>
    <t>8245189a-1e42-11e4-b4cd-db5882bf8def</t>
  </si>
  <si>
    <t>Chen Shui-bian</t>
  </si>
  <si>
    <t>22骞?2921</t>
  </si>
  <si>
    <t>TAW-2008</t>
  </si>
  <si>
    <t>8254eda4-1e42-11e4-b4cd-db5882bf8def</t>
  </si>
  <si>
    <t>Ma Ying-jeou</t>
  </si>
  <si>
    <t>22骞?2781</t>
  </si>
  <si>
    <t>KOR-1873</t>
  </si>
  <si>
    <t>8245189b-1e42-11e4-b4cd-db5882bf8def</t>
  </si>
  <si>
    <t>KOR</t>
  </si>
  <si>
    <t>Yi Hyong</t>
  </si>
  <si>
    <t>1873-12-22</t>
  </si>
  <si>
    <t>KOR-1907</t>
  </si>
  <si>
    <t>8245189c-1e42-11e4-b4cd-db5882bf8def</t>
  </si>
  <si>
    <t>Yi Ch'ok</t>
  </si>
  <si>
    <t>PRK-1948</t>
  </si>
  <si>
    <t>8245189d-1e42-11e4-b4cd-db5882bf8def</t>
  </si>
  <si>
    <t>PRK</t>
  </si>
  <si>
    <t>Kim Il-Sung</t>
  </si>
  <si>
    <t>https://urldefense.proofpoint.com/v2/url?u=http-3A__dbpedia.org_resource_Kim-5FIl-2Dsung&amp;d=BQID-g&amp;c=kbmfwr1Yojg42sGEpaQh5ofMHBeTl9EI2eaqQZhHbOU&amp;r=ZliGVSRwfirWoETOrKCh2RSnoygzVPWEk95Me9L-Kwo&amp;m=EaKyFx9mpkhPdFxsxzvW_fiM3jbYwM3xYLjVbSFoDAg&amp;s=NEwYbG74wJqDRG1vSKPLd7k30hLvLnx_JU1kbYMxjns&amp;e=</t>
  </si>
  <si>
    <t>Father of Kim Jong-Il%8245496c-1e42-11e4-b4cd-db5882bf8def</t>
  </si>
  <si>
    <t>PRK-1994</t>
  </si>
  <si>
    <t>8245496c-1e42-11e4-b4cd-db5882bf8def</t>
  </si>
  <si>
    <t>Kim Jong-Il</t>
  </si>
  <si>
    <t>https://urldefense.proofpoint.com/v2/url?u=http-3A__dbpedia.org_resource_Kim-5FJong-2Dil&amp;d=BQID-g&amp;c=kbmfwr1Yojg42sGEpaQh5ofMHBeTl9EI2eaqQZhHbOU&amp;r=ZliGVSRwfirWoETOrKCh2RSnoygzVPWEk95Me9L-Kwo&amp;m=EaKyFx9mpkhPdFxsxzvW_fiM3jbYwM3xYLjVbSFoDAg&amp;s=pf-DbC3l33FwsTdsEFwJe8kKz_nNK8DHI2j_FnNkvaM&amp;e=</t>
  </si>
  <si>
    <t>Son of Kim Il-Sung%8245189d-1e42-11e4-b4cd-db5882bf8def</t>
  </si>
  <si>
    <t>PRK-2011</t>
  </si>
  <si>
    <t>8254eda5-1e42-11e4-b4cd-db5882bf8def</t>
  </si>
  <si>
    <t>Kim Jong Un</t>
  </si>
  <si>
    <t>ROK-1948</t>
  </si>
  <si>
    <t>8245496d-1e42-11e4-b4cd-db5882bf8def</t>
  </si>
  <si>
    <t>ROK</t>
  </si>
  <si>
    <t>Rhee</t>
  </si>
  <si>
    <t>1875-04-26</t>
  </si>
  <si>
    <t>26apr1875</t>
  </si>
  <si>
    <t>https://urldefense.proofpoint.com/v2/url?u=http-3A__dbpedia.org_resource_Syngman-5FRhee&amp;d=BQID-g&amp;c=kbmfwr1Yojg42sGEpaQh5ofMHBeTl9EI2eaqQZhHbOU&amp;r=ZliGVSRwfirWoETOrKCh2RSnoygzVPWEk95Me9L-Kwo&amp;m=EaKyFx9mpkhPdFxsxzvW_fiM3jbYwM3xYLjVbSFoDAg&amp;s=bzhXJQ0ywkDhPeTwWyyH9HGRDyl63YzN1l2IJPGSR2M&amp;e=</t>
  </si>
  <si>
    <t>ROK-1960-1</t>
  </si>
  <si>
    <t>8245496e-1e42-11e4-b4cd-db5882bf8def</t>
  </si>
  <si>
    <t>Ho Chong</t>
  </si>
  <si>
    <t>ROK-1960-2</t>
  </si>
  <si>
    <t>8245496f-1e42-11e4-b4cd-db5882bf8def</t>
  </si>
  <si>
    <t>Myun Chang</t>
  </si>
  <si>
    <t>1899-08-28</t>
  </si>
  <si>
    <t>28aug1899</t>
  </si>
  <si>
    <t>ROK-1961-1</t>
  </si>
  <si>
    <t>82454970-1e42-11e4-b4cd-db5882bf8def</t>
  </si>
  <si>
    <t>Chang Do Yong</t>
  </si>
  <si>
    <t>ROK-1961-2</t>
  </si>
  <si>
    <t>82454971-1e42-11e4-b4cd-db5882bf8def</t>
  </si>
  <si>
    <t>Hee Park</t>
  </si>
  <si>
    <t>https://urldefense.proofpoint.com/v2/url?u=http-3A__dbpedia.org_resource_Park-5FChung-2Dhee&amp;d=BQID-g&amp;c=kbmfwr1Yojg42sGEpaQh5ofMHBeTl9EI2eaqQZhHbOU&amp;r=ZliGVSRwfirWoETOrKCh2RSnoygzVPWEk95Me9L-Kwo&amp;m=EaKyFx9mpkhPdFxsxzvW_fiM3jbYwM3xYLjVbSFoDAg&amp;s=IdutelC6c_0z4fXd1Pbqo_m3F6AT2rIHwjOtcZmSZhk&amp;e=</t>
  </si>
  <si>
    <t>ROK-1979</t>
  </si>
  <si>
    <t>82457a40-1e42-11e4-b4cd-db5882bf8def</t>
  </si>
  <si>
    <t>Choi Kuy Hay</t>
  </si>
  <si>
    <t>ROK-1980-1</t>
  </si>
  <si>
    <t>82457a41-1e42-11e4-b4cd-db5882bf8def</t>
  </si>
  <si>
    <t>Park Choong Hoon</t>
  </si>
  <si>
    <t>ROK-1980-2</t>
  </si>
  <si>
    <t>82457a42-1e42-11e4-b4cd-db5882bf8def</t>
  </si>
  <si>
    <t>Chun Doo Hwan</t>
  </si>
  <si>
    <t>ROK-1988</t>
  </si>
  <si>
    <t>82457a43-1e42-11e4-b4cd-db5882bf8def</t>
  </si>
  <si>
    <t>Roh Tae Woo</t>
  </si>
  <si>
    <t>ROK-1993</t>
  </si>
  <si>
    <t>82457a44-1e42-11e4-b4cd-db5882bf8def</t>
  </si>
  <si>
    <t>Kim Young Sam</t>
  </si>
  <si>
    <t>ROK-1998</t>
  </si>
  <si>
    <t>82457a45-1e42-11e4-b4cd-db5882bf8def</t>
  </si>
  <si>
    <t>Kim Dae Jung</t>
  </si>
  <si>
    <t>ROK-2003</t>
  </si>
  <si>
    <t>8245ab14-1e42-11e4-b4cd-db5882bf8def</t>
  </si>
  <si>
    <t>Roh Moo Hyun</t>
  </si>
  <si>
    <t>ROK-2008</t>
  </si>
  <si>
    <t>8254eda6-1e42-11e4-b4cd-db5882bf8def</t>
  </si>
  <si>
    <t>Lee Myung Bak</t>
  </si>
  <si>
    <t>ROK-2013</t>
  </si>
  <si>
    <t>2b3ec87a-3481-11e4-8dba-bbcd9ed46413</t>
  </si>
  <si>
    <t>Park Geun-hye</t>
  </si>
  <si>
    <t>JPN-1868</t>
  </si>
  <si>
    <t>8245ab15-1e42-11e4-b4cd-db5882bf8def</t>
  </si>
  <si>
    <t>JPN</t>
  </si>
  <si>
    <t>Mutsuhito (Emperor)</t>
  </si>
  <si>
    <t>1868-01-03</t>
  </si>
  <si>
    <t>1885-12-22</t>
  </si>
  <si>
    <t>1852-11-03</t>
  </si>
  <si>
    <t>03nov1852</t>
  </si>
  <si>
    <t>https://urldefense.proofpoint.com/v2/url?u=http-3A__dbpedia.org_resource_Emperor-5FMeiji&amp;d=BQID-g&amp;c=kbmfwr1Yojg42sGEpaQh5ofMHBeTl9EI2eaqQZhHbOU&amp;r=ZliGVSRwfirWoETOrKCh2RSnoygzVPWEk95Me9L-Kwo&amp;m=EaKyFx9mpkhPdFxsxzvW_fiM3jbYwM3xYLjVbSFoDAg&amp;s=wgAClXZ92cBbUGqa2sBQ7r0k_A6bEtOE4Acqui8tVQM&amp;e=</t>
  </si>
  <si>
    <t>30骞?6563</t>
  </si>
  <si>
    <t>JPN-1885</t>
  </si>
  <si>
    <t>3641c628-3bbd-11e5-afeb-eb6f07f9fec7</t>
  </si>
  <si>
    <t>Hirobumi Ito</t>
  </si>
  <si>
    <t>1888-04-30</t>
  </si>
  <si>
    <t>1842-09-02</t>
  </si>
  <si>
    <t>02sep1842</t>
  </si>
  <si>
    <t>https://urldefense.proofpoint.com/v2/url?u=http-3A__dbpedia.org_resource_It-25C5-258D-5FHirobumi&amp;d=BQID-g&amp;c=kbmfwr1Yojg42sGEpaQh5ofMHBeTl9EI2eaqQZhHbOU&amp;r=ZliGVSRwfirWoETOrKCh2RSnoygzVPWEk95Me9L-Kwo&amp;m=EaKyFx9mpkhPdFxsxzvW_fiM3jbYwM3xYLjVbSFoDAg&amp;s=bQsi6IY5YZXr7L29QCnFpRr7EMjreGXFkPouGnH5_B4&amp;e=</t>
  </si>
  <si>
    <t>30骞?860</t>
  </si>
  <si>
    <t>JPN-1888</t>
  </si>
  <si>
    <t>8245ab17-1e42-11e4-b4cd-db5882bf8def</t>
  </si>
  <si>
    <t>Kuroda</t>
  </si>
  <si>
    <t>1889-12-24</t>
  </si>
  <si>
    <t>https://urldefense.proofpoint.com/v2/url?u=http-3A__dbpedia.org_resource_Kuroda-5FKiyotaka&amp;d=BQID-g&amp;c=kbmfwr1Yojg42sGEpaQh5ofMHBeTl9EI2eaqQZhHbOU&amp;r=ZliGVSRwfirWoETOrKCh2RSnoygzVPWEk95Me9L-Kwo&amp;m=EaKyFx9mpkhPdFxsxzvW_fiM3jbYwM3xYLjVbSFoDAg&amp;s=lyL2K3o1R6zmEi1cKD4UViIZxAzm_2ddgP1N2alhUHA&amp;e=</t>
  </si>
  <si>
    <t>30骞?603</t>
  </si>
  <si>
    <t>JPN-1889</t>
  </si>
  <si>
    <t>8245ab18-1e42-11e4-b4cd-db5882bf8def</t>
  </si>
  <si>
    <t>Yamagata</t>
  </si>
  <si>
    <t>1891-05-06</t>
  </si>
  <si>
    <t>1838-04-22</t>
  </si>
  <si>
    <t>22apr1838</t>
  </si>
  <si>
    <t>https://urldefense.proofpoint.com/v2/url?u=http-3A__dbpedia.org_resource_Yamagata-5FAritomo&amp;d=BQID-g&amp;c=kbmfwr1Yojg42sGEpaQh5ofMHBeTl9EI2eaqQZhHbOU&amp;r=ZliGVSRwfirWoETOrKCh2RSnoygzVPWEk95Me9L-Kwo&amp;m=EaKyFx9mpkhPdFxsxzvW_fiM3jbYwM3xYLjVbSFoDAg&amp;s=e7AnsNL4U66H89HEfSGnDqKNn7WZUNnjPn1CRoKUU_s&amp;e=</t>
  </si>
  <si>
    <t>30骞?498</t>
  </si>
  <si>
    <t>JPN-1891</t>
  </si>
  <si>
    <t>8245ab19-1e42-11e4-b4cd-db5882bf8def</t>
  </si>
  <si>
    <t>Matsukata</t>
  </si>
  <si>
    <t>1892-08-08</t>
  </si>
  <si>
    <t>https://urldefense.proofpoint.com/v2/url?u=http-3A__dbpedia.org_resource_Matsukata-5FMasayoshi&amp;d=BQID-g&amp;c=kbmfwr1Yojg42sGEpaQh5ofMHBeTl9EI2eaqQZhHbOU&amp;r=ZliGVSRwfirWoETOrKCh2RSnoygzVPWEk95Me9L-Kwo&amp;m=EaKyFx9mpkhPdFxsxzvW_fiM3jbYwM3xYLjVbSFoDAg&amp;s=xh4n3Scq8yABGiXAoY9OJ0jzhNOwSqbk3uy0xYe15pg&amp;e=</t>
  </si>
  <si>
    <t>30骞?460</t>
  </si>
  <si>
    <t>JPN-1892</t>
  </si>
  <si>
    <t>30骞?1502</t>
  </si>
  <si>
    <t>JPN-1896</t>
  </si>
  <si>
    <t>1897-04-14</t>
  </si>
  <si>
    <t>30骞?208</t>
  </si>
  <si>
    <t>JPN-1897-1</t>
  </si>
  <si>
    <t>1897-06-08</t>
  </si>
  <si>
    <t>30骞?55</t>
  </si>
  <si>
    <t>JPN-1897-2</t>
  </si>
  <si>
    <t>1898-01-12</t>
  </si>
  <si>
    <t>30骞?218</t>
  </si>
  <si>
    <t>JPN-1898-1</t>
  </si>
  <si>
    <t>1898-06-30</t>
  </si>
  <si>
    <t>30骞?169</t>
  </si>
  <si>
    <t>JPN-1898-2</t>
  </si>
  <si>
    <t>8245ab1a-1e42-11e4-b4cd-db5882bf8def</t>
  </si>
  <si>
    <t>Okuma</t>
  </si>
  <si>
    <t>https://urldefense.proofpoint.com/v2/url?u=http-3A__dbpedia.org_resource_-25C5-258Ckuma-5FShigenobu&amp;d=BQID-g&amp;c=kbmfwr1Yojg42sGEpaQh5ofMHBeTl9EI2eaqQZhHbOU&amp;r=ZliGVSRwfirWoETOrKCh2RSnoygzVPWEk95Me9L-Kwo&amp;m=EaKyFx9mpkhPdFxsxzvW_fiM3jbYwM3xYLjVbSFoDAg&amp;s=B5JCoN1tX5pvskNUY-SPhOXtXxxwhHs1KdA_79Ps0L0&amp;e=</t>
  </si>
  <si>
    <t>30骞?123</t>
  </si>
  <si>
    <t>JPN-1898-3</t>
  </si>
  <si>
    <t>1898-11-07</t>
  </si>
  <si>
    <t>30骞?711</t>
  </si>
  <si>
    <t>JPN-1900</t>
  </si>
  <si>
    <t>30骞?203</t>
  </si>
  <si>
    <t>JPN-1901-1</t>
  </si>
  <si>
    <t>8245dbe8-1e42-11e4-b4cd-db5882bf8def</t>
  </si>
  <si>
    <t>Saionji</t>
  </si>
  <si>
    <t>https://urldefense.proofpoint.com/v2/url?u=http-3A__dbpedia.org_resource_Saionji-5FKinmochi&amp;d=BQID-g&amp;c=kbmfwr1Yojg42sGEpaQh5ofMHBeTl9EI2eaqQZhHbOU&amp;r=ZliGVSRwfirWoETOrKCh2RSnoygzVPWEk95Me9L-Kwo&amp;m=EaKyFx9mpkhPdFxsxzvW_fiM3jbYwM3xYLjVbSFoDAg&amp;s=XvM7nSFno4sKtdlYlnU_cJnRwaZOx01AN6pJJfZOqRE&amp;e=</t>
  </si>
  <si>
    <t>30骞?23</t>
  </si>
  <si>
    <t>JPN-1901-2</t>
  </si>
  <si>
    <t>8245dbe9-1e42-11e4-b4cd-db5882bf8def</t>
  </si>
  <si>
    <t>Katsura</t>
  </si>
  <si>
    <t>1847-11-28</t>
  </si>
  <si>
    <t>28nov1847</t>
  </si>
  <si>
    <t>30骞?1680</t>
  </si>
  <si>
    <t>JPN-1906</t>
  </si>
  <si>
    <t>30骞?919</t>
  </si>
  <si>
    <t>JPN-1908</t>
  </si>
  <si>
    <t>30骞?1142</t>
  </si>
  <si>
    <t>JPN-1911</t>
  </si>
  <si>
    <t>30骞?479</t>
  </si>
  <si>
    <t>JPN-1912</t>
  </si>
  <si>
    <t>30骞?61</t>
  </si>
  <si>
    <t>JPN-1913</t>
  </si>
  <si>
    <t>8245dbea-1e42-11e4-b4cd-db5882bf8def</t>
  </si>
  <si>
    <t>Yamamoto, G.</t>
  </si>
  <si>
    <t>https://urldefense.proofpoint.com/v2/url?u=http-3A__dbpedia.org_resource_Yamamoto-5FGonnohy-25C5-258De&amp;d=BQID-g&amp;c=kbmfwr1Yojg42sGEpaQh5ofMHBeTl9EI2eaqQZhHbOU&amp;r=ZliGVSRwfirWoETOrKCh2RSnoygzVPWEk95Me9L-Kwo&amp;m=EaKyFx9mpkhPdFxsxzvW_fiM3jbYwM3xYLjVbSFoDAg&amp;s=j1FXilucmgcFNcRY3PdzIj4FX727siVNuc4S7fz6FXo&amp;e=</t>
  </si>
  <si>
    <t>30骞?420</t>
  </si>
  <si>
    <t>JPN-1914</t>
  </si>
  <si>
    <t>30骞?907</t>
  </si>
  <si>
    <t>JPN-1916</t>
  </si>
  <si>
    <t>8245dbeb-1e42-11e4-b4cd-db5882bf8def</t>
  </si>
  <si>
    <t>Terauchi</t>
  </si>
  <si>
    <t>https://urldefense.proofpoint.com/v2/url?u=http-3A__dbpedia.org_resource_Terauchi-5FMasatake&amp;d=BQID-g&amp;c=kbmfwr1Yojg42sGEpaQh5ofMHBeTl9EI2eaqQZhHbOU&amp;r=ZliGVSRwfirWoETOrKCh2RSnoygzVPWEk95Me9L-Kwo&amp;m=EaKyFx9mpkhPdFxsxzvW_fiM3jbYwM3xYLjVbSFoDAg&amp;s=mFmJG5_8NXaK5Pd-cuX09I1L5QhqUgni5dr-ZknAUdQ&amp;e=</t>
  </si>
  <si>
    <t>30骞?720</t>
  </si>
  <si>
    <t>JPN-1918</t>
  </si>
  <si>
    <t>8245dbec-1e42-11e4-b4cd-db5882bf8def</t>
  </si>
  <si>
    <t>Hara, T.</t>
  </si>
  <si>
    <t>1856-02-09</t>
  </si>
  <si>
    <t>09feb1856</t>
  </si>
  <si>
    <t>https://urldefense.proofpoint.com/v2/url?u=http-3A__dbpedia.org_resource_Hara-5FTakashi&amp;d=BQID-g&amp;c=kbmfwr1Yojg42sGEpaQh5ofMHBeTl9EI2eaqQZhHbOU&amp;r=ZliGVSRwfirWoETOrKCh2RSnoygzVPWEk95Me9L-Kwo&amp;m=EaKyFx9mpkhPdFxsxzvW_fiM3jbYwM3xYLjVbSFoDAg&amp;s=8S7oYtyaOgFN8ak3NtjydoUyzYKFb4nbkqbWP9uIxFs&amp;e=</t>
  </si>
  <si>
    <t>30骞?1132</t>
  </si>
  <si>
    <t>JPN-1921-1</t>
  </si>
  <si>
    <t>8245dbed-1e42-11e4-b4cd-db5882bf8def</t>
  </si>
  <si>
    <t>Uchida</t>
  </si>
  <si>
    <t>30骞?9</t>
  </si>
  <si>
    <t>JPN-1921-2</t>
  </si>
  <si>
    <t>82460cbc-1e42-11e4-b4cd-db5882bf8def</t>
  </si>
  <si>
    <t>Takahashi, K.</t>
  </si>
  <si>
    <t>https://urldefense.proofpoint.com/v2/url?u=http-3A__dbpedia.org_resource_Takahashi-5FKorekiyo&amp;d=BQID-g&amp;c=kbmfwr1Yojg42sGEpaQh5ofMHBeTl9EI2eaqQZhHbOU&amp;r=ZliGVSRwfirWoETOrKCh2RSnoygzVPWEk95Me9L-Kwo&amp;m=EaKyFx9mpkhPdFxsxzvW_fiM3jbYwM3xYLjVbSFoDAg&amp;s=vDOQmASY2-oLudmk-DXZ31Vl2qJ6gxDMnyUopmaiDwE&amp;e=</t>
  </si>
  <si>
    <t>30骞?210</t>
  </si>
  <si>
    <t>JPN-1922</t>
  </si>
  <si>
    <t>82460cbd-1e42-11e4-b4cd-db5882bf8def</t>
  </si>
  <si>
    <t>Kato, Tomosaburo</t>
  </si>
  <si>
    <t>30骞?439</t>
  </si>
  <si>
    <t>JPN-1923-1</t>
  </si>
  <si>
    <t>30骞?19</t>
  </si>
  <si>
    <t>JPN-1923-2</t>
  </si>
  <si>
    <t>30骞?108</t>
  </si>
  <si>
    <t>JPN-1923-3</t>
  </si>
  <si>
    <t>82460cbe-1e42-11e4-b4cd-db5882bf8def</t>
  </si>
  <si>
    <t>Kiyoura</t>
  </si>
  <si>
    <t>https://urldefense.proofpoint.com/v2/url?u=http-3A__dbpedia.org_resource_Kiyoura-5FKeigo&amp;d=BQID-g&amp;c=kbmfwr1Yojg42sGEpaQh5ofMHBeTl9EI2eaqQZhHbOU&amp;r=ZliGVSRwfirWoETOrKCh2RSnoygzVPWEk95Me9L-Kwo&amp;m=EaKyFx9mpkhPdFxsxzvW_fiM3jbYwM3xYLjVbSFoDAg&amp;s=tI0XxrdPUUIGVHks0L-CiioJpXct5P-654nMZqydKbs&amp;e=</t>
  </si>
  <si>
    <t>30骞?165</t>
  </si>
  <si>
    <t>JPN-1924</t>
  </si>
  <si>
    <t>82460cbf-1e42-11e4-b4cd-db5882bf8def</t>
  </si>
  <si>
    <t>Kato, Takaaki</t>
  </si>
  <si>
    <t>1860-01-03</t>
  </si>
  <si>
    <t>03jan1860</t>
  </si>
  <si>
    <t>https://urldefense.proofpoint.com/v2/url?u=http-3A__dbpedia.org_resource_Kat-25C5-258D-5FTakaaki&amp;d=BQID-g&amp;c=kbmfwr1Yojg42sGEpaQh5ofMHBeTl9EI2eaqQZhHbOU&amp;r=ZliGVSRwfirWoETOrKCh2RSnoygzVPWEk95Me9L-Kwo&amp;m=EaKyFx9mpkhPdFxsxzvW_fiM3jbYwM3xYLjVbSFoDAg&amp;s=GQNwqw3qNOKzbjA3CqvwhiA3JtAfDmuI-yLYBrbWe_c&amp;e=</t>
  </si>
  <si>
    <t>30骞?596</t>
  </si>
  <si>
    <t>JPN-1926</t>
  </si>
  <si>
    <t>82460cc0-1e42-11e4-b4cd-db5882bf8def</t>
  </si>
  <si>
    <t>Wakatsuki</t>
  </si>
  <si>
    <t>1866-02-05</t>
  </si>
  <si>
    <t>05feb1866</t>
  </si>
  <si>
    <t>https://urldefense.proofpoint.com/v2/url?u=http-3A__dbpedia.org_resource_Wakatsuki-5FReijir-25C5-258D&amp;d=BQID-g&amp;c=kbmfwr1Yojg42sGEpaQh5ofMHBeTl9EI2eaqQZhHbOU&amp;r=ZliGVSRwfirWoETOrKCh2RSnoygzVPWEk95Me9L-Kwo&amp;m=EaKyFx9mpkhPdFxsxzvW_fiM3jbYwM3xYLjVbSFoDAg&amp;s=s-LpP_nGfLg3yHqGN3u1sXn95VU-YeGUm4ybs9Fog90&amp;e=</t>
  </si>
  <si>
    <t>30骞?443</t>
  </si>
  <si>
    <t>JPN-1927</t>
  </si>
  <si>
    <t>82460cc1-1e42-11e4-b4cd-db5882bf8def</t>
  </si>
  <si>
    <t>Tanaka, G.</t>
  </si>
  <si>
    <t>https://urldefense.proofpoint.com/v2/url?u=http-3A__dbpedia.org_resource_Tanaka-5FGiichi&amp;d=BQID-g&amp;c=kbmfwr1Yojg42sGEpaQh5ofMHBeTl9EI2eaqQZhHbOU&amp;r=ZliGVSRwfirWoETOrKCh2RSnoygzVPWEk95Me9L-Kwo&amp;m=EaKyFx9mpkhPdFxsxzvW_fiM3jbYwM3xYLjVbSFoDAg&amp;s=FhPoqQXEXNjoK6hqX0q_0MY9TH8ETcwkPF-SlULkwyk&amp;e=</t>
  </si>
  <si>
    <t>30骞?807</t>
  </si>
  <si>
    <t>JPN-1929</t>
  </si>
  <si>
    <t>82463d90-1e42-11e4-b4cd-db5882bf8def</t>
  </si>
  <si>
    <t>Hamaguchi</t>
  </si>
  <si>
    <t>https://urldefense.proofpoint.com/v2/url?u=http-3A__dbpedia.org_resource_Osachi-5FHamaguchi&amp;d=BQID-g&amp;c=kbmfwr1Yojg42sGEpaQh5ofMHBeTl9EI2eaqQZhHbOU&amp;r=ZliGVSRwfirWoETOrKCh2RSnoygzVPWEk95Me9L-Kwo&amp;m=EaKyFx9mpkhPdFxsxzvW_fiM3jbYwM3xYLjVbSFoDAg&amp;s=6QBValYnpd_FgLtP-L-EDDFLMHTvLe00VIpdfEIYh0c&amp;e=</t>
  </si>
  <si>
    <t>30骞?500</t>
  </si>
  <si>
    <t>JPN-1930</t>
  </si>
  <si>
    <t>82463d91-1e42-11e4-b4cd-db5882bf8def</t>
  </si>
  <si>
    <t>Shidehara</t>
  </si>
  <si>
    <t>1872-08-11</t>
  </si>
  <si>
    <t>11aug1872</t>
  </si>
  <si>
    <t>https://urldefense.proofpoint.com/v2/url?u=http-3A__dbpedia.org_resource_Kij-25C5-25ABr-25C5-258D-5FShidehara&amp;d=BQID-g&amp;c=kbmfwr1Yojg42sGEpaQh5ofMHBeTl9EI2eaqQZhHbOU&amp;r=ZliGVSRwfirWoETOrKCh2RSnoygzVPWEk95Me9L-Kwo&amp;m=EaKyFx9mpkhPdFxsxzvW_fiM3jbYwM3xYLjVbSFoDAg&amp;s=F5JJ5edg4Pm1J_heMATx0prEfEpzZvUMkHs6OvqMZPA&amp;e=</t>
  </si>
  <si>
    <t>30骞?150</t>
  </si>
  <si>
    <t>JPN-1931-1</t>
  </si>
  <si>
    <t>30骞?242</t>
  </si>
  <si>
    <t>JPN-1931-2</t>
  </si>
  <si>
    <t>82463d92-1e42-11e4-b4cd-db5882bf8def</t>
  </si>
  <si>
    <t>Inukai</t>
  </si>
  <si>
    <t>https://urldefense.proofpoint.com/v2/url?u=http-3A__dbpedia.org_resource_Inukai-5FTsuyoshi&amp;d=BQID-g&amp;c=kbmfwr1Yojg42sGEpaQh5ofMHBeTl9EI2eaqQZhHbOU&amp;r=ZliGVSRwfirWoETOrKCh2RSnoygzVPWEk95Me9L-Kwo&amp;m=EaKyFx9mpkhPdFxsxzvW_fiM3jbYwM3xYLjVbSFoDAg&amp;s=nU7n9PA2S4ddwFRf6cOVOUznWjqOghYu5_1LdXK9UlA&amp;e=</t>
  </si>
  <si>
    <t>30骞?154</t>
  </si>
  <si>
    <t>JPN-1932-1</t>
  </si>
  <si>
    <t>30骞?10</t>
  </si>
  <si>
    <t>JPN-1932-2</t>
  </si>
  <si>
    <t>82463d93-1e42-11e4-b4cd-db5882bf8def</t>
  </si>
  <si>
    <t>Saito, M.</t>
  </si>
  <si>
    <t>https://urldefense.proofpoint.com/v2/url?u=http-3A__dbpedia.org_resource_Sait-25C5-258D-5FMakoto&amp;d=BQID-g&amp;c=kbmfwr1Yojg42sGEpaQh5ofMHBeTl9EI2eaqQZhHbOU&amp;r=ZliGVSRwfirWoETOrKCh2RSnoygzVPWEk95Me9L-Kwo&amp;m=EaKyFx9mpkhPdFxsxzvW_fiM3jbYwM3xYLjVbSFoDAg&amp;s=0W7Whq0ChPdHM-DvfKEfOTscd0WP7k3dDkLndJQlFe8&amp;e=</t>
  </si>
  <si>
    <t>30骞?772</t>
  </si>
  <si>
    <t>JPN-1934</t>
  </si>
  <si>
    <t>82463d94-1e42-11e4-b4cd-db5882bf8def</t>
  </si>
  <si>
    <t>Okada</t>
  </si>
  <si>
    <t>https://urldefense.proofpoint.com/v2/url?u=http-3A__dbpedia.org_resource_Keisuke-5FOkada&amp;d=BQID-g&amp;c=kbmfwr1Yojg42sGEpaQh5ofMHBeTl9EI2eaqQZhHbOU&amp;r=ZliGVSRwfirWoETOrKCh2RSnoygzVPWEk95Me9L-Kwo&amp;m=EaKyFx9mpkhPdFxsxzvW_fiM3jbYwM3xYLjVbSFoDAg&amp;s=O95OlzEJ4nRjuwbTsTEvzfV5zldeiK-ZK3A7BTcEGAY&amp;e=</t>
  </si>
  <si>
    <t>30骞?608</t>
  </si>
  <si>
    <t>JPN-1936</t>
  </si>
  <si>
    <t>82463d95-1e42-11e4-b4cd-db5882bf8def</t>
  </si>
  <si>
    <t>Hirota</t>
  </si>
  <si>
    <t>https://urldefense.proofpoint.com/v2/url?u=http-3A__dbpedia.org_resource_K-25C5-258Dki-5FHirota&amp;d=BQID-g&amp;c=kbmfwr1Yojg42sGEpaQh5ofMHBeTl9EI2eaqQZhHbOU&amp;r=ZliGVSRwfirWoETOrKCh2RSnoygzVPWEk95Me9L-Kwo&amp;m=EaKyFx9mpkhPdFxsxzvW_fiM3jbYwM3xYLjVbSFoDAg&amp;s=Qb596H_KaZe5xyaCusPzz6glkGJAIJ8UqILu1EKice0&amp;e=</t>
  </si>
  <si>
    <t>30骞?320</t>
  </si>
  <si>
    <t>JPN-1937-1</t>
  </si>
  <si>
    <t>82466e64-1e42-11e4-b4cd-db5882bf8def</t>
  </si>
  <si>
    <t>Hayashi</t>
  </si>
  <si>
    <t>https://urldefense.proofpoint.com/v2/url?u=http-3A__dbpedia.org_resource_Senj-25C5-25ABr-25C5-258D-5FHayashi&amp;d=BQID-g&amp;c=kbmfwr1Yojg42sGEpaQh5ofMHBeTl9EI2eaqQZhHbOU&amp;r=ZliGVSRwfirWoETOrKCh2RSnoygzVPWEk95Me9L-Kwo&amp;m=EaKyFx9mpkhPdFxsxzvW_fiM3jbYwM3xYLjVbSFoDAg&amp;s=vZD1yEVNrB6YQnPc86BdKiB1tUc0T09UMik6AngTHWY&amp;e=</t>
  </si>
  <si>
    <t>30骞?118</t>
  </si>
  <si>
    <t>JPN-1937-2</t>
  </si>
  <si>
    <t>82466e65-1e42-11e4-b4cd-db5882bf8def</t>
  </si>
  <si>
    <t>Konoe, F.</t>
  </si>
  <si>
    <t>https://urldefense.proofpoint.com/v2/url?u=http-3A__dbpedia.org_resource_Fumimaro-5FKonoe&amp;d=BQID-g&amp;c=kbmfwr1Yojg42sGEpaQh5ofMHBeTl9EI2eaqQZhHbOU&amp;r=ZliGVSRwfirWoETOrKCh2RSnoygzVPWEk95Me9L-Kwo&amp;m=EaKyFx9mpkhPdFxsxzvW_fiM3jbYwM3xYLjVbSFoDAg&amp;s=kCmZ2M0KqNu7L9FI4N_EkitK4ilixW9cVlE39-Q9Agw&amp;e=</t>
  </si>
  <si>
    <t>Grandfather of Hosokawa%824731c1-1e42-11e4-b4cd-db5882bf8def</t>
  </si>
  <si>
    <t>30骞?584</t>
  </si>
  <si>
    <t>JPN-1939-1</t>
  </si>
  <si>
    <t>82466e66-1e42-11e4-b4cd-db5882bf8def</t>
  </si>
  <si>
    <t>Hiranuma</t>
  </si>
  <si>
    <t>https://urldefense.proofpoint.com/v2/url?u=http-3A__dbpedia.org_resource_Hiranuma-5FKiichir-25C5-258D&amp;d=BQID-g&amp;c=kbmfwr1Yojg42sGEpaQh5ofMHBeTl9EI2eaqQZhHbOU&amp;r=ZliGVSRwfirWoETOrKCh2RSnoygzVPWEk95Me9L-Kwo&amp;m=EaKyFx9mpkhPdFxsxzvW_fiM3jbYwM3xYLjVbSFoDAg&amp;s=x_KSiEW2zqNlbr2IK20uzDwIponoIE-dNbXAaSvmNNA&amp;e=</t>
  </si>
  <si>
    <t>30骞?236</t>
  </si>
  <si>
    <t>JPN-1939-2</t>
  </si>
  <si>
    <t>82466e67-1e42-11e4-b4cd-db5882bf8def</t>
  </si>
  <si>
    <t>Abe, M.</t>
  </si>
  <si>
    <t>https://urldefense.proofpoint.com/v2/url?u=http-3A__dbpedia.org_resource_Nobuyuki-5FAbe&amp;d=BQID-g&amp;c=kbmfwr1Yojg42sGEpaQh5ofMHBeTl9EI2eaqQZhHbOU&amp;r=ZliGVSRwfirWoETOrKCh2RSnoygzVPWEk95Me9L-Kwo&amp;m=EaKyFx9mpkhPdFxsxzvW_fiM3jbYwM3xYLjVbSFoDAg&amp;s=xyThx2V1VujLhkbfLTHP_TQQlMeyj94Bm74z89scxII&amp;e=</t>
  </si>
  <si>
    <t>30骞?137</t>
  </si>
  <si>
    <t>JPN-1940-1</t>
  </si>
  <si>
    <t>82466e68-1e42-11e4-b4cd-db5882bf8def</t>
  </si>
  <si>
    <t>Yonai</t>
  </si>
  <si>
    <t>1873-12-30</t>
  </si>
  <si>
    <t>30dec1873</t>
  </si>
  <si>
    <t>30骞?184</t>
  </si>
  <si>
    <t>JPN-1940-2</t>
  </si>
  <si>
    <t>30骞?458</t>
  </si>
  <si>
    <t>JPN-1941</t>
  </si>
  <si>
    <t>82466e69-1e42-11e4-b4cd-db5882bf8def</t>
  </si>
  <si>
    <t>Tojo</t>
  </si>
  <si>
    <t>1883-12-20</t>
  </si>
  <si>
    <t>20dec1883</t>
  </si>
  <si>
    <t>30骞?1005</t>
  </si>
  <si>
    <t>JPN-1944</t>
  </si>
  <si>
    <t>82469f38-1e42-11e4-b4cd-db5882bf8def</t>
  </si>
  <si>
    <t>Koiso</t>
  </si>
  <si>
    <t>https://urldefense.proofpoint.com/v2/url?u=http-3A__dbpedia.org_resource_Kuniaki-5FKoiso&amp;d=BQID-g&amp;c=kbmfwr1Yojg42sGEpaQh5ofMHBeTl9EI2eaqQZhHbOU&amp;r=ZliGVSRwfirWoETOrKCh2RSnoygzVPWEk95Me9L-Kwo&amp;m=EaKyFx9mpkhPdFxsxzvW_fiM3jbYwM3xYLjVbSFoDAg&amp;s=eylvqrmFLKxFFt1XieKYoqtqT2R_vYuJr0cYE0xcnRg&amp;e=</t>
  </si>
  <si>
    <t>30骞?261</t>
  </si>
  <si>
    <t>JPN-1945-1</t>
  </si>
  <si>
    <t>82469f39-1e42-11e4-b4cd-db5882bf8def</t>
  </si>
  <si>
    <t>Suzuki, Kantaro</t>
  </si>
  <si>
    <t>1867-12-24</t>
  </si>
  <si>
    <t>24dec1867</t>
  </si>
  <si>
    <t>30骞?132</t>
  </si>
  <si>
    <t>JPN-1945-2</t>
  </si>
  <si>
    <t>82469f3a-1e42-11e4-b4cd-db5882bf8def</t>
  </si>
  <si>
    <t>Douglas MacArthur</t>
  </si>
  <si>
    <t>1880-01-26</t>
  </si>
  <si>
    <t>26jan1880</t>
  </si>
  <si>
    <t>30骞?2047</t>
  </si>
  <si>
    <t>JPN-1951</t>
  </si>
  <si>
    <t>82469f3b-1e42-11e4-b4cd-db5882bf8def</t>
  </si>
  <si>
    <t>Matthew Bunker Ridgway</t>
  </si>
  <si>
    <t>1895-03-03</t>
  </si>
  <si>
    <t>03mar1895</t>
  </si>
  <si>
    <t>https://urldefense.proofpoint.com/v2/url?u=http-3A__dbpedia.org_resource_Matthew-5FRidgway&amp;d=BQID-g&amp;c=kbmfwr1Yojg42sGEpaQh5ofMHBeTl9EI2eaqQZhHbOU&amp;r=ZliGVSRwfirWoETOrKCh2RSnoygzVPWEk95Me9L-Kwo&amp;m=EaKyFx9mpkhPdFxsxzvW_fiM3jbYwM3xYLjVbSFoDAg&amp;s=Lqvgs4NkmaC8-UuJcgu4UkV5GjA46cjdoQwoZZt9HFw&amp;e=</t>
  </si>
  <si>
    <t>30骞?383</t>
  </si>
  <si>
    <t>JPN-1952</t>
  </si>
  <si>
    <t>82469f3c-1e42-11e4-b4cd-db5882bf8def</t>
  </si>
  <si>
    <t>Yoshida, Shigeru</t>
  </si>
  <si>
    <t>1878-09-22</t>
  </si>
  <si>
    <t>22sep1878</t>
  </si>
  <si>
    <t>https://urldefense.proofpoint.com/v2/url?u=http-3A__dbpedia.org_resource_Shigeru-5FYoshida&amp;d=BQID-g&amp;c=kbmfwr1Yojg42sGEpaQh5ofMHBeTl9EI2eaqQZhHbOU&amp;r=ZliGVSRwfirWoETOrKCh2RSnoygzVPWEk95Me9L-Kwo&amp;m=EaKyFx9mpkhPdFxsxzvW_fiM3jbYwM3xYLjVbSFoDAg&amp;s=pazBzjgazyogqaZr5LwV8rshvHstRyfcNCdVjvsidTE&amp;e=</t>
  </si>
  <si>
    <t>Grandfather of Taro Aso%8254eda9-1e42-11e4-b4cd-db5882bf8def</t>
  </si>
  <si>
    <t>30骞?952</t>
  </si>
  <si>
    <t>JPN-1954</t>
  </si>
  <si>
    <t>82469f3d-1e42-11e4-b4cd-db5882bf8def</t>
  </si>
  <si>
    <t>Hatoyama</t>
  </si>
  <si>
    <t>https://urldefense.proofpoint.com/v2/url?u=http-3A__dbpedia.org_resource_Ichir-25C5-258D-5FHatoyama&amp;d=BQID-g&amp;c=kbmfwr1Yojg42sGEpaQh5ofMHBeTl9EI2eaqQZhHbOU&amp;r=ZliGVSRwfirWoETOrKCh2RSnoygzVPWEk95Me9L-Kwo&amp;m=EaKyFx9mpkhPdFxsxzvW_fiM3jbYwM3xYLjVbSFoDAg&amp;s=knJ3DaxOGMHwi_8yCSxlS7-BAoabotY5QCP2WNZ-nYc&amp;e=</t>
  </si>
  <si>
    <t>30骞?742</t>
  </si>
  <si>
    <t>JPN-1956</t>
  </si>
  <si>
    <t>8246d016-1e42-11e4-b4cd-db5882bf8def</t>
  </si>
  <si>
    <t>Ishibashi</t>
  </si>
  <si>
    <t>https://urldefense.proofpoint.com/v2/url?u=http-3A__dbpedia.org_resource_Tanzan-5FIshibashi&amp;d=BQID-g&amp;c=kbmfwr1Yojg42sGEpaQh5ofMHBeTl9EI2eaqQZhHbOU&amp;r=ZliGVSRwfirWoETOrKCh2RSnoygzVPWEk95Me9L-Kwo&amp;m=EaKyFx9mpkhPdFxsxzvW_fiM3jbYwM3xYLjVbSFoDAg&amp;s=expHNiL3LYsY89yN9IWeYz-hk2kIOF8h1ML5TgnpYIk&amp;e=</t>
  </si>
  <si>
    <t>30骞?62</t>
  </si>
  <si>
    <t>JPN-1957</t>
  </si>
  <si>
    <t>8246d017-1e42-11e4-b4cd-db5882bf8def</t>
  </si>
  <si>
    <t>Kishi</t>
  </si>
  <si>
    <t>1896-11-13</t>
  </si>
  <si>
    <t>13nov1896</t>
  </si>
  <si>
    <t>https://urldefense.proofpoint.com/v2/url?u=http-3A__dbpedia.org_resource_Nobusuke-5FKishi&amp;d=BQID-g&amp;c=kbmfwr1Yojg42sGEpaQh5ofMHBeTl9EI2eaqQZhHbOU&amp;r=ZliGVSRwfirWoETOrKCh2RSnoygzVPWEk95Me9L-Kwo&amp;m=EaKyFx9mpkhPdFxsxzvW_fiM3jbYwM3xYLjVbSFoDAg&amp;s=_auOW3v9grbNDPiAua0QW8nxiaw8eHjUI3JdQNFXCjU&amp;e=</t>
  </si>
  <si>
    <t>Brother of Sato%8246d019-1e42-11e4-b4cd-db5882bf8def</t>
  </si>
  <si>
    <t>30骞?1239</t>
  </si>
  <si>
    <t>JPN-1960</t>
  </si>
  <si>
    <t>8246d018-1e42-11e4-b4cd-db5882bf8def</t>
  </si>
  <si>
    <t>Ikeda</t>
  </si>
  <si>
    <t>1899-12-03</t>
  </si>
  <si>
    <t>03dec1899</t>
  </si>
  <si>
    <t>https://urldefense.proofpoint.com/v2/url?u=http-3A__dbpedia.org_resource_Hayato-5FIkeda&amp;d=BQID-g&amp;c=kbmfwr1Yojg42sGEpaQh5ofMHBeTl9EI2eaqQZhHbOU&amp;r=ZliGVSRwfirWoETOrKCh2RSnoygzVPWEk95Me9L-Kwo&amp;m=EaKyFx9mpkhPdFxsxzvW_fiM3jbYwM3xYLjVbSFoDAg&amp;s=CtYnOJ8cqUqdIh22dLDRMeBEA7YF0gE4ii13bBd9NKM&amp;e=</t>
  </si>
  <si>
    <t>30骞?1560</t>
  </si>
  <si>
    <t>JPN-1964</t>
  </si>
  <si>
    <t>8246d019-1e42-11e4-b4cd-db5882bf8def</t>
  </si>
  <si>
    <t>Sato</t>
  </si>
  <si>
    <t>https://urldefense.proofpoint.com/v2/url?u=http-3A__dbpedia.org_resource_Eisaku-5FSat-25C5-258D&amp;d=BQID-g&amp;c=kbmfwr1Yojg42sGEpaQh5ofMHBeTl9EI2eaqQZhHbOU&amp;r=ZliGVSRwfirWoETOrKCh2RSnoygzVPWEk95Me9L-Kwo&amp;m=EaKyFx9mpkhPdFxsxzvW_fiM3jbYwM3xYLjVbSFoDAg&amp;s=KUbRtn-8kUBUh9vr2DbGw72g6G3S1j2RRWlResxEvF4&amp;e=</t>
  </si>
  <si>
    <t>Brother of Kishi%8246d017-1e42-11e4-b4cd-db5882bf8def</t>
  </si>
  <si>
    <t>30骞?2795</t>
  </si>
  <si>
    <t>JPN-1972</t>
  </si>
  <si>
    <t>8246d01a-1e42-11e4-b4cd-db5882bf8def</t>
  </si>
  <si>
    <t>Tanaka</t>
  </si>
  <si>
    <t>https://urldefense.proofpoint.com/v2/url?u=http-3A__dbpedia.org_resource_Kakuei-5FTanaka&amp;d=BQID-g&amp;c=kbmfwr1Yojg42sGEpaQh5ofMHBeTl9EI2eaqQZhHbOU&amp;r=ZliGVSRwfirWoETOrKCh2RSnoygzVPWEk95Me9L-Kwo&amp;m=EaKyFx9mpkhPdFxsxzvW_fiM3jbYwM3xYLjVbSFoDAg&amp;s=47LJKXMPO1ecPo-qszotZV_k1bxn3dMYd5WLf83_HqE&amp;e=</t>
  </si>
  <si>
    <t>30骞?886</t>
  </si>
  <si>
    <t>JPN-1974</t>
  </si>
  <si>
    <t>8246d01b-1e42-11e4-b4cd-db5882bf8def</t>
  </si>
  <si>
    <t>Miki</t>
  </si>
  <si>
    <t>https://urldefense.proofpoint.com/v2/url?u=http-3A__dbpedia.org_resource_Takeo-5FMiki&amp;d=BQID-g&amp;c=kbmfwr1Yojg42sGEpaQh5ofMHBeTl9EI2eaqQZhHbOU&amp;r=ZliGVSRwfirWoETOrKCh2RSnoygzVPWEk95Me9L-Kwo&amp;m=EaKyFx9mpkhPdFxsxzvW_fiM3jbYwM3xYLjVbSFoDAg&amp;s=RRZ_-yQohAnRoVVlvKC4QifkL0K8OgNMmPT-WD6UMN8&amp;e=</t>
  </si>
  <si>
    <t>30骞?746</t>
  </si>
  <si>
    <t>JPN-1976</t>
  </si>
  <si>
    <t>824700ea-1e42-11e4-b4cd-db5882bf8def</t>
  </si>
  <si>
    <t>Fukuda</t>
  </si>
  <si>
    <t>https://urldefense.proofpoint.com/v2/url?u=http-3A__dbpedia.org_resource_Takeo-5FFukuda&amp;d=BQID-g&amp;c=kbmfwr1Yojg42sGEpaQh5ofMHBeTl9EI2eaqQZhHbOU&amp;r=ZliGVSRwfirWoETOrKCh2RSnoygzVPWEk95Me9L-Kwo&amp;m=EaKyFx9mpkhPdFxsxzvW_fiM3jbYwM3xYLjVbSFoDAg&amp;s=OhQxBc9Fe3XVBmKWAsClR0rJhzKCbBUFobIr0p4AG8c&amp;e=</t>
  </si>
  <si>
    <t>Father of Yasuo Fukuda%8254eda8-1e42-11e4-b4cd-db5882bf8def</t>
  </si>
  <si>
    <t>30骞?713</t>
  </si>
  <si>
    <t>JPN-1978</t>
  </si>
  <si>
    <t>824700eb-1e42-11e4-b4cd-db5882bf8def</t>
  </si>
  <si>
    <t>Ohira</t>
  </si>
  <si>
    <t>https://urldefense.proofpoint.com/v2/url?u=http-3A__dbpedia.org_resource_Masayoshi-5F-25C5-258Chira&amp;d=BQID-g&amp;c=kbmfwr1Yojg42sGEpaQh5ofMHBeTl9EI2eaqQZhHbOU&amp;r=ZliGVSRwfirWoETOrKCh2RSnoygzVPWEk95Me9L-Kwo&amp;m=EaKyFx9mpkhPdFxsxzvW_fiM3jbYwM3xYLjVbSFoDAg&amp;s=LbVzVW-u28zsQYSSlNQGaLFiAq3v1vZeuv_eD6vn2i8&amp;e=</t>
  </si>
  <si>
    <t>30骞?553</t>
  </si>
  <si>
    <t>JPN-1980-1</t>
  </si>
  <si>
    <t>43fa7165-de6a-11e5-ba44-bb6d7c1a9a58</t>
  </si>
  <si>
    <t>Masayoshi Ito</t>
  </si>
  <si>
    <t>https://urldefense.proofpoint.com/v2/url?u=http-3A__dbpedia.org_resource_Masayoshi-5FIto&amp;d=BQID-g&amp;c=kbmfwr1Yojg42sGEpaQh5ofMHBeTl9EI2eaqQZhHbOU&amp;r=ZliGVSRwfirWoETOrKCh2RSnoygzVPWEk95Me9L-Kwo&amp;m=EaKyFx9mpkhPdFxsxzvW_fiM3jbYwM3xYLjVbSFoDAg&amp;s=jkuPst8zni2W3NLqyl128WekX6Rhvyr1EqkLoXtBlYY&amp;e=</t>
  </si>
  <si>
    <t>30骞?35</t>
  </si>
  <si>
    <t>JPN-1980-2</t>
  </si>
  <si>
    <t>824700ed-1e42-11e4-b4cd-db5882bf8def</t>
  </si>
  <si>
    <t>Suzuki</t>
  </si>
  <si>
    <t>https://urldefense.proofpoint.com/v2/url?u=http-3A__dbpedia.org_resource_Zenko-5FSuzuki&amp;d=BQID-g&amp;c=kbmfwr1Yojg42sGEpaQh5ofMHBeTl9EI2eaqQZhHbOU&amp;r=ZliGVSRwfirWoETOrKCh2RSnoygzVPWEk95Me9L-Kwo&amp;m=EaKyFx9mpkhPdFxsxzvW_fiM3jbYwM3xYLjVbSFoDAg&amp;s=ebDhAKBsdtB5e_zqnglL1yOQPKkAhqq_uEDq0Omg7g4&amp;e=</t>
  </si>
  <si>
    <t>30骞?862</t>
  </si>
  <si>
    <t>JPN-1982</t>
  </si>
  <si>
    <t>824700ee-1e42-11e4-b4cd-db5882bf8def</t>
  </si>
  <si>
    <t>Nakasone</t>
  </si>
  <si>
    <t>https://urldefense.proofpoint.com/v2/url?u=http-3A__dbpedia.org_resource_Yasuhiro-5FNakasone&amp;d=BQID-g&amp;c=kbmfwr1Yojg42sGEpaQh5ofMHBeTl9EI2eaqQZhHbOU&amp;r=ZliGVSRwfirWoETOrKCh2RSnoygzVPWEk95Me9L-Kwo&amp;m=EaKyFx9mpkhPdFxsxzvW_fiM3jbYwM3xYLjVbSFoDAg&amp;s=P7XHMnDoQfGaZrcefbxhBmKgxDzz8F-wIEA2bAEG21U&amp;e=</t>
  </si>
  <si>
    <t>30骞?1806</t>
  </si>
  <si>
    <t>JPN-1987</t>
  </si>
  <si>
    <t>824700ef-1e42-11e4-b4cd-db5882bf8def</t>
  </si>
  <si>
    <t>Takeshita</t>
  </si>
  <si>
    <t>https://urldefense.proofpoint.com/v2/url?u=http-3A__dbpedia.org_resource_Noboru-5FTakeshita&amp;d=BQID-g&amp;c=kbmfwr1Yojg42sGEpaQh5ofMHBeTl9EI2eaqQZhHbOU&amp;r=ZliGVSRwfirWoETOrKCh2RSnoygzVPWEk95Me9L-Kwo&amp;m=EaKyFx9mpkhPdFxsxzvW_fiM3jbYwM3xYLjVbSFoDAg&amp;s=uk_ieJzbhCsoFd34g9i7JdEyXKBPcEwKCkqwFTyW9oo&amp;e=</t>
  </si>
  <si>
    <t>30骞?574</t>
  </si>
  <si>
    <t>JPN-1989-1</t>
  </si>
  <si>
    <t>824731be-1e42-11e4-b4cd-db5882bf8def</t>
  </si>
  <si>
    <t>Uno</t>
  </si>
  <si>
    <t>https://urldefense.proofpoint.com/v2/url?u=http-3A__dbpedia.org_resource_S-25C5-258Dsuke-5FUno&amp;d=BQID-g&amp;c=kbmfwr1Yojg42sGEpaQh5ofMHBeTl9EI2eaqQZhHbOU&amp;r=ZliGVSRwfirWoETOrKCh2RSnoygzVPWEk95Me9L-Kwo&amp;m=EaKyFx9mpkhPdFxsxzvW_fiM3jbYwM3xYLjVbSFoDAg&amp;s=7OI16GNZm4zrckX7ywUCZEjdXTaq9H5UvOnCZILlcEU&amp;e=</t>
  </si>
  <si>
    <t>30骞?68</t>
  </si>
  <si>
    <t>JPN-1989-2</t>
  </si>
  <si>
    <t>824731bf-1e42-11e4-b4cd-db5882bf8def</t>
  </si>
  <si>
    <t>Kaifu</t>
  </si>
  <si>
    <t>https://urldefense.proofpoint.com/v2/url?u=http-3A__dbpedia.org_resource_Toshiki-5FKaifu&amp;d=BQID-g&amp;c=kbmfwr1Yojg42sGEpaQh5ofMHBeTl9EI2eaqQZhHbOU&amp;r=ZliGVSRwfirWoETOrKCh2RSnoygzVPWEk95Me9L-Kwo&amp;m=EaKyFx9mpkhPdFxsxzvW_fiM3jbYwM3xYLjVbSFoDAg&amp;s=VtVXMfMBP5jL6uO7EWc2QzuIDDYk6NM6AYtD4sA-1PM&amp;e=</t>
  </si>
  <si>
    <t>30骞?819</t>
  </si>
  <si>
    <t>JPN-1991</t>
  </si>
  <si>
    <t>824731c0-1e42-11e4-b4cd-db5882bf8def</t>
  </si>
  <si>
    <t>Miyazawa</t>
  </si>
  <si>
    <t>https://urldefense.proofpoint.com/v2/url?u=http-3A__dbpedia.org_resource_Kiichi-5FMiyazawa&amp;d=BQID-g&amp;c=kbmfwr1Yojg42sGEpaQh5ofMHBeTl9EI2eaqQZhHbOU&amp;r=ZliGVSRwfirWoETOrKCh2RSnoygzVPWEk95Me9L-Kwo&amp;m=EaKyFx9mpkhPdFxsxzvW_fiM3jbYwM3xYLjVbSFoDAg&amp;s=FEbgKW356MJsnG41EZ1b_-GeTwXU9DRbT1GsEmZoXB4&amp;e=</t>
  </si>
  <si>
    <t>30骞?642</t>
  </si>
  <si>
    <t>JPN-1993</t>
  </si>
  <si>
    <t>824731c1-1e42-11e4-b4cd-db5882bf8def</t>
  </si>
  <si>
    <t>Hosokawa</t>
  </si>
  <si>
    <t>https://urldefense.proofpoint.com/v2/url?u=http-3A__dbpedia.org_resource_Morihiro-5FHosokawa&amp;d=BQID-g&amp;c=kbmfwr1Yojg42sGEpaQh5ofMHBeTl9EI2eaqQZhHbOU&amp;r=ZliGVSRwfirWoETOrKCh2RSnoygzVPWEk95Me9L-Kwo&amp;m=EaKyFx9mpkhPdFxsxzvW_fiM3jbYwM3xYLjVbSFoDAg&amp;s=4uI-CSSdOKk4jhkaoxmctMLVWsKOWbRWxhQrGIbSyHk&amp;e=</t>
  </si>
  <si>
    <t>Grandson of Konoe, F.%82466e65-1e42-11e4-b4cd-db5882bf8def</t>
  </si>
  <si>
    <t>30骞?259</t>
  </si>
  <si>
    <t>JPN-1994-1</t>
  </si>
  <si>
    <t>824731c2-1e42-11e4-b4cd-db5882bf8def</t>
  </si>
  <si>
    <t>Hata</t>
  </si>
  <si>
    <t>https://urldefense.proofpoint.com/v2/url?u=http-3A__dbpedia.org_resource_Tsutomu-5FHata&amp;d=BQID-g&amp;c=kbmfwr1Yojg42sGEpaQh5ofMHBeTl9EI2eaqQZhHbOU&amp;r=ZliGVSRwfirWoETOrKCh2RSnoygzVPWEk95Me9L-Kwo&amp;m=EaKyFx9mpkhPdFxsxzvW_fiM3jbYwM3xYLjVbSFoDAg&amp;s=w0M_-JS2xpwJ9BamjOoXH6-HVnlAZo-RlherR7kpClY&amp;e=</t>
  </si>
  <si>
    <t>30骞?65</t>
  </si>
  <si>
    <t>JPN-1994-2</t>
  </si>
  <si>
    <t>824731c3-1e42-11e4-b4cd-db5882bf8def</t>
  </si>
  <si>
    <t>Murayama</t>
  </si>
  <si>
    <t>30骞?561</t>
  </si>
  <si>
    <t>JPN-1996</t>
  </si>
  <si>
    <t>82476292-1e42-11e4-b4cd-db5882bf8def</t>
  </si>
  <si>
    <t>Hashimoto</t>
  </si>
  <si>
    <t>https://urldefense.proofpoint.com/v2/url?u=http-3A__dbpedia.org_resource_Ryutaro-5FHashimoto&amp;d=BQID-g&amp;c=kbmfwr1Yojg42sGEpaQh5ofMHBeTl9EI2eaqQZhHbOU&amp;r=ZliGVSRwfirWoETOrKCh2RSnoygzVPWEk95Me9L-Kwo&amp;m=EaKyFx9mpkhPdFxsxzvW_fiM3jbYwM3xYLjVbSFoDAg&amp;s=_exP5U5KLCrYrt5eO2mrxbkYo6MsBNAjS7IE6PoXS_k&amp;e=</t>
  </si>
  <si>
    <t>30骞?931</t>
  </si>
  <si>
    <t>JPN-1998</t>
  </si>
  <si>
    <t>82476293-1e42-11e4-b4cd-db5882bf8def</t>
  </si>
  <si>
    <t>Obuchi</t>
  </si>
  <si>
    <t>30骞?612</t>
  </si>
  <si>
    <t>JPN-2000-1</t>
  </si>
  <si>
    <t>82476294-1e42-11e4-b4cd-db5882bf8def</t>
  </si>
  <si>
    <t>Mikio Aoki</t>
  </si>
  <si>
    <t>30骞?3</t>
  </si>
  <si>
    <t>JPN-2000-2</t>
  </si>
  <si>
    <t>82476295-1e42-11e4-b4cd-db5882bf8def</t>
  </si>
  <si>
    <t>Yoshiro Mori</t>
  </si>
  <si>
    <t>30骞?386</t>
  </si>
  <si>
    <t>JPN-2001</t>
  </si>
  <si>
    <t>82476296-1e42-11e4-b4cd-db5882bf8def</t>
  </si>
  <si>
    <t>Junichiro Koizumi</t>
  </si>
  <si>
    <t>https://urldefense.proofpoint.com/v2/url?u=http-3A__dbpedia.org_resource_Junichiro-5FKoizumi&amp;d=BQID-g&amp;c=kbmfwr1Yojg42sGEpaQh5ofMHBeTl9EI2eaqQZhHbOU&amp;r=ZliGVSRwfirWoETOrKCh2RSnoygzVPWEk95Me9L-Kwo&amp;m=EaKyFx9mpkhPdFxsxzvW_fiM3jbYwM3xYLjVbSFoDAg&amp;s=fEel_DSadAd6fV9NCVmpxAMUKYVMo6zrsKaMwrsb0sw&amp;e=</t>
  </si>
  <si>
    <t>30骞?1979</t>
  </si>
  <si>
    <t>JPN-2006</t>
  </si>
  <si>
    <t>364a2a98-3bbd-11e5-afeb-eb6f07f9fec7</t>
  </si>
  <si>
    <t>Shinzo Abe</t>
  </si>
  <si>
    <t>30骞?365</t>
  </si>
  <si>
    <t>JPN-2007</t>
  </si>
  <si>
    <t>8254eda8-1e42-11e4-b4cd-db5882bf8def</t>
  </si>
  <si>
    <t>Yasuo Fukuda</t>
  </si>
  <si>
    <t>Son of Fukuda%824700ea-1e42-11e4-b4cd-db5882bf8def</t>
  </si>
  <si>
    <t>30骞?364</t>
  </si>
  <si>
    <t>JPN-2008</t>
  </si>
  <si>
    <t>8254eda9-1e42-11e4-b4cd-db5882bf8def</t>
  </si>
  <si>
    <t>Taro Aso</t>
  </si>
  <si>
    <t>Grandson of Yoshida, Shigeru%82469f3c-1e42-11e4-b4cd-db5882bf8def</t>
  </si>
  <si>
    <t>30骞?357</t>
  </si>
  <si>
    <t>JPN-2009</t>
  </si>
  <si>
    <t>82551e78-1e42-11e4-b4cd-db5882bf8def</t>
  </si>
  <si>
    <t>Hatoyama Yukio</t>
  </si>
  <si>
    <t>30骞?265</t>
  </si>
  <si>
    <t>JPN-2010</t>
  </si>
  <si>
    <t>82551e79-1e42-11e4-b4cd-db5882bf8def</t>
  </si>
  <si>
    <t>Naoto Kan</t>
  </si>
  <si>
    <t>30骞?451</t>
  </si>
  <si>
    <t>JPN-2011</t>
  </si>
  <si>
    <t>82551e7a-1e42-11e4-b4cd-db5882bf8def</t>
  </si>
  <si>
    <t>Yoshihiko Noda</t>
  </si>
  <si>
    <t>30骞?481</t>
  </si>
  <si>
    <t>JPN-2012</t>
  </si>
  <si>
    <t>30骞?1100</t>
  </si>
  <si>
    <t>IND-1947</t>
  </si>
  <si>
    <t>82476297-1e42-11e4-b4cd-db5882bf8def</t>
  </si>
  <si>
    <t>IND</t>
  </si>
  <si>
    <t>Nehru</t>
  </si>
  <si>
    <t>1889-11-14</t>
  </si>
  <si>
    <t>14nov1889</t>
  </si>
  <si>
    <t>https://urldefense.proofpoint.com/v2/url?u=http-3A__dbpedia.org_resource_Jawaharlal-5FNehru&amp;d=BQID-g&amp;c=kbmfwr1Yojg42sGEpaQh5ofMHBeTl9EI2eaqQZhHbOU&amp;r=ZliGVSRwfirWoETOrKCh2RSnoygzVPWEk95Me9L-Kwo&amp;m=EaKyFx9mpkhPdFxsxzvW_fiM3jbYwM3xYLjVbSFoDAg&amp;s=go83HaguRV2y0b9a_wrqAVC0c7BQN4iUD1vBcym554U&amp;e=</t>
  </si>
  <si>
    <t>Father of Gandhi, I.%82479367-1e42-11e4-b4cd-db5882bf8def</t>
  </si>
  <si>
    <t>23骞?6130</t>
  </si>
  <si>
    <t>IND-1964-1</t>
  </si>
  <si>
    <t>82476298-1e42-11e4-b4cd-db5882bf8def</t>
  </si>
  <si>
    <t>Nanda</t>
  </si>
  <si>
    <t>1898-07-04</t>
  </si>
  <si>
    <t>04jul1898</t>
  </si>
  <si>
    <t>https://urldefense.proofpoint.com/v2/url?u=http-3A__dbpedia.org_resource_Gulzarilal-5FNanda&amp;d=BQID-g&amp;c=kbmfwr1Yojg42sGEpaQh5ofMHBeTl9EI2eaqQZhHbOU&amp;r=ZliGVSRwfirWoETOrKCh2RSnoygzVPWEk95Me9L-Kwo&amp;m=EaKyFx9mpkhPdFxsxzvW_fiM3jbYwM3xYLjVbSFoDAg&amp;s=2qughouKop9KMo2Z0gKe0HEHNlOnfc_vtLqW_B2DV9Q&amp;e=</t>
  </si>
  <si>
    <t>23骞?13</t>
  </si>
  <si>
    <t>IND-1964-2</t>
  </si>
  <si>
    <t>82479366-1e42-11e4-b4cd-db5882bf8def</t>
  </si>
  <si>
    <t>Shastri</t>
  </si>
  <si>
    <t>https://urldefense.proofpoint.com/v2/url?u=http-3A__dbpedia.org_resource_Lal-5FBahadur-5FShastri&amp;d=BQID-g&amp;c=kbmfwr1Yojg42sGEpaQh5ofMHBeTl9EI2eaqQZhHbOU&amp;r=ZliGVSRwfirWoETOrKCh2RSnoygzVPWEk95Me9L-Kwo&amp;m=EaKyFx9mpkhPdFxsxzvW_fiM3jbYwM3xYLjVbSFoDAg&amp;s=19Qitj4Rf7tw9q3Qo03xazOQNg2c5mtMG-qtoeduD2g&amp;e=</t>
  </si>
  <si>
    <t>23骞?581</t>
  </si>
  <si>
    <t>IND-1966-1</t>
  </si>
  <si>
    <t>IND-1966-2</t>
  </si>
  <si>
    <t>82479367-1e42-11e4-b4cd-db5882bf8def</t>
  </si>
  <si>
    <t>Gandhi, I.</t>
  </si>
  <si>
    <t>https://urldefense.proofpoint.com/v2/url?u=http-3A__dbpedia.org_resource_Indira-5FGandhi&amp;d=BQID-g&amp;c=kbmfwr1Yojg42sGEpaQh5ofMHBeTl9EI2eaqQZhHbOU&amp;r=ZliGVSRwfirWoETOrKCh2RSnoygzVPWEk95Me9L-Kwo&amp;m=EaKyFx9mpkhPdFxsxzvW_fiM3jbYwM3xYLjVbSFoDAg&amp;s=63_6ntM7-w6sxIse9CPVw0U4_hjXAENw5KPqvbvFkLc&amp;e=</t>
  </si>
  <si>
    <t>Son of Nehru%82476297-1e42-11e4-b4cd-db5882bf8def</t>
  </si>
  <si>
    <t>23骞?4075</t>
  </si>
  <si>
    <t>IND-1977</t>
  </si>
  <si>
    <t>82479368-1e42-11e4-b4cd-db5882bf8def</t>
  </si>
  <si>
    <t>Desai</t>
  </si>
  <si>
    <t>1896-02-29</t>
  </si>
  <si>
    <t>29feb1896</t>
  </si>
  <si>
    <t>https://urldefense.proofpoint.com/v2/url?u=http-3A__dbpedia.org_resource_Morarji-5FDesai&amp;d=BQID-g&amp;c=kbmfwr1Yojg42sGEpaQh5ofMHBeTl9EI2eaqQZhHbOU&amp;r=ZliGVSRwfirWoETOrKCh2RSnoygzVPWEk95Me9L-Kwo&amp;m=EaKyFx9mpkhPdFxsxzvW_fiM3jbYwM3xYLjVbSFoDAg&amp;s=5-JPHYEl5bCwqdsHuqrRjRfFdBysiNTRjV-M_9ie7Xg&amp;e=</t>
  </si>
  <si>
    <t>23骞?813</t>
  </si>
  <si>
    <t>IND-1979</t>
  </si>
  <si>
    <t>82479369-1e42-11e4-b4cd-db5882bf8def</t>
  </si>
  <si>
    <t>Charan Singh</t>
  </si>
  <si>
    <t>23骞?170</t>
  </si>
  <si>
    <t>IND-1980</t>
  </si>
  <si>
    <t>23骞?1752</t>
  </si>
  <si>
    <t>IND-1984</t>
  </si>
  <si>
    <t>8247936a-1e42-11e4-b4cd-db5882bf8def</t>
  </si>
  <si>
    <t>Gandhi, R.</t>
  </si>
  <si>
    <t>https://urldefense.proofpoint.com/v2/url?u=http-3A__dbpedia.org_resource_Rajiv-5FGandhi&amp;d=BQID-g&amp;c=kbmfwr1Yojg42sGEpaQh5ofMHBeTl9EI2eaqQZhHbOU&amp;r=ZliGVSRwfirWoETOrKCh2RSnoygzVPWEk95Me9L-Kwo&amp;m=EaKyFx9mpkhPdFxsxzvW_fiM3jbYwM3xYLjVbSFoDAg&amp;s=iZ_HXUpRvGwcCh0b2n7QxQvZJEh4IUVUJjc2ou52Yc8&amp;e=</t>
  </si>
  <si>
    <t>23骞?1858</t>
  </si>
  <si>
    <t>IND-1989</t>
  </si>
  <si>
    <t>8247936b-1e42-11e4-b4cd-db5882bf8def</t>
  </si>
  <si>
    <t>Pratap Singh</t>
  </si>
  <si>
    <t>23骞?343</t>
  </si>
  <si>
    <t>IND-1990</t>
  </si>
  <si>
    <t>8247c43a-1e42-11e4-b4cd-db5882bf8def</t>
  </si>
  <si>
    <t>Shekhar</t>
  </si>
  <si>
    <t>23骞?223</t>
  </si>
  <si>
    <t>IND-1991</t>
  </si>
  <si>
    <t>8247c43b-1e42-11e4-b4cd-db5882bf8def</t>
  </si>
  <si>
    <t>Rao</t>
  </si>
  <si>
    <t>https://urldefense.proofpoint.com/v2/url?u=http-3A__dbpedia.org_resource_P.-5FV.-5FNarasimha-5FRao&amp;d=BQID-g&amp;c=kbmfwr1Yojg42sGEpaQh5ofMHBeTl9EI2eaqQZhHbOU&amp;r=ZliGVSRwfirWoETOrKCh2RSnoygzVPWEk95Me9L-Kwo&amp;m=EaKyFx9mpkhPdFxsxzvW_fiM3jbYwM3xYLjVbSFoDAg&amp;s=qTRnT6JKVJqAHV55rPb_UFa8jLXa1eFCPjcpls8Zc0Q&amp;e=</t>
  </si>
  <si>
    <t>23骞?1791</t>
  </si>
  <si>
    <t>IND-1996-1</t>
  </si>
  <si>
    <t>8247c43c-1e42-11e4-b4cd-db5882bf8def</t>
  </si>
  <si>
    <t>Vajpayee</t>
  </si>
  <si>
    <t>23骞?16</t>
  </si>
  <si>
    <t>IND-1996-2</t>
  </si>
  <si>
    <t>8247c43d-1e42-11e4-b4cd-db5882bf8def</t>
  </si>
  <si>
    <t>Gowda</t>
  </si>
  <si>
    <t>https://urldefense.proofpoint.com/v2/url?u=http-3A__dbpedia.org_resource_H.-5FD.-5FDeve-5FGowda&amp;d=BQID-g&amp;c=kbmfwr1Yojg42sGEpaQh5ofMHBeTl9EI2eaqQZhHbOU&amp;r=ZliGVSRwfirWoETOrKCh2RSnoygzVPWEk95Me9L-Kwo&amp;m=EaKyFx9mpkhPdFxsxzvW_fiM3jbYwM3xYLjVbSFoDAg&amp;s=j9dxzN6zIh6HT8KTW-yWKPLplXvK1KO1rNuzN4XnF_M&amp;e=</t>
  </si>
  <si>
    <t>23骞?324</t>
  </si>
  <si>
    <t>IND-1997</t>
  </si>
  <si>
    <t>8247c43e-1e42-11e4-b4cd-db5882bf8def</t>
  </si>
  <si>
    <t>Gujral</t>
  </si>
  <si>
    <t>https://urldefense.proofpoint.com/v2/url?u=http-3A__dbpedia.org_resource_Inder-5FKumar-5FGujral&amp;d=BQID-g&amp;c=kbmfwr1Yojg42sGEpaQh5ofMHBeTl9EI2eaqQZhHbOU&amp;r=ZliGVSRwfirWoETOrKCh2RSnoygzVPWEk95Me9L-Kwo&amp;m=EaKyFx9mpkhPdFxsxzvW_fiM3jbYwM3xYLjVbSFoDAg&amp;s=0it8HAIp8aps904qYCLQ9xPukH-jqaAKNkdwBTdYWl0&amp;e=</t>
  </si>
  <si>
    <t>23骞?332</t>
  </si>
  <si>
    <t>IND-1998</t>
  </si>
  <si>
    <t>23骞?2256</t>
  </si>
  <si>
    <t>IND-2004</t>
  </si>
  <si>
    <t>8247c43f-1e42-11e4-b4cd-db5882bf8def</t>
  </si>
  <si>
    <t>Manmohan Singh</t>
  </si>
  <si>
    <t>23骞?3656</t>
  </si>
  <si>
    <t>IND-2014</t>
  </si>
  <si>
    <t>14a038b1-aae0-11e4-b3bc-29f2fa19767e</t>
  </si>
  <si>
    <t>Narendra Modi</t>
  </si>
  <si>
    <t>BHU-1926</t>
  </si>
  <si>
    <t>8247f50e-1e42-11e4-b4cd-db5882bf8def</t>
  </si>
  <si>
    <t>BHU</t>
  </si>
  <si>
    <t>Wangchuk, Jigme</t>
  </si>
  <si>
    <t>BHU-1952</t>
  </si>
  <si>
    <t>8247f50f-1e42-11e4-b4cd-db5882bf8def</t>
  </si>
  <si>
    <t>Wangchuk, Jigme Dorji</t>
  </si>
  <si>
    <t>https://urldefense.proofpoint.com/v2/url?u=http-3A__dbpedia.org_resource_Jigme-5FDorji-5FWangchuck&amp;d=BQID-g&amp;c=kbmfwr1Yojg42sGEpaQh5ofMHBeTl9EI2eaqQZhHbOU&amp;r=ZliGVSRwfirWoETOrKCh2RSnoygzVPWEk95Me9L-Kwo&amp;m=EaKyFx9mpkhPdFxsxzvW_fiM3jbYwM3xYLjVbSFoDAg&amp;s=q3dgz9CVZ-wGaf8h7eHXQ057QX49ECoF-5jtIUj0Ij4&amp;e=</t>
  </si>
  <si>
    <t>BHU-1972</t>
  </si>
  <si>
    <t>8247f510-1e42-11e4-b4cd-db5882bf8def</t>
  </si>
  <si>
    <t>Wangchuck, Jigme Singye</t>
  </si>
  <si>
    <t>https://urldefense.proofpoint.com/v2/url?u=http-3A__dbpedia.org_resource_Jigme-5FSingye-5FWangchuck&amp;d=BQID-g&amp;c=kbmfwr1Yojg42sGEpaQh5ofMHBeTl9EI2eaqQZhHbOU&amp;r=ZliGVSRwfirWoETOrKCh2RSnoygzVPWEk95Me9L-Kwo&amp;m=EaKyFx9mpkhPdFxsxzvW_fiM3jbYwM3xYLjVbSFoDAg&amp;s=o72kdqDEwp1FflQZKtbhKmTsh2uOY8TiNuFSXPlQz9I&amp;e=</t>
  </si>
  <si>
    <t>BHU-1998</t>
  </si>
  <si>
    <t>8247f511-1e42-11e4-b4cd-db5882bf8def</t>
  </si>
  <si>
    <t>Lyonpo Jigme Thinley</t>
  </si>
  <si>
    <t>BHU-1999</t>
  </si>
  <si>
    <t>8247f512-1e42-11e4-b4cd-db5882bf8def</t>
  </si>
  <si>
    <t>Lyonpo Sangay Ngedup</t>
  </si>
  <si>
    <t>BHU-2000</t>
  </si>
  <si>
    <t>8247f513-1e42-11e4-b4cd-db5882bf8def</t>
  </si>
  <si>
    <t>Lyonpo Yeshey Zimba</t>
  </si>
  <si>
    <t>BHU-2001</t>
  </si>
  <si>
    <t>824825e2-1e42-11e4-b4cd-db5882bf8def</t>
  </si>
  <si>
    <t>Lyonpo Khandu Wangchuk</t>
  </si>
  <si>
    <t>BHU-2002</t>
  </si>
  <si>
    <t>824825e3-1e42-11e4-b4cd-db5882bf8def</t>
  </si>
  <si>
    <t>Lyonpo Kinzang Dorji</t>
  </si>
  <si>
    <t>BHU-2003</t>
  </si>
  <si>
    <t>BHU-2004</t>
  </si>
  <si>
    <t>BHU-2005</t>
  </si>
  <si>
    <t>BHU-2006</t>
  </si>
  <si>
    <t>BHU-2007</t>
  </si>
  <si>
    <t>BHU-2008</t>
  </si>
  <si>
    <t>BHU-2013</t>
  </si>
  <si>
    <t>2b3ec87c-3481-11e4-8dba-bbcd9ed46413</t>
  </si>
  <si>
    <t>Tobgay</t>
  </si>
  <si>
    <t>PAK-1947</t>
  </si>
  <si>
    <t>824825e4-1e42-11e4-b4cd-db5882bf8def</t>
  </si>
  <si>
    <t>PAK</t>
  </si>
  <si>
    <t>Jinnah</t>
  </si>
  <si>
    <t>1876-12-25</t>
  </si>
  <si>
    <t>25dec1876</t>
  </si>
  <si>
    <t>PAK-1948</t>
  </si>
  <si>
    <t>824825e5-1e42-11e4-b4cd-db5882bf8def</t>
  </si>
  <si>
    <t>L. Khan</t>
  </si>
  <si>
    <t>1895-10-01</t>
  </si>
  <si>
    <t>01oct1895</t>
  </si>
  <si>
    <t>https://urldefense.proofpoint.com/v2/url?u=http-3A__dbpedia.org_resource_Liaquat-5FAli-5FKhan&amp;d=BQID-g&amp;c=kbmfwr1Yojg42sGEpaQh5ofMHBeTl9EI2eaqQZhHbOU&amp;r=ZliGVSRwfirWoETOrKCh2RSnoygzVPWEk95Me9L-Kwo&amp;m=EaKyFx9mpkhPdFxsxzvW_fiM3jbYwM3xYLjVbSFoDAg&amp;s=yfXsZHyE1PMKpJkIHGll20-scDul6QkNhMfNGB5LL64&amp;e=</t>
  </si>
  <si>
    <t>PAK-1951</t>
  </si>
  <si>
    <t>824825e6-1e42-11e4-b4cd-db5882bf8def</t>
  </si>
  <si>
    <t>Nazimuddin</t>
  </si>
  <si>
    <t>1894-07-19</t>
  </si>
  <si>
    <t>19jul1894</t>
  </si>
  <si>
    <t>https://urldefense.proofpoint.com/v2/url?u=http-3A__dbpedia.org_resource_Khawaja-5FNazimuddin&amp;d=BQID-g&amp;c=kbmfwr1Yojg42sGEpaQh5ofMHBeTl9EI2eaqQZhHbOU&amp;r=ZliGVSRwfirWoETOrKCh2RSnoygzVPWEk95Me9L-Kwo&amp;m=EaKyFx9mpkhPdFxsxzvW_fiM3jbYwM3xYLjVbSFoDAg&amp;s=LhVnsjVxZygojI_Ca9sTY5-8c-H4ZMpr6T3fbjhPXH0&amp;e=</t>
  </si>
  <si>
    <t>PAK-1953</t>
  </si>
  <si>
    <t>824825e7-1e42-11e4-b4cd-db5882bf8def</t>
  </si>
  <si>
    <t>Mohammed Ali</t>
  </si>
  <si>
    <t>https://urldefense.proofpoint.com/v2/url?u=http-3A__dbpedia.org_resource_Muhammad-5FAli-5FBogra&amp;d=BQID-g&amp;c=kbmfwr1Yojg42sGEpaQh5ofMHBeTl9EI2eaqQZhHbOU&amp;r=ZliGVSRwfirWoETOrKCh2RSnoygzVPWEk95Me9L-Kwo&amp;m=EaKyFx9mpkhPdFxsxzvW_fiM3jbYwM3xYLjVbSFoDAg&amp;s=-HWpvp4NQGlom1d8KII7FCaypnrm7qHKxtOp1V5sPxQ&amp;e=</t>
  </si>
  <si>
    <t>PAK-1955</t>
  </si>
  <si>
    <t>824856b6-1e42-11e4-b4cd-db5882bf8def</t>
  </si>
  <si>
    <t>Chaudhri M. Ali</t>
  </si>
  <si>
    <t>https://urldefense.proofpoint.com/v2/url?u=http-3A__dbpedia.org_resource_Chaudhry-5FMuhammad-5FAli&amp;d=BQID-g&amp;c=kbmfwr1Yojg42sGEpaQh5ofMHBeTl9EI2eaqQZhHbOU&amp;r=ZliGVSRwfirWoETOrKCh2RSnoygzVPWEk95Me9L-Kwo&amp;m=EaKyFx9mpkhPdFxsxzvW_fiM3jbYwM3xYLjVbSFoDAg&amp;s=CFq0wfl_WIADmx_LPwn4upCYmn7h4AKDA2RcxlsEw9k&amp;e=</t>
  </si>
  <si>
    <t>PAK-1956</t>
  </si>
  <si>
    <t>824856b7-1e42-11e4-b4cd-db5882bf8def</t>
  </si>
  <si>
    <t>Shahid Suhrawardy</t>
  </si>
  <si>
    <t>1893-09-08</t>
  </si>
  <si>
    <t>08sep1893</t>
  </si>
  <si>
    <t>PAK-1957-1</t>
  </si>
  <si>
    <t>824856b8-1e42-11e4-b4cd-db5882bf8def</t>
  </si>
  <si>
    <t>Chundrigar</t>
  </si>
  <si>
    <t>PAK-1957-2</t>
  </si>
  <si>
    <t>824856b9-1e42-11e4-b4cd-db5882bf8def</t>
  </si>
  <si>
    <t>Khan Noon</t>
  </si>
  <si>
    <t>1893-05-07</t>
  </si>
  <si>
    <t>07may1893</t>
  </si>
  <si>
    <t>https://urldefense.proofpoint.com/v2/url?u=http-3A__dbpedia.org_resource_Feroz-5FKhan-5FNoon&amp;d=BQID-g&amp;c=kbmfwr1Yojg42sGEpaQh5ofMHBeTl9EI2eaqQZhHbOU&amp;r=ZliGVSRwfirWoETOrKCh2RSnoygzVPWEk95Me9L-Kwo&amp;m=EaKyFx9mpkhPdFxsxzvW_fiM3jbYwM3xYLjVbSFoDAg&amp;s=NMKCK2CLOIS_HgswUMIagdrOw3ZrMm503faTTT9C9EM&amp;e=</t>
  </si>
  <si>
    <t>PAK-1958</t>
  </si>
  <si>
    <t>824856ba-1e42-11e4-b4cd-db5882bf8def</t>
  </si>
  <si>
    <t>Ayub Khan</t>
  </si>
  <si>
    <t>https://urldefense.proofpoint.com/v2/url?u=http-3A__dbpedia.org_resource_Ayub-5FKhan&amp;d=BQID-g&amp;c=kbmfwr1Yojg42sGEpaQh5ofMHBeTl9EI2eaqQZhHbOU&amp;r=ZliGVSRwfirWoETOrKCh2RSnoygzVPWEk95Me9L-Kwo&amp;m=EaKyFx9mpkhPdFxsxzvW_fiM3jbYwM3xYLjVbSFoDAg&amp;s=G8dTIccKDWPcuS3GEO9qiTHqphp3Od_7ZyW15JILTP8&amp;e=</t>
  </si>
  <si>
    <t>PAK-1969</t>
  </si>
  <si>
    <t>824856bb-1e42-11e4-b4cd-db5882bf8def</t>
  </si>
  <si>
    <t>Yahya Khan</t>
  </si>
  <si>
    <t>https://urldefense.proofpoint.com/v2/url?u=http-3A__dbpedia.org_resource_Yahya-5FKhan&amp;d=BQID-g&amp;c=kbmfwr1Yojg42sGEpaQh5ofMHBeTl9EI2eaqQZhHbOU&amp;r=ZliGVSRwfirWoETOrKCh2RSnoygzVPWEk95Me9L-Kwo&amp;m=EaKyFx9mpkhPdFxsxzvW_fiM3jbYwM3xYLjVbSFoDAg&amp;s=3rmES8_VAZ5avFAu1Lb4r2lDwY7viUHfh4vjpHF-ZI0&amp;e=</t>
  </si>
  <si>
    <t>PAK-1971</t>
  </si>
  <si>
    <t>8248878a-1e42-11e4-b4cd-db5882bf8def</t>
  </si>
  <si>
    <t>Bhutto</t>
  </si>
  <si>
    <t>https://urldefense.proofpoint.com/v2/url?u=http-3A__dbpedia.org_resource_Zulfikar-5FAli-5FBhutto&amp;d=BQID-g&amp;c=kbmfwr1Yojg42sGEpaQh5ofMHBeTl9EI2eaqQZhHbOU&amp;r=ZliGVSRwfirWoETOrKCh2RSnoygzVPWEk95Me9L-Kwo&amp;m=EaKyFx9mpkhPdFxsxzvW_fiM3jbYwM3xYLjVbSFoDAg&amp;s=dXC6Vgb0Lgi-2lvj8tCsh8YdWOyCuQ1hnd7TGIsBw8I&amp;e=</t>
  </si>
  <si>
    <t>Father of Benazir Bhutto%8248878d-1e42-11e4-b4cd-db5882bf8def</t>
  </si>
  <si>
    <t>PAK-1977</t>
  </si>
  <si>
    <t>8248878b-1e42-11e4-b4cd-db5882bf8def</t>
  </si>
  <si>
    <t>Zia</t>
  </si>
  <si>
    <t>https://urldefense.proofpoint.com/v2/url?u=http-3A__dbpedia.org_resource_Muhammad-5FZia-2Dul-2DHaq&amp;d=BQID-g&amp;c=kbmfwr1Yojg42sGEpaQh5ofMHBeTl9EI2eaqQZhHbOU&amp;r=ZliGVSRwfirWoETOrKCh2RSnoygzVPWEk95Me9L-Kwo&amp;m=EaKyFx9mpkhPdFxsxzvW_fiM3jbYwM3xYLjVbSFoDAg&amp;s=3J1l_BKXmNLkUaCIzBrTpJloDwZ9UKUC394aUfoKK0Q&amp;e=</t>
  </si>
  <si>
    <t>PAK-1988-1</t>
  </si>
  <si>
    <t>8248878c-1e42-11e4-b4cd-db5882bf8def</t>
  </si>
  <si>
    <t>Ishaq Khan</t>
  </si>
  <si>
    <t>https://urldefense.proofpoint.com/v2/url?u=http-3A__dbpedia.org_resource_Ghulam-5FIshaq-5FKhan&amp;d=BQID-g&amp;c=kbmfwr1Yojg42sGEpaQh5ofMHBeTl9EI2eaqQZhHbOU&amp;r=ZliGVSRwfirWoETOrKCh2RSnoygzVPWEk95Me9L-Kwo&amp;m=EaKyFx9mpkhPdFxsxzvW_fiM3jbYwM3xYLjVbSFoDAg&amp;s=8rL_MGZC2_TW6y-Q-WQ0noQOB4gmXpMrCm5YwL8G-Zg&amp;e=</t>
  </si>
  <si>
    <t>PAK-1988-2</t>
  </si>
  <si>
    <t>8248878d-1e42-11e4-b4cd-db5882bf8def</t>
  </si>
  <si>
    <t>Benazir Bhutto</t>
  </si>
  <si>
    <t>https://urldefense.proofpoint.com/v2/url?u=http-3A__dbpedia.org_resource_Benazir-5FBhutto&amp;d=BQID-g&amp;c=kbmfwr1Yojg42sGEpaQh5ofMHBeTl9EI2eaqQZhHbOU&amp;r=ZliGVSRwfirWoETOrKCh2RSnoygzVPWEk95Me9L-Kwo&amp;m=EaKyFx9mpkhPdFxsxzvW_fiM3jbYwM3xYLjVbSFoDAg&amp;s=qPTT7cEEU-76VYizCY6jiyPJOFh30phxM8yD83lsYs8&amp;e=</t>
  </si>
  <si>
    <t>Son of Bhutto%8248878a-1e42-11e4-b4cd-db5882bf8def;Wife of Zardari%82551e7c-1e42-11e4-b4cd-db5882bf8def</t>
  </si>
  <si>
    <t>PAK-1990-1</t>
  </si>
  <si>
    <t>8248878e-1e42-11e4-b4cd-db5882bf8def</t>
  </si>
  <si>
    <t>Jatoi</t>
  </si>
  <si>
    <t>PAK-1990-2</t>
  </si>
  <si>
    <t>8248878f-1e42-11e4-b4cd-db5882bf8def</t>
  </si>
  <si>
    <t>Sharif</t>
  </si>
  <si>
    <t>https://urldefense.proofpoint.com/v2/url?u=http-3A__dbpedia.org_resource_Nawaz-5FSharif&amp;d=BQID-g&amp;c=kbmfwr1Yojg42sGEpaQh5ofMHBeTl9EI2eaqQZhHbOU&amp;r=ZliGVSRwfirWoETOrKCh2RSnoygzVPWEk95Me9L-Kwo&amp;m=EaKyFx9mpkhPdFxsxzvW_fiM3jbYwM3xYLjVbSFoDAg&amp;s=pVDY1GDRCSm6-KgkYhehWDo9ozZrbz3XRXfBkPKqyds&amp;e=</t>
  </si>
  <si>
    <t>PAK-1993-1</t>
  </si>
  <si>
    <t>8248b868-1e42-11e4-b4cd-db5882bf8def</t>
  </si>
  <si>
    <t>Mazari</t>
  </si>
  <si>
    <t>PAK-1993-2</t>
  </si>
  <si>
    <t>PAK-1993-3</t>
  </si>
  <si>
    <t>8248b869-1e42-11e4-b4cd-db5882bf8def</t>
  </si>
  <si>
    <t>Qureshi</t>
  </si>
  <si>
    <t>PAK-1993-4</t>
  </si>
  <si>
    <t>PAK-1996</t>
  </si>
  <si>
    <t>8248b86a-1e42-11e4-b4cd-db5882bf8def</t>
  </si>
  <si>
    <t>https://urldefense.proofpoint.com/v2/url?u=http-3A__dbpedia.org_resource_Malik-5FMeraj-5FKhalid&amp;d=BQID-g&amp;c=kbmfwr1Yojg42sGEpaQh5ofMHBeTl9EI2eaqQZhHbOU&amp;r=ZliGVSRwfirWoETOrKCh2RSnoygzVPWEk95Me9L-Kwo&amp;m=EaKyFx9mpkhPdFxsxzvW_fiM3jbYwM3xYLjVbSFoDAg&amp;s=X-W_oOFKgTZtKhIDAQ9IeEnlDsM_BXE-T-Aj16EhVVE&amp;e=</t>
  </si>
  <si>
    <t>PAK-1997</t>
  </si>
  <si>
    <t>PAK-1999</t>
  </si>
  <si>
    <t>8248b86b-1e42-11e4-b4cd-db5882bf8def</t>
  </si>
  <si>
    <t>Musharraf</t>
  </si>
  <si>
    <t>PAK-2008-1</t>
  </si>
  <si>
    <t>82551e7b-1e42-11e4-b4cd-db5882bf8def</t>
  </si>
  <si>
    <t>Soomro</t>
  </si>
  <si>
    <t>PAK-2008-2</t>
  </si>
  <si>
    <t>82551e7c-1e42-11e4-b4cd-db5882bf8def</t>
  </si>
  <si>
    <t>Zardari</t>
  </si>
  <si>
    <t>Husband of Benazir Bhutto%8248878d-1e42-11e4-b4cd-db5882bf8def</t>
  </si>
  <si>
    <t>PAK-2013</t>
  </si>
  <si>
    <t>2b3ec87d-3481-11e4-8dba-bbcd9ed46413</t>
  </si>
  <si>
    <t>Nawaz Sharif</t>
  </si>
  <si>
    <t>BNG-1971</t>
  </si>
  <si>
    <t>8248b86c-1e42-11e4-b4cd-db5882bf8def</t>
  </si>
  <si>
    <t>BNG</t>
  </si>
  <si>
    <t>Syed Nazrul Islam</t>
  </si>
  <si>
    <t>BNG-1972</t>
  </si>
  <si>
    <t>8248b86d-1e42-11e4-b4cd-db5882bf8def</t>
  </si>
  <si>
    <t>Sheikh Mujib Rahman</t>
  </si>
  <si>
    <t>https://urldefense.proofpoint.com/v2/url?u=http-3A__dbpedia.org_resource_Sheikh-5FMujibur-5FRahman&amp;d=BQID-g&amp;c=kbmfwr1Yojg42sGEpaQh5ofMHBeTl9EI2eaqQZhHbOU&amp;r=ZliGVSRwfirWoETOrKCh2RSnoygzVPWEk95Me9L-Kwo&amp;m=EaKyFx9mpkhPdFxsxzvW_fiM3jbYwM3xYLjVbSFoDAg&amp;s=zvP7A0xRWxWi53ZAj9KGsbgrMVlYr8sebq3y72xvJUU&amp;e=</t>
  </si>
  <si>
    <t>Father of Hasina Wazed%365240e8-3bbd-11e5-afeb-eb6f07f9fec7</t>
  </si>
  <si>
    <t>BNG-1975-1</t>
  </si>
  <si>
    <t>8248e93c-1e42-11e4-b4cd-db5882bf8def</t>
  </si>
  <si>
    <t>Moshtaque Ahmed</t>
  </si>
  <si>
    <t>BNG-1975-2</t>
  </si>
  <si>
    <t>8248e93d-1e42-11e4-b4cd-db5882bf8def</t>
  </si>
  <si>
    <t>Ziaur Rahman</t>
  </si>
  <si>
    <t>https://urldefense.proofpoint.com/v2/url?u=http-3A__dbpedia.org_resource_Ziaur-5FRahman&amp;d=BQID-g&amp;c=kbmfwr1Yojg42sGEpaQh5ofMHBeTl9EI2eaqQZhHbOU&amp;r=ZliGVSRwfirWoETOrKCh2RSnoygzVPWEk95Me9L-Kwo&amp;m=EaKyFx9mpkhPdFxsxzvW_fiM3jbYwM3xYLjVbSFoDAg&amp;s=D8fMFRC4WvTo5aE2J5SyNjgSLaYAc1LRNx6J1lxTnt8&amp;e=</t>
  </si>
  <si>
    <t>Husband of Khaleda Zia%3651f2c8-3bbd-11e5-afeb-eb6f07f9fec7</t>
  </si>
  <si>
    <t>BNG-1981</t>
  </si>
  <si>
    <t>8248e93e-1e42-11e4-b4cd-db5882bf8def</t>
  </si>
  <si>
    <t>Sattar</t>
  </si>
  <si>
    <t>BNG-1982</t>
  </si>
  <si>
    <t>8248e93f-1e42-11e4-b4cd-db5882bf8def</t>
  </si>
  <si>
    <t>Ershad</t>
  </si>
  <si>
    <t>BNG-1990</t>
  </si>
  <si>
    <t>8248e940-1e42-11e4-b4cd-db5882bf8def</t>
  </si>
  <si>
    <t>Ahmed</t>
  </si>
  <si>
    <t>https://urldefense.proofpoint.com/v2/url?u=http-3A__dbpedia.org_resource_Moeenuddin-5FAhmad-5FQureshi&amp;d=BQID-g&amp;c=kbmfwr1Yojg42sGEpaQh5ofMHBeTl9EI2eaqQZhHbOU&amp;r=ZliGVSRwfirWoETOrKCh2RSnoygzVPWEk95Me9L-Kwo&amp;m=EaKyFx9mpkhPdFxsxzvW_fiM3jbYwM3xYLjVbSFoDAg&amp;s=WQT9-F8Co5xQ8VyXirMuKPmE8GBxb2gWnVI3G7Ty1TY&amp;e=</t>
  </si>
  <si>
    <t>BNG-1991</t>
  </si>
  <si>
    <t>3651f2c8-3bbd-11e5-afeb-eb6f07f9fec7</t>
  </si>
  <si>
    <t>Khaleda Zia</t>
  </si>
  <si>
    <t>Wife of Ziaur Rahman%8248e93d-1e42-11e4-b4cd-db5882bf8def</t>
  </si>
  <si>
    <t>BNG-1996-1</t>
  </si>
  <si>
    <t>8248e942-1e42-11e4-b4cd-db5882bf8def</t>
  </si>
  <si>
    <t>Mohammad Habibur Rahman</t>
  </si>
  <si>
    <t>https://urldefense.proofpoint.com/v2/url?u=http-3A__dbpedia.org_resource_Habibur-5FRahman&amp;d=BQID-g&amp;c=kbmfwr1Yojg42sGEpaQh5ofMHBeTl9EI2eaqQZhHbOU&amp;r=ZliGVSRwfirWoETOrKCh2RSnoygzVPWEk95Me9L-Kwo&amp;m=EaKyFx9mpkhPdFxsxzvW_fiM3jbYwM3xYLjVbSFoDAg&amp;s=FlZVwQEzd5XiYig8dI97BRQC5J1h_2tiPqSear0qybM&amp;e=</t>
  </si>
  <si>
    <t>BNG-1996-2</t>
  </si>
  <si>
    <t>365240e8-3bbd-11e5-afeb-eb6f07f9fec7</t>
  </si>
  <si>
    <t>Hasina Wazed</t>
  </si>
  <si>
    <t>Daughter of Sheikh Mujib Rahman%8248b86d-1e42-11e4-b4cd-db5882bf8def</t>
  </si>
  <si>
    <t>BNG-2001-1</t>
  </si>
  <si>
    <t>82491a11-1e42-11e4-b4cd-db5882bf8def</t>
  </si>
  <si>
    <t>Latifur Rahman</t>
  </si>
  <si>
    <t>BNG-2001-2</t>
  </si>
  <si>
    <t>BNG-2006</t>
  </si>
  <si>
    <t>82551e7d-1e42-11e4-b4cd-db5882bf8def</t>
  </si>
  <si>
    <t>Iajuddin</t>
  </si>
  <si>
    <t>BNG-2007</t>
  </si>
  <si>
    <t>82554f4c-1e42-11e4-b4cd-db5882bf8def</t>
  </si>
  <si>
    <t>Fakhruddin</t>
  </si>
  <si>
    <t>BNG-2009</t>
  </si>
  <si>
    <t>MYA-1853</t>
  </si>
  <si>
    <t>82491a13-1e42-11e4-b4cd-db5882bf8def</t>
  </si>
  <si>
    <t>MYA</t>
  </si>
  <si>
    <t>Mindon Min</t>
  </si>
  <si>
    <t>1853-02-18</t>
  </si>
  <si>
    <t>1878-10-01</t>
  </si>
  <si>
    <t>01oct1878</t>
  </si>
  <si>
    <t>1808-07-08</t>
  </si>
  <si>
    <t>08jul1808</t>
  </si>
  <si>
    <t>MYA-1878</t>
  </si>
  <si>
    <t>82491a14-1e42-11e4-b4cd-db5882bf8def</t>
  </si>
  <si>
    <t>Thibaw Min</t>
  </si>
  <si>
    <t>1885-11-29</t>
  </si>
  <si>
    <t>MYA-1885</t>
  </si>
  <si>
    <t>82491a15-1e42-11e4-b4cd-db5882bf8def</t>
  </si>
  <si>
    <t>Taingda Mingyi</t>
  </si>
  <si>
    <t>MYA-1948</t>
  </si>
  <si>
    <t>82494ae4-1e42-11e4-b4cd-db5882bf8def</t>
  </si>
  <si>
    <t>U Nu</t>
  </si>
  <si>
    <t>https://urldefense.proofpoint.com/v2/url?u=http-3A__dbpedia.org_resource_U-5FNu&amp;d=BQID-g&amp;c=kbmfwr1Yojg42sGEpaQh5ofMHBeTl9EI2eaqQZhHbOU&amp;r=ZliGVSRwfirWoETOrKCh2RSnoygzVPWEk95Me9L-Kwo&amp;m=EaKyFx9mpkhPdFxsxzvW_fiM3jbYwM3xYLjVbSFoDAg&amp;s=H2mMD03N7f00tu3hEUlZHCpgyTxvtYRWdfdGX8D3pfg&amp;e=</t>
  </si>
  <si>
    <t>MYA-1956</t>
  </si>
  <si>
    <t>82494ae5-1e42-11e4-b4cd-db5882bf8def</t>
  </si>
  <si>
    <t>U Ba Swe</t>
  </si>
  <si>
    <t>https://urldefense.proofpoint.com/v2/url?u=http-3A__dbpedia.org_resource_Ba-5FSwe&amp;d=BQID-g&amp;c=kbmfwr1Yojg42sGEpaQh5ofMHBeTl9EI2eaqQZhHbOU&amp;r=ZliGVSRwfirWoETOrKCh2RSnoygzVPWEk95Me9L-Kwo&amp;m=EaKyFx9mpkhPdFxsxzvW_fiM3jbYwM3xYLjVbSFoDAg&amp;s=_X_J7-5d2Hc7bC-ApALFrl0igkG-5Us61aGbCXuB4tg&amp;e=</t>
  </si>
  <si>
    <t>MYA-1957</t>
  </si>
  <si>
    <t>MYA-1958</t>
  </si>
  <si>
    <t>82494ae6-1e42-11e4-b4cd-db5882bf8def</t>
  </si>
  <si>
    <t>Ne Win</t>
  </si>
  <si>
    <t>https://urldefense.proofpoint.com/v2/url?u=http-3A__dbpedia.org_resource_Ne-5FWin&amp;d=BQID-g&amp;c=kbmfwr1Yojg42sGEpaQh5ofMHBeTl9EI2eaqQZhHbOU&amp;r=ZliGVSRwfirWoETOrKCh2RSnoygzVPWEk95Me9L-Kwo&amp;m=EaKyFx9mpkhPdFxsxzvW_fiM3jbYwM3xYLjVbSFoDAg&amp;s=0ugaIaRCMK5uSo4PV9JS_85CwyuOmES4cBL5z4H8Fis&amp;e=</t>
  </si>
  <si>
    <t>MYA-1960</t>
  </si>
  <si>
    <t>MYA-1962</t>
  </si>
  <si>
    <t>MYA-1988-1</t>
  </si>
  <si>
    <t>82494ae7-1e42-11e4-b4cd-db5882bf8def</t>
  </si>
  <si>
    <t>Sein Lwin</t>
  </si>
  <si>
    <t>MYA-1988-2</t>
  </si>
  <si>
    <t>82494ae8-1e42-11e4-b4cd-db5882bf8def</t>
  </si>
  <si>
    <t>Maung Maung</t>
  </si>
  <si>
    <t>https://urldefense.proofpoint.com/v2/url?u=http-3A__dbpedia.org_resource_Maung-5FMaung&amp;d=BQID-g&amp;c=kbmfwr1Yojg42sGEpaQh5ofMHBeTl9EI2eaqQZhHbOU&amp;r=ZliGVSRwfirWoETOrKCh2RSnoygzVPWEk95Me9L-Kwo&amp;m=EaKyFx9mpkhPdFxsxzvW_fiM3jbYwM3xYLjVbSFoDAg&amp;s=1wE5BEvMUvg34cqv1OgzWXR7lxhJN2705UUvXjSfZ0A&amp;e=</t>
  </si>
  <si>
    <t>MYA-1988-3</t>
  </si>
  <si>
    <t>82494ae9-1e42-11e4-b4cd-db5882bf8def</t>
  </si>
  <si>
    <t>Saw Maung</t>
  </si>
  <si>
    <t>MYA-1992</t>
  </si>
  <si>
    <t>82497bb8-1e42-11e4-b4cd-db5882bf8def</t>
  </si>
  <si>
    <t>Than Shwe</t>
  </si>
  <si>
    <t>MYA-2011</t>
  </si>
  <si>
    <t>14a038b2-aae0-11e4-b3bc-29f2fa19767e</t>
  </si>
  <si>
    <t>Thein Sein</t>
  </si>
  <si>
    <t>SRI-1948</t>
  </si>
  <si>
    <t>82497bb9-1e42-11e4-b4cd-db5882bf8def</t>
  </si>
  <si>
    <t>SRI</t>
  </si>
  <si>
    <t>Senanayake, Don</t>
  </si>
  <si>
    <t>1884-10-20</t>
  </si>
  <si>
    <t>20oct1884</t>
  </si>
  <si>
    <t>https://urldefense.proofpoint.com/v2/url?u=http-3A__dbpedia.org_resource_Don-5FStephen-5FSenanayake&amp;d=BQID-g&amp;c=kbmfwr1Yojg42sGEpaQh5ofMHBeTl9EI2eaqQZhHbOU&amp;r=ZliGVSRwfirWoETOrKCh2RSnoygzVPWEk95Me9L-Kwo&amp;m=EaKyFx9mpkhPdFxsxzvW_fiM3jbYwM3xYLjVbSFoDAg&amp;s=7AlNNla93k1mIg7LBqJeGVp1h1zmEPOai-nNyE_TFr4&amp;e=</t>
  </si>
  <si>
    <t>Father of Senanayake, Dudley%82497bba-1e42-11e4-b4cd-db5882bf8def</t>
  </si>
  <si>
    <t>SRI-1952</t>
  </si>
  <si>
    <t>82497bba-1e42-11e4-b4cd-db5882bf8def</t>
  </si>
  <si>
    <t>Senanayake, Dudley</t>
  </si>
  <si>
    <t>https://urldefense.proofpoint.com/v2/url?u=http-3A__dbpedia.org_resource_Dudley-5FSenanayake&amp;d=BQID-g&amp;c=kbmfwr1Yojg42sGEpaQh5ofMHBeTl9EI2eaqQZhHbOU&amp;r=ZliGVSRwfirWoETOrKCh2RSnoygzVPWEk95Me9L-Kwo&amp;m=EaKyFx9mpkhPdFxsxzvW_fiM3jbYwM3xYLjVbSFoDAg&amp;s=A6Eb78N2bp_ysthfB1en1xiK_hR0xrlzrqHt1_SpjCY&amp;e=</t>
  </si>
  <si>
    <t>Son of Senanayake, Don%82497bb9-1e42-11e4-b4cd-db5882bf8def</t>
  </si>
  <si>
    <t>SRI-1953</t>
  </si>
  <si>
    <t>82497bbb-1e42-11e4-b4cd-db5882bf8def</t>
  </si>
  <si>
    <t>Kotelawala</t>
  </si>
  <si>
    <t>https://urldefense.proofpoint.com/v2/url?u=http-3A__dbpedia.org_resource_John-5FKotelawala&amp;d=BQID-g&amp;c=kbmfwr1Yojg42sGEpaQh5ofMHBeTl9EI2eaqQZhHbOU&amp;r=ZliGVSRwfirWoETOrKCh2RSnoygzVPWEk95Me9L-Kwo&amp;m=EaKyFx9mpkhPdFxsxzvW_fiM3jbYwM3xYLjVbSFoDAg&amp;s=_WqrxReSAOsC1ynSTqj7Rjptg6u9XK8wsvgmIP18l5c&amp;e=</t>
  </si>
  <si>
    <t>SRI-1956</t>
  </si>
  <si>
    <t>82497bbc-1e42-11e4-b4cd-db5882bf8def</t>
  </si>
  <si>
    <t>Bandaranaike, S.W.R.D.</t>
  </si>
  <si>
    <t>1899-01-08</t>
  </si>
  <si>
    <t>08jan1899</t>
  </si>
  <si>
    <t>Husband of Bandaranaike, S%8249ac8c-1e42-11e4-b4cd-db5882bf8def</t>
  </si>
  <si>
    <t>SRI-1959</t>
  </si>
  <si>
    <t>82497bbd-1e42-11e4-b4cd-db5882bf8def</t>
  </si>
  <si>
    <t>Dahanayake</t>
  </si>
  <si>
    <t>https://urldefense.proofpoint.com/v2/url?u=http-3A__dbpedia.org_resource_Wijeyananda-5FDahanayake&amp;d=BQID-g&amp;c=kbmfwr1Yojg42sGEpaQh5ofMHBeTl9EI2eaqQZhHbOU&amp;r=ZliGVSRwfirWoETOrKCh2RSnoygzVPWEk95Me9L-Kwo&amp;m=EaKyFx9mpkhPdFxsxzvW_fiM3jbYwM3xYLjVbSFoDAg&amp;s=-P0fioLX5katTtCFxDpkBshqRElDiGmUnXbuAfQcTJ0&amp;e=</t>
  </si>
  <si>
    <t>SRI-1960-1</t>
  </si>
  <si>
    <t>SRI-1960-2</t>
  </si>
  <si>
    <t>8249ac8c-1e42-11e4-b4cd-db5882bf8def</t>
  </si>
  <si>
    <t>Bandaranaike, S</t>
  </si>
  <si>
    <t>https://urldefense.proofpoint.com/v2/url?u=http-3A__dbpedia.org_resource_Sirimavo-5FBandaranaike&amp;d=BQID-g&amp;c=kbmfwr1Yojg42sGEpaQh5ofMHBeTl9EI2eaqQZhHbOU&amp;r=ZliGVSRwfirWoETOrKCh2RSnoygzVPWEk95Me9L-Kwo&amp;m=EaKyFx9mpkhPdFxsxzvW_fiM3jbYwM3xYLjVbSFoDAg&amp;s=AVh_dzn8DctyBQrSLTrKBzd6_xd8Uv0XD_iWHQlSVj4&amp;e=</t>
  </si>
  <si>
    <t>Wife of Bandaranaike, S.W.R.D.%82497bbc-1e42-11e4-b4cd-db5882bf8def;Mother of Kumaratunga%8249ac90-1e42-11e4-b4cd-db5882bf8def</t>
  </si>
  <si>
    <t>SRI-1965</t>
  </si>
  <si>
    <t>SRI-1970</t>
  </si>
  <si>
    <t>SRI-1977</t>
  </si>
  <si>
    <t>8249ac8d-1e42-11e4-b4cd-db5882bf8def</t>
  </si>
  <si>
    <t>Jayewardene</t>
  </si>
  <si>
    <t>https://urldefense.proofpoint.com/v2/url?u=http-3A__dbpedia.org_resource_Junius-5FRichard-5FJayewardene&amp;d=BQID-g&amp;c=kbmfwr1Yojg42sGEpaQh5ofMHBeTl9EI2eaqQZhHbOU&amp;r=ZliGVSRwfirWoETOrKCh2RSnoygzVPWEk95Me9L-Kwo&amp;m=EaKyFx9mpkhPdFxsxzvW_fiM3jbYwM3xYLjVbSFoDAg&amp;s=HRcODo8KaSiMR1myeegPMFTEDkXNiJ9BaYwd7sVXKow&amp;e=</t>
  </si>
  <si>
    <t>SRI-1989</t>
  </si>
  <si>
    <t>8249ac8e-1e42-11e4-b4cd-db5882bf8def</t>
  </si>
  <si>
    <t>Premadasa</t>
  </si>
  <si>
    <t>https://urldefense.proofpoint.com/v2/url?u=http-3A__dbpedia.org_resource_Ranasinghe-5FPremadasa&amp;d=BQID-g&amp;c=kbmfwr1Yojg42sGEpaQh5ofMHBeTl9EI2eaqQZhHbOU&amp;r=ZliGVSRwfirWoETOrKCh2RSnoygzVPWEk95Me9L-Kwo&amp;m=EaKyFx9mpkhPdFxsxzvW_fiM3jbYwM3xYLjVbSFoDAg&amp;s=5CojdENobqqKFE0df3T5r7OPP6Ye8-FrojHYbzseb1U&amp;e=</t>
  </si>
  <si>
    <t>SRI-1993</t>
  </si>
  <si>
    <t>8249ac8f-1e42-11e4-b4cd-db5882bf8def</t>
  </si>
  <si>
    <t>Wijetunge</t>
  </si>
  <si>
    <t>SRI-1994</t>
  </si>
  <si>
    <t>8249ac90-1e42-11e4-b4cd-db5882bf8def</t>
  </si>
  <si>
    <t>Kumaratunga</t>
  </si>
  <si>
    <t>https://urldefense.proofpoint.com/v2/url?u=http-3A__dbpedia.org_resource_Chandrika-5FKumaratunga&amp;d=BQID-g&amp;c=kbmfwr1Yojg42sGEpaQh5ofMHBeTl9EI2eaqQZhHbOU&amp;r=ZliGVSRwfirWoETOrKCh2RSnoygzVPWEk95Me9L-Kwo&amp;m=EaKyFx9mpkhPdFxsxzvW_fiM3jbYwM3xYLjVbSFoDAg&amp;s=NjbZqccdt_TBIB5dPwpRyp0avbIEV--4zqBh3_nj1TU&amp;e=</t>
  </si>
  <si>
    <t>Daughter of Bandaranaike, S%8249ac8c-1e42-11e4-b4cd-db5882bf8def</t>
  </si>
  <si>
    <t>SRI-2005</t>
  </si>
  <si>
    <t>82554f4e-1e42-11e4-b4cd-db5882bf8def</t>
  </si>
  <si>
    <t>Rajapakse</t>
  </si>
  <si>
    <t>SRI-2015</t>
  </si>
  <si>
    <t>43fa7166-de6a-11e5-ba44-bb6d7c1a9a58</t>
  </si>
  <si>
    <t>Maithripala Sirisena</t>
  </si>
  <si>
    <t>MAD-1953</t>
  </si>
  <si>
    <t>8249ac91-1e42-11e4-b4cd-db5882bf8def</t>
  </si>
  <si>
    <t>MAD</t>
  </si>
  <si>
    <t>Ali Didi</t>
  </si>
  <si>
    <t>51骞?1562</t>
  </si>
  <si>
    <t>MAD-1957</t>
  </si>
  <si>
    <t>8249dd60-1e42-11e4-b4cd-db5882bf8def</t>
  </si>
  <si>
    <t>Nasir</t>
  </si>
  <si>
    <t>https://urldefense.proofpoint.com/v2/url?u=http-3A__dbpedia.org_resource_Ibrahim-5FNasir&amp;d=BQID-g&amp;c=kbmfwr1Yojg42sGEpaQh5ofMHBeTl9EI2eaqQZhHbOU&amp;r=ZliGVSRwfirWoETOrKCh2RSnoygzVPWEk95Me9L-Kwo&amp;m=EaKyFx9mpkhPdFxsxzvW_fiM3jbYwM3xYLjVbSFoDAg&amp;s=jwYXPbLvKgMdYVv1gzOIyJjTXmuwTjuXsXczVhAakjs&amp;e=</t>
  </si>
  <si>
    <t>51骞?7639</t>
  </si>
  <si>
    <t>MAD-1978</t>
  </si>
  <si>
    <t>8249dd61-1e42-11e4-b4cd-db5882bf8def</t>
  </si>
  <si>
    <t>Maumoon Abdul Gayoom</t>
  </si>
  <si>
    <t>https://urldefense.proofpoint.com/v2/url?u=http-3A__dbpedia.org_resource_Maumoon-5FAbdul-5FGayoom&amp;d=BQID-g&amp;c=kbmfwr1Yojg42sGEpaQh5ofMHBeTl9EI2eaqQZhHbOU&amp;r=ZliGVSRwfirWoETOrKCh2RSnoygzVPWEk95Me9L-Kwo&amp;m=EaKyFx9mpkhPdFxsxzvW_fiM3jbYwM3xYLjVbSFoDAg&amp;s=T24YZfyLMFFLqWmwjn97ce_OksRitwRIU7EN5SHNETU&amp;e=</t>
  </si>
  <si>
    <t>Half-brother of Abdulla Yameen Abdul Gayoom%2b3ec87e-3481-11e4-8dba-bbcd9ed46413</t>
  </si>
  <si>
    <t>51骞?10958</t>
  </si>
  <si>
    <t>MAD-2008</t>
  </si>
  <si>
    <t>82554f4f-1e42-11e4-b4cd-db5882bf8def</t>
  </si>
  <si>
    <t>Nasheed</t>
  </si>
  <si>
    <t>51骞?1183</t>
  </si>
  <si>
    <t>MAD-2012</t>
  </si>
  <si>
    <t>14a038b3-aae0-11e4-b3bc-29f2fa19767e</t>
  </si>
  <si>
    <t>Waheed Hassan</t>
  </si>
  <si>
    <t>51骞?649</t>
  </si>
  <si>
    <t>MAD-2013</t>
  </si>
  <si>
    <t>2b3ec87e-3481-11e4-8dba-bbcd9ed46413</t>
  </si>
  <si>
    <t>Abdulla Yameen Abdul Gayoom</t>
  </si>
  <si>
    <t>Half-brother of Maumoon Abdul Gayoom%8249dd61-1e42-11e4-b4cd-db5882bf8def</t>
  </si>
  <si>
    <t>51骞?774</t>
  </si>
  <si>
    <t>NEP-1846</t>
  </si>
  <si>
    <t>8249dd62-1e42-11e4-b4cd-db5882bf8def</t>
  </si>
  <si>
    <t>NEP</t>
  </si>
  <si>
    <t>Jang Bahadur Kunwar</t>
  </si>
  <si>
    <t>1846-09-17</t>
  </si>
  <si>
    <t>1877-02-25</t>
  </si>
  <si>
    <t>25feb1877</t>
  </si>
  <si>
    <t>1817-06-18</t>
  </si>
  <si>
    <t>18jun1817</t>
  </si>
  <si>
    <t>25骞?11119</t>
  </si>
  <si>
    <t>NEP-1877</t>
  </si>
  <si>
    <t>8249dd63-1e42-11e4-b4cd-db5882bf8def</t>
  </si>
  <si>
    <t>Rana Udip Singh</t>
  </si>
  <si>
    <t>1877-02-27</t>
  </si>
  <si>
    <t>1885-11-21</t>
  </si>
  <si>
    <t>25骞?3189</t>
  </si>
  <si>
    <t>NEP-1885</t>
  </si>
  <si>
    <t>8249dd64-1e42-11e4-b4cd-db5882bf8def</t>
  </si>
  <si>
    <t>Bira Shamsher Jang Bahadur Rana</t>
  </si>
  <si>
    <t>1885-11-23</t>
  </si>
  <si>
    <t>25骞?5580</t>
  </si>
  <si>
    <t>NEP-1901-1</t>
  </si>
  <si>
    <t>8249dd65-1e42-11e4-b4cd-db5882bf8def</t>
  </si>
  <si>
    <t>Dev Shumshere Jung Bahadur Rana</t>
  </si>
  <si>
    <t>25骞?103</t>
  </si>
  <si>
    <t>NEP-1901-2</t>
  </si>
  <si>
    <t>824a0e34-1e42-11e4-b4cd-db5882bf8def</t>
  </si>
  <si>
    <t>Chandra Rana</t>
  </si>
  <si>
    <t>25骞?10223</t>
  </si>
  <si>
    <t>NEP-1929</t>
  </si>
  <si>
    <t>824a0e35-1e42-11e4-b4cd-db5882bf8def</t>
  </si>
  <si>
    <t>Bhim Rana</t>
  </si>
  <si>
    <t>25骞?1167</t>
  </si>
  <si>
    <t>NEP-1932</t>
  </si>
  <si>
    <t>824a0e36-1e42-11e4-b4cd-db5882bf8def</t>
  </si>
  <si>
    <t>Juddha Rana</t>
  </si>
  <si>
    <t>25骞?4836</t>
  </si>
  <si>
    <t>NEP-1945</t>
  </si>
  <si>
    <t>824a0e37-1e42-11e4-b4cd-db5882bf8def</t>
  </si>
  <si>
    <t>Padma Rana</t>
  </si>
  <si>
    <t>25骞?803</t>
  </si>
  <si>
    <t>NEP-1948</t>
  </si>
  <si>
    <t>824a0e38-1e42-11e4-b4cd-db5882bf8def</t>
  </si>
  <si>
    <t>Mohan Rana</t>
  </si>
  <si>
    <t>1885-12-23</t>
  </si>
  <si>
    <t>23dec1885</t>
  </si>
  <si>
    <t>25骞?1105</t>
  </si>
  <si>
    <t>NEP-1951</t>
  </si>
  <si>
    <t>824a0e39-1e42-11e4-b4cd-db5882bf8def</t>
  </si>
  <si>
    <t>Tribhuvan</t>
  </si>
  <si>
    <t>https://urldefense.proofpoint.com/v2/url?u=http-3A__dbpedia.org_resource_Tribhuvan-5Fof-5FNepal&amp;d=BQID-g&amp;c=kbmfwr1Yojg42sGEpaQh5ofMHBeTl9EI2eaqQZhHbOU&amp;r=ZliGVSRwfirWoETOrKCh2RSnoygzVPWEk95Me9L-Kwo&amp;m=EaKyFx9mpkhPdFxsxzvW_fiM3jbYwM3xYLjVbSFoDAg&amp;s=Lqu9kFjKAi3pxoJBeEwGDr2qvxvVute8hvLWPjMEbps&amp;e=</t>
  </si>
  <si>
    <t>25骞?1484</t>
  </si>
  <si>
    <t>NEP-1955</t>
  </si>
  <si>
    <t>824a3f08-1e42-11e4-b4cd-db5882bf8def</t>
  </si>
  <si>
    <t>Mahendra</t>
  </si>
  <si>
    <t>https://urldefense.proofpoint.com/v2/url?u=http-3A__dbpedia.org_resource_Mahendra-5Fof-5FNepal&amp;d=BQID-g&amp;c=kbmfwr1Yojg42sGEpaQh5ofMHBeTl9EI2eaqQZhHbOU&amp;r=ZliGVSRwfirWoETOrKCh2RSnoygzVPWEk95Me9L-Kwo&amp;m=EaKyFx9mpkhPdFxsxzvW_fiM3jbYwM3xYLjVbSFoDAg&amp;s=SbkJT0D1SWeV5y09r5P1BCXOZCF3XhM3iAKy7nzDkgo&amp;e=</t>
  </si>
  <si>
    <t>25骞?6167</t>
  </si>
  <si>
    <t>NEP-1972</t>
  </si>
  <si>
    <t>824a3f09-1e42-11e4-b4cd-db5882bf8def</t>
  </si>
  <si>
    <t>Birendra</t>
  </si>
  <si>
    <t>https://urldefense.proofpoint.com/v2/url?u=http-3A__dbpedia.org_resource_Birendra-5Fof-5FNepal&amp;d=BQID-g&amp;c=kbmfwr1Yojg42sGEpaQh5ofMHBeTl9EI2eaqQZhHbOU&amp;r=ZliGVSRwfirWoETOrKCh2RSnoygzVPWEk95Me9L-Kwo&amp;m=EaKyFx9mpkhPdFxsxzvW_fiM3jbYwM3xYLjVbSFoDAg&amp;s=xPpfGI_1ZXhg8cTU-vkZHMprWkGKmX6TRnlQ7KizM-U&amp;e=</t>
  </si>
  <si>
    <t>25骞?6857</t>
  </si>
  <si>
    <t>NEP-1990</t>
  </si>
  <si>
    <t>824a3f0a-1e42-11e4-b4cd-db5882bf8def</t>
  </si>
  <si>
    <t>Krishna Prasad Bhatterai</t>
  </si>
  <si>
    <t>25骞?198</t>
  </si>
  <si>
    <t>NEP-1991</t>
  </si>
  <si>
    <t>36579818-3bbd-11e5-afeb-eb6f07f9fec7</t>
  </si>
  <si>
    <t>Girija Prasad Koirala</t>
  </si>
  <si>
    <t>25骞?1284</t>
  </si>
  <si>
    <t>NEP-1994</t>
  </si>
  <si>
    <t>824a3f0c-1e42-11e4-b4cd-db5882bf8def</t>
  </si>
  <si>
    <t>Man Mohan Adhilari</t>
  </si>
  <si>
    <t>25骞?286</t>
  </si>
  <si>
    <t>NEP-1995</t>
  </si>
  <si>
    <t>824a3f0d-1e42-11e4-b4cd-db5882bf8def</t>
  </si>
  <si>
    <t>Sher Bahadur Deuba</t>
  </si>
  <si>
    <t>25骞?547</t>
  </si>
  <si>
    <t>NEP-1997-1</t>
  </si>
  <si>
    <t>824a3f0e-1e42-11e4-b4cd-db5882bf8def</t>
  </si>
  <si>
    <t>Lokendra Bahadur Chand</t>
  </si>
  <si>
    <t>25骞?209</t>
  </si>
  <si>
    <t>NEP-1997-2</t>
  </si>
  <si>
    <t>824a6fdc-1e42-11e4-b4cd-db5882bf8def</t>
  </si>
  <si>
    <t>Surya  Bahadur Thapa</t>
  </si>
  <si>
    <t>25骞?190</t>
  </si>
  <si>
    <t>NEP-1998</t>
  </si>
  <si>
    <t>25骞?411</t>
  </si>
  <si>
    <t>NEP-1999</t>
  </si>
  <si>
    <t>25骞?296</t>
  </si>
  <si>
    <t>NEP-2000</t>
  </si>
  <si>
    <t>25骞?491</t>
  </si>
  <si>
    <t>NEP-2001</t>
  </si>
  <si>
    <t>19bbd548-3bbd-11e5-afeb-eb6f07f9fec7</t>
  </si>
  <si>
    <t>Sher Bahdur Deuba</t>
  </si>
  <si>
    <t>25骞?435</t>
  </si>
  <si>
    <t>NEP-2002</t>
  </si>
  <si>
    <t>25骞?237</t>
  </si>
  <si>
    <t>NEP-2003</t>
  </si>
  <si>
    <t>197a5f78-3bbd-11e5-afeb-eb6f07f9fec7</t>
  </si>
  <si>
    <t>Surya Bahadur Thapa</t>
  </si>
  <si>
    <t>25骞?364</t>
  </si>
  <si>
    <t>NEP-2004</t>
  </si>
  <si>
    <t>25骞?243</t>
  </si>
  <si>
    <t>NEP-2005</t>
  </si>
  <si>
    <t>82554f50-1e42-11e4-b4cd-db5882bf8def</t>
  </si>
  <si>
    <t>Gyanendra</t>
  </si>
  <si>
    <t>25骞?453</t>
  </si>
  <si>
    <t>NEP-2006</t>
  </si>
  <si>
    <t>25骞?841</t>
  </si>
  <si>
    <t>NEP-2008</t>
  </si>
  <si>
    <t>82558020-1e42-11e4-b4cd-db5882bf8def</t>
  </si>
  <si>
    <t>Prachanda</t>
  </si>
  <si>
    <t>25骞?280</t>
  </si>
  <si>
    <t>NEP-2009</t>
  </si>
  <si>
    <t>82558021-1e42-11e4-b4cd-db5882bf8def</t>
  </si>
  <si>
    <t>Madhav Kumar Nepal</t>
  </si>
  <si>
    <t>25骞?622</t>
  </si>
  <si>
    <t>NEP-2011-1</t>
  </si>
  <si>
    <t>82558022-1e42-11e4-b4cd-db5882bf8def</t>
  </si>
  <si>
    <t>Nath Khanal</t>
  </si>
  <si>
    <t>25骞?204</t>
  </si>
  <si>
    <t>NEP-2011-2</t>
  </si>
  <si>
    <t>82558023-1e42-11e4-b4cd-db5882bf8def</t>
  </si>
  <si>
    <t>Bhattarai</t>
  </si>
  <si>
    <t>25骞?563</t>
  </si>
  <si>
    <t>NEP-2013</t>
  </si>
  <si>
    <t>2b3ec87f-3481-11e4-8dba-bbcd9ed46413</t>
  </si>
  <si>
    <t>Khil Raj Regmi</t>
  </si>
  <si>
    <t>25骞?334</t>
  </si>
  <si>
    <t>NEP-2014</t>
  </si>
  <si>
    <t>14a05fc0-aae0-11e4-b3bc-29f2fa19767e</t>
  </si>
  <si>
    <t>Sushil Koirala</t>
  </si>
  <si>
    <t>25骞?606</t>
  </si>
  <si>
    <t>NEP-2015</t>
  </si>
  <si>
    <t>43fcd2bc-de6a-11e5-ba44-bb6d7c1a9a58</t>
  </si>
  <si>
    <t>Khadga Prasad Sharma Oli</t>
  </si>
  <si>
    <t>25骞?82</t>
  </si>
  <si>
    <t>THI-1868</t>
  </si>
  <si>
    <t>824a6fdd-1e42-11e4-b4cd-db5882bf8def</t>
  </si>
  <si>
    <t>THI</t>
  </si>
  <si>
    <t>Rama V</t>
  </si>
  <si>
    <t>1868-10-01</t>
  </si>
  <si>
    <t>1853-09-22</t>
  </si>
  <si>
    <t>22sep1853</t>
  </si>
  <si>
    <t>10骞?15361</t>
  </si>
  <si>
    <t>THI-1910</t>
  </si>
  <si>
    <t>824a6fde-1e42-11e4-b4cd-db5882bf8def</t>
  </si>
  <si>
    <t>Rama VI</t>
  </si>
  <si>
    <t>10骞?5513</t>
  </si>
  <si>
    <t>THI-1925</t>
  </si>
  <si>
    <t>824a6fdf-1e42-11e4-b4cd-db5882bf8def</t>
  </si>
  <si>
    <t>Rama VII</t>
  </si>
  <si>
    <t>1893-11-08</t>
  </si>
  <si>
    <t>08nov1893</t>
  </si>
  <si>
    <t>https://urldefense.proofpoint.com/v2/url?u=http-3A__dbpedia.org_resource_Prajadhipok&amp;d=BQID-g&amp;c=kbmfwr1Yojg42sGEpaQh5ofMHBeTl9EI2eaqQZhHbOU&amp;r=ZliGVSRwfirWoETOrKCh2RSnoygzVPWEk95Me9L-Kwo&amp;m=EaKyFx9mpkhPdFxsxzvW_fiM3jbYwM3xYLjVbSFoDAg&amp;s=qagvgiuz9IAnxX00pBPGKeI8jwKON57XdWmnGG2Ha9c&amp;e=</t>
  </si>
  <si>
    <t>10骞?2571</t>
  </si>
  <si>
    <t>THI-1932</t>
  </si>
  <si>
    <t>824a6fe0-1e42-11e4-b4cd-db5882bf8def</t>
  </si>
  <si>
    <t>Phraya Mano</t>
  </si>
  <si>
    <t>https://urldefense.proofpoint.com/v2/url?u=http-3A__dbpedia.org_resource_Phraya-5FManopakorn-5FNititada&amp;d=BQID-g&amp;c=kbmfwr1Yojg42sGEpaQh5ofMHBeTl9EI2eaqQZhHbOU&amp;r=ZliGVSRwfirWoETOrKCh2RSnoygzVPWEk95Me9L-Kwo&amp;m=EaKyFx9mpkhPdFxsxzvW_fiM3jbYwM3xYLjVbSFoDAg&amp;s=uem5Jxbf7p5eWx3L9kt5AgpHpQJiSbnkKsF8Q2Eq3TI&amp;e=</t>
  </si>
  <si>
    <t>10骞?192</t>
  </si>
  <si>
    <t>THI-1933</t>
  </si>
  <si>
    <t>824a6fe1-1e42-11e4-b4cd-db5882bf8def</t>
  </si>
  <si>
    <t>Phahon</t>
  </si>
  <si>
    <t>10骞?2010</t>
  </si>
  <si>
    <t>THI-1938</t>
  </si>
  <si>
    <t>824aa0ba-1e42-11e4-b4cd-db5882bf8def</t>
  </si>
  <si>
    <t>Plaek Pibulsongkram</t>
  </si>
  <si>
    <t>1897-07-14</t>
  </si>
  <si>
    <t>14jul1897</t>
  </si>
  <si>
    <t>https://urldefense.proofpoint.com/v2/url?u=http-3A__dbpedia.org_resource_Plaek-5FPibulsonggram&amp;d=BQID-g&amp;c=kbmfwr1Yojg42sGEpaQh5ofMHBeTl9EI2eaqQZhHbOU&amp;r=ZliGVSRwfirWoETOrKCh2RSnoygzVPWEk95Me9L-Kwo&amp;m=EaKyFx9mpkhPdFxsxzvW_fiM3jbYwM3xYLjVbSFoDAg&amp;s=616IoJfbkwGI0cEhQNFo-cbjZiMa24tmx8keHD99dVA&amp;e=</t>
  </si>
  <si>
    <t>10骞?2046</t>
  </si>
  <si>
    <t>THI-1944</t>
  </si>
  <si>
    <t>824aa0bb-1e42-11e4-b4cd-db5882bf8def</t>
  </si>
  <si>
    <t>Pridi Banomyong</t>
  </si>
  <si>
    <t>10骞?749</t>
  </si>
  <si>
    <t>THI-1946</t>
  </si>
  <si>
    <t>29661864-ffc7-11e4-845e-5f840c75e216</t>
  </si>
  <si>
    <t>Thawan Thamrongnawasawat</t>
  </si>
  <si>
    <t>10骞?442</t>
  </si>
  <si>
    <t>THI-1947</t>
  </si>
  <si>
    <t>10骞?3600</t>
  </si>
  <si>
    <t>THI-1957-1</t>
  </si>
  <si>
    <t>824aa0bc-1e42-11e4-b4cd-db5882bf8def</t>
  </si>
  <si>
    <t>Pote Sarasin</t>
  </si>
  <si>
    <t>https://urldefense.proofpoint.com/v2/url?u=http-3A__dbpedia.org_resource_Pote-5FSarasin&amp;d=BQID-g&amp;c=kbmfwr1Yojg42sGEpaQh5ofMHBeTl9EI2eaqQZhHbOU&amp;r=ZliGVSRwfirWoETOrKCh2RSnoygzVPWEk95Me9L-Kwo&amp;m=EaKyFx9mpkhPdFxsxzvW_fiM3jbYwM3xYLjVbSFoDAg&amp;s=Jhrjy1W31rpihyNgvkso_DOCdzR8HnCFr3T7uQvKaeI&amp;e=</t>
  </si>
  <si>
    <t>10骞?97</t>
  </si>
  <si>
    <t>THI-1957-2</t>
  </si>
  <si>
    <t>365a7e48-3bbd-11e5-afeb-eb6f07f9fec7</t>
  </si>
  <si>
    <t>Thanon Kittakachorn</t>
  </si>
  <si>
    <t>https://urldefense.proofpoint.com/v2/url?u=http-3A__dbpedia.org_resource_Thanom-5FKittikachorn&amp;d=BQID-g&amp;c=kbmfwr1Yojg42sGEpaQh5ofMHBeTl9EI2eaqQZhHbOU&amp;r=ZliGVSRwfirWoETOrKCh2RSnoygzVPWEk95Me9L-Kwo&amp;m=EaKyFx9mpkhPdFxsxzvW_fiM3jbYwM3xYLjVbSFoDAg&amp;s=LyfK5yR2cBxgf8wPViNw1FNxKzhDItQ7OJb5gt6mqKU&amp;e=</t>
  </si>
  <si>
    <t>10骞?297</t>
  </si>
  <si>
    <t>THI-1958</t>
  </si>
  <si>
    <t>824aa0be-1e42-11e4-b4cd-db5882bf8def</t>
  </si>
  <si>
    <t>Sarit</t>
  </si>
  <si>
    <t>10骞?1875</t>
  </si>
  <si>
    <t>THI-1963</t>
  </si>
  <si>
    <t>10骞?3597</t>
  </si>
  <si>
    <t>THI-1973</t>
  </si>
  <si>
    <t>824ad18e-1e42-11e4-b4cd-db5882bf8def</t>
  </si>
  <si>
    <t>Sanya</t>
  </si>
  <si>
    <t>https://urldefense.proofpoint.com/v2/url?u=http-3A__dbpedia.org_resource_Sanya-5FDharmasakti&amp;d=BQID-g&amp;c=kbmfwr1Yojg42sGEpaQh5ofMHBeTl9EI2eaqQZhHbOU&amp;r=ZliGVSRwfirWoETOrKCh2RSnoygzVPWEk95Me9L-Kwo&amp;m=EaKyFx9mpkhPdFxsxzvW_fiM3jbYwM3xYLjVbSFoDAg&amp;s=ZVUBX2P5U36i0odtPe3SLtVTCGZjstxhCoYVhX6fDV4&amp;e=</t>
  </si>
  <si>
    <t>10骞?495</t>
  </si>
  <si>
    <t>THI-1975-1</t>
  </si>
  <si>
    <t>824ad18f-1e42-11e4-b4cd-db5882bf8def</t>
  </si>
  <si>
    <t>Seni Pramoj</t>
  </si>
  <si>
    <t>https://urldefense.proofpoint.com/v2/url?u=http-3A__dbpedia.org_resource_Seni-5FPramoj&amp;d=BQID-g&amp;c=kbmfwr1Yojg42sGEpaQh5ofMHBeTl9EI2eaqQZhHbOU&amp;r=ZliGVSRwfirWoETOrKCh2RSnoygzVPWEk95Me9L-Kwo&amp;m=EaKyFx9mpkhPdFxsxzvW_fiM3jbYwM3xYLjVbSFoDAg&amp;s=nH7KNloapQdk9gKIhv4-R6MhOOLCXPoT_fP6M5rIVFs&amp;e=</t>
  </si>
  <si>
    <t>10骞?13</t>
  </si>
  <si>
    <t>THI-1975-2</t>
  </si>
  <si>
    <t>824ad190-1e42-11e4-b4cd-db5882bf8def</t>
  </si>
  <si>
    <t>Kukrot Pramoj</t>
  </si>
  <si>
    <t>https://urldefense.proofpoint.com/v2/url?u=http-3A__dbpedia.org_resource_Kukrit-5FPramoj&amp;d=BQID-g&amp;c=kbmfwr1Yojg42sGEpaQh5ofMHBeTl9EI2eaqQZhHbOU&amp;r=ZliGVSRwfirWoETOrKCh2RSnoygzVPWEk95Me9L-Kwo&amp;m=EaKyFx9mpkhPdFxsxzvW_fiM3jbYwM3xYLjVbSFoDAg&amp;s=XFIVsRFhSimZRBGzy5Q1iabbkyCnDt-cMIFU4KvXWtk&amp;e=</t>
  </si>
  <si>
    <t>10骞?396</t>
  </si>
  <si>
    <t>THI-1976-1</t>
  </si>
  <si>
    <t>10骞?169</t>
  </si>
  <si>
    <t>THI-1976-2</t>
  </si>
  <si>
    <t>365b1a88-3bbd-11e5-afeb-eb6f07f9fec7</t>
  </si>
  <si>
    <t>Sangad</t>
  </si>
  <si>
    <t>10骞?16</t>
  </si>
  <si>
    <t>THI-1976-3</t>
  </si>
  <si>
    <t>824ad192-1e42-11e4-b4cd-db5882bf8def</t>
  </si>
  <si>
    <t>Thanin Kraivichien</t>
  </si>
  <si>
    <t>10骞?363</t>
  </si>
  <si>
    <t>THI-1977-1</t>
  </si>
  <si>
    <t>10骞?23</t>
  </si>
  <si>
    <t>THI-1977-2</t>
  </si>
  <si>
    <t>824b0262-1e42-11e4-b4cd-db5882bf8def</t>
  </si>
  <si>
    <t>Kriangsak</t>
  </si>
  <si>
    <t>https://urldefense.proofpoint.com/v2/url?u=http-3A__dbpedia.org_resource_Kriangsak-5FChomanan&amp;d=BQID-g&amp;c=kbmfwr1Yojg42sGEpaQh5ofMHBeTl9EI2eaqQZhHbOU&amp;r=ZliGVSRwfirWoETOrKCh2RSnoygzVPWEk95Me9L-Kwo&amp;m=EaKyFx9mpkhPdFxsxzvW_fiM3jbYwM3xYLjVbSFoDAg&amp;s=IWvOeK5MSOKRZYp7ZM8FGp94dUUwI1xUlYFwPXCGXik&amp;e=</t>
  </si>
  <si>
    <t>10骞?839</t>
  </si>
  <si>
    <t>THI-1980</t>
  </si>
  <si>
    <t>824b0263-1e42-11e4-b4cd-db5882bf8def</t>
  </si>
  <si>
    <t>Prem</t>
  </si>
  <si>
    <t>https://urldefense.proofpoint.com/v2/url?u=http-3A__dbpedia.org_resource_Prem-5FTinsulanonda&amp;d=BQID-g&amp;c=kbmfwr1Yojg42sGEpaQh5ofMHBeTl9EI2eaqQZhHbOU&amp;r=ZliGVSRwfirWoETOrKCh2RSnoygzVPWEk95Me9L-Kwo&amp;m=EaKyFx9mpkhPdFxsxzvW_fiM3jbYwM3xYLjVbSFoDAg&amp;s=-zCE5fHjRNbTjTuguOuYSi5tTYVSjvUb1s2ZvQkbQJg&amp;e=</t>
  </si>
  <si>
    <t>10骞?3076</t>
  </si>
  <si>
    <t>THI-1988</t>
  </si>
  <si>
    <t>824b0264-1e42-11e4-b4cd-db5882bf8def</t>
  </si>
  <si>
    <t>Choonhavan</t>
  </si>
  <si>
    <t>https://urldefense.proofpoint.com/v2/url?u=http-3A__dbpedia.org_resource_Chatichai-5FChoonhavan&amp;d=BQID-g&amp;c=kbmfwr1Yojg42sGEpaQh5ofMHBeTl9EI2eaqQZhHbOU&amp;r=ZliGVSRwfirWoETOrKCh2RSnoygzVPWEk95Me9L-Kwo&amp;m=EaKyFx9mpkhPdFxsxzvW_fiM3jbYwM3xYLjVbSFoDAg&amp;s=aBN5biLrZSYlIVgtv-DkeQMRzJSkAPDMI3XMm_hfwlE&amp;e=</t>
  </si>
  <si>
    <t>10骞?933</t>
  </si>
  <si>
    <t>THI-1991</t>
  </si>
  <si>
    <t>824b0265-1e42-11e4-b4cd-db5882bf8def</t>
  </si>
  <si>
    <t>Panyarachun</t>
  </si>
  <si>
    <t>https://urldefense.proofpoint.com/v2/url?u=http-3A__dbpedia.org_resource_Anand-5FPanyarachun&amp;d=BQID-g&amp;c=kbmfwr1Yojg42sGEpaQh5ofMHBeTl9EI2eaqQZhHbOU&amp;r=ZliGVSRwfirWoETOrKCh2RSnoygzVPWEk95Me9L-Kwo&amp;m=EaKyFx9mpkhPdFxsxzvW_fiM3jbYwM3xYLjVbSFoDAg&amp;s=TEK-PD48m1hi-bJtQPpKhswuoluAsxn1bUeNhbEhb2w&amp;e=</t>
  </si>
  <si>
    <t>10骞?394</t>
  </si>
  <si>
    <t>THI-1992-1</t>
  </si>
  <si>
    <t>824b0266-1e42-11e4-b4cd-db5882bf8def</t>
  </si>
  <si>
    <t>Kraprayoon</t>
  </si>
  <si>
    <t>https://urldefense.proofpoint.com/v2/url?u=http-3A__dbpedia.org_resource_Suchinda-5FKraprayoon&amp;d=BQID-g&amp;c=kbmfwr1Yojg42sGEpaQh5ofMHBeTl9EI2eaqQZhHbOU&amp;r=ZliGVSRwfirWoETOrKCh2RSnoygzVPWEk95Me9L-Kwo&amp;m=EaKyFx9mpkhPdFxsxzvW_fiM3jbYwM3xYLjVbSFoDAg&amp;s=OocRtkk2_m2qzZwPY9oNkVyfi_BcDWU0PEy_sl95UrE&amp;e=</t>
  </si>
  <si>
    <t>10骞?49</t>
  </si>
  <si>
    <t>THI-1992-2</t>
  </si>
  <si>
    <t>10骞?105</t>
  </si>
  <si>
    <t>THI-1992-3</t>
  </si>
  <si>
    <t>824b0267-1e42-11e4-b4cd-db5882bf8def</t>
  </si>
  <si>
    <t>Leekpai</t>
  </si>
  <si>
    <t>10骞?1023</t>
  </si>
  <si>
    <t>THI-1995</t>
  </si>
  <si>
    <t>824b3336-1e42-11e4-b4cd-db5882bf8def</t>
  </si>
  <si>
    <t>Silpa-Archa</t>
  </si>
  <si>
    <t>10骞?507</t>
  </si>
  <si>
    <t>THI-1996</t>
  </si>
  <si>
    <t>824b3337-1e42-11e4-b4cd-db5882bf8def</t>
  </si>
  <si>
    <t>Chavalit Yongchaiyudh</t>
  </si>
  <si>
    <t>https://urldefense.proofpoint.com/v2/url?u=http-3A__dbpedia.org_resource_Chavalit-5FYongchaiyudh&amp;d=BQID-g&amp;c=kbmfwr1Yojg42sGEpaQh5ofMHBeTl9EI2eaqQZhHbOU&amp;r=ZliGVSRwfirWoETOrKCh2RSnoygzVPWEk95Me9L-Kwo&amp;m=EaKyFx9mpkhPdFxsxzvW_fiM3jbYwM3xYLjVbSFoDAg&amp;s=J1iKDSDmBCN7bPXDjEGWTJ_ENPDCAgWrAQzzSlvi4I0&amp;e=</t>
  </si>
  <si>
    <t>10骞?343</t>
  </si>
  <si>
    <t>THI-1997</t>
  </si>
  <si>
    <t>10骞?1188</t>
  </si>
  <si>
    <t>THI-2001</t>
  </si>
  <si>
    <t>824b3338-1e42-11e4-b4cd-db5882bf8def</t>
  </si>
  <si>
    <t>Thaksin Shinawatra</t>
  </si>
  <si>
    <t>Brother-in-law of Wongsawat%8255b0f4-1e42-11e4-b4cd-db5882bf8def;Brother of Yingluck Shinawatra%8255b0f7-1e42-11e4-b4cd-db5882bf8def</t>
  </si>
  <si>
    <t>10骞?2047</t>
  </si>
  <si>
    <t>THI-2006</t>
  </si>
  <si>
    <t>82558024-1e42-11e4-b4cd-db5882bf8def</t>
  </si>
  <si>
    <t>Chulanont</t>
  </si>
  <si>
    <t>10骞?497</t>
  </si>
  <si>
    <t>THI-2008-1</t>
  </si>
  <si>
    <t>82558025-1e42-11e4-b4cd-db5882bf8def</t>
  </si>
  <si>
    <t>Sundaravej</t>
  </si>
  <si>
    <t>10骞?224</t>
  </si>
  <si>
    <t>THI-2008-2</t>
  </si>
  <si>
    <t>8255b0f4-1e42-11e4-b4cd-db5882bf8def</t>
  </si>
  <si>
    <t>Wongsawat</t>
  </si>
  <si>
    <t>Brother-in-law of Thaksin Shinawatra%824b3338-1e42-11e4-b4cd-db5882bf8def;Relative-in-law of Yingluck Shinawatra%8255b0f7-1e42-11e4-b4cd-db5882bf8def</t>
  </si>
  <si>
    <t>10骞?84</t>
  </si>
  <si>
    <t>THI-2008-3</t>
  </si>
  <si>
    <t>8255b0f5-1e42-11e4-b4cd-db5882bf8def</t>
  </si>
  <si>
    <t>Chanweerakul</t>
  </si>
  <si>
    <t>THI-2008-4</t>
  </si>
  <si>
    <t>8255b0f6-1e42-11e4-b4cd-db5882bf8def</t>
  </si>
  <si>
    <t>Vejjajiva</t>
  </si>
  <si>
    <t>10骞?966</t>
  </si>
  <si>
    <t>THI-2011</t>
  </si>
  <si>
    <t>8255b0f7-1e42-11e4-b4cd-db5882bf8def</t>
  </si>
  <si>
    <t>Yingluck Shinawatra</t>
  </si>
  <si>
    <t>Relative-in-law of Wongsawat%8255b0f4-1e42-11e4-b4cd-db5882bf8def;Sister of Yingluck Shinawatra%824b3338-1e42-11e4-b4cd-db5882bf8def</t>
  </si>
  <si>
    <t>10骞?1003</t>
  </si>
  <si>
    <t>THI-2014-1</t>
  </si>
  <si>
    <t>14a05fc1-aae0-11e4-b3bc-29f2fa19767e</t>
  </si>
  <si>
    <t>Niwattumrong Boonsongpaisan</t>
  </si>
  <si>
    <t>10骞?15</t>
  </si>
  <si>
    <t>THI-2014-2</t>
  </si>
  <si>
    <t>14a05fc2-aae0-11e4-b3bc-29f2fa19767e</t>
  </si>
  <si>
    <t>Prayuth Chan-ocha</t>
  </si>
  <si>
    <t>10骞?588</t>
  </si>
  <si>
    <t>CAM-1953</t>
  </si>
  <si>
    <t>824b3339-1e42-11e4-b4cd-db5882bf8def</t>
  </si>
  <si>
    <t>CAM</t>
  </si>
  <si>
    <t>Sihanouk</t>
  </si>
  <si>
    <t>https://urldefense.proofpoint.com/v2/url?u=http-3A__dbpedia.org_resource_Norodom-5FSihanouk&amp;d=BQID-g&amp;c=kbmfwr1Yojg42sGEpaQh5ofMHBeTl9EI2eaqQZhHbOU&amp;r=ZliGVSRwfirWoETOrKCh2RSnoygzVPWEk95Me9L-Kwo&amp;m=EaKyFx9mpkhPdFxsxzvW_fiM3jbYwM3xYLjVbSFoDAg&amp;s=7jGA9B5_PKY0U8b9dzrTxT7hU4EdcnI52J0do51pfg0&amp;e=</t>
  </si>
  <si>
    <t>CAM-1970</t>
  </si>
  <si>
    <t>824b333a-1e42-11e4-b4cd-db5882bf8def</t>
  </si>
  <si>
    <t>Lon Nol</t>
  </si>
  <si>
    <t>https://urldefense.proofpoint.com/v2/url?u=http-3A__dbpedia.org_resource_Lon-5FNol&amp;d=BQID-g&amp;c=kbmfwr1Yojg42sGEpaQh5ofMHBeTl9EI2eaqQZhHbOU&amp;r=ZliGVSRwfirWoETOrKCh2RSnoygzVPWEk95Me9L-Kwo&amp;m=EaKyFx9mpkhPdFxsxzvW_fiM3jbYwM3xYLjVbSFoDAg&amp;s=pzRLqB1tTba9rtxygbKYhcptj6Q8VE2dNTrVBTgkXCw&amp;e=</t>
  </si>
  <si>
    <t>CAM-1975</t>
  </si>
  <si>
    <t>824b333b-1e42-11e4-b4cd-db5882bf8def</t>
  </si>
  <si>
    <t>Pol Pot</t>
  </si>
  <si>
    <t>https://urldefense.proofpoint.com/v2/url?u=http-3A__dbpedia.org_resource_Pol-5FPot&amp;d=BQID-g&amp;c=kbmfwr1Yojg42sGEpaQh5ofMHBeTl9EI2eaqQZhHbOU&amp;r=ZliGVSRwfirWoETOrKCh2RSnoygzVPWEk95Me9L-Kwo&amp;m=EaKyFx9mpkhPdFxsxzvW_fiM3jbYwM3xYLjVbSFoDAg&amp;s=GMaaLyUapfGmHaYttaA_L4KPa-lCXTgMOFgvHQBiI8Q&amp;e=</t>
  </si>
  <si>
    <t>CAM-1979</t>
  </si>
  <si>
    <t>824b640a-1e42-11e4-b4cd-db5882bf8def</t>
  </si>
  <si>
    <t>Heng Samrin</t>
  </si>
  <si>
    <t>CAM-1985</t>
  </si>
  <si>
    <t>824b640b-1e42-11e4-b4cd-db5882bf8def</t>
  </si>
  <si>
    <t>Hun Sen</t>
  </si>
  <si>
    <t>https://urldefense.proofpoint.com/v2/url?u=http-3A__dbpedia.org_resource_Hun-5FSen&amp;d=BQID-g&amp;c=kbmfwr1Yojg42sGEpaQh5ofMHBeTl9EI2eaqQZhHbOU&amp;r=ZliGVSRwfirWoETOrKCh2RSnoygzVPWEk95Me9L-Kwo&amp;m=EaKyFx9mpkhPdFxsxzvW_fiM3jbYwM3xYLjVbSFoDAg&amp;s=uQQ-s5gGknmfXJirKhacWAa0rwhbXDsp--7dnQO1qG0&amp;e=</t>
  </si>
  <si>
    <t>CAM-1993</t>
  </si>
  <si>
    <t>197a8688-3bbd-11e5-afeb-eb6f07f9fec7</t>
  </si>
  <si>
    <t>Ranariddh</t>
  </si>
  <si>
    <t>CAM-1997</t>
  </si>
  <si>
    <t>LAO-1951</t>
  </si>
  <si>
    <t>824b640c-1e42-11e4-b4cd-db5882bf8def</t>
  </si>
  <si>
    <t>LAO</t>
  </si>
  <si>
    <t>Souvanna Phouma</t>
  </si>
  <si>
    <t>https://urldefense.proofpoint.com/v2/url?u=http-3A__dbpedia.org_resource_Souvanna-5FPhouma&amp;d=BQID-g&amp;c=kbmfwr1Yojg42sGEpaQh5ofMHBeTl9EI2eaqQZhHbOU&amp;r=ZliGVSRwfirWoETOrKCh2RSnoygzVPWEk95Me9L-Kwo&amp;m=EaKyFx9mpkhPdFxsxzvW_fiM3jbYwM3xYLjVbSFoDAg&amp;s=NqKnBjmLI1XAVd1Xft105GGhwlmJzkEz488XPibARRU&amp;e=</t>
  </si>
  <si>
    <t>Stepuncle of Somsanith%824b94df-1e42-11e4-b4cd-db5882bf8def</t>
  </si>
  <si>
    <t>LAO-1954</t>
  </si>
  <si>
    <t>824b640d-1e42-11e4-b4cd-db5882bf8def</t>
  </si>
  <si>
    <t>Katay Don Sasorith</t>
  </si>
  <si>
    <t>LAO-1956</t>
  </si>
  <si>
    <t>LAO-1958</t>
  </si>
  <si>
    <t>824b640e-1e42-11e4-b4cd-db5882bf8def</t>
  </si>
  <si>
    <t>Sananikone</t>
  </si>
  <si>
    <t>LAO-1959</t>
  </si>
  <si>
    <t>824b640f-1e42-11e4-b4cd-db5882bf8def</t>
  </si>
  <si>
    <t>Nosavan</t>
  </si>
  <si>
    <t>LAO-1960-1</t>
  </si>
  <si>
    <t>824b94de-1e42-11e4-b4cd-db5882bf8def</t>
  </si>
  <si>
    <t>Kou Abhay Og Long</t>
  </si>
  <si>
    <t>Father of Kouprasith%824b94e2-1e42-11e4-b4cd-db5882bf8def</t>
  </si>
  <si>
    <t>LAO-1960-2</t>
  </si>
  <si>
    <t>824b94df-1e42-11e4-b4cd-db5882bf8def</t>
  </si>
  <si>
    <t>Somsanith</t>
  </si>
  <si>
    <t>Stepson of Souvanna Phouma%824b640c-1e42-11e4-b4cd-db5882bf8def</t>
  </si>
  <si>
    <t>LAO-1960-3</t>
  </si>
  <si>
    <t>824b94e0-1e42-11e4-b4cd-db5882bf8def</t>
  </si>
  <si>
    <t>Kong Le</t>
  </si>
  <si>
    <t>LAO-1960-4</t>
  </si>
  <si>
    <t>LAO-1960-5</t>
  </si>
  <si>
    <t>824b94e1-1e42-11e4-b4cd-db5882bf8def</t>
  </si>
  <si>
    <t>Boun Oum</t>
  </si>
  <si>
    <t>https://urldefense.proofpoint.com/v2/url?u=http-3A__dbpedia.org_resource_Boun-5FOum&amp;d=BQID-g&amp;c=kbmfwr1Yojg42sGEpaQh5ofMHBeTl9EI2eaqQZhHbOU&amp;r=ZliGVSRwfirWoETOrKCh2RSnoygzVPWEk95Me9L-Kwo&amp;m=EaKyFx9mpkhPdFxsxzvW_fiM3jbYwM3xYLjVbSFoDAg&amp;s=Tvp3U8V9XV9d0Gob0xgatS2OhPxAYkgWvgPa5p90qbQ&amp;e=</t>
  </si>
  <si>
    <t>LAO-1962</t>
  </si>
  <si>
    <t>LAO-1964-1</t>
  </si>
  <si>
    <t>824b94e2-1e42-11e4-b4cd-db5882bf8def</t>
  </si>
  <si>
    <t>Kouprasith</t>
  </si>
  <si>
    <t>Son of Kou Abhay Og Long%824b94de-1e42-11e4-b4cd-db5882bf8def</t>
  </si>
  <si>
    <t>LAO-1964-2</t>
  </si>
  <si>
    <t>LAO-1975</t>
  </si>
  <si>
    <t>824b94e3-1e42-11e4-b4cd-db5882bf8def</t>
  </si>
  <si>
    <t>Phomivan</t>
  </si>
  <si>
    <t>LAO-1992</t>
  </si>
  <si>
    <t>824b94e4-1e42-11e4-b4cd-db5882bf8def</t>
  </si>
  <si>
    <t>Phounsavanh</t>
  </si>
  <si>
    <t>LAO-1998</t>
  </si>
  <si>
    <t>824bc5b2-1e42-11e4-b4cd-db5882bf8def</t>
  </si>
  <si>
    <t>Siphandon</t>
  </si>
  <si>
    <t>LAO-2006</t>
  </si>
  <si>
    <t>8255b0f8-1e42-11e4-b4cd-db5882bf8def</t>
  </si>
  <si>
    <t>Sayasone</t>
  </si>
  <si>
    <t>VNM-1847</t>
  </si>
  <si>
    <t>824bc5b3-1e42-11e4-b4cd-db5882bf8def</t>
  </si>
  <si>
    <t>VNM</t>
  </si>
  <si>
    <t>Tu Duc</t>
  </si>
  <si>
    <t>1847-11-10</t>
  </si>
  <si>
    <t>1883-07-17</t>
  </si>
  <si>
    <t>17jul1883</t>
  </si>
  <si>
    <t>VNM-1883-1</t>
  </si>
  <si>
    <t>824bc5b4-1e42-11e4-b4cd-db5882bf8def</t>
  </si>
  <si>
    <t>Duc Duc</t>
  </si>
  <si>
    <t>1883-07-20</t>
  </si>
  <si>
    <t>1883-07-23</t>
  </si>
  <si>
    <t>23jul1883</t>
  </si>
  <si>
    <t>VNM-1883-2</t>
  </si>
  <si>
    <t>824bc5b5-1e42-11e4-b4cd-db5882bf8def</t>
  </si>
  <si>
    <t>Hiep Hoa</t>
  </si>
  <si>
    <t>1883-07-30</t>
  </si>
  <si>
    <t>1883-11-29</t>
  </si>
  <si>
    <t>29nov1883</t>
  </si>
  <si>
    <t>1885-10-14</t>
  </si>
  <si>
    <t>VNM-1885</t>
  </si>
  <si>
    <t>824bc5b7-1e42-11e4-b4cd-db5882bf8def</t>
  </si>
  <si>
    <t>Dong Khanh</t>
  </si>
  <si>
    <t>1889-01-28</t>
  </si>
  <si>
    <t>VNM-1889</t>
  </si>
  <si>
    <t>824bf686-1e42-11e4-b4cd-db5882bf8def</t>
  </si>
  <si>
    <t>Thanh Thai</t>
  </si>
  <si>
    <t>1889-02-01</t>
  </si>
  <si>
    <t>DRV-1945</t>
  </si>
  <si>
    <t>824bf687-1e42-11e4-b4cd-db5882bf8def</t>
  </si>
  <si>
    <t>DRV</t>
  </si>
  <si>
    <t>Ho Chi Minh</t>
  </si>
  <si>
    <t>1890-05-19</t>
  </si>
  <si>
    <t>19may1890</t>
  </si>
  <si>
    <t>https://urldefense.proofpoint.com/v2/url?u=http-3A__dbpedia.org_resource_Ho-5FChi-5FMinh&amp;d=BQID-g&amp;c=kbmfwr1Yojg42sGEpaQh5ofMHBeTl9EI2eaqQZhHbOU&amp;r=ZliGVSRwfirWoETOrKCh2RSnoygzVPWEk95Me9L-Kwo&amp;m=EaKyFx9mpkhPdFxsxzvW_fiM3jbYwM3xYLjVbSFoDAg&amp;s=I-8SmriImOl6qeUSUvlmvf9FVmB4ys9uhbr2NHfvmW4&amp;e=</t>
  </si>
  <si>
    <t>DRV-1969</t>
  </si>
  <si>
    <t>824bf688-1e42-11e4-b4cd-db5882bf8def</t>
  </si>
  <si>
    <t>Le Duan</t>
  </si>
  <si>
    <t>DRV-1986-1</t>
  </si>
  <si>
    <t>824bf689-1e42-11e4-b4cd-db5882bf8def</t>
  </si>
  <si>
    <t>Truong Chinh</t>
  </si>
  <si>
    <t>DRV-1986-2</t>
  </si>
  <si>
    <t>824bf68a-1e42-11e4-b4cd-db5882bf8def</t>
  </si>
  <si>
    <t>Nguyen Van Linh</t>
  </si>
  <si>
    <t>DRV-1991</t>
  </si>
  <si>
    <t>824bf68b-1e42-11e4-b4cd-db5882bf8def</t>
  </si>
  <si>
    <t>Do Muoi</t>
  </si>
  <si>
    <t>DRV-1997</t>
  </si>
  <si>
    <t>824c275a-1e42-11e4-b4cd-db5882bf8def</t>
  </si>
  <si>
    <t>Phieu</t>
  </si>
  <si>
    <t>https://urldefense.proofpoint.com/v2/url?u=http-3A__dbpedia.org_resource_L-25C3-25AA-5FKh-25E1-25BA-25A3-5FPhi-25C3-25AAu&amp;d=BQID-g&amp;c=kbmfwr1Yojg42sGEpaQh5ofMHBeTl9EI2eaqQZhHbOU&amp;r=ZliGVSRwfirWoETOrKCh2RSnoygzVPWEk95Me9L-Kwo&amp;m=EaKyFx9mpkhPdFxsxzvW_fiM3jbYwM3xYLjVbSFoDAg&amp;s=9KRr5YYrMHsDHiScK6blzpIMKIKKDM7FnZvEo-rayIM&amp;e=</t>
  </si>
  <si>
    <t>DRV-2001</t>
  </si>
  <si>
    <t>824c275b-1e42-11e4-b4cd-db5882bf8def</t>
  </si>
  <si>
    <t>Nong Duc Manh</t>
  </si>
  <si>
    <t>https://urldefense.proofpoint.com/v2/url?u=http-3A__dbpedia.org_resource_N-25C3-25B4ng-5F-25C4-2590-25E1-25BB-25A9c-5FM-25E1-25BA-25A1nh&amp;d=BQID-g&amp;c=kbmfwr1Yojg42sGEpaQh5ofMHBeTl9EI2eaqQZhHbOU&amp;r=ZliGVSRwfirWoETOrKCh2RSnoygzVPWEk95Me9L-Kwo&amp;m=EaKyFx9mpkhPdFxsxzvW_fiM3jbYwM3xYLjVbSFoDAg&amp;s=Fp7zAbFoULEHmrW-IHwdT4CZv5s16e6-cYp2ex8QyWo&amp;e=</t>
  </si>
  <si>
    <t>DRV-2011</t>
  </si>
  <si>
    <t>8255b0f9-1e42-11e4-b4cd-db5882bf8def</t>
  </si>
  <si>
    <t>Phu Trong</t>
  </si>
  <si>
    <t>RVN-1954-1</t>
  </si>
  <si>
    <t>824c275c-1e42-11e4-b4cd-db5882bf8def</t>
  </si>
  <si>
    <t>RVN</t>
  </si>
  <si>
    <t>Pham Buu Loc</t>
  </si>
  <si>
    <t>RVN-1954-2</t>
  </si>
  <si>
    <t>824c275d-1e42-11e4-b4cd-db5882bf8def</t>
  </si>
  <si>
    <t>Quat</t>
  </si>
  <si>
    <t>RVN-1954-3</t>
  </si>
  <si>
    <t>824c275e-1e42-11e4-b4cd-db5882bf8def</t>
  </si>
  <si>
    <t>Ngo Dinh Diem</t>
  </si>
  <si>
    <t>https://urldefense.proofpoint.com/v2/url?u=http-3A__dbpedia.org_resource_Ngo-5FDinh-5FDiem&amp;d=BQID-g&amp;c=kbmfwr1Yojg42sGEpaQh5ofMHBeTl9EI2eaqQZhHbOU&amp;r=ZliGVSRwfirWoETOrKCh2RSnoygzVPWEk95Me9L-Kwo&amp;m=EaKyFx9mpkhPdFxsxzvW_fiM3jbYwM3xYLjVbSFoDAg&amp;s=PCaM98F8CABhxzPL7VKU70e7m9QWMUHXhuvIVO7mOwk&amp;e=</t>
  </si>
  <si>
    <t>RVN-1963</t>
  </si>
  <si>
    <t>824c275f-1e42-11e4-b4cd-db5882bf8def</t>
  </si>
  <si>
    <t>Minh</t>
  </si>
  <si>
    <t>RVN-1964-1</t>
  </si>
  <si>
    <t>824c582e-1e42-11e4-b4cd-db5882bf8def</t>
  </si>
  <si>
    <t>Khanh</t>
  </si>
  <si>
    <t>https://urldefense.proofpoint.com/v2/url?u=http-3A__dbpedia.org_resource_Nguyen-5FKhanh&amp;d=BQID-g&amp;c=kbmfwr1Yojg42sGEpaQh5ofMHBeTl9EI2eaqQZhHbOU&amp;r=ZliGVSRwfirWoETOrKCh2RSnoygzVPWEk95Me9L-Kwo&amp;m=EaKyFx9mpkhPdFxsxzvW_fiM3jbYwM3xYLjVbSFoDAg&amp;s=klN45V0aS6bfsm8TprWFsClC6S30xWzNzuR4nSG3bf8&amp;e=</t>
  </si>
  <si>
    <t>RVN-1964-2</t>
  </si>
  <si>
    <t>824c582f-1e42-11e4-b4cd-db5882bf8def</t>
  </si>
  <si>
    <t>Van Huong</t>
  </si>
  <si>
    <t>RVN-1965-1</t>
  </si>
  <si>
    <t>197ad4a8-3bbd-11e5-afeb-eb6f07f9fec7</t>
  </si>
  <si>
    <t>Khahn</t>
  </si>
  <si>
    <t>RVN-1965-2</t>
  </si>
  <si>
    <t>RVN-1965-3</t>
  </si>
  <si>
    <t>824c5830-1e42-11e4-b4cd-db5882bf8def</t>
  </si>
  <si>
    <t>Van Thieu</t>
  </si>
  <si>
    <t>RVN-1975</t>
  </si>
  <si>
    <t>MAL-1957</t>
  </si>
  <si>
    <t>824c5831-1e42-11e4-b4cd-db5882bf8def</t>
  </si>
  <si>
    <t>MAL</t>
  </si>
  <si>
    <t>Rahman</t>
  </si>
  <si>
    <t>1895-08-24</t>
  </si>
  <si>
    <t>24aug1895</t>
  </si>
  <si>
    <t>https://urldefense.proofpoint.com/v2/url?u=http-3A__dbpedia.org_resource_Tunku-5FAbdul-5FRahman&amp;d=BQID-g&amp;c=kbmfwr1Yojg42sGEpaQh5ofMHBeTl9EI2eaqQZhHbOU&amp;r=ZliGVSRwfirWoETOrKCh2RSnoygzVPWEk95Me9L-Kwo&amp;m=EaKyFx9mpkhPdFxsxzvW_fiM3jbYwM3xYLjVbSFoDAg&amp;s=vUCuo-aA1FV1lFkmLuSnprwPSGLUxhqykebmEOtAQrk&amp;e=</t>
  </si>
  <si>
    <t>20骞?592</t>
  </si>
  <si>
    <t>MAL-1959-1</t>
  </si>
  <si>
    <t>824c5832-1e42-11e4-b4cd-db5882bf8def</t>
  </si>
  <si>
    <t>Razak</t>
  </si>
  <si>
    <t>https://urldefense.proofpoint.com/v2/url?u=http-3A__dbpedia.org_resource_Abdul-5FRazak&amp;d=BQID-g&amp;c=kbmfwr1Yojg42sGEpaQh5ofMHBeTl9EI2eaqQZhHbOU&amp;r=ZliGVSRwfirWoETOrKCh2RSnoygzVPWEk95Me9L-Kwo&amp;m=EaKyFx9mpkhPdFxsxzvW_fiM3jbYwM3xYLjVbSFoDAg&amp;s=TGwNYTNeLZ0Mfa7Rz_AWyvLRVLCECd2Z5MvQ57H9C5I&amp;e=</t>
  </si>
  <si>
    <t>Father of Najib Tun Razak%8255e1c8-1e42-11e4-b4cd-db5882bf8def</t>
  </si>
  <si>
    <t>20骞?128</t>
  </si>
  <si>
    <t>MAL-1959-2</t>
  </si>
  <si>
    <t>20骞?4050</t>
  </si>
  <si>
    <t>MAL-1970</t>
  </si>
  <si>
    <t>20骞?1940</t>
  </si>
  <si>
    <t>MAL-1976</t>
  </si>
  <si>
    <t>824c5833-1e42-11e4-b4cd-db5882bf8def</t>
  </si>
  <si>
    <t>Hussein Bin Onn</t>
  </si>
  <si>
    <t>https://urldefense.proofpoint.com/v2/url?u=http-3A__dbpedia.org_resource_Hussein-5FOnn&amp;d=BQID-g&amp;c=kbmfwr1Yojg42sGEpaQh5ofMHBeTl9EI2eaqQZhHbOU&amp;r=ZliGVSRwfirWoETOrKCh2RSnoygzVPWEk95Me9L-Kwo&amp;m=EaKyFx9mpkhPdFxsxzvW_fiM3jbYwM3xYLjVbSFoDAg&amp;s=t_i0g7VzZfIDfze-hXEwaRRRXmlKpMKYX1oKx8pKgbo&amp;e=</t>
  </si>
  <si>
    <t>20骞?2010</t>
  </si>
  <si>
    <t>MAL-1981</t>
  </si>
  <si>
    <t>824c890c-1e42-11e4-b4cd-db5882bf8def</t>
  </si>
  <si>
    <t>Mahatir Bin Mohammad</t>
  </si>
  <si>
    <t>https://urldefense.proofpoint.com/v2/url?u=http-3A__dbpedia.org_resource_Mahathir-5Fbin-5FMohamad&amp;d=BQID-g&amp;c=kbmfwr1Yojg42sGEpaQh5ofMHBeTl9EI2eaqQZhHbOU&amp;r=ZliGVSRwfirWoETOrKCh2RSnoygzVPWEk95Me9L-Kwo&amp;m=EaKyFx9mpkhPdFxsxzvW_fiM3jbYwM3xYLjVbSFoDAg&amp;s=4-r0sf_GcuXaR57ba9P9-Q8FqNK29OvcSCT52YfJrdM&amp;e=</t>
  </si>
  <si>
    <t>20骞?8142</t>
  </si>
  <si>
    <t>MAL-2003</t>
  </si>
  <si>
    <t>824c890d-1e42-11e4-b4cd-db5882bf8def</t>
  </si>
  <si>
    <t>Ahmad Badawi</t>
  </si>
  <si>
    <t>https://urldefense.proofpoint.com/v2/url?u=http-3A__dbpedia.org_resource_Abdullah-5FAhmad-5FBadawi&amp;d=BQID-g&amp;c=kbmfwr1Yojg42sGEpaQh5ofMHBeTl9EI2eaqQZhHbOU&amp;r=ZliGVSRwfirWoETOrKCh2RSnoygzVPWEk95Me9L-Kwo&amp;m=EaKyFx9mpkhPdFxsxzvW_fiM3jbYwM3xYLjVbSFoDAg&amp;s=jQwfJ_YkYDhtHNv0Yun80iAxIFSE1GpZSrRSUK7utgU&amp;e=</t>
  </si>
  <si>
    <t>20骞?1981</t>
  </si>
  <si>
    <t>MAL-2009</t>
  </si>
  <si>
    <t>8255e1c8-1e42-11e4-b4cd-db5882bf8def</t>
  </si>
  <si>
    <t>Najib Tun Razak</t>
  </si>
  <si>
    <t>Son of Razak%824c5832-1e42-11e4-b4cd-db5882bf8def</t>
  </si>
  <si>
    <t>20骞?2463</t>
  </si>
  <si>
    <t>SIN-1959</t>
  </si>
  <si>
    <t>824c890e-1e42-11e4-b4cd-db5882bf8def</t>
  </si>
  <si>
    <t>SIN</t>
  </si>
  <si>
    <t>Lee Kuan Yew</t>
  </si>
  <si>
    <t>https://urldefense.proofpoint.com/v2/url?u=http-3A__dbpedia.org_resource_Lee-5FKuan-5FYew&amp;d=BQID-g&amp;c=kbmfwr1Yojg42sGEpaQh5ofMHBeTl9EI2eaqQZhHbOU&amp;r=ZliGVSRwfirWoETOrKCh2RSnoygzVPWEk95Me9L-Kwo&amp;m=EaKyFx9mpkhPdFxsxzvW_fiM3jbYwM3xYLjVbSFoDAg&amp;s=VM4e2htVrU7umgadz97LXkodEeohJ1fapZqKVBj66fM&amp;e=</t>
  </si>
  <si>
    <t>Father of Lee Hsien Loong%824c8910-1e42-11e4-b4cd-db5882bf8def</t>
  </si>
  <si>
    <t>SIN-1990</t>
  </si>
  <si>
    <t>824c890f-1e42-11e4-b4cd-db5882bf8def</t>
  </si>
  <si>
    <t>Goh Chok Tong</t>
  </si>
  <si>
    <t>https://urldefense.proofpoint.com/v2/url?u=http-3A__dbpedia.org_resource_Goh-5FChok-5FTong&amp;d=BQID-g&amp;c=kbmfwr1Yojg42sGEpaQh5ofMHBeTl9EI2eaqQZhHbOU&amp;r=ZliGVSRwfirWoETOrKCh2RSnoygzVPWEk95Me9L-Kwo&amp;m=EaKyFx9mpkhPdFxsxzvW_fiM3jbYwM3xYLjVbSFoDAg&amp;s=GUKPFW2JwEo5s9cnd45z6k5BDvuVgOWydRkSA2lpm9k&amp;e=</t>
  </si>
  <si>
    <t>SIN-2004</t>
  </si>
  <si>
    <t>824c8910-1e42-11e4-b4cd-db5882bf8def</t>
  </si>
  <si>
    <t>Lee Hsien Loong</t>
  </si>
  <si>
    <t>Son of Lee Kuan Yew%824c890e-1e42-11e4-b4cd-db5882bf8def</t>
  </si>
  <si>
    <t>BRU-1967</t>
  </si>
  <si>
    <t>824c8911-1e42-11e4-b4cd-db5882bf8def</t>
  </si>
  <si>
    <t>BRU</t>
  </si>
  <si>
    <t>Hassanal Bolkiah</t>
  </si>
  <si>
    <t>https://urldefense.proofpoint.com/v2/url?u=http-3A__dbpedia.org_resource_Hassanal-5FBolkiah&amp;d=BQID-g&amp;c=kbmfwr1Yojg42sGEpaQh5ofMHBeTl9EI2eaqQZhHbOU&amp;r=ZliGVSRwfirWoETOrKCh2RSnoygzVPWEk95Me9L-Kwo&amp;m=EaKyFx9mpkhPdFxsxzvW_fiM3jbYwM3xYLjVbSFoDAg&amp;s=nxmc-8n2OJIQNpj1X_onF7MyP3syraYjkF5SOFMQrjM&amp;e=</t>
  </si>
  <si>
    <t>PHI-1946</t>
  </si>
  <si>
    <t>824cb9e0-1e42-11e4-b4cd-db5882bf8def</t>
  </si>
  <si>
    <t>PHI</t>
  </si>
  <si>
    <t>Roxas</t>
  </si>
  <si>
    <t>https://urldefense.proofpoint.com/v2/url?u=http-3A__dbpedia.org_resource_Manuel-5FRoxas&amp;d=BQID-g&amp;c=kbmfwr1Yojg42sGEpaQh5ofMHBeTl9EI2eaqQZhHbOU&amp;r=ZliGVSRwfirWoETOrKCh2RSnoygzVPWEk95Me9L-Kwo&amp;m=EaKyFx9mpkhPdFxsxzvW_fiM3jbYwM3xYLjVbSFoDAg&amp;s=6lHx7nTft0KTSnJCXgsKLAH3UuC9BGqaSfVNQ7MAYeU&amp;e=</t>
  </si>
  <si>
    <t>37骞?652</t>
  </si>
  <si>
    <t>PHI-1948</t>
  </si>
  <si>
    <t>824cb9e1-1e42-11e4-b4cd-db5882bf8def</t>
  </si>
  <si>
    <t>Quirrino</t>
  </si>
  <si>
    <t>1890-11-16</t>
  </si>
  <si>
    <t>16nov1890</t>
  </si>
  <si>
    <t>https://urldefense.proofpoint.com/v2/url?u=http-3A__dbpedia.org_resource_Elpidio-5FQuirino&amp;d=BQID-g&amp;c=kbmfwr1Yojg42sGEpaQh5ofMHBeTl9EI2eaqQZhHbOU&amp;r=ZliGVSRwfirWoETOrKCh2RSnoygzVPWEk95Me9L-Kwo&amp;m=EaKyFx9mpkhPdFxsxzvW_fiM3jbYwM3xYLjVbSFoDAg&amp;s=qBPtkNR9Dt3doz7WcJfCQ4szGyguZh3KD3aaxxuk0NQ&amp;e=</t>
  </si>
  <si>
    <t>37骞?2084</t>
  </si>
  <si>
    <t>PHI-1953</t>
  </si>
  <si>
    <t>824cb9e2-1e42-11e4-b4cd-db5882bf8def</t>
  </si>
  <si>
    <t>Magsaysay</t>
  </si>
  <si>
    <t>https://urldefense.proofpoint.com/v2/url?u=http-3A__dbpedia.org_resource_Ramon-5FMagsaysay&amp;d=BQID-g&amp;c=kbmfwr1Yojg42sGEpaQh5ofMHBeTl9EI2eaqQZhHbOU&amp;r=ZliGVSRwfirWoETOrKCh2RSnoygzVPWEk95Me9L-Kwo&amp;m=EaKyFx9mpkhPdFxsxzvW_fiM3jbYwM3xYLjVbSFoDAg&amp;s=M4XTtfscmnLi1dXP-93OET-K00KGYVmoVDnHrlPNrI8&amp;e=</t>
  </si>
  <si>
    <t>37骞?1173</t>
  </si>
  <si>
    <t>PHI-1957</t>
  </si>
  <si>
    <t>824cb9e3-1e42-11e4-b4cd-db5882bf8def</t>
  </si>
  <si>
    <t>1896-11-04</t>
  </si>
  <si>
    <t>04nov1896</t>
  </si>
  <si>
    <t>https://urldefense.proofpoint.com/v2/url?u=http-3A__dbpedia.org_resource_Carlos-5FP.-5FGarcia&amp;d=BQID-g&amp;c=kbmfwr1Yojg42sGEpaQh5ofMHBeTl9EI2eaqQZhHbOU&amp;r=ZliGVSRwfirWoETOrKCh2RSnoygzVPWEk95Me9L-Kwo&amp;m=EaKyFx9mpkhPdFxsxzvW_fiM3jbYwM3xYLjVbSFoDAg&amp;s=1oos5iKTdGFHMqac5kH7KrIfFS60IPKavVBlxScT2pA&amp;e=</t>
  </si>
  <si>
    <t>37骞?1703</t>
  </si>
  <si>
    <t>PHI-1961</t>
  </si>
  <si>
    <t>824cb9e4-1e42-11e4-b4cd-db5882bf8def</t>
  </si>
  <si>
    <t>Macapagal</t>
  </si>
  <si>
    <t>https://urldefense.proofpoint.com/v2/url?u=http-3A__dbpedia.org_resource_Diosdado-5FMacapagal&amp;d=BQID-g&amp;c=kbmfwr1Yojg42sGEpaQh5ofMHBeTl9EI2eaqQZhHbOU&amp;r=ZliGVSRwfirWoETOrKCh2RSnoygzVPWEk95Me9L-Kwo&amp;m=EaKyFx9mpkhPdFxsxzvW_fiM3jbYwM3xYLjVbSFoDAg&amp;s=WnCCh6hXwz--W3CviCFqUDKqtbpBKjg8e7kO2PlHrdM&amp;e=</t>
  </si>
  <si>
    <t>Father of Gloria Macapagal-Arroyo%824ceab7-1e42-11e4-b4cd-db5882bf8def</t>
  </si>
  <si>
    <t>37骞?1507</t>
  </si>
  <si>
    <t>PHI-1965</t>
  </si>
  <si>
    <t>824cb9e5-1e42-11e4-b4cd-db5882bf8def</t>
  </si>
  <si>
    <t>Marcos</t>
  </si>
  <si>
    <t>https://urldefense.proofpoint.com/v2/url?u=http-3A__dbpedia.org_resource_Ferdinand-5FMarcos&amp;d=BQID-g&amp;c=kbmfwr1Yojg42sGEpaQh5ofMHBeTl9EI2eaqQZhHbOU&amp;r=ZliGVSRwfirWoETOrKCh2RSnoygzVPWEk95Me9L-Kwo&amp;m=EaKyFx9mpkhPdFxsxzvW_fiM3jbYwM3xYLjVbSFoDAg&amp;s=o11VLiVJBfbUUQwHJVWDLjRrdz0KQO52cjMS7VpbVVo&amp;e=</t>
  </si>
  <si>
    <t>37骞?7362</t>
  </si>
  <si>
    <t>PHI-1986</t>
  </si>
  <si>
    <t>824ceab4-1e42-11e4-b4cd-db5882bf8def</t>
  </si>
  <si>
    <t>Aquino</t>
  </si>
  <si>
    <t>https://urldefense.proofpoint.com/v2/url?u=http-3A__dbpedia.org_resource_Corazon-5FAquino&amp;d=BQID-g&amp;c=kbmfwr1Yojg42sGEpaQh5ofMHBeTl9EI2eaqQZhHbOU&amp;r=ZliGVSRwfirWoETOrKCh2RSnoygzVPWEk95Me9L-Kwo&amp;m=EaKyFx9mpkhPdFxsxzvW_fiM3jbYwM3xYLjVbSFoDAg&amp;s=fjFGPAIaj20Ob1uuYNg2JjhqSUgf4pybxY7-L03AaPo&amp;e=</t>
  </si>
  <si>
    <t>Mother of Benigno Aquino III%8255e1c9-1e42-11e4-b4cd-db5882bf8def</t>
  </si>
  <si>
    <t>37骞?2317</t>
  </si>
  <si>
    <t>PHI-1992</t>
  </si>
  <si>
    <t>824ceab5-1e42-11e4-b4cd-db5882bf8def</t>
  </si>
  <si>
    <t>Ramos</t>
  </si>
  <si>
    <t>37骞?2191</t>
  </si>
  <si>
    <t>PHI-1998</t>
  </si>
  <si>
    <t>824ceab6-1e42-11e4-b4cd-db5882bf8def</t>
  </si>
  <si>
    <t>Estrada</t>
  </si>
  <si>
    <t>https://urldefense.proofpoint.com/v2/url?u=http-3A__dbpedia.org_resource_Joseph-5FEstrada&amp;d=BQID-g&amp;c=kbmfwr1Yojg42sGEpaQh5ofMHBeTl9EI2eaqQZhHbOU&amp;r=ZliGVSRwfirWoETOrKCh2RSnoygzVPWEk95Me9L-Kwo&amp;m=EaKyFx9mpkhPdFxsxzvW_fiM3jbYwM3xYLjVbSFoDAg&amp;s=08wpO5djU_AZ7E-ZgyNxWbyFTyZb9cvyC_EUXfnOP8U&amp;e=</t>
  </si>
  <si>
    <t>37骞?935</t>
  </si>
  <si>
    <t>PHI-2001</t>
  </si>
  <si>
    <t>824ceab7-1e42-11e4-b4cd-db5882bf8def</t>
  </si>
  <si>
    <t>Gloria Macapagal-Arroyo</t>
  </si>
  <si>
    <t>https://urldefense.proofpoint.com/v2/url?u=http-3A__dbpedia.org_resource_Gloria-5FMacapagal-2DArroyo&amp;d=BQID-g&amp;c=kbmfwr1Yojg42sGEpaQh5ofMHBeTl9EI2eaqQZhHbOU&amp;r=ZliGVSRwfirWoETOrKCh2RSnoygzVPWEk95Me9L-Kwo&amp;m=EaKyFx9mpkhPdFxsxzvW_fiM3jbYwM3xYLjVbSFoDAg&amp;s=yTXFa9T-1LMKPXxtKd3pH-LQG9ob98SEL3Pi33TSLck&amp;e=</t>
  </si>
  <si>
    <t>Son of Macapagal%824cb9e4-1e42-11e4-b4cd-db5882bf8def</t>
  </si>
  <si>
    <t>37骞?3447</t>
  </si>
  <si>
    <t>PHI-2010</t>
  </si>
  <si>
    <t>8255e1c9-1e42-11e4-b4cd-db5882bf8def</t>
  </si>
  <si>
    <t>Benigno Aquino III</t>
  </si>
  <si>
    <t>Son of Aquino%824ceab4-1e42-11e4-b4cd-db5882bf8def</t>
  </si>
  <si>
    <t>37骞?2010</t>
  </si>
  <si>
    <t>INS-1945</t>
  </si>
  <si>
    <t>824ceab8-1e42-11e4-b4cd-db5882bf8def</t>
  </si>
  <si>
    <t>INS</t>
  </si>
  <si>
    <t>Sukarno</t>
  </si>
  <si>
    <t>https://urldefense.proofpoint.com/v2/url?u=http-3A__dbpedia.org_resource_Sukarno&amp;d=BQID-g&amp;c=kbmfwr1Yojg42sGEpaQh5ofMHBeTl9EI2eaqQZhHbOU&amp;r=ZliGVSRwfirWoETOrKCh2RSnoygzVPWEk95Me9L-Kwo&amp;m=EaKyFx9mpkhPdFxsxzvW_fiM3jbYwM3xYLjVbSFoDAg&amp;s=7-74GzhEay1ZnSlWe555WFObFLObK1Om5RhuYe13ASU&amp;e=</t>
  </si>
  <si>
    <t>Father of Megawati Sukarnoputri%824d1b8b-1e42-11e4-b4cd-db5882bf8def</t>
  </si>
  <si>
    <t>45骞?1219</t>
  </si>
  <si>
    <t>INS-1948</t>
  </si>
  <si>
    <t>824ceab9-1e42-11e4-b4cd-db5882bf8def</t>
  </si>
  <si>
    <t>Louis Beel</t>
  </si>
  <si>
    <t>45骞?152</t>
  </si>
  <si>
    <t>INS-1949-1</t>
  </si>
  <si>
    <t>824ceaba-1e42-11e4-b4cd-db5882bf8def</t>
  </si>
  <si>
    <t>A. H. J. Lovink</t>
  </si>
  <si>
    <t>45骞?222</t>
  </si>
  <si>
    <t>INS-1949-2</t>
  </si>
  <si>
    <t>45骞?5919</t>
  </si>
  <si>
    <t>INS-1966</t>
  </si>
  <si>
    <t>824d1b88-1e42-11e4-b4cd-db5882bf8def</t>
  </si>
  <si>
    <t>Suharto</t>
  </si>
  <si>
    <t>45骞?11758</t>
  </si>
  <si>
    <t>INS-1998</t>
  </si>
  <si>
    <t>824d1b89-1e42-11e4-b4cd-db5882bf8def</t>
  </si>
  <si>
    <t>Habibie</t>
  </si>
  <si>
    <t>45骞?517</t>
  </si>
  <si>
    <t>INS-1999</t>
  </si>
  <si>
    <t>824d1b8a-1e42-11e4-b4cd-db5882bf8def</t>
  </si>
  <si>
    <t>Wahid</t>
  </si>
  <si>
    <t>45骞?642</t>
  </si>
  <si>
    <t>INS-2001</t>
  </si>
  <si>
    <t>824d1b8b-1e42-11e4-b4cd-db5882bf8def</t>
  </si>
  <si>
    <t>Megawati Sukarnoputri</t>
  </si>
  <si>
    <t>Daughter of Sukarno%824ceab8-1e42-11e4-b4cd-db5882bf8def</t>
  </si>
  <si>
    <t>45骞?1184</t>
  </si>
  <si>
    <t>INS-2004</t>
  </si>
  <si>
    <t>824d1b8c-1e42-11e4-b4cd-db5882bf8def</t>
  </si>
  <si>
    <t>Bambang Yudhoyono</t>
  </si>
  <si>
    <t>45骞?3652</t>
  </si>
  <si>
    <t>INS-2014</t>
  </si>
  <si>
    <t>14a05fc3-aae0-11e4-b3bc-29f2fa19767e</t>
  </si>
  <si>
    <t>Joko Widodo</t>
  </si>
  <si>
    <t>45骞?437</t>
  </si>
  <si>
    <t>ETM-2002</t>
  </si>
  <si>
    <t>824d1b8d-1e42-11e4-b4cd-db5882bf8def</t>
  </si>
  <si>
    <t>ETM</t>
  </si>
  <si>
    <t>Gusmao</t>
  </si>
  <si>
    <t>https://urldefense.proofpoint.com/v2/url?u=http-3A__dbpedia.org_resource_Xanana-5FGusm-25C3-25A3o&amp;d=BQID-g&amp;c=kbmfwr1Yojg42sGEpaQh5ofMHBeTl9EI2eaqQZhHbOU&amp;r=ZliGVSRwfirWoETOrKCh2RSnoygzVPWEk95Me9L-Kwo&amp;m=EaKyFx9mpkhPdFxsxzvW_fiM3jbYwM3xYLjVbSFoDAg&amp;s=wpTtgv_8ReoG4gFYSvWkZIJwr6hlfQliCmZ0VYReZNk&amp;e=</t>
  </si>
  <si>
    <t>ETM-2007</t>
  </si>
  <si>
    <t>8255e1ca-1e42-11e4-b4cd-db5882bf8def</t>
  </si>
  <si>
    <t>Ramos-Horta</t>
  </si>
  <si>
    <t>ETM-2008-1</t>
  </si>
  <si>
    <t>43fcd2bd-de6a-11e5-ba44-bb6d7c1a9a58</t>
  </si>
  <si>
    <t>Fernando de Ara煤jo</t>
  </si>
  <si>
    <t>ETM-2008-2</t>
  </si>
  <si>
    <t>ETM-2012</t>
  </si>
  <si>
    <t>2b3ec880-3481-11e4-8dba-bbcd9ed46413</t>
  </si>
  <si>
    <t>Ruak</t>
  </si>
  <si>
    <t>AUL-1901</t>
  </si>
  <si>
    <t>824d4c5c-1e42-11e4-b4cd-db5882bf8def</t>
  </si>
  <si>
    <t>AUL</t>
  </si>
  <si>
    <t>Edmund Barton</t>
  </si>
  <si>
    <t>1849-01-18</t>
  </si>
  <si>
    <t>18jan1849</t>
  </si>
  <si>
    <t>https://urldefense.proofpoint.com/v2/url?u=http-3A__dbpedia.org_resource_Edmund-5FBarton&amp;d=BQID-g&amp;c=kbmfwr1Yojg42sGEpaQh5ofMHBeTl9EI2eaqQZhHbOU&amp;r=ZliGVSRwfirWoETOrKCh2RSnoygzVPWEk95Me9L-Kwo&amp;m=EaKyFx9mpkhPdFxsxzvW_fiM3jbYwM3xYLjVbSFoDAg&amp;s=T1-JY7Y8466Fw_yIo5SePpKz-9OE0a02p2MVadmsz1k&amp;e=</t>
  </si>
  <si>
    <t>72骞?996</t>
  </si>
  <si>
    <t>AUL-1903</t>
  </si>
  <si>
    <t>824d4c5d-1e42-11e4-b4cd-db5882bf8def</t>
  </si>
  <si>
    <t>Alfred Deakin</t>
  </si>
  <si>
    <t>1856-08-03</t>
  </si>
  <si>
    <t>03aug1856</t>
  </si>
  <si>
    <t>https://urldefense.proofpoint.com/v2/url?u=http-3A__dbpedia.org_resource_Alfred-5FDeakin&amp;d=BQID-g&amp;c=kbmfwr1Yojg42sGEpaQh5ofMHBeTl9EI2eaqQZhHbOU&amp;r=ZliGVSRwfirWoETOrKCh2RSnoygzVPWEk95Me9L-Kwo&amp;m=EaKyFx9mpkhPdFxsxzvW_fiM3jbYwM3xYLjVbSFoDAg&amp;s=8-J8ehwbaZKT6aLVIljmc6h-jlL0R1k4cK2NvPZzlX0&amp;e=</t>
  </si>
  <si>
    <t>72骞?215</t>
  </si>
  <si>
    <t>AUL-1904-1</t>
  </si>
  <si>
    <t>824d7d30-1e42-11e4-b4cd-db5882bf8def</t>
  </si>
  <si>
    <t>John Christian Watson</t>
  </si>
  <si>
    <t>1867-04-09</t>
  </si>
  <si>
    <t>09apr1867</t>
  </si>
  <si>
    <t>https://urldefense.proofpoint.com/v2/url?u=http-3A__dbpedia.org_resource_Chris-5FWatson&amp;d=BQID-g&amp;c=kbmfwr1Yojg42sGEpaQh5ofMHBeTl9EI2eaqQZhHbOU&amp;r=ZliGVSRwfirWoETOrKCh2RSnoygzVPWEk95Me9L-Kwo&amp;m=EaKyFx9mpkhPdFxsxzvW_fiM3jbYwM3xYLjVbSFoDAg&amp;s=pSAdt7MoAlOio3C3LPjKmS2Pb-aIELjxmq2XWV0Aiko&amp;e=</t>
  </si>
  <si>
    <t>72骞?114</t>
  </si>
  <si>
    <t>AUL-1904-2</t>
  </si>
  <si>
    <t>824d7d31-1e42-11e4-b4cd-db5882bf8def</t>
  </si>
  <si>
    <t>George Reid</t>
  </si>
  <si>
    <t>1848-02-22</t>
  </si>
  <si>
    <t>22feb1848</t>
  </si>
  <si>
    <t>72骞?321</t>
  </si>
  <si>
    <t>AUL-1905</t>
  </si>
  <si>
    <t>72骞?1227</t>
  </si>
  <si>
    <t>AUL-1908</t>
  </si>
  <si>
    <t>824dae04-1e42-11e4-b4cd-db5882bf8def</t>
  </si>
  <si>
    <t>Andrew Fisher</t>
  </si>
  <si>
    <t>1862-08-29</t>
  </si>
  <si>
    <t>29aug1862</t>
  </si>
  <si>
    <t>https://urldefense.proofpoint.com/v2/url?u=http-3A__dbpedia.org_resource_Andrew-5FFisher&amp;d=BQID-g&amp;c=kbmfwr1Yojg42sGEpaQh5ofMHBeTl9EI2eaqQZhHbOU&amp;r=ZliGVSRwfirWoETOrKCh2RSnoygzVPWEk95Me9L-Kwo&amp;m=EaKyFx9mpkhPdFxsxzvW_fiM3jbYwM3xYLjVbSFoDAg&amp;s=dx93lqhUqc59Yu4NRLWfJ3r2dDB_d0VL8eyxELdSeVo&amp;e=</t>
  </si>
  <si>
    <t>72骞?201</t>
  </si>
  <si>
    <t>AUL-1909</t>
  </si>
  <si>
    <t>72骞?331</t>
  </si>
  <si>
    <t>AUL-1910</t>
  </si>
  <si>
    <t>72骞?1091</t>
  </si>
  <si>
    <t>AUL-1913</t>
  </si>
  <si>
    <t>824dae05-1e42-11e4-b4cd-db5882bf8def</t>
  </si>
  <si>
    <t>Joseph Cook</t>
  </si>
  <si>
    <t>1860-12-07</t>
  </si>
  <si>
    <t>07dec1860</t>
  </si>
  <si>
    <t>https://urldefense.proofpoint.com/v2/url?u=http-3A__dbpedia.org_resource_Joseph-5FCook&amp;d=BQID-g&amp;c=kbmfwr1Yojg42sGEpaQh5ofMHBeTl9EI2eaqQZhHbOU&amp;r=ZliGVSRwfirWoETOrKCh2RSnoygzVPWEk95Me9L-Kwo&amp;m=EaKyFx9mpkhPdFxsxzvW_fiM3jbYwM3xYLjVbSFoDAg&amp;s=AXoDNrObo1BAB_OaKneydGEdA1Du7yTNtktkN0hJjfA&amp;e=</t>
  </si>
  <si>
    <t>72骞?511</t>
  </si>
  <si>
    <t>AUL-1914</t>
  </si>
  <si>
    <t>72骞?405</t>
  </si>
  <si>
    <t>AUL-1915</t>
  </si>
  <si>
    <t>824dae06-1e42-11e4-b4cd-db5882bf8def</t>
  </si>
  <si>
    <t>Hughes</t>
  </si>
  <si>
    <t>1864-09-25</t>
  </si>
  <si>
    <t>25sep1864</t>
  </si>
  <si>
    <t>https://urldefense.proofpoint.com/v2/url?u=http-3A__dbpedia.org_resource_Billy-5FHughes&amp;d=BQID-g&amp;c=kbmfwr1Yojg42sGEpaQh5ofMHBeTl9EI2eaqQZhHbOU&amp;r=ZliGVSRwfirWoETOrKCh2RSnoygzVPWEk95Me9L-Kwo&amp;m=EaKyFx9mpkhPdFxsxzvW_fiM3jbYwM3xYLjVbSFoDAg&amp;s=7NPOSYCaM6ktkD8t1iekAjfXlqdPyKMyYri2KTu5QVQ&amp;e=</t>
  </si>
  <si>
    <t>72骞?2656</t>
  </si>
  <si>
    <t>AUL-1923</t>
  </si>
  <si>
    <t>824dded8-1e42-11e4-b4cd-db5882bf8def</t>
  </si>
  <si>
    <t>Bruce</t>
  </si>
  <si>
    <t>1883-04-15</t>
  </si>
  <si>
    <t>15apr1883</t>
  </si>
  <si>
    <t>https://urldefense.proofpoint.com/v2/url?u=http-3A__dbpedia.org_resource_Stanley-5FBruce&amp;d=BQID-g&amp;c=kbmfwr1Yojg42sGEpaQh5ofMHBeTl9EI2eaqQZhHbOU&amp;r=ZliGVSRwfirWoETOrKCh2RSnoygzVPWEk95Me9L-Kwo&amp;m=EaKyFx9mpkhPdFxsxzvW_fiM3jbYwM3xYLjVbSFoDAg&amp;s=unfK1NVpTzL70CSSbQjdsQxZkCz4n6mB7w9XFQGjFRA&amp;e=</t>
  </si>
  <si>
    <t>72骞?2453</t>
  </si>
  <si>
    <t>AUL-1929</t>
  </si>
  <si>
    <t>824dded9-1e42-11e4-b4cd-db5882bf8def</t>
  </si>
  <si>
    <t>Scullin</t>
  </si>
  <si>
    <t>https://urldefense.proofpoint.com/v2/url?u=http-3A__dbpedia.org_resource_James-5FScullin&amp;d=BQID-g&amp;c=kbmfwr1Yojg42sGEpaQh5ofMHBeTl9EI2eaqQZhHbOU&amp;r=ZliGVSRwfirWoETOrKCh2RSnoygzVPWEk95Me9L-Kwo&amp;m=EaKyFx9mpkhPdFxsxzvW_fiM3jbYwM3xYLjVbSFoDAg&amp;s=MMF6iVSWEbM2FVKqjq-rMICinMmswJMlWmXTnnLbxx0&amp;e=</t>
  </si>
  <si>
    <t>72骞?806</t>
  </si>
  <si>
    <t>AUL-1932</t>
  </si>
  <si>
    <t>824ddeda-1e42-11e4-b4cd-db5882bf8def</t>
  </si>
  <si>
    <t>Lyons</t>
  </si>
  <si>
    <t>1879-09-15</t>
  </si>
  <si>
    <t>15sep1879</t>
  </si>
  <si>
    <t>https://urldefense.proofpoint.com/v2/url?u=http-3A__dbpedia.org_resource_Joseph-5FLyons&amp;d=BQID-g&amp;c=kbmfwr1Yojg42sGEpaQh5ofMHBeTl9EI2eaqQZhHbOU&amp;r=ZliGVSRwfirWoETOrKCh2RSnoygzVPWEk95Me9L-Kwo&amp;m=EaKyFx9mpkhPdFxsxzvW_fiM3jbYwM3xYLjVbSFoDAg&amp;s=Jk-M93ERb1rqLZYxCP_BVYnem0aKyuUjqsNErgn87Dw&amp;e=</t>
  </si>
  <si>
    <t>72骞?2648</t>
  </si>
  <si>
    <t>AUL-1939-1</t>
  </si>
  <si>
    <t>824ddedb-1e42-11e4-b4cd-db5882bf8def</t>
  </si>
  <si>
    <t>Page</t>
  </si>
  <si>
    <t>1888-08-08</t>
  </si>
  <si>
    <t>08aug1888</t>
  </si>
  <si>
    <t>https://urldefense.proofpoint.com/v2/url?u=http-3A__dbpedia.org_resource_Earle-5FPage&amp;d=BQID-g&amp;c=kbmfwr1Yojg42sGEpaQh5ofMHBeTl9EI2eaqQZhHbOU&amp;r=ZliGVSRwfirWoETOrKCh2RSnoygzVPWEk95Me9L-Kwo&amp;m=EaKyFx9mpkhPdFxsxzvW_fiM3jbYwM3xYLjVbSFoDAg&amp;s=Xu8Egq7ygBfTXu2NJlETrlJ_Pjmnb3np7TvJpOzQkKg&amp;e=</t>
  </si>
  <si>
    <t>72骞?19</t>
  </si>
  <si>
    <t>AUL-1939-2</t>
  </si>
  <si>
    <t>824e0fac-1e42-11e4-b4cd-db5882bf8def</t>
  </si>
  <si>
    <t>Menzies</t>
  </si>
  <si>
    <t>1894-12-20</t>
  </si>
  <si>
    <t>20dec1894</t>
  </si>
  <si>
    <t>https://urldefense.proofpoint.com/v2/url?u=http-3A__dbpedia.org_resource_Robert-5FMenzies&amp;d=BQID-g&amp;c=kbmfwr1Yojg42sGEpaQh5ofMHBeTl9EI2eaqQZhHbOU&amp;r=ZliGVSRwfirWoETOrKCh2RSnoygzVPWEk95Me9L-Kwo&amp;m=EaKyFx9mpkhPdFxsxzvW_fiM3jbYwM3xYLjVbSFoDAg&amp;s=seEwCTehcZqZV2hJQ69sFIlHfaTBUEDTqtvHcKcyprI&amp;e=</t>
  </si>
  <si>
    <t>72骞?856</t>
  </si>
  <si>
    <t>AUL-1941-1</t>
  </si>
  <si>
    <t>824e0fad-1e42-11e4-b4cd-db5882bf8def</t>
  </si>
  <si>
    <t>Fadden</t>
  </si>
  <si>
    <t>1895-04-13</t>
  </si>
  <si>
    <t>13apr1895</t>
  </si>
  <si>
    <t>https://urldefense.proofpoint.com/v2/url?u=http-3A__dbpedia.org_resource_Arthur-5FFadden&amp;d=BQID-g&amp;c=kbmfwr1Yojg42sGEpaQh5ofMHBeTl9EI2eaqQZhHbOU&amp;r=ZliGVSRwfirWoETOrKCh2RSnoygzVPWEk95Me9L-Kwo&amp;m=EaKyFx9mpkhPdFxsxzvW_fiM3jbYwM3xYLjVbSFoDAg&amp;s=xNC68QuE7CINwAd1FGqlzS8-WfTJCyjvShSh7MAfV3c&amp;e=</t>
  </si>
  <si>
    <t>72骞?39</t>
  </si>
  <si>
    <t>AUL-1941-2</t>
  </si>
  <si>
    <t>824e0fae-1e42-11e4-b4cd-db5882bf8def</t>
  </si>
  <si>
    <t>Curtin</t>
  </si>
  <si>
    <t>1885-01-08</t>
  </si>
  <si>
    <t>08jan1885</t>
  </si>
  <si>
    <t>https://urldefense.proofpoint.com/v2/url?u=http-3A__dbpedia.org_resource_John-5FCurtin&amp;d=BQID-g&amp;c=kbmfwr1Yojg42sGEpaQh5ofMHBeTl9EI2eaqQZhHbOU&amp;r=ZliGVSRwfirWoETOrKCh2RSnoygzVPWEk95Me9L-Kwo&amp;m=EaKyFx9mpkhPdFxsxzvW_fiM3jbYwM3xYLjVbSFoDAg&amp;s=qaVqkRabrn6oYJvo_kCkq0wB_ipw0T_-CNF4Og22A8I&amp;e=</t>
  </si>
  <si>
    <t>72骞?1301</t>
  </si>
  <si>
    <t>AUL-1945-1</t>
  </si>
  <si>
    <t>824e0faf-1e42-11e4-b4cd-db5882bf8def</t>
  </si>
  <si>
    <t>Forde</t>
  </si>
  <si>
    <t>1890-07-18</t>
  </si>
  <si>
    <t>18jul1890</t>
  </si>
  <si>
    <t>https://urldefense.proofpoint.com/v2/url?u=http-3A__dbpedia.org_resource_Frank-5FForde&amp;d=BQID-g&amp;c=kbmfwr1Yojg42sGEpaQh5ofMHBeTl9EI2eaqQZhHbOU&amp;r=ZliGVSRwfirWoETOrKCh2RSnoygzVPWEk95Me9L-Kwo&amp;m=EaKyFx9mpkhPdFxsxzvW_fiM3jbYwM3xYLjVbSFoDAg&amp;s=1t8tSX65vWsW2gQ4jTSrIDbkwaInJHdTPULXuDehMYE&amp;e=</t>
  </si>
  <si>
    <t>72骞?74</t>
  </si>
  <si>
    <t>AUL-1945-2</t>
  </si>
  <si>
    <t>824e0fb0-1e42-11e4-b4cd-db5882bf8def</t>
  </si>
  <si>
    <t>Chifley</t>
  </si>
  <si>
    <t>1885-09-22</t>
  </si>
  <si>
    <t>22sep1885</t>
  </si>
  <si>
    <t>https://urldefense.proofpoint.com/v2/url?u=http-3A__dbpedia.org_resource_Ben-5FChifley&amp;d=BQID-g&amp;c=kbmfwr1Yojg42sGEpaQh5ofMHBeTl9EI2eaqQZhHbOU&amp;r=ZliGVSRwfirWoETOrKCh2RSnoygzVPWEk95Me9L-Kwo&amp;m=EaKyFx9mpkhPdFxsxzvW_fiM3jbYwM3xYLjVbSFoDAg&amp;s=l1ggPnc8Vofvlb-mKlUV2xBhdlNlnE92tFv5i4PN-cQ&amp;e=</t>
  </si>
  <si>
    <t>72骞?1620</t>
  </si>
  <si>
    <t>AUL-1949</t>
  </si>
  <si>
    <t>72骞?5882</t>
  </si>
  <si>
    <t>AUL-1966</t>
  </si>
  <si>
    <t>824e0fb1-1e42-11e4-b4cd-db5882bf8def</t>
  </si>
  <si>
    <t>Holt</t>
  </si>
  <si>
    <t>https://urldefense.proofpoint.com/v2/url?u=http-3A__dbpedia.org_resource_Harold-5FHolt&amp;d=BQID-g&amp;c=kbmfwr1Yojg42sGEpaQh5ofMHBeTl9EI2eaqQZhHbOU&amp;r=ZliGVSRwfirWoETOrKCh2RSnoygzVPWEk95Me9L-Kwo&amp;m=EaKyFx9mpkhPdFxsxzvW_fiM3jbYwM3xYLjVbSFoDAg&amp;s=bw0WTFXAN2AiPtLaH8xSWZmn6W2w6zIzcasq0n8bsx0&amp;e=</t>
  </si>
  <si>
    <t>72骞?691</t>
  </si>
  <si>
    <t>AUL-1967</t>
  </si>
  <si>
    <t>824e4080-1e42-11e4-b4cd-db5882bf8def</t>
  </si>
  <si>
    <t>McEwen</t>
  </si>
  <si>
    <t>https://urldefense.proofpoint.com/v2/url?u=http-3A__dbpedia.org_resource_John-5FMcEwen&amp;d=BQID-g&amp;c=kbmfwr1Yojg42sGEpaQh5ofMHBeTl9EI2eaqQZhHbOU&amp;r=ZliGVSRwfirWoETOrKCh2RSnoygzVPWEk95Me9L-Kwo&amp;m=EaKyFx9mpkhPdFxsxzvW_fiM3jbYwM3xYLjVbSFoDAg&amp;s=4nGRZvf6GWswP69_1ouR3CXK0gmRDewigInN55q9L_I&amp;e=</t>
  </si>
  <si>
    <t>72骞?22</t>
  </si>
  <si>
    <t>AUL-1968</t>
  </si>
  <si>
    <t>824e4081-1e42-11e4-b4cd-db5882bf8def</t>
  </si>
  <si>
    <t>Gorton</t>
  </si>
  <si>
    <t>https://urldefense.proofpoint.com/v2/url?u=http-3A__dbpedia.org_resource_John-5FGorton&amp;d=BQID-g&amp;c=kbmfwr1Yojg42sGEpaQh5ofMHBeTl9EI2eaqQZhHbOU&amp;r=ZliGVSRwfirWoETOrKCh2RSnoygzVPWEk95Me9L-Kwo&amp;m=EaKyFx9mpkhPdFxsxzvW_fiM3jbYwM3xYLjVbSFoDAg&amp;s=HropHA0tLR7KlGDQ6NPF8j0sGEfrmweZlqZM7SLTl3I&amp;e=</t>
  </si>
  <si>
    <t>72骞?1155</t>
  </si>
  <si>
    <t>AUL-1971</t>
  </si>
  <si>
    <t>824e4082-1e42-11e4-b4cd-db5882bf8def</t>
  </si>
  <si>
    <t>McMahon</t>
  </si>
  <si>
    <t>https://urldefense.proofpoint.com/v2/url?u=http-3A__dbpedia.org_resource_William-5FMcMahon&amp;d=BQID-g&amp;c=kbmfwr1Yojg42sGEpaQh5ofMHBeTl9EI2eaqQZhHbOU&amp;r=ZliGVSRwfirWoETOrKCh2RSnoygzVPWEk95Me9L-Kwo&amp;m=EaKyFx9mpkhPdFxsxzvW_fiM3jbYwM3xYLjVbSFoDAg&amp;s=fTVAoyX3mzfsNNpJSNZFqrJFKDJftLI5j28woPcGvjM&amp;e=</t>
  </si>
  <si>
    <t>72骞?636</t>
  </si>
  <si>
    <t>AUL-1972</t>
  </si>
  <si>
    <t>824e4083-1e42-11e4-b4cd-db5882bf8def</t>
  </si>
  <si>
    <t>Whitlam</t>
  </si>
  <si>
    <t>https://urldefense.proofpoint.com/v2/url?u=http-3A__dbpedia.org_resource_Gough-5FWhitlam&amp;d=BQID-g&amp;c=kbmfwr1Yojg42sGEpaQh5ofMHBeTl9EI2eaqQZhHbOU&amp;r=ZliGVSRwfirWoETOrKCh2RSnoygzVPWEk95Me9L-Kwo&amp;m=EaKyFx9mpkhPdFxsxzvW_fiM3jbYwM3xYLjVbSFoDAg&amp;s=vmLcmuJ2GzDVZjVw9oTMbJMooGQ1bL8NPZ1O1do4GBw&amp;e=</t>
  </si>
  <si>
    <t>72骞?1071</t>
  </si>
  <si>
    <t>AUL-1975</t>
  </si>
  <si>
    <t>824e4084-1e42-11e4-b4cd-db5882bf8def</t>
  </si>
  <si>
    <t>Fraser</t>
  </si>
  <si>
    <t>https://urldefense.proofpoint.com/v2/url?u=http-3A__dbpedia.org_resource_Malcolm-5FFraser&amp;d=BQID-g&amp;c=kbmfwr1Yojg42sGEpaQh5ofMHBeTl9EI2eaqQZhHbOU&amp;r=ZliGVSRwfirWoETOrKCh2RSnoygzVPWEk95Me9L-Kwo&amp;m=EaKyFx9mpkhPdFxsxzvW_fiM3jbYwM3xYLjVbSFoDAg&amp;s=SckV5yEjri_37a2M2uqoMitGxydnofYSBeJBiMYQ6x4&amp;e=</t>
  </si>
  <si>
    <t>72骞?2677</t>
  </si>
  <si>
    <t>AUL-1983</t>
  </si>
  <si>
    <t>824e4085-1e42-11e4-b4cd-db5882bf8def</t>
  </si>
  <si>
    <t>Hawke</t>
  </si>
  <si>
    <t>https://urldefense.proofpoint.com/v2/url?u=http-3A__dbpedia.org_resource_Bob-5FHawke&amp;d=BQID-g&amp;c=kbmfwr1Yojg42sGEpaQh5ofMHBeTl9EI2eaqQZhHbOU&amp;r=ZliGVSRwfirWoETOrKCh2RSnoygzVPWEk95Me9L-Kwo&amp;m=EaKyFx9mpkhPdFxsxzvW_fiM3jbYwM3xYLjVbSFoDAg&amp;s=n7i6wtrQCAo00dgD6wpOTl4q7tweOyjrFkg4klaEXVI&amp;e=</t>
  </si>
  <si>
    <t>72骞?3205</t>
  </si>
  <si>
    <t>AUL-1991</t>
  </si>
  <si>
    <t>824e4086-1e42-11e4-b4cd-db5882bf8def</t>
  </si>
  <si>
    <t>Keating</t>
  </si>
  <si>
    <t>72骞?1544</t>
  </si>
  <si>
    <t>AUL-1996</t>
  </si>
  <si>
    <t>824e715e-1e42-11e4-b4cd-db5882bf8def</t>
  </si>
  <si>
    <t>Howard</t>
  </si>
  <si>
    <t>https://urldefense.proofpoint.com/v2/url?u=http-3A__dbpedia.org_resource_John-5FHoward&amp;d=BQID-g&amp;c=kbmfwr1Yojg42sGEpaQh5ofMHBeTl9EI2eaqQZhHbOU&amp;r=ZliGVSRwfirWoETOrKCh2RSnoygzVPWEk95Me9L-Kwo&amp;m=EaKyFx9mpkhPdFxsxzvW_fiM3jbYwM3xYLjVbSFoDAg&amp;s=JmiRhKtF8NEqjTtMUR7U4JzN8ZGBnPp7Wur3QltxxBY&amp;e=</t>
  </si>
  <si>
    <t>72骞?4284</t>
  </si>
  <si>
    <t>AUL-2007</t>
  </si>
  <si>
    <t>8255e1cb-1e42-11e4-b4cd-db5882bf8def</t>
  </si>
  <si>
    <t>Rudd</t>
  </si>
  <si>
    <t>72骞?934</t>
  </si>
  <si>
    <t>AUL-2010</t>
  </si>
  <si>
    <t>8255e1cc-1e42-11e4-b4cd-db5882bf8def</t>
  </si>
  <si>
    <t>Gillard</t>
  </si>
  <si>
    <t>72骞?1099</t>
  </si>
  <si>
    <t>AUL-2013-1</t>
  </si>
  <si>
    <t>72骞?83</t>
  </si>
  <si>
    <t>AUL-2013-2</t>
  </si>
  <si>
    <t>2b3ec881-3481-11e4-8dba-bbcd9ed46413</t>
  </si>
  <si>
    <t>72骞?727</t>
  </si>
  <si>
    <t>AUL-2015</t>
  </si>
  <si>
    <t>43fcd2be-de6a-11e5-ba44-bb6d7c1a9a58</t>
  </si>
  <si>
    <t>Malcolm Turnbull</t>
  </si>
  <si>
    <t>72骞?107</t>
  </si>
  <si>
    <t>PNG-1975</t>
  </si>
  <si>
    <t>824e715f-1e42-11e4-b4cd-db5882bf8def</t>
  </si>
  <si>
    <t>PNG</t>
  </si>
  <si>
    <t>Somare</t>
  </si>
  <si>
    <t>https://urldefense.proofpoint.com/v2/url?u=http-3A__dbpedia.org_resource_Michael-5FSomare&amp;d=BQID-g&amp;c=kbmfwr1Yojg42sGEpaQh5ofMHBeTl9EI2eaqQZhHbOU&amp;r=ZliGVSRwfirWoETOrKCh2RSnoygzVPWEk95Me9L-Kwo&amp;m=EaKyFx9mpkhPdFxsxzvW_fiM3jbYwM3xYLjVbSFoDAg&amp;s=myvWhJuP_vY9E1w6oGNyCwmbwfsv7LNoFK9IB8J7ny0&amp;e=</t>
  </si>
  <si>
    <t>10骞?1638</t>
  </si>
  <si>
    <t>PNG-1980</t>
  </si>
  <si>
    <t>824e7160-1e42-11e4-b4cd-db5882bf8def</t>
  </si>
  <si>
    <t>Chan</t>
  </si>
  <si>
    <t>10骞?874</t>
  </si>
  <si>
    <t>PNG-1982</t>
  </si>
  <si>
    <t>10骞?1207</t>
  </si>
  <si>
    <t>PNG-1985</t>
  </si>
  <si>
    <t>824e7161-1e42-11e4-b4cd-db5882bf8def</t>
  </si>
  <si>
    <t>Wingti</t>
  </si>
  <si>
    <t>10骞?956</t>
  </si>
  <si>
    <t>PNG-1988</t>
  </si>
  <si>
    <t>824e7162-1e42-11e4-b4cd-db5882bf8def</t>
  </si>
  <si>
    <t>Namaliu</t>
  </si>
  <si>
    <t>10骞?1474</t>
  </si>
  <si>
    <t>PNG-1992</t>
  </si>
  <si>
    <t>10骞?774</t>
  </si>
  <si>
    <t>PNG-1994</t>
  </si>
  <si>
    <t>10骞?1057</t>
  </si>
  <si>
    <t>PNG-1997</t>
  </si>
  <si>
    <t>824e7163-1e42-11e4-b4cd-db5882bf8def</t>
  </si>
  <si>
    <t>Skate</t>
  </si>
  <si>
    <t>10骞?722</t>
  </si>
  <si>
    <t>PNG-1999</t>
  </si>
  <si>
    <t>824ea232-1e42-11e4-b4cd-db5882bf8def</t>
  </si>
  <si>
    <t>Morauta</t>
  </si>
  <si>
    <t>10骞?1118</t>
  </si>
  <si>
    <t>PNG-2002</t>
  </si>
  <si>
    <t>10骞?3283</t>
  </si>
  <si>
    <t>PNG-2011</t>
  </si>
  <si>
    <t>8255e1cd-1e42-11e4-b4cd-db5882bf8def</t>
  </si>
  <si>
    <t>O'Neil</t>
  </si>
  <si>
    <t>10骞?1612</t>
  </si>
  <si>
    <t>NEW-1906</t>
  </si>
  <si>
    <t>824ea233-1e42-11e4-b4cd-db5882bf8def</t>
  </si>
  <si>
    <t>NEW</t>
  </si>
  <si>
    <t>Ward</t>
  </si>
  <si>
    <t>https://urldefense.proofpoint.com/v2/url?u=http-3A__dbpedia.org_resource_Joseph-5FWard&amp;d=BQID-g&amp;c=kbmfwr1Yojg42sGEpaQh5ofMHBeTl9EI2eaqQZhHbOU&amp;r=ZliGVSRwfirWoETOrKCh2RSnoygzVPWEk95Me9L-Kwo&amp;m=EaKyFx9mpkhPdFxsxzvW_fiM3jbYwM3xYLjVbSFoDAg&amp;s=iH3CIzYnwnuM4hp4i6nuyiHE_ABRlIyF028bR_rwDs8&amp;e=</t>
  </si>
  <si>
    <t>96骞?2061</t>
  </si>
  <si>
    <t>NEW-1912-1</t>
  </si>
  <si>
    <t>824ea234-1e42-11e4-b4cd-db5882bf8def</t>
  </si>
  <si>
    <t>Thomas Mackenzie</t>
  </si>
  <si>
    <t>https://urldefense.proofpoint.com/v2/url?u=http-3A__dbpedia.org_resource_Thomas-5FMackenzie&amp;d=BQID-g&amp;c=kbmfwr1Yojg42sGEpaQh5ofMHBeTl9EI2eaqQZhHbOU&amp;r=ZliGVSRwfirWoETOrKCh2RSnoygzVPWEk95Me9L-Kwo&amp;m=EaKyFx9mpkhPdFxsxzvW_fiM3jbYwM3xYLjVbSFoDAg&amp;s=zF_mNxZbHoHgeTLsOeRvm2xTxNizqDo26jPPz5skG-8&amp;e=</t>
  </si>
  <si>
    <t>96骞?104</t>
  </si>
  <si>
    <t>NEW-1912-2</t>
  </si>
  <si>
    <t>824ea235-1e42-11e4-b4cd-db5882bf8def</t>
  </si>
  <si>
    <t>Massey</t>
  </si>
  <si>
    <t>1856-03-26</t>
  </si>
  <si>
    <t>26mar1856</t>
  </si>
  <si>
    <t>https://urldefense.proofpoint.com/v2/url?u=http-3A__dbpedia.org_resource_William-5FMassey&amp;d=BQID-g&amp;c=kbmfwr1Yojg42sGEpaQh5ofMHBeTl9EI2eaqQZhHbOU&amp;r=ZliGVSRwfirWoETOrKCh2RSnoygzVPWEk95Me9L-Kwo&amp;m=EaKyFx9mpkhPdFxsxzvW_fiM3jbYwM3xYLjVbSFoDAg&amp;s=ZjjR8KDqLi9bOE-L83Xg7GJdLC5QJdbB_qtjKllZM-I&amp;e=</t>
  </si>
  <si>
    <t>96骞?4687</t>
  </si>
  <si>
    <t>NEW-1925-1</t>
  </si>
  <si>
    <t>824ea236-1e42-11e4-b4cd-db5882bf8def</t>
  </si>
  <si>
    <t>Bell</t>
  </si>
  <si>
    <t>1851-03-31</t>
  </si>
  <si>
    <t>31mar1851</t>
  </si>
  <si>
    <t>96骞?16</t>
  </si>
  <si>
    <t>NEW-1925-2</t>
  </si>
  <si>
    <t>824ea237-1e42-11e4-b4cd-db5882bf8def</t>
  </si>
  <si>
    <t>Coates</t>
  </si>
  <si>
    <t>1878-02-03</t>
  </si>
  <si>
    <t>03feb1878</t>
  </si>
  <si>
    <t>https://urldefense.proofpoint.com/v2/url?u=http-3A__dbpedia.org_resource_Gordon-5FCoates&amp;d=BQID-g&amp;c=kbmfwr1Yojg42sGEpaQh5ofMHBeTl9EI2eaqQZhHbOU&amp;r=ZliGVSRwfirWoETOrKCh2RSnoygzVPWEk95Me9L-Kwo&amp;m=EaKyFx9mpkhPdFxsxzvW_fiM3jbYwM3xYLjVbSFoDAg&amp;s=t8NueFX7dFu1ojMyQCVJLgOejbQYzrEJ1-DPk-qelwo&amp;e=</t>
  </si>
  <si>
    <t>96骞?1287</t>
  </si>
  <si>
    <t>NEW-1928</t>
  </si>
  <si>
    <t>96骞?521</t>
  </si>
  <si>
    <t>NEW-1930</t>
  </si>
  <si>
    <t>824ed306-1e42-11e4-b4cd-db5882bf8def</t>
  </si>
  <si>
    <t>Forbes</t>
  </si>
  <si>
    <t>1869-03-12</t>
  </si>
  <si>
    <t>12mar1869</t>
  </si>
  <si>
    <t>https://urldefense.proofpoint.com/v2/url?u=http-3A__dbpedia.org_resource_George-5FWilliam-5FForbes&amp;d=BQID-g&amp;c=kbmfwr1Yojg42sGEpaQh5ofMHBeTl9EI2eaqQZhHbOU&amp;r=ZliGVSRwfirWoETOrKCh2RSnoygzVPWEk95Me9L-Kwo&amp;m=EaKyFx9mpkhPdFxsxzvW_fiM3jbYwM3xYLjVbSFoDAg&amp;s=CKhwC7gjgqjwwGqjIfWpj0esuRsjL6u3YjTxb0F1Pu0&amp;e=</t>
  </si>
  <si>
    <t>96骞?2009</t>
  </si>
  <si>
    <t>NEW-1935</t>
  </si>
  <si>
    <t>824ed307-1e42-11e4-b4cd-db5882bf8def</t>
  </si>
  <si>
    <t>Savage</t>
  </si>
  <si>
    <t>1872-03-07</t>
  </si>
  <si>
    <t>07mar1872</t>
  </si>
  <si>
    <t>https://urldefense.proofpoint.com/v2/url?u=http-3A__dbpedia.org_resource_Michael-5FJoseph-5FSavage&amp;d=BQID-g&amp;c=kbmfwr1Yojg42sGEpaQh5ofMHBeTl9EI2eaqQZhHbOU&amp;r=ZliGVSRwfirWoETOrKCh2RSnoygzVPWEk95Me9L-Kwo&amp;m=EaKyFx9mpkhPdFxsxzvW_fiM3jbYwM3xYLjVbSFoDAg&amp;s=XrUx1RbEvtQH3287207yhrrDVWVDNxlZ9U3lf3GPc3w&amp;e=</t>
  </si>
  <si>
    <t>96骞?1581</t>
  </si>
  <si>
    <t>NEW-1940</t>
  </si>
  <si>
    <t>824f03da-1e42-11e4-b4cd-db5882bf8def</t>
  </si>
  <si>
    <t>1884-08-28</t>
  </si>
  <si>
    <t>28aug1884</t>
  </si>
  <si>
    <t>https://urldefense.proofpoint.com/v2/url?u=http-3A__dbpedia.org_resource_Peter-5FFraser&amp;d=BQID-g&amp;c=kbmfwr1Yojg42sGEpaQh5ofMHBeTl9EI2eaqQZhHbOU&amp;r=ZliGVSRwfirWoETOrKCh2RSnoygzVPWEk95Me9L-Kwo&amp;m=EaKyFx9mpkhPdFxsxzvW_fiM3jbYwM3xYLjVbSFoDAg&amp;s=Qfa6hFosQaHt-Z8il7ncOR_TaCPqLuEgrIrjUjR_pfA&amp;e=</t>
  </si>
  <si>
    <t>96骞?3542</t>
  </si>
  <si>
    <t>NEW-1949</t>
  </si>
  <si>
    <t>824f03db-1e42-11e4-b4cd-db5882bf8def</t>
  </si>
  <si>
    <t>Holland</t>
  </si>
  <si>
    <t>1893-10-18</t>
  </si>
  <si>
    <t>18oct1893</t>
  </si>
  <si>
    <t>https://urldefense.proofpoint.com/v2/url?u=http-3A__dbpedia.org_resource_Sidney-5FHolland&amp;d=BQID-g&amp;c=kbmfwr1Yojg42sGEpaQh5ofMHBeTl9EI2eaqQZhHbOU&amp;r=ZliGVSRwfirWoETOrKCh2RSnoygzVPWEk95Me9L-Kwo&amp;m=EaKyFx9mpkhPdFxsxzvW_fiM3jbYwM3xYLjVbSFoDAg&amp;s=As8cIrhAcpbwKGIrMH_OjWouRMgdWqhIdoUW1ASpvoc&amp;e=</t>
  </si>
  <si>
    <t>96骞?2838</t>
  </si>
  <si>
    <t>NEW-1957-1</t>
  </si>
  <si>
    <t>824f03dc-1e42-11e4-b4cd-db5882bf8def</t>
  </si>
  <si>
    <t>Holyoake</t>
  </si>
  <si>
    <t>https://urldefense.proofpoint.com/v2/url?u=http-3A__dbpedia.org_resource_Keith-5FHolyoake&amp;d=BQID-g&amp;c=kbmfwr1Yojg42sGEpaQh5ofMHBeTl9EI2eaqQZhHbOU&amp;r=ZliGVSRwfirWoETOrKCh2RSnoygzVPWEk95Me9L-Kwo&amp;m=EaKyFx9mpkhPdFxsxzvW_fiM3jbYwM3xYLjVbSFoDAg&amp;s=hq9f5nznRREu-FNwM7cS1_IIq5Xx1LmU9u3IxWIZFjk&amp;e=</t>
  </si>
  <si>
    <t>96骞?83</t>
  </si>
  <si>
    <t>NEW-1957-2</t>
  </si>
  <si>
    <t>824f03dd-1e42-11e4-b4cd-db5882bf8def</t>
  </si>
  <si>
    <t>Nash</t>
  </si>
  <si>
    <t>1882-02-12</t>
  </si>
  <si>
    <t>12feb1882</t>
  </si>
  <si>
    <t>https://urldefense.proofpoint.com/v2/url?u=http-3A__dbpedia.org_resource_Walter-5FNash&amp;d=BQID-g&amp;c=kbmfwr1Yojg42sGEpaQh5ofMHBeTl9EI2eaqQZhHbOU&amp;r=ZliGVSRwfirWoETOrKCh2RSnoygzVPWEk95Me9L-Kwo&amp;m=EaKyFx9mpkhPdFxsxzvW_fiM3jbYwM3xYLjVbSFoDAg&amp;s=zNzlxRqie2gC7EgcUn-f-5HltBUCjtY6Etq2kwAVDL4&amp;e=</t>
  </si>
  <si>
    <t>96骞?1096</t>
  </si>
  <si>
    <t>NEW-1960</t>
  </si>
  <si>
    <t>96骞?4074</t>
  </si>
  <si>
    <t>NEW-1972-1</t>
  </si>
  <si>
    <t>824f03de-1e42-11e4-b4cd-db5882bf8def</t>
  </si>
  <si>
    <t>Marshall</t>
  </si>
  <si>
    <t>https://urldefense.proofpoint.com/v2/url?u=http-3A__dbpedia.org_resource_Jack-5FMarshall&amp;d=BQID-g&amp;c=kbmfwr1Yojg42sGEpaQh5ofMHBeTl9EI2eaqQZhHbOU&amp;r=ZliGVSRwfirWoETOrKCh2RSnoygzVPWEk95Me9L-Kwo&amp;m=EaKyFx9mpkhPdFxsxzvW_fiM3jbYwM3xYLjVbSFoDAg&amp;s=7k4-Xo8BaVfCxo1E3d3rdA23i6xC-h35ksHuPvXj34s&amp;e=</t>
  </si>
  <si>
    <t>96骞?305</t>
  </si>
  <si>
    <t>NEW-1972-2</t>
  </si>
  <si>
    <t>824f03df-1e42-11e4-b4cd-db5882bf8def</t>
  </si>
  <si>
    <t>Kirk</t>
  </si>
  <si>
    <t>https://urldefense.proofpoint.com/v2/url?u=http-3A__dbpedia.org_resource_Norman-5FKirk&amp;d=BQID-g&amp;c=kbmfwr1Yojg42sGEpaQh5ofMHBeTl9EI2eaqQZhHbOU&amp;r=ZliGVSRwfirWoETOrKCh2RSnoygzVPWEk95Me9L-Kwo&amp;m=EaKyFx9mpkhPdFxsxzvW_fiM3jbYwM3xYLjVbSFoDAg&amp;s=u1cc53k3vPoaLq2MlhwoDiiVzJ4YV2TZ_NztneinPPE&amp;e=</t>
  </si>
  <si>
    <t>96骞?631</t>
  </si>
  <si>
    <t>NEW-1974</t>
  </si>
  <si>
    <t>824f34ae-1e42-11e4-b4cd-db5882bf8def</t>
  </si>
  <si>
    <t>Rowling</t>
  </si>
  <si>
    <t>https://urldefense.proofpoint.com/v2/url?u=http-3A__dbpedia.org_resource_Bill-5FRowling&amp;d=BQID-g&amp;c=kbmfwr1Yojg42sGEpaQh5ofMHBeTl9EI2eaqQZhHbOU&amp;r=ZliGVSRwfirWoETOrKCh2RSnoygzVPWEk95Me9L-Kwo&amp;m=EaKyFx9mpkhPdFxsxzvW_fiM3jbYwM3xYLjVbSFoDAg&amp;s=52zBwcGD12nQsBKixOeIVuwnR4BXiW_gm43Cl7KU4hs&amp;e=</t>
  </si>
  <si>
    <t>96骞?462</t>
  </si>
  <si>
    <t>NEW-1975</t>
  </si>
  <si>
    <t>824f34af-1e42-11e4-b4cd-db5882bf8def</t>
  </si>
  <si>
    <t>Muldoon</t>
  </si>
  <si>
    <t>https://urldefense.proofpoint.com/v2/url?u=http-3A__dbpedia.org_resource_Robert-5FMuldoon&amp;d=BQID-g&amp;c=kbmfwr1Yojg42sGEpaQh5ofMHBeTl9EI2eaqQZhHbOU&amp;r=ZliGVSRwfirWoETOrKCh2RSnoygzVPWEk95Me9L-Kwo&amp;m=EaKyFx9mpkhPdFxsxzvW_fiM3jbYwM3xYLjVbSFoDAg&amp;s=n92JNLpnKq-c0ojbFPZOi2xR8HgnP0V7e9CbWdJOfn0&amp;e=</t>
  </si>
  <si>
    <t>96骞?3149</t>
  </si>
  <si>
    <t>NEW-1984</t>
  </si>
  <si>
    <t>824f34b0-1e42-11e4-b4cd-db5882bf8def</t>
  </si>
  <si>
    <t>Lange</t>
  </si>
  <si>
    <t>https://urldefense.proofpoint.com/v2/url?u=http-3A__dbpedia.org_resource_David-5FLange&amp;d=BQID-g&amp;c=kbmfwr1Yojg42sGEpaQh5ofMHBeTl9EI2eaqQZhHbOU&amp;r=ZliGVSRwfirWoETOrKCh2RSnoygzVPWEk95Me9L-Kwo&amp;m=EaKyFx9mpkhPdFxsxzvW_fiM3jbYwM3xYLjVbSFoDAg&amp;s=VWb5Z5XJ64AmgPA30IjRQJi22gnOKGF2Rgvu4cZJnFA&amp;e=</t>
  </si>
  <si>
    <t>96骞?1839</t>
  </si>
  <si>
    <t>NEW-1989</t>
  </si>
  <si>
    <t>824f34b1-1e42-11e4-b4cd-db5882bf8def</t>
  </si>
  <si>
    <t>96骞?392</t>
  </si>
  <si>
    <t>NEW-1990-1</t>
  </si>
  <si>
    <t>824f34b2-1e42-11e4-b4cd-db5882bf8def</t>
  </si>
  <si>
    <t>Moore</t>
  </si>
  <si>
    <t>https://urldefense.proofpoint.com/v2/url?u=http-3A__dbpedia.org_resource_Mike-5FMoore&amp;d=BQID-g&amp;c=kbmfwr1Yojg42sGEpaQh5ofMHBeTl9EI2eaqQZhHbOU&amp;r=ZliGVSRwfirWoETOrKCh2RSnoygzVPWEk95Me9L-Kwo&amp;m=EaKyFx9mpkhPdFxsxzvW_fiM3jbYwM3xYLjVbSFoDAg&amp;s=hgefYIpJ3C5t26ckGB6XpMsLKrFhEYBxCBC1Ir949JA&amp;e=</t>
  </si>
  <si>
    <t>96骞?53</t>
  </si>
  <si>
    <t>NEW-1990-2</t>
  </si>
  <si>
    <t>824f6582-1e42-11e4-b4cd-db5882bf8def</t>
  </si>
  <si>
    <t>Bolger</t>
  </si>
  <si>
    <t>https://urldefense.proofpoint.com/v2/url?u=http-3A__dbpedia.org_resource_Jim-5FBolger&amp;d=BQID-g&amp;c=kbmfwr1Yojg42sGEpaQh5ofMHBeTl9EI2eaqQZhHbOU&amp;r=ZliGVSRwfirWoETOrKCh2RSnoygzVPWEk95Me9L-Kwo&amp;m=EaKyFx9mpkhPdFxsxzvW_fiM3jbYwM3xYLjVbSFoDAg&amp;s=vxJ1vH1puREGdqlrosrOqKcwMBFVWx2vJEQO0nByG58&amp;e=</t>
  </si>
  <si>
    <t>96骞?2599</t>
  </si>
  <si>
    <t>NEW-1997</t>
  </si>
  <si>
    <t>824f6583-1e42-11e4-b4cd-db5882bf8def</t>
  </si>
  <si>
    <t>Jenny Shipley</t>
  </si>
  <si>
    <t>96骞?732</t>
  </si>
  <si>
    <t>NEW-1999</t>
  </si>
  <si>
    <t>824f6584-1e42-11e4-b4cd-db5882bf8def</t>
  </si>
  <si>
    <t>Helen Clark</t>
  </si>
  <si>
    <t>https://urldefense.proofpoint.com/v2/url?u=http-3A__dbpedia.org_resource_Helen-5FClark&amp;d=BQID-g&amp;c=kbmfwr1Yojg42sGEpaQh5ofMHBeTl9EI2eaqQZhHbOU&amp;r=ZliGVSRwfirWoETOrKCh2RSnoygzVPWEk95Me9L-Kwo&amp;m=EaKyFx9mpkhPdFxsxzvW_fiM3jbYwM3xYLjVbSFoDAg&amp;s=XeqexJRgc4ROfXx7G6NPZ-8qmY3uyPa4AhEHZ723sek&amp;e=</t>
  </si>
  <si>
    <t>96骞?3267</t>
  </si>
  <si>
    <t>NEW-2008</t>
  </si>
  <si>
    <t>8255e1ce-1e42-11e4-b4cd-db5882bf8def</t>
  </si>
  <si>
    <t>John Key</t>
  </si>
  <si>
    <t>96骞?2598</t>
  </si>
  <si>
    <t>SOL-1978</t>
  </si>
  <si>
    <t>824f6585-1e42-11e4-b4cd-db5882bf8def</t>
  </si>
  <si>
    <t>SOL</t>
  </si>
  <si>
    <t>Kenilorea</t>
  </si>
  <si>
    <t>SOL-1981</t>
  </si>
  <si>
    <t>824f6586-1e42-11e4-b4cd-db5882bf8def</t>
  </si>
  <si>
    <t>Mamaloni</t>
  </si>
  <si>
    <t>SOL-1984</t>
  </si>
  <si>
    <t>SOL-1986</t>
  </si>
  <si>
    <t>824f6587-1e42-11e4-b4cd-db5882bf8def</t>
  </si>
  <si>
    <t>Alebua</t>
  </si>
  <si>
    <t>SOL-1989</t>
  </si>
  <si>
    <t>SOL-1993</t>
  </si>
  <si>
    <t>824f9656-1e42-11e4-b4cd-db5882bf8def</t>
  </si>
  <si>
    <t>Hilly</t>
  </si>
  <si>
    <t>SOL-1994</t>
  </si>
  <si>
    <t>SOL-1997</t>
  </si>
  <si>
    <t>824f9657-1e42-11e4-b4cd-db5882bf8def</t>
  </si>
  <si>
    <t>Ulufa'alu</t>
  </si>
  <si>
    <t>https://urldefense.proofpoint.com/v2/url?u=http-3A__dbpedia.org_resource_Bartholomew-5FUlufa-2527alu&amp;d=BQID-g&amp;c=kbmfwr1Yojg42sGEpaQh5ofMHBeTl9EI2eaqQZhHbOU&amp;r=ZliGVSRwfirWoETOrKCh2RSnoygzVPWEk95Me9L-Kwo&amp;m=EaKyFx9mpkhPdFxsxzvW_fiM3jbYwM3xYLjVbSFoDAg&amp;s=-Z8o7glIS9_6lHSdS_uoot4ZD-CWj7It7xsSdQ8qOVA&amp;e=</t>
  </si>
  <si>
    <t>SOL-2000</t>
  </si>
  <si>
    <t>824f9658-1e42-11e4-b4cd-db5882bf8def</t>
  </si>
  <si>
    <t>Sogavare</t>
  </si>
  <si>
    <t>SOL-2001</t>
  </si>
  <si>
    <t>824f9659-1e42-11e4-b4cd-db5882bf8def</t>
  </si>
  <si>
    <t>Kemakeza</t>
  </si>
  <si>
    <t>SOL-2006-1</t>
  </si>
  <si>
    <t>825612a6-1e42-11e4-b4cd-db5882bf8def</t>
  </si>
  <si>
    <t>Rini</t>
  </si>
  <si>
    <t>SOL-2006-2</t>
  </si>
  <si>
    <t>SOL-2007</t>
  </si>
  <si>
    <t>825612a8-1e42-11e4-b4cd-db5882bf8def</t>
  </si>
  <si>
    <t>Sikua</t>
  </si>
  <si>
    <t>SOL-2010</t>
  </si>
  <si>
    <t>825612a9-1e42-11e4-b4cd-db5882bf8def</t>
  </si>
  <si>
    <t>Danny Philip</t>
  </si>
  <si>
    <t>SOL-2011</t>
  </si>
  <si>
    <t>825612aa-1e42-11e4-b4cd-db5882bf8def</t>
  </si>
  <si>
    <t>Darcy Lilo</t>
  </si>
  <si>
    <t>SOL-2014</t>
  </si>
  <si>
    <t>FJI-1970</t>
  </si>
  <si>
    <t>824f965a-1e42-11e4-b4cd-db5882bf8def</t>
  </si>
  <si>
    <t>FJI</t>
  </si>
  <si>
    <t>Mara</t>
  </si>
  <si>
    <t>https://urldefense.proofpoint.com/v2/url?u=http-3A__dbpedia.org_resource_Kamisese-5FMara&amp;d=BQID-g&amp;c=kbmfwr1Yojg42sGEpaQh5ofMHBeTl9EI2eaqQZhHbOU&amp;r=ZliGVSRwfirWoETOrKCh2RSnoygzVPWEk95Me9L-Kwo&amp;m=EaKyFx9mpkhPdFxsxzvW_fiM3jbYwM3xYLjVbSFoDAg&amp;s=50GUxT_lP_ekox8_bVmLWzF5cT0gU66LVvevAijJFRo&amp;e=</t>
  </si>
  <si>
    <t>FJI-1987-1</t>
  </si>
  <si>
    <t>824f965b-1e42-11e4-b4cd-db5882bf8def</t>
  </si>
  <si>
    <t>Bavadra</t>
  </si>
  <si>
    <t>FJI-1987-2</t>
  </si>
  <si>
    <t>824fc72a-1e42-11e4-b4cd-db5882bf8def</t>
  </si>
  <si>
    <t>Rabuka</t>
  </si>
  <si>
    <t>https://urldefense.proofpoint.com/v2/url?u=http-3A__dbpedia.org_resource_Sitiveni-5FRabuka&amp;d=BQID-g&amp;c=kbmfwr1Yojg42sGEpaQh5ofMHBeTl9EI2eaqQZhHbOU&amp;r=ZliGVSRwfirWoETOrKCh2RSnoygzVPWEk95Me9L-Kwo&amp;m=EaKyFx9mpkhPdFxsxzvW_fiM3jbYwM3xYLjVbSFoDAg&amp;s=uq2qZn-VbYEAbdDf_30Glouj2Xm-6G67JFuqJHbe5_A&amp;e=</t>
  </si>
  <si>
    <t>FJI-1987-3</t>
  </si>
  <si>
    <t>FJI-1992</t>
  </si>
  <si>
    <t>FJI-1999</t>
  </si>
  <si>
    <t>824fc72b-1e42-11e4-b4cd-db5882bf8def</t>
  </si>
  <si>
    <t>Chaudhry</t>
  </si>
  <si>
    <t>FJI-2000-1</t>
  </si>
  <si>
    <t>824fc72c-1e42-11e4-b4cd-db5882bf8def</t>
  </si>
  <si>
    <t>Ratu Josefa Iloilo</t>
  </si>
  <si>
    <t>FJI-2000-2</t>
  </si>
  <si>
    <t>3671d6d8-3bbd-11e5-afeb-eb6f07f9fec7</t>
  </si>
  <si>
    <t>Bainimarama</t>
  </si>
  <si>
    <t>https://urldefense.proofpoint.com/v2/url?u=http-3A__dbpedia.org_resource_Frank-5FBainimarama&amp;d=BQID-g&amp;c=kbmfwr1Yojg42sGEpaQh5ofMHBeTl9EI2eaqQZhHbOU&amp;r=ZliGVSRwfirWoETOrKCh2RSnoygzVPWEk95Me9L-Kwo&amp;m=EaKyFx9mpkhPdFxsxzvW_fiM3jbYwM3xYLjVbSFoDAg&amp;s=4WBgTT1oLLEkmN1hni_5PTUQG4giWXzRd951xC1epxQ&amp;e=</t>
  </si>
  <si>
    <t>FJI-2000-3</t>
  </si>
  <si>
    <t>824fc72e-1e42-11e4-b4cd-db5882bf8def</t>
  </si>
  <si>
    <t>Laisenia Qarase</t>
  </si>
  <si>
    <t>FJI-2006</t>
  </si>
  <si>
    <t>825612ab-1e42-11e4-b4cd-db5882bf8def</t>
  </si>
  <si>
    <t>Senilagakali</t>
  </si>
  <si>
    <t>FJI-2007</t>
  </si>
  <si>
    <t>startdate_new</t>
    <phoneticPr fontId="18" type="noConversion"/>
  </si>
  <si>
    <t>enddate_new</t>
    <phoneticPr fontId="18" type="noConversion"/>
  </si>
  <si>
    <t>Country</t>
  </si>
  <si>
    <t>Continent</t>
  </si>
  <si>
    <t>United States of America</t>
  </si>
  <si>
    <t>North America</t>
  </si>
  <si>
    <t>Canada</t>
  </si>
  <si>
    <t>The Bahamas</t>
  </si>
  <si>
    <t>Cuba</t>
  </si>
  <si>
    <t>Haiti</t>
  </si>
  <si>
    <t>Dominican Republic</t>
  </si>
  <si>
    <t>Jamaica</t>
  </si>
  <si>
    <t>Trinidad and Tobago</t>
  </si>
  <si>
    <t>Barbados</t>
  </si>
  <si>
    <t>Mexico</t>
  </si>
  <si>
    <t>Belize</t>
  </si>
  <si>
    <t>Guatemala</t>
  </si>
  <si>
    <t>Honduras</t>
  </si>
  <si>
    <t>El Salvador</t>
  </si>
  <si>
    <t>Nicaragua</t>
  </si>
  <si>
    <t>Costa Rica</t>
  </si>
  <si>
    <t>Panama</t>
  </si>
  <si>
    <t>Colombia</t>
  </si>
  <si>
    <t>South America</t>
  </si>
  <si>
    <t>Venezuela</t>
  </si>
  <si>
    <t>Guyana</t>
  </si>
  <si>
    <t>Suriname</t>
  </si>
  <si>
    <t>Ecuador</t>
  </si>
  <si>
    <t>Peru</t>
  </si>
  <si>
    <t>Brazil</t>
  </si>
  <si>
    <t>Bolivia</t>
  </si>
  <si>
    <t>Paraguay</t>
  </si>
  <si>
    <t>Chile</t>
  </si>
  <si>
    <t>Argentina</t>
  </si>
  <si>
    <t>Uruguay</t>
  </si>
  <si>
    <t>United Kingdom</t>
  </si>
  <si>
    <t>Europe</t>
  </si>
  <si>
    <t>Ireland</t>
  </si>
  <si>
    <t>Netherlands</t>
  </si>
  <si>
    <t>Belgium</t>
  </si>
  <si>
    <t>Luxembourg</t>
  </si>
  <si>
    <t>France</t>
  </si>
  <si>
    <t>Switzerland</t>
  </si>
  <si>
    <t>Spain</t>
  </si>
  <si>
    <t>Portugal</t>
  </si>
  <si>
    <t>Bavaria (Germany)</t>
  </si>
  <si>
    <t>Germany</t>
  </si>
  <si>
    <t>German Federal Republic</t>
  </si>
  <si>
    <t>Germany (DDR)</t>
  </si>
  <si>
    <t>Poland</t>
  </si>
  <si>
    <t>Austria-Hungary</t>
  </si>
  <si>
    <t>Austria</t>
  </si>
  <si>
    <t>Hungary</t>
  </si>
  <si>
    <t>Czechoslovakia</t>
  </si>
  <si>
    <t>Czech Republic</t>
  </si>
  <si>
    <t>Slovakia</t>
  </si>
  <si>
    <t>Italy</t>
  </si>
  <si>
    <t>Malta</t>
  </si>
  <si>
    <t>Albania</t>
  </si>
  <si>
    <t>Serbia</t>
  </si>
  <si>
    <t>Montenegro</t>
  </si>
  <si>
    <t>Macedonia</t>
  </si>
  <si>
    <t>Croatia</t>
  </si>
  <si>
    <t>Yugoslavia</t>
  </si>
  <si>
    <t>Bosnia and Herzegovina</t>
  </si>
  <si>
    <t>Kosovo</t>
  </si>
  <si>
    <t>Slovenia</t>
  </si>
  <si>
    <t>Greece</t>
  </si>
  <si>
    <t>Cyprus</t>
  </si>
  <si>
    <t>Bulgaria</t>
  </si>
  <si>
    <t>Moldova</t>
  </si>
  <si>
    <t>Romania</t>
  </si>
  <si>
    <t>Russia</t>
  </si>
  <si>
    <t>Estonia</t>
  </si>
  <si>
    <t>Latvia</t>
  </si>
  <si>
    <t>Lithuania</t>
  </si>
  <si>
    <t>Ukraine</t>
  </si>
  <si>
    <t>Belarus</t>
  </si>
  <si>
    <t>Armenia</t>
  </si>
  <si>
    <t>Asia</t>
  </si>
  <si>
    <t>Georgia</t>
  </si>
  <si>
    <t>Azerbaijan</t>
  </si>
  <si>
    <t>Finland</t>
  </si>
  <si>
    <t>Sweden</t>
  </si>
  <si>
    <t>Norway</t>
  </si>
  <si>
    <t>Denmark</t>
  </si>
  <si>
    <t>Iceland</t>
  </si>
  <si>
    <t>Cape Verde Islands</t>
  </si>
  <si>
    <t>Africa</t>
  </si>
  <si>
    <t>Guinea-Bissau</t>
  </si>
  <si>
    <t>Equatorial Guinea</t>
  </si>
  <si>
    <t>Gambia</t>
  </si>
  <si>
    <t>Mali</t>
  </si>
  <si>
    <t>Senegal</t>
  </si>
  <si>
    <t>Benin</t>
  </si>
  <si>
    <t>Mauritania</t>
  </si>
  <si>
    <t>Niger</t>
  </si>
  <si>
    <t>Côte d'Ivoire</t>
  </si>
  <si>
    <t>Guinea</t>
  </si>
  <si>
    <t>Burkina Faso</t>
  </si>
  <si>
    <t>Liberia</t>
  </si>
  <si>
    <t>Sierra Leone</t>
  </si>
  <si>
    <t>Ghana</t>
  </si>
  <si>
    <t>Togo</t>
  </si>
  <si>
    <t>Cameroon</t>
  </si>
  <si>
    <t>Nigeria</t>
  </si>
  <si>
    <t>Gabon</t>
  </si>
  <si>
    <t>Central African Republic</t>
  </si>
  <si>
    <t>Chad</t>
  </si>
  <si>
    <t>Congo</t>
  </si>
  <si>
    <t>Democratic Republic of Congo</t>
  </si>
  <si>
    <t>Uganda</t>
  </si>
  <si>
    <t>Kenya</t>
  </si>
  <si>
    <t>Tanzania</t>
  </si>
  <si>
    <t>Zanzibar</t>
  </si>
  <si>
    <t>Burundi</t>
  </si>
  <si>
    <t>Rwanda</t>
  </si>
  <si>
    <t>Somalia</t>
  </si>
  <si>
    <t>Djibouti</t>
  </si>
  <si>
    <t>Ethiopia</t>
  </si>
  <si>
    <t>Angola</t>
  </si>
  <si>
    <t>Mozambique</t>
  </si>
  <si>
    <t>Zambia</t>
  </si>
  <si>
    <t>Zimbabwe</t>
  </si>
  <si>
    <t>Malawi</t>
  </si>
  <si>
    <t>South Africa</t>
  </si>
  <si>
    <t>Transvaal</t>
  </si>
  <si>
    <t>Orange Free State</t>
  </si>
  <si>
    <t>Namibia</t>
  </si>
  <si>
    <t>Lesotho</t>
  </si>
  <si>
    <t>Botswana</t>
  </si>
  <si>
    <t>Swaziland</t>
  </si>
  <si>
    <t>Madagascar</t>
  </si>
  <si>
    <t>Comoros</t>
  </si>
  <si>
    <t>Mauritius</t>
  </si>
  <si>
    <t>Morocco</t>
  </si>
  <si>
    <t>Algeria</t>
  </si>
  <si>
    <t>Tunisia</t>
  </si>
  <si>
    <t>Libya</t>
  </si>
  <si>
    <t>Sudan</t>
  </si>
  <si>
    <t>Iran</t>
  </si>
  <si>
    <t>Turkey</t>
  </si>
  <si>
    <t>Iraq</t>
  </si>
  <si>
    <t>Egypt</t>
  </si>
  <si>
    <t>Syria</t>
  </si>
  <si>
    <t>Lebanon</t>
  </si>
  <si>
    <t>Jordan</t>
  </si>
  <si>
    <t>Israel</t>
  </si>
  <si>
    <t>Saudi Arabia</t>
  </si>
  <si>
    <t>Yemen</t>
  </si>
  <si>
    <t>Kuwait</t>
  </si>
  <si>
    <t>Bahrain</t>
  </si>
  <si>
    <t>Qatar</t>
  </si>
  <si>
    <t>United Arab Emirates</t>
  </si>
  <si>
    <t>Oman</t>
  </si>
  <si>
    <t>Afghanistan</t>
  </si>
  <si>
    <t>Turkmenistan</t>
  </si>
  <si>
    <t>Tajikistan</t>
  </si>
  <si>
    <t>Kyrgyz Republic</t>
  </si>
  <si>
    <t>China</t>
  </si>
  <si>
    <t>Mongolia</t>
  </si>
  <si>
    <t>Korea</t>
  </si>
  <si>
    <t>North Korea</t>
  </si>
  <si>
    <t>South Korea</t>
  </si>
  <si>
    <t>Japan</t>
  </si>
  <si>
    <t>India</t>
  </si>
  <si>
    <t>Bhutan</t>
  </si>
  <si>
    <t>Pakistan</t>
  </si>
  <si>
    <t>Bangladesh</t>
  </si>
  <si>
    <t>Myanmar (Burma)</t>
  </si>
  <si>
    <t>Sri Lanka (Ceylon)</t>
  </si>
  <si>
    <t>Maldives</t>
  </si>
  <si>
    <t>Nepal</t>
  </si>
  <si>
    <t>Thailand</t>
  </si>
  <si>
    <t>Cambodia</t>
  </si>
  <si>
    <t>Laos</t>
  </si>
  <si>
    <t>Vietnam</t>
  </si>
  <si>
    <t>Democratic Republic of Vietnam</t>
  </si>
  <si>
    <t>Republic of Vietnam</t>
  </si>
  <si>
    <t>Malaysia</t>
  </si>
  <si>
    <t>Singapore</t>
  </si>
  <si>
    <t>Philippines</t>
  </si>
  <si>
    <t>Indonesia</t>
  </si>
  <si>
    <t>East Timor</t>
  </si>
  <si>
    <t>Australia</t>
  </si>
  <si>
    <t>Oceania</t>
  </si>
  <si>
    <t>Papua New Guinea</t>
  </si>
  <si>
    <t>New Zealand</t>
  </si>
  <si>
    <t>Solomon Islands</t>
  </si>
  <si>
    <t>Fiji</t>
  </si>
  <si>
    <t>1897-03-04</t>
    <phoneticPr fontId="18" type="noConversion"/>
  </si>
  <si>
    <t>1874-05-22</t>
    <phoneticPr fontId="18" type="noConversion"/>
  </si>
  <si>
    <t>continent</t>
    <phoneticPr fontId="18" type="noConversion"/>
  </si>
  <si>
    <t>country</t>
    <phoneticPr fontId="18" type="noConversion"/>
  </si>
  <si>
    <t>Code</t>
    <phoneticPr fontId="20" type="noConversion"/>
  </si>
  <si>
    <t>Europe</t>
    <phoneticPr fontId="20" type="noConversion"/>
  </si>
  <si>
    <t>Asia</t>
    <phoneticPr fontId="20" type="noConversion"/>
  </si>
  <si>
    <t>Africa</t>
    <phoneticPr fontId="20" type="noConversion"/>
  </si>
  <si>
    <t>Yemen (People's Republic)</t>
    <phoneticPr fontId="20" type="noConversion"/>
  </si>
  <si>
    <t>BRU</t>
    <phoneticPr fontId="18" type="noConversion"/>
  </si>
  <si>
    <t>BRUNEI</t>
  </si>
  <si>
    <t>Kaskelen</t>
  </si>
  <si>
    <t>Uzbekistan</t>
  </si>
  <si>
    <t>Salva Kiir Mayardit</t>
  </si>
  <si>
    <t>Eritrea</t>
  </si>
  <si>
    <t>Africa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</si>
</sst>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3" borderId="0" xfId="0" applyFill="1">
      <alignment vertical="center"/>
    </xf>
    <xf numFmtId="0" fontId="21" fillId="0" borderId="0" xfId="0" applyFont="1" applyFill="1" applyAlignment="1">
      <alignment horizontal="left" vertical="center" wrapText="1"/>
    </xf>
    <xf numFmtId="0" fontId="0" fillId="34" borderId="0" xfId="0" applyFill="1">
      <alignment vertical="center"/>
    </xf>
    <xf numFmtId="14" fontId="0" fillId="34" borderId="0" xfId="0" applyNumberFormat="1" applyFill="1" applyAlignment="1">
      <alignment horizontal="left" vertical="center"/>
    </xf>
    <xf numFmtId="14" fontId="0" fillId="34" borderId="0" xfId="0" applyNumberFormat="1" applyFill="1">
      <alignment vertical="center"/>
    </xf>
    <xf numFmtId="15" fontId="0" fillId="34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09"/>
  <sheetViews>
    <sheetView tabSelected="1" topLeftCell="AN3386" workbookViewId="0">
      <selection activeCell="AW3406" sqref="AW3406"/>
    </sheetView>
  </sheetViews>
  <sheetFormatPr defaultRowHeight="14" x14ac:dyDescent="0.3"/>
  <cols>
    <col min="7" max="7" width="15.1640625" customWidth="1"/>
    <col min="8" max="8" width="15.5" customWidth="1"/>
    <col min="9" max="9" width="13.83203125" customWidth="1"/>
    <col min="10" max="10" width="11.4140625" hidden="1" customWidth="1"/>
    <col min="11" max="11" width="16" customWidth="1"/>
    <col min="12" max="12" width="14" customWidth="1"/>
    <col min="46" max="46" width="19.1640625" customWidth="1"/>
    <col min="47" max="47" width="14.6640625" customWidth="1"/>
  </cols>
  <sheetData>
    <row r="1" spans="1:47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14311</v>
      </c>
      <c r="G1" s="7" t="s">
        <v>14310</v>
      </c>
      <c r="H1" s="7" t="s">
        <v>5</v>
      </c>
      <c r="I1" s="7" t="s">
        <v>6</v>
      </c>
      <c r="J1" s="7" t="s">
        <v>14118</v>
      </c>
      <c r="K1" s="7" t="s">
        <v>7</v>
      </c>
      <c r="L1" s="7" t="s">
        <v>14119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  <c r="AK1" s="7" t="s">
        <v>32</v>
      </c>
      <c r="AL1" s="7" t="s">
        <v>33</v>
      </c>
      <c r="AM1" s="7" t="s">
        <v>34</v>
      </c>
      <c r="AN1" s="7" t="s">
        <v>35</v>
      </c>
      <c r="AO1" s="7" t="s">
        <v>36</v>
      </c>
      <c r="AP1" s="7" t="s">
        <v>37</v>
      </c>
      <c r="AQ1" s="7" t="s">
        <v>38</v>
      </c>
      <c r="AR1" s="7" t="s">
        <v>39</v>
      </c>
      <c r="AS1" s="7" t="s">
        <v>40</v>
      </c>
      <c r="AT1" s="7" t="s">
        <v>41</v>
      </c>
      <c r="AU1" s="7" t="s">
        <v>42</v>
      </c>
    </row>
    <row r="2" spans="1:47" x14ac:dyDescent="0.3">
      <c r="A2">
        <v>0</v>
      </c>
      <c r="B2" t="s">
        <v>43</v>
      </c>
      <c r="C2" t="s">
        <v>44</v>
      </c>
      <c r="D2">
        <v>2</v>
      </c>
      <c r="E2" t="s">
        <v>45</v>
      </c>
      <c r="F2" t="str">
        <f>VLOOKUP(E2,country_continent!A:C,2,FALSE)</f>
        <v>United States of America</v>
      </c>
      <c r="G2" t="str">
        <f>VLOOKUP(E2,country_continent!A:C,3,FALSE)</f>
        <v>North America</v>
      </c>
      <c r="H2" t="s">
        <v>46</v>
      </c>
      <c r="I2" t="s">
        <v>47</v>
      </c>
      <c r="J2" s="3" t="str">
        <f>IF(ISNUMBER(SEARCH("-", I2)), SUBSTITUTE(I2, "-", "/"), I2)</f>
        <v>1869/03/04</v>
      </c>
      <c r="K2" t="s">
        <v>48</v>
      </c>
      <c r="L2" s="3" t="str">
        <f>IF(ISNUMBER(SEARCH("-", K2)), SUBSTITUTE(K2, "-", "/"), K2)</f>
        <v>1877/03/04</v>
      </c>
      <c r="M2" t="s">
        <v>49</v>
      </c>
      <c r="N2" t="s">
        <v>49</v>
      </c>
      <c r="O2" t="s">
        <v>49</v>
      </c>
      <c r="P2">
        <v>0</v>
      </c>
      <c r="Q2" t="s">
        <v>50</v>
      </c>
      <c r="R2" t="s">
        <v>51</v>
      </c>
      <c r="S2">
        <v>1822</v>
      </c>
      <c r="T2">
        <v>1885</v>
      </c>
      <c r="W2" t="s">
        <v>52</v>
      </c>
      <c r="X2" t="s">
        <v>53</v>
      </c>
      <c r="Y2" t="s">
        <v>54</v>
      </c>
      <c r="Z2">
        <v>0</v>
      </c>
      <c r="AA2">
        <v>1</v>
      </c>
      <c r="AB2">
        <v>0</v>
      </c>
      <c r="AC2">
        <v>0</v>
      </c>
      <c r="AF2">
        <v>1869</v>
      </c>
      <c r="AG2">
        <v>1877</v>
      </c>
      <c r="AO2" t="b">
        <v>0</v>
      </c>
      <c r="AT2">
        <v>2922</v>
      </c>
      <c r="AU2">
        <f>ROUND(AT2/365,3)</f>
        <v>8.0050000000000008</v>
      </c>
    </row>
    <row r="3" spans="1:47" x14ac:dyDescent="0.3">
      <c r="A3">
        <v>1</v>
      </c>
      <c r="B3" t="s">
        <v>55</v>
      </c>
      <c r="C3" t="s">
        <v>56</v>
      </c>
      <c r="D3">
        <v>2</v>
      </c>
      <c r="E3" t="s">
        <v>45</v>
      </c>
      <c r="F3" t="str">
        <f>VLOOKUP(E3,country_continent!A:C,2,FALSE)</f>
        <v>United States of America</v>
      </c>
      <c r="G3" t="str">
        <f>VLOOKUP(E3,country_continent!A:C,3,FALSE)</f>
        <v>North America</v>
      </c>
      <c r="H3" t="s">
        <v>57</v>
      </c>
      <c r="I3" t="s">
        <v>48</v>
      </c>
      <c r="J3" s="3" t="str">
        <f t="shared" ref="J3:J66" si="0">IF(ISNUMBER(SEARCH("-", I3)), SUBSTITUTE(I3, "-", "/"), I3)</f>
        <v>1877/03/04</v>
      </c>
      <c r="K3" t="s">
        <v>58</v>
      </c>
      <c r="L3" s="3" t="str">
        <f t="shared" ref="L3:L66" si="1">IF(ISNUMBER(SEARCH("-", K3)), SUBSTITUTE(K3, "-", "/"), K3)</f>
        <v>1881/03/04</v>
      </c>
      <c r="M3" t="s">
        <v>49</v>
      </c>
      <c r="N3" t="s">
        <v>49</v>
      </c>
      <c r="O3" t="s">
        <v>49</v>
      </c>
      <c r="P3">
        <v>0</v>
      </c>
      <c r="Q3" t="s">
        <v>50</v>
      </c>
      <c r="R3" t="s">
        <v>51</v>
      </c>
      <c r="S3">
        <v>1822</v>
      </c>
      <c r="T3">
        <v>1893</v>
      </c>
      <c r="W3" t="s">
        <v>59</v>
      </c>
      <c r="X3" t="s">
        <v>60</v>
      </c>
      <c r="Y3" t="s">
        <v>61</v>
      </c>
      <c r="Z3">
        <v>0</v>
      </c>
      <c r="AA3">
        <v>1</v>
      </c>
      <c r="AB3">
        <v>0</v>
      </c>
      <c r="AC3">
        <v>0</v>
      </c>
      <c r="AF3">
        <v>1877</v>
      </c>
      <c r="AG3">
        <v>1881</v>
      </c>
      <c r="AO3" t="b">
        <v>0</v>
      </c>
      <c r="AT3">
        <v>1461</v>
      </c>
      <c r="AU3">
        <f t="shared" ref="AU3:AU66" si="2">ROUND(AT3/365,3)</f>
        <v>4.0030000000000001</v>
      </c>
    </row>
    <row r="4" spans="1:47" x14ac:dyDescent="0.3">
      <c r="A4">
        <v>2</v>
      </c>
      <c r="B4" t="s">
        <v>62</v>
      </c>
      <c r="C4" t="s">
        <v>63</v>
      </c>
      <c r="D4">
        <v>2</v>
      </c>
      <c r="E4" t="s">
        <v>45</v>
      </c>
      <c r="F4" t="str">
        <f>VLOOKUP(E4,country_continent!A:C,2,FALSE)</f>
        <v>United States of America</v>
      </c>
      <c r="G4" t="str">
        <f>VLOOKUP(E4,country_continent!A:C,3,FALSE)</f>
        <v>North America</v>
      </c>
      <c r="H4" t="s">
        <v>64</v>
      </c>
      <c r="I4" t="s">
        <v>58</v>
      </c>
      <c r="J4" s="3" t="str">
        <f t="shared" si="0"/>
        <v>1881/03/04</v>
      </c>
      <c r="K4" t="s">
        <v>65</v>
      </c>
      <c r="L4" s="3" t="str">
        <f t="shared" si="1"/>
        <v>1881/09/19</v>
      </c>
      <c r="M4" t="s">
        <v>49</v>
      </c>
      <c r="N4" t="s">
        <v>67</v>
      </c>
      <c r="O4" t="s">
        <v>68</v>
      </c>
      <c r="P4">
        <v>0</v>
      </c>
      <c r="Q4" t="s">
        <v>69</v>
      </c>
      <c r="R4" t="s">
        <v>51</v>
      </c>
      <c r="S4">
        <v>1831</v>
      </c>
      <c r="T4">
        <v>1881</v>
      </c>
      <c r="W4" t="s">
        <v>65</v>
      </c>
      <c r="X4" t="s">
        <v>66</v>
      </c>
      <c r="Y4" t="s">
        <v>70</v>
      </c>
      <c r="Z4">
        <v>0</v>
      </c>
      <c r="AA4">
        <v>3</v>
      </c>
      <c r="AB4">
        <v>11</v>
      </c>
      <c r="AC4">
        <v>3</v>
      </c>
      <c r="AF4">
        <v>1881</v>
      </c>
      <c r="AG4">
        <v>1881</v>
      </c>
      <c r="AO4" t="b">
        <v>0</v>
      </c>
      <c r="AT4">
        <v>199</v>
      </c>
      <c r="AU4">
        <f t="shared" si="2"/>
        <v>0.54500000000000004</v>
      </c>
    </row>
    <row r="5" spans="1:47" x14ac:dyDescent="0.3">
      <c r="A5">
        <v>3</v>
      </c>
      <c r="B5" t="s">
        <v>71</v>
      </c>
      <c r="C5" t="s">
        <v>72</v>
      </c>
      <c r="D5">
        <v>2</v>
      </c>
      <c r="E5" t="s">
        <v>45</v>
      </c>
      <c r="F5" t="str">
        <f>VLOOKUP(E5,country_continent!A:C,2,FALSE)</f>
        <v>United States of America</v>
      </c>
      <c r="G5" t="str">
        <f>VLOOKUP(E5,country_continent!A:C,3,FALSE)</f>
        <v>North America</v>
      </c>
      <c r="H5" t="s">
        <v>73</v>
      </c>
      <c r="I5" t="s">
        <v>65</v>
      </c>
      <c r="J5" s="3" t="str">
        <f t="shared" si="0"/>
        <v>1881/09/19</v>
      </c>
      <c r="K5" t="s">
        <v>74</v>
      </c>
      <c r="L5" s="3" t="str">
        <f t="shared" si="1"/>
        <v>1885/03/04</v>
      </c>
      <c r="M5" t="s">
        <v>49</v>
      </c>
      <c r="N5" t="s">
        <v>49</v>
      </c>
      <c r="O5" t="s">
        <v>49</v>
      </c>
      <c r="P5">
        <v>0</v>
      </c>
      <c r="Q5" t="s">
        <v>50</v>
      </c>
      <c r="R5" t="s">
        <v>51</v>
      </c>
      <c r="S5">
        <v>1829</v>
      </c>
      <c r="T5">
        <v>1886</v>
      </c>
      <c r="W5" t="s">
        <v>75</v>
      </c>
      <c r="X5" t="s">
        <v>76</v>
      </c>
      <c r="Y5" t="s">
        <v>77</v>
      </c>
      <c r="Z5">
        <v>0</v>
      </c>
      <c r="AA5">
        <v>1</v>
      </c>
      <c r="AB5">
        <v>0</v>
      </c>
      <c r="AC5">
        <v>0</v>
      </c>
      <c r="AF5">
        <v>1881</v>
      </c>
      <c r="AG5">
        <v>1885</v>
      </c>
      <c r="AO5" t="b">
        <v>0</v>
      </c>
      <c r="AT5">
        <v>1262</v>
      </c>
      <c r="AU5">
        <f t="shared" si="2"/>
        <v>3.4580000000000002</v>
      </c>
    </row>
    <row r="6" spans="1:47" x14ac:dyDescent="0.3">
      <c r="A6">
        <v>4</v>
      </c>
      <c r="B6" t="s">
        <v>78</v>
      </c>
      <c r="C6" t="s">
        <v>79</v>
      </c>
      <c r="D6">
        <v>2</v>
      </c>
      <c r="E6" t="s">
        <v>45</v>
      </c>
      <c r="F6" t="str">
        <f>VLOOKUP(E6,country_continent!A:C,2,FALSE)</f>
        <v>United States of America</v>
      </c>
      <c r="G6" t="str">
        <f>VLOOKUP(E6,country_continent!A:C,3,FALSE)</f>
        <v>North America</v>
      </c>
      <c r="H6" t="s">
        <v>80</v>
      </c>
      <c r="I6" t="s">
        <v>74</v>
      </c>
      <c r="J6" s="3" t="str">
        <f t="shared" si="0"/>
        <v>1885/03/04</v>
      </c>
      <c r="K6" t="s">
        <v>81</v>
      </c>
      <c r="L6" s="3" t="str">
        <f t="shared" si="1"/>
        <v>1889/03/04</v>
      </c>
      <c r="M6" t="s">
        <v>49</v>
      </c>
      <c r="N6" t="s">
        <v>49</v>
      </c>
      <c r="O6" t="s">
        <v>49</v>
      </c>
      <c r="P6">
        <v>0</v>
      </c>
      <c r="Q6" t="s">
        <v>50</v>
      </c>
      <c r="R6" t="s">
        <v>51</v>
      </c>
      <c r="S6">
        <v>1837</v>
      </c>
      <c r="T6">
        <v>1908</v>
      </c>
      <c r="W6" s="1">
        <v>3098</v>
      </c>
      <c r="X6" s="2">
        <v>3098</v>
      </c>
      <c r="Y6" t="s">
        <v>82</v>
      </c>
      <c r="Z6">
        <v>0</v>
      </c>
      <c r="AA6">
        <v>1</v>
      </c>
      <c r="AB6">
        <v>0</v>
      </c>
      <c r="AC6">
        <v>0</v>
      </c>
      <c r="AF6">
        <v>1885</v>
      </c>
      <c r="AG6">
        <v>1889</v>
      </c>
      <c r="AO6" t="b">
        <v>0</v>
      </c>
      <c r="AT6">
        <v>1461</v>
      </c>
      <c r="AU6">
        <f t="shared" si="2"/>
        <v>4.0030000000000001</v>
      </c>
    </row>
    <row r="7" spans="1:47" x14ac:dyDescent="0.3">
      <c r="A7">
        <v>5</v>
      </c>
      <c r="B7" t="s">
        <v>83</v>
      </c>
      <c r="C7" t="s">
        <v>84</v>
      </c>
      <c r="D7">
        <v>2</v>
      </c>
      <c r="E7" t="s">
        <v>45</v>
      </c>
      <c r="F7" t="str">
        <f>VLOOKUP(E7,country_continent!A:C,2,FALSE)</f>
        <v>United States of America</v>
      </c>
      <c r="G7" t="str">
        <f>VLOOKUP(E7,country_continent!A:C,3,FALSE)</f>
        <v>North America</v>
      </c>
      <c r="H7" t="s">
        <v>85</v>
      </c>
      <c r="I7" t="s">
        <v>81</v>
      </c>
      <c r="J7" s="3" t="str">
        <f t="shared" si="0"/>
        <v>1889/03/04</v>
      </c>
      <c r="K7" t="s">
        <v>86</v>
      </c>
      <c r="L7" s="3" t="str">
        <f t="shared" si="1"/>
        <v>1893/03/04</v>
      </c>
      <c r="M7" t="s">
        <v>49</v>
      </c>
      <c r="N7" t="s">
        <v>49</v>
      </c>
      <c r="O7" t="s">
        <v>49</v>
      </c>
      <c r="P7">
        <v>0</v>
      </c>
      <c r="Q7" t="s">
        <v>50</v>
      </c>
      <c r="R7" t="s">
        <v>51</v>
      </c>
      <c r="S7">
        <v>1833</v>
      </c>
      <c r="T7">
        <v>1901</v>
      </c>
      <c r="W7" s="1">
        <v>438</v>
      </c>
      <c r="X7" s="2">
        <v>438</v>
      </c>
      <c r="Y7" t="s">
        <v>87</v>
      </c>
      <c r="Z7">
        <v>0</v>
      </c>
      <c r="AA7">
        <v>1</v>
      </c>
      <c r="AB7">
        <v>0</v>
      </c>
      <c r="AC7">
        <v>0</v>
      </c>
      <c r="AF7">
        <v>1889</v>
      </c>
      <c r="AG7">
        <v>1893</v>
      </c>
      <c r="AO7" t="b">
        <v>0</v>
      </c>
      <c r="AT7">
        <v>1461</v>
      </c>
      <c r="AU7">
        <f t="shared" si="2"/>
        <v>4.0030000000000001</v>
      </c>
    </row>
    <row r="8" spans="1:47" x14ac:dyDescent="0.3">
      <c r="A8">
        <v>6</v>
      </c>
      <c r="B8" t="s">
        <v>88</v>
      </c>
      <c r="C8" t="s">
        <v>79</v>
      </c>
      <c r="D8">
        <v>2</v>
      </c>
      <c r="E8" t="s">
        <v>45</v>
      </c>
      <c r="F8" t="str">
        <f>VLOOKUP(E8,country_continent!A:C,2,FALSE)</f>
        <v>United States of America</v>
      </c>
      <c r="G8" t="str">
        <f>VLOOKUP(E8,country_continent!A:C,3,FALSE)</f>
        <v>North America</v>
      </c>
      <c r="H8" t="s">
        <v>80</v>
      </c>
      <c r="I8" t="s">
        <v>86</v>
      </c>
      <c r="J8" s="3" t="str">
        <f t="shared" si="0"/>
        <v>1893/03/04</v>
      </c>
      <c r="K8" t="s">
        <v>14308</v>
      </c>
      <c r="L8" s="3" t="str">
        <f t="shared" si="1"/>
        <v>1897/03/04</v>
      </c>
      <c r="M8" t="s">
        <v>49</v>
      </c>
      <c r="N8" t="s">
        <v>49</v>
      </c>
      <c r="O8" t="s">
        <v>49</v>
      </c>
      <c r="P8">
        <v>1</v>
      </c>
      <c r="Q8" t="s">
        <v>50</v>
      </c>
      <c r="R8" t="s">
        <v>51</v>
      </c>
      <c r="S8">
        <v>1837</v>
      </c>
      <c r="T8">
        <v>1908</v>
      </c>
      <c r="W8" s="1">
        <v>3098</v>
      </c>
      <c r="X8" s="2">
        <v>3098</v>
      </c>
      <c r="Y8" t="s">
        <v>82</v>
      </c>
      <c r="Z8">
        <v>0</v>
      </c>
      <c r="AA8">
        <v>1</v>
      </c>
      <c r="AB8">
        <v>0</v>
      </c>
      <c r="AC8">
        <v>0</v>
      </c>
      <c r="AF8">
        <v>1893</v>
      </c>
      <c r="AG8">
        <v>1897</v>
      </c>
      <c r="AO8" t="b">
        <v>0</v>
      </c>
      <c r="AT8">
        <v>1461</v>
      </c>
      <c r="AU8">
        <f t="shared" si="2"/>
        <v>4.0030000000000001</v>
      </c>
    </row>
    <row r="9" spans="1:47" x14ac:dyDescent="0.3">
      <c r="A9">
        <v>7</v>
      </c>
      <c r="B9" t="s">
        <v>90</v>
      </c>
      <c r="C9" t="s">
        <v>91</v>
      </c>
      <c r="D9">
        <v>2</v>
      </c>
      <c r="E9" t="s">
        <v>45</v>
      </c>
      <c r="F9" t="str">
        <f>VLOOKUP(E9,country_continent!A:C,2,FALSE)</f>
        <v>United States of America</v>
      </c>
      <c r="G9" t="str">
        <f>VLOOKUP(E9,country_continent!A:C,3,FALSE)</f>
        <v>North America</v>
      </c>
      <c r="H9" t="s">
        <v>92</v>
      </c>
      <c r="I9" t="s">
        <v>89</v>
      </c>
      <c r="J9" s="3" t="str">
        <f t="shared" si="0"/>
        <v>1897/03/04</v>
      </c>
      <c r="K9" s="1">
        <v>623</v>
      </c>
      <c r="L9" s="3">
        <f t="shared" si="1"/>
        <v>623</v>
      </c>
      <c r="M9" t="s">
        <v>49</v>
      </c>
      <c r="N9" t="s">
        <v>67</v>
      </c>
      <c r="O9" t="s">
        <v>68</v>
      </c>
      <c r="P9">
        <v>0</v>
      </c>
      <c r="Q9" t="s">
        <v>69</v>
      </c>
      <c r="R9" t="s">
        <v>51</v>
      </c>
      <c r="S9">
        <v>1843</v>
      </c>
      <c r="T9">
        <v>1901</v>
      </c>
      <c r="W9" s="1">
        <v>623</v>
      </c>
      <c r="X9" s="2">
        <v>623</v>
      </c>
      <c r="Y9" t="s">
        <v>93</v>
      </c>
      <c r="Z9">
        <v>0</v>
      </c>
      <c r="AA9">
        <v>3</v>
      </c>
      <c r="AB9">
        <v>11</v>
      </c>
      <c r="AC9">
        <v>3</v>
      </c>
      <c r="AF9">
        <v>1897</v>
      </c>
      <c r="AG9">
        <v>1901</v>
      </c>
      <c r="AO9" t="b">
        <v>0</v>
      </c>
      <c r="AT9">
        <v>1654</v>
      </c>
      <c r="AU9">
        <f t="shared" si="2"/>
        <v>4.532</v>
      </c>
    </row>
    <row r="10" spans="1:47" x14ac:dyDescent="0.3">
      <c r="A10">
        <v>8</v>
      </c>
      <c r="B10" t="s">
        <v>94</v>
      </c>
      <c r="C10" t="s">
        <v>95</v>
      </c>
      <c r="D10">
        <v>2</v>
      </c>
      <c r="E10" t="s">
        <v>45</v>
      </c>
      <c r="F10" t="str">
        <f>VLOOKUP(E10,country_continent!A:C,2,FALSE)</f>
        <v>United States of America</v>
      </c>
      <c r="G10" t="str">
        <f>VLOOKUP(E10,country_continent!A:C,3,FALSE)</f>
        <v>North America</v>
      </c>
      <c r="H10" t="s">
        <v>96</v>
      </c>
      <c r="I10" s="1">
        <v>623</v>
      </c>
      <c r="J10" s="3">
        <f t="shared" si="0"/>
        <v>623</v>
      </c>
      <c r="K10" s="1">
        <v>3351</v>
      </c>
      <c r="L10" s="3">
        <f t="shared" si="1"/>
        <v>3351</v>
      </c>
      <c r="M10" t="s">
        <v>49</v>
      </c>
      <c r="N10" t="s">
        <v>49</v>
      </c>
      <c r="O10" t="s">
        <v>49</v>
      </c>
      <c r="P10">
        <v>0</v>
      </c>
      <c r="Q10" t="s">
        <v>50</v>
      </c>
      <c r="R10" t="s">
        <v>51</v>
      </c>
      <c r="S10">
        <v>1858</v>
      </c>
      <c r="T10">
        <v>1919</v>
      </c>
      <c r="Y10" t="s">
        <v>97</v>
      </c>
      <c r="Z10">
        <v>0</v>
      </c>
      <c r="AA10">
        <v>1</v>
      </c>
      <c r="AB10">
        <v>0</v>
      </c>
      <c r="AC10">
        <v>0</v>
      </c>
      <c r="AD10" t="s">
        <v>98</v>
      </c>
      <c r="AE10">
        <v>0</v>
      </c>
      <c r="AF10">
        <v>1901</v>
      </c>
      <c r="AG10">
        <v>1909</v>
      </c>
      <c r="AO10" t="b">
        <v>0</v>
      </c>
      <c r="AT10">
        <v>2728</v>
      </c>
      <c r="AU10">
        <f t="shared" si="2"/>
        <v>7.4740000000000002</v>
      </c>
    </row>
    <row r="11" spans="1:47" x14ac:dyDescent="0.3">
      <c r="A11">
        <v>9</v>
      </c>
      <c r="B11" t="s">
        <v>99</v>
      </c>
      <c r="C11" t="s">
        <v>100</v>
      </c>
      <c r="D11">
        <v>2</v>
      </c>
      <c r="E11" t="s">
        <v>45</v>
      </c>
      <c r="F11" t="str">
        <f>VLOOKUP(E11,country_continent!A:C,2,FALSE)</f>
        <v>United States of America</v>
      </c>
      <c r="G11" t="str">
        <f>VLOOKUP(E11,country_continent!A:C,3,FALSE)</f>
        <v>North America</v>
      </c>
      <c r="H11" t="s">
        <v>101</v>
      </c>
      <c r="I11" s="1">
        <v>3351</v>
      </c>
      <c r="J11" s="3">
        <f t="shared" si="0"/>
        <v>3351</v>
      </c>
      <c r="K11" s="1">
        <v>4812</v>
      </c>
      <c r="L11" s="3">
        <f t="shared" si="1"/>
        <v>4812</v>
      </c>
      <c r="M11" t="s">
        <v>49</v>
      </c>
      <c r="N11" t="s">
        <v>49</v>
      </c>
      <c r="O11" t="s">
        <v>49</v>
      </c>
      <c r="P11">
        <v>0</v>
      </c>
      <c r="Q11" t="s">
        <v>50</v>
      </c>
      <c r="R11" t="s">
        <v>51</v>
      </c>
      <c r="S11">
        <v>1857</v>
      </c>
      <c r="T11">
        <v>1930</v>
      </c>
      <c r="Y11" t="s">
        <v>102</v>
      </c>
      <c r="Z11">
        <v>0</v>
      </c>
      <c r="AA11">
        <v>1</v>
      </c>
      <c r="AB11">
        <v>0</v>
      </c>
      <c r="AC11">
        <v>0</v>
      </c>
      <c r="AF11">
        <v>1909</v>
      </c>
      <c r="AG11">
        <v>1913</v>
      </c>
      <c r="AO11" t="b">
        <v>0</v>
      </c>
      <c r="AT11">
        <v>1461</v>
      </c>
      <c r="AU11">
        <f t="shared" si="2"/>
        <v>4.0030000000000001</v>
      </c>
    </row>
    <row r="12" spans="1:47" x14ac:dyDescent="0.3">
      <c r="A12">
        <v>10</v>
      </c>
      <c r="B12" t="s">
        <v>103</v>
      </c>
      <c r="C12" t="s">
        <v>104</v>
      </c>
      <c r="D12">
        <v>2</v>
      </c>
      <c r="E12" t="s">
        <v>45</v>
      </c>
      <c r="F12" t="str">
        <f>VLOOKUP(E12,country_continent!A:C,2,FALSE)</f>
        <v>United States of America</v>
      </c>
      <c r="G12" t="str">
        <f>VLOOKUP(E12,country_continent!A:C,3,FALSE)</f>
        <v>North America</v>
      </c>
      <c r="H12" t="s">
        <v>105</v>
      </c>
      <c r="I12" s="1">
        <v>4812</v>
      </c>
      <c r="J12" s="3">
        <f t="shared" si="0"/>
        <v>4812</v>
      </c>
      <c r="K12" s="1">
        <v>7734</v>
      </c>
      <c r="L12" s="3">
        <f t="shared" si="1"/>
        <v>7734</v>
      </c>
      <c r="M12" t="s">
        <v>49</v>
      </c>
      <c r="N12" t="s">
        <v>49</v>
      </c>
      <c r="O12" t="s">
        <v>49</v>
      </c>
      <c r="P12">
        <v>0</v>
      </c>
      <c r="Q12" t="s">
        <v>50</v>
      </c>
      <c r="R12" t="s">
        <v>51</v>
      </c>
      <c r="S12">
        <v>1856</v>
      </c>
      <c r="T12">
        <v>1924</v>
      </c>
      <c r="Y12" t="s">
        <v>106</v>
      </c>
      <c r="Z12">
        <v>0</v>
      </c>
      <c r="AA12">
        <v>1</v>
      </c>
      <c r="AB12">
        <v>0</v>
      </c>
      <c r="AC12">
        <v>0</v>
      </c>
      <c r="AF12">
        <v>1913</v>
      </c>
      <c r="AG12">
        <v>1921</v>
      </c>
      <c r="AO12" t="b">
        <v>0</v>
      </c>
      <c r="AT12">
        <v>2922</v>
      </c>
      <c r="AU12">
        <f t="shared" si="2"/>
        <v>8.0050000000000008</v>
      </c>
    </row>
    <row r="13" spans="1:47" x14ac:dyDescent="0.3">
      <c r="A13">
        <v>11</v>
      </c>
      <c r="B13" t="s">
        <v>107</v>
      </c>
      <c r="C13" t="s">
        <v>108</v>
      </c>
      <c r="D13">
        <v>2</v>
      </c>
      <c r="E13" t="s">
        <v>45</v>
      </c>
      <c r="F13" t="str">
        <f>VLOOKUP(E13,country_continent!A:C,2,FALSE)</f>
        <v>United States of America</v>
      </c>
      <c r="G13" t="str">
        <f>VLOOKUP(E13,country_continent!A:C,3,FALSE)</f>
        <v>North America</v>
      </c>
      <c r="H13" t="s">
        <v>109</v>
      </c>
      <c r="I13" s="1">
        <v>7734</v>
      </c>
      <c r="J13" s="3">
        <f t="shared" si="0"/>
        <v>7734</v>
      </c>
      <c r="K13" s="1">
        <v>8616</v>
      </c>
      <c r="L13" s="3">
        <f t="shared" si="1"/>
        <v>8616</v>
      </c>
      <c r="M13" t="s">
        <v>49</v>
      </c>
      <c r="N13" t="s">
        <v>110</v>
      </c>
      <c r="O13" t="s">
        <v>49</v>
      </c>
      <c r="P13">
        <v>0</v>
      </c>
      <c r="Q13" t="s">
        <v>111</v>
      </c>
      <c r="R13" t="s">
        <v>51</v>
      </c>
      <c r="S13">
        <v>1865</v>
      </c>
      <c r="T13">
        <v>1923</v>
      </c>
      <c r="Y13" t="s">
        <v>112</v>
      </c>
      <c r="Z13">
        <v>0</v>
      </c>
      <c r="AA13">
        <v>2</v>
      </c>
      <c r="AB13">
        <v>0</v>
      </c>
      <c r="AC13">
        <v>-777</v>
      </c>
      <c r="AF13">
        <v>1921</v>
      </c>
      <c r="AG13">
        <v>1923</v>
      </c>
      <c r="AO13" t="b">
        <v>0</v>
      </c>
      <c r="AT13">
        <v>882</v>
      </c>
      <c r="AU13">
        <f t="shared" si="2"/>
        <v>2.4159999999999999</v>
      </c>
    </row>
    <row r="14" spans="1:47" x14ac:dyDescent="0.3">
      <c r="A14">
        <v>12</v>
      </c>
      <c r="B14" t="s">
        <v>113</v>
      </c>
      <c r="C14" t="s">
        <v>114</v>
      </c>
      <c r="D14">
        <v>2</v>
      </c>
      <c r="E14" t="s">
        <v>45</v>
      </c>
      <c r="F14" t="str">
        <f>VLOOKUP(E14,country_continent!A:C,2,FALSE)</f>
        <v>United States of America</v>
      </c>
      <c r="G14" t="str">
        <f>VLOOKUP(E14,country_continent!A:C,3,FALSE)</f>
        <v>North America</v>
      </c>
      <c r="H14" t="s">
        <v>115</v>
      </c>
      <c r="I14" s="1">
        <v>8616</v>
      </c>
      <c r="J14" s="3">
        <f t="shared" si="0"/>
        <v>8616</v>
      </c>
      <c r="K14" s="1">
        <v>10656</v>
      </c>
      <c r="L14" s="3">
        <f t="shared" si="1"/>
        <v>10656</v>
      </c>
      <c r="M14" t="s">
        <v>49</v>
      </c>
      <c r="N14" t="s">
        <v>49</v>
      </c>
      <c r="O14" t="s">
        <v>49</v>
      </c>
      <c r="P14">
        <v>0</v>
      </c>
      <c r="Q14" t="s">
        <v>50</v>
      </c>
      <c r="R14" t="s">
        <v>51</v>
      </c>
      <c r="S14">
        <v>1872</v>
      </c>
      <c r="T14">
        <v>1933</v>
      </c>
      <c r="Y14" t="s">
        <v>116</v>
      </c>
      <c r="Z14">
        <v>0</v>
      </c>
      <c r="AA14">
        <v>1</v>
      </c>
      <c r="AB14">
        <v>0</v>
      </c>
      <c r="AC14">
        <v>0</v>
      </c>
      <c r="AF14">
        <v>1923</v>
      </c>
      <c r="AG14">
        <v>1929</v>
      </c>
      <c r="AO14" t="b">
        <v>0</v>
      </c>
      <c r="AT14">
        <v>2040</v>
      </c>
      <c r="AU14">
        <f t="shared" si="2"/>
        <v>5.5890000000000004</v>
      </c>
    </row>
    <row r="15" spans="1:47" x14ac:dyDescent="0.3">
      <c r="A15">
        <v>13</v>
      </c>
      <c r="B15" t="s">
        <v>117</v>
      </c>
      <c r="C15" t="s">
        <v>118</v>
      </c>
      <c r="D15">
        <v>2</v>
      </c>
      <c r="E15" t="s">
        <v>45</v>
      </c>
      <c r="F15" t="str">
        <f>VLOOKUP(E15,country_continent!A:C,2,FALSE)</f>
        <v>United States of America</v>
      </c>
      <c r="G15" t="str">
        <f>VLOOKUP(E15,country_continent!A:C,3,FALSE)</f>
        <v>North America</v>
      </c>
      <c r="H15" t="s">
        <v>119</v>
      </c>
      <c r="I15" s="1">
        <v>10656</v>
      </c>
      <c r="J15" s="3">
        <f t="shared" si="0"/>
        <v>10656</v>
      </c>
      <c r="K15" s="1">
        <v>12117</v>
      </c>
      <c r="L15" s="3">
        <f t="shared" si="1"/>
        <v>12117</v>
      </c>
      <c r="M15" t="s">
        <v>49</v>
      </c>
      <c r="N15" t="s">
        <v>49</v>
      </c>
      <c r="O15" t="s">
        <v>49</v>
      </c>
      <c r="P15">
        <v>0</v>
      </c>
      <c r="Q15" t="s">
        <v>50</v>
      </c>
      <c r="R15" t="s">
        <v>51</v>
      </c>
      <c r="S15">
        <v>1874</v>
      </c>
      <c r="T15">
        <v>1964</v>
      </c>
      <c r="Y15" t="s">
        <v>120</v>
      </c>
      <c r="Z15">
        <v>0</v>
      </c>
      <c r="AA15">
        <v>1</v>
      </c>
      <c r="AB15">
        <v>0</v>
      </c>
      <c r="AC15">
        <v>0</v>
      </c>
      <c r="AF15">
        <v>1929</v>
      </c>
      <c r="AG15">
        <v>1933</v>
      </c>
      <c r="AO15" t="b">
        <v>0</v>
      </c>
      <c r="AT15">
        <v>1461</v>
      </c>
      <c r="AU15">
        <f t="shared" si="2"/>
        <v>4.0030000000000001</v>
      </c>
    </row>
    <row r="16" spans="1:47" x14ac:dyDescent="0.3">
      <c r="A16">
        <v>14</v>
      </c>
      <c r="B16" t="s">
        <v>121</v>
      </c>
      <c r="C16" t="s">
        <v>122</v>
      </c>
      <c r="D16">
        <v>2</v>
      </c>
      <c r="E16" t="s">
        <v>45</v>
      </c>
      <c r="F16" t="str">
        <f>VLOOKUP(E16,country_continent!A:C,2,FALSE)</f>
        <v>United States of America</v>
      </c>
      <c r="G16" t="str">
        <f>VLOOKUP(E16,country_continent!A:C,3,FALSE)</f>
        <v>North America</v>
      </c>
      <c r="H16" t="s">
        <v>123</v>
      </c>
      <c r="I16" s="1">
        <v>12117</v>
      </c>
      <c r="J16" s="3">
        <f t="shared" si="0"/>
        <v>12117</v>
      </c>
      <c r="K16" s="1">
        <v>16539</v>
      </c>
      <c r="L16" s="3">
        <f t="shared" si="1"/>
        <v>16539</v>
      </c>
      <c r="M16" t="s">
        <v>49</v>
      </c>
      <c r="N16" t="s">
        <v>110</v>
      </c>
      <c r="O16" t="s">
        <v>49</v>
      </c>
      <c r="P16">
        <v>0</v>
      </c>
      <c r="Q16" t="s">
        <v>111</v>
      </c>
      <c r="R16" t="s">
        <v>51</v>
      </c>
      <c r="S16">
        <v>1882</v>
      </c>
      <c r="T16">
        <v>1945</v>
      </c>
      <c r="Y16" t="s">
        <v>124</v>
      </c>
      <c r="Z16">
        <v>0</v>
      </c>
      <c r="AA16">
        <v>2</v>
      </c>
      <c r="AB16">
        <v>0</v>
      </c>
      <c r="AC16">
        <v>-777</v>
      </c>
      <c r="AD16" t="s">
        <v>125</v>
      </c>
      <c r="AE16">
        <v>1</v>
      </c>
      <c r="AF16">
        <v>1933</v>
      </c>
      <c r="AG16">
        <v>1945</v>
      </c>
      <c r="AO16" t="b">
        <v>0</v>
      </c>
      <c r="AT16">
        <v>4422</v>
      </c>
      <c r="AU16">
        <f t="shared" si="2"/>
        <v>12.115</v>
      </c>
    </row>
    <row r="17" spans="1:47" x14ac:dyDescent="0.3">
      <c r="A17">
        <v>15</v>
      </c>
      <c r="B17" t="s">
        <v>126</v>
      </c>
      <c r="C17" t="s">
        <v>127</v>
      </c>
      <c r="D17">
        <v>2</v>
      </c>
      <c r="E17" t="s">
        <v>45</v>
      </c>
      <c r="F17" t="str">
        <f>VLOOKUP(E17,country_continent!A:C,2,FALSE)</f>
        <v>United States of America</v>
      </c>
      <c r="G17" t="str">
        <f>VLOOKUP(E17,country_continent!A:C,3,FALSE)</f>
        <v>North America</v>
      </c>
      <c r="H17" t="s">
        <v>128</v>
      </c>
      <c r="I17" s="1">
        <v>16539</v>
      </c>
      <c r="J17" s="3">
        <f t="shared" si="0"/>
        <v>16539</v>
      </c>
      <c r="K17" s="1">
        <v>19379</v>
      </c>
      <c r="L17" s="3">
        <f t="shared" si="1"/>
        <v>19379</v>
      </c>
      <c r="M17" t="s">
        <v>49</v>
      </c>
      <c r="N17" t="s">
        <v>49</v>
      </c>
      <c r="O17" t="s">
        <v>49</v>
      </c>
      <c r="P17">
        <v>0</v>
      </c>
      <c r="Q17" t="s">
        <v>50</v>
      </c>
      <c r="R17" t="s">
        <v>51</v>
      </c>
      <c r="S17">
        <v>1884</v>
      </c>
      <c r="T17">
        <v>1972</v>
      </c>
      <c r="Y17" t="s">
        <v>129</v>
      </c>
      <c r="Z17">
        <v>0</v>
      </c>
      <c r="AA17">
        <v>1</v>
      </c>
      <c r="AB17">
        <v>0</v>
      </c>
      <c r="AC17">
        <v>0</v>
      </c>
      <c r="AF17">
        <v>1945</v>
      </c>
      <c r="AG17">
        <v>1953</v>
      </c>
      <c r="AN17">
        <v>9</v>
      </c>
      <c r="AO17" t="b">
        <v>0</v>
      </c>
      <c r="AT17">
        <v>2840</v>
      </c>
      <c r="AU17">
        <f t="shared" si="2"/>
        <v>7.7809999999999997</v>
      </c>
    </row>
    <row r="18" spans="1:47" x14ac:dyDescent="0.3">
      <c r="A18">
        <v>16</v>
      </c>
      <c r="B18" t="s">
        <v>130</v>
      </c>
      <c r="C18" t="s">
        <v>131</v>
      </c>
      <c r="D18">
        <v>2</v>
      </c>
      <c r="E18" t="s">
        <v>45</v>
      </c>
      <c r="F18" t="str">
        <f>VLOOKUP(E18,country_continent!A:C,2,FALSE)</f>
        <v>United States of America</v>
      </c>
      <c r="G18" t="str">
        <f>VLOOKUP(E18,country_continent!A:C,3,FALSE)</f>
        <v>North America</v>
      </c>
      <c r="H18" t="s">
        <v>132</v>
      </c>
      <c r="I18" s="1">
        <v>19379</v>
      </c>
      <c r="J18" s="3">
        <f t="shared" si="0"/>
        <v>19379</v>
      </c>
      <c r="K18" s="1">
        <v>22301</v>
      </c>
      <c r="L18" s="3">
        <f t="shared" si="1"/>
        <v>22301</v>
      </c>
      <c r="M18" t="s">
        <v>49</v>
      </c>
      <c r="N18" t="s">
        <v>49</v>
      </c>
      <c r="O18" t="s">
        <v>49</v>
      </c>
      <c r="P18">
        <v>0</v>
      </c>
      <c r="Q18" t="s">
        <v>50</v>
      </c>
      <c r="R18" t="s">
        <v>51</v>
      </c>
      <c r="S18">
        <v>1890</v>
      </c>
      <c r="T18">
        <v>1969</v>
      </c>
      <c r="Y18" t="s">
        <v>133</v>
      </c>
      <c r="Z18">
        <v>0</v>
      </c>
      <c r="AA18">
        <v>1</v>
      </c>
      <c r="AB18">
        <v>0</v>
      </c>
      <c r="AC18">
        <v>0</v>
      </c>
      <c r="AF18">
        <v>1953</v>
      </c>
      <c r="AG18">
        <v>1961</v>
      </c>
      <c r="AH18">
        <v>0.87910226564736105</v>
      </c>
      <c r="AJ18">
        <v>1.1389666503510001</v>
      </c>
      <c r="AK18">
        <v>29.8</v>
      </c>
      <c r="AL18">
        <v>1.6577300373895301</v>
      </c>
      <c r="AN18">
        <v>9</v>
      </c>
      <c r="AO18" t="b">
        <v>0</v>
      </c>
      <c r="AT18">
        <v>2922</v>
      </c>
      <c r="AU18">
        <f t="shared" si="2"/>
        <v>8.0050000000000008</v>
      </c>
    </row>
    <row r="19" spans="1:47" x14ac:dyDescent="0.3">
      <c r="A19">
        <v>17</v>
      </c>
      <c r="B19" t="s">
        <v>134</v>
      </c>
      <c r="C19" t="s">
        <v>135</v>
      </c>
      <c r="D19">
        <v>2</v>
      </c>
      <c r="E19" t="s">
        <v>45</v>
      </c>
      <c r="F19" t="str">
        <f>VLOOKUP(E19,country_continent!A:C,2,FALSE)</f>
        <v>United States of America</v>
      </c>
      <c r="G19" t="str">
        <f>VLOOKUP(E19,country_continent!A:C,3,FALSE)</f>
        <v>North America</v>
      </c>
      <c r="H19" t="s">
        <v>136</v>
      </c>
      <c r="I19" s="1">
        <v>22301</v>
      </c>
      <c r="J19" s="3">
        <f t="shared" si="0"/>
        <v>22301</v>
      </c>
      <c r="K19" s="1">
        <v>23337</v>
      </c>
      <c r="L19" s="3">
        <f t="shared" si="1"/>
        <v>23337</v>
      </c>
      <c r="M19" t="s">
        <v>49</v>
      </c>
      <c r="N19" t="s">
        <v>67</v>
      </c>
      <c r="O19" t="s">
        <v>68</v>
      </c>
      <c r="P19">
        <v>0</v>
      </c>
      <c r="Q19" t="s">
        <v>69</v>
      </c>
      <c r="R19" t="s">
        <v>51</v>
      </c>
      <c r="S19">
        <v>1917</v>
      </c>
      <c r="T19">
        <v>1963</v>
      </c>
      <c r="Y19" t="s">
        <v>137</v>
      </c>
      <c r="Z19">
        <v>0</v>
      </c>
      <c r="AA19">
        <v>3</v>
      </c>
      <c r="AB19">
        <v>11</v>
      </c>
      <c r="AC19">
        <v>3</v>
      </c>
      <c r="AF19">
        <v>1961</v>
      </c>
      <c r="AG19">
        <v>1963</v>
      </c>
      <c r="AH19">
        <v>2.7517080636025799</v>
      </c>
      <c r="AI19">
        <v>3345</v>
      </c>
      <c r="AJ19">
        <v>1.1896243514559</v>
      </c>
      <c r="AK19">
        <v>28.9</v>
      </c>
      <c r="AL19">
        <v>1.5449640524500701</v>
      </c>
      <c r="AN19">
        <v>9</v>
      </c>
      <c r="AO19" t="b">
        <v>0</v>
      </c>
      <c r="AT19">
        <v>1036</v>
      </c>
      <c r="AU19">
        <f t="shared" si="2"/>
        <v>2.8380000000000001</v>
      </c>
    </row>
    <row r="20" spans="1:47" x14ac:dyDescent="0.3">
      <c r="A20">
        <v>18</v>
      </c>
      <c r="B20" t="s">
        <v>138</v>
      </c>
      <c r="C20" t="s">
        <v>139</v>
      </c>
      <c r="D20">
        <v>2</v>
      </c>
      <c r="E20" t="s">
        <v>45</v>
      </c>
      <c r="F20" t="str">
        <f>VLOOKUP(E20,country_continent!A:C,2,FALSE)</f>
        <v>United States of America</v>
      </c>
      <c r="G20" t="str">
        <f>VLOOKUP(E20,country_continent!A:C,3,FALSE)</f>
        <v>North America</v>
      </c>
      <c r="H20" t="s">
        <v>140</v>
      </c>
      <c r="I20" s="1">
        <v>23337</v>
      </c>
      <c r="J20" s="3">
        <f t="shared" si="0"/>
        <v>23337</v>
      </c>
      <c r="K20" s="1">
        <v>25223</v>
      </c>
      <c r="L20" s="3">
        <f t="shared" si="1"/>
        <v>25223</v>
      </c>
      <c r="M20" t="s">
        <v>49</v>
      </c>
      <c r="N20" t="s">
        <v>49</v>
      </c>
      <c r="O20" t="s">
        <v>49</v>
      </c>
      <c r="P20">
        <v>0</v>
      </c>
      <c r="Q20" t="s">
        <v>50</v>
      </c>
      <c r="R20" t="s">
        <v>51</v>
      </c>
      <c r="S20">
        <v>1908</v>
      </c>
      <c r="T20">
        <v>1973</v>
      </c>
      <c r="Y20" t="s">
        <v>141</v>
      </c>
      <c r="Z20">
        <v>0</v>
      </c>
      <c r="AA20">
        <v>1</v>
      </c>
      <c r="AB20">
        <v>0</v>
      </c>
      <c r="AC20">
        <v>0</v>
      </c>
      <c r="AF20">
        <v>1963</v>
      </c>
      <c r="AG20">
        <v>1969</v>
      </c>
      <c r="AH20">
        <v>3.6197823631885999</v>
      </c>
      <c r="AI20">
        <v>4177.1428571428496</v>
      </c>
      <c r="AJ20">
        <v>2.7594151047291899</v>
      </c>
      <c r="AK20">
        <v>26.314285714285699</v>
      </c>
      <c r="AL20">
        <v>1.1854086737170799</v>
      </c>
      <c r="AN20">
        <v>8.57</v>
      </c>
      <c r="AO20" t="b">
        <v>0</v>
      </c>
      <c r="AT20">
        <v>1886</v>
      </c>
      <c r="AU20">
        <f t="shared" si="2"/>
        <v>5.1669999999999998</v>
      </c>
    </row>
    <row r="21" spans="1:47" x14ac:dyDescent="0.3">
      <c r="A21">
        <v>19</v>
      </c>
      <c r="B21" t="s">
        <v>142</v>
      </c>
      <c r="C21" t="s">
        <v>143</v>
      </c>
      <c r="D21">
        <v>2</v>
      </c>
      <c r="E21" t="s">
        <v>45</v>
      </c>
      <c r="F21" t="str">
        <f>VLOOKUP(E21,country_continent!A:C,2,FALSE)</f>
        <v>United States of America</v>
      </c>
      <c r="G21" t="str">
        <f>VLOOKUP(E21,country_continent!A:C,3,FALSE)</f>
        <v>North America</v>
      </c>
      <c r="H21" t="s">
        <v>144</v>
      </c>
      <c r="I21" s="1">
        <v>25223</v>
      </c>
      <c r="J21" s="3">
        <f t="shared" si="0"/>
        <v>25223</v>
      </c>
      <c r="K21" s="1">
        <v>27250</v>
      </c>
      <c r="L21" s="3">
        <f t="shared" si="1"/>
        <v>27250</v>
      </c>
      <c r="M21" t="s">
        <v>49</v>
      </c>
      <c r="N21" t="s">
        <v>49</v>
      </c>
      <c r="O21" t="s">
        <v>49</v>
      </c>
      <c r="P21">
        <v>0</v>
      </c>
      <c r="Q21" t="s">
        <v>50</v>
      </c>
      <c r="R21" t="s">
        <v>51</v>
      </c>
      <c r="S21">
        <v>1913</v>
      </c>
      <c r="T21">
        <v>1994</v>
      </c>
      <c r="Y21" t="s">
        <v>145</v>
      </c>
      <c r="Z21">
        <v>0</v>
      </c>
      <c r="AA21">
        <v>1</v>
      </c>
      <c r="AB21">
        <v>0</v>
      </c>
      <c r="AC21">
        <v>0</v>
      </c>
      <c r="AF21">
        <v>1969</v>
      </c>
      <c r="AG21">
        <v>1974</v>
      </c>
      <c r="AH21">
        <v>1.74509229596765</v>
      </c>
      <c r="AI21">
        <v>6276.6666666666597</v>
      </c>
      <c r="AJ21">
        <v>5.6580823755776803</v>
      </c>
      <c r="AK21">
        <v>21.9166666666666</v>
      </c>
      <c r="AL21">
        <v>1.0575398079314899</v>
      </c>
      <c r="AM21">
        <v>1.2481373622771199</v>
      </c>
      <c r="AN21">
        <v>8.33</v>
      </c>
      <c r="AO21" t="b">
        <v>0</v>
      </c>
      <c r="AT21">
        <v>2027</v>
      </c>
      <c r="AU21">
        <f t="shared" si="2"/>
        <v>5.5529999999999999</v>
      </c>
    </row>
    <row r="22" spans="1:47" x14ac:dyDescent="0.3">
      <c r="A22">
        <v>20</v>
      </c>
      <c r="B22" t="s">
        <v>146</v>
      </c>
      <c r="C22" t="s">
        <v>147</v>
      </c>
      <c r="D22">
        <v>2</v>
      </c>
      <c r="E22" t="s">
        <v>45</v>
      </c>
      <c r="F22" t="str">
        <f>VLOOKUP(E22,country_continent!A:C,2,FALSE)</f>
        <v>United States of America</v>
      </c>
      <c r="G22" t="str">
        <f>VLOOKUP(E22,country_continent!A:C,3,FALSE)</f>
        <v>North America</v>
      </c>
      <c r="H22" t="s">
        <v>148</v>
      </c>
      <c r="I22" s="1">
        <v>27250</v>
      </c>
      <c r="J22" s="3">
        <f t="shared" si="0"/>
        <v>27250</v>
      </c>
      <c r="K22" s="1">
        <v>28145</v>
      </c>
      <c r="L22" s="3">
        <f t="shared" si="1"/>
        <v>28145</v>
      </c>
      <c r="M22" t="s">
        <v>49</v>
      </c>
      <c r="N22" t="s">
        <v>49</v>
      </c>
      <c r="O22" t="s">
        <v>49</v>
      </c>
      <c r="P22">
        <v>0</v>
      </c>
      <c r="Q22" t="s">
        <v>50</v>
      </c>
      <c r="R22" t="s">
        <v>51</v>
      </c>
      <c r="S22">
        <v>1913</v>
      </c>
      <c r="T22">
        <v>2006</v>
      </c>
      <c r="Y22" t="s">
        <v>149</v>
      </c>
      <c r="Z22">
        <v>0</v>
      </c>
      <c r="AA22">
        <v>1</v>
      </c>
      <c r="AB22">
        <v>0</v>
      </c>
      <c r="AC22">
        <v>0</v>
      </c>
      <c r="AF22">
        <v>1974</v>
      </c>
      <c r="AG22">
        <v>1977</v>
      </c>
      <c r="AH22">
        <v>1.3346656159461501</v>
      </c>
      <c r="AI22">
        <v>8835</v>
      </c>
      <c r="AJ22">
        <v>7.4945770757300103</v>
      </c>
      <c r="AK22">
        <v>18.375</v>
      </c>
      <c r="AL22">
        <v>0.963909577147675</v>
      </c>
      <c r="AM22">
        <v>3.1777996213203101</v>
      </c>
      <c r="AN22">
        <v>10</v>
      </c>
      <c r="AO22" t="b">
        <v>0</v>
      </c>
      <c r="AT22">
        <v>895</v>
      </c>
      <c r="AU22">
        <f t="shared" si="2"/>
        <v>2.452</v>
      </c>
    </row>
    <row r="23" spans="1:47" x14ac:dyDescent="0.3">
      <c r="A23">
        <v>21</v>
      </c>
      <c r="B23" t="s">
        <v>150</v>
      </c>
      <c r="C23" t="s">
        <v>151</v>
      </c>
      <c r="D23">
        <v>2</v>
      </c>
      <c r="E23" t="s">
        <v>45</v>
      </c>
      <c r="F23" t="str">
        <f>VLOOKUP(E23,country_continent!A:C,2,FALSE)</f>
        <v>United States of America</v>
      </c>
      <c r="G23" t="str">
        <f>VLOOKUP(E23,country_continent!A:C,3,FALSE)</f>
        <v>North America</v>
      </c>
      <c r="H23" t="s">
        <v>152</v>
      </c>
      <c r="I23" s="1">
        <v>28145</v>
      </c>
      <c r="J23" s="3">
        <f t="shared" si="0"/>
        <v>28145</v>
      </c>
      <c r="K23" s="1">
        <v>29606</v>
      </c>
      <c r="L23" s="3">
        <f t="shared" si="1"/>
        <v>29606</v>
      </c>
      <c r="M23" t="s">
        <v>49</v>
      </c>
      <c r="N23" t="s">
        <v>49</v>
      </c>
      <c r="O23" t="s">
        <v>49</v>
      </c>
      <c r="P23">
        <v>0</v>
      </c>
      <c r="Q23" t="s">
        <v>50</v>
      </c>
      <c r="R23" t="s">
        <v>51</v>
      </c>
      <c r="S23">
        <v>1924</v>
      </c>
      <c r="T23">
        <v>-777</v>
      </c>
      <c r="Z23">
        <v>0</v>
      </c>
      <c r="AA23">
        <v>1</v>
      </c>
      <c r="AB23">
        <v>0</v>
      </c>
      <c r="AC23">
        <v>0</v>
      </c>
      <c r="AF23">
        <v>1977</v>
      </c>
      <c r="AG23">
        <v>1981</v>
      </c>
      <c r="AH23">
        <v>2.0721554057995601</v>
      </c>
      <c r="AI23">
        <v>12216</v>
      </c>
      <c r="AJ23">
        <v>8.0078509687087998</v>
      </c>
      <c r="AK23">
        <v>15.68</v>
      </c>
      <c r="AL23">
        <v>1.02198540032943</v>
      </c>
      <c r="AM23">
        <v>4.1235118035783396</v>
      </c>
      <c r="AN23">
        <v>10</v>
      </c>
      <c r="AO23" t="b">
        <v>0</v>
      </c>
      <c r="AT23">
        <v>1461</v>
      </c>
      <c r="AU23">
        <f t="shared" si="2"/>
        <v>4.0030000000000001</v>
      </c>
    </row>
    <row r="24" spans="1:47" x14ac:dyDescent="0.3">
      <c r="A24">
        <v>22</v>
      </c>
      <c r="B24" t="s">
        <v>153</v>
      </c>
      <c r="C24" t="s">
        <v>154</v>
      </c>
      <c r="D24">
        <v>2</v>
      </c>
      <c r="E24" t="s">
        <v>45</v>
      </c>
      <c r="F24" t="str">
        <f>VLOOKUP(E24,country_continent!A:C,2,FALSE)</f>
        <v>United States of America</v>
      </c>
      <c r="G24" t="str">
        <f>VLOOKUP(E24,country_continent!A:C,3,FALSE)</f>
        <v>North America</v>
      </c>
      <c r="H24" t="s">
        <v>155</v>
      </c>
      <c r="I24" s="1">
        <v>29606</v>
      </c>
      <c r="J24" s="3">
        <f t="shared" si="0"/>
        <v>29606</v>
      </c>
      <c r="K24" s="1">
        <v>32528</v>
      </c>
      <c r="L24" s="3">
        <f t="shared" si="1"/>
        <v>32528</v>
      </c>
      <c r="M24" t="s">
        <v>49</v>
      </c>
      <c r="N24" t="s">
        <v>49</v>
      </c>
      <c r="O24" t="s">
        <v>49</v>
      </c>
      <c r="P24">
        <v>0</v>
      </c>
      <c r="Q24" t="s">
        <v>50</v>
      </c>
      <c r="R24" t="s">
        <v>51</v>
      </c>
      <c r="S24">
        <v>1911</v>
      </c>
      <c r="T24">
        <v>2004</v>
      </c>
      <c r="Y24" t="s">
        <v>156</v>
      </c>
      <c r="Z24">
        <v>0</v>
      </c>
      <c r="AA24">
        <v>1</v>
      </c>
      <c r="AB24">
        <v>0</v>
      </c>
      <c r="AC24">
        <v>0</v>
      </c>
      <c r="AF24">
        <v>1981</v>
      </c>
      <c r="AG24">
        <v>1989</v>
      </c>
      <c r="AH24">
        <v>2.55267405342433</v>
      </c>
      <c r="AI24">
        <v>18471.111111111099</v>
      </c>
      <c r="AJ24">
        <v>4.2519357698204701</v>
      </c>
      <c r="AK24">
        <v>12.8222222222222</v>
      </c>
      <c r="AL24">
        <v>0.91905064973849004</v>
      </c>
      <c r="AM24">
        <v>1.9675515736751601</v>
      </c>
      <c r="AN24">
        <v>10</v>
      </c>
      <c r="AO24" t="b">
        <v>0</v>
      </c>
      <c r="AT24">
        <v>2922</v>
      </c>
      <c r="AU24">
        <f t="shared" si="2"/>
        <v>8.0050000000000008</v>
      </c>
    </row>
    <row r="25" spans="1:47" x14ac:dyDescent="0.3">
      <c r="A25">
        <v>23</v>
      </c>
      <c r="B25" t="s">
        <v>157</v>
      </c>
      <c r="C25" t="s">
        <v>158</v>
      </c>
      <c r="D25">
        <v>2</v>
      </c>
      <c r="E25" t="s">
        <v>45</v>
      </c>
      <c r="F25" t="str">
        <f>VLOOKUP(E25,country_continent!A:C,2,FALSE)</f>
        <v>United States of America</v>
      </c>
      <c r="G25" t="str">
        <f>VLOOKUP(E25,country_continent!A:C,3,FALSE)</f>
        <v>North America</v>
      </c>
      <c r="H25" t="s">
        <v>159</v>
      </c>
      <c r="I25" s="1">
        <v>32528</v>
      </c>
      <c r="J25" s="3">
        <f t="shared" si="0"/>
        <v>32528</v>
      </c>
      <c r="K25" s="1">
        <v>33989</v>
      </c>
      <c r="L25" s="3">
        <f t="shared" si="1"/>
        <v>33989</v>
      </c>
      <c r="M25" t="s">
        <v>49</v>
      </c>
      <c r="N25" t="s">
        <v>49</v>
      </c>
      <c r="O25" t="s">
        <v>49</v>
      </c>
      <c r="P25">
        <v>0</v>
      </c>
      <c r="Q25" t="s">
        <v>50</v>
      </c>
      <c r="R25" t="s">
        <v>51</v>
      </c>
      <c r="S25">
        <v>1924</v>
      </c>
      <c r="T25">
        <v>-777</v>
      </c>
      <c r="Z25">
        <v>0</v>
      </c>
      <c r="AA25">
        <v>1</v>
      </c>
      <c r="AB25">
        <v>0</v>
      </c>
      <c r="AC25">
        <v>0</v>
      </c>
      <c r="AD25" t="s">
        <v>160</v>
      </c>
      <c r="AE25">
        <v>0</v>
      </c>
      <c r="AF25">
        <v>1989</v>
      </c>
      <c r="AG25">
        <v>1993</v>
      </c>
      <c r="AH25">
        <v>1.1014782355650901</v>
      </c>
      <c r="AI25">
        <v>25258</v>
      </c>
      <c r="AJ25">
        <v>3.13901581929297</v>
      </c>
      <c r="AK25">
        <v>10.86</v>
      </c>
      <c r="AL25">
        <v>1.2231765017757701</v>
      </c>
      <c r="AM25">
        <v>1.00813504338507</v>
      </c>
      <c r="AN25">
        <v>10</v>
      </c>
      <c r="AO25" t="b">
        <v>0</v>
      </c>
      <c r="AT25">
        <v>1461</v>
      </c>
      <c r="AU25">
        <f t="shared" si="2"/>
        <v>4.0030000000000001</v>
      </c>
    </row>
    <row r="26" spans="1:47" x14ac:dyDescent="0.3">
      <c r="A26">
        <v>24</v>
      </c>
      <c r="B26" t="s">
        <v>161</v>
      </c>
      <c r="C26" t="s">
        <v>162</v>
      </c>
      <c r="D26">
        <v>2</v>
      </c>
      <c r="E26" t="s">
        <v>45</v>
      </c>
      <c r="F26" t="str">
        <f>VLOOKUP(E26,country_continent!A:C,2,FALSE)</f>
        <v>United States of America</v>
      </c>
      <c r="G26" t="str">
        <f>VLOOKUP(E26,country_continent!A:C,3,FALSE)</f>
        <v>North America</v>
      </c>
      <c r="H26" t="s">
        <v>163</v>
      </c>
      <c r="I26" s="1">
        <v>33989</v>
      </c>
      <c r="J26" s="3">
        <f t="shared" si="0"/>
        <v>33989</v>
      </c>
      <c r="K26" s="1">
        <v>36911</v>
      </c>
      <c r="L26" s="3">
        <f t="shared" si="1"/>
        <v>36911</v>
      </c>
      <c r="M26" t="s">
        <v>49</v>
      </c>
      <c r="N26" t="s">
        <v>49</v>
      </c>
      <c r="O26" t="s">
        <v>49</v>
      </c>
      <c r="P26">
        <v>0</v>
      </c>
      <c r="Q26" t="s">
        <v>50</v>
      </c>
      <c r="R26" t="s">
        <v>51</v>
      </c>
      <c r="S26">
        <v>1946</v>
      </c>
      <c r="T26">
        <v>-777</v>
      </c>
      <c r="Y26" t="s">
        <v>164</v>
      </c>
      <c r="Z26">
        <v>0</v>
      </c>
      <c r="AA26">
        <v>1</v>
      </c>
      <c r="AB26">
        <v>0</v>
      </c>
      <c r="AC26">
        <v>0</v>
      </c>
      <c r="AF26">
        <v>1993</v>
      </c>
      <c r="AG26">
        <v>2001</v>
      </c>
      <c r="AH26">
        <v>2.3507479734185099</v>
      </c>
      <c r="AI26">
        <v>31528.8888888888</v>
      </c>
      <c r="AJ26">
        <v>1.9125858988009601</v>
      </c>
      <c r="AK26">
        <v>9.05555555555555</v>
      </c>
      <c r="AL26">
        <v>1.16885556103086</v>
      </c>
      <c r="AM26">
        <v>0.83716592890974395</v>
      </c>
      <c r="AN26">
        <v>10</v>
      </c>
      <c r="AO26" t="b">
        <v>0</v>
      </c>
      <c r="AT26">
        <v>2922</v>
      </c>
      <c r="AU26">
        <f t="shared" si="2"/>
        <v>8.0050000000000008</v>
      </c>
    </row>
    <row r="27" spans="1:47" x14ac:dyDescent="0.3">
      <c r="A27">
        <v>25</v>
      </c>
      <c r="B27" t="s">
        <v>165</v>
      </c>
      <c r="C27" t="s">
        <v>166</v>
      </c>
      <c r="D27">
        <v>2</v>
      </c>
      <c r="E27" t="s">
        <v>45</v>
      </c>
      <c r="F27" t="str">
        <f>VLOOKUP(E27,country_continent!A:C,2,FALSE)</f>
        <v>United States of America</v>
      </c>
      <c r="G27" t="str">
        <f>VLOOKUP(E27,country_continent!A:C,3,FALSE)</f>
        <v>North America</v>
      </c>
      <c r="H27" t="s">
        <v>167</v>
      </c>
      <c r="I27" s="1">
        <v>36912</v>
      </c>
      <c r="J27" s="3">
        <f t="shared" si="0"/>
        <v>36912</v>
      </c>
      <c r="K27" s="1">
        <v>39833</v>
      </c>
      <c r="L27" s="3">
        <f t="shared" si="1"/>
        <v>39833</v>
      </c>
      <c r="M27" t="s">
        <v>49</v>
      </c>
      <c r="N27" t="s">
        <v>49</v>
      </c>
      <c r="O27" t="s">
        <v>49</v>
      </c>
      <c r="P27">
        <v>0</v>
      </c>
      <c r="Q27" t="s">
        <v>50</v>
      </c>
      <c r="R27" t="s">
        <v>51</v>
      </c>
      <c r="S27">
        <v>1946</v>
      </c>
      <c r="T27">
        <v>-777</v>
      </c>
      <c r="Y27" t="s">
        <v>168</v>
      </c>
      <c r="Z27">
        <v>0</v>
      </c>
      <c r="AA27">
        <v>1</v>
      </c>
      <c r="AB27">
        <v>0</v>
      </c>
      <c r="AC27">
        <v>0</v>
      </c>
      <c r="AD27" t="s">
        <v>169</v>
      </c>
      <c r="AE27">
        <v>1</v>
      </c>
      <c r="AF27">
        <v>2001</v>
      </c>
      <c r="AG27">
        <v>2009</v>
      </c>
      <c r="AH27">
        <v>0.73827017007735596</v>
      </c>
      <c r="AI27">
        <v>44054.444444444402</v>
      </c>
      <c r="AJ27">
        <v>2.2156807860349299</v>
      </c>
      <c r="AK27">
        <v>7.93333333333333</v>
      </c>
      <c r="AL27">
        <v>0.92911594031929101</v>
      </c>
      <c r="AM27">
        <v>1.14255601198198</v>
      </c>
      <c r="AN27">
        <v>10</v>
      </c>
      <c r="AO27" t="b">
        <v>0</v>
      </c>
      <c r="AT27">
        <v>2921</v>
      </c>
      <c r="AU27">
        <f t="shared" si="2"/>
        <v>8.0030000000000001</v>
      </c>
    </row>
    <row r="28" spans="1:47" x14ac:dyDescent="0.3">
      <c r="A28">
        <v>26</v>
      </c>
      <c r="B28" t="s">
        <v>170</v>
      </c>
      <c r="C28" t="s">
        <v>171</v>
      </c>
      <c r="D28">
        <v>2</v>
      </c>
      <c r="E28" t="s">
        <v>45</v>
      </c>
      <c r="F28" t="str">
        <f>VLOOKUP(E28,country_continent!A:C,2,FALSE)</f>
        <v>United States of America</v>
      </c>
      <c r="G28" t="str">
        <f>VLOOKUP(E28,country_continent!A:C,3,FALSE)</f>
        <v>North America</v>
      </c>
      <c r="H28" t="s">
        <v>172</v>
      </c>
      <c r="I28" s="1">
        <v>39833</v>
      </c>
      <c r="J28" s="3">
        <f t="shared" si="0"/>
        <v>39833</v>
      </c>
      <c r="K28" s="1">
        <v>42369</v>
      </c>
      <c r="L28" s="3">
        <f t="shared" si="1"/>
        <v>42369</v>
      </c>
      <c r="M28" t="s">
        <v>49</v>
      </c>
      <c r="N28" t="s">
        <v>173</v>
      </c>
      <c r="O28" t="s">
        <v>173</v>
      </c>
      <c r="P28">
        <v>0</v>
      </c>
      <c r="Q28" t="s">
        <v>174</v>
      </c>
      <c r="R28" t="s">
        <v>51</v>
      </c>
      <c r="S28">
        <v>1961</v>
      </c>
      <c r="T28">
        <v>-777</v>
      </c>
      <c r="U28" s="1">
        <v>22497</v>
      </c>
      <c r="V28" s="2">
        <v>22497</v>
      </c>
      <c r="Z28">
        <v>0</v>
      </c>
      <c r="AA28">
        <v>-888</v>
      </c>
      <c r="AB28">
        <v>-888</v>
      </c>
      <c r="AC28">
        <v>-888</v>
      </c>
      <c r="AF28">
        <v>2009</v>
      </c>
      <c r="AG28">
        <v>2015</v>
      </c>
      <c r="AH28">
        <v>0.83258763974697503</v>
      </c>
      <c r="AI28">
        <v>52200</v>
      </c>
      <c r="AJ28">
        <v>1.4469832869860499</v>
      </c>
      <c r="AK28">
        <v>7.0714285714285703</v>
      </c>
      <c r="AL28">
        <v>0.80914957054278003</v>
      </c>
      <c r="AM28">
        <v>0.77324406340019802</v>
      </c>
      <c r="AN28">
        <v>10</v>
      </c>
      <c r="AO28" t="b">
        <v>0</v>
      </c>
      <c r="AT28">
        <v>2536</v>
      </c>
      <c r="AU28">
        <f t="shared" si="2"/>
        <v>6.9480000000000004</v>
      </c>
    </row>
    <row r="29" spans="1:47" x14ac:dyDescent="0.3">
      <c r="A29">
        <v>27</v>
      </c>
      <c r="B29" t="s">
        <v>175</v>
      </c>
      <c r="C29" t="s">
        <v>176</v>
      </c>
      <c r="D29">
        <v>20</v>
      </c>
      <c r="E29" t="s">
        <v>177</v>
      </c>
      <c r="F29" t="str">
        <f>VLOOKUP(E29,country_continent!A:C,2,FALSE)</f>
        <v>Canada</v>
      </c>
      <c r="G29" t="str">
        <f>VLOOKUP(E29,country_continent!A:C,3,FALSE)</f>
        <v>North America</v>
      </c>
      <c r="H29" t="s">
        <v>178</v>
      </c>
      <c r="I29" t="s">
        <v>179</v>
      </c>
      <c r="J29" s="3" t="str">
        <f t="shared" si="0"/>
        <v>1873/11/07</v>
      </c>
      <c r="K29" t="s">
        <v>180</v>
      </c>
      <c r="L29" s="3" t="str">
        <f t="shared" si="1"/>
        <v>1878/10/17</v>
      </c>
      <c r="M29" t="s">
        <v>49</v>
      </c>
      <c r="N29" t="s">
        <v>49</v>
      </c>
      <c r="O29" t="s">
        <v>49</v>
      </c>
      <c r="P29">
        <v>0</v>
      </c>
      <c r="Q29" t="s">
        <v>50</v>
      </c>
      <c r="R29" t="s">
        <v>51</v>
      </c>
      <c r="S29">
        <v>1822</v>
      </c>
      <c r="T29">
        <v>1892</v>
      </c>
      <c r="W29" t="s">
        <v>181</v>
      </c>
      <c r="X29" t="s">
        <v>182</v>
      </c>
      <c r="Y29" t="s">
        <v>183</v>
      </c>
      <c r="Z29">
        <v>0</v>
      </c>
      <c r="AA29">
        <v>1</v>
      </c>
      <c r="AB29">
        <v>0</v>
      </c>
      <c r="AC29">
        <v>0</v>
      </c>
      <c r="AF29">
        <v>1873</v>
      </c>
      <c r="AG29">
        <v>1878</v>
      </c>
      <c r="AO29" t="b">
        <v>1</v>
      </c>
      <c r="AP29" t="s">
        <v>45</v>
      </c>
      <c r="AQ29">
        <v>1920</v>
      </c>
      <c r="AR29">
        <v>1959</v>
      </c>
      <c r="AS29" t="s">
        <v>184</v>
      </c>
      <c r="AT29">
        <v>4.9418206707734402</v>
      </c>
      <c r="AU29">
        <f t="shared" si="2"/>
        <v>1.4E-2</v>
      </c>
    </row>
    <row r="30" spans="1:47" x14ac:dyDescent="0.3">
      <c r="A30">
        <v>28</v>
      </c>
      <c r="B30" t="s">
        <v>185</v>
      </c>
      <c r="C30" t="s">
        <v>186</v>
      </c>
      <c r="D30">
        <v>20</v>
      </c>
      <c r="E30" t="s">
        <v>177</v>
      </c>
      <c r="F30" t="str">
        <f>VLOOKUP(E30,country_continent!A:C,2,FALSE)</f>
        <v>Canada</v>
      </c>
      <c r="G30" t="str">
        <f>VLOOKUP(E30,country_continent!A:C,3,FALSE)</f>
        <v>North America</v>
      </c>
      <c r="H30" t="s">
        <v>187</v>
      </c>
      <c r="I30" t="s">
        <v>180</v>
      </c>
      <c r="J30" s="3" t="str">
        <f t="shared" si="0"/>
        <v>1878/10/17</v>
      </c>
      <c r="K30" t="s">
        <v>188</v>
      </c>
      <c r="L30" s="3" t="str">
        <f t="shared" si="1"/>
        <v>1891/06/06</v>
      </c>
      <c r="M30" t="s">
        <v>49</v>
      </c>
      <c r="N30" t="s">
        <v>110</v>
      </c>
      <c r="O30" t="s">
        <v>49</v>
      </c>
      <c r="P30">
        <v>1</v>
      </c>
      <c r="Q30" t="s">
        <v>111</v>
      </c>
      <c r="R30" t="s">
        <v>51</v>
      </c>
      <c r="S30">
        <v>1815</v>
      </c>
      <c r="T30">
        <v>1891</v>
      </c>
      <c r="W30" t="s">
        <v>188</v>
      </c>
      <c r="X30" t="s">
        <v>189</v>
      </c>
      <c r="Y30" t="s">
        <v>190</v>
      </c>
      <c r="Z30">
        <v>0</v>
      </c>
      <c r="AA30">
        <v>2</v>
      </c>
      <c r="AB30">
        <v>0</v>
      </c>
      <c r="AC30">
        <v>-777</v>
      </c>
      <c r="AF30">
        <v>1878</v>
      </c>
      <c r="AG30">
        <v>1891</v>
      </c>
      <c r="AO30" t="b">
        <v>1</v>
      </c>
      <c r="AP30" t="s">
        <v>45</v>
      </c>
      <c r="AQ30">
        <v>1920</v>
      </c>
      <c r="AR30">
        <v>1959</v>
      </c>
      <c r="AS30" t="s">
        <v>191</v>
      </c>
      <c r="AT30">
        <v>12.635181382614601</v>
      </c>
      <c r="AU30">
        <f t="shared" si="2"/>
        <v>3.5000000000000003E-2</v>
      </c>
    </row>
    <row r="31" spans="1:47" x14ac:dyDescent="0.3">
      <c r="A31">
        <v>29</v>
      </c>
      <c r="B31" t="s">
        <v>192</v>
      </c>
      <c r="C31" t="s">
        <v>193</v>
      </c>
      <c r="D31">
        <v>20</v>
      </c>
      <c r="E31" t="s">
        <v>177</v>
      </c>
      <c r="F31" t="str">
        <f>VLOOKUP(E31,country_continent!A:C,2,FALSE)</f>
        <v>Canada</v>
      </c>
      <c r="G31" t="str">
        <f>VLOOKUP(E31,country_continent!A:C,3,FALSE)</f>
        <v>North America</v>
      </c>
      <c r="H31" t="s">
        <v>194</v>
      </c>
      <c r="I31" t="s">
        <v>195</v>
      </c>
      <c r="J31" s="3" t="str">
        <f t="shared" si="0"/>
        <v>1891/06/16</v>
      </c>
      <c r="K31" t="s">
        <v>196</v>
      </c>
      <c r="L31" s="3" t="str">
        <f t="shared" si="1"/>
        <v>1892/12/05</v>
      </c>
      <c r="M31" t="s">
        <v>49</v>
      </c>
      <c r="N31" t="s">
        <v>49</v>
      </c>
      <c r="O31" t="s">
        <v>49</v>
      </c>
      <c r="P31">
        <v>0</v>
      </c>
      <c r="Q31" t="s">
        <v>50</v>
      </c>
      <c r="R31" t="s">
        <v>51</v>
      </c>
      <c r="S31">
        <v>1821</v>
      </c>
      <c r="T31">
        <v>1893</v>
      </c>
      <c r="W31" t="s">
        <v>197</v>
      </c>
      <c r="X31" t="s">
        <v>198</v>
      </c>
      <c r="Y31" t="s">
        <v>199</v>
      </c>
      <c r="Z31">
        <v>0</v>
      </c>
      <c r="AA31">
        <v>1</v>
      </c>
      <c r="AB31">
        <v>0</v>
      </c>
      <c r="AC31">
        <v>0</v>
      </c>
      <c r="AF31">
        <v>1891</v>
      </c>
      <c r="AG31">
        <v>1892</v>
      </c>
      <c r="AO31" t="b">
        <v>1</v>
      </c>
      <c r="AP31" t="s">
        <v>45</v>
      </c>
      <c r="AQ31">
        <v>1920</v>
      </c>
      <c r="AR31">
        <v>1959</v>
      </c>
      <c r="AS31" t="s">
        <v>200</v>
      </c>
      <c r="AT31">
        <v>1.4729637234770701</v>
      </c>
      <c r="AU31">
        <f t="shared" si="2"/>
        <v>4.0000000000000001E-3</v>
      </c>
    </row>
    <row r="32" spans="1:47" x14ac:dyDescent="0.3">
      <c r="A32">
        <v>30</v>
      </c>
      <c r="B32" t="s">
        <v>201</v>
      </c>
      <c r="C32" t="s">
        <v>202</v>
      </c>
      <c r="D32">
        <v>20</v>
      </c>
      <c r="E32" t="s">
        <v>177</v>
      </c>
      <c r="F32" t="str">
        <f>VLOOKUP(E32,country_continent!A:C,2,FALSE)</f>
        <v>Canada</v>
      </c>
      <c r="G32" t="str">
        <f>VLOOKUP(E32,country_continent!A:C,3,FALSE)</f>
        <v>North America</v>
      </c>
      <c r="H32" t="s">
        <v>203</v>
      </c>
      <c r="I32" t="s">
        <v>196</v>
      </c>
      <c r="J32" s="3" t="str">
        <f t="shared" si="0"/>
        <v>1892/12/05</v>
      </c>
      <c r="K32" t="s">
        <v>204</v>
      </c>
      <c r="L32" s="3" t="str">
        <f t="shared" si="1"/>
        <v>1894/12/12</v>
      </c>
      <c r="M32" t="s">
        <v>49</v>
      </c>
      <c r="N32" t="s">
        <v>110</v>
      </c>
      <c r="O32" t="s">
        <v>49</v>
      </c>
      <c r="P32">
        <v>0</v>
      </c>
      <c r="Q32" t="s">
        <v>111</v>
      </c>
      <c r="R32" t="s">
        <v>51</v>
      </c>
      <c r="S32">
        <v>1845</v>
      </c>
      <c r="T32">
        <v>1894</v>
      </c>
      <c r="Z32">
        <v>0</v>
      </c>
      <c r="AA32">
        <v>2</v>
      </c>
      <c r="AB32">
        <v>0</v>
      </c>
      <c r="AC32">
        <v>-777</v>
      </c>
      <c r="AF32">
        <v>1892</v>
      </c>
      <c r="AG32">
        <v>1894</v>
      </c>
      <c r="AO32" t="b">
        <v>1</v>
      </c>
      <c r="AP32" t="s">
        <v>45</v>
      </c>
      <c r="AQ32">
        <v>1920</v>
      </c>
      <c r="AR32">
        <v>1959</v>
      </c>
      <c r="AS32" t="s">
        <v>205</v>
      </c>
      <c r="AT32">
        <v>2.01779603011635</v>
      </c>
      <c r="AU32">
        <f t="shared" si="2"/>
        <v>6.0000000000000001E-3</v>
      </c>
    </row>
    <row r="33" spans="1:47" x14ac:dyDescent="0.3">
      <c r="A33">
        <v>31</v>
      </c>
      <c r="B33" t="s">
        <v>206</v>
      </c>
      <c r="C33" t="s">
        <v>207</v>
      </c>
      <c r="D33">
        <v>20</v>
      </c>
      <c r="E33" t="s">
        <v>177</v>
      </c>
      <c r="F33" t="str">
        <f>VLOOKUP(E33,country_continent!A:C,2,FALSE)</f>
        <v>Canada</v>
      </c>
      <c r="G33" t="str">
        <f>VLOOKUP(E33,country_continent!A:C,3,FALSE)</f>
        <v>North America</v>
      </c>
      <c r="H33" t="s">
        <v>208</v>
      </c>
      <c r="I33" t="s">
        <v>209</v>
      </c>
      <c r="J33" s="3" t="str">
        <f t="shared" si="0"/>
        <v>1894/12/21</v>
      </c>
      <c r="K33" t="s">
        <v>210</v>
      </c>
      <c r="L33" s="3" t="str">
        <f t="shared" si="1"/>
        <v>1896/05/01</v>
      </c>
      <c r="M33" t="s">
        <v>49</v>
      </c>
      <c r="N33" t="s">
        <v>49</v>
      </c>
      <c r="O33" t="s">
        <v>49</v>
      </c>
      <c r="P33">
        <v>0</v>
      </c>
      <c r="Q33" t="s">
        <v>50</v>
      </c>
      <c r="R33" t="s">
        <v>51</v>
      </c>
      <c r="S33">
        <v>1823</v>
      </c>
      <c r="T33">
        <v>1917</v>
      </c>
      <c r="Y33" t="s">
        <v>212</v>
      </c>
      <c r="Z33">
        <v>0</v>
      </c>
      <c r="AA33">
        <v>1</v>
      </c>
      <c r="AB33">
        <v>0</v>
      </c>
      <c r="AC33">
        <v>0</v>
      </c>
      <c r="AF33">
        <v>1894</v>
      </c>
      <c r="AG33">
        <v>1896</v>
      </c>
      <c r="AO33" t="b">
        <v>1</v>
      </c>
      <c r="AP33" t="s">
        <v>45</v>
      </c>
      <c r="AQ33">
        <v>1920</v>
      </c>
      <c r="AR33">
        <v>1959</v>
      </c>
      <c r="AS33" t="s">
        <v>213</v>
      </c>
      <c r="AT33">
        <v>1.3607118412046499</v>
      </c>
      <c r="AU33">
        <f t="shared" si="2"/>
        <v>4.0000000000000001E-3</v>
      </c>
    </row>
    <row r="34" spans="1:47" x14ac:dyDescent="0.3">
      <c r="A34">
        <v>32</v>
      </c>
      <c r="B34" t="s">
        <v>214</v>
      </c>
      <c r="C34" t="s">
        <v>215</v>
      </c>
      <c r="D34">
        <v>20</v>
      </c>
      <c r="E34" t="s">
        <v>177</v>
      </c>
      <c r="F34" t="str">
        <f>VLOOKUP(E34,country_continent!A:C,2,FALSE)</f>
        <v>Canada</v>
      </c>
      <c r="G34" t="str">
        <f>VLOOKUP(E34,country_continent!A:C,3,FALSE)</f>
        <v>North America</v>
      </c>
      <c r="H34" t="s">
        <v>216</v>
      </c>
      <c r="I34" t="s">
        <v>210</v>
      </c>
      <c r="J34" s="3" t="str">
        <f t="shared" si="0"/>
        <v>1896/05/01</v>
      </c>
      <c r="K34" t="s">
        <v>217</v>
      </c>
      <c r="L34" s="3" t="str">
        <f t="shared" si="1"/>
        <v>1896/07/11</v>
      </c>
      <c r="M34" t="s">
        <v>49</v>
      </c>
      <c r="N34" t="s">
        <v>49</v>
      </c>
      <c r="O34" t="s">
        <v>49</v>
      </c>
      <c r="P34">
        <v>0</v>
      </c>
      <c r="Q34" t="s">
        <v>50</v>
      </c>
      <c r="R34" t="s">
        <v>51</v>
      </c>
      <c r="S34">
        <v>1821</v>
      </c>
      <c r="T34">
        <v>1915</v>
      </c>
      <c r="Y34" t="s">
        <v>218</v>
      </c>
      <c r="Z34">
        <v>0</v>
      </c>
      <c r="AA34">
        <v>1</v>
      </c>
      <c r="AB34">
        <v>0</v>
      </c>
      <c r="AC34">
        <v>0</v>
      </c>
      <c r="AF34">
        <v>1896</v>
      </c>
      <c r="AG34">
        <v>1896</v>
      </c>
      <c r="AO34" t="b">
        <v>1</v>
      </c>
      <c r="AP34" t="s">
        <v>45</v>
      </c>
      <c r="AQ34">
        <v>1920</v>
      </c>
      <c r="AR34">
        <v>1959</v>
      </c>
      <c r="AS34" t="s">
        <v>219</v>
      </c>
      <c r="AT34">
        <v>0.19438740588637901</v>
      </c>
      <c r="AU34">
        <f t="shared" si="2"/>
        <v>1E-3</v>
      </c>
    </row>
    <row r="35" spans="1:47" x14ac:dyDescent="0.3">
      <c r="A35">
        <v>33</v>
      </c>
      <c r="B35" t="s">
        <v>220</v>
      </c>
      <c r="C35" t="s">
        <v>221</v>
      </c>
      <c r="D35">
        <v>20</v>
      </c>
      <c r="E35" t="s">
        <v>177</v>
      </c>
      <c r="F35" t="str">
        <f>VLOOKUP(E35,country_continent!A:C,2,FALSE)</f>
        <v>Canada</v>
      </c>
      <c r="G35" t="str">
        <f>VLOOKUP(E35,country_continent!A:C,3,FALSE)</f>
        <v>North America</v>
      </c>
      <c r="H35" t="s">
        <v>222</v>
      </c>
      <c r="I35" t="s">
        <v>217</v>
      </c>
      <c r="J35" s="3" t="str">
        <f t="shared" si="0"/>
        <v>1896/07/11</v>
      </c>
      <c r="K35" s="1">
        <v>4301</v>
      </c>
      <c r="L35" s="3">
        <f t="shared" si="1"/>
        <v>4301</v>
      </c>
      <c r="M35" t="s">
        <v>49</v>
      </c>
      <c r="N35" t="s">
        <v>49</v>
      </c>
      <c r="O35" t="s">
        <v>49</v>
      </c>
      <c r="P35">
        <v>0</v>
      </c>
      <c r="Q35" t="s">
        <v>50</v>
      </c>
      <c r="R35" t="s">
        <v>51</v>
      </c>
      <c r="S35">
        <v>1841</v>
      </c>
      <c r="T35">
        <v>1919</v>
      </c>
      <c r="Y35" t="s">
        <v>223</v>
      </c>
      <c r="Z35">
        <v>0</v>
      </c>
      <c r="AA35">
        <v>1</v>
      </c>
      <c r="AB35">
        <v>0</v>
      </c>
      <c r="AC35">
        <v>0</v>
      </c>
      <c r="AF35">
        <v>1896</v>
      </c>
      <c r="AG35">
        <v>1911</v>
      </c>
      <c r="AO35" t="b">
        <v>1</v>
      </c>
      <c r="AP35" t="s">
        <v>45</v>
      </c>
      <c r="AQ35">
        <v>1920</v>
      </c>
      <c r="AR35">
        <v>1959</v>
      </c>
      <c r="AS35" t="s">
        <v>224</v>
      </c>
      <c r="AT35">
        <v>15.2443531827515</v>
      </c>
      <c r="AU35">
        <f t="shared" si="2"/>
        <v>4.2000000000000003E-2</v>
      </c>
    </row>
    <row r="36" spans="1:47" x14ac:dyDescent="0.3">
      <c r="A36">
        <v>34</v>
      </c>
      <c r="B36" t="s">
        <v>225</v>
      </c>
      <c r="C36" t="s">
        <v>226</v>
      </c>
      <c r="D36">
        <v>20</v>
      </c>
      <c r="E36" t="s">
        <v>177</v>
      </c>
      <c r="F36" t="str">
        <f>VLOOKUP(E36,country_continent!A:C,2,FALSE)</f>
        <v>Canada</v>
      </c>
      <c r="G36" t="str">
        <f>VLOOKUP(E36,country_continent!A:C,3,FALSE)</f>
        <v>North America</v>
      </c>
      <c r="H36" t="s">
        <v>227</v>
      </c>
      <c r="I36" s="1">
        <v>4301</v>
      </c>
      <c r="J36" s="3">
        <f t="shared" si="0"/>
        <v>4301</v>
      </c>
      <c r="K36" s="1">
        <v>7467</v>
      </c>
      <c r="L36" s="3">
        <f t="shared" si="1"/>
        <v>7467</v>
      </c>
      <c r="M36" t="s">
        <v>49</v>
      </c>
      <c r="N36" t="s">
        <v>228</v>
      </c>
      <c r="O36" t="s">
        <v>49</v>
      </c>
      <c r="P36">
        <v>0</v>
      </c>
      <c r="Q36" t="s">
        <v>50</v>
      </c>
      <c r="R36" t="s">
        <v>51</v>
      </c>
      <c r="S36">
        <v>1854</v>
      </c>
      <c r="T36">
        <v>1937</v>
      </c>
      <c r="Y36" t="s">
        <v>229</v>
      </c>
      <c r="Z36">
        <v>0</v>
      </c>
      <c r="AA36">
        <v>2.0999998999999998</v>
      </c>
      <c r="AB36">
        <v>0</v>
      </c>
      <c r="AC36">
        <v>0</v>
      </c>
      <c r="AF36">
        <v>1911</v>
      </c>
      <c r="AG36">
        <v>1920</v>
      </c>
      <c r="AO36" t="b">
        <v>1</v>
      </c>
      <c r="AP36" t="s">
        <v>45</v>
      </c>
      <c r="AQ36">
        <v>1920</v>
      </c>
      <c r="AR36">
        <v>1959</v>
      </c>
      <c r="AS36" t="s">
        <v>230</v>
      </c>
      <c r="AT36">
        <v>8.6680355920602299</v>
      </c>
      <c r="AU36">
        <f t="shared" si="2"/>
        <v>2.4E-2</v>
      </c>
    </row>
    <row r="37" spans="1:47" x14ac:dyDescent="0.3">
      <c r="A37">
        <v>35</v>
      </c>
      <c r="B37" t="s">
        <v>231</v>
      </c>
      <c r="C37" t="s">
        <v>232</v>
      </c>
      <c r="D37">
        <v>20</v>
      </c>
      <c r="E37" t="s">
        <v>177</v>
      </c>
      <c r="F37" t="str">
        <f>VLOOKUP(E37,country_continent!A:C,2,FALSE)</f>
        <v>Canada</v>
      </c>
      <c r="G37" t="str">
        <f>VLOOKUP(E37,country_continent!A:C,3,FALSE)</f>
        <v>North America</v>
      </c>
      <c r="H37" t="s">
        <v>233</v>
      </c>
      <c r="I37" s="1">
        <v>7497</v>
      </c>
      <c r="J37" s="3">
        <f t="shared" si="0"/>
        <v>7497</v>
      </c>
      <c r="K37" s="1">
        <v>8034</v>
      </c>
      <c r="L37" s="3">
        <f t="shared" si="1"/>
        <v>8034</v>
      </c>
      <c r="M37" t="s">
        <v>49</v>
      </c>
      <c r="N37" t="s">
        <v>49</v>
      </c>
      <c r="O37" t="s">
        <v>49</v>
      </c>
      <c r="P37">
        <v>0</v>
      </c>
      <c r="Q37" t="s">
        <v>50</v>
      </c>
      <c r="R37" t="s">
        <v>51</v>
      </c>
      <c r="S37">
        <v>1874</v>
      </c>
      <c r="T37">
        <v>1960</v>
      </c>
      <c r="Y37" t="s">
        <v>234</v>
      </c>
      <c r="Z37">
        <v>0</v>
      </c>
      <c r="AA37">
        <v>1</v>
      </c>
      <c r="AB37">
        <v>0</v>
      </c>
      <c r="AC37">
        <v>0</v>
      </c>
      <c r="AF37">
        <v>1920</v>
      </c>
      <c r="AG37">
        <v>1921</v>
      </c>
      <c r="AO37" t="b">
        <v>1</v>
      </c>
      <c r="AP37" t="s">
        <v>45</v>
      </c>
      <c r="AQ37">
        <v>1920</v>
      </c>
      <c r="AR37">
        <v>1959</v>
      </c>
      <c r="AS37" t="s">
        <v>235</v>
      </c>
      <c r="AT37">
        <v>1.47022587268993</v>
      </c>
      <c r="AU37">
        <f t="shared" si="2"/>
        <v>4.0000000000000001E-3</v>
      </c>
    </row>
    <row r="38" spans="1:47" x14ac:dyDescent="0.3">
      <c r="A38">
        <v>36</v>
      </c>
      <c r="B38" t="s">
        <v>236</v>
      </c>
      <c r="C38" t="s">
        <v>237</v>
      </c>
      <c r="D38">
        <v>20</v>
      </c>
      <c r="E38" t="s">
        <v>177</v>
      </c>
      <c r="F38" t="str">
        <f>VLOOKUP(E38,country_continent!A:C,2,FALSE)</f>
        <v>Canada</v>
      </c>
      <c r="G38" t="str">
        <f>VLOOKUP(E38,country_continent!A:C,3,FALSE)</f>
        <v>North America</v>
      </c>
      <c r="H38" t="s">
        <v>238</v>
      </c>
      <c r="I38" s="1">
        <v>8034</v>
      </c>
      <c r="J38" s="3">
        <f t="shared" si="0"/>
        <v>8034</v>
      </c>
      <c r="K38" s="1">
        <v>9676</v>
      </c>
      <c r="L38" s="3">
        <f t="shared" si="1"/>
        <v>9676</v>
      </c>
      <c r="M38" t="s">
        <v>49</v>
      </c>
      <c r="N38" t="s">
        <v>49</v>
      </c>
      <c r="O38" t="s">
        <v>49</v>
      </c>
      <c r="P38">
        <v>0</v>
      </c>
      <c r="Q38" t="s">
        <v>50</v>
      </c>
      <c r="R38" t="s">
        <v>51</v>
      </c>
      <c r="S38">
        <v>1874</v>
      </c>
      <c r="T38">
        <v>1951</v>
      </c>
      <c r="Z38">
        <v>0</v>
      </c>
      <c r="AA38">
        <v>1</v>
      </c>
      <c r="AB38">
        <v>0</v>
      </c>
      <c r="AC38">
        <v>0</v>
      </c>
      <c r="AD38" t="s">
        <v>239</v>
      </c>
      <c r="AE38">
        <v>1</v>
      </c>
      <c r="AF38">
        <v>1921</v>
      </c>
      <c r="AG38">
        <v>1926</v>
      </c>
      <c r="AO38" t="b">
        <v>1</v>
      </c>
      <c r="AP38" t="s">
        <v>45</v>
      </c>
      <c r="AQ38">
        <v>1920</v>
      </c>
      <c r="AR38">
        <v>1959</v>
      </c>
      <c r="AS38" t="s">
        <v>240</v>
      </c>
      <c r="AT38">
        <v>4.4955509924709096</v>
      </c>
      <c r="AU38">
        <f t="shared" si="2"/>
        <v>1.2E-2</v>
      </c>
    </row>
    <row r="39" spans="1:47" x14ac:dyDescent="0.3">
      <c r="A39">
        <v>37</v>
      </c>
      <c r="B39" t="s">
        <v>241</v>
      </c>
      <c r="C39" t="s">
        <v>232</v>
      </c>
      <c r="D39">
        <v>20</v>
      </c>
      <c r="E39" t="s">
        <v>177</v>
      </c>
      <c r="F39" t="str">
        <f>VLOOKUP(E39,country_continent!A:C,2,FALSE)</f>
        <v>Canada</v>
      </c>
      <c r="G39" t="str">
        <f>VLOOKUP(E39,country_continent!A:C,3,FALSE)</f>
        <v>North America</v>
      </c>
      <c r="H39" t="s">
        <v>233</v>
      </c>
      <c r="I39" s="1">
        <v>9677</v>
      </c>
      <c r="J39" s="3">
        <f t="shared" si="0"/>
        <v>9677</v>
      </c>
      <c r="K39" s="1">
        <v>9765</v>
      </c>
      <c r="L39" s="3">
        <f t="shared" si="1"/>
        <v>9765</v>
      </c>
      <c r="M39" t="s">
        <v>49</v>
      </c>
      <c r="N39" t="s">
        <v>49</v>
      </c>
      <c r="O39" t="s">
        <v>49</v>
      </c>
      <c r="P39">
        <v>1</v>
      </c>
      <c r="Q39" t="s">
        <v>50</v>
      </c>
      <c r="R39" t="s">
        <v>51</v>
      </c>
      <c r="S39">
        <v>1874</v>
      </c>
      <c r="T39">
        <v>1960</v>
      </c>
      <c r="Y39" t="s">
        <v>234</v>
      </c>
      <c r="Z39">
        <v>0</v>
      </c>
      <c r="AA39">
        <v>1</v>
      </c>
      <c r="AB39">
        <v>0</v>
      </c>
      <c r="AC39">
        <v>0</v>
      </c>
      <c r="AF39">
        <v>1926</v>
      </c>
      <c r="AG39">
        <v>1926</v>
      </c>
      <c r="AO39" t="b">
        <v>1</v>
      </c>
      <c r="AP39" t="s">
        <v>45</v>
      </c>
      <c r="AQ39">
        <v>1920</v>
      </c>
      <c r="AR39">
        <v>1959</v>
      </c>
      <c r="AS39" t="s">
        <v>242</v>
      </c>
      <c r="AT39">
        <v>0.240930869267624</v>
      </c>
      <c r="AU39">
        <f t="shared" si="2"/>
        <v>1E-3</v>
      </c>
    </row>
    <row r="40" spans="1:47" x14ac:dyDescent="0.3">
      <c r="A40">
        <v>38</v>
      </c>
      <c r="B40" t="s">
        <v>243</v>
      </c>
      <c r="C40" t="s">
        <v>237</v>
      </c>
      <c r="D40">
        <v>20</v>
      </c>
      <c r="E40" t="s">
        <v>177</v>
      </c>
      <c r="F40" t="str">
        <f>VLOOKUP(E40,country_continent!A:C,2,FALSE)</f>
        <v>Canada</v>
      </c>
      <c r="G40" t="str">
        <f>VLOOKUP(E40,country_continent!A:C,3,FALSE)</f>
        <v>North America</v>
      </c>
      <c r="H40" t="s">
        <v>238</v>
      </c>
      <c r="I40" s="1">
        <v>9765</v>
      </c>
      <c r="J40" s="3">
        <f t="shared" si="0"/>
        <v>9765</v>
      </c>
      <c r="K40" s="1">
        <v>11177</v>
      </c>
      <c r="L40" s="3">
        <f t="shared" si="1"/>
        <v>11177</v>
      </c>
      <c r="M40" t="s">
        <v>49</v>
      </c>
      <c r="N40" t="s">
        <v>49</v>
      </c>
      <c r="O40" t="s">
        <v>49</v>
      </c>
      <c r="P40">
        <v>1</v>
      </c>
      <c r="Q40" t="s">
        <v>50</v>
      </c>
      <c r="R40" t="s">
        <v>51</v>
      </c>
      <c r="S40">
        <v>1874</v>
      </c>
      <c r="T40">
        <v>1951</v>
      </c>
      <c r="Z40">
        <v>0</v>
      </c>
      <c r="AA40">
        <v>1</v>
      </c>
      <c r="AB40">
        <v>0</v>
      </c>
      <c r="AC40">
        <v>0</v>
      </c>
      <c r="AD40" t="s">
        <v>239</v>
      </c>
      <c r="AE40">
        <v>1</v>
      </c>
      <c r="AF40">
        <v>1926</v>
      </c>
      <c r="AG40">
        <v>1930</v>
      </c>
      <c r="AO40" t="b">
        <v>1</v>
      </c>
      <c r="AP40" t="s">
        <v>45</v>
      </c>
      <c r="AQ40">
        <v>1920</v>
      </c>
      <c r="AR40">
        <v>1959</v>
      </c>
      <c r="AS40" t="s">
        <v>244</v>
      </c>
      <c r="AT40">
        <v>3.8658453114305198</v>
      </c>
      <c r="AU40">
        <f t="shared" si="2"/>
        <v>1.0999999999999999E-2</v>
      </c>
    </row>
    <row r="41" spans="1:47" x14ac:dyDescent="0.3">
      <c r="A41">
        <v>39</v>
      </c>
      <c r="B41" t="s">
        <v>245</v>
      </c>
      <c r="C41" t="s">
        <v>246</v>
      </c>
      <c r="D41">
        <v>20</v>
      </c>
      <c r="E41" t="s">
        <v>177</v>
      </c>
      <c r="F41" t="str">
        <f>VLOOKUP(E41,country_continent!A:C,2,FALSE)</f>
        <v>Canada</v>
      </c>
      <c r="G41" t="str">
        <f>VLOOKUP(E41,country_continent!A:C,3,FALSE)</f>
        <v>North America</v>
      </c>
      <c r="H41" t="s">
        <v>247</v>
      </c>
      <c r="I41" s="1">
        <v>11177</v>
      </c>
      <c r="J41" s="3">
        <f t="shared" si="0"/>
        <v>11177</v>
      </c>
      <c r="K41" s="1">
        <v>13080</v>
      </c>
      <c r="L41" s="3">
        <f t="shared" si="1"/>
        <v>13080</v>
      </c>
      <c r="M41" t="s">
        <v>49</v>
      </c>
      <c r="N41" t="s">
        <v>49</v>
      </c>
      <c r="O41" t="s">
        <v>49</v>
      </c>
      <c r="P41">
        <v>0</v>
      </c>
      <c r="Q41" t="s">
        <v>50</v>
      </c>
      <c r="R41" t="s">
        <v>51</v>
      </c>
      <c r="S41">
        <v>1870</v>
      </c>
      <c r="T41">
        <v>1947</v>
      </c>
      <c r="Y41" t="s">
        <v>248</v>
      </c>
      <c r="Z41">
        <v>0</v>
      </c>
      <c r="AA41">
        <v>1</v>
      </c>
      <c r="AB41">
        <v>0</v>
      </c>
      <c r="AC41">
        <v>0</v>
      </c>
      <c r="AF41">
        <v>1930</v>
      </c>
      <c r="AG41">
        <v>1935</v>
      </c>
      <c r="AO41" t="b">
        <v>1</v>
      </c>
      <c r="AP41" t="s">
        <v>45</v>
      </c>
      <c r="AQ41">
        <v>1920</v>
      </c>
      <c r="AR41">
        <v>1959</v>
      </c>
      <c r="AS41" t="s">
        <v>249</v>
      </c>
      <c r="AT41">
        <v>5.2101300479123802</v>
      </c>
      <c r="AU41">
        <f t="shared" si="2"/>
        <v>1.4E-2</v>
      </c>
    </row>
    <row r="42" spans="1:47" x14ac:dyDescent="0.3">
      <c r="A42">
        <v>40</v>
      </c>
      <c r="B42" t="s">
        <v>250</v>
      </c>
      <c r="C42" t="s">
        <v>237</v>
      </c>
      <c r="D42">
        <v>20</v>
      </c>
      <c r="E42" t="s">
        <v>177</v>
      </c>
      <c r="F42" t="str">
        <f>VLOOKUP(E42,country_continent!A:C,2,FALSE)</f>
        <v>Canada</v>
      </c>
      <c r="G42" t="str">
        <f>VLOOKUP(E42,country_continent!A:C,3,FALSE)</f>
        <v>North America</v>
      </c>
      <c r="H42" t="s">
        <v>238</v>
      </c>
      <c r="I42" s="1">
        <v>13080</v>
      </c>
      <c r="J42" s="3">
        <f t="shared" si="0"/>
        <v>13080</v>
      </c>
      <c r="K42" s="1">
        <v>17852</v>
      </c>
      <c r="L42" s="3">
        <f t="shared" si="1"/>
        <v>17852</v>
      </c>
      <c r="M42" t="s">
        <v>49</v>
      </c>
      <c r="N42" t="s">
        <v>228</v>
      </c>
      <c r="O42" t="s">
        <v>49</v>
      </c>
      <c r="P42">
        <v>2</v>
      </c>
      <c r="Q42" t="s">
        <v>50</v>
      </c>
      <c r="R42" t="s">
        <v>51</v>
      </c>
      <c r="S42">
        <v>1874</v>
      </c>
      <c r="T42">
        <v>1951</v>
      </c>
      <c r="Z42">
        <v>0</v>
      </c>
      <c r="AA42">
        <v>2.0999998999999998</v>
      </c>
      <c r="AB42">
        <v>0</v>
      </c>
      <c r="AC42">
        <v>0</v>
      </c>
      <c r="AD42" t="s">
        <v>239</v>
      </c>
      <c r="AE42">
        <v>1</v>
      </c>
      <c r="AF42">
        <v>1935</v>
      </c>
      <c r="AG42">
        <v>1948</v>
      </c>
      <c r="AN42">
        <v>10</v>
      </c>
      <c r="AO42" t="b">
        <v>1</v>
      </c>
      <c r="AP42" t="s">
        <v>45</v>
      </c>
      <c r="AQ42">
        <v>1920</v>
      </c>
      <c r="AR42">
        <v>1959</v>
      </c>
      <c r="AS42" t="s">
        <v>251</v>
      </c>
      <c r="AT42">
        <v>13.065023956194301</v>
      </c>
      <c r="AU42">
        <f t="shared" si="2"/>
        <v>3.5999999999999997E-2</v>
      </c>
    </row>
    <row r="43" spans="1:47" x14ac:dyDescent="0.3">
      <c r="A43">
        <v>41</v>
      </c>
      <c r="B43" t="s">
        <v>252</v>
      </c>
      <c r="C43" t="s">
        <v>253</v>
      </c>
      <c r="D43">
        <v>20</v>
      </c>
      <c r="E43" t="s">
        <v>177</v>
      </c>
      <c r="F43" t="str">
        <f>VLOOKUP(E43,country_continent!A:C,2,FALSE)</f>
        <v>Canada</v>
      </c>
      <c r="G43" t="str">
        <f>VLOOKUP(E43,country_continent!A:C,3,FALSE)</f>
        <v>North America</v>
      </c>
      <c r="H43" t="s">
        <v>254</v>
      </c>
      <c r="I43" s="1">
        <v>17852</v>
      </c>
      <c r="J43" s="3">
        <f t="shared" si="0"/>
        <v>17852</v>
      </c>
      <c r="K43" s="1">
        <v>20992</v>
      </c>
      <c r="L43" s="3">
        <f t="shared" si="1"/>
        <v>20992</v>
      </c>
      <c r="M43" t="s">
        <v>49</v>
      </c>
      <c r="N43" t="s">
        <v>49</v>
      </c>
      <c r="O43" t="s">
        <v>49</v>
      </c>
      <c r="P43">
        <v>0</v>
      </c>
      <c r="Q43" t="s">
        <v>50</v>
      </c>
      <c r="R43" t="s">
        <v>51</v>
      </c>
      <c r="S43">
        <v>1882</v>
      </c>
      <c r="T43">
        <v>1973</v>
      </c>
      <c r="U43" t="s">
        <v>255</v>
      </c>
      <c r="V43" t="s">
        <v>256</v>
      </c>
      <c r="Y43" t="s">
        <v>257</v>
      </c>
      <c r="Z43">
        <v>0</v>
      </c>
      <c r="AA43">
        <v>1</v>
      </c>
      <c r="AB43">
        <v>0</v>
      </c>
      <c r="AC43">
        <v>0</v>
      </c>
      <c r="AF43">
        <v>1948</v>
      </c>
      <c r="AG43">
        <v>1957</v>
      </c>
      <c r="AN43">
        <v>10</v>
      </c>
      <c r="AO43" t="b">
        <v>1</v>
      </c>
      <c r="AP43" t="s">
        <v>45</v>
      </c>
      <c r="AQ43">
        <v>1920</v>
      </c>
      <c r="AR43">
        <v>1959</v>
      </c>
      <c r="AS43" t="s">
        <v>258</v>
      </c>
      <c r="AT43">
        <v>8.5968514715947908</v>
      </c>
      <c r="AU43">
        <f t="shared" si="2"/>
        <v>2.4E-2</v>
      </c>
    </row>
    <row r="44" spans="1:47" x14ac:dyDescent="0.3">
      <c r="A44">
        <v>42</v>
      </c>
      <c r="B44" t="s">
        <v>259</v>
      </c>
      <c r="C44" t="s">
        <v>260</v>
      </c>
      <c r="D44">
        <v>20</v>
      </c>
      <c r="E44" t="s">
        <v>177</v>
      </c>
      <c r="F44" t="str">
        <f>VLOOKUP(E44,country_continent!A:C,2,FALSE)</f>
        <v>Canada</v>
      </c>
      <c r="G44" t="str">
        <f>VLOOKUP(E44,country_continent!A:C,3,FALSE)</f>
        <v>North America</v>
      </c>
      <c r="H44" t="s">
        <v>261</v>
      </c>
      <c r="I44" s="1">
        <v>20992</v>
      </c>
      <c r="J44" s="3">
        <f t="shared" si="0"/>
        <v>20992</v>
      </c>
      <c r="K44" s="1">
        <v>23123</v>
      </c>
      <c r="L44" s="3">
        <f t="shared" si="1"/>
        <v>23123</v>
      </c>
      <c r="M44" t="s">
        <v>49</v>
      </c>
      <c r="N44" t="s">
        <v>49</v>
      </c>
      <c r="O44" t="s">
        <v>49</v>
      </c>
      <c r="P44">
        <v>0</v>
      </c>
      <c r="Q44" t="s">
        <v>50</v>
      </c>
      <c r="R44" t="s">
        <v>51</v>
      </c>
      <c r="S44">
        <v>1895</v>
      </c>
      <c r="T44">
        <v>1979</v>
      </c>
      <c r="U44" t="s">
        <v>262</v>
      </c>
      <c r="V44" t="s">
        <v>263</v>
      </c>
      <c r="Y44" t="s">
        <v>264</v>
      </c>
      <c r="Z44">
        <v>0</v>
      </c>
      <c r="AA44">
        <v>1</v>
      </c>
      <c r="AB44">
        <v>0</v>
      </c>
      <c r="AC44">
        <v>0</v>
      </c>
      <c r="AF44">
        <v>1957</v>
      </c>
      <c r="AG44">
        <v>1963</v>
      </c>
      <c r="AH44">
        <v>3.3078932957248099</v>
      </c>
      <c r="AI44">
        <v>2395</v>
      </c>
      <c r="AJ44">
        <v>1.9788426858100201</v>
      </c>
      <c r="AK44">
        <v>31</v>
      </c>
      <c r="AL44">
        <v>1.9073062393115301</v>
      </c>
      <c r="AN44">
        <v>10</v>
      </c>
      <c r="AO44" t="b">
        <v>1</v>
      </c>
      <c r="AP44" t="s">
        <v>45</v>
      </c>
      <c r="AQ44">
        <v>1920</v>
      </c>
      <c r="AR44">
        <v>1959</v>
      </c>
      <c r="AS44" t="s">
        <v>265</v>
      </c>
      <c r="AT44">
        <v>5.8343600273784997</v>
      </c>
      <c r="AU44">
        <f t="shared" si="2"/>
        <v>1.6E-2</v>
      </c>
    </row>
    <row r="45" spans="1:47" x14ac:dyDescent="0.3">
      <c r="A45">
        <v>43</v>
      </c>
      <c r="B45" t="s">
        <v>266</v>
      </c>
      <c r="C45" t="s">
        <v>267</v>
      </c>
      <c r="D45">
        <v>20</v>
      </c>
      <c r="E45" t="s">
        <v>177</v>
      </c>
      <c r="F45" t="str">
        <f>VLOOKUP(E45,country_continent!A:C,2,FALSE)</f>
        <v>Canada</v>
      </c>
      <c r="G45" t="str">
        <f>VLOOKUP(E45,country_continent!A:C,3,FALSE)</f>
        <v>North America</v>
      </c>
      <c r="H45" t="s">
        <v>268</v>
      </c>
      <c r="I45" s="1">
        <v>23123</v>
      </c>
      <c r="J45" s="3">
        <f t="shared" si="0"/>
        <v>23123</v>
      </c>
      <c r="K45" s="1">
        <v>24948</v>
      </c>
      <c r="L45" s="3">
        <f t="shared" si="1"/>
        <v>24948</v>
      </c>
      <c r="M45" t="s">
        <v>49</v>
      </c>
      <c r="N45" t="s">
        <v>49</v>
      </c>
      <c r="O45" t="s">
        <v>49</v>
      </c>
      <c r="P45">
        <v>0</v>
      </c>
      <c r="Q45" t="s">
        <v>50</v>
      </c>
      <c r="R45" t="s">
        <v>51</v>
      </c>
      <c r="S45">
        <v>1897</v>
      </c>
      <c r="T45">
        <v>1972</v>
      </c>
      <c r="U45" t="s">
        <v>269</v>
      </c>
      <c r="V45" t="s">
        <v>270</v>
      </c>
      <c r="Y45" t="s">
        <v>271</v>
      </c>
      <c r="Z45">
        <v>0</v>
      </c>
      <c r="AA45">
        <v>1</v>
      </c>
      <c r="AB45">
        <v>0</v>
      </c>
      <c r="AC45">
        <v>0</v>
      </c>
      <c r="AF45">
        <v>1963</v>
      </c>
      <c r="AG45">
        <v>1968</v>
      </c>
      <c r="AH45">
        <v>3.6286985933870901</v>
      </c>
      <c r="AI45">
        <v>2868.3333333333298</v>
      </c>
      <c r="AJ45">
        <v>3.70487589423472</v>
      </c>
      <c r="AK45">
        <v>26.6166666666666</v>
      </c>
      <c r="AL45">
        <v>1.80571770788074</v>
      </c>
      <c r="AN45">
        <v>10</v>
      </c>
      <c r="AO45" t="b">
        <v>1</v>
      </c>
      <c r="AP45" t="s">
        <v>45</v>
      </c>
      <c r="AQ45">
        <v>1920</v>
      </c>
      <c r="AR45">
        <v>1959</v>
      </c>
      <c r="AS45" t="s">
        <v>272</v>
      </c>
      <c r="AT45">
        <v>4.9965776865160798</v>
      </c>
      <c r="AU45">
        <f t="shared" si="2"/>
        <v>1.4E-2</v>
      </c>
    </row>
    <row r="46" spans="1:47" x14ac:dyDescent="0.3">
      <c r="A46">
        <v>44</v>
      </c>
      <c r="B46" t="s">
        <v>273</v>
      </c>
      <c r="C46" t="s">
        <v>274</v>
      </c>
      <c r="D46">
        <v>20</v>
      </c>
      <c r="E46" t="s">
        <v>177</v>
      </c>
      <c r="F46" t="str">
        <f>VLOOKUP(E46,country_continent!A:C,2,FALSE)</f>
        <v>Canada</v>
      </c>
      <c r="G46" t="str">
        <f>VLOOKUP(E46,country_continent!A:C,3,FALSE)</f>
        <v>North America</v>
      </c>
      <c r="H46" t="s">
        <v>275</v>
      </c>
      <c r="I46" s="1">
        <v>24948</v>
      </c>
      <c r="J46" s="3">
        <f t="shared" si="0"/>
        <v>24948</v>
      </c>
      <c r="K46" s="1">
        <v>29010</v>
      </c>
      <c r="L46" s="3">
        <f t="shared" si="1"/>
        <v>29010</v>
      </c>
      <c r="M46" t="s">
        <v>49</v>
      </c>
      <c r="N46" t="s">
        <v>49</v>
      </c>
      <c r="O46" t="s">
        <v>49</v>
      </c>
      <c r="P46">
        <v>0</v>
      </c>
      <c r="Q46" t="s">
        <v>50</v>
      </c>
      <c r="R46" t="s">
        <v>51</v>
      </c>
      <c r="S46">
        <v>1919</v>
      </c>
      <c r="T46">
        <v>2000</v>
      </c>
      <c r="U46" s="1">
        <v>7231</v>
      </c>
      <c r="V46" s="2">
        <v>7231</v>
      </c>
      <c r="Y46" t="s">
        <v>276</v>
      </c>
      <c r="Z46">
        <v>0</v>
      </c>
      <c r="AA46">
        <v>1</v>
      </c>
      <c r="AB46">
        <v>0</v>
      </c>
      <c r="AC46">
        <v>0</v>
      </c>
      <c r="AD46" t="s">
        <v>277</v>
      </c>
      <c r="AE46">
        <v>0</v>
      </c>
      <c r="AF46">
        <v>1968</v>
      </c>
      <c r="AG46">
        <v>1979</v>
      </c>
      <c r="AH46">
        <v>2.7869032127590301</v>
      </c>
      <c r="AI46">
        <v>6671.6666666666597</v>
      </c>
      <c r="AJ46">
        <v>7.7720868825006004</v>
      </c>
      <c r="AK46">
        <v>18.508333333333301</v>
      </c>
      <c r="AL46">
        <v>1.4191122464880701</v>
      </c>
      <c r="AM46">
        <v>3.9622295776888099</v>
      </c>
      <c r="AN46">
        <v>10</v>
      </c>
      <c r="AO46" t="b">
        <v>1</v>
      </c>
      <c r="AP46" t="s">
        <v>45</v>
      </c>
      <c r="AQ46">
        <v>1920</v>
      </c>
      <c r="AR46">
        <v>1959</v>
      </c>
      <c r="AS46" t="s">
        <v>278</v>
      </c>
      <c r="AT46">
        <v>11.121149897330501</v>
      </c>
      <c r="AU46">
        <f t="shared" si="2"/>
        <v>0.03</v>
      </c>
    </row>
    <row r="47" spans="1:47" x14ac:dyDescent="0.3">
      <c r="A47">
        <v>45</v>
      </c>
      <c r="B47" t="s">
        <v>279</v>
      </c>
      <c r="C47" t="s">
        <v>280</v>
      </c>
      <c r="D47">
        <v>20</v>
      </c>
      <c r="E47" t="s">
        <v>177</v>
      </c>
      <c r="F47" t="str">
        <f>VLOOKUP(E47,country_continent!A:C,2,FALSE)</f>
        <v>Canada</v>
      </c>
      <c r="G47" t="str">
        <f>VLOOKUP(E47,country_continent!A:C,3,FALSE)</f>
        <v>North America</v>
      </c>
      <c r="H47" t="s">
        <v>281</v>
      </c>
      <c r="I47" s="1">
        <v>29010</v>
      </c>
      <c r="J47" s="3">
        <f t="shared" si="0"/>
        <v>29010</v>
      </c>
      <c r="K47" s="1">
        <v>29283</v>
      </c>
      <c r="L47" s="3">
        <f t="shared" si="1"/>
        <v>29283</v>
      </c>
      <c r="M47" t="s">
        <v>49</v>
      </c>
      <c r="N47" t="s">
        <v>49</v>
      </c>
      <c r="O47" t="s">
        <v>49</v>
      </c>
      <c r="P47">
        <v>0</v>
      </c>
      <c r="Q47" t="s">
        <v>50</v>
      </c>
      <c r="R47" t="s">
        <v>51</v>
      </c>
      <c r="S47">
        <v>1939</v>
      </c>
      <c r="T47">
        <v>-777</v>
      </c>
      <c r="U47" s="1">
        <v>14401</v>
      </c>
      <c r="V47" s="2">
        <v>14401</v>
      </c>
      <c r="Y47" t="s">
        <v>282</v>
      </c>
      <c r="Z47">
        <v>0</v>
      </c>
      <c r="AA47">
        <v>1</v>
      </c>
      <c r="AB47">
        <v>0</v>
      </c>
      <c r="AC47">
        <v>0</v>
      </c>
      <c r="AF47">
        <v>1979</v>
      </c>
      <c r="AG47">
        <v>1980</v>
      </c>
      <c r="AH47">
        <v>1.78584142126812</v>
      </c>
      <c r="AI47">
        <v>11100</v>
      </c>
      <c r="AJ47">
        <v>10.062970102163</v>
      </c>
      <c r="AK47">
        <v>12.9</v>
      </c>
      <c r="AL47">
        <v>1.1396468558531301</v>
      </c>
      <c r="AM47">
        <v>8.7540959801089606</v>
      </c>
      <c r="AN47">
        <v>10</v>
      </c>
      <c r="AO47" t="b">
        <v>1</v>
      </c>
      <c r="AP47" t="s">
        <v>45</v>
      </c>
      <c r="AQ47">
        <v>1920</v>
      </c>
      <c r="AR47">
        <v>1959</v>
      </c>
      <c r="AS47" t="s">
        <v>283</v>
      </c>
      <c r="AT47">
        <v>0.74743326488706296</v>
      </c>
      <c r="AU47">
        <f t="shared" si="2"/>
        <v>2E-3</v>
      </c>
    </row>
    <row r="48" spans="1:47" x14ac:dyDescent="0.3">
      <c r="A48">
        <v>46</v>
      </c>
      <c r="B48" t="s">
        <v>284</v>
      </c>
      <c r="C48" t="s">
        <v>274</v>
      </c>
      <c r="D48">
        <v>20</v>
      </c>
      <c r="E48" t="s">
        <v>177</v>
      </c>
      <c r="F48" t="str">
        <f>VLOOKUP(E48,country_continent!A:C,2,FALSE)</f>
        <v>Canada</v>
      </c>
      <c r="G48" t="str">
        <f>VLOOKUP(E48,country_continent!A:C,3,FALSE)</f>
        <v>North America</v>
      </c>
      <c r="H48" t="s">
        <v>275</v>
      </c>
      <c r="I48" s="1">
        <v>29283</v>
      </c>
      <c r="J48" s="3">
        <f t="shared" si="0"/>
        <v>29283</v>
      </c>
      <c r="K48" s="1">
        <v>30863</v>
      </c>
      <c r="L48" s="3">
        <f t="shared" si="1"/>
        <v>30863</v>
      </c>
      <c r="M48" t="s">
        <v>49</v>
      </c>
      <c r="N48" t="s">
        <v>49</v>
      </c>
      <c r="O48" t="s">
        <v>49</v>
      </c>
      <c r="P48">
        <v>1</v>
      </c>
      <c r="Q48" t="s">
        <v>50</v>
      </c>
      <c r="R48" t="s">
        <v>51</v>
      </c>
      <c r="S48">
        <v>1919</v>
      </c>
      <c r="T48">
        <v>2000</v>
      </c>
      <c r="U48" s="1">
        <v>7231</v>
      </c>
      <c r="V48" s="2">
        <v>7231</v>
      </c>
      <c r="Y48" t="s">
        <v>276</v>
      </c>
      <c r="Z48">
        <v>0</v>
      </c>
      <c r="AA48">
        <v>1</v>
      </c>
      <c r="AB48">
        <v>0</v>
      </c>
      <c r="AC48">
        <v>0</v>
      </c>
      <c r="AD48" t="s">
        <v>277</v>
      </c>
      <c r="AE48">
        <v>0</v>
      </c>
      <c r="AF48">
        <v>1980</v>
      </c>
      <c r="AG48">
        <v>1984</v>
      </c>
      <c r="AH48">
        <v>1.03221401742559</v>
      </c>
      <c r="AI48">
        <v>12240</v>
      </c>
      <c r="AJ48">
        <v>7.8247581607699299</v>
      </c>
      <c r="AK48">
        <v>11.24</v>
      </c>
      <c r="AL48">
        <v>1.1290277714482799</v>
      </c>
      <c r="AM48">
        <v>5.3364944195362796</v>
      </c>
      <c r="AN48">
        <v>10</v>
      </c>
      <c r="AO48" t="b">
        <v>1</v>
      </c>
      <c r="AP48" t="s">
        <v>45</v>
      </c>
      <c r="AQ48">
        <v>1920</v>
      </c>
      <c r="AR48">
        <v>1959</v>
      </c>
      <c r="AS48" t="s">
        <v>285</v>
      </c>
      <c r="AT48">
        <v>4.3258042436687196</v>
      </c>
      <c r="AU48">
        <f t="shared" si="2"/>
        <v>1.2E-2</v>
      </c>
    </row>
    <row r="49" spans="1:47" x14ac:dyDescent="0.3">
      <c r="A49">
        <v>47</v>
      </c>
      <c r="B49" t="s">
        <v>286</v>
      </c>
      <c r="C49" t="s">
        <v>287</v>
      </c>
      <c r="D49">
        <v>20</v>
      </c>
      <c r="E49" t="s">
        <v>177</v>
      </c>
      <c r="F49" t="str">
        <f>VLOOKUP(E49,country_continent!A:C,2,FALSE)</f>
        <v>Canada</v>
      </c>
      <c r="G49" t="str">
        <f>VLOOKUP(E49,country_continent!A:C,3,FALSE)</f>
        <v>North America</v>
      </c>
      <c r="H49" t="s">
        <v>288</v>
      </c>
      <c r="I49" s="1">
        <v>30863</v>
      </c>
      <c r="J49" s="3">
        <f t="shared" si="0"/>
        <v>30863</v>
      </c>
      <c r="K49" s="1">
        <v>30942</v>
      </c>
      <c r="L49" s="3">
        <f t="shared" si="1"/>
        <v>30942</v>
      </c>
      <c r="M49" t="s">
        <v>49</v>
      </c>
      <c r="N49" t="s">
        <v>49</v>
      </c>
      <c r="O49" t="s">
        <v>49</v>
      </c>
      <c r="P49">
        <v>0</v>
      </c>
      <c r="Q49" t="s">
        <v>50</v>
      </c>
      <c r="R49" t="s">
        <v>51</v>
      </c>
      <c r="S49">
        <v>1929</v>
      </c>
      <c r="T49">
        <v>-777</v>
      </c>
      <c r="U49" s="1">
        <v>10751</v>
      </c>
      <c r="V49" s="2">
        <v>10751</v>
      </c>
      <c r="Y49" t="s">
        <v>289</v>
      </c>
      <c r="Z49">
        <v>0</v>
      </c>
      <c r="AA49">
        <v>1</v>
      </c>
      <c r="AB49">
        <v>0</v>
      </c>
      <c r="AC49">
        <v>0</v>
      </c>
      <c r="AF49">
        <v>1984</v>
      </c>
      <c r="AG49">
        <v>1984</v>
      </c>
      <c r="AH49">
        <v>4.9035541763205899</v>
      </c>
      <c r="AI49">
        <v>13150</v>
      </c>
      <c r="AJ49">
        <v>3.5453902864670801</v>
      </c>
      <c r="AK49">
        <v>10.1</v>
      </c>
      <c r="AL49">
        <v>0.94403471604109401</v>
      </c>
      <c r="AM49">
        <v>4.27715647839391</v>
      </c>
      <c r="AN49">
        <v>10</v>
      </c>
      <c r="AO49" t="b">
        <v>1</v>
      </c>
      <c r="AP49" t="s">
        <v>45</v>
      </c>
      <c r="AQ49">
        <v>1920</v>
      </c>
      <c r="AR49">
        <v>1959</v>
      </c>
      <c r="AS49" t="s">
        <v>290</v>
      </c>
      <c r="AT49">
        <v>0.216290212183436</v>
      </c>
      <c r="AU49">
        <f t="shared" si="2"/>
        <v>1E-3</v>
      </c>
    </row>
    <row r="50" spans="1:47" x14ac:dyDescent="0.3">
      <c r="A50">
        <v>48</v>
      </c>
      <c r="B50" t="s">
        <v>291</v>
      </c>
      <c r="C50" t="s">
        <v>292</v>
      </c>
      <c r="D50">
        <v>20</v>
      </c>
      <c r="E50" t="s">
        <v>177</v>
      </c>
      <c r="F50" t="str">
        <f>VLOOKUP(E50,country_continent!A:C,2,FALSE)</f>
        <v>Canada</v>
      </c>
      <c r="G50" t="str">
        <f>VLOOKUP(E50,country_continent!A:C,3,FALSE)</f>
        <v>North America</v>
      </c>
      <c r="H50" t="s">
        <v>293</v>
      </c>
      <c r="I50" s="1">
        <v>30942</v>
      </c>
      <c r="J50" s="3">
        <f t="shared" si="0"/>
        <v>30942</v>
      </c>
      <c r="K50" s="1">
        <v>34145</v>
      </c>
      <c r="L50" s="3">
        <f t="shared" si="1"/>
        <v>34145</v>
      </c>
      <c r="M50" t="s">
        <v>49</v>
      </c>
      <c r="N50" t="s">
        <v>49</v>
      </c>
      <c r="O50" t="s">
        <v>49</v>
      </c>
      <c r="P50">
        <v>0</v>
      </c>
      <c r="Q50" t="s">
        <v>50</v>
      </c>
      <c r="R50" t="s">
        <v>51</v>
      </c>
      <c r="S50">
        <v>1939</v>
      </c>
      <c r="T50">
        <v>-777</v>
      </c>
      <c r="U50" s="1">
        <v>14324</v>
      </c>
      <c r="V50" s="2">
        <v>14324</v>
      </c>
      <c r="Y50" t="s">
        <v>294</v>
      </c>
      <c r="Z50">
        <v>0</v>
      </c>
      <c r="AA50">
        <v>1</v>
      </c>
      <c r="AB50">
        <v>0</v>
      </c>
      <c r="AC50">
        <v>0</v>
      </c>
      <c r="AF50">
        <v>1984</v>
      </c>
      <c r="AG50">
        <v>1993</v>
      </c>
      <c r="AH50">
        <v>1.2734713398353099</v>
      </c>
      <c r="AI50">
        <v>18078</v>
      </c>
      <c r="AJ50">
        <v>3.3197976686723201</v>
      </c>
      <c r="AK50">
        <v>8.6999999999999993</v>
      </c>
      <c r="AL50">
        <v>1.2293863653119499</v>
      </c>
      <c r="AM50">
        <v>2.82688625485134</v>
      </c>
      <c r="AN50">
        <v>10</v>
      </c>
      <c r="AO50" t="b">
        <v>1</v>
      </c>
      <c r="AP50" t="s">
        <v>45</v>
      </c>
      <c r="AQ50">
        <v>1920</v>
      </c>
      <c r="AR50">
        <v>1959</v>
      </c>
      <c r="AS50" t="s">
        <v>295</v>
      </c>
      <c r="AT50">
        <v>8.7693360711841208</v>
      </c>
      <c r="AU50">
        <f t="shared" si="2"/>
        <v>2.4E-2</v>
      </c>
    </row>
    <row r="51" spans="1:47" x14ac:dyDescent="0.3">
      <c r="A51">
        <v>49</v>
      </c>
      <c r="B51" t="s">
        <v>296</v>
      </c>
      <c r="C51" t="s">
        <v>297</v>
      </c>
      <c r="D51">
        <v>20</v>
      </c>
      <c r="E51" t="s">
        <v>177</v>
      </c>
      <c r="F51" t="str">
        <f>VLOOKUP(E51,country_continent!A:C,2,FALSE)</f>
        <v>Canada</v>
      </c>
      <c r="G51" t="str">
        <f>VLOOKUP(E51,country_continent!A:C,3,FALSE)</f>
        <v>North America</v>
      </c>
      <c r="H51" t="s">
        <v>298</v>
      </c>
      <c r="I51" s="1">
        <v>34145</v>
      </c>
      <c r="J51" s="3">
        <f t="shared" si="0"/>
        <v>34145</v>
      </c>
      <c r="K51" s="1">
        <v>34277</v>
      </c>
      <c r="L51" s="3">
        <f t="shared" si="1"/>
        <v>34277</v>
      </c>
      <c r="M51" t="s">
        <v>49</v>
      </c>
      <c r="N51" t="s">
        <v>49</v>
      </c>
      <c r="O51" t="s">
        <v>49</v>
      </c>
      <c r="P51">
        <v>0</v>
      </c>
      <c r="Q51" t="s">
        <v>50</v>
      </c>
      <c r="R51" t="s">
        <v>299</v>
      </c>
      <c r="S51">
        <v>1947</v>
      </c>
      <c r="T51">
        <v>-777</v>
      </c>
      <c r="Z51">
        <v>0</v>
      </c>
      <c r="AA51">
        <v>1</v>
      </c>
      <c r="AB51">
        <v>0</v>
      </c>
      <c r="AC51">
        <v>0</v>
      </c>
      <c r="AF51">
        <v>1993</v>
      </c>
      <c r="AG51">
        <v>1993</v>
      </c>
      <c r="AH51">
        <v>1.53574575465911</v>
      </c>
      <c r="AI51">
        <v>21270</v>
      </c>
      <c r="AJ51">
        <v>1.2890428502276801</v>
      </c>
      <c r="AK51">
        <v>7.4</v>
      </c>
      <c r="AL51">
        <v>1.0989308788787799</v>
      </c>
      <c r="AM51">
        <v>2.61882501357104</v>
      </c>
      <c r="AN51">
        <v>10</v>
      </c>
      <c r="AO51" t="b">
        <v>1</v>
      </c>
      <c r="AP51" t="s">
        <v>45</v>
      </c>
      <c r="AQ51">
        <v>1920</v>
      </c>
      <c r="AR51">
        <v>1959</v>
      </c>
      <c r="AS51" t="s">
        <v>300</v>
      </c>
      <c r="AT51">
        <v>0.36139630390143701</v>
      </c>
      <c r="AU51">
        <f t="shared" si="2"/>
        <v>1E-3</v>
      </c>
    </row>
    <row r="52" spans="1:47" x14ac:dyDescent="0.3">
      <c r="A52">
        <v>50</v>
      </c>
      <c r="B52" t="s">
        <v>301</v>
      </c>
      <c r="C52" t="s">
        <v>302</v>
      </c>
      <c r="D52">
        <v>20</v>
      </c>
      <c r="E52" t="s">
        <v>177</v>
      </c>
      <c r="F52" t="str">
        <f>VLOOKUP(E52,country_continent!A:C,2,FALSE)</f>
        <v>Canada</v>
      </c>
      <c r="G52" t="str">
        <f>VLOOKUP(E52,country_continent!A:C,3,FALSE)</f>
        <v>North America</v>
      </c>
      <c r="H52" t="s">
        <v>303</v>
      </c>
      <c r="I52" s="1">
        <v>34277</v>
      </c>
      <c r="J52" s="3">
        <f t="shared" si="0"/>
        <v>34277</v>
      </c>
      <c r="K52" s="1">
        <v>37967</v>
      </c>
      <c r="L52" s="3">
        <f t="shared" si="1"/>
        <v>37967</v>
      </c>
      <c r="M52" t="s">
        <v>49</v>
      </c>
      <c r="N52" t="s">
        <v>49</v>
      </c>
      <c r="O52" t="s">
        <v>49</v>
      </c>
      <c r="P52">
        <v>0</v>
      </c>
      <c r="Q52" t="s">
        <v>50</v>
      </c>
      <c r="R52" t="s">
        <v>51</v>
      </c>
      <c r="S52">
        <v>1939</v>
      </c>
      <c r="T52">
        <v>-777</v>
      </c>
      <c r="Z52">
        <v>0</v>
      </c>
      <c r="AA52">
        <v>1</v>
      </c>
      <c r="AB52">
        <v>0</v>
      </c>
      <c r="AC52">
        <v>0</v>
      </c>
      <c r="AF52">
        <v>1993</v>
      </c>
      <c r="AG52">
        <v>2003</v>
      </c>
      <c r="AH52">
        <v>2.3129884421295301</v>
      </c>
      <c r="AI52">
        <v>22040</v>
      </c>
      <c r="AJ52">
        <v>1.8209245019429401</v>
      </c>
      <c r="AK52">
        <v>6.5636363636363599</v>
      </c>
      <c r="AL52">
        <v>0.99202835663133004</v>
      </c>
      <c r="AM52">
        <v>2.9697651280789201</v>
      </c>
      <c r="AN52">
        <v>10</v>
      </c>
      <c r="AO52" t="b">
        <v>1</v>
      </c>
      <c r="AP52" t="s">
        <v>45</v>
      </c>
      <c r="AQ52">
        <v>1920</v>
      </c>
      <c r="AR52">
        <v>1959</v>
      </c>
      <c r="AS52" t="s">
        <v>304</v>
      </c>
      <c r="AT52">
        <v>10.1026694045174</v>
      </c>
      <c r="AU52">
        <f t="shared" si="2"/>
        <v>2.8000000000000001E-2</v>
      </c>
    </row>
    <row r="53" spans="1:47" x14ac:dyDescent="0.3">
      <c r="A53">
        <v>51</v>
      </c>
      <c r="B53" t="s">
        <v>305</v>
      </c>
      <c r="C53" t="s">
        <v>306</v>
      </c>
      <c r="D53">
        <v>20</v>
      </c>
      <c r="E53" t="s">
        <v>177</v>
      </c>
      <c r="F53" t="str">
        <f>VLOOKUP(E53,country_continent!A:C,2,FALSE)</f>
        <v>Canada</v>
      </c>
      <c r="G53" t="str">
        <f>VLOOKUP(E53,country_continent!A:C,3,FALSE)</f>
        <v>North America</v>
      </c>
      <c r="H53" t="s">
        <v>307</v>
      </c>
      <c r="I53" s="1">
        <v>37967</v>
      </c>
      <c r="J53" s="3">
        <f t="shared" si="0"/>
        <v>37967</v>
      </c>
      <c r="K53" s="1">
        <v>38754</v>
      </c>
      <c r="L53" s="3">
        <f t="shared" si="1"/>
        <v>38754</v>
      </c>
      <c r="M53" t="s">
        <v>49</v>
      </c>
      <c r="N53" t="s">
        <v>49</v>
      </c>
      <c r="O53" t="s">
        <v>49</v>
      </c>
      <c r="P53">
        <v>0</v>
      </c>
      <c r="Q53" t="s">
        <v>50</v>
      </c>
      <c r="R53" t="s">
        <v>51</v>
      </c>
      <c r="S53">
        <v>1938</v>
      </c>
      <c r="T53">
        <v>-777</v>
      </c>
      <c r="Z53">
        <v>0</v>
      </c>
      <c r="AA53">
        <v>1</v>
      </c>
      <c r="AB53">
        <v>0</v>
      </c>
      <c r="AC53">
        <v>0</v>
      </c>
      <c r="AF53">
        <v>2003</v>
      </c>
      <c r="AG53">
        <v>2006</v>
      </c>
      <c r="AH53">
        <v>1.71782806900506</v>
      </c>
      <c r="AI53">
        <v>31805</v>
      </c>
      <c r="AJ53">
        <v>3.0493555261579401</v>
      </c>
      <c r="AK53">
        <v>6.1</v>
      </c>
      <c r="AL53">
        <v>0.94801485881667502</v>
      </c>
      <c r="AM53">
        <v>4.5540226574704201</v>
      </c>
      <c r="AN53">
        <v>10</v>
      </c>
      <c r="AO53" t="b">
        <v>1</v>
      </c>
      <c r="AP53" t="s">
        <v>45</v>
      </c>
      <c r="AQ53">
        <v>1920</v>
      </c>
      <c r="AR53">
        <v>1959</v>
      </c>
      <c r="AS53" t="s">
        <v>308</v>
      </c>
      <c r="AT53">
        <v>2.1546885694729601</v>
      </c>
      <c r="AU53">
        <f t="shared" si="2"/>
        <v>6.0000000000000001E-3</v>
      </c>
    </row>
    <row r="54" spans="1:47" x14ac:dyDescent="0.3">
      <c r="A54">
        <v>52</v>
      </c>
      <c r="B54" t="s">
        <v>309</v>
      </c>
      <c r="C54" t="s">
        <v>310</v>
      </c>
      <c r="D54">
        <v>20</v>
      </c>
      <c r="E54" t="s">
        <v>177</v>
      </c>
      <c r="F54" t="str">
        <f>VLOOKUP(E54,country_continent!A:C,2,FALSE)</f>
        <v>Canada</v>
      </c>
      <c r="G54" t="str">
        <f>VLOOKUP(E54,country_continent!A:C,3,FALSE)</f>
        <v>North America</v>
      </c>
      <c r="H54" t="s">
        <v>311</v>
      </c>
      <c r="I54" s="1">
        <v>38754</v>
      </c>
      <c r="J54" s="3">
        <f t="shared" si="0"/>
        <v>38754</v>
      </c>
      <c r="K54" s="1">
        <v>42312</v>
      </c>
      <c r="L54" s="3">
        <f t="shared" si="1"/>
        <v>42312</v>
      </c>
      <c r="M54" t="s">
        <v>49</v>
      </c>
      <c r="N54" t="s">
        <v>49</v>
      </c>
      <c r="O54" t="s">
        <v>49</v>
      </c>
      <c r="P54">
        <v>0</v>
      </c>
      <c r="Q54" t="s">
        <v>312</v>
      </c>
      <c r="R54" t="s">
        <v>51</v>
      </c>
      <c r="S54">
        <v>1959</v>
      </c>
      <c r="T54">
        <v>-777</v>
      </c>
      <c r="U54" s="1">
        <v>21670</v>
      </c>
      <c r="V54" s="2">
        <v>21670</v>
      </c>
      <c r="Z54">
        <v>0</v>
      </c>
      <c r="AA54">
        <v>1</v>
      </c>
      <c r="AB54">
        <v>0</v>
      </c>
      <c r="AC54">
        <v>-999</v>
      </c>
      <c r="AF54">
        <v>2006</v>
      </c>
      <c r="AG54">
        <v>2015</v>
      </c>
      <c r="AH54">
        <v>0.62896125016193505</v>
      </c>
      <c r="AI54">
        <v>46294</v>
      </c>
      <c r="AJ54">
        <v>1.76679349738601</v>
      </c>
      <c r="AK54">
        <v>5.6899999999999897</v>
      </c>
      <c r="AL54">
        <v>1.0198402174438801</v>
      </c>
      <c r="AM54">
        <v>2.4880460334368801</v>
      </c>
      <c r="AN54">
        <v>10</v>
      </c>
      <c r="AO54" t="b">
        <v>1</v>
      </c>
      <c r="AP54" t="s">
        <v>45</v>
      </c>
      <c r="AQ54">
        <v>1920</v>
      </c>
      <c r="AR54">
        <v>1959</v>
      </c>
      <c r="AS54" t="s">
        <v>313</v>
      </c>
      <c r="AT54">
        <v>9.7412731006160094</v>
      </c>
      <c r="AU54">
        <f t="shared" si="2"/>
        <v>2.7E-2</v>
      </c>
    </row>
    <row r="55" spans="1:47" x14ac:dyDescent="0.3">
      <c r="A55">
        <v>53</v>
      </c>
      <c r="B55" t="s">
        <v>314</v>
      </c>
      <c r="C55" t="s">
        <v>315</v>
      </c>
      <c r="D55">
        <v>20</v>
      </c>
      <c r="E55" t="s">
        <v>177</v>
      </c>
      <c r="F55" t="str">
        <f>VLOOKUP(E55,country_continent!A:C,2,FALSE)</f>
        <v>Canada</v>
      </c>
      <c r="G55" t="str">
        <f>VLOOKUP(E55,country_continent!A:C,3,FALSE)</f>
        <v>North America</v>
      </c>
      <c r="H55" t="s">
        <v>316</v>
      </c>
      <c r="I55" s="1">
        <v>42312</v>
      </c>
      <c r="J55" s="3">
        <f t="shared" si="0"/>
        <v>42312</v>
      </c>
      <c r="K55" s="1">
        <v>42369</v>
      </c>
      <c r="L55" s="3">
        <f t="shared" si="1"/>
        <v>42369</v>
      </c>
      <c r="M55" t="s">
        <v>49</v>
      </c>
      <c r="N55" t="s">
        <v>173</v>
      </c>
      <c r="O55" t="s">
        <v>173</v>
      </c>
      <c r="P55">
        <v>0</v>
      </c>
      <c r="Q55" t="s">
        <v>312</v>
      </c>
      <c r="R55" t="s">
        <v>51</v>
      </c>
      <c r="S55">
        <v>1971</v>
      </c>
      <c r="T55">
        <v>-777</v>
      </c>
      <c r="U55" s="1">
        <v>26292</v>
      </c>
      <c r="V55" s="2">
        <v>26292</v>
      </c>
      <c r="Z55">
        <v>0</v>
      </c>
      <c r="AA55">
        <v>-888</v>
      </c>
      <c r="AB55">
        <v>0</v>
      </c>
      <c r="AC55">
        <v>-999</v>
      </c>
      <c r="AD55" t="s">
        <v>317</v>
      </c>
      <c r="AE55">
        <v>1</v>
      </c>
      <c r="AF55">
        <v>2015</v>
      </c>
      <c r="AG55">
        <v>2015</v>
      </c>
      <c r="AH55">
        <v>-0.11236916498423</v>
      </c>
      <c r="AI55">
        <v>47580</v>
      </c>
      <c r="AJ55">
        <v>-0.86765132022811997</v>
      </c>
      <c r="AK55">
        <v>5.4</v>
      </c>
      <c r="AL55">
        <v>0.76030014523893596</v>
      </c>
      <c r="AM55">
        <v>0.33293383810891503</v>
      </c>
      <c r="AN55">
        <v>10</v>
      </c>
      <c r="AO55" t="b">
        <v>1</v>
      </c>
      <c r="AP55" t="s">
        <v>45</v>
      </c>
      <c r="AQ55">
        <v>1920</v>
      </c>
      <c r="AR55">
        <v>1959</v>
      </c>
      <c r="AS55" t="s">
        <v>318</v>
      </c>
      <c r="AT55">
        <v>0.15605749486652901</v>
      </c>
      <c r="AU55">
        <f t="shared" si="2"/>
        <v>0</v>
      </c>
    </row>
    <row r="56" spans="1:47" x14ac:dyDescent="0.3">
      <c r="A56">
        <v>54</v>
      </c>
      <c r="B56" t="s">
        <v>319</v>
      </c>
      <c r="C56" t="s">
        <v>320</v>
      </c>
      <c r="D56">
        <v>31</v>
      </c>
      <c r="E56" t="s">
        <v>321</v>
      </c>
      <c r="F56" t="str">
        <f>VLOOKUP(E56,country_continent!A:C,2,FALSE)</f>
        <v>The Bahamas</v>
      </c>
      <c r="G56" t="str">
        <f>VLOOKUP(E56,country_continent!A:C,3,FALSE)</f>
        <v>North America</v>
      </c>
      <c r="H56" t="s">
        <v>322</v>
      </c>
      <c r="I56" s="1">
        <v>24488</v>
      </c>
      <c r="J56" s="3">
        <f t="shared" si="0"/>
        <v>24488</v>
      </c>
      <c r="K56" s="1">
        <v>33837</v>
      </c>
      <c r="L56" s="3">
        <f t="shared" si="1"/>
        <v>33837</v>
      </c>
      <c r="M56" t="s">
        <v>49</v>
      </c>
      <c r="N56" t="s">
        <v>49</v>
      </c>
      <c r="O56" t="s">
        <v>49</v>
      </c>
      <c r="P56">
        <v>0</v>
      </c>
      <c r="Q56" t="s">
        <v>50</v>
      </c>
      <c r="R56" t="s">
        <v>51</v>
      </c>
      <c r="S56">
        <v>1930</v>
      </c>
      <c r="T56">
        <v>2000</v>
      </c>
      <c r="Z56">
        <v>0</v>
      </c>
      <c r="AA56">
        <v>1</v>
      </c>
      <c r="AB56">
        <v>0</v>
      </c>
      <c r="AC56">
        <v>0</v>
      </c>
      <c r="AF56">
        <v>1967</v>
      </c>
      <c r="AG56">
        <v>1992</v>
      </c>
      <c r="AO56" t="b">
        <v>1</v>
      </c>
      <c r="AP56" t="s">
        <v>45</v>
      </c>
      <c r="AQ56">
        <v>1973</v>
      </c>
      <c r="AR56">
        <v>2016</v>
      </c>
      <c r="AS56" t="s">
        <v>323</v>
      </c>
      <c r="AT56">
        <v>25.596167008898</v>
      </c>
      <c r="AU56">
        <f t="shared" si="2"/>
        <v>7.0000000000000007E-2</v>
      </c>
    </row>
    <row r="57" spans="1:47" x14ac:dyDescent="0.3">
      <c r="A57">
        <v>55</v>
      </c>
      <c r="B57" t="s">
        <v>324</v>
      </c>
      <c r="C57" t="s">
        <v>325</v>
      </c>
      <c r="D57">
        <v>31</v>
      </c>
      <c r="E57" t="s">
        <v>321</v>
      </c>
      <c r="F57" t="str">
        <f>VLOOKUP(E57,country_continent!A:C,2,FALSE)</f>
        <v>The Bahamas</v>
      </c>
      <c r="G57" t="str">
        <f>VLOOKUP(E57,country_continent!A:C,3,FALSE)</f>
        <v>North America</v>
      </c>
      <c r="H57" t="s">
        <v>326</v>
      </c>
      <c r="I57" s="1">
        <v>33837</v>
      </c>
      <c r="J57" s="3">
        <f t="shared" si="0"/>
        <v>33837</v>
      </c>
      <c r="K57" s="1">
        <v>37379</v>
      </c>
      <c r="L57" s="3">
        <f t="shared" si="1"/>
        <v>37379</v>
      </c>
      <c r="M57" t="s">
        <v>49</v>
      </c>
      <c r="N57" t="s">
        <v>49</v>
      </c>
      <c r="O57" t="s">
        <v>49</v>
      </c>
      <c r="P57">
        <v>0</v>
      </c>
      <c r="Q57" t="s">
        <v>50</v>
      </c>
      <c r="R57" t="s">
        <v>51</v>
      </c>
      <c r="S57">
        <v>1947</v>
      </c>
      <c r="T57">
        <v>-777</v>
      </c>
      <c r="Y57" t="s">
        <v>327</v>
      </c>
      <c r="Z57">
        <v>0</v>
      </c>
      <c r="AA57">
        <v>1</v>
      </c>
      <c r="AB57">
        <v>0</v>
      </c>
      <c r="AC57">
        <v>0</v>
      </c>
      <c r="AF57">
        <v>1992</v>
      </c>
      <c r="AG57">
        <v>2002</v>
      </c>
      <c r="AO57" t="b">
        <v>1</v>
      </c>
      <c r="AP57" t="s">
        <v>45</v>
      </c>
      <c r="AQ57">
        <v>1973</v>
      </c>
      <c r="AR57">
        <v>2016</v>
      </c>
      <c r="AS57" t="s">
        <v>328</v>
      </c>
      <c r="AT57">
        <v>9.6974674880218998</v>
      </c>
      <c r="AU57">
        <f t="shared" si="2"/>
        <v>2.7E-2</v>
      </c>
    </row>
    <row r="58" spans="1:47" x14ac:dyDescent="0.3">
      <c r="A58">
        <v>56</v>
      </c>
      <c r="B58" t="s">
        <v>329</v>
      </c>
      <c r="C58" t="s">
        <v>330</v>
      </c>
      <c r="D58">
        <v>31</v>
      </c>
      <c r="E58" t="s">
        <v>321</v>
      </c>
      <c r="F58" t="str">
        <f>VLOOKUP(E58,country_continent!A:C,2,FALSE)</f>
        <v>The Bahamas</v>
      </c>
      <c r="G58" t="str">
        <f>VLOOKUP(E58,country_continent!A:C,3,FALSE)</f>
        <v>North America</v>
      </c>
      <c r="H58" t="s">
        <v>331</v>
      </c>
      <c r="I58" s="1">
        <v>37379</v>
      </c>
      <c r="J58" s="3">
        <f t="shared" si="0"/>
        <v>37379</v>
      </c>
      <c r="K58" s="1">
        <v>38476</v>
      </c>
      <c r="L58" s="3">
        <f t="shared" si="1"/>
        <v>38476</v>
      </c>
      <c r="M58" t="s">
        <v>49</v>
      </c>
      <c r="N58" t="s">
        <v>49</v>
      </c>
      <c r="O58" t="s">
        <v>49</v>
      </c>
      <c r="P58">
        <v>0</v>
      </c>
      <c r="Q58" t="s">
        <v>50</v>
      </c>
      <c r="R58" t="s">
        <v>51</v>
      </c>
      <c r="S58">
        <v>1943</v>
      </c>
      <c r="T58">
        <v>-777</v>
      </c>
      <c r="Z58">
        <v>0</v>
      </c>
      <c r="AA58">
        <v>1</v>
      </c>
      <c r="AB58">
        <v>0</v>
      </c>
      <c r="AC58">
        <v>0</v>
      </c>
      <c r="AF58">
        <v>2002</v>
      </c>
      <c r="AG58">
        <v>2005</v>
      </c>
      <c r="AO58" t="b">
        <v>1</v>
      </c>
      <c r="AP58" t="s">
        <v>45</v>
      </c>
      <c r="AQ58">
        <v>1973</v>
      </c>
      <c r="AR58">
        <v>2016</v>
      </c>
      <c r="AS58" t="s">
        <v>332</v>
      </c>
      <c r="AT58">
        <v>3.00342231348391</v>
      </c>
      <c r="AU58">
        <f t="shared" si="2"/>
        <v>8.0000000000000002E-3</v>
      </c>
    </row>
    <row r="59" spans="1:47" x14ac:dyDescent="0.3">
      <c r="A59">
        <v>57</v>
      </c>
      <c r="B59" t="s">
        <v>333</v>
      </c>
      <c r="C59" t="s">
        <v>334</v>
      </c>
      <c r="D59">
        <v>31</v>
      </c>
      <c r="E59" t="s">
        <v>321</v>
      </c>
      <c r="F59" t="str">
        <f>VLOOKUP(E59,country_continent!A:C,2,FALSE)</f>
        <v>The Bahamas</v>
      </c>
      <c r="G59" t="str">
        <f>VLOOKUP(E59,country_continent!A:C,3,FALSE)</f>
        <v>North America</v>
      </c>
      <c r="H59" t="s">
        <v>335</v>
      </c>
      <c r="I59" s="1">
        <v>38476</v>
      </c>
      <c r="J59" s="3">
        <f t="shared" si="0"/>
        <v>38476</v>
      </c>
      <c r="K59" s="1">
        <v>38525</v>
      </c>
      <c r="L59" s="3">
        <f t="shared" si="1"/>
        <v>38525</v>
      </c>
      <c r="M59" t="s">
        <v>49</v>
      </c>
      <c r="N59" t="s">
        <v>49</v>
      </c>
      <c r="O59" t="s">
        <v>49</v>
      </c>
      <c r="P59">
        <v>0</v>
      </c>
      <c r="Q59" t="s">
        <v>50</v>
      </c>
      <c r="R59" t="s">
        <v>299</v>
      </c>
      <c r="S59">
        <v>1943</v>
      </c>
      <c r="T59">
        <v>-777</v>
      </c>
      <c r="Z59">
        <v>0</v>
      </c>
      <c r="AA59">
        <v>1</v>
      </c>
      <c r="AB59">
        <v>0</v>
      </c>
      <c r="AC59">
        <v>0</v>
      </c>
      <c r="AF59">
        <v>2005</v>
      </c>
      <c r="AG59">
        <v>2005</v>
      </c>
      <c r="AO59" t="b">
        <v>1</v>
      </c>
      <c r="AP59" t="s">
        <v>45</v>
      </c>
      <c r="AQ59">
        <v>1973</v>
      </c>
      <c r="AR59">
        <v>2016</v>
      </c>
      <c r="AS59" t="s">
        <v>336</v>
      </c>
      <c r="AT59">
        <v>0.13415468856947199</v>
      </c>
      <c r="AU59">
        <f t="shared" si="2"/>
        <v>0</v>
      </c>
    </row>
    <row r="60" spans="1:47" x14ac:dyDescent="0.3">
      <c r="A60">
        <v>58</v>
      </c>
      <c r="B60" t="s">
        <v>337</v>
      </c>
      <c r="C60" t="s">
        <v>330</v>
      </c>
      <c r="D60">
        <v>31</v>
      </c>
      <c r="E60" t="s">
        <v>321</v>
      </c>
      <c r="F60" t="str">
        <f>VLOOKUP(E60,country_continent!A:C,2,FALSE)</f>
        <v>The Bahamas</v>
      </c>
      <c r="G60" t="str">
        <f>VLOOKUP(E60,country_continent!A:C,3,FALSE)</f>
        <v>North America</v>
      </c>
      <c r="H60" t="s">
        <v>331</v>
      </c>
      <c r="I60" s="1">
        <v>38525</v>
      </c>
      <c r="J60" s="3">
        <f t="shared" si="0"/>
        <v>38525</v>
      </c>
      <c r="K60" s="1">
        <v>39206</v>
      </c>
      <c r="L60" s="3">
        <f t="shared" si="1"/>
        <v>39206</v>
      </c>
      <c r="M60" t="s">
        <v>49</v>
      </c>
      <c r="N60" t="s">
        <v>49</v>
      </c>
      <c r="O60" t="s">
        <v>49</v>
      </c>
      <c r="P60">
        <v>1</v>
      </c>
      <c r="Q60" t="s">
        <v>50</v>
      </c>
      <c r="R60" t="s">
        <v>51</v>
      </c>
      <c r="S60">
        <v>1943</v>
      </c>
      <c r="T60">
        <v>-777</v>
      </c>
      <c r="Z60">
        <v>0</v>
      </c>
      <c r="AA60">
        <v>1</v>
      </c>
      <c r="AB60">
        <v>0</v>
      </c>
      <c r="AC60">
        <v>0</v>
      </c>
      <c r="AF60">
        <v>2005</v>
      </c>
      <c r="AG60">
        <v>2007</v>
      </c>
      <c r="AO60" t="b">
        <v>1</v>
      </c>
      <c r="AP60" t="s">
        <v>45</v>
      </c>
      <c r="AQ60">
        <v>1973</v>
      </c>
      <c r="AR60">
        <v>2016</v>
      </c>
      <c r="AS60" t="s">
        <v>338</v>
      </c>
      <c r="AT60">
        <v>1.86447638603696</v>
      </c>
      <c r="AU60">
        <f t="shared" si="2"/>
        <v>5.0000000000000001E-3</v>
      </c>
    </row>
    <row r="61" spans="1:47" x14ac:dyDescent="0.3">
      <c r="A61">
        <v>59</v>
      </c>
      <c r="B61" t="s">
        <v>339</v>
      </c>
      <c r="C61" t="s">
        <v>325</v>
      </c>
      <c r="D61">
        <v>31</v>
      </c>
      <c r="E61" t="s">
        <v>321</v>
      </c>
      <c r="F61" t="str">
        <f>VLOOKUP(E61,country_continent!A:C,2,FALSE)</f>
        <v>The Bahamas</v>
      </c>
      <c r="G61" t="str">
        <f>VLOOKUP(E61,country_continent!A:C,3,FALSE)</f>
        <v>North America</v>
      </c>
      <c r="H61" t="s">
        <v>326</v>
      </c>
      <c r="I61" s="1">
        <v>39206</v>
      </c>
      <c r="J61" s="3">
        <f t="shared" si="0"/>
        <v>39206</v>
      </c>
      <c r="K61" s="1">
        <v>41037</v>
      </c>
      <c r="L61" s="3">
        <f t="shared" si="1"/>
        <v>41037</v>
      </c>
      <c r="M61" t="s">
        <v>49</v>
      </c>
      <c r="N61" t="s">
        <v>49</v>
      </c>
      <c r="O61" t="s">
        <v>49</v>
      </c>
      <c r="P61">
        <v>1</v>
      </c>
      <c r="Q61" t="s">
        <v>50</v>
      </c>
      <c r="R61" t="s">
        <v>51</v>
      </c>
      <c r="S61">
        <v>1947</v>
      </c>
      <c r="T61">
        <v>-777</v>
      </c>
      <c r="Z61">
        <v>0</v>
      </c>
      <c r="AA61">
        <v>1</v>
      </c>
      <c r="AB61">
        <v>0</v>
      </c>
      <c r="AC61">
        <v>0</v>
      </c>
      <c r="AF61">
        <v>2007</v>
      </c>
      <c r="AG61">
        <v>2012</v>
      </c>
      <c r="AO61" t="b">
        <v>1</v>
      </c>
      <c r="AP61" t="s">
        <v>45</v>
      </c>
      <c r="AQ61">
        <v>1973</v>
      </c>
      <c r="AR61">
        <v>2016</v>
      </c>
      <c r="AS61" t="s">
        <v>340</v>
      </c>
      <c r="AT61">
        <v>5.0130047912388704</v>
      </c>
      <c r="AU61">
        <f t="shared" si="2"/>
        <v>1.4E-2</v>
      </c>
    </row>
    <row r="62" spans="1:47" x14ac:dyDescent="0.3">
      <c r="A62">
        <v>60</v>
      </c>
      <c r="B62" t="s">
        <v>341</v>
      </c>
      <c r="C62" t="s">
        <v>330</v>
      </c>
      <c r="D62">
        <v>31</v>
      </c>
      <c r="E62" t="s">
        <v>321</v>
      </c>
      <c r="F62" t="str">
        <f>VLOOKUP(E62,country_continent!A:C,2,FALSE)</f>
        <v>The Bahamas</v>
      </c>
      <c r="G62" t="str">
        <f>VLOOKUP(E62,country_continent!A:C,3,FALSE)</f>
        <v>North America</v>
      </c>
      <c r="H62" t="s">
        <v>331</v>
      </c>
      <c r="I62" s="1">
        <v>41037</v>
      </c>
      <c r="J62" s="3">
        <f t="shared" si="0"/>
        <v>41037</v>
      </c>
      <c r="K62" s="1">
        <v>42369</v>
      </c>
      <c r="L62" s="3">
        <f t="shared" si="1"/>
        <v>42369</v>
      </c>
      <c r="M62" t="s">
        <v>49</v>
      </c>
      <c r="N62" t="s">
        <v>173</v>
      </c>
      <c r="O62" t="s">
        <v>173</v>
      </c>
      <c r="P62">
        <v>2</v>
      </c>
      <c r="Q62" t="s">
        <v>174</v>
      </c>
      <c r="R62" t="s">
        <v>51</v>
      </c>
      <c r="S62">
        <v>1943</v>
      </c>
      <c r="T62">
        <v>-777</v>
      </c>
      <c r="U62" s="1">
        <v>15939</v>
      </c>
      <c r="V62" s="2">
        <v>15939</v>
      </c>
      <c r="Z62">
        <v>0</v>
      </c>
      <c r="AA62">
        <v>-888</v>
      </c>
      <c r="AB62">
        <v>-888</v>
      </c>
      <c r="AC62">
        <v>-888</v>
      </c>
      <c r="AF62">
        <v>2012</v>
      </c>
      <c r="AG62">
        <v>2015</v>
      </c>
      <c r="AO62" t="b">
        <v>1</v>
      </c>
      <c r="AP62" t="s">
        <v>45</v>
      </c>
      <c r="AQ62">
        <v>1973</v>
      </c>
      <c r="AR62">
        <v>2016</v>
      </c>
      <c r="AS62" t="s">
        <v>342</v>
      </c>
      <c r="AT62">
        <v>3.6468172484599499</v>
      </c>
      <c r="AU62">
        <f t="shared" si="2"/>
        <v>0.01</v>
      </c>
    </row>
    <row r="63" spans="1:47" x14ac:dyDescent="0.3">
      <c r="A63">
        <v>61</v>
      </c>
      <c r="B63" t="s">
        <v>343</v>
      </c>
      <c r="C63" t="s">
        <v>344</v>
      </c>
      <c r="D63">
        <v>40</v>
      </c>
      <c r="E63" t="s">
        <v>345</v>
      </c>
      <c r="F63" t="str">
        <f>VLOOKUP(E63,country_continent!A:C,2,FALSE)</f>
        <v>Cuba</v>
      </c>
      <c r="G63" t="str">
        <f>VLOOKUP(E63,country_continent!A:C,3,FALSE)</f>
        <v>North America</v>
      </c>
      <c r="H63" t="s">
        <v>346</v>
      </c>
      <c r="I63" s="1">
        <v>871</v>
      </c>
      <c r="J63" s="3">
        <f t="shared" si="0"/>
        <v>871</v>
      </c>
      <c r="K63" s="1">
        <v>2463</v>
      </c>
      <c r="L63" s="3">
        <f t="shared" si="1"/>
        <v>2463</v>
      </c>
      <c r="M63" t="s">
        <v>49</v>
      </c>
      <c r="N63" t="s">
        <v>67</v>
      </c>
      <c r="O63" t="s">
        <v>347</v>
      </c>
      <c r="P63">
        <v>0</v>
      </c>
      <c r="Q63" t="s">
        <v>50</v>
      </c>
      <c r="R63" t="s">
        <v>51</v>
      </c>
      <c r="S63">
        <v>1835</v>
      </c>
      <c r="T63">
        <v>1908</v>
      </c>
      <c r="U63" t="s">
        <v>348</v>
      </c>
      <c r="V63" t="s">
        <v>349</v>
      </c>
      <c r="Z63">
        <v>0</v>
      </c>
      <c r="AA63">
        <v>3</v>
      </c>
      <c r="AB63">
        <v>-999</v>
      </c>
      <c r="AC63">
        <v>0</v>
      </c>
      <c r="AF63">
        <v>1902</v>
      </c>
      <c r="AG63">
        <v>1906</v>
      </c>
      <c r="AO63" t="b">
        <v>1</v>
      </c>
      <c r="AP63" t="s">
        <v>45</v>
      </c>
      <c r="AQ63">
        <v>1916</v>
      </c>
      <c r="AR63">
        <v>2016</v>
      </c>
      <c r="AS63" t="s">
        <v>350</v>
      </c>
      <c r="AT63">
        <v>4.3586584531143</v>
      </c>
      <c r="AU63">
        <f t="shared" si="2"/>
        <v>1.2E-2</v>
      </c>
    </row>
    <row r="64" spans="1:47" x14ac:dyDescent="0.3">
      <c r="A64">
        <v>62</v>
      </c>
      <c r="B64" t="s">
        <v>351</v>
      </c>
      <c r="C64" t="s">
        <v>352</v>
      </c>
      <c r="D64">
        <v>40</v>
      </c>
      <c r="E64" t="s">
        <v>345</v>
      </c>
      <c r="F64" t="str">
        <f>VLOOKUP(E64,country_continent!A:C,2,FALSE)</f>
        <v>Cuba</v>
      </c>
      <c r="G64" t="str">
        <f>VLOOKUP(E64,country_continent!A:C,3,FALSE)</f>
        <v>North America</v>
      </c>
      <c r="H64" t="s">
        <v>353</v>
      </c>
      <c r="I64" s="1">
        <v>3316</v>
      </c>
      <c r="J64" s="3">
        <f t="shared" si="0"/>
        <v>3316</v>
      </c>
      <c r="K64" s="1">
        <v>4889</v>
      </c>
      <c r="L64" s="3">
        <f t="shared" si="1"/>
        <v>4889</v>
      </c>
      <c r="M64" t="s">
        <v>49</v>
      </c>
      <c r="N64" t="s">
        <v>49</v>
      </c>
      <c r="O64" t="s">
        <v>49</v>
      </c>
      <c r="P64">
        <v>0</v>
      </c>
      <c r="Q64" t="s">
        <v>50</v>
      </c>
      <c r="R64" t="s">
        <v>51</v>
      </c>
      <c r="S64">
        <v>1858</v>
      </c>
      <c r="T64">
        <v>1921</v>
      </c>
      <c r="U64" t="s">
        <v>354</v>
      </c>
      <c r="V64" t="s">
        <v>355</v>
      </c>
      <c r="Y64" t="s">
        <v>356</v>
      </c>
      <c r="Z64">
        <v>0</v>
      </c>
      <c r="AA64">
        <v>1</v>
      </c>
      <c r="AB64">
        <v>0</v>
      </c>
      <c r="AC64">
        <v>0</v>
      </c>
      <c r="AD64" t="s">
        <v>357</v>
      </c>
      <c r="AE64">
        <v>0</v>
      </c>
      <c r="AF64">
        <v>1909</v>
      </c>
      <c r="AG64">
        <v>1913</v>
      </c>
      <c r="AO64" t="b">
        <v>1</v>
      </c>
      <c r="AP64" t="s">
        <v>45</v>
      </c>
      <c r="AQ64">
        <v>1916</v>
      </c>
      <c r="AR64">
        <v>2016</v>
      </c>
      <c r="AS64" t="s">
        <v>358</v>
      </c>
      <c r="AT64">
        <v>4.3066392881587898</v>
      </c>
      <c r="AU64">
        <f t="shared" si="2"/>
        <v>1.2E-2</v>
      </c>
    </row>
    <row r="65" spans="1:47" x14ac:dyDescent="0.3">
      <c r="A65">
        <v>63</v>
      </c>
      <c r="B65" t="s">
        <v>359</v>
      </c>
      <c r="C65" t="s">
        <v>360</v>
      </c>
      <c r="D65">
        <v>40</v>
      </c>
      <c r="E65" t="s">
        <v>345</v>
      </c>
      <c r="F65" t="str">
        <f>VLOOKUP(E65,country_continent!A:C,2,FALSE)</f>
        <v>Cuba</v>
      </c>
      <c r="G65" t="str">
        <f>VLOOKUP(E65,country_continent!A:C,3,FALSE)</f>
        <v>North America</v>
      </c>
      <c r="H65" t="s">
        <v>361</v>
      </c>
      <c r="I65" s="1">
        <v>4889</v>
      </c>
      <c r="J65" s="3">
        <f t="shared" si="0"/>
        <v>4889</v>
      </c>
      <c r="K65" s="1">
        <v>7811</v>
      </c>
      <c r="L65" s="3">
        <f t="shared" si="1"/>
        <v>7811</v>
      </c>
      <c r="M65" t="s">
        <v>49</v>
      </c>
      <c r="N65" t="s">
        <v>49</v>
      </c>
      <c r="O65" t="s">
        <v>49</v>
      </c>
      <c r="P65">
        <v>0</v>
      </c>
      <c r="Q65" t="s">
        <v>362</v>
      </c>
      <c r="R65" t="s">
        <v>51</v>
      </c>
      <c r="S65">
        <v>1868</v>
      </c>
      <c r="T65">
        <v>1941</v>
      </c>
      <c r="U65" t="s">
        <v>363</v>
      </c>
      <c r="V65" t="s">
        <v>364</v>
      </c>
      <c r="Z65">
        <v>0</v>
      </c>
      <c r="AA65">
        <v>1</v>
      </c>
      <c r="AB65">
        <v>0</v>
      </c>
      <c r="AC65">
        <v>1</v>
      </c>
      <c r="AF65">
        <v>1913</v>
      </c>
      <c r="AG65">
        <v>1921</v>
      </c>
      <c r="AO65" t="b">
        <v>1</v>
      </c>
      <c r="AP65" t="s">
        <v>45</v>
      </c>
      <c r="AQ65">
        <v>1916</v>
      </c>
      <c r="AR65">
        <v>2016</v>
      </c>
      <c r="AS65" t="s">
        <v>365</v>
      </c>
      <c r="AT65">
        <v>8</v>
      </c>
      <c r="AU65">
        <f t="shared" si="2"/>
        <v>2.1999999999999999E-2</v>
      </c>
    </row>
    <row r="66" spans="1:47" x14ac:dyDescent="0.3">
      <c r="A66">
        <v>64</v>
      </c>
      <c r="B66" t="s">
        <v>366</v>
      </c>
      <c r="C66" t="s">
        <v>367</v>
      </c>
      <c r="D66">
        <v>40</v>
      </c>
      <c r="E66" t="s">
        <v>345</v>
      </c>
      <c r="F66" t="str">
        <f>VLOOKUP(E66,country_continent!A:C,2,FALSE)</f>
        <v>Cuba</v>
      </c>
      <c r="G66" t="str">
        <f>VLOOKUP(E66,country_continent!A:C,3,FALSE)</f>
        <v>North America</v>
      </c>
      <c r="H66" t="s">
        <v>368</v>
      </c>
      <c r="I66" s="1">
        <v>7811</v>
      </c>
      <c r="J66" s="3">
        <f t="shared" si="0"/>
        <v>7811</v>
      </c>
      <c r="K66" s="1">
        <v>9272</v>
      </c>
      <c r="L66" s="3">
        <f t="shared" si="1"/>
        <v>9272</v>
      </c>
      <c r="M66" t="s">
        <v>49</v>
      </c>
      <c r="N66" t="s">
        <v>49</v>
      </c>
      <c r="O66" t="s">
        <v>49</v>
      </c>
      <c r="P66">
        <v>0</v>
      </c>
      <c r="Q66" t="s">
        <v>50</v>
      </c>
      <c r="R66" t="s">
        <v>51</v>
      </c>
      <c r="S66">
        <v>1861</v>
      </c>
      <c r="T66">
        <v>1934</v>
      </c>
      <c r="U66" t="s">
        <v>369</v>
      </c>
      <c r="V66" t="s">
        <v>370</v>
      </c>
      <c r="Y66" t="s">
        <v>371</v>
      </c>
      <c r="Z66">
        <v>0</v>
      </c>
      <c r="AA66">
        <v>1</v>
      </c>
      <c r="AB66">
        <v>0</v>
      </c>
      <c r="AC66">
        <v>0</v>
      </c>
      <c r="AF66">
        <v>1921</v>
      </c>
      <c r="AG66">
        <v>1925</v>
      </c>
      <c r="AO66" t="b">
        <v>1</v>
      </c>
      <c r="AP66" t="s">
        <v>45</v>
      </c>
      <c r="AQ66">
        <v>1916</v>
      </c>
      <c r="AR66">
        <v>2016</v>
      </c>
      <c r="AS66" t="s">
        <v>372</v>
      </c>
      <c r="AT66">
        <v>4</v>
      </c>
      <c r="AU66">
        <f t="shared" si="2"/>
        <v>1.0999999999999999E-2</v>
      </c>
    </row>
    <row r="67" spans="1:47" x14ac:dyDescent="0.3">
      <c r="A67">
        <v>65</v>
      </c>
      <c r="B67" t="s">
        <v>373</v>
      </c>
      <c r="C67" t="s">
        <v>374</v>
      </c>
      <c r="D67">
        <v>40</v>
      </c>
      <c r="E67" t="s">
        <v>345</v>
      </c>
      <c r="F67" t="str">
        <f>VLOOKUP(E67,country_continent!A:C,2,FALSE)</f>
        <v>Cuba</v>
      </c>
      <c r="G67" t="str">
        <f>VLOOKUP(E67,country_continent!A:C,3,FALSE)</f>
        <v>North America</v>
      </c>
      <c r="H67" t="s">
        <v>375</v>
      </c>
      <c r="I67" s="1">
        <v>9272</v>
      </c>
      <c r="J67" s="3">
        <f t="shared" ref="J67:J130" si="3">IF(ISNUMBER(SEARCH("-", I67)), SUBSTITUTE(I67, "-", "/"), I67)</f>
        <v>9272</v>
      </c>
      <c r="K67" s="1">
        <v>12278</v>
      </c>
      <c r="L67" s="3">
        <f t="shared" ref="L67:L130" si="4">IF(ISNUMBER(SEARCH("-", K67)), SUBSTITUTE(K67, "-", "/"), K67)</f>
        <v>12278</v>
      </c>
      <c r="M67" t="s">
        <v>49</v>
      </c>
      <c r="N67" t="s">
        <v>67</v>
      </c>
      <c r="O67" t="s">
        <v>376</v>
      </c>
      <c r="P67">
        <v>0</v>
      </c>
      <c r="Q67" t="s">
        <v>362</v>
      </c>
      <c r="R67" t="s">
        <v>51</v>
      </c>
      <c r="S67">
        <v>1871</v>
      </c>
      <c r="T67">
        <v>1939</v>
      </c>
      <c r="U67" t="s">
        <v>377</v>
      </c>
      <c r="V67" t="s">
        <v>378</v>
      </c>
      <c r="Z67">
        <v>0</v>
      </c>
      <c r="AA67">
        <v>3</v>
      </c>
      <c r="AB67">
        <v>6</v>
      </c>
      <c r="AC67">
        <v>1</v>
      </c>
      <c r="AF67">
        <v>1925</v>
      </c>
      <c r="AG67">
        <v>1933</v>
      </c>
      <c r="AO67" t="b">
        <v>1</v>
      </c>
      <c r="AP67" t="s">
        <v>45</v>
      </c>
      <c r="AQ67">
        <v>1916</v>
      </c>
      <c r="AR67">
        <v>2016</v>
      </c>
      <c r="AS67" t="s">
        <v>379</v>
      </c>
      <c r="AT67">
        <v>8.2299794661190901</v>
      </c>
      <c r="AU67">
        <f t="shared" ref="AU67:AU130" si="5">ROUND(AT67/365,3)</f>
        <v>2.3E-2</v>
      </c>
    </row>
    <row r="68" spans="1:47" x14ac:dyDescent="0.3">
      <c r="A68">
        <v>66</v>
      </c>
      <c r="B68" t="s">
        <v>380</v>
      </c>
      <c r="C68" t="s">
        <v>381</v>
      </c>
      <c r="D68">
        <v>40</v>
      </c>
      <c r="E68" t="s">
        <v>345</v>
      </c>
      <c r="F68" t="str">
        <f>VLOOKUP(E68,country_continent!A:C,2,FALSE)</f>
        <v>Cuba</v>
      </c>
      <c r="G68" t="str">
        <f>VLOOKUP(E68,country_continent!A:C,3,FALSE)</f>
        <v>North America</v>
      </c>
      <c r="H68" t="s">
        <v>382</v>
      </c>
      <c r="I68" s="1">
        <v>12278</v>
      </c>
      <c r="J68" s="3">
        <f t="shared" si="3"/>
        <v>12278</v>
      </c>
      <c r="K68" s="1">
        <v>12302</v>
      </c>
      <c r="L68" s="3">
        <f t="shared" si="4"/>
        <v>12302</v>
      </c>
      <c r="M68" t="s">
        <v>67</v>
      </c>
      <c r="N68" t="s">
        <v>67</v>
      </c>
      <c r="O68" t="s">
        <v>376</v>
      </c>
      <c r="P68">
        <v>0</v>
      </c>
      <c r="Q68" t="s">
        <v>50</v>
      </c>
      <c r="R68" t="s">
        <v>51</v>
      </c>
      <c r="S68">
        <v>1871</v>
      </c>
      <c r="T68">
        <v>1939</v>
      </c>
      <c r="U68" t="s">
        <v>383</v>
      </c>
      <c r="V68" t="s">
        <v>384</v>
      </c>
      <c r="Z68">
        <v>1</v>
      </c>
      <c r="AA68">
        <v>3</v>
      </c>
      <c r="AB68">
        <v>6</v>
      </c>
      <c r="AC68">
        <v>0</v>
      </c>
      <c r="AF68">
        <v>1933</v>
      </c>
      <c r="AG68">
        <v>1933</v>
      </c>
      <c r="AO68" t="b">
        <v>1</v>
      </c>
      <c r="AP68" t="s">
        <v>45</v>
      </c>
      <c r="AQ68">
        <v>1916</v>
      </c>
      <c r="AR68">
        <v>2016</v>
      </c>
      <c r="AS68" t="s">
        <v>385</v>
      </c>
      <c r="AT68">
        <v>6.5708418891170406E-2</v>
      </c>
      <c r="AU68">
        <f t="shared" si="5"/>
        <v>0</v>
      </c>
    </row>
    <row r="69" spans="1:47" x14ac:dyDescent="0.3">
      <c r="A69">
        <v>67</v>
      </c>
      <c r="B69" t="s">
        <v>386</v>
      </c>
      <c r="C69" t="s">
        <v>387</v>
      </c>
      <c r="D69">
        <v>40</v>
      </c>
      <c r="E69" t="s">
        <v>345</v>
      </c>
      <c r="F69" t="str">
        <f>VLOOKUP(E69,country_continent!A:C,2,FALSE)</f>
        <v>Cuba</v>
      </c>
      <c r="G69" t="str">
        <f>VLOOKUP(E69,country_continent!A:C,3,FALSE)</f>
        <v>North America</v>
      </c>
      <c r="H69" t="s">
        <v>388</v>
      </c>
      <c r="I69" s="1">
        <v>12307</v>
      </c>
      <c r="J69" s="3">
        <f t="shared" si="3"/>
        <v>12307</v>
      </c>
      <c r="K69" s="1">
        <v>12434</v>
      </c>
      <c r="L69" s="3">
        <f t="shared" si="4"/>
        <v>12434</v>
      </c>
      <c r="M69" t="s">
        <v>67</v>
      </c>
      <c r="N69" t="s">
        <v>67</v>
      </c>
      <c r="O69" t="s">
        <v>389</v>
      </c>
      <c r="P69">
        <v>0</v>
      </c>
      <c r="Q69" t="s">
        <v>362</v>
      </c>
      <c r="R69" t="s">
        <v>51</v>
      </c>
      <c r="S69">
        <v>1882</v>
      </c>
      <c r="T69">
        <v>1969</v>
      </c>
      <c r="U69" t="s">
        <v>390</v>
      </c>
      <c r="V69" t="s">
        <v>391</v>
      </c>
      <c r="Z69">
        <v>1</v>
      </c>
      <c r="AA69">
        <v>3</v>
      </c>
      <c r="AB69">
        <v>16</v>
      </c>
      <c r="AC69">
        <v>1</v>
      </c>
      <c r="AF69">
        <v>1933</v>
      </c>
      <c r="AG69">
        <v>1934</v>
      </c>
      <c r="AO69" t="b">
        <v>1</v>
      </c>
      <c r="AP69" t="s">
        <v>45</v>
      </c>
      <c r="AQ69">
        <v>1916</v>
      </c>
      <c r="AR69">
        <v>2016</v>
      </c>
      <c r="AS69" t="s">
        <v>392</v>
      </c>
      <c r="AT69">
        <v>0.347707049965776</v>
      </c>
      <c r="AU69">
        <f t="shared" si="5"/>
        <v>1E-3</v>
      </c>
    </row>
    <row r="70" spans="1:47" x14ac:dyDescent="0.3">
      <c r="A70">
        <v>68</v>
      </c>
      <c r="B70" t="s">
        <v>393</v>
      </c>
      <c r="C70" t="s">
        <v>394</v>
      </c>
      <c r="D70">
        <v>40</v>
      </c>
      <c r="E70" t="s">
        <v>345</v>
      </c>
      <c r="F70" t="str">
        <f>VLOOKUP(E70,country_continent!A:C,2,FALSE)</f>
        <v>Cuba</v>
      </c>
      <c r="G70" t="str">
        <f>VLOOKUP(E70,country_continent!A:C,3,FALSE)</f>
        <v>North America</v>
      </c>
      <c r="H70" t="s">
        <v>395</v>
      </c>
      <c r="I70" s="1">
        <v>12434</v>
      </c>
      <c r="J70" s="3">
        <f t="shared" si="3"/>
        <v>12434</v>
      </c>
      <c r="K70" s="1">
        <v>12437</v>
      </c>
      <c r="L70" s="3">
        <f t="shared" si="4"/>
        <v>12437</v>
      </c>
      <c r="M70" t="s">
        <v>67</v>
      </c>
      <c r="N70" t="s">
        <v>67</v>
      </c>
      <c r="O70" t="s">
        <v>389</v>
      </c>
      <c r="P70">
        <v>0</v>
      </c>
      <c r="Q70" t="s">
        <v>50</v>
      </c>
      <c r="R70" t="s">
        <v>51</v>
      </c>
      <c r="S70">
        <v>1900</v>
      </c>
      <c r="T70">
        <v>1964</v>
      </c>
      <c r="Y70" t="s">
        <v>396</v>
      </c>
      <c r="Z70">
        <v>1</v>
      </c>
      <c r="AA70">
        <v>3</v>
      </c>
      <c r="AB70">
        <v>16</v>
      </c>
      <c r="AC70">
        <v>0</v>
      </c>
      <c r="AF70">
        <v>1934</v>
      </c>
      <c r="AG70">
        <v>1934</v>
      </c>
      <c r="AO70" t="b">
        <v>1</v>
      </c>
      <c r="AP70" t="s">
        <v>45</v>
      </c>
      <c r="AQ70">
        <v>1916</v>
      </c>
      <c r="AR70">
        <v>2016</v>
      </c>
      <c r="AS70" t="s">
        <v>397</v>
      </c>
      <c r="AT70">
        <v>8.2135523613963007E-3</v>
      </c>
      <c r="AU70">
        <f t="shared" si="5"/>
        <v>0</v>
      </c>
    </row>
    <row r="71" spans="1:47" x14ac:dyDescent="0.3">
      <c r="A71">
        <v>69</v>
      </c>
      <c r="B71" t="s">
        <v>398</v>
      </c>
      <c r="C71" t="s">
        <v>399</v>
      </c>
      <c r="D71">
        <v>40</v>
      </c>
      <c r="E71" t="s">
        <v>345</v>
      </c>
      <c r="F71" t="str">
        <f>VLOOKUP(E71,country_continent!A:C,2,FALSE)</f>
        <v>Cuba</v>
      </c>
      <c r="G71" t="str">
        <f>VLOOKUP(E71,country_continent!A:C,3,FALSE)</f>
        <v>North America</v>
      </c>
      <c r="H71" t="s">
        <v>400</v>
      </c>
      <c r="I71" s="1">
        <v>12437</v>
      </c>
      <c r="J71" s="3">
        <f t="shared" si="3"/>
        <v>12437</v>
      </c>
      <c r="K71" s="1">
        <v>13130</v>
      </c>
      <c r="L71" s="3">
        <f t="shared" si="4"/>
        <v>13130</v>
      </c>
      <c r="M71" t="s">
        <v>67</v>
      </c>
      <c r="N71" t="s">
        <v>49</v>
      </c>
      <c r="O71" t="s">
        <v>49</v>
      </c>
      <c r="P71">
        <v>0</v>
      </c>
      <c r="Q71" t="s">
        <v>50</v>
      </c>
      <c r="R71" t="s">
        <v>51</v>
      </c>
      <c r="S71">
        <v>1873</v>
      </c>
      <c r="T71">
        <v>1960</v>
      </c>
      <c r="U71" t="s">
        <v>401</v>
      </c>
      <c r="V71" t="s">
        <v>402</v>
      </c>
      <c r="Z71">
        <v>1</v>
      </c>
      <c r="AA71">
        <v>1</v>
      </c>
      <c r="AB71">
        <v>0</v>
      </c>
      <c r="AC71">
        <v>0</v>
      </c>
      <c r="AF71">
        <v>1934</v>
      </c>
      <c r="AG71">
        <v>1935</v>
      </c>
      <c r="AO71" t="b">
        <v>1</v>
      </c>
      <c r="AP71" t="s">
        <v>45</v>
      </c>
      <c r="AQ71">
        <v>1916</v>
      </c>
      <c r="AR71">
        <v>2016</v>
      </c>
      <c r="AS71" t="s">
        <v>403</v>
      </c>
      <c r="AT71">
        <v>1.8973305954825399</v>
      </c>
      <c r="AU71">
        <f t="shared" si="5"/>
        <v>5.0000000000000001E-3</v>
      </c>
    </row>
    <row r="72" spans="1:47" x14ac:dyDescent="0.3">
      <c r="A72">
        <v>70</v>
      </c>
      <c r="B72" t="s">
        <v>404</v>
      </c>
      <c r="C72" t="s">
        <v>405</v>
      </c>
      <c r="D72">
        <v>40</v>
      </c>
      <c r="E72" t="s">
        <v>345</v>
      </c>
      <c r="F72" t="str">
        <f>VLOOKUP(E72,country_continent!A:C,2,FALSE)</f>
        <v>Cuba</v>
      </c>
      <c r="G72" t="str">
        <f>VLOOKUP(E72,country_continent!A:C,3,FALSE)</f>
        <v>North America</v>
      </c>
      <c r="H72" t="s">
        <v>406</v>
      </c>
      <c r="I72" s="1">
        <v>13130</v>
      </c>
      <c r="J72" s="3">
        <f t="shared" si="3"/>
        <v>13130</v>
      </c>
      <c r="K72" s="1">
        <v>13290</v>
      </c>
      <c r="L72" s="3">
        <f t="shared" si="4"/>
        <v>13290</v>
      </c>
      <c r="M72" t="s">
        <v>49</v>
      </c>
      <c r="N72" t="s">
        <v>49</v>
      </c>
      <c r="O72" t="s">
        <v>49</v>
      </c>
      <c r="P72">
        <v>0</v>
      </c>
      <c r="Q72" t="s">
        <v>50</v>
      </c>
      <c r="R72" t="s">
        <v>51</v>
      </c>
      <c r="S72">
        <v>1864</v>
      </c>
      <c r="T72">
        <v>1945</v>
      </c>
      <c r="Z72">
        <v>0</v>
      </c>
      <c r="AA72">
        <v>1</v>
      </c>
      <c r="AB72">
        <v>0</v>
      </c>
      <c r="AC72">
        <v>0</v>
      </c>
      <c r="AF72">
        <v>1935</v>
      </c>
      <c r="AG72">
        <v>1936</v>
      </c>
      <c r="AO72" t="b">
        <v>1</v>
      </c>
      <c r="AP72" t="s">
        <v>45</v>
      </c>
      <c r="AQ72">
        <v>1916</v>
      </c>
      <c r="AR72">
        <v>2016</v>
      </c>
      <c r="AS72" t="s">
        <v>407</v>
      </c>
      <c r="AT72">
        <v>0.43805612594113602</v>
      </c>
      <c r="AU72">
        <f t="shared" si="5"/>
        <v>1E-3</v>
      </c>
    </row>
    <row r="73" spans="1:47" x14ac:dyDescent="0.3">
      <c r="A73">
        <v>71</v>
      </c>
      <c r="B73" t="s">
        <v>408</v>
      </c>
      <c r="C73" t="s">
        <v>409</v>
      </c>
      <c r="D73">
        <v>40</v>
      </c>
      <c r="E73" t="s">
        <v>345</v>
      </c>
      <c r="F73" t="str">
        <f>VLOOKUP(E73,country_continent!A:C,2,FALSE)</f>
        <v>Cuba</v>
      </c>
      <c r="G73" t="str">
        <f>VLOOKUP(E73,country_continent!A:C,3,FALSE)</f>
        <v>North America</v>
      </c>
      <c r="H73" t="s">
        <v>410</v>
      </c>
      <c r="I73" s="1">
        <v>13290</v>
      </c>
      <c r="J73" s="3">
        <f t="shared" si="3"/>
        <v>13290</v>
      </c>
      <c r="K73" s="1">
        <v>13512</v>
      </c>
      <c r="L73" s="3">
        <f t="shared" si="4"/>
        <v>13512</v>
      </c>
      <c r="M73" t="s">
        <v>49</v>
      </c>
      <c r="N73" t="s">
        <v>49</v>
      </c>
      <c r="O73" t="s">
        <v>49</v>
      </c>
      <c r="P73">
        <v>0</v>
      </c>
      <c r="Q73" t="s">
        <v>50</v>
      </c>
      <c r="R73" t="s">
        <v>51</v>
      </c>
      <c r="S73">
        <v>1889</v>
      </c>
      <c r="T73">
        <v>1950</v>
      </c>
      <c r="U73" t="s">
        <v>411</v>
      </c>
      <c r="V73" t="s">
        <v>412</v>
      </c>
      <c r="Z73">
        <v>0</v>
      </c>
      <c r="AA73">
        <v>1</v>
      </c>
      <c r="AB73">
        <v>0</v>
      </c>
      <c r="AC73">
        <v>0</v>
      </c>
      <c r="AD73" t="s">
        <v>413</v>
      </c>
      <c r="AE73">
        <v>1</v>
      </c>
      <c r="AF73">
        <v>1936</v>
      </c>
      <c r="AG73">
        <v>1936</v>
      </c>
      <c r="AO73" t="b">
        <v>1</v>
      </c>
      <c r="AP73" t="s">
        <v>45</v>
      </c>
      <c r="AQ73">
        <v>1916</v>
      </c>
      <c r="AR73">
        <v>2016</v>
      </c>
      <c r="AS73" t="s">
        <v>414</v>
      </c>
      <c r="AT73">
        <v>0.60780287474332595</v>
      </c>
      <c r="AU73">
        <f t="shared" si="5"/>
        <v>2E-3</v>
      </c>
    </row>
    <row r="74" spans="1:47" x14ac:dyDescent="0.3">
      <c r="A74">
        <v>72</v>
      </c>
      <c r="B74" t="s">
        <v>415</v>
      </c>
      <c r="C74" t="s">
        <v>416</v>
      </c>
      <c r="D74">
        <v>40</v>
      </c>
      <c r="E74" t="s">
        <v>345</v>
      </c>
      <c r="F74" t="str">
        <f>VLOOKUP(E74,country_continent!A:C,2,FALSE)</f>
        <v>Cuba</v>
      </c>
      <c r="G74" t="str">
        <f>VLOOKUP(E74,country_continent!A:C,3,FALSE)</f>
        <v>North America</v>
      </c>
      <c r="H74" t="s">
        <v>417</v>
      </c>
      <c r="I74" s="1">
        <v>13512</v>
      </c>
      <c r="J74" s="3">
        <f t="shared" si="3"/>
        <v>13512</v>
      </c>
      <c r="K74" s="1">
        <v>14894</v>
      </c>
      <c r="L74" s="3">
        <f t="shared" si="4"/>
        <v>14894</v>
      </c>
      <c r="M74" t="s">
        <v>49</v>
      </c>
      <c r="N74" t="s">
        <v>49</v>
      </c>
      <c r="O74" t="s">
        <v>49</v>
      </c>
      <c r="P74">
        <v>0</v>
      </c>
      <c r="Q74" t="s">
        <v>50</v>
      </c>
      <c r="R74" t="s">
        <v>51</v>
      </c>
      <c r="S74">
        <v>1875</v>
      </c>
      <c r="T74">
        <v>1946</v>
      </c>
      <c r="U74" t="s">
        <v>418</v>
      </c>
      <c r="V74" t="s">
        <v>419</v>
      </c>
      <c r="Y74" t="s">
        <v>420</v>
      </c>
      <c r="Z74">
        <v>0</v>
      </c>
      <c r="AA74">
        <v>1</v>
      </c>
      <c r="AB74">
        <v>0</v>
      </c>
      <c r="AC74">
        <v>0</v>
      </c>
      <c r="AF74">
        <v>1936</v>
      </c>
      <c r="AG74">
        <v>1940</v>
      </c>
      <c r="AO74" t="b">
        <v>1</v>
      </c>
      <c r="AP74" t="s">
        <v>45</v>
      </c>
      <c r="AQ74">
        <v>1916</v>
      </c>
      <c r="AR74">
        <v>2016</v>
      </c>
      <c r="AS74" t="s">
        <v>421</v>
      </c>
      <c r="AT74">
        <v>3.78370978781656</v>
      </c>
      <c r="AU74">
        <f t="shared" si="5"/>
        <v>0.01</v>
      </c>
    </row>
    <row r="75" spans="1:47" x14ac:dyDescent="0.3">
      <c r="A75">
        <v>73</v>
      </c>
      <c r="B75" t="s">
        <v>422</v>
      </c>
      <c r="C75" t="s">
        <v>423</v>
      </c>
      <c r="D75">
        <v>40</v>
      </c>
      <c r="E75" t="s">
        <v>345</v>
      </c>
      <c r="F75" t="str">
        <f>VLOOKUP(E75,country_continent!A:C,2,FALSE)</f>
        <v>Cuba</v>
      </c>
      <c r="G75" t="str">
        <f>VLOOKUP(E75,country_continent!A:C,3,FALSE)</f>
        <v>North America</v>
      </c>
      <c r="H75" t="s">
        <v>424</v>
      </c>
      <c r="I75" s="1">
        <v>14894</v>
      </c>
      <c r="J75" s="3">
        <f t="shared" si="3"/>
        <v>14894</v>
      </c>
      <c r="K75" s="1">
        <v>16355</v>
      </c>
      <c r="L75" s="3">
        <f t="shared" si="4"/>
        <v>16355</v>
      </c>
      <c r="M75" t="s">
        <v>49</v>
      </c>
      <c r="N75" t="s">
        <v>49</v>
      </c>
      <c r="O75" t="s">
        <v>49</v>
      </c>
      <c r="P75">
        <v>0</v>
      </c>
      <c r="Q75" t="s">
        <v>362</v>
      </c>
      <c r="R75" t="s">
        <v>51</v>
      </c>
      <c r="S75">
        <v>1901</v>
      </c>
      <c r="T75">
        <v>1973</v>
      </c>
      <c r="U75" s="1">
        <v>382</v>
      </c>
      <c r="V75" s="2">
        <v>382</v>
      </c>
      <c r="Y75" t="s">
        <v>425</v>
      </c>
      <c r="Z75">
        <v>0</v>
      </c>
      <c r="AA75">
        <v>1</v>
      </c>
      <c r="AB75">
        <v>0</v>
      </c>
      <c r="AC75">
        <v>1</v>
      </c>
      <c r="AF75">
        <v>1940</v>
      </c>
      <c r="AG75">
        <v>1944</v>
      </c>
      <c r="AO75" t="b">
        <v>1</v>
      </c>
      <c r="AP75" t="s">
        <v>45</v>
      </c>
      <c r="AQ75">
        <v>1916</v>
      </c>
      <c r="AR75">
        <v>2016</v>
      </c>
      <c r="AS75" t="s">
        <v>372</v>
      </c>
      <c r="AT75">
        <v>4</v>
      </c>
      <c r="AU75">
        <f t="shared" si="5"/>
        <v>1.0999999999999999E-2</v>
      </c>
    </row>
    <row r="76" spans="1:47" x14ac:dyDescent="0.3">
      <c r="A76">
        <v>74</v>
      </c>
      <c r="B76" t="s">
        <v>426</v>
      </c>
      <c r="C76" t="s">
        <v>387</v>
      </c>
      <c r="D76">
        <v>40</v>
      </c>
      <c r="E76" t="s">
        <v>345</v>
      </c>
      <c r="F76" t="str">
        <f>VLOOKUP(E76,country_continent!A:C,2,FALSE)</f>
        <v>Cuba</v>
      </c>
      <c r="G76" t="str">
        <f>VLOOKUP(E76,country_continent!A:C,3,FALSE)</f>
        <v>North America</v>
      </c>
      <c r="H76" t="s">
        <v>388</v>
      </c>
      <c r="I76" s="1">
        <v>16355</v>
      </c>
      <c r="J76" s="3">
        <f t="shared" si="3"/>
        <v>16355</v>
      </c>
      <c r="K76" s="1">
        <v>17816</v>
      </c>
      <c r="L76" s="3">
        <f t="shared" si="4"/>
        <v>17816</v>
      </c>
      <c r="M76" t="s">
        <v>49</v>
      </c>
      <c r="N76" t="s">
        <v>49</v>
      </c>
      <c r="O76" t="s">
        <v>49</v>
      </c>
      <c r="P76">
        <v>1</v>
      </c>
      <c r="Q76" t="s">
        <v>362</v>
      </c>
      <c r="R76" t="s">
        <v>51</v>
      </c>
      <c r="S76">
        <v>1882</v>
      </c>
      <c r="T76">
        <v>1969</v>
      </c>
      <c r="U76" t="s">
        <v>390</v>
      </c>
      <c r="V76" t="s">
        <v>391</v>
      </c>
      <c r="Z76">
        <v>0</v>
      </c>
      <c r="AA76">
        <v>1</v>
      </c>
      <c r="AB76">
        <v>0</v>
      </c>
      <c r="AC76">
        <v>1</v>
      </c>
      <c r="AF76">
        <v>1944</v>
      </c>
      <c r="AG76">
        <v>1948</v>
      </c>
      <c r="AN76">
        <v>3</v>
      </c>
      <c r="AO76" t="b">
        <v>1</v>
      </c>
      <c r="AP76" t="s">
        <v>45</v>
      </c>
      <c r="AQ76">
        <v>1916</v>
      </c>
      <c r="AR76">
        <v>2016</v>
      </c>
      <c r="AS76" t="s">
        <v>372</v>
      </c>
      <c r="AT76">
        <v>4</v>
      </c>
      <c r="AU76">
        <f t="shared" si="5"/>
        <v>1.0999999999999999E-2</v>
      </c>
    </row>
    <row r="77" spans="1:47" x14ac:dyDescent="0.3">
      <c r="A77">
        <v>75</v>
      </c>
      <c r="B77" t="s">
        <v>427</v>
      </c>
      <c r="C77" t="s">
        <v>428</v>
      </c>
      <c r="D77">
        <v>40</v>
      </c>
      <c r="E77" t="s">
        <v>345</v>
      </c>
      <c r="F77" t="str">
        <f>VLOOKUP(E77,country_continent!A:C,2,FALSE)</f>
        <v>Cuba</v>
      </c>
      <c r="G77" t="str">
        <f>VLOOKUP(E77,country_continent!A:C,3,FALSE)</f>
        <v>North America</v>
      </c>
      <c r="H77" t="s">
        <v>429</v>
      </c>
      <c r="I77" s="1">
        <v>17816</v>
      </c>
      <c r="J77" s="3">
        <f t="shared" si="3"/>
        <v>17816</v>
      </c>
      <c r="K77" s="1">
        <v>19063</v>
      </c>
      <c r="L77" s="3">
        <f t="shared" si="4"/>
        <v>19063</v>
      </c>
      <c r="M77" t="s">
        <v>49</v>
      </c>
      <c r="N77" t="s">
        <v>67</v>
      </c>
      <c r="O77" t="s">
        <v>376</v>
      </c>
      <c r="P77">
        <v>0</v>
      </c>
      <c r="Q77" t="s">
        <v>362</v>
      </c>
      <c r="R77" t="s">
        <v>51</v>
      </c>
      <c r="S77">
        <v>1903</v>
      </c>
      <c r="T77">
        <v>1977</v>
      </c>
      <c r="U77" s="1">
        <v>1291</v>
      </c>
      <c r="V77" s="2">
        <v>1291</v>
      </c>
      <c r="Y77" t="s">
        <v>430</v>
      </c>
      <c r="Z77">
        <v>0</v>
      </c>
      <c r="AA77">
        <v>3</v>
      </c>
      <c r="AB77">
        <v>6</v>
      </c>
      <c r="AC77">
        <v>1</v>
      </c>
      <c r="AF77">
        <v>1948</v>
      </c>
      <c r="AG77">
        <v>1952</v>
      </c>
      <c r="AN77">
        <v>2.4</v>
      </c>
      <c r="AO77" t="b">
        <v>1</v>
      </c>
      <c r="AP77" t="s">
        <v>45</v>
      </c>
      <c r="AQ77">
        <v>1916</v>
      </c>
      <c r="AR77">
        <v>2016</v>
      </c>
      <c r="AS77" t="s">
        <v>431</v>
      </c>
      <c r="AT77">
        <v>3.4140999315537299</v>
      </c>
      <c r="AU77">
        <f t="shared" si="5"/>
        <v>8.9999999999999993E-3</v>
      </c>
    </row>
    <row r="78" spans="1:47" x14ac:dyDescent="0.3">
      <c r="A78">
        <v>76</v>
      </c>
      <c r="B78" t="s">
        <v>432</v>
      </c>
      <c r="C78" t="s">
        <v>423</v>
      </c>
      <c r="D78">
        <v>40</v>
      </c>
      <c r="E78" t="s">
        <v>345</v>
      </c>
      <c r="F78" t="str">
        <f>VLOOKUP(E78,country_continent!A:C,2,FALSE)</f>
        <v>Cuba</v>
      </c>
      <c r="G78" t="str">
        <f>VLOOKUP(E78,country_continent!A:C,3,FALSE)</f>
        <v>North America</v>
      </c>
      <c r="H78" t="s">
        <v>424</v>
      </c>
      <c r="I78" s="1">
        <v>19063</v>
      </c>
      <c r="J78" s="3">
        <f t="shared" si="3"/>
        <v>19063</v>
      </c>
      <c r="K78" s="1">
        <v>21551</v>
      </c>
      <c r="L78" s="3">
        <f t="shared" si="4"/>
        <v>21551</v>
      </c>
      <c r="M78" t="s">
        <v>67</v>
      </c>
      <c r="N78" t="s">
        <v>67</v>
      </c>
      <c r="O78" t="s">
        <v>433</v>
      </c>
      <c r="P78">
        <v>1</v>
      </c>
      <c r="Q78" t="s">
        <v>362</v>
      </c>
      <c r="R78" t="s">
        <v>51</v>
      </c>
      <c r="S78">
        <v>1901</v>
      </c>
      <c r="T78">
        <v>1973</v>
      </c>
      <c r="U78" s="1">
        <v>382</v>
      </c>
      <c r="V78" s="2">
        <v>382</v>
      </c>
      <c r="Y78" t="s">
        <v>425</v>
      </c>
      <c r="Z78">
        <v>1</v>
      </c>
      <c r="AA78">
        <v>3</v>
      </c>
      <c r="AB78">
        <v>4</v>
      </c>
      <c r="AC78">
        <v>1</v>
      </c>
      <c r="AF78">
        <v>1952</v>
      </c>
      <c r="AG78">
        <v>1959</v>
      </c>
      <c r="AN78">
        <v>-5.62</v>
      </c>
      <c r="AO78" t="b">
        <v>1</v>
      </c>
      <c r="AP78" t="s">
        <v>45</v>
      </c>
      <c r="AQ78">
        <v>1916</v>
      </c>
      <c r="AR78">
        <v>2016</v>
      </c>
      <c r="AS78" t="s">
        <v>434</v>
      </c>
      <c r="AT78">
        <v>6.8117727583846603</v>
      </c>
      <c r="AU78">
        <f t="shared" si="5"/>
        <v>1.9E-2</v>
      </c>
    </row>
    <row r="79" spans="1:47" x14ac:dyDescent="0.3">
      <c r="A79">
        <v>77</v>
      </c>
      <c r="B79" t="s">
        <v>435</v>
      </c>
      <c r="C79" t="s">
        <v>436</v>
      </c>
      <c r="D79">
        <v>40</v>
      </c>
      <c r="E79" t="s">
        <v>345</v>
      </c>
      <c r="F79" t="str">
        <f>VLOOKUP(E79,country_continent!A:C,2,FALSE)</f>
        <v>Cuba</v>
      </c>
      <c r="G79" t="str">
        <f>VLOOKUP(E79,country_continent!A:C,3,FALSE)</f>
        <v>North America</v>
      </c>
      <c r="H79" t="s">
        <v>437</v>
      </c>
      <c r="I79" s="1">
        <v>21552</v>
      </c>
      <c r="J79" s="3">
        <f t="shared" si="3"/>
        <v>21552</v>
      </c>
      <c r="K79" s="1">
        <v>39502</v>
      </c>
      <c r="L79" s="3">
        <f t="shared" si="4"/>
        <v>39502</v>
      </c>
      <c r="M79" t="s">
        <v>67</v>
      </c>
      <c r="N79" t="s">
        <v>228</v>
      </c>
      <c r="O79" t="s">
        <v>49</v>
      </c>
      <c r="P79">
        <v>0</v>
      </c>
      <c r="Q79" t="s">
        <v>50</v>
      </c>
      <c r="R79" t="s">
        <v>51</v>
      </c>
      <c r="S79">
        <v>1927</v>
      </c>
      <c r="T79">
        <v>-777</v>
      </c>
      <c r="U79" s="1">
        <v>10087</v>
      </c>
      <c r="V79" s="2">
        <v>10087</v>
      </c>
      <c r="Z79">
        <v>1</v>
      </c>
      <c r="AA79">
        <v>2.0999998999999998</v>
      </c>
      <c r="AB79">
        <v>0</v>
      </c>
      <c r="AC79">
        <v>0</v>
      </c>
      <c r="AD79" t="s">
        <v>438</v>
      </c>
      <c r="AE79">
        <v>0</v>
      </c>
      <c r="AF79">
        <v>1959</v>
      </c>
      <c r="AG79">
        <v>2008</v>
      </c>
      <c r="AH79">
        <v>2.6155997250893099</v>
      </c>
      <c r="AI79">
        <v>2487.0270270270198</v>
      </c>
      <c r="AJ79">
        <v>3.44188783704291</v>
      </c>
      <c r="AK79">
        <v>22.277551020408101</v>
      </c>
      <c r="AL79">
        <v>0.92649441101018204</v>
      </c>
      <c r="AM79">
        <v>1.27244995363143</v>
      </c>
      <c r="AN79">
        <v>-6.8</v>
      </c>
      <c r="AO79" t="b">
        <v>1</v>
      </c>
      <c r="AP79" t="s">
        <v>45</v>
      </c>
      <c r="AQ79">
        <v>1916</v>
      </c>
      <c r="AR79">
        <v>2016</v>
      </c>
      <c r="AS79" t="s">
        <v>439</v>
      </c>
      <c r="AT79">
        <v>49.144421629021203</v>
      </c>
      <c r="AU79">
        <f t="shared" si="5"/>
        <v>0.13500000000000001</v>
      </c>
    </row>
    <row r="80" spans="1:47" x14ac:dyDescent="0.3">
      <c r="A80">
        <v>78</v>
      </c>
      <c r="B80" t="s">
        <v>440</v>
      </c>
      <c r="C80" t="s">
        <v>441</v>
      </c>
      <c r="D80">
        <v>40</v>
      </c>
      <c r="E80" t="s">
        <v>345</v>
      </c>
      <c r="F80" t="str">
        <f>VLOOKUP(E80,country_continent!A:C,2,FALSE)</f>
        <v>Cuba</v>
      </c>
      <c r="G80" t="str">
        <f>VLOOKUP(E80,country_continent!A:C,3,FALSE)</f>
        <v>North America</v>
      </c>
      <c r="H80" t="s">
        <v>442</v>
      </c>
      <c r="I80" s="1">
        <v>39502</v>
      </c>
      <c r="J80" s="3">
        <f t="shared" si="3"/>
        <v>39502</v>
      </c>
      <c r="K80" s="1">
        <v>42369</v>
      </c>
      <c r="L80" s="3">
        <f t="shared" si="4"/>
        <v>42369</v>
      </c>
      <c r="M80" t="s">
        <v>49</v>
      </c>
      <c r="N80" t="s">
        <v>173</v>
      </c>
      <c r="O80" t="s">
        <v>173</v>
      </c>
      <c r="P80">
        <v>0</v>
      </c>
      <c r="Q80" t="s">
        <v>174</v>
      </c>
      <c r="R80" t="s">
        <v>51</v>
      </c>
      <c r="S80">
        <v>1931</v>
      </c>
      <c r="T80">
        <v>-777</v>
      </c>
      <c r="U80" s="1">
        <v>11477</v>
      </c>
      <c r="V80" s="2">
        <v>11477</v>
      </c>
      <c r="Z80">
        <v>0</v>
      </c>
      <c r="AA80">
        <v>-888</v>
      </c>
      <c r="AB80">
        <v>-888</v>
      </c>
      <c r="AC80">
        <v>-888</v>
      </c>
      <c r="AD80" t="s">
        <v>443</v>
      </c>
      <c r="AF80">
        <v>2008</v>
      </c>
      <c r="AG80">
        <v>2015</v>
      </c>
      <c r="AH80">
        <v>2.7650102225178199</v>
      </c>
      <c r="AI80">
        <v>5965</v>
      </c>
      <c r="AJ80">
        <v>2.2862213330494199</v>
      </c>
      <c r="AK80">
        <v>6.15</v>
      </c>
      <c r="AL80">
        <v>-1.35258608085127E-2</v>
      </c>
      <c r="AM80">
        <v>2.1034821238826802</v>
      </c>
      <c r="AN80">
        <v>-7</v>
      </c>
      <c r="AO80" t="b">
        <v>1</v>
      </c>
      <c r="AP80" t="s">
        <v>45</v>
      </c>
      <c r="AQ80">
        <v>1916</v>
      </c>
      <c r="AR80">
        <v>2016</v>
      </c>
      <c r="AS80" t="s">
        <v>444</v>
      </c>
      <c r="AT80">
        <v>7.8494182067077301</v>
      </c>
      <c r="AU80">
        <f t="shared" si="5"/>
        <v>2.1999999999999999E-2</v>
      </c>
    </row>
    <row r="81" spans="1:47" x14ac:dyDescent="0.3">
      <c r="A81">
        <v>79</v>
      </c>
      <c r="B81" t="s">
        <v>445</v>
      </c>
      <c r="C81" t="s">
        <v>446</v>
      </c>
      <c r="D81">
        <v>41</v>
      </c>
      <c r="E81" t="s">
        <v>447</v>
      </c>
      <c r="F81" t="str">
        <f>VLOOKUP(E81,country_continent!A:C,2,FALSE)</f>
        <v>Haiti</v>
      </c>
      <c r="G81" t="str">
        <f>VLOOKUP(E81,country_continent!A:C,3,FALSE)</f>
        <v>North America</v>
      </c>
      <c r="H81" t="s">
        <v>448</v>
      </c>
      <c r="I81" t="s">
        <v>449</v>
      </c>
      <c r="J81" s="3" t="str">
        <f t="shared" si="3"/>
        <v>1874/06/11</v>
      </c>
      <c r="K81" t="s">
        <v>450</v>
      </c>
      <c r="L81" s="3" t="str">
        <f t="shared" si="4"/>
        <v>1876/04/15</v>
      </c>
      <c r="M81" t="s">
        <v>67</v>
      </c>
      <c r="N81" t="s">
        <v>67</v>
      </c>
      <c r="O81" t="s">
        <v>376</v>
      </c>
      <c r="P81">
        <v>0</v>
      </c>
      <c r="Q81" t="s">
        <v>69</v>
      </c>
      <c r="R81" t="s">
        <v>51</v>
      </c>
      <c r="S81">
        <v>1828</v>
      </c>
      <c r="T81">
        <v>1876</v>
      </c>
      <c r="W81" t="s">
        <v>450</v>
      </c>
      <c r="X81" t="s">
        <v>451</v>
      </c>
      <c r="Z81">
        <v>1</v>
      </c>
      <c r="AA81">
        <v>3</v>
      </c>
      <c r="AB81">
        <v>6</v>
      </c>
      <c r="AC81">
        <v>3</v>
      </c>
      <c r="AF81">
        <v>1874</v>
      </c>
      <c r="AG81">
        <v>1876</v>
      </c>
      <c r="AO81" t="b">
        <v>1</v>
      </c>
      <c r="AP81" t="s">
        <v>45</v>
      </c>
      <c r="AQ81">
        <v>1934</v>
      </c>
      <c r="AR81">
        <v>2016</v>
      </c>
      <c r="AS81" t="s">
        <v>452</v>
      </c>
      <c r="AT81">
        <v>1.8453114305270299</v>
      </c>
      <c r="AU81">
        <f t="shared" si="5"/>
        <v>5.0000000000000001E-3</v>
      </c>
    </row>
    <row r="82" spans="1:47" x14ac:dyDescent="0.3">
      <c r="A82">
        <v>80</v>
      </c>
      <c r="B82" t="s">
        <v>453</v>
      </c>
      <c r="C82" t="s">
        <v>454</v>
      </c>
      <c r="D82">
        <v>41</v>
      </c>
      <c r="E82" t="s">
        <v>447</v>
      </c>
      <c r="F82" t="str">
        <f>VLOOKUP(E82,country_continent!A:C,2,FALSE)</f>
        <v>Haiti</v>
      </c>
      <c r="G82" t="str">
        <f>VLOOKUP(E82,country_continent!A:C,3,FALSE)</f>
        <v>North America</v>
      </c>
      <c r="H82" t="s">
        <v>455</v>
      </c>
      <c r="I82" t="s">
        <v>456</v>
      </c>
      <c r="J82" s="3" t="str">
        <f t="shared" si="3"/>
        <v>1876/04/23</v>
      </c>
      <c r="K82" t="s">
        <v>457</v>
      </c>
      <c r="L82" s="3" t="str">
        <f t="shared" si="4"/>
        <v>1879/07/17</v>
      </c>
      <c r="M82" t="s">
        <v>67</v>
      </c>
      <c r="N82" t="s">
        <v>67</v>
      </c>
      <c r="O82" t="s">
        <v>347</v>
      </c>
      <c r="P82">
        <v>0</v>
      </c>
      <c r="Q82" t="s">
        <v>362</v>
      </c>
      <c r="R82" t="s">
        <v>51</v>
      </c>
      <c r="S82">
        <v>1832</v>
      </c>
      <c r="T82">
        <v>1905</v>
      </c>
      <c r="Z82">
        <v>1</v>
      </c>
      <c r="AA82">
        <v>3</v>
      </c>
      <c r="AB82">
        <v>-999</v>
      </c>
      <c r="AC82">
        <v>1</v>
      </c>
      <c r="AF82">
        <v>1876</v>
      </c>
      <c r="AG82">
        <v>1879</v>
      </c>
      <c r="AO82" t="b">
        <v>1</v>
      </c>
      <c r="AP82" t="s">
        <v>45</v>
      </c>
      <c r="AQ82">
        <v>1934</v>
      </c>
      <c r="AR82">
        <v>2016</v>
      </c>
      <c r="AS82" t="s">
        <v>458</v>
      </c>
      <c r="AT82">
        <v>3.2306639288158698</v>
      </c>
      <c r="AU82">
        <f t="shared" si="5"/>
        <v>8.9999999999999993E-3</v>
      </c>
    </row>
    <row r="83" spans="1:47" x14ac:dyDescent="0.3">
      <c r="A83">
        <v>81</v>
      </c>
      <c r="B83" t="s">
        <v>459</v>
      </c>
      <c r="C83" t="s">
        <v>460</v>
      </c>
      <c r="D83">
        <v>41</v>
      </c>
      <c r="E83" t="s">
        <v>447</v>
      </c>
      <c r="F83" t="str">
        <f>VLOOKUP(E83,country_continent!A:C,2,FALSE)</f>
        <v>Haiti</v>
      </c>
      <c r="G83" t="str">
        <f>VLOOKUP(E83,country_continent!A:C,3,FALSE)</f>
        <v>North America</v>
      </c>
      <c r="H83" t="s">
        <v>461</v>
      </c>
      <c r="I83" t="s">
        <v>457</v>
      </c>
      <c r="J83" s="3" t="str">
        <f t="shared" si="3"/>
        <v>1879/07/17</v>
      </c>
      <c r="K83" t="s">
        <v>462</v>
      </c>
      <c r="L83" s="3" t="str">
        <f t="shared" si="4"/>
        <v>1879/07/26</v>
      </c>
      <c r="M83" t="s">
        <v>67</v>
      </c>
      <c r="N83" t="s">
        <v>49</v>
      </c>
      <c r="O83" t="s">
        <v>49</v>
      </c>
      <c r="P83">
        <v>0</v>
      </c>
      <c r="Q83" t="s">
        <v>463</v>
      </c>
      <c r="R83" t="s">
        <v>51</v>
      </c>
      <c r="S83">
        <v>-999</v>
      </c>
      <c r="T83">
        <v>-999</v>
      </c>
      <c r="Z83">
        <v>1</v>
      </c>
      <c r="AA83">
        <v>1</v>
      </c>
      <c r="AB83">
        <v>0</v>
      </c>
      <c r="AC83">
        <v>2</v>
      </c>
      <c r="AF83">
        <v>1879</v>
      </c>
      <c r="AG83">
        <v>1879</v>
      </c>
      <c r="AO83" t="b">
        <v>1</v>
      </c>
      <c r="AP83" t="s">
        <v>45</v>
      </c>
      <c r="AQ83">
        <v>1934</v>
      </c>
      <c r="AR83">
        <v>2016</v>
      </c>
      <c r="AS83" t="s">
        <v>464</v>
      </c>
      <c r="AT83">
        <v>2.4640657084188899E-2</v>
      </c>
      <c r="AU83">
        <f t="shared" si="5"/>
        <v>0</v>
      </c>
    </row>
    <row r="84" spans="1:47" x14ac:dyDescent="0.3">
      <c r="A84">
        <v>82</v>
      </c>
      <c r="B84" t="s">
        <v>465</v>
      </c>
      <c r="C84" t="s">
        <v>466</v>
      </c>
      <c r="D84">
        <v>41</v>
      </c>
      <c r="E84" t="s">
        <v>447</v>
      </c>
      <c r="F84" t="str">
        <f>VLOOKUP(E84,country_continent!A:C,2,FALSE)</f>
        <v>Haiti</v>
      </c>
      <c r="G84" t="str">
        <f>VLOOKUP(E84,country_continent!A:C,3,FALSE)</f>
        <v>North America</v>
      </c>
      <c r="H84" t="s">
        <v>467</v>
      </c>
      <c r="I84" t="s">
        <v>462</v>
      </c>
      <c r="J84" s="3" t="str">
        <f t="shared" si="3"/>
        <v>1879/07/26</v>
      </c>
      <c r="K84" t="s">
        <v>468</v>
      </c>
      <c r="L84" s="3" t="str">
        <f t="shared" si="4"/>
        <v>1879/10/02</v>
      </c>
      <c r="M84" t="s">
        <v>67</v>
      </c>
      <c r="N84" t="s">
        <v>67</v>
      </c>
      <c r="O84" t="s">
        <v>347</v>
      </c>
      <c r="P84">
        <v>0</v>
      </c>
      <c r="Q84" t="s">
        <v>463</v>
      </c>
      <c r="R84" t="s">
        <v>51</v>
      </c>
      <c r="S84">
        <v>-999</v>
      </c>
      <c r="T84">
        <v>-999</v>
      </c>
      <c r="Z84">
        <v>1</v>
      </c>
      <c r="AA84">
        <v>3</v>
      </c>
      <c r="AB84">
        <v>-999</v>
      </c>
      <c r="AC84">
        <v>2</v>
      </c>
      <c r="AF84">
        <v>1879</v>
      </c>
      <c r="AG84">
        <v>1879</v>
      </c>
      <c r="AO84" t="b">
        <v>1</v>
      </c>
      <c r="AP84" t="s">
        <v>45</v>
      </c>
      <c r="AQ84">
        <v>1934</v>
      </c>
      <c r="AR84">
        <v>2016</v>
      </c>
      <c r="AS84" t="s">
        <v>469</v>
      </c>
      <c r="AT84">
        <v>0.186173853524982</v>
      </c>
      <c r="AU84">
        <f t="shared" si="5"/>
        <v>1E-3</v>
      </c>
    </row>
    <row r="85" spans="1:47" x14ac:dyDescent="0.3">
      <c r="A85">
        <v>83</v>
      </c>
      <c r="B85" t="s">
        <v>470</v>
      </c>
      <c r="C85" t="s">
        <v>471</v>
      </c>
      <c r="D85">
        <v>41</v>
      </c>
      <c r="E85" t="s">
        <v>447</v>
      </c>
      <c r="F85" t="str">
        <f>VLOOKUP(E85,country_continent!A:C,2,FALSE)</f>
        <v>Haiti</v>
      </c>
      <c r="G85" t="str">
        <f>VLOOKUP(E85,country_continent!A:C,3,FALSE)</f>
        <v>North America</v>
      </c>
      <c r="H85" t="s">
        <v>472</v>
      </c>
      <c r="I85" t="s">
        <v>473</v>
      </c>
      <c r="J85" s="3" t="str">
        <f t="shared" si="3"/>
        <v>1879/10/23</v>
      </c>
      <c r="K85" t="s">
        <v>474</v>
      </c>
      <c r="L85" s="3" t="str">
        <f t="shared" si="4"/>
        <v>1888/08/10</v>
      </c>
      <c r="M85" t="s">
        <v>67</v>
      </c>
      <c r="N85" t="s">
        <v>67</v>
      </c>
      <c r="O85" t="s">
        <v>347</v>
      </c>
      <c r="P85">
        <v>0</v>
      </c>
      <c r="Q85" t="s">
        <v>362</v>
      </c>
      <c r="R85" t="s">
        <v>51</v>
      </c>
      <c r="S85">
        <v>1815</v>
      </c>
      <c r="T85">
        <v>1888</v>
      </c>
      <c r="Z85">
        <v>1</v>
      </c>
      <c r="AA85">
        <v>3</v>
      </c>
      <c r="AB85">
        <v>-999</v>
      </c>
      <c r="AC85">
        <v>1</v>
      </c>
      <c r="AD85" t="s">
        <v>475</v>
      </c>
      <c r="AE85">
        <v>0</v>
      </c>
      <c r="AF85">
        <v>1879</v>
      </c>
      <c r="AG85">
        <v>1888</v>
      </c>
      <c r="AO85" t="b">
        <v>1</v>
      </c>
      <c r="AP85" t="s">
        <v>45</v>
      </c>
      <c r="AQ85">
        <v>1934</v>
      </c>
      <c r="AR85">
        <v>2016</v>
      </c>
      <c r="AS85" t="s">
        <v>476</v>
      </c>
      <c r="AT85">
        <v>8.7994524298425691</v>
      </c>
      <c r="AU85">
        <f t="shared" si="5"/>
        <v>2.4E-2</v>
      </c>
    </row>
    <row r="86" spans="1:47" x14ac:dyDescent="0.3">
      <c r="A86">
        <v>84</v>
      </c>
      <c r="B86" t="s">
        <v>477</v>
      </c>
      <c r="C86" t="s">
        <v>454</v>
      </c>
      <c r="D86">
        <v>41</v>
      </c>
      <c r="E86" t="s">
        <v>447</v>
      </c>
      <c r="F86" t="str">
        <f>VLOOKUP(E86,country_continent!A:C,2,FALSE)</f>
        <v>Haiti</v>
      </c>
      <c r="G86" t="str">
        <f>VLOOKUP(E86,country_continent!A:C,3,FALSE)</f>
        <v>North America</v>
      </c>
      <c r="H86" t="s">
        <v>455</v>
      </c>
      <c r="I86" t="s">
        <v>474</v>
      </c>
      <c r="J86" s="3" t="str">
        <f t="shared" si="3"/>
        <v>1888/08/10</v>
      </c>
      <c r="K86" t="s">
        <v>478</v>
      </c>
      <c r="L86" s="3" t="str">
        <f t="shared" si="4"/>
        <v>1888/10/16</v>
      </c>
      <c r="M86" t="s">
        <v>67</v>
      </c>
      <c r="N86" t="s">
        <v>49</v>
      </c>
      <c r="O86" t="s">
        <v>49</v>
      </c>
      <c r="P86">
        <v>1</v>
      </c>
      <c r="Q86" t="s">
        <v>362</v>
      </c>
      <c r="R86" t="s">
        <v>51</v>
      </c>
      <c r="S86">
        <v>1832</v>
      </c>
      <c r="T86">
        <v>1905</v>
      </c>
      <c r="Z86">
        <v>1</v>
      </c>
      <c r="AA86">
        <v>1</v>
      </c>
      <c r="AB86">
        <v>0</v>
      </c>
      <c r="AC86">
        <v>1</v>
      </c>
      <c r="AF86">
        <v>1888</v>
      </c>
      <c r="AG86">
        <v>1888</v>
      </c>
      <c r="AO86" t="b">
        <v>1</v>
      </c>
      <c r="AP86" t="s">
        <v>45</v>
      </c>
      <c r="AQ86">
        <v>1934</v>
      </c>
      <c r="AR86">
        <v>2016</v>
      </c>
      <c r="AS86" t="s">
        <v>479</v>
      </c>
      <c r="AT86">
        <v>0.18343600273784999</v>
      </c>
      <c r="AU86">
        <f t="shared" si="5"/>
        <v>1E-3</v>
      </c>
    </row>
    <row r="87" spans="1:47" x14ac:dyDescent="0.3">
      <c r="A87">
        <v>85</v>
      </c>
      <c r="B87" t="s">
        <v>480</v>
      </c>
      <c r="C87" t="s">
        <v>481</v>
      </c>
      <c r="D87">
        <v>41</v>
      </c>
      <c r="E87" t="s">
        <v>447</v>
      </c>
      <c r="F87" t="str">
        <f>VLOOKUP(E87,country_continent!A:C,2,FALSE)</f>
        <v>Haiti</v>
      </c>
      <c r="G87" t="str">
        <f>VLOOKUP(E87,country_continent!A:C,3,FALSE)</f>
        <v>North America</v>
      </c>
      <c r="H87" t="s">
        <v>482</v>
      </c>
      <c r="I87" t="s">
        <v>478</v>
      </c>
      <c r="J87" s="3" t="str">
        <f t="shared" si="3"/>
        <v>1888/10/16</v>
      </c>
      <c r="K87" t="s">
        <v>483</v>
      </c>
      <c r="L87" s="3" t="str">
        <f t="shared" si="4"/>
        <v>1889/08/22</v>
      </c>
      <c r="M87" t="s">
        <v>67</v>
      </c>
      <c r="N87" t="s">
        <v>67</v>
      </c>
      <c r="O87" t="s">
        <v>347</v>
      </c>
      <c r="P87">
        <v>0</v>
      </c>
      <c r="Q87" t="s">
        <v>362</v>
      </c>
      <c r="R87" t="s">
        <v>51</v>
      </c>
      <c r="S87">
        <v>1841</v>
      </c>
      <c r="T87">
        <v>1935</v>
      </c>
      <c r="Z87">
        <v>1</v>
      </c>
      <c r="AA87">
        <v>3</v>
      </c>
      <c r="AB87">
        <v>-999</v>
      </c>
      <c r="AC87">
        <v>1</v>
      </c>
      <c r="AF87">
        <v>1888</v>
      </c>
      <c r="AG87">
        <v>1889</v>
      </c>
      <c r="AO87" t="b">
        <v>1</v>
      </c>
      <c r="AP87" t="s">
        <v>45</v>
      </c>
      <c r="AQ87">
        <v>1934</v>
      </c>
      <c r="AR87">
        <v>2016</v>
      </c>
      <c r="AS87" t="s">
        <v>484</v>
      </c>
      <c r="AT87">
        <v>0.84873374401095103</v>
      </c>
      <c r="AU87">
        <f t="shared" si="5"/>
        <v>2E-3</v>
      </c>
    </row>
    <row r="88" spans="1:47" x14ac:dyDescent="0.3">
      <c r="A88">
        <v>86</v>
      </c>
      <c r="B88" t="s">
        <v>485</v>
      </c>
      <c r="C88" t="s">
        <v>486</v>
      </c>
      <c r="D88">
        <v>41</v>
      </c>
      <c r="E88" t="s">
        <v>447</v>
      </c>
      <c r="F88" t="str">
        <f>VLOOKUP(E88,country_continent!A:C,2,FALSE)</f>
        <v>Haiti</v>
      </c>
      <c r="G88" t="str">
        <f>VLOOKUP(E88,country_continent!A:C,3,FALSE)</f>
        <v>North America</v>
      </c>
      <c r="H88" t="s">
        <v>487</v>
      </c>
      <c r="I88" t="s">
        <v>488</v>
      </c>
      <c r="J88" s="3" t="str">
        <f t="shared" si="3"/>
        <v>1889/08/25</v>
      </c>
      <c r="K88" t="s">
        <v>489</v>
      </c>
      <c r="L88" s="3" t="str">
        <f t="shared" si="4"/>
        <v>1896/03/24</v>
      </c>
      <c r="M88" t="s">
        <v>67</v>
      </c>
      <c r="N88" t="s">
        <v>110</v>
      </c>
      <c r="O88" t="s">
        <v>49</v>
      </c>
      <c r="P88">
        <v>0</v>
      </c>
      <c r="Q88" t="s">
        <v>111</v>
      </c>
      <c r="R88" t="s">
        <v>51</v>
      </c>
      <c r="S88">
        <v>1827</v>
      </c>
      <c r="T88">
        <v>1896</v>
      </c>
      <c r="Z88">
        <v>1</v>
      </c>
      <c r="AA88">
        <v>2</v>
      </c>
      <c r="AB88">
        <v>0</v>
      </c>
      <c r="AC88">
        <v>-777</v>
      </c>
      <c r="AF88">
        <v>1889</v>
      </c>
      <c r="AG88">
        <v>1896</v>
      </c>
      <c r="AO88" t="b">
        <v>1</v>
      </c>
      <c r="AP88" t="s">
        <v>45</v>
      </c>
      <c r="AQ88">
        <v>1934</v>
      </c>
      <c r="AR88">
        <v>2016</v>
      </c>
      <c r="AS88" t="s">
        <v>490</v>
      </c>
      <c r="AT88">
        <v>6.5790554414784301</v>
      </c>
      <c r="AU88">
        <f t="shared" si="5"/>
        <v>1.7999999999999999E-2</v>
      </c>
    </row>
    <row r="89" spans="1:47" x14ac:dyDescent="0.3">
      <c r="A89">
        <v>87</v>
      </c>
      <c r="B89" t="s">
        <v>491</v>
      </c>
      <c r="C89" t="s">
        <v>492</v>
      </c>
      <c r="D89">
        <v>41</v>
      </c>
      <c r="E89" t="s">
        <v>447</v>
      </c>
      <c r="F89" t="str">
        <f>VLOOKUP(E89,country_continent!A:C,2,FALSE)</f>
        <v>Haiti</v>
      </c>
      <c r="G89" t="str">
        <f>VLOOKUP(E89,country_continent!A:C,3,FALSE)</f>
        <v>North America</v>
      </c>
      <c r="H89" t="s">
        <v>493</v>
      </c>
      <c r="I89" t="s">
        <v>494</v>
      </c>
      <c r="J89" s="3" t="str">
        <f t="shared" si="3"/>
        <v>1896/03/31</v>
      </c>
      <c r="K89" s="1">
        <v>863</v>
      </c>
      <c r="L89" s="3">
        <f t="shared" si="4"/>
        <v>863</v>
      </c>
      <c r="M89" t="s">
        <v>49</v>
      </c>
      <c r="N89" t="s">
        <v>49</v>
      </c>
      <c r="O89" t="s">
        <v>49</v>
      </c>
      <c r="P89">
        <v>0</v>
      </c>
      <c r="Q89" t="s">
        <v>362</v>
      </c>
      <c r="R89" t="s">
        <v>51</v>
      </c>
      <c r="S89">
        <v>1835</v>
      </c>
      <c r="T89">
        <v>1916</v>
      </c>
      <c r="Z89">
        <v>0</v>
      </c>
      <c r="AA89">
        <v>1</v>
      </c>
      <c r="AB89">
        <v>0</v>
      </c>
      <c r="AC89">
        <v>1</v>
      </c>
      <c r="AD89" t="s">
        <v>495</v>
      </c>
      <c r="AE89">
        <v>1</v>
      </c>
      <c r="AF89">
        <v>1896</v>
      </c>
      <c r="AG89">
        <v>1902</v>
      </c>
      <c r="AO89" t="b">
        <v>1</v>
      </c>
      <c r="AP89" t="s">
        <v>45</v>
      </c>
      <c r="AQ89">
        <v>1934</v>
      </c>
      <c r="AR89">
        <v>2016</v>
      </c>
      <c r="AS89" t="s">
        <v>496</v>
      </c>
      <c r="AT89">
        <v>6.1108829568788501</v>
      </c>
      <c r="AU89">
        <f t="shared" si="5"/>
        <v>1.7000000000000001E-2</v>
      </c>
    </row>
    <row r="90" spans="1:47" x14ac:dyDescent="0.3">
      <c r="A90">
        <v>88</v>
      </c>
      <c r="B90" t="s">
        <v>497</v>
      </c>
      <c r="C90" t="s">
        <v>454</v>
      </c>
      <c r="D90">
        <v>41</v>
      </c>
      <c r="E90" t="s">
        <v>447</v>
      </c>
      <c r="F90" t="str">
        <f>VLOOKUP(E90,country_continent!A:C,2,FALSE)</f>
        <v>Haiti</v>
      </c>
      <c r="G90" t="str">
        <f>VLOOKUP(E90,country_continent!A:C,3,FALSE)</f>
        <v>North America</v>
      </c>
      <c r="H90" t="s">
        <v>455</v>
      </c>
      <c r="I90" s="1">
        <v>877</v>
      </c>
      <c r="J90" s="3">
        <f t="shared" si="3"/>
        <v>877</v>
      </c>
      <c r="K90" s="1">
        <v>1082</v>
      </c>
      <c r="L90" s="3">
        <f t="shared" si="4"/>
        <v>1082</v>
      </c>
      <c r="M90" t="s">
        <v>67</v>
      </c>
      <c r="N90" t="s">
        <v>67</v>
      </c>
      <c r="O90" t="s">
        <v>347</v>
      </c>
      <c r="P90">
        <v>2</v>
      </c>
      <c r="Q90" t="s">
        <v>50</v>
      </c>
      <c r="R90" t="s">
        <v>51</v>
      </c>
      <c r="S90">
        <v>1832</v>
      </c>
      <c r="T90">
        <v>1905</v>
      </c>
      <c r="Z90">
        <v>1</v>
      </c>
      <c r="AA90">
        <v>3</v>
      </c>
      <c r="AB90">
        <v>-999</v>
      </c>
      <c r="AC90">
        <v>0</v>
      </c>
      <c r="AF90">
        <v>1902</v>
      </c>
      <c r="AG90">
        <v>1902</v>
      </c>
      <c r="AO90" t="b">
        <v>1</v>
      </c>
      <c r="AP90" t="s">
        <v>45</v>
      </c>
      <c r="AQ90">
        <v>1934</v>
      </c>
      <c r="AR90">
        <v>2016</v>
      </c>
      <c r="AS90" t="s">
        <v>498</v>
      </c>
      <c r="AT90">
        <v>0.56125941136208002</v>
      </c>
      <c r="AU90">
        <f t="shared" si="5"/>
        <v>2E-3</v>
      </c>
    </row>
    <row r="91" spans="1:47" x14ac:dyDescent="0.3">
      <c r="A91">
        <v>89</v>
      </c>
      <c r="B91" t="s">
        <v>499</v>
      </c>
      <c r="C91" t="s">
        <v>500</v>
      </c>
      <c r="D91">
        <v>41</v>
      </c>
      <c r="E91" t="s">
        <v>447</v>
      </c>
      <c r="F91" t="str">
        <f>VLOOKUP(E91,country_continent!A:C,2,FALSE)</f>
        <v>Haiti</v>
      </c>
      <c r="G91" t="str">
        <f>VLOOKUP(E91,country_continent!A:C,3,FALSE)</f>
        <v>North America</v>
      </c>
      <c r="H91" t="s">
        <v>501</v>
      </c>
      <c r="I91" s="1">
        <v>1082</v>
      </c>
      <c r="J91" s="3">
        <f t="shared" si="3"/>
        <v>1082</v>
      </c>
      <c r="K91" s="1">
        <v>3277</v>
      </c>
      <c r="L91" s="3">
        <f t="shared" si="4"/>
        <v>3277</v>
      </c>
      <c r="M91" t="s">
        <v>67</v>
      </c>
      <c r="N91" t="s">
        <v>67</v>
      </c>
      <c r="O91" t="s">
        <v>347</v>
      </c>
      <c r="P91">
        <v>0</v>
      </c>
      <c r="Q91" t="s">
        <v>362</v>
      </c>
      <c r="R91" t="s">
        <v>51</v>
      </c>
      <c r="S91">
        <v>1820</v>
      </c>
      <c r="T91">
        <v>1910</v>
      </c>
      <c r="W91" s="1">
        <v>3774</v>
      </c>
      <c r="X91" s="2">
        <v>3774</v>
      </c>
      <c r="Y91" t="s">
        <v>502</v>
      </c>
      <c r="Z91">
        <v>1</v>
      </c>
      <c r="AA91">
        <v>3</v>
      </c>
      <c r="AB91">
        <v>-999</v>
      </c>
      <c r="AC91">
        <v>1</v>
      </c>
      <c r="AF91">
        <v>1902</v>
      </c>
      <c r="AG91">
        <v>1908</v>
      </c>
      <c r="AO91" t="b">
        <v>1</v>
      </c>
      <c r="AP91" t="s">
        <v>45</v>
      </c>
      <c r="AQ91">
        <v>1934</v>
      </c>
      <c r="AR91">
        <v>2016</v>
      </c>
      <c r="AS91" t="s">
        <v>503</v>
      </c>
      <c r="AT91">
        <v>6.00958247775496</v>
      </c>
      <c r="AU91">
        <f t="shared" si="5"/>
        <v>1.6E-2</v>
      </c>
    </row>
    <row r="92" spans="1:47" x14ac:dyDescent="0.3">
      <c r="A92">
        <v>90</v>
      </c>
      <c r="B92" t="s">
        <v>504</v>
      </c>
      <c r="C92" t="s">
        <v>505</v>
      </c>
      <c r="D92">
        <v>41</v>
      </c>
      <c r="E92" t="s">
        <v>447</v>
      </c>
      <c r="F92" t="str">
        <f>VLOOKUP(E92,country_continent!A:C,2,FALSE)</f>
        <v>Haiti</v>
      </c>
      <c r="G92" t="str">
        <f>VLOOKUP(E92,country_continent!A:C,3,FALSE)</f>
        <v>North America</v>
      </c>
      <c r="H92" t="s">
        <v>506</v>
      </c>
      <c r="I92" s="1">
        <v>3277</v>
      </c>
      <c r="J92" s="3">
        <f t="shared" si="3"/>
        <v>3277</v>
      </c>
      <c r="K92" s="1">
        <v>4233</v>
      </c>
      <c r="L92" s="3">
        <f t="shared" si="4"/>
        <v>4233</v>
      </c>
      <c r="M92" t="s">
        <v>67</v>
      </c>
      <c r="N92" t="s">
        <v>67</v>
      </c>
      <c r="O92" t="s">
        <v>347</v>
      </c>
      <c r="P92">
        <v>0</v>
      </c>
      <c r="Q92" t="s">
        <v>362</v>
      </c>
      <c r="R92" t="s">
        <v>51</v>
      </c>
      <c r="S92">
        <v>1844</v>
      </c>
      <c r="T92">
        <v>1923</v>
      </c>
      <c r="Z92">
        <v>1</v>
      </c>
      <c r="AA92">
        <v>3</v>
      </c>
      <c r="AB92">
        <v>-999</v>
      </c>
      <c r="AC92">
        <v>1</v>
      </c>
      <c r="AF92">
        <v>1908</v>
      </c>
      <c r="AG92">
        <v>1911</v>
      </c>
      <c r="AO92" t="b">
        <v>1</v>
      </c>
      <c r="AP92" t="s">
        <v>45</v>
      </c>
      <c r="AQ92">
        <v>1934</v>
      </c>
      <c r="AR92">
        <v>2016</v>
      </c>
      <c r="AS92" t="s">
        <v>507</v>
      </c>
      <c r="AT92">
        <v>2.61738535249828</v>
      </c>
      <c r="AU92">
        <f t="shared" si="5"/>
        <v>7.0000000000000001E-3</v>
      </c>
    </row>
    <row r="93" spans="1:47" x14ac:dyDescent="0.3">
      <c r="A93">
        <v>91</v>
      </c>
      <c r="B93" t="s">
        <v>508</v>
      </c>
      <c r="C93" t="s">
        <v>509</v>
      </c>
      <c r="D93">
        <v>41</v>
      </c>
      <c r="E93" t="s">
        <v>447</v>
      </c>
      <c r="F93" t="str">
        <f>VLOOKUP(E93,country_continent!A:C,2,FALSE)</f>
        <v>Haiti</v>
      </c>
      <c r="G93" t="str">
        <f>VLOOKUP(E93,country_continent!A:C,3,FALSE)</f>
        <v>North America</v>
      </c>
      <c r="H93" t="s">
        <v>510</v>
      </c>
      <c r="I93" s="1">
        <v>4237</v>
      </c>
      <c r="J93" s="3">
        <f t="shared" si="3"/>
        <v>4237</v>
      </c>
      <c r="K93" s="1">
        <v>4604</v>
      </c>
      <c r="L93" s="3">
        <f t="shared" si="4"/>
        <v>4604</v>
      </c>
      <c r="M93" t="s">
        <v>67</v>
      </c>
      <c r="N93" t="s">
        <v>67</v>
      </c>
      <c r="O93" t="s">
        <v>347</v>
      </c>
      <c r="P93">
        <v>0</v>
      </c>
      <c r="Q93" t="s">
        <v>69</v>
      </c>
      <c r="R93" t="s">
        <v>51</v>
      </c>
      <c r="S93">
        <v>1854</v>
      </c>
      <c r="T93">
        <v>1912</v>
      </c>
      <c r="Z93">
        <v>1</v>
      </c>
      <c r="AA93">
        <v>3</v>
      </c>
      <c r="AB93">
        <v>-999</v>
      </c>
      <c r="AC93">
        <v>3</v>
      </c>
      <c r="AF93">
        <v>1911</v>
      </c>
      <c r="AG93">
        <v>1912</v>
      </c>
      <c r="AO93" t="b">
        <v>1</v>
      </c>
      <c r="AP93" t="s">
        <v>45</v>
      </c>
      <c r="AQ93">
        <v>1934</v>
      </c>
      <c r="AR93">
        <v>2016</v>
      </c>
      <c r="AS93" t="s">
        <v>511</v>
      </c>
      <c r="AT93">
        <v>1.00479123887748</v>
      </c>
      <c r="AU93">
        <f t="shared" si="5"/>
        <v>3.0000000000000001E-3</v>
      </c>
    </row>
    <row r="94" spans="1:47" x14ac:dyDescent="0.3">
      <c r="A94">
        <v>92</v>
      </c>
      <c r="B94" t="s">
        <v>512</v>
      </c>
      <c r="C94" t="s">
        <v>513</v>
      </c>
      <c r="D94">
        <v>41</v>
      </c>
      <c r="E94" t="s">
        <v>447</v>
      </c>
      <c r="F94" t="str">
        <f>VLOOKUP(E94,country_continent!A:C,2,FALSE)</f>
        <v>Haiti</v>
      </c>
      <c r="G94" t="str">
        <f>VLOOKUP(E94,country_continent!A:C,3,FALSE)</f>
        <v>North America</v>
      </c>
      <c r="H94" t="s">
        <v>514</v>
      </c>
      <c r="I94" s="1">
        <v>4604</v>
      </c>
      <c r="J94" s="3">
        <f t="shared" si="3"/>
        <v>4604</v>
      </c>
      <c r="K94" s="1">
        <v>4881</v>
      </c>
      <c r="L94" s="3">
        <f t="shared" si="4"/>
        <v>4881</v>
      </c>
      <c r="M94" t="s">
        <v>67</v>
      </c>
      <c r="N94" t="s">
        <v>110</v>
      </c>
      <c r="O94" t="s">
        <v>49</v>
      </c>
      <c r="P94">
        <v>0</v>
      </c>
      <c r="Q94" t="s">
        <v>111</v>
      </c>
      <c r="R94" t="s">
        <v>51</v>
      </c>
      <c r="S94">
        <v>1856</v>
      </c>
      <c r="T94">
        <v>1913</v>
      </c>
      <c r="Z94">
        <v>1</v>
      </c>
      <c r="AA94">
        <v>2</v>
      </c>
      <c r="AB94">
        <v>0</v>
      </c>
      <c r="AC94">
        <v>-777</v>
      </c>
      <c r="AF94">
        <v>1912</v>
      </c>
      <c r="AG94">
        <v>1913</v>
      </c>
      <c r="AO94" t="b">
        <v>1</v>
      </c>
      <c r="AP94" t="s">
        <v>45</v>
      </c>
      <c r="AQ94">
        <v>1934</v>
      </c>
      <c r="AR94">
        <v>2016</v>
      </c>
      <c r="AS94" t="s">
        <v>515</v>
      </c>
      <c r="AT94">
        <v>0.75838466803559201</v>
      </c>
      <c r="AU94">
        <f t="shared" si="5"/>
        <v>2E-3</v>
      </c>
    </row>
    <row r="95" spans="1:47" x14ac:dyDescent="0.3">
      <c r="A95">
        <v>93</v>
      </c>
      <c r="B95" t="s">
        <v>516</v>
      </c>
      <c r="C95" t="s">
        <v>517</v>
      </c>
      <c r="D95">
        <v>41</v>
      </c>
      <c r="E95" t="s">
        <v>447</v>
      </c>
      <c r="F95" t="str">
        <f>VLOOKUP(E95,country_continent!A:C,2,FALSE)</f>
        <v>Haiti</v>
      </c>
      <c r="G95" t="str">
        <f>VLOOKUP(E95,country_continent!A:C,3,FALSE)</f>
        <v>North America</v>
      </c>
      <c r="H95" t="s">
        <v>518</v>
      </c>
      <c r="I95" s="1">
        <v>4881</v>
      </c>
      <c r="J95" s="3">
        <f t="shared" si="3"/>
        <v>4881</v>
      </c>
      <c r="K95" s="1">
        <v>5141</v>
      </c>
      <c r="L95" s="3">
        <f t="shared" si="4"/>
        <v>5141</v>
      </c>
      <c r="M95" t="s">
        <v>49</v>
      </c>
      <c r="N95" t="s">
        <v>67</v>
      </c>
      <c r="O95" t="s">
        <v>347</v>
      </c>
      <c r="P95">
        <v>0</v>
      </c>
      <c r="Q95" t="s">
        <v>362</v>
      </c>
      <c r="R95" t="s">
        <v>51</v>
      </c>
      <c r="S95">
        <v>1859</v>
      </c>
      <c r="T95">
        <v>1918</v>
      </c>
      <c r="W95" s="1">
        <v>6876</v>
      </c>
      <c r="X95" s="2">
        <v>6876</v>
      </c>
      <c r="Z95">
        <v>0</v>
      </c>
      <c r="AA95">
        <v>3</v>
      </c>
      <c r="AB95">
        <v>-999</v>
      </c>
      <c r="AC95">
        <v>1</v>
      </c>
      <c r="AF95">
        <v>1913</v>
      </c>
      <c r="AG95">
        <v>1914</v>
      </c>
      <c r="AO95" t="b">
        <v>1</v>
      </c>
      <c r="AP95" t="s">
        <v>45</v>
      </c>
      <c r="AQ95">
        <v>1934</v>
      </c>
      <c r="AR95">
        <v>2016</v>
      </c>
      <c r="AS95" t="s">
        <v>519</v>
      </c>
      <c r="AT95">
        <v>0.71184120465434597</v>
      </c>
      <c r="AU95">
        <f t="shared" si="5"/>
        <v>2E-3</v>
      </c>
    </row>
    <row r="96" spans="1:47" x14ac:dyDescent="0.3">
      <c r="A96">
        <v>94</v>
      </c>
      <c r="B96" t="s">
        <v>520</v>
      </c>
      <c r="C96" t="s">
        <v>521</v>
      </c>
      <c r="D96">
        <v>41</v>
      </c>
      <c r="E96" t="s">
        <v>447</v>
      </c>
      <c r="F96" t="str">
        <f>VLOOKUP(E96,country_continent!A:C,2,FALSE)</f>
        <v>Haiti</v>
      </c>
      <c r="G96" t="str">
        <f>VLOOKUP(E96,country_continent!A:C,3,FALSE)</f>
        <v>North America</v>
      </c>
      <c r="H96" t="s">
        <v>522</v>
      </c>
      <c r="I96" s="1">
        <v>5153</v>
      </c>
      <c r="J96" s="3">
        <f t="shared" si="3"/>
        <v>5153</v>
      </c>
      <c r="K96" s="1">
        <v>5406</v>
      </c>
      <c r="L96" s="3">
        <f t="shared" si="4"/>
        <v>5406</v>
      </c>
      <c r="M96" t="s">
        <v>67</v>
      </c>
      <c r="N96" t="s">
        <v>67</v>
      </c>
      <c r="O96" t="s">
        <v>347</v>
      </c>
      <c r="P96">
        <v>0</v>
      </c>
      <c r="Q96" t="s">
        <v>69</v>
      </c>
      <c r="R96" t="s">
        <v>51</v>
      </c>
      <c r="S96">
        <v>1861</v>
      </c>
      <c r="T96">
        <v>1915</v>
      </c>
      <c r="Z96">
        <v>1</v>
      </c>
      <c r="AA96">
        <v>3</v>
      </c>
      <c r="AB96">
        <v>-999</v>
      </c>
      <c r="AC96">
        <v>3</v>
      </c>
      <c r="AF96">
        <v>1914</v>
      </c>
      <c r="AG96">
        <v>1914</v>
      </c>
      <c r="AO96" t="b">
        <v>1</v>
      </c>
      <c r="AP96" t="s">
        <v>45</v>
      </c>
      <c r="AQ96">
        <v>1934</v>
      </c>
      <c r="AR96">
        <v>2016</v>
      </c>
      <c r="AS96" t="s">
        <v>523</v>
      </c>
      <c r="AT96">
        <v>0.69267624914442105</v>
      </c>
      <c r="AU96">
        <f t="shared" si="5"/>
        <v>2E-3</v>
      </c>
    </row>
    <row r="97" spans="1:47" x14ac:dyDescent="0.3">
      <c r="A97">
        <v>95</v>
      </c>
      <c r="B97" t="s">
        <v>524</v>
      </c>
      <c r="C97" t="s">
        <v>525</v>
      </c>
      <c r="D97">
        <v>41</v>
      </c>
      <c r="E97" t="s">
        <v>447</v>
      </c>
      <c r="F97" t="str">
        <f>VLOOKUP(E97,country_continent!A:C,2,FALSE)</f>
        <v>Haiti</v>
      </c>
      <c r="G97" t="str">
        <f>VLOOKUP(E97,country_continent!A:C,3,FALSE)</f>
        <v>North America</v>
      </c>
      <c r="H97" t="s">
        <v>526</v>
      </c>
      <c r="I97" s="1">
        <v>5406</v>
      </c>
      <c r="J97" s="3">
        <f t="shared" si="3"/>
        <v>5406</v>
      </c>
      <c r="K97" s="1">
        <v>5532</v>
      </c>
      <c r="L97" s="3">
        <f t="shared" si="4"/>
        <v>5532</v>
      </c>
      <c r="M97" t="s">
        <v>67</v>
      </c>
      <c r="N97" t="s">
        <v>67</v>
      </c>
      <c r="O97" t="s">
        <v>347</v>
      </c>
      <c r="P97">
        <v>0</v>
      </c>
      <c r="Q97" t="s">
        <v>362</v>
      </c>
      <c r="R97" t="s">
        <v>51</v>
      </c>
      <c r="S97">
        <v>1847</v>
      </c>
      <c r="T97">
        <v>1917</v>
      </c>
      <c r="W97" s="1">
        <v>6223</v>
      </c>
      <c r="X97" s="2">
        <v>6223</v>
      </c>
      <c r="Z97">
        <v>1</v>
      </c>
      <c r="AA97">
        <v>3</v>
      </c>
      <c r="AB97">
        <v>-999</v>
      </c>
      <c r="AC97">
        <v>1</v>
      </c>
      <c r="AF97">
        <v>1914</v>
      </c>
      <c r="AG97">
        <v>1915</v>
      </c>
      <c r="AO97" t="b">
        <v>1</v>
      </c>
      <c r="AP97" t="s">
        <v>45</v>
      </c>
      <c r="AQ97">
        <v>1934</v>
      </c>
      <c r="AR97">
        <v>2016</v>
      </c>
      <c r="AS97" t="s">
        <v>527</v>
      </c>
      <c r="AT97">
        <v>0.34496919917864399</v>
      </c>
      <c r="AU97">
        <f t="shared" si="5"/>
        <v>1E-3</v>
      </c>
    </row>
    <row r="98" spans="1:47" x14ac:dyDescent="0.3">
      <c r="A98">
        <v>96</v>
      </c>
      <c r="B98" t="s">
        <v>528</v>
      </c>
      <c r="C98" t="s">
        <v>529</v>
      </c>
      <c r="D98">
        <v>41</v>
      </c>
      <c r="E98" t="s">
        <v>447</v>
      </c>
      <c r="F98" t="str">
        <f>VLOOKUP(E98,country_continent!A:C,2,FALSE)</f>
        <v>Haiti</v>
      </c>
      <c r="G98" t="str">
        <f>VLOOKUP(E98,country_continent!A:C,3,FALSE)</f>
        <v>North America</v>
      </c>
      <c r="H98" t="s">
        <v>530</v>
      </c>
      <c r="I98" s="1">
        <v>5542</v>
      </c>
      <c r="J98" s="3">
        <f t="shared" si="3"/>
        <v>5542</v>
      </c>
      <c r="K98" s="1">
        <v>5686</v>
      </c>
      <c r="L98" s="3">
        <f t="shared" si="4"/>
        <v>5686</v>
      </c>
      <c r="M98" t="s">
        <v>67</v>
      </c>
      <c r="N98" t="s">
        <v>67</v>
      </c>
      <c r="O98" t="s">
        <v>347</v>
      </c>
      <c r="P98">
        <v>0</v>
      </c>
      <c r="Q98" t="s">
        <v>69</v>
      </c>
      <c r="R98" t="s">
        <v>51</v>
      </c>
      <c r="S98">
        <v>1859</v>
      </c>
      <c r="T98">
        <v>1915</v>
      </c>
      <c r="U98" t="s">
        <v>531</v>
      </c>
      <c r="V98" t="s">
        <v>532</v>
      </c>
      <c r="W98" s="1">
        <v>5688</v>
      </c>
      <c r="X98" s="2">
        <v>5688</v>
      </c>
      <c r="Z98">
        <v>1</v>
      </c>
      <c r="AA98">
        <v>3</v>
      </c>
      <c r="AB98">
        <v>-999</v>
      </c>
      <c r="AC98">
        <v>3</v>
      </c>
      <c r="AF98">
        <v>1915</v>
      </c>
      <c r="AG98">
        <v>1915</v>
      </c>
      <c r="AO98" t="b">
        <v>1</v>
      </c>
      <c r="AP98" t="s">
        <v>45</v>
      </c>
      <c r="AQ98">
        <v>1934</v>
      </c>
      <c r="AR98">
        <v>2016</v>
      </c>
      <c r="AS98" t="s">
        <v>533</v>
      </c>
      <c r="AT98">
        <v>0.39425051334702199</v>
      </c>
      <c r="AU98">
        <f t="shared" si="5"/>
        <v>1E-3</v>
      </c>
    </row>
    <row r="99" spans="1:47" x14ac:dyDescent="0.3">
      <c r="A99">
        <v>97</v>
      </c>
      <c r="B99" t="s">
        <v>534</v>
      </c>
      <c r="C99" t="s">
        <v>535</v>
      </c>
      <c r="D99">
        <v>41</v>
      </c>
      <c r="E99" t="s">
        <v>447</v>
      </c>
      <c r="F99" t="str">
        <f>VLOOKUP(E99,country_continent!A:C,2,FALSE)</f>
        <v>Haiti</v>
      </c>
      <c r="G99" t="str">
        <f>VLOOKUP(E99,country_continent!A:C,3,FALSE)</f>
        <v>North America</v>
      </c>
      <c r="H99" t="s">
        <v>536</v>
      </c>
      <c r="I99" s="1">
        <v>12646</v>
      </c>
      <c r="J99" s="3">
        <f t="shared" si="3"/>
        <v>12646</v>
      </c>
      <c r="K99" s="1">
        <v>15111</v>
      </c>
      <c r="L99" s="3">
        <f t="shared" si="4"/>
        <v>15111</v>
      </c>
      <c r="M99" t="s">
        <v>49</v>
      </c>
      <c r="N99" t="s">
        <v>49</v>
      </c>
      <c r="O99" t="s">
        <v>49</v>
      </c>
      <c r="P99">
        <v>0</v>
      </c>
      <c r="Q99" t="s">
        <v>362</v>
      </c>
      <c r="R99" t="s">
        <v>51</v>
      </c>
      <c r="S99">
        <v>1874</v>
      </c>
      <c r="T99">
        <v>1959</v>
      </c>
      <c r="W99" s="1">
        <v>21796</v>
      </c>
      <c r="X99" s="2">
        <v>21796</v>
      </c>
      <c r="Z99">
        <v>0</v>
      </c>
      <c r="AA99">
        <v>1</v>
      </c>
      <c r="AB99">
        <v>0</v>
      </c>
      <c r="AC99">
        <v>1</v>
      </c>
      <c r="AF99">
        <v>1934</v>
      </c>
      <c r="AG99">
        <v>1941</v>
      </c>
      <c r="AO99" t="b">
        <v>1</v>
      </c>
      <c r="AP99" t="s">
        <v>45</v>
      </c>
      <c r="AQ99">
        <v>1934</v>
      </c>
      <c r="AR99">
        <v>2016</v>
      </c>
      <c r="AS99" t="s">
        <v>537</v>
      </c>
      <c r="AT99">
        <v>6.7488021902806299</v>
      </c>
      <c r="AU99">
        <f t="shared" si="5"/>
        <v>1.7999999999999999E-2</v>
      </c>
    </row>
    <row r="100" spans="1:47" x14ac:dyDescent="0.3">
      <c r="A100">
        <v>98</v>
      </c>
      <c r="B100" t="s">
        <v>538</v>
      </c>
      <c r="C100" t="s">
        <v>539</v>
      </c>
      <c r="D100">
        <v>41</v>
      </c>
      <c r="E100" t="s">
        <v>447</v>
      </c>
      <c r="F100" t="str">
        <f>VLOOKUP(E100,country_continent!A:C,2,FALSE)</f>
        <v>Haiti</v>
      </c>
      <c r="G100" t="str">
        <f>VLOOKUP(E100,country_continent!A:C,3,FALSE)</f>
        <v>North America</v>
      </c>
      <c r="H100" t="s">
        <v>540</v>
      </c>
      <c r="I100" s="1">
        <v>15111</v>
      </c>
      <c r="J100" s="3">
        <f t="shared" si="3"/>
        <v>15111</v>
      </c>
      <c r="K100" s="1">
        <v>16813</v>
      </c>
      <c r="L100" s="3">
        <f t="shared" si="4"/>
        <v>16813</v>
      </c>
      <c r="M100" t="s">
        <v>49</v>
      </c>
      <c r="N100" t="s">
        <v>67</v>
      </c>
      <c r="O100" t="s">
        <v>376</v>
      </c>
      <c r="P100">
        <v>0</v>
      </c>
      <c r="Q100" t="s">
        <v>362</v>
      </c>
      <c r="R100" t="s">
        <v>51</v>
      </c>
      <c r="S100">
        <v>1883</v>
      </c>
      <c r="T100">
        <v>1974</v>
      </c>
      <c r="U100" t="s">
        <v>541</v>
      </c>
      <c r="V100" t="s">
        <v>542</v>
      </c>
      <c r="W100" s="1">
        <v>27323</v>
      </c>
      <c r="X100" s="2">
        <v>27323</v>
      </c>
      <c r="Y100" t="s">
        <v>543</v>
      </c>
      <c r="Z100">
        <v>0</v>
      </c>
      <c r="AA100">
        <v>3</v>
      </c>
      <c r="AB100">
        <v>6</v>
      </c>
      <c r="AC100">
        <v>1</v>
      </c>
      <c r="AF100">
        <v>1941</v>
      </c>
      <c r="AG100">
        <v>1946</v>
      </c>
      <c r="AO100" t="b">
        <v>1</v>
      </c>
      <c r="AP100" t="s">
        <v>45</v>
      </c>
      <c r="AQ100">
        <v>1934</v>
      </c>
      <c r="AR100">
        <v>2016</v>
      </c>
      <c r="AS100" t="s">
        <v>544</v>
      </c>
      <c r="AT100">
        <v>4.6598220396988301</v>
      </c>
      <c r="AU100">
        <f t="shared" si="5"/>
        <v>1.2999999999999999E-2</v>
      </c>
    </row>
    <row r="101" spans="1:47" x14ac:dyDescent="0.3">
      <c r="A101">
        <v>99</v>
      </c>
      <c r="B101" t="s">
        <v>545</v>
      </c>
      <c r="C101" t="s">
        <v>546</v>
      </c>
      <c r="D101">
        <v>41</v>
      </c>
      <c r="E101" t="s">
        <v>447</v>
      </c>
      <c r="F101" t="str">
        <f>VLOOKUP(E101,country_continent!A:C,2,FALSE)</f>
        <v>Haiti</v>
      </c>
      <c r="G101" t="str">
        <f>VLOOKUP(E101,country_continent!A:C,3,FALSE)</f>
        <v>North America</v>
      </c>
      <c r="H101" t="s">
        <v>547</v>
      </c>
      <c r="I101" s="1">
        <v>16813</v>
      </c>
      <c r="J101" s="3">
        <f t="shared" si="3"/>
        <v>16813</v>
      </c>
      <c r="K101" s="1">
        <v>17030</v>
      </c>
      <c r="L101" s="3">
        <f t="shared" si="4"/>
        <v>17030</v>
      </c>
      <c r="M101" t="s">
        <v>67</v>
      </c>
      <c r="N101" t="s">
        <v>49</v>
      </c>
      <c r="O101" t="s">
        <v>49</v>
      </c>
      <c r="P101">
        <v>0</v>
      </c>
      <c r="Q101" t="s">
        <v>50</v>
      </c>
      <c r="R101" t="s">
        <v>51</v>
      </c>
      <c r="S101">
        <v>1903</v>
      </c>
      <c r="T101">
        <v>1986</v>
      </c>
      <c r="U101" s="1">
        <v>1171</v>
      </c>
      <c r="V101" s="2">
        <v>1171</v>
      </c>
      <c r="Z101">
        <v>1</v>
      </c>
      <c r="AA101">
        <v>1</v>
      </c>
      <c r="AB101">
        <v>0</v>
      </c>
      <c r="AC101">
        <v>0</v>
      </c>
      <c r="AF101">
        <v>1946</v>
      </c>
      <c r="AG101">
        <v>1946</v>
      </c>
      <c r="AO101" t="b">
        <v>1</v>
      </c>
      <c r="AP101" t="s">
        <v>45</v>
      </c>
      <c r="AQ101">
        <v>1934</v>
      </c>
      <c r="AR101">
        <v>2016</v>
      </c>
      <c r="AS101" t="s">
        <v>548</v>
      </c>
      <c r="AT101">
        <v>0.59411362080766505</v>
      </c>
      <c r="AU101">
        <f t="shared" si="5"/>
        <v>2E-3</v>
      </c>
    </row>
    <row r="102" spans="1:47" x14ac:dyDescent="0.3">
      <c r="A102">
        <v>100</v>
      </c>
      <c r="B102" t="s">
        <v>549</v>
      </c>
      <c r="C102" t="s">
        <v>550</v>
      </c>
      <c r="D102">
        <v>41</v>
      </c>
      <c r="E102" t="s">
        <v>447</v>
      </c>
      <c r="F102" t="str">
        <f>VLOOKUP(E102,country_continent!A:C,2,FALSE)</f>
        <v>Haiti</v>
      </c>
      <c r="G102" t="str">
        <f>VLOOKUP(E102,country_continent!A:C,3,FALSE)</f>
        <v>North America</v>
      </c>
      <c r="H102" t="s">
        <v>551</v>
      </c>
      <c r="I102" s="1">
        <v>17030</v>
      </c>
      <c r="J102" s="3">
        <f t="shared" si="3"/>
        <v>17030</v>
      </c>
      <c r="K102" s="1">
        <v>18393</v>
      </c>
      <c r="L102" s="3">
        <f t="shared" si="4"/>
        <v>18393</v>
      </c>
      <c r="M102" t="s">
        <v>49</v>
      </c>
      <c r="N102" t="s">
        <v>67</v>
      </c>
      <c r="O102" t="s">
        <v>376</v>
      </c>
      <c r="P102">
        <v>0</v>
      </c>
      <c r="Q102" t="s">
        <v>463</v>
      </c>
      <c r="R102" t="s">
        <v>51</v>
      </c>
      <c r="S102">
        <v>1900</v>
      </c>
      <c r="T102">
        <v>1953</v>
      </c>
      <c r="U102" s="1">
        <v>112</v>
      </c>
      <c r="V102" s="2">
        <v>112</v>
      </c>
      <c r="W102" s="1">
        <v>19560</v>
      </c>
      <c r="X102" s="2">
        <v>19560</v>
      </c>
      <c r="Y102" t="s">
        <v>552</v>
      </c>
      <c r="Z102">
        <v>0</v>
      </c>
      <c r="AA102">
        <v>3</v>
      </c>
      <c r="AB102">
        <v>6</v>
      </c>
      <c r="AC102">
        <v>2</v>
      </c>
      <c r="AF102">
        <v>1946</v>
      </c>
      <c r="AG102">
        <v>1950</v>
      </c>
      <c r="AO102" t="b">
        <v>1</v>
      </c>
      <c r="AP102" t="s">
        <v>45</v>
      </c>
      <c r="AQ102">
        <v>1934</v>
      </c>
      <c r="AR102">
        <v>2016</v>
      </c>
      <c r="AS102" t="s">
        <v>553</v>
      </c>
      <c r="AT102">
        <v>3.7316906228610498</v>
      </c>
      <c r="AU102">
        <f t="shared" si="5"/>
        <v>0.01</v>
      </c>
    </row>
    <row r="103" spans="1:47" x14ac:dyDescent="0.3">
      <c r="A103">
        <v>101</v>
      </c>
      <c r="B103" t="s">
        <v>554</v>
      </c>
      <c r="C103" t="s">
        <v>555</v>
      </c>
      <c r="D103">
        <v>41</v>
      </c>
      <c r="E103" t="s">
        <v>447</v>
      </c>
      <c r="F103" t="str">
        <f>VLOOKUP(E103,country_continent!A:C,2,FALSE)</f>
        <v>Haiti</v>
      </c>
      <c r="G103" t="str">
        <f>VLOOKUP(E103,country_continent!A:C,3,FALSE)</f>
        <v>North America</v>
      </c>
      <c r="H103" t="s">
        <v>556</v>
      </c>
      <c r="I103" s="1">
        <v>18393</v>
      </c>
      <c r="J103" s="3">
        <f t="shared" si="3"/>
        <v>18393</v>
      </c>
      <c r="K103" s="1">
        <v>20801</v>
      </c>
      <c r="L103" s="3">
        <f t="shared" si="4"/>
        <v>20801</v>
      </c>
      <c r="M103" t="s">
        <v>49</v>
      </c>
      <c r="N103" t="s">
        <v>67</v>
      </c>
      <c r="O103" t="s">
        <v>376</v>
      </c>
      <c r="P103">
        <v>0</v>
      </c>
      <c r="Q103" t="s">
        <v>362</v>
      </c>
      <c r="R103" t="s">
        <v>51</v>
      </c>
      <c r="S103">
        <v>1907</v>
      </c>
      <c r="T103">
        <v>2001</v>
      </c>
      <c r="U103" s="1">
        <v>2757</v>
      </c>
      <c r="V103" s="2">
        <v>2757</v>
      </c>
      <c r="Y103" t="s">
        <v>557</v>
      </c>
      <c r="Z103">
        <v>0</v>
      </c>
      <c r="AA103">
        <v>3</v>
      </c>
      <c r="AB103">
        <v>6</v>
      </c>
      <c r="AC103">
        <v>1</v>
      </c>
      <c r="AF103">
        <v>1950</v>
      </c>
      <c r="AG103">
        <v>1956</v>
      </c>
      <c r="AO103" t="b">
        <v>1</v>
      </c>
      <c r="AP103" t="s">
        <v>45</v>
      </c>
      <c r="AQ103">
        <v>1934</v>
      </c>
      <c r="AR103">
        <v>2016</v>
      </c>
      <c r="AS103" t="s">
        <v>558</v>
      </c>
      <c r="AT103">
        <v>6.5927446954141002</v>
      </c>
      <c r="AU103">
        <f t="shared" si="5"/>
        <v>1.7999999999999999E-2</v>
      </c>
    </row>
    <row r="104" spans="1:47" x14ac:dyDescent="0.3">
      <c r="A104">
        <v>102</v>
      </c>
      <c r="B104" t="s">
        <v>559</v>
      </c>
      <c r="C104" t="s">
        <v>560</v>
      </c>
      <c r="D104">
        <v>41</v>
      </c>
      <c r="E104" t="s">
        <v>447</v>
      </c>
      <c r="F104" t="str">
        <f>VLOOKUP(E104,country_continent!A:C,2,FALSE)</f>
        <v>Haiti</v>
      </c>
      <c r="G104" t="str">
        <f>VLOOKUP(E104,country_continent!A:C,3,FALSE)</f>
        <v>North America</v>
      </c>
      <c r="H104" t="s">
        <v>561</v>
      </c>
      <c r="I104" s="1">
        <v>20801</v>
      </c>
      <c r="J104" s="3">
        <f t="shared" si="3"/>
        <v>20801</v>
      </c>
      <c r="K104" s="1">
        <v>20854</v>
      </c>
      <c r="L104" s="3">
        <f t="shared" si="4"/>
        <v>20854</v>
      </c>
      <c r="M104" t="s">
        <v>49</v>
      </c>
      <c r="N104" t="s">
        <v>67</v>
      </c>
      <c r="O104" t="s">
        <v>376</v>
      </c>
      <c r="P104">
        <v>0</v>
      </c>
      <c r="Q104" t="s">
        <v>50</v>
      </c>
      <c r="R104" t="s">
        <v>51</v>
      </c>
      <c r="S104">
        <v>1900</v>
      </c>
      <c r="T104">
        <v>1966</v>
      </c>
      <c r="Z104">
        <v>0</v>
      </c>
      <c r="AA104">
        <v>3</v>
      </c>
      <c r="AB104">
        <v>6</v>
      </c>
      <c r="AC104">
        <v>0</v>
      </c>
      <c r="AF104">
        <v>1956</v>
      </c>
      <c r="AG104">
        <v>1957</v>
      </c>
      <c r="AO104" t="b">
        <v>1</v>
      </c>
      <c r="AP104" t="s">
        <v>45</v>
      </c>
      <c r="AQ104">
        <v>1934</v>
      </c>
      <c r="AR104">
        <v>2016</v>
      </c>
      <c r="AS104" t="s">
        <v>562</v>
      </c>
      <c r="AT104">
        <v>0.14510609171800101</v>
      </c>
      <c r="AU104">
        <f t="shared" si="5"/>
        <v>0</v>
      </c>
    </row>
    <row r="105" spans="1:47" x14ac:dyDescent="0.3">
      <c r="A105">
        <v>103</v>
      </c>
      <c r="B105" t="s">
        <v>563</v>
      </c>
      <c r="C105" t="s">
        <v>564</v>
      </c>
      <c r="D105">
        <v>41</v>
      </c>
      <c r="E105" t="s">
        <v>447</v>
      </c>
      <c r="F105" t="str">
        <f>VLOOKUP(E105,country_continent!A:C,2,FALSE)</f>
        <v>Haiti</v>
      </c>
      <c r="G105" t="str">
        <f>VLOOKUP(E105,country_continent!A:C,3,FALSE)</f>
        <v>North America</v>
      </c>
      <c r="H105" t="s">
        <v>565</v>
      </c>
      <c r="I105" s="1">
        <v>20858</v>
      </c>
      <c r="J105" s="3">
        <f t="shared" si="3"/>
        <v>20858</v>
      </c>
      <c r="K105" s="1">
        <v>20912</v>
      </c>
      <c r="L105" s="3">
        <f t="shared" si="4"/>
        <v>20912</v>
      </c>
      <c r="M105" t="s">
        <v>49</v>
      </c>
      <c r="N105" t="s">
        <v>67</v>
      </c>
      <c r="O105" t="s">
        <v>376</v>
      </c>
      <c r="P105">
        <v>0</v>
      </c>
      <c r="Q105" t="s">
        <v>463</v>
      </c>
      <c r="R105" t="s">
        <v>51</v>
      </c>
      <c r="S105">
        <v>1909</v>
      </c>
      <c r="T105">
        <v>1987</v>
      </c>
      <c r="Z105">
        <v>0</v>
      </c>
      <c r="AA105">
        <v>3</v>
      </c>
      <c r="AB105">
        <v>6</v>
      </c>
      <c r="AC105">
        <v>2</v>
      </c>
      <c r="AF105">
        <v>1957</v>
      </c>
      <c r="AG105">
        <v>1957</v>
      </c>
      <c r="AO105" t="b">
        <v>1</v>
      </c>
      <c r="AP105" t="s">
        <v>45</v>
      </c>
      <c r="AQ105">
        <v>1934</v>
      </c>
      <c r="AR105">
        <v>2016</v>
      </c>
      <c r="AS105" t="s">
        <v>566</v>
      </c>
      <c r="AT105">
        <v>0.147843942505133</v>
      </c>
      <c r="AU105">
        <f t="shared" si="5"/>
        <v>0</v>
      </c>
    </row>
    <row r="106" spans="1:47" x14ac:dyDescent="0.3">
      <c r="A106">
        <v>104</v>
      </c>
      <c r="B106" t="s">
        <v>567</v>
      </c>
      <c r="C106" t="s">
        <v>568</v>
      </c>
      <c r="D106">
        <v>41</v>
      </c>
      <c r="E106" t="s">
        <v>447</v>
      </c>
      <c r="F106" t="str">
        <f>VLOOKUP(E106,country_continent!A:C,2,FALSE)</f>
        <v>Haiti</v>
      </c>
      <c r="G106" t="str">
        <f>VLOOKUP(E106,country_continent!A:C,3,FALSE)</f>
        <v>North America</v>
      </c>
      <c r="H106" t="s">
        <v>569</v>
      </c>
      <c r="I106" s="1">
        <v>20912</v>
      </c>
      <c r="J106" s="3">
        <f t="shared" si="3"/>
        <v>20912</v>
      </c>
      <c r="K106" s="1">
        <v>20916</v>
      </c>
      <c r="L106" s="3">
        <f t="shared" si="4"/>
        <v>20916</v>
      </c>
      <c r="M106" t="s">
        <v>67</v>
      </c>
      <c r="N106" t="s">
        <v>49</v>
      </c>
      <c r="O106" t="s">
        <v>49</v>
      </c>
      <c r="P106">
        <v>0</v>
      </c>
      <c r="Q106" t="s">
        <v>50</v>
      </c>
      <c r="R106" t="s">
        <v>51</v>
      </c>
      <c r="S106">
        <v>1910</v>
      </c>
      <c r="T106">
        <v>1967</v>
      </c>
      <c r="Z106">
        <v>1</v>
      </c>
      <c r="AA106">
        <v>1</v>
      </c>
      <c r="AB106">
        <v>0</v>
      </c>
      <c r="AC106">
        <v>0</v>
      </c>
      <c r="AF106">
        <v>1957</v>
      </c>
      <c r="AG106">
        <v>1957</v>
      </c>
      <c r="AO106" t="b">
        <v>1</v>
      </c>
      <c r="AP106" t="s">
        <v>45</v>
      </c>
      <c r="AQ106">
        <v>1934</v>
      </c>
      <c r="AR106">
        <v>2016</v>
      </c>
      <c r="AS106" t="s">
        <v>570</v>
      </c>
      <c r="AT106">
        <v>1.09514031485284E-2</v>
      </c>
      <c r="AU106">
        <f t="shared" si="5"/>
        <v>0</v>
      </c>
    </row>
    <row r="107" spans="1:47" x14ac:dyDescent="0.3">
      <c r="A107">
        <v>105</v>
      </c>
      <c r="B107" t="s">
        <v>571</v>
      </c>
      <c r="C107" t="s">
        <v>572</v>
      </c>
      <c r="D107">
        <v>41</v>
      </c>
      <c r="E107" t="s">
        <v>447</v>
      </c>
      <c r="F107" t="str">
        <f>VLOOKUP(E107,country_continent!A:C,2,FALSE)</f>
        <v>Haiti</v>
      </c>
      <c r="G107" t="str">
        <f>VLOOKUP(E107,country_continent!A:C,3,FALSE)</f>
        <v>North America</v>
      </c>
      <c r="H107" t="s">
        <v>573</v>
      </c>
      <c r="I107" s="1">
        <v>20916</v>
      </c>
      <c r="J107" s="3">
        <f t="shared" si="3"/>
        <v>20916</v>
      </c>
      <c r="K107" s="1">
        <v>20960</v>
      </c>
      <c r="L107" s="3">
        <f t="shared" si="4"/>
        <v>20960</v>
      </c>
      <c r="M107" t="s">
        <v>49</v>
      </c>
      <c r="N107" t="s">
        <v>49</v>
      </c>
      <c r="O107" t="s">
        <v>49</v>
      </c>
      <c r="P107">
        <v>0</v>
      </c>
      <c r="Q107" t="s">
        <v>50</v>
      </c>
      <c r="R107" t="s">
        <v>51</v>
      </c>
      <c r="S107">
        <v>-999</v>
      </c>
      <c r="T107">
        <v>-999</v>
      </c>
      <c r="Z107">
        <v>0</v>
      </c>
      <c r="AA107">
        <v>1</v>
      </c>
      <c r="AB107">
        <v>0</v>
      </c>
      <c r="AC107">
        <v>0</v>
      </c>
      <c r="AF107">
        <v>1957</v>
      </c>
      <c r="AG107">
        <v>1957</v>
      </c>
      <c r="AO107" t="b">
        <v>1</v>
      </c>
      <c r="AP107" t="s">
        <v>45</v>
      </c>
      <c r="AQ107">
        <v>1934</v>
      </c>
      <c r="AR107">
        <v>2016</v>
      </c>
      <c r="AS107" t="s">
        <v>574</v>
      </c>
      <c r="AT107">
        <v>0.120465434633812</v>
      </c>
      <c r="AU107">
        <f t="shared" si="5"/>
        <v>0</v>
      </c>
    </row>
    <row r="108" spans="1:47" x14ac:dyDescent="0.3">
      <c r="A108">
        <v>106</v>
      </c>
      <c r="B108" t="s">
        <v>575</v>
      </c>
      <c r="C108" t="s">
        <v>568</v>
      </c>
      <c r="D108">
        <v>41</v>
      </c>
      <c r="E108" t="s">
        <v>447</v>
      </c>
      <c r="F108" t="str">
        <f>VLOOKUP(E108,country_continent!A:C,2,FALSE)</f>
        <v>Haiti</v>
      </c>
      <c r="G108" t="str">
        <f>VLOOKUP(E108,country_continent!A:C,3,FALSE)</f>
        <v>North America</v>
      </c>
      <c r="H108" t="s">
        <v>569</v>
      </c>
      <c r="I108" s="1">
        <v>20960</v>
      </c>
      <c r="J108" s="3">
        <f t="shared" si="3"/>
        <v>20960</v>
      </c>
      <c r="K108" s="1">
        <v>20966</v>
      </c>
      <c r="L108" s="3">
        <f t="shared" si="4"/>
        <v>20966</v>
      </c>
      <c r="M108" t="s">
        <v>67</v>
      </c>
      <c r="N108" t="s">
        <v>67</v>
      </c>
      <c r="O108" t="s">
        <v>376</v>
      </c>
      <c r="P108">
        <v>1</v>
      </c>
      <c r="Q108" t="s">
        <v>362</v>
      </c>
      <c r="R108" t="s">
        <v>51</v>
      </c>
      <c r="S108">
        <v>1910</v>
      </c>
      <c r="T108">
        <v>1967</v>
      </c>
      <c r="U108" s="1">
        <v>3838</v>
      </c>
      <c r="V108" s="2">
        <v>3838</v>
      </c>
      <c r="Z108">
        <v>1</v>
      </c>
      <c r="AA108">
        <v>3</v>
      </c>
      <c r="AB108">
        <v>6</v>
      </c>
      <c r="AC108">
        <v>1</v>
      </c>
      <c r="AF108">
        <v>1957</v>
      </c>
      <c r="AG108">
        <v>1957</v>
      </c>
      <c r="AO108" t="b">
        <v>1</v>
      </c>
      <c r="AP108" t="s">
        <v>45</v>
      </c>
      <c r="AQ108">
        <v>1934</v>
      </c>
      <c r="AR108">
        <v>2016</v>
      </c>
      <c r="AS108" t="s">
        <v>576</v>
      </c>
      <c r="AT108">
        <v>1.6427104722792601E-2</v>
      </c>
      <c r="AU108">
        <f t="shared" si="5"/>
        <v>0</v>
      </c>
    </row>
    <row r="109" spans="1:47" x14ac:dyDescent="0.3">
      <c r="A109">
        <v>107</v>
      </c>
      <c r="B109" t="s">
        <v>577</v>
      </c>
      <c r="C109" t="s">
        <v>578</v>
      </c>
      <c r="D109">
        <v>41</v>
      </c>
      <c r="E109" t="s">
        <v>447</v>
      </c>
      <c r="F109" t="str">
        <f>VLOOKUP(E109,country_continent!A:C,2,FALSE)</f>
        <v>Haiti</v>
      </c>
      <c r="G109" t="str">
        <f>VLOOKUP(E109,country_continent!A:C,3,FALSE)</f>
        <v>North America</v>
      </c>
      <c r="H109" t="s">
        <v>579</v>
      </c>
      <c r="I109" s="1">
        <v>20966</v>
      </c>
      <c r="J109" s="3">
        <f t="shared" si="3"/>
        <v>20966</v>
      </c>
      <c r="K109" s="1">
        <v>20985</v>
      </c>
      <c r="L109" s="3">
        <f t="shared" si="4"/>
        <v>20985</v>
      </c>
      <c r="M109" t="s">
        <v>67</v>
      </c>
      <c r="N109" t="s">
        <v>67</v>
      </c>
      <c r="O109" t="s">
        <v>376</v>
      </c>
      <c r="P109">
        <v>0</v>
      </c>
      <c r="Q109" t="s">
        <v>362</v>
      </c>
      <c r="R109" t="s">
        <v>51</v>
      </c>
      <c r="S109">
        <v>1914</v>
      </c>
      <c r="T109">
        <v>1986</v>
      </c>
      <c r="U109" s="1">
        <v>5430</v>
      </c>
      <c r="V109" s="2">
        <v>5430</v>
      </c>
      <c r="Z109">
        <v>1</v>
      </c>
      <c r="AA109">
        <v>3</v>
      </c>
      <c r="AB109">
        <v>6</v>
      </c>
      <c r="AC109">
        <v>1</v>
      </c>
      <c r="AF109">
        <v>1957</v>
      </c>
      <c r="AG109">
        <v>1957</v>
      </c>
      <c r="AO109" t="b">
        <v>1</v>
      </c>
      <c r="AP109" t="s">
        <v>45</v>
      </c>
      <c r="AQ109">
        <v>1934</v>
      </c>
      <c r="AR109">
        <v>2016</v>
      </c>
      <c r="AS109" t="s">
        <v>580</v>
      </c>
      <c r="AT109">
        <v>5.20191649555099E-2</v>
      </c>
      <c r="AU109">
        <f t="shared" si="5"/>
        <v>0</v>
      </c>
    </row>
    <row r="110" spans="1:47" x14ac:dyDescent="0.3">
      <c r="A110">
        <v>108</v>
      </c>
      <c r="B110" t="s">
        <v>581</v>
      </c>
      <c r="C110" t="s">
        <v>582</v>
      </c>
      <c r="D110">
        <v>41</v>
      </c>
      <c r="E110" t="s">
        <v>447</v>
      </c>
      <c r="F110" t="str">
        <f>VLOOKUP(E110,country_continent!A:C,2,FALSE)</f>
        <v>Haiti</v>
      </c>
      <c r="G110" t="str">
        <f>VLOOKUP(E110,country_continent!A:C,3,FALSE)</f>
        <v>North America</v>
      </c>
      <c r="H110" t="s">
        <v>583</v>
      </c>
      <c r="I110" s="1">
        <v>20985</v>
      </c>
      <c r="J110" s="3">
        <f t="shared" si="3"/>
        <v>20985</v>
      </c>
      <c r="K110" s="1">
        <v>21108</v>
      </c>
      <c r="L110" s="3">
        <f t="shared" si="4"/>
        <v>21108</v>
      </c>
      <c r="M110" t="s">
        <v>67</v>
      </c>
      <c r="N110" t="s">
        <v>49</v>
      </c>
      <c r="O110" t="s">
        <v>49</v>
      </c>
      <c r="P110">
        <v>0</v>
      </c>
      <c r="Q110" t="s">
        <v>362</v>
      </c>
      <c r="R110" t="s">
        <v>51</v>
      </c>
      <c r="S110">
        <v>1909</v>
      </c>
      <c r="T110">
        <v>1962</v>
      </c>
      <c r="U110" s="1">
        <v>3603</v>
      </c>
      <c r="V110" s="2">
        <v>3603</v>
      </c>
      <c r="Y110" t="s">
        <v>584</v>
      </c>
      <c r="Z110">
        <v>1</v>
      </c>
      <c r="AA110">
        <v>1</v>
      </c>
      <c r="AB110">
        <v>0</v>
      </c>
      <c r="AC110">
        <v>1</v>
      </c>
      <c r="AF110">
        <v>1957</v>
      </c>
      <c r="AG110">
        <v>1957</v>
      </c>
      <c r="AO110" t="b">
        <v>1</v>
      </c>
      <c r="AP110" t="s">
        <v>45</v>
      </c>
      <c r="AQ110">
        <v>1934</v>
      </c>
      <c r="AR110">
        <v>2016</v>
      </c>
      <c r="AS110" t="s">
        <v>585</v>
      </c>
      <c r="AT110">
        <v>0.33675564681724801</v>
      </c>
      <c r="AU110">
        <f t="shared" si="5"/>
        <v>1E-3</v>
      </c>
    </row>
    <row r="111" spans="1:47" x14ac:dyDescent="0.3">
      <c r="A111">
        <v>109</v>
      </c>
      <c r="B111" t="s">
        <v>586</v>
      </c>
      <c r="C111" t="s">
        <v>587</v>
      </c>
      <c r="D111">
        <v>41</v>
      </c>
      <c r="E111" t="s">
        <v>447</v>
      </c>
      <c r="F111" t="str">
        <f>VLOOKUP(E111,country_continent!A:C,2,FALSE)</f>
        <v>Haiti</v>
      </c>
      <c r="G111" t="str">
        <f>VLOOKUP(E111,country_continent!A:C,3,FALSE)</f>
        <v>North America</v>
      </c>
      <c r="H111" t="s">
        <v>588</v>
      </c>
      <c r="I111" s="1">
        <v>21108</v>
      </c>
      <c r="J111" s="3">
        <f t="shared" si="3"/>
        <v>21108</v>
      </c>
      <c r="K111" s="1">
        <v>26045</v>
      </c>
      <c r="L111" s="3">
        <f t="shared" si="4"/>
        <v>26045</v>
      </c>
      <c r="M111" t="s">
        <v>49</v>
      </c>
      <c r="N111" t="s">
        <v>110</v>
      </c>
      <c r="O111" t="s">
        <v>49</v>
      </c>
      <c r="P111">
        <v>0</v>
      </c>
      <c r="Q111" t="s">
        <v>111</v>
      </c>
      <c r="R111" t="s">
        <v>51</v>
      </c>
      <c r="S111">
        <v>1907</v>
      </c>
      <c r="T111">
        <v>1971</v>
      </c>
      <c r="U111" s="1">
        <v>2661</v>
      </c>
      <c r="V111" s="2">
        <v>2661</v>
      </c>
      <c r="Y111" t="s">
        <v>589</v>
      </c>
      <c r="Z111">
        <v>0</v>
      </c>
      <c r="AA111">
        <v>2</v>
      </c>
      <c r="AB111">
        <v>0</v>
      </c>
      <c r="AC111">
        <v>-777</v>
      </c>
      <c r="AD111" t="s">
        <v>590</v>
      </c>
      <c r="AE111">
        <v>0</v>
      </c>
      <c r="AF111">
        <v>1957</v>
      </c>
      <c r="AG111">
        <v>1971</v>
      </c>
      <c r="AO111" t="b">
        <v>1</v>
      </c>
      <c r="AP111" t="s">
        <v>45</v>
      </c>
      <c r="AQ111">
        <v>1934</v>
      </c>
      <c r="AR111">
        <v>2016</v>
      </c>
      <c r="AS111" t="s">
        <v>591</v>
      </c>
      <c r="AT111">
        <v>13.5167693360711</v>
      </c>
      <c r="AU111">
        <f t="shared" si="5"/>
        <v>3.6999999999999998E-2</v>
      </c>
    </row>
    <row r="112" spans="1:47" x14ac:dyDescent="0.3">
      <c r="A112">
        <v>110</v>
      </c>
      <c r="B112" t="s">
        <v>592</v>
      </c>
      <c r="C112" t="s">
        <v>593</v>
      </c>
      <c r="D112">
        <v>41</v>
      </c>
      <c r="E112" t="s">
        <v>447</v>
      </c>
      <c r="F112" t="str">
        <f>VLOOKUP(E112,country_continent!A:C,2,FALSE)</f>
        <v>Haiti</v>
      </c>
      <c r="G112" t="str">
        <f>VLOOKUP(E112,country_continent!A:C,3,FALSE)</f>
        <v>North America</v>
      </c>
      <c r="H112" t="s">
        <v>594</v>
      </c>
      <c r="I112" s="1">
        <v>26045</v>
      </c>
      <c r="J112" s="3">
        <f t="shared" si="3"/>
        <v>26045</v>
      </c>
      <c r="K112" s="1">
        <v>31450</v>
      </c>
      <c r="L112" s="3">
        <f t="shared" si="4"/>
        <v>31450</v>
      </c>
      <c r="M112" t="s">
        <v>49</v>
      </c>
      <c r="N112" t="s">
        <v>67</v>
      </c>
      <c r="O112" t="s">
        <v>376</v>
      </c>
      <c r="P112">
        <v>0</v>
      </c>
      <c r="Q112" t="s">
        <v>362</v>
      </c>
      <c r="R112" t="s">
        <v>51</v>
      </c>
      <c r="S112">
        <v>1951</v>
      </c>
      <c r="T112">
        <v>-777</v>
      </c>
      <c r="U112" s="1">
        <v>18812</v>
      </c>
      <c r="V112" s="2">
        <v>18812</v>
      </c>
      <c r="Y112" t="s">
        <v>595</v>
      </c>
      <c r="Z112">
        <v>0</v>
      </c>
      <c r="AA112">
        <v>3</v>
      </c>
      <c r="AB112">
        <v>6</v>
      </c>
      <c r="AC112">
        <v>1</v>
      </c>
      <c r="AD112" t="s">
        <v>596</v>
      </c>
      <c r="AF112">
        <v>1971</v>
      </c>
      <c r="AG112">
        <v>1986</v>
      </c>
      <c r="AO112" t="b">
        <v>1</v>
      </c>
      <c r="AP112" t="s">
        <v>45</v>
      </c>
      <c r="AQ112">
        <v>1934</v>
      </c>
      <c r="AR112">
        <v>2016</v>
      </c>
      <c r="AS112" t="s">
        <v>597</v>
      </c>
      <c r="AT112">
        <v>14.798083504449</v>
      </c>
      <c r="AU112">
        <f t="shared" si="5"/>
        <v>4.1000000000000002E-2</v>
      </c>
    </row>
    <row r="113" spans="1:47" x14ac:dyDescent="0.3">
      <c r="A113">
        <v>111</v>
      </c>
      <c r="B113" t="s">
        <v>598</v>
      </c>
      <c r="C113" t="s">
        <v>599</v>
      </c>
      <c r="D113">
        <v>41</v>
      </c>
      <c r="E113" t="s">
        <v>447</v>
      </c>
      <c r="F113" t="str">
        <f>VLOOKUP(E113,country_continent!A:C,2,FALSE)</f>
        <v>Haiti</v>
      </c>
      <c r="G113" t="str">
        <f>VLOOKUP(E113,country_continent!A:C,3,FALSE)</f>
        <v>North America</v>
      </c>
      <c r="H113" t="s">
        <v>600</v>
      </c>
      <c r="I113" s="1">
        <v>31450</v>
      </c>
      <c r="J113" s="3">
        <f t="shared" si="3"/>
        <v>31450</v>
      </c>
      <c r="K113" s="1">
        <v>32180</v>
      </c>
      <c r="L113" s="3">
        <f t="shared" si="4"/>
        <v>32180</v>
      </c>
      <c r="M113" t="s">
        <v>67</v>
      </c>
      <c r="N113" t="s">
        <v>49</v>
      </c>
      <c r="O113" t="s">
        <v>49</v>
      </c>
      <c r="P113">
        <v>0</v>
      </c>
      <c r="Q113" t="s">
        <v>463</v>
      </c>
      <c r="R113" t="s">
        <v>51</v>
      </c>
      <c r="S113">
        <v>1932</v>
      </c>
      <c r="T113">
        <v>-777</v>
      </c>
      <c r="U113" s="1">
        <v>11995</v>
      </c>
      <c r="V113" s="2">
        <v>11995</v>
      </c>
      <c r="Y113" t="s">
        <v>601</v>
      </c>
      <c r="Z113">
        <v>1</v>
      </c>
      <c r="AA113">
        <v>1</v>
      </c>
      <c r="AB113">
        <v>0</v>
      </c>
      <c r="AC113">
        <v>2</v>
      </c>
      <c r="AF113">
        <v>1986</v>
      </c>
      <c r="AG113">
        <v>1988</v>
      </c>
      <c r="AO113" t="b">
        <v>1</v>
      </c>
      <c r="AP113" t="s">
        <v>45</v>
      </c>
      <c r="AQ113">
        <v>1934</v>
      </c>
      <c r="AR113">
        <v>2016</v>
      </c>
      <c r="AS113" t="s">
        <v>602</v>
      </c>
      <c r="AT113">
        <v>1.99863107460643</v>
      </c>
      <c r="AU113">
        <f t="shared" si="5"/>
        <v>5.0000000000000001E-3</v>
      </c>
    </row>
    <row r="114" spans="1:47" x14ac:dyDescent="0.3">
      <c r="A114">
        <v>112</v>
      </c>
      <c r="B114" t="s">
        <v>603</v>
      </c>
      <c r="C114" t="s">
        <v>604</v>
      </c>
      <c r="D114">
        <v>41</v>
      </c>
      <c r="E114" t="s">
        <v>447</v>
      </c>
      <c r="F114" t="str">
        <f>VLOOKUP(E114,country_continent!A:C,2,FALSE)</f>
        <v>Haiti</v>
      </c>
      <c r="G114" t="str">
        <f>VLOOKUP(E114,country_continent!A:C,3,FALSE)</f>
        <v>North America</v>
      </c>
      <c r="H114" t="s">
        <v>605</v>
      </c>
      <c r="I114" s="1">
        <v>32180</v>
      </c>
      <c r="J114" s="3">
        <f t="shared" si="3"/>
        <v>32180</v>
      </c>
      <c r="K114" s="1">
        <v>32314</v>
      </c>
      <c r="L114" s="3">
        <f t="shared" si="4"/>
        <v>32314</v>
      </c>
      <c r="M114" t="s">
        <v>49</v>
      </c>
      <c r="N114" t="s">
        <v>67</v>
      </c>
      <c r="O114" t="s">
        <v>376</v>
      </c>
      <c r="P114">
        <v>0</v>
      </c>
      <c r="Q114" t="s">
        <v>362</v>
      </c>
      <c r="R114" t="s">
        <v>51</v>
      </c>
      <c r="S114">
        <v>1930</v>
      </c>
      <c r="T114">
        <v>-777</v>
      </c>
      <c r="U114" s="1">
        <v>11186</v>
      </c>
      <c r="V114" s="2">
        <v>11186</v>
      </c>
      <c r="Y114" t="s">
        <v>606</v>
      </c>
      <c r="Z114">
        <v>0</v>
      </c>
      <c r="AA114">
        <v>3</v>
      </c>
      <c r="AB114">
        <v>6</v>
      </c>
      <c r="AC114">
        <v>1</v>
      </c>
      <c r="AF114">
        <v>1988</v>
      </c>
      <c r="AG114">
        <v>1988</v>
      </c>
      <c r="AO114" t="b">
        <v>1</v>
      </c>
      <c r="AP114" t="s">
        <v>45</v>
      </c>
      <c r="AQ114">
        <v>1934</v>
      </c>
      <c r="AR114">
        <v>2016</v>
      </c>
      <c r="AS114" t="s">
        <v>607</v>
      </c>
      <c r="AT114">
        <v>0.36687200547570098</v>
      </c>
      <c r="AU114">
        <f t="shared" si="5"/>
        <v>1E-3</v>
      </c>
    </row>
    <row r="115" spans="1:47" x14ac:dyDescent="0.3">
      <c r="A115">
        <v>113</v>
      </c>
      <c r="B115" t="s">
        <v>608</v>
      </c>
      <c r="C115" t="s">
        <v>599</v>
      </c>
      <c r="D115">
        <v>41</v>
      </c>
      <c r="E115" t="s">
        <v>447</v>
      </c>
      <c r="F115" t="str">
        <f>VLOOKUP(E115,country_continent!A:C,2,FALSE)</f>
        <v>Haiti</v>
      </c>
      <c r="G115" t="str">
        <f>VLOOKUP(E115,country_continent!A:C,3,FALSE)</f>
        <v>North America</v>
      </c>
      <c r="H115" t="s">
        <v>600</v>
      </c>
      <c r="I115" s="1">
        <v>32314</v>
      </c>
      <c r="J115" s="3">
        <f t="shared" si="3"/>
        <v>32314</v>
      </c>
      <c r="K115" s="1">
        <v>32403</v>
      </c>
      <c r="L115" s="3">
        <f t="shared" si="4"/>
        <v>32403</v>
      </c>
      <c r="M115" t="s">
        <v>67</v>
      </c>
      <c r="N115" t="s">
        <v>67</v>
      </c>
      <c r="O115" t="s">
        <v>376</v>
      </c>
      <c r="P115">
        <v>1</v>
      </c>
      <c r="Q115" t="s">
        <v>362</v>
      </c>
      <c r="R115" t="s">
        <v>51</v>
      </c>
      <c r="S115">
        <v>1932</v>
      </c>
      <c r="T115">
        <v>-777</v>
      </c>
      <c r="U115" s="1">
        <v>11995</v>
      </c>
      <c r="V115" s="2">
        <v>11995</v>
      </c>
      <c r="Y115" t="s">
        <v>601</v>
      </c>
      <c r="Z115">
        <v>1</v>
      </c>
      <c r="AA115">
        <v>3</v>
      </c>
      <c r="AB115">
        <v>6</v>
      </c>
      <c r="AC115">
        <v>1</v>
      </c>
      <c r="AF115">
        <v>1988</v>
      </c>
      <c r="AG115">
        <v>1988</v>
      </c>
      <c r="AO115" t="b">
        <v>1</v>
      </c>
      <c r="AP115" t="s">
        <v>45</v>
      </c>
      <c r="AQ115">
        <v>1934</v>
      </c>
      <c r="AR115">
        <v>2016</v>
      </c>
      <c r="AS115" t="s">
        <v>609</v>
      </c>
      <c r="AT115">
        <v>0.24366872005475701</v>
      </c>
      <c r="AU115">
        <f t="shared" si="5"/>
        <v>1E-3</v>
      </c>
    </row>
    <row r="116" spans="1:47" x14ac:dyDescent="0.3">
      <c r="A116">
        <v>114</v>
      </c>
      <c r="B116" t="s">
        <v>610</v>
      </c>
      <c r="C116" t="s">
        <v>611</v>
      </c>
      <c r="D116">
        <v>41</v>
      </c>
      <c r="E116" t="s">
        <v>447</v>
      </c>
      <c r="F116" t="str">
        <f>VLOOKUP(E116,country_continent!A:C,2,FALSE)</f>
        <v>Haiti</v>
      </c>
      <c r="G116" t="str">
        <f>VLOOKUP(E116,country_continent!A:C,3,FALSE)</f>
        <v>North America</v>
      </c>
      <c r="H116" t="s">
        <v>612</v>
      </c>
      <c r="I116" s="1">
        <v>32403</v>
      </c>
      <c r="J116" s="3">
        <f t="shared" si="3"/>
        <v>32403</v>
      </c>
      <c r="K116" s="1">
        <v>32942</v>
      </c>
      <c r="L116" s="3">
        <f t="shared" si="4"/>
        <v>32942</v>
      </c>
      <c r="M116" t="s">
        <v>67</v>
      </c>
      <c r="N116" t="s">
        <v>67</v>
      </c>
      <c r="O116" t="s">
        <v>613</v>
      </c>
      <c r="P116">
        <v>0</v>
      </c>
      <c r="Q116" t="s">
        <v>362</v>
      </c>
      <c r="R116" t="s">
        <v>51</v>
      </c>
      <c r="S116">
        <v>1938</v>
      </c>
      <c r="T116">
        <v>-777</v>
      </c>
      <c r="Z116">
        <v>1</v>
      </c>
      <c r="AA116">
        <v>3</v>
      </c>
      <c r="AB116">
        <v>2</v>
      </c>
      <c r="AC116">
        <v>1</v>
      </c>
      <c r="AF116">
        <v>1988</v>
      </c>
      <c r="AG116">
        <v>1990</v>
      </c>
      <c r="AO116" t="b">
        <v>1</v>
      </c>
      <c r="AP116" t="s">
        <v>45</v>
      </c>
      <c r="AQ116">
        <v>1934</v>
      </c>
      <c r="AR116">
        <v>2016</v>
      </c>
      <c r="AS116" t="s">
        <v>614</v>
      </c>
      <c r="AT116">
        <v>1.4757015742641999</v>
      </c>
      <c r="AU116">
        <f t="shared" si="5"/>
        <v>4.0000000000000001E-3</v>
      </c>
    </row>
    <row r="117" spans="1:47" x14ac:dyDescent="0.3">
      <c r="A117">
        <v>115</v>
      </c>
      <c r="B117" t="s">
        <v>615</v>
      </c>
      <c r="C117" t="s">
        <v>616</v>
      </c>
      <c r="D117">
        <v>41</v>
      </c>
      <c r="E117" t="s">
        <v>447</v>
      </c>
      <c r="F117" t="str">
        <f>VLOOKUP(E117,country_continent!A:C,2,FALSE)</f>
        <v>Haiti</v>
      </c>
      <c r="G117" t="str">
        <f>VLOOKUP(E117,country_continent!A:C,3,FALSE)</f>
        <v>North America</v>
      </c>
      <c r="H117" t="s">
        <v>617</v>
      </c>
      <c r="I117" s="1">
        <v>32942</v>
      </c>
      <c r="J117" s="3">
        <f t="shared" si="3"/>
        <v>32942</v>
      </c>
      <c r="K117" s="1">
        <v>32945</v>
      </c>
      <c r="L117" s="3">
        <f t="shared" si="4"/>
        <v>32945</v>
      </c>
      <c r="M117" t="s">
        <v>49</v>
      </c>
      <c r="N117" t="s">
        <v>49</v>
      </c>
      <c r="O117" t="s">
        <v>49</v>
      </c>
      <c r="P117">
        <v>0</v>
      </c>
      <c r="Q117" t="s">
        <v>50</v>
      </c>
      <c r="R117" t="s">
        <v>51</v>
      </c>
      <c r="S117">
        <v>1940</v>
      </c>
      <c r="T117">
        <v>-777</v>
      </c>
      <c r="Y117" t="s">
        <v>618</v>
      </c>
      <c r="Z117">
        <v>0</v>
      </c>
      <c r="AA117">
        <v>1</v>
      </c>
      <c r="AB117">
        <v>0</v>
      </c>
      <c r="AC117">
        <v>0</v>
      </c>
      <c r="AF117">
        <v>1990</v>
      </c>
      <c r="AG117">
        <v>1990</v>
      </c>
      <c r="AO117" t="b">
        <v>1</v>
      </c>
      <c r="AP117" t="s">
        <v>45</v>
      </c>
      <c r="AQ117">
        <v>1934</v>
      </c>
      <c r="AR117">
        <v>2016</v>
      </c>
      <c r="AS117" t="s">
        <v>619</v>
      </c>
      <c r="AT117">
        <v>8.2135523613963007E-3</v>
      </c>
      <c r="AU117">
        <f t="shared" si="5"/>
        <v>0</v>
      </c>
    </row>
    <row r="118" spans="1:47" x14ac:dyDescent="0.3">
      <c r="A118">
        <v>116</v>
      </c>
      <c r="B118" t="s">
        <v>620</v>
      </c>
      <c r="C118" t="s">
        <v>621</v>
      </c>
      <c r="D118">
        <v>41</v>
      </c>
      <c r="E118" t="s">
        <v>447</v>
      </c>
      <c r="F118" t="str">
        <f>VLOOKUP(E118,country_continent!A:C,2,FALSE)</f>
        <v>Haiti</v>
      </c>
      <c r="G118" t="str">
        <f>VLOOKUP(E118,country_continent!A:C,3,FALSE)</f>
        <v>North America</v>
      </c>
      <c r="H118" t="s">
        <v>622</v>
      </c>
      <c r="I118" s="1">
        <v>32945</v>
      </c>
      <c r="J118" s="3">
        <f t="shared" si="3"/>
        <v>32945</v>
      </c>
      <c r="K118" s="1">
        <v>33276</v>
      </c>
      <c r="L118" s="3">
        <f t="shared" si="4"/>
        <v>33276</v>
      </c>
      <c r="M118" t="s">
        <v>49</v>
      </c>
      <c r="N118" t="s">
        <v>49</v>
      </c>
      <c r="O118" t="s">
        <v>49</v>
      </c>
      <c r="P118">
        <v>0</v>
      </c>
      <c r="Q118" t="s">
        <v>463</v>
      </c>
      <c r="R118" t="s">
        <v>299</v>
      </c>
      <c r="S118">
        <v>1943</v>
      </c>
      <c r="T118">
        <v>-777</v>
      </c>
      <c r="U118" s="1">
        <v>15931</v>
      </c>
      <c r="V118" s="2">
        <v>15931</v>
      </c>
      <c r="Y118" t="s">
        <v>623</v>
      </c>
      <c r="Z118">
        <v>0</v>
      </c>
      <c r="AA118">
        <v>1</v>
      </c>
      <c r="AB118">
        <v>0</v>
      </c>
      <c r="AC118">
        <v>2</v>
      </c>
      <c r="AF118">
        <v>1990</v>
      </c>
      <c r="AG118">
        <v>1991</v>
      </c>
      <c r="AO118" t="b">
        <v>1</v>
      </c>
      <c r="AP118" t="s">
        <v>45</v>
      </c>
      <c r="AQ118">
        <v>1934</v>
      </c>
      <c r="AR118">
        <v>2016</v>
      </c>
      <c r="AS118" t="s">
        <v>624</v>
      </c>
      <c r="AT118">
        <v>0.90622861054072501</v>
      </c>
      <c r="AU118">
        <f t="shared" si="5"/>
        <v>2E-3</v>
      </c>
    </row>
    <row r="119" spans="1:47" x14ac:dyDescent="0.3">
      <c r="A119">
        <v>117</v>
      </c>
      <c r="B119" t="s">
        <v>625</v>
      </c>
      <c r="C119" t="s">
        <v>626</v>
      </c>
      <c r="D119">
        <v>41</v>
      </c>
      <c r="E119" t="s">
        <v>447</v>
      </c>
      <c r="F119" t="str">
        <f>VLOOKUP(E119,country_continent!A:C,2,FALSE)</f>
        <v>Haiti</v>
      </c>
      <c r="G119" t="str">
        <f>VLOOKUP(E119,country_continent!A:C,3,FALSE)</f>
        <v>North America</v>
      </c>
      <c r="H119" t="s">
        <v>627</v>
      </c>
      <c r="I119" s="1">
        <v>33276</v>
      </c>
      <c r="J119" s="3">
        <f t="shared" si="3"/>
        <v>33276</v>
      </c>
      <c r="K119" s="1">
        <v>33511</v>
      </c>
      <c r="L119" s="3">
        <f t="shared" si="4"/>
        <v>33511</v>
      </c>
      <c r="M119" t="s">
        <v>49</v>
      </c>
      <c r="N119" t="s">
        <v>67</v>
      </c>
      <c r="O119" t="s">
        <v>376</v>
      </c>
      <c r="P119">
        <v>0</v>
      </c>
      <c r="Q119" t="s">
        <v>463</v>
      </c>
      <c r="R119" t="s">
        <v>51</v>
      </c>
      <c r="S119">
        <v>1953</v>
      </c>
      <c r="T119">
        <v>-777</v>
      </c>
      <c r="U119" s="1">
        <v>19555</v>
      </c>
      <c r="V119" s="2">
        <v>19555</v>
      </c>
      <c r="Y119" t="s">
        <v>628</v>
      </c>
      <c r="Z119">
        <v>0</v>
      </c>
      <c r="AA119">
        <v>3</v>
      </c>
      <c r="AB119">
        <v>6</v>
      </c>
      <c r="AC119">
        <v>2</v>
      </c>
      <c r="AF119">
        <v>1991</v>
      </c>
      <c r="AG119">
        <v>1991</v>
      </c>
      <c r="AO119" t="b">
        <v>1</v>
      </c>
      <c r="AP119" t="s">
        <v>45</v>
      </c>
      <c r="AQ119">
        <v>1934</v>
      </c>
      <c r="AR119">
        <v>2016</v>
      </c>
      <c r="AS119" t="s">
        <v>629</v>
      </c>
      <c r="AT119">
        <v>0.64339493497604305</v>
      </c>
      <c r="AU119">
        <f t="shared" si="5"/>
        <v>2E-3</v>
      </c>
    </row>
    <row r="120" spans="1:47" x14ac:dyDescent="0.3">
      <c r="A120">
        <v>118</v>
      </c>
      <c r="B120" t="s">
        <v>630</v>
      </c>
      <c r="C120" t="s">
        <v>631</v>
      </c>
      <c r="D120">
        <v>41</v>
      </c>
      <c r="E120" t="s">
        <v>447</v>
      </c>
      <c r="F120" t="str">
        <f>VLOOKUP(E120,country_continent!A:C,2,FALSE)</f>
        <v>Haiti</v>
      </c>
      <c r="G120" t="str">
        <f>VLOOKUP(E120,country_continent!A:C,3,FALSE)</f>
        <v>North America</v>
      </c>
      <c r="H120" t="s">
        <v>632</v>
      </c>
      <c r="I120" s="1">
        <v>33511</v>
      </c>
      <c r="J120" s="3">
        <f t="shared" si="3"/>
        <v>33511</v>
      </c>
      <c r="K120" s="1">
        <v>34621</v>
      </c>
      <c r="L120" s="3">
        <f t="shared" si="4"/>
        <v>34621</v>
      </c>
      <c r="M120" t="s">
        <v>67</v>
      </c>
      <c r="N120" t="s">
        <v>633</v>
      </c>
      <c r="O120" t="s">
        <v>634</v>
      </c>
      <c r="P120">
        <v>0</v>
      </c>
      <c r="Q120" t="s">
        <v>362</v>
      </c>
      <c r="R120" t="s">
        <v>51</v>
      </c>
      <c r="S120">
        <v>1949</v>
      </c>
      <c r="T120">
        <v>-777</v>
      </c>
      <c r="Z120">
        <v>1</v>
      </c>
      <c r="AA120">
        <v>4</v>
      </c>
      <c r="AB120">
        <v>9</v>
      </c>
      <c r="AC120">
        <v>1</v>
      </c>
      <c r="AF120">
        <v>1991</v>
      </c>
      <c r="AG120">
        <v>1994</v>
      </c>
      <c r="AO120" t="b">
        <v>1</v>
      </c>
      <c r="AP120" t="s">
        <v>45</v>
      </c>
      <c r="AQ120">
        <v>1934</v>
      </c>
      <c r="AR120">
        <v>2016</v>
      </c>
      <c r="AS120" t="s">
        <v>635</v>
      </c>
      <c r="AT120">
        <v>3.03901437371663</v>
      </c>
      <c r="AU120">
        <f t="shared" si="5"/>
        <v>8.0000000000000002E-3</v>
      </c>
    </row>
    <row r="121" spans="1:47" x14ac:dyDescent="0.3">
      <c r="A121">
        <v>119</v>
      </c>
      <c r="B121" t="s">
        <v>636</v>
      </c>
      <c r="C121" t="s">
        <v>626</v>
      </c>
      <c r="D121">
        <v>41</v>
      </c>
      <c r="E121" t="s">
        <v>447</v>
      </c>
      <c r="F121" t="str">
        <f>VLOOKUP(E121,country_continent!A:C,2,FALSE)</f>
        <v>Haiti</v>
      </c>
      <c r="G121" t="str">
        <f>VLOOKUP(E121,country_continent!A:C,3,FALSE)</f>
        <v>North America</v>
      </c>
      <c r="H121" t="s">
        <v>627</v>
      </c>
      <c r="I121" s="1">
        <v>34622</v>
      </c>
      <c r="J121" s="3">
        <f t="shared" si="3"/>
        <v>34622</v>
      </c>
      <c r="K121" s="1">
        <v>35102</v>
      </c>
      <c r="L121" s="3">
        <f t="shared" si="4"/>
        <v>35102</v>
      </c>
      <c r="M121" t="s">
        <v>637</v>
      </c>
      <c r="N121" t="s">
        <v>49</v>
      </c>
      <c r="O121" t="s">
        <v>49</v>
      </c>
      <c r="P121">
        <v>1</v>
      </c>
      <c r="Q121" t="s">
        <v>50</v>
      </c>
      <c r="R121" t="s">
        <v>51</v>
      </c>
      <c r="S121">
        <v>1953</v>
      </c>
      <c r="T121">
        <v>-777</v>
      </c>
      <c r="U121" s="1">
        <v>19555</v>
      </c>
      <c r="V121" s="2">
        <v>19555</v>
      </c>
      <c r="Y121" t="s">
        <v>628</v>
      </c>
      <c r="Z121">
        <v>2</v>
      </c>
      <c r="AA121">
        <v>1</v>
      </c>
      <c r="AB121">
        <v>0</v>
      </c>
      <c r="AC121">
        <v>0</v>
      </c>
      <c r="AF121">
        <v>1994</v>
      </c>
      <c r="AG121">
        <v>1996</v>
      </c>
      <c r="AO121" t="b">
        <v>1</v>
      </c>
      <c r="AP121" t="s">
        <v>45</v>
      </c>
      <c r="AQ121">
        <v>1934</v>
      </c>
      <c r="AR121">
        <v>2016</v>
      </c>
      <c r="AS121" t="s">
        <v>638</v>
      </c>
      <c r="AT121">
        <v>1.3141683778233999</v>
      </c>
      <c r="AU121">
        <f t="shared" si="5"/>
        <v>4.0000000000000001E-3</v>
      </c>
    </row>
    <row r="122" spans="1:47" x14ac:dyDescent="0.3">
      <c r="A122">
        <v>120</v>
      </c>
      <c r="B122" t="s">
        <v>639</v>
      </c>
      <c r="C122" t="s">
        <v>640</v>
      </c>
      <c r="D122">
        <v>41</v>
      </c>
      <c r="E122" t="s">
        <v>447</v>
      </c>
      <c r="F122" t="str">
        <f>VLOOKUP(E122,country_continent!A:C,2,FALSE)</f>
        <v>Haiti</v>
      </c>
      <c r="G122" t="str">
        <f>VLOOKUP(E122,country_continent!A:C,3,FALSE)</f>
        <v>North America</v>
      </c>
      <c r="H122" t="s">
        <v>641</v>
      </c>
      <c r="I122" s="1">
        <v>35102</v>
      </c>
      <c r="J122" s="3">
        <f t="shared" si="3"/>
        <v>35102</v>
      </c>
      <c r="K122" s="1">
        <v>36929</v>
      </c>
      <c r="L122" s="3">
        <f t="shared" si="4"/>
        <v>36929</v>
      </c>
      <c r="M122" t="s">
        <v>49</v>
      </c>
      <c r="N122" t="s">
        <v>49</v>
      </c>
      <c r="O122" t="s">
        <v>49</v>
      </c>
      <c r="P122">
        <v>0</v>
      </c>
      <c r="Q122" t="s">
        <v>50</v>
      </c>
      <c r="R122" t="s">
        <v>51</v>
      </c>
      <c r="S122">
        <v>1943</v>
      </c>
      <c r="T122">
        <v>-777</v>
      </c>
      <c r="Y122" t="s">
        <v>642</v>
      </c>
      <c r="Z122">
        <v>0</v>
      </c>
      <c r="AA122">
        <v>1</v>
      </c>
      <c r="AB122">
        <v>0</v>
      </c>
      <c r="AC122">
        <v>0</v>
      </c>
      <c r="AF122">
        <v>1996</v>
      </c>
      <c r="AG122">
        <v>2001</v>
      </c>
      <c r="AO122" t="b">
        <v>1</v>
      </c>
      <c r="AP122" t="s">
        <v>45</v>
      </c>
      <c r="AQ122">
        <v>1934</v>
      </c>
      <c r="AR122">
        <v>2016</v>
      </c>
      <c r="AS122" t="s">
        <v>643</v>
      </c>
      <c r="AT122">
        <v>5.0020533880903404</v>
      </c>
      <c r="AU122">
        <f t="shared" si="5"/>
        <v>1.4E-2</v>
      </c>
    </row>
    <row r="123" spans="1:47" x14ac:dyDescent="0.3">
      <c r="A123">
        <v>121</v>
      </c>
      <c r="B123" t="s">
        <v>644</v>
      </c>
      <c r="C123" t="s">
        <v>626</v>
      </c>
      <c r="D123">
        <v>41</v>
      </c>
      <c r="E123" t="s">
        <v>447</v>
      </c>
      <c r="F123" t="str">
        <f>VLOOKUP(E123,country_continent!A:C,2,FALSE)</f>
        <v>Haiti</v>
      </c>
      <c r="G123" t="str">
        <f>VLOOKUP(E123,country_continent!A:C,3,FALSE)</f>
        <v>North America</v>
      </c>
      <c r="H123" t="s">
        <v>627</v>
      </c>
      <c r="I123" s="1">
        <v>36930</v>
      </c>
      <c r="J123" s="3">
        <f t="shared" si="3"/>
        <v>36930</v>
      </c>
      <c r="K123" s="1">
        <v>38046</v>
      </c>
      <c r="L123" s="3">
        <f t="shared" si="4"/>
        <v>38046</v>
      </c>
      <c r="M123" t="s">
        <v>49</v>
      </c>
      <c r="N123" t="s">
        <v>67</v>
      </c>
      <c r="O123" t="s">
        <v>645</v>
      </c>
      <c r="P123">
        <v>2</v>
      </c>
      <c r="Q123" t="s">
        <v>362</v>
      </c>
      <c r="R123" t="s">
        <v>51</v>
      </c>
      <c r="S123">
        <v>1953</v>
      </c>
      <c r="T123">
        <v>-777</v>
      </c>
      <c r="U123" s="1">
        <v>19555</v>
      </c>
      <c r="V123" s="2">
        <v>19555</v>
      </c>
      <c r="Y123" t="s">
        <v>628</v>
      </c>
      <c r="Z123">
        <v>0</v>
      </c>
      <c r="AA123">
        <v>3</v>
      </c>
      <c r="AB123">
        <v>3</v>
      </c>
      <c r="AC123">
        <v>1</v>
      </c>
      <c r="AF123">
        <v>2001</v>
      </c>
      <c r="AG123">
        <v>2004</v>
      </c>
      <c r="AO123" t="b">
        <v>1</v>
      </c>
      <c r="AP123" t="s">
        <v>45</v>
      </c>
      <c r="AQ123">
        <v>1934</v>
      </c>
      <c r="AR123">
        <v>2016</v>
      </c>
      <c r="AS123" t="s">
        <v>646</v>
      </c>
      <c r="AT123">
        <v>3.0554414784394202</v>
      </c>
      <c r="AU123">
        <f t="shared" si="5"/>
        <v>8.0000000000000002E-3</v>
      </c>
    </row>
    <row r="124" spans="1:47" x14ac:dyDescent="0.3">
      <c r="A124">
        <v>122</v>
      </c>
      <c r="B124" t="s">
        <v>647</v>
      </c>
      <c r="C124" t="s">
        <v>648</v>
      </c>
      <c r="D124">
        <v>41</v>
      </c>
      <c r="E124" t="s">
        <v>447</v>
      </c>
      <c r="F124" t="str">
        <f>VLOOKUP(E124,country_continent!A:C,2,FALSE)</f>
        <v>Haiti</v>
      </c>
      <c r="G124" t="str">
        <f>VLOOKUP(E124,country_continent!A:C,3,FALSE)</f>
        <v>North America</v>
      </c>
      <c r="H124" t="s">
        <v>649</v>
      </c>
      <c r="I124" s="1">
        <v>38046</v>
      </c>
      <c r="J124" s="3">
        <f t="shared" si="3"/>
        <v>38046</v>
      </c>
      <c r="K124" s="1">
        <v>38851</v>
      </c>
      <c r="L124" s="3">
        <f t="shared" si="4"/>
        <v>38851</v>
      </c>
      <c r="M124" t="s">
        <v>49</v>
      </c>
      <c r="N124" t="s">
        <v>49</v>
      </c>
      <c r="O124" t="s">
        <v>49</v>
      </c>
      <c r="P124">
        <v>0</v>
      </c>
      <c r="Q124" t="s">
        <v>50</v>
      </c>
      <c r="R124" t="s">
        <v>51</v>
      </c>
      <c r="S124">
        <v>1936</v>
      </c>
      <c r="T124">
        <v>-777</v>
      </c>
      <c r="Z124">
        <v>0</v>
      </c>
      <c r="AA124">
        <v>1</v>
      </c>
      <c r="AB124">
        <v>0</v>
      </c>
      <c r="AC124">
        <v>0</v>
      </c>
      <c r="AF124">
        <v>2004</v>
      </c>
      <c r="AG124">
        <v>2006</v>
      </c>
      <c r="AO124" t="b">
        <v>1</v>
      </c>
      <c r="AP124" t="s">
        <v>45</v>
      </c>
      <c r="AQ124">
        <v>1934</v>
      </c>
      <c r="AR124">
        <v>2016</v>
      </c>
      <c r="AS124" t="s">
        <v>650</v>
      </c>
      <c r="AT124">
        <v>2.2039698836413399</v>
      </c>
      <c r="AU124">
        <f t="shared" si="5"/>
        <v>6.0000000000000001E-3</v>
      </c>
    </row>
    <row r="125" spans="1:47" x14ac:dyDescent="0.3">
      <c r="A125">
        <v>123</v>
      </c>
      <c r="B125" t="s">
        <v>651</v>
      </c>
      <c r="C125" t="s">
        <v>640</v>
      </c>
      <c r="D125">
        <v>41</v>
      </c>
      <c r="E125" t="s">
        <v>447</v>
      </c>
      <c r="F125" t="str">
        <f>VLOOKUP(E125,country_continent!A:C,2,FALSE)</f>
        <v>Haiti</v>
      </c>
      <c r="G125" t="str">
        <f>VLOOKUP(E125,country_continent!A:C,3,FALSE)</f>
        <v>North America</v>
      </c>
      <c r="H125" t="s">
        <v>641</v>
      </c>
      <c r="I125" s="1">
        <v>38851</v>
      </c>
      <c r="J125" s="3">
        <f t="shared" si="3"/>
        <v>38851</v>
      </c>
      <c r="K125" s="1">
        <v>40677</v>
      </c>
      <c r="L125" s="3">
        <f t="shared" si="4"/>
        <v>40677</v>
      </c>
      <c r="M125" t="s">
        <v>49</v>
      </c>
      <c r="N125" t="s">
        <v>49</v>
      </c>
      <c r="O125" t="s">
        <v>49</v>
      </c>
      <c r="P125">
        <v>1</v>
      </c>
      <c r="Q125" t="s">
        <v>50</v>
      </c>
      <c r="R125" t="s">
        <v>51</v>
      </c>
      <c r="S125">
        <v>1943</v>
      </c>
      <c r="T125">
        <v>-777</v>
      </c>
      <c r="Z125">
        <v>0</v>
      </c>
      <c r="AA125">
        <v>1</v>
      </c>
      <c r="AB125">
        <v>0</v>
      </c>
      <c r="AC125">
        <v>0</v>
      </c>
      <c r="AF125">
        <v>2006</v>
      </c>
      <c r="AG125">
        <v>2011</v>
      </c>
      <c r="AO125" t="b">
        <v>1</v>
      </c>
      <c r="AP125" t="s">
        <v>45</v>
      </c>
      <c r="AQ125">
        <v>1934</v>
      </c>
      <c r="AR125">
        <v>2016</v>
      </c>
      <c r="AS125" t="s">
        <v>652</v>
      </c>
      <c r="AT125">
        <v>4.9993155373032101</v>
      </c>
      <c r="AU125">
        <f t="shared" si="5"/>
        <v>1.4E-2</v>
      </c>
    </row>
    <row r="126" spans="1:47" x14ac:dyDescent="0.3">
      <c r="A126">
        <v>124</v>
      </c>
      <c r="B126" t="s">
        <v>653</v>
      </c>
      <c r="C126" t="s">
        <v>654</v>
      </c>
      <c r="D126">
        <v>41</v>
      </c>
      <c r="E126" t="s">
        <v>447</v>
      </c>
      <c r="F126" t="str">
        <f>VLOOKUP(E126,country_continent!A:C,2,FALSE)</f>
        <v>Haiti</v>
      </c>
      <c r="G126" t="str">
        <f>VLOOKUP(E126,country_continent!A:C,3,FALSE)</f>
        <v>North America</v>
      </c>
      <c r="H126" t="s">
        <v>655</v>
      </c>
      <c r="I126" s="1">
        <v>40677</v>
      </c>
      <c r="J126" s="3">
        <f t="shared" si="3"/>
        <v>40677</v>
      </c>
      <c r="K126" s="1">
        <v>42004</v>
      </c>
      <c r="L126" s="3">
        <f t="shared" si="4"/>
        <v>42004</v>
      </c>
      <c r="M126" t="s">
        <v>49</v>
      </c>
      <c r="N126" t="s">
        <v>173</v>
      </c>
      <c r="O126" t="s">
        <v>173</v>
      </c>
      <c r="P126">
        <v>0</v>
      </c>
      <c r="Q126" t="s">
        <v>174</v>
      </c>
      <c r="R126" t="s">
        <v>51</v>
      </c>
      <c r="S126">
        <v>1961</v>
      </c>
      <c r="T126">
        <v>-777</v>
      </c>
      <c r="U126" s="1">
        <v>22324</v>
      </c>
      <c r="V126" s="2">
        <v>22324</v>
      </c>
      <c r="Z126">
        <v>0</v>
      </c>
      <c r="AA126">
        <v>-888</v>
      </c>
      <c r="AB126">
        <v>-888</v>
      </c>
      <c r="AC126">
        <v>-888</v>
      </c>
      <c r="AF126">
        <v>2011</v>
      </c>
      <c r="AG126">
        <v>2014</v>
      </c>
      <c r="AO126" t="b">
        <v>1</v>
      </c>
      <c r="AP126" t="s">
        <v>45</v>
      </c>
      <c r="AQ126">
        <v>1934</v>
      </c>
      <c r="AR126">
        <v>2016</v>
      </c>
      <c r="AS126" t="s">
        <v>656</v>
      </c>
      <c r="AT126">
        <v>3.63312799452429</v>
      </c>
      <c r="AU126">
        <f t="shared" si="5"/>
        <v>0.01</v>
      </c>
    </row>
    <row r="127" spans="1:47" x14ac:dyDescent="0.3">
      <c r="A127">
        <v>125</v>
      </c>
      <c r="B127" t="s">
        <v>657</v>
      </c>
      <c r="C127" t="s">
        <v>658</v>
      </c>
      <c r="D127">
        <v>42</v>
      </c>
      <c r="E127" t="s">
        <v>659</v>
      </c>
      <c r="F127" t="str">
        <f>VLOOKUP(E127,country_continent!A:C,2,FALSE)</f>
        <v>Dominican Republic</v>
      </c>
      <c r="G127" t="str">
        <f>VLOOKUP(E127,country_continent!A:C,3,FALSE)</f>
        <v>North America</v>
      </c>
      <c r="H127" t="s">
        <v>660</v>
      </c>
      <c r="I127" t="s">
        <v>661</v>
      </c>
      <c r="J127" s="3" t="str">
        <f t="shared" si="3"/>
        <v>1874/01/02</v>
      </c>
      <c r="K127" t="s">
        <v>662</v>
      </c>
      <c r="L127" s="3" t="str">
        <f t="shared" si="4"/>
        <v>1876/02/23</v>
      </c>
      <c r="M127" t="s">
        <v>67</v>
      </c>
      <c r="N127" t="s">
        <v>67</v>
      </c>
      <c r="O127" t="s">
        <v>347</v>
      </c>
      <c r="P127">
        <v>0</v>
      </c>
      <c r="Q127" t="s">
        <v>50</v>
      </c>
      <c r="R127" t="s">
        <v>51</v>
      </c>
      <c r="S127">
        <v>1840</v>
      </c>
      <c r="T127">
        <v>1915</v>
      </c>
      <c r="Z127">
        <v>1</v>
      </c>
      <c r="AA127">
        <v>3</v>
      </c>
      <c r="AB127">
        <v>-999</v>
      </c>
      <c r="AC127">
        <v>0</v>
      </c>
      <c r="AF127">
        <v>1874</v>
      </c>
      <c r="AG127">
        <v>1876</v>
      </c>
      <c r="AO127" t="b">
        <v>1</v>
      </c>
      <c r="AP127" t="s">
        <v>45</v>
      </c>
      <c r="AQ127">
        <v>1924</v>
      </c>
      <c r="AR127">
        <v>2016</v>
      </c>
      <c r="AS127" t="s">
        <v>663</v>
      </c>
      <c r="AT127">
        <v>2.1409993155373002</v>
      </c>
      <c r="AU127">
        <f t="shared" si="5"/>
        <v>6.0000000000000001E-3</v>
      </c>
    </row>
    <row r="128" spans="1:47" x14ac:dyDescent="0.3">
      <c r="A128">
        <v>126</v>
      </c>
      <c r="B128" t="s">
        <v>664</v>
      </c>
      <c r="C128" t="s">
        <v>665</v>
      </c>
      <c r="D128">
        <v>42</v>
      </c>
      <c r="E128" t="s">
        <v>659</v>
      </c>
      <c r="F128" t="str">
        <f>VLOOKUP(E128,country_continent!A:C,2,FALSE)</f>
        <v>Dominican Republic</v>
      </c>
      <c r="G128" t="str">
        <f>VLOOKUP(E128,country_continent!A:C,3,FALSE)</f>
        <v>North America</v>
      </c>
      <c r="H128" t="s">
        <v>666</v>
      </c>
      <c r="I128" t="s">
        <v>667</v>
      </c>
      <c r="J128" s="3" t="str">
        <f t="shared" si="3"/>
        <v>1876/02/24</v>
      </c>
      <c r="K128" t="s">
        <v>668</v>
      </c>
      <c r="L128" s="3" t="str">
        <f t="shared" si="4"/>
        <v>1876/03/03</v>
      </c>
      <c r="M128" t="s">
        <v>67</v>
      </c>
      <c r="N128" t="s">
        <v>67</v>
      </c>
      <c r="O128" t="s">
        <v>376</v>
      </c>
      <c r="P128">
        <v>0</v>
      </c>
      <c r="Q128" t="s">
        <v>362</v>
      </c>
      <c r="R128" t="s">
        <v>51</v>
      </c>
      <c r="S128">
        <v>-999</v>
      </c>
      <c r="T128">
        <v>1920</v>
      </c>
      <c r="Z128">
        <v>1</v>
      </c>
      <c r="AA128">
        <v>3</v>
      </c>
      <c r="AB128">
        <v>6</v>
      </c>
      <c r="AC128">
        <v>1</v>
      </c>
      <c r="AF128">
        <v>1876</v>
      </c>
      <c r="AG128">
        <v>1876</v>
      </c>
      <c r="AO128" t="b">
        <v>1</v>
      </c>
      <c r="AP128" t="s">
        <v>45</v>
      </c>
      <c r="AQ128">
        <v>1924</v>
      </c>
      <c r="AR128">
        <v>2016</v>
      </c>
      <c r="AS128" t="s">
        <v>669</v>
      </c>
      <c r="AT128">
        <v>2.19028062970568E-2</v>
      </c>
      <c r="AU128">
        <f t="shared" si="5"/>
        <v>0</v>
      </c>
    </row>
    <row r="129" spans="1:47" x14ac:dyDescent="0.3">
      <c r="A129">
        <v>127</v>
      </c>
      <c r="B129" t="s">
        <v>670</v>
      </c>
      <c r="C129" t="s">
        <v>671</v>
      </c>
      <c r="D129">
        <v>42</v>
      </c>
      <c r="E129" t="s">
        <v>659</v>
      </c>
      <c r="F129" t="str">
        <f>VLOOKUP(E129,country_continent!A:C,2,FALSE)</f>
        <v>Dominican Republic</v>
      </c>
      <c r="G129" t="str">
        <f>VLOOKUP(E129,country_continent!A:C,3,FALSE)</f>
        <v>North America</v>
      </c>
      <c r="H129" t="s">
        <v>672</v>
      </c>
      <c r="I129" t="s">
        <v>673</v>
      </c>
      <c r="J129" s="3" t="str">
        <f t="shared" si="3"/>
        <v>1876/04/29</v>
      </c>
      <c r="K129" t="s">
        <v>674</v>
      </c>
      <c r="L129" s="3" t="str">
        <f t="shared" si="4"/>
        <v>1876/10/05</v>
      </c>
      <c r="M129" t="s">
        <v>67</v>
      </c>
      <c r="N129" t="s">
        <v>67</v>
      </c>
      <c r="O129" t="s">
        <v>347</v>
      </c>
      <c r="P129">
        <v>0</v>
      </c>
      <c r="Q129" t="s">
        <v>362</v>
      </c>
      <c r="R129" t="s">
        <v>51</v>
      </c>
      <c r="S129">
        <v>1823</v>
      </c>
      <c r="T129">
        <v>1878</v>
      </c>
      <c r="Z129">
        <v>1</v>
      </c>
      <c r="AA129">
        <v>3</v>
      </c>
      <c r="AB129">
        <v>-999</v>
      </c>
      <c r="AC129">
        <v>1</v>
      </c>
      <c r="AF129">
        <v>1876</v>
      </c>
      <c r="AG129">
        <v>1876</v>
      </c>
      <c r="AO129" t="b">
        <v>1</v>
      </c>
      <c r="AP129" t="s">
        <v>45</v>
      </c>
      <c r="AQ129">
        <v>1924</v>
      </c>
      <c r="AR129">
        <v>2016</v>
      </c>
      <c r="AS129" t="s">
        <v>675</v>
      </c>
      <c r="AT129">
        <v>0.43531827515400401</v>
      </c>
      <c r="AU129">
        <f t="shared" si="5"/>
        <v>1E-3</v>
      </c>
    </row>
    <row r="130" spans="1:47" x14ac:dyDescent="0.3">
      <c r="A130">
        <v>128</v>
      </c>
      <c r="B130" t="s">
        <v>676</v>
      </c>
      <c r="C130" t="s">
        <v>658</v>
      </c>
      <c r="D130">
        <v>42</v>
      </c>
      <c r="E130" t="s">
        <v>659</v>
      </c>
      <c r="F130" t="str">
        <f>VLOOKUP(E130,country_continent!A:C,2,FALSE)</f>
        <v>Dominican Republic</v>
      </c>
      <c r="G130" t="str">
        <f>VLOOKUP(E130,country_continent!A:C,3,FALSE)</f>
        <v>North America</v>
      </c>
      <c r="H130" t="s">
        <v>660</v>
      </c>
      <c r="I130" t="s">
        <v>674</v>
      </c>
      <c r="J130" s="3" t="str">
        <f t="shared" si="3"/>
        <v>1876/10/05</v>
      </c>
      <c r="K130" t="s">
        <v>677</v>
      </c>
      <c r="L130" s="3" t="str">
        <f t="shared" si="4"/>
        <v>1876/12/09</v>
      </c>
      <c r="M130" t="s">
        <v>67</v>
      </c>
      <c r="N130" t="s">
        <v>67</v>
      </c>
      <c r="O130" t="s">
        <v>347</v>
      </c>
      <c r="P130">
        <v>1</v>
      </c>
      <c r="Q130" t="s">
        <v>362</v>
      </c>
      <c r="R130" t="s">
        <v>51</v>
      </c>
      <c r="S130">
        <v>1840</v>
      </c>
      <c r="T130">
        <v>1915</v>
      </c>
      <c r="Z130">
        <v>1</v>
      </c>
      <c r="AA130">
        <v>3</v>
      </c>
      <c r="AB130">
        <v>-999</v>
      </c>
      <c r="AC130">
        <v>1</v>
      </c>
      <c r="AF130">
        <v>1876</v>
      </c>
      <c r="AG130">
        <v>1876</v>
      </c>
      <c r="AO130" t="b">
        <v>1</v>
      </c>
      <c r="AP130" t="s">
        <v>45</v>
      </c>
      <c r="AQ130">
        <v>1924</v>
      </c>
      <c r="AR130">
        <v>2016</v>
      </c>
      <c r="AS130" t="s">
        <v>678</v>
      </c>
      <c r="AT130">
        <v>0.17796030116358599</v>
      </c>
      <c r="AU130">
        <f t="shared" si="5"/>
        <v>0</v>
      </c>
    </row>
    <row r="131" spans="1:47" x14ac:dyDescent="0.3">
      <c r="A131">
        <v>129</v>
      </c>
      <c r="B131" t="s">
        <v>679</v>
      </c>
      <c r="C131" t="s">
        <v>237</v>
      </c>
      <c r="D131">
        <v>42</v>
      </c>
      <c r="E131" t="s">
        <v>659</v>
      </c>
      <c r="F131" t="str">
        <f>VLOOKUP(E131,country_continent!A:C,2,FALSE)</f>
        <v>Dominican Republic</v>
      </c>
      <c r="G131" t="str">
        <f>VLOOKUP(E131,country_continent!A:C,3,FALSE)</f>
        <v>North America</v>
      </c>
      <c r="H131" t="s">
        <v>680</v>
      </c>
      <c r="I131" t="s">
        <v>681</v>
      </c>
      <c r="J131" s="3" t="str">
        <f t="shared" ref="J131:J194" si="6">IF(ISNUMBER(SEARCH("-", I131)), SUBSTITUTE(I131, "-", "/"), I131)</f>
        <v>1876/12/26</v>
      </c>
      <c r="K131" t="s">
        <v>683</v>
      </c>
      <c r="L131" s="3" t="str">
        <f t="shared" ref="L131:L194" si="7">IF(ISNUMBER(SEARCH("-", K131)), SUBSTITUTE(K131, "-", "/"), K131)</f>
        <v>1878/03/02</v>
      </c>
      <c r="M131" t="s">
        <v>67</v>
      </c>
      <c r="N131" t="s">
        <v>67</v>
      </c>
      <c r="O131" t="s">
        <v>347</v>
      </c>
      <c r="P131">
        <v>4</v>
      </c>
      <c r="Q131" t="s">
        <v>362</v>
      </c>
      <c r="R131" t="s">
        <v>51</v>
      </c>
      <c r="S131">
        <v>1812</v>
      </c>
      <c r="T131">
        <v>1884</v>
      </c>
      <c r="U131" t="s">
        <v>684</v>
      </c>
      <c r="V131" t="s">
        <v>685</v>
      </c>
      <c r="W131" t="s">
        <v>686</v>
      </c>
      <c r="X131" t="s">
        <v>687</v>
      </c>
      <c r="Y131" t="s">
        <v>688</v>
      </c>
      <c r="Z131">
        <v>1</v>
      </c>
      <c r="AA131">
        <v>3</v>
      </c>
      <c r="AB131">
        <v>-999</v>
      </c>
      <c r="AC131">
        <v>1</v>
      </c>
      <c r="AD131" t="s">
        <v>239</v>
      </c>
      <c r="AE131">
        <v>0</v>
      </c>
      <c r="AF131">
        <v>1876</v>
      </c>
      <c r="AG131">
        <v>1878</v>
      </c>
      <c r="AO131" t="b">
        <v>1</v>
      </c>
      <c r="AP131" t="s">
        <v>45</v>
      </c>
      <c r="AQ131">
        <v>1924</v>
      </c>
      <c r="AR131">
        <v>2016</v>
      </c>
      <c r="AS131" t="s">
        <v>689</v>
      </c>
      <c r="AT131">
        <v>1.1800136892539299</v>
      </c>
      <c r="AU131">
        <f t="shared" ref="AU131:AU194" si="8">ROUND(AT131/365,3)</f>
        <v>3.0000000000000001E-3</v>
      </c>
    </row>
    <row r="132" spans="1:47" x14ac:dyDescent="0.3">
      <c r="A132">
        <v>130</v>
      </c>
      <c r="B132" t="s">
        <v>690</v>
      </c>
      <c r="C132" t="s">
        <v>691</v>
      </c>
      <c r="D132">
        <v>42</v>
      </c>
      <c r="E132" t="s">
        <v>659</v>
      </c>
      <c r="F132" t="str">
        <f>VLOOKUP(E132,country_continent!A:C,2,FALSE)</f>
        <v>Dominican Republic</v>
      </c>
      <c r="G132" t="str">
        <f>VLOOKUP(E132,country_continent!A:C,3,FALSE)</f>
        <v>North America</v>
      </c>
      <c r="H132" t="s">
        <v>692</v>
      </c>
      <c r="I132" t="s">
        <v>693</v>
      </c>
      <c r="J132" s="3" t="str">
        <f t="shared" si="6"/>
        <v>1878/03/05</v>
      </c>
      <c r="K132" t="s">
        <v>694</v>
      </c>
      <c r="L132" s="3" t="str">
        <f t="shared" si="7"/>
        <v>1878/07/06</v>
      </c>
      <c r="M132" t="s">
        <v>67</v>
      </c>
      <c r="N132" t="s">
        <v>49</v>
      </c>
      <c r="O132" t="s">
        <v>49</v>
      </c>
      <c r="P132">
        <v>0</v>
      </c>
      <c r="Q132" t="s">
        <v>362</v>
      </c>
      <c r="R132" t="s">
        <v>51</v>
      </c>
      <c r="S132">
        <v>1847</v>
      </c>
      <c r="T132">
        <v>1885</v>
      </c>
      <c r="Z132">
        <v>1</v>
      </c>
      <c r="AA132">
        <v>1</v>
      </c>
      <c r="AB132">
        <v>0</v>
      </c>
      <c r="AC132">
        <v>1</v>
      </c>
      <c r="AF132">
        <v>1878</v>
      </c>
      <c r="AG132">
        <v>1878</v>
      </c>
      <c r="AO132" t="b">
        <v>1</v>
      </c>
      <c r="AP132" t="s">
        <v>45</v>
      </c>
      <c r="AQ132">
        <v>1924</v>
      </c>
      <c r="AR132">
        <v>2016</v>
      </c>
      <c r="AS132" t="s">
        <v>696</v>
      </c>
      <c r="AT132">
        <v>0.33675564681724801</v>
      </c>
      <c r="AU132">
        <f t="shared" si="8"/>
        <v>1E-3</v>
      </c>
    </row>
    <row r="133" spans="1:47" x14ac:dyDescent="0.3">
      <c r="A133">
        <v>131</v>
      </c>
      <c r="B133" t="s">
        <v>697</v>
      </c>
      <c r="C133" t="s">
        <v>658</v>
      </c>
      <c r="D133">
        <v>42</v>
      </c>
      <c r="E133" t="s">
        <v>659</v>
      </c>
      <c r="F133" t="str">
        <f>VLOOKUP(E133,country_continent!A:C,2,FALSE)</f>
        <v>Dominican Republic</v>
      </c>
      <c r="G133" t="str">
        <f>VLOOKUP(E133,country_continent!A:C,3,FALSE)</f>
        <v>North America</v>
      </c>
      <c r="H133" t="s">
        <v>660</v>
      </c>
      <c r="I133" t="s">
        <v>694</v>
      </c>
      <c r="J133" s="3" t="str">
        <f t="shared" si="6"/>
        <v>1878/07/06</v>
      </c>
      <c r="K133" t="s">
        <v>698</v>
      </c>
      <c r="L133" s="3" t="str">
        <f t="shared" si="7"/>
        <v>1878/09/02</v>
      </c>
      <c r="M133" t="s">
        <v>49</v>
      </c>
      <c r="N133" t="s">
        <v>67</v>
      </c>
      <c r="O133" t="s">
        <v>347</v>
      </c>
      <c r="P133">
        <v>2</v>
      </c>
      <c r="Q133" t="s">
        <v>362</v>
      </c>
      <c r="R133" t="s">
        <v>51</v>
      </c>
      <c r="S133">
        <v>1840</v>
      </c>
      <c r="T133">
        <v>1915</v>
      </c>
      <c r="Z133">
        <v>0</v>
      </c>
      <c r="AA133">
        <v>3</v>
      </c>
      <c r="AB133">
        <v>-999</v>
      </c>
      <c r="AC133">
        <v>1</v>
      </c>
      <c r="AF133">
        <v>1878</v>
      </c>
      <c r="AG133">
        <v>1878</v>
      </c>
      <c r="AO133" t="b">
        <v>1</v>
      </c>
      <c r="AP133" t="s">
        <v>45</v>
      </c>
      <c r="AQ133">
        <v>1924</v>
      </c>
      <c r="AR133">
        <v>2016</v>
      </c>
      <c r="AS133" t="s">
        <v>699</v>
      </c>
      <c r="AT133">
        <v>0.15879534565366099</v>
      </c>
      <c r="AU133">
        <f t="shared" si="8"/>
        <v>0</v>
      </c>
    </row>
    <row r="134" spans="1:47" x14ac:dyDescent="0.3">
      <c r="A134">
        <v>132</v>
      </c>
      <c r="B134" t="s">
        <v>700</v>
      </c>
      <c r="C134" t="s">
        <v>701</v>
      </c>
      <c r="D134">
        <v>42</v>
      </c>
      <c r="E134" t="s">
        <v>659</v>
      </c>
      <c r="F134" t="str">
        <f>VLOOKUP(E134,country_continent!A:C,2,FALSE)</f>
        <v>Dominican Republic</v>
      </c>
      <c r="G134" t="str">
        <f>VLOOKUP(E134,country_continent!A:C,3,FALSE)</f>
        <v>North America</v>
      </c>
      <c r="H134" t="s">
        <v>702</v>
      </c>
      <c r="I134" t="s">
        <v>703</v>
      </c>
      <c r="J134" s="3" t="str">
        <f t="shared" si="6"/>
        <v>1878/09/07</v>
      </c>
      <c r="K134" t="s">
        <v>704</v>
      </c>
      <c r="L134" s="3" t="str">
        <f t="shared" si="7"/>
        <v>1878/09/29</v>
      </c>
      <c r="M134" t="s">
        <v>49</v>
      </c>
      <c r="N134" t="s">
        <v>67</v>
      </c>
      <c r="O134" t="s">
        <v>347</v>
      </c>
      <c r="P134">
        <v>1</v>
      </c>
      <c r="Q134" t="s">
        <v>50</v>
      </c>
      <c r="R134" t="s">
        <v>51</v>
      </c>
      <c r="S134">
        <v>1811</v>
      </c>
      <c r="T134">
        <v>1896</v>
      </c>
      <c r="Z134">
        <v>0</v>
      </c>
      <c r="AA134">
        <v>3</v>
      </c>
      <c r="AB134">
        <v>-999</v>
      </c>
      <c r="AC134">
        <v>0</v>
      </c>
      <c r="AF134">
        <v>1878</v>
      </c>
      <c r="AG134">
        <v>1878</v>
      </c>
      <c r="AO134" t="b">
        <v>1</v>
      </c>
      <c r="AP134" t="s">
        <v>45</v>
      </c>
      <c r="AQ134">
        <v>1924</v>
      </c>
      <c r="AR134">
        <v>2016</v>
      </c>
      <c r="AS134" t="s">
        <v>705</v>
      </c>
      <c r="AT134">
        <v>6.0232717316906201E-2</v>
      </c>
      <c r="AU134">
        <f t="shared" si="8"/>
        <v>0</v>
      </c>
    </row>
    <row r="135" spans="1:47" x14ac:dyDescent="0.3">
      <c r="A135">
        <v>133</v>
      </c>
      <c r="B135" t="s">
        <v>706</v>
      </c>
      <c r="C135" t="s">
        <v>691</v>
      </c>
      <c r="D135">
        <v>42</v>
      </c>
      <c r="E135" t="s">
        <v>659</v>
      </c>
      <c r="F135" t="str">
        <f>VLOOKUP(E135,country_continent!A:C,2,FALSE)</f>
        <v>Dominican Republic</v>
      </c>
      <c r="G135" t="str">
        <f>VLOOKUP(E135,country_continent!A:C,3,FALSE)</f>
        <v>North America</v>
      </c>
      <c r="H135" t="s">
        <v>692</v>
      </c>
      <c r="I135" t="s">
        <v>707</v>
      </c>
      <c r="J135" s="3" t="str">
        <f t="shared" si="6"/>
        <v>1878/09/30</v>
      </c>
      <c r="K135" t="s">
        <v>708</v>
      </c>
      <c r="L135" s="3" t="str">
        <f t="shared" si="7"/>
        <v>1879/12/06</v>
      </c>
      <c r="M135" t="s">
        <v>67</v>
      </c>
      <c r="N135" t="s">
        <v>67</v>
      </c>
      <c r="O135" t="s">
        <v>347</v>
      </c>
      <c r="P135">
        <v>1</v>
      </c>
      <c r="Q135" t="s">
        <v>362</v>
      </c>
      <c r="R135" t="s">
        <v>51</v>
      </c>
      <c r="S135">
        <v>1847</v>
      </c>
      <c r="T135">
        <v>1885</v>
      </c>
      <c r="Z135">
        <v>1</v>
      </c>
      <c r="AA135">
        <v>3</v>
      </c>
      <c r="AB135">
        <v>-999</v>
      </c>
      <c r="AC135">
        <v>1</v>
      </c>
      <c r="AF135">
        <v>1878</v>
      </c>
      <c r="AG135">
        <v>1879</v>
      </c>
      <c r="AO135" t="b">
        <v>1</v>
      </c>
      <c r="AP135" t="s">
        <v>45</v>
      </c>
      <c r="AQ135">
        <v>1924</v>
      </c>
      <c r="AR135">
        <v>2016</v>
      </c>
      <c r="AS135" t="s">
        <v>709</v>
      </c>
      <c r="AT135">
        <v>1.18275154004106</v>
      </c>
      <c r="AU135">
        <f t="shared" si="8"/>
        <v>3.0000000000000001E-3</v>
      </c>
    </row>
    <row r="136" spans="1:47" x14ac:dyDescent="0.3">
      <c r="A136">
        <v>134</v>
      </c>
      <c r="B136" t="s">
        <v>710</v>
      </c>
      <c r="C136" t="s">
        <v>711</v>
      </c>
      <c r="D136">
        <v>42</v>
      </c>
      <c r="E136" t="s">
        <v>659</v>
      </c>
      <c r="F136" t="str">
        <f>VLOOKUP(E136,country_continent!A:C,2,FALSE)</f>
        <v>Dominican Republic</v>
      </c>
      <c r="G136" t="str">
        <f>VLOOKUP(E136,country_continent!A:C,3,FALSE)</f>
        <v>North America</v>
      </c>
      <c r="H136" t="s">
        <v>712</v>
      </c>
      <c r="I136" t="s">
        <v>708</v>
      </c>
      <c r="J136" s="3" t="str">
        <f t="shared" si="6"/>
        <v>1879/12/06</v>
      </c>
      <c r="K136" t="s">
        <v>713</v>
      </c>
      <c r="L136" s="3" t="str">
        <f t="shared" si="7"/>
        <v>1880/09/01</v>
      </c>
      <c r="M136" t="s">
        <v>67</v>
      </c>
      <c r="N136" t="s">
        <v>49</v>
      </c>
      <c r="O136" t="s">
        <v>49</v>
      </c>
      <c r="P136">
        <v>0</v>
      </c>
      <c r="Q136" t="s">
        <v>50</v>
      </c>
      <c r="R136" t="s">
        <v>51</v>
      </c>
      <c r="S136">
        <v>1839</v>
      </c>
      <c r="T136">
        <v>1897</v>
      </c>
      <c r="Y136" t="s">
        <v>714</v>
      </c>
      <c r="Z136">
        <v>1</v>
      </c>
      <c r="AA136">
        <v>1</v>
      </c>
      <c r="AB136">
        <v>0</v>
      </c>
      <c r="AC136">
        <v>0</v>
      </c>
      <c r="AF136">
        <v>1879</v>
      </c>
      <c r="AG136">
        <v>1880</v>
      </c>
      <c r="AO136" t="b">
        <v>1</v>
      </c>
      <c r="AP136" t="s">
        <v>45</v>
      </c>
      <c r="AQ136">
        <v>1924</v>
      </c>
      <c r="AR136">
        <v>2016</v>
      </c>
      <c r="AS136" t="s">
        <v>715</v>
      </c>
      <c r="AT136">
        <v>0.73921971252566698</v>
      </c>
      <c r="AU136">
        <f t="shared" si="8"/>
        <v>2E-3</v>
      </c>
    </row>
    <row r="137" spans="1:47" x14ac:dyDescent="0.3">
      <c r="A137">
        <v>135</v>
      </c>
      <c r="B137" t="s">
        <v>716</v>
      </c>
      <c r="C137" t="s">
        <v>717</v>
      </c>
      <c r="D137">
        <v>42</v>
      </c>
      <c r="E137" t="s">
        <v>659</v>
      </c>
      <c r="F137" t="str">
        <f>VLOOKUP(E137,country_continent!A:C,2,FALSE)</f>
        <v>Dominican Republic</v>
      </c>
      <c r="G137" t="str">
        <f>VLOOKUP(E137,country_continent!A:C,3,FALSE)</f>
        <v>North America</v>
      </c>
      <c r="H137" t="s">
        <v>718</v>
      </c>
      <c r="I137" t="s">
        <v>713</v>
      </c>
      <c r="J137" s="3" t="str">
        <f t="shared" si="6"/>
        <v>1880/09/01</v>
      </c>
      <c r="K137" t="s">
        <v>719</v>
      </c>
      <c r="L137" s="3" t="str">
        <f t="shared" si="7"/>
        <v>1882/09/01</v>
      </c>
      <c r="M137" t="s">
        <v>49</v>
      </c>
      <c r="N137" t="s">
        <v>49</v>
      </c>
      <c r="O137" t="s">
        <v>49</v>
      </c>
      <c r="P137">
        <v>0</v>
      </c>
      <c r="Q137" t="s">
        <v>50</v>
      </c>
      <c r="R137" t="s">
        <v>51</v>
      </c>
      <c r="S137">
        <v>1833</v>
      </c>
      <c r="T137">
        <v>1906</v>
      </c>
      <c r="Z137">
        <v>0</v>
      </c>
      <c r="AA137">
        <v>1</v>
      </c>
      <c r="AB137">
        <v>0</v>
      </c>
      <c r="AC137">
        <v>0</v>
      </c>
      <c r="AF137">
        <v>1880</v>
      </c>
      <c r="AG137">
        <v>1882</v>
      </c>
      <c r="AO137" t="b">
        <v>1</v>
      </c>
      <c r="AP137" t="s">
        <v>45</v>
      </c>
      <c r="AQ137">
        <v>1924</v>
      </c>
      <c r="AR137">
        <v>2016</v>
      </c>
      <c r="AS137" t="s">
        <v>720</v>
      </c>
      <c r="AT137">
        <v>1.99863107460643</v>
      </c>
      <c r="AU137">
        <f t="shared" si="8"/>
        <v>5.0000000000000001E-3</v>
      </c>
    </row>
    <row r="138" spans="1:47" x14ac:dyDescent="0.3">
      <c r="A138">
        <v>136</v>
      </c>
      <c r="B138" t="s">
        <v>721</v>
      </c>
      <c r="C138" t="s">
        <v>722</v>
      </c>
      <c r="D138">
        <v>42</v>
      </c>
      <c r="E138" t="s">
        <v>659</v>
      </c>
      <c r="F138" t="str">
        <f>VLOOKUP(E138,country_continent!A:C,2,FALSE)</f>
        <v>Dominican Republic</v>
      </c>
      <c r="G138" t="str">
        <f>VLOOKUP(E138,country_continent!A:C,3,FALSE)</f>
        <v>North America</v>
      </c>
      <c r="H138" t="s">
        <v>723</v>
      </c>
      <c r="I138" t="s">
        <v>719</v>
      </c>
      <c r="J138" s="3" t="str">
        <f t="shared" si="6"/>
        <v>1882/09/01</v>
      </c>
      <c r="K138" t="s">
        <v>724</v>
      </c>
      <c r="L138" s="3" t="str">
        <f t="shared" si="7"/>
        <v>1884/09/01</v>
      </c>
      <c r="M138" t="s">
        <v>49</v>
      </c>
      <c r="N138" t="s">
        <v>49</v>
      </c>
      <c r="O138" t="s">
        <v>49</v>
      </c>
      <c r="P138">
        <v>0</v>
      </c>
      <c r="Q138" t="s">
        <v>50</v>
      </c>
      <c r="R138" t="s">
        <v>51</v>
      </c>
      <c r="S138">
        <v>1845</v>
      </c>
      <c r="T138">
        <v>1899</v>
      </c>
      <c r="U138" t="s">
        <v>725</v>
      </c>
      <c r="V138" t="s">
        <v>726</v>
      </c>
      <c r="W138" t="s">
        <v>727</v>
      </c>
      <c r="X138" t="s">
        <v>728</v>
      </c>
      <c r="Y138" t="s">
        <v>729</v>
      </c>
      <c r="Z138">
        <v>0</v>
      </c>
      <c r="AA138">
        <v>1</v>
      </c>
      <c r="AB138">
        <v>0</v>
      </c>
      <c r="AC138">
        <v>0</v>
      </c>
      <c r="AF138">
        <v>1882</v>
      </c>
      <c r="AG138">
        <v>1884</v>
      </c>
      <c r="AO138" t="b">
        <v>1</v>
      </c>
      <c r="AP138" t="s">
        <v>45</v>
      </c>
      <c r="AQ138">
        <v>1924</v>
      </c>
      <c r="AR138">
        <v>2016</v>
      </c>
      <c r="AS138" t="s">
        <v>730</v>
      </c>
      <c r="AT138">
        <v>2.0013689253935598</v>
      </c>
      <c r="AU138">
        <f t="shared" si="8"/>
        <v>5.0000000000000001E-3</v>
      </c>
    </row>
    <row r="139" spans="1:47" x14ac:dyDescent="0.3">
      <c r="A139">
        <v>137</v>
      </c>
      <c r="B139" t="s">
        <v>731</v>
      </c>
      <c r="C139" t="s">
        <v>732</v>
      </c>
      <c r="D139">
        <v>42</v>
      </c>
      <c r="E139" t="s">
        <v>659</v>
      </c>
      <c r="F139" t="str">
        <f>VLOOKUP(E139,country_continent!A:C,2,FALSE)</f>
        <v>Dominican Republic</v>
      </c>
      <c r="G139" t="str">
        <f>VLOOKUP(E139,country_continent!A:C,3,FALSE)</f>
        <v>North America</v>
      </c>
      <c r="H139" t="s">
        <v>733</v>
      </c>
      <c r="I139" t="s">
        <v>724</v>
      </c>
      <c r="J139" s="3" t="str">
        <f t="shared" si="6"/>
        <v>1884/09/01</v>
      </c>
      <c r="K139" t="s">
        <v>734</v>
      </c>
      <c r="L139" s="3" t="str">
        <f t="shared" si="7"/>
        <v>1885/05/16</v>
      </c>
      <c r="M139" t="s">
        <v>49</v>
      </c>
      <c r="N139" t="s">
        <v>67</v>
      </c>
      <c r="O139" t="s">
        <v>347</v>
      </c>
      <c r="P139">
        <v>0</v>
      </c>
      <c r="Q139" t="s">
        <v>50</v>
      </c>
      <c r="R139" t="s">
        <v>51</v>
      </c>
      <c r="S139">
        <v>1844</v>
      </c>
      <c r="T139">
        <v>1898</v>
      </c>
      <c r="Z139">
        <v>0</v>
      </c>
      <c r="AA139">
        <v>3</v>
      </c>
      <c r="AB139">
        <v>-999</v>
      </c>
      <c r="AC139">
        <v>0</v>
      </c>
      <c r="AF139">
        <v>1884</v>
      </c>
      <c r="AG139">
        <v>1885</v>
      </c>
      <c r="AO139" t="b">
        <v>1</v>
      </c>
      <c r="AP139" t="s">
        <v>45</v>
      </c>
      <c r="AQ139">
        <v>1924</v>
      </c>
      <c r="AR139">
        <v>2016</v>
      </c>
      <c r="AS139" t="s">
        <v>735</v>
      </c>
      <c r="AT139">
        <v>0.70362765229294999</v>
      </c>
      <c r="AU139">
        <f t="shared" si="8"/>
        <v>2E-3</v>
      </c>
    </row>
    <row r="140" spans="1:47" x14ac:dyDescent="0.3">
      <c r="A140">
        <v>138</v>
      </c>
      <c r="B140" t="s">
        <v>736</v>
      </c>
      <c r="C140" t="s">
        <v>737</v>
      </c>
      <c r="D140">
        <v>42</v>
      </c>
      <c r="E140" t="s">
        <v>659</v>
      </c>
      <c r="F140" t="str">
        <f>VLOOKUP(E140,country_continent!A:C,2,FALSE)</f>
        <v>Dominican Republic</v>
      </c>
      <c r="G140" t="str">
        <f>VLOOKUP(E140,country_continent!A:C,3,FALSE)</f>
        <v>North America</v>
      </c>
      <c r="H140" t="s">
        <v>738</v>
      </c>
      <c r="I140" t="s">
        <v>734</v>
      </c>
      <c r="J140" s="3" t="str">
        <f t="shared" si="6"/>
        <v>1885/05/16</v>
      </c>
      <c r="K140" t="s">
        <v>739</v>
      </c>
      <c r="L140" s="3" t="str">
        <f t="shared" si="7"/>
        <v>1887/01/06</v>
      </c>
      <c r="M140" t="s">
        <v>49</v>
      </c>
      <c r="N140" t="s">
        <v>49</v>
      </c>
      <c r="O140" t="s">
        <v>49</v>
      </c>
      <c r="P140">
        <v>0</v>
      </c>
      <c r="Q140" t="s">
        <v>50</v>
      </c>
      <c r="R140" t="s">
        <v>51</v>
      </c>
      <c r="S140">
        <v>1856</v>
      </c>
      <c r="T140">
        <v>1932</v>
      </c>
      <c r="Z140">
        <v>0</v>
      </c>
      <c r="AA140">
        <v>1</v>
      </c>
      <c r="AB140">
        <v>0</v>
      </c>
      <c r="AC140">
        <v>0</v>
      </c>
      <c r="AF140">
        <v>1885</v>
      </c>
      <c r="AG140">
        <v>1887</v>
      </c>
      <c r="AO140" t="b">
        <v>1</v>
      </c>
      <c r="AP140" t="s">
        <v>45</v>
      </c>
      <c r="AQ140">
        <v>1924</v>
      </c>
      <c r="AR140">
        <v>2016</v>
      </c>
      <c r="AS140" t="s">
        <v>740</v>
      </c>
      <c r="AT140">
        <v>1.64271047227926</v>
      </c>
      <c r="AU140">
        <f t="shared" si="8"/>
        <v>5.0000000000000001E-3</v>
      </c>
    </row>
    <row r="141" spans="1:47" x14ac:dyDescent="0.3">
      <c r="A141">
        <v>139</v>
      </c>
      <c r="B141" t="s">
        <v>741</v>
      </c>
      <c r="C141" t="s">
        <v>722</v>
      </c>
      <c r="D141">
        <v>42</v>
      </c>
      <c r="E141" t="s">
        <v>659</v>
      </c>
      <c r="F141" t="str">
        <f>VLOOKUP(E141,country_continent!A:C,2,FALSE)</f>
        <v>Dominican Republic</v>
      </c>
      <c r="G141" t="str">
        <f>VLOOKUP(E141,country_continent!A:C,3,FALSE)</f>
        <v>North America</v>
      </c>
      <c r="H141" t="s">
        <v>723</v>
      </c>
      <c r="I141" t="s">
        <v>739</v>
      </c>
      <c r="J141" s="3" t="str">
        <f t="shared" si="6"/>
        <v>1887/01/06</v>
      </c>
      <c r="K141" t="s">
        <v>727</v>
      </c>
      <c r="L141" s="3" t="str">
        <f t="shared" si="7"/>
        <v>1899/07/26</v>
      </c>
      <c r="M141" t="s">
        <v>49</v>
      </c>
      <c r="N141" t="s">
        <v>67</v>
      </c>
      <c r="O141" t="s">
        <v>347</v>
      </c>
      <c r="P141">
        <v>1</v>
      </c>
      <c r="Q141" t="s">
        <v>69</v>
      </c>
      <c r="R141" t="s">
        <v>51</v>
      </c>
      <c r="S141">
        <v>1845</v>
      </c>
      <c r="T141">
        <v>1899</v>
      </c>
      <c r="U141" t="s">
        <v>725</v>
      </c>
      <c r="V141" t="s">
        <v>726</v>
      </c>
      <c r="W141" t="s">
        <v>727</v>
      </c>
      <c r="X141" t="s">
        <v>728</v>
      </c>
      <c r="Y141" t="s">
        <v>729</v>
      </c>
      <c r="Z141">
        <v>0</v>
      </c>
      <c r="AA141">
        <v>3</v>
      </c>
      <c r="AB141">
        <v>-999</v>
      </c>
      <c r="AC141">
        <v>3</v>
      </c>
      <c r="AF141">
        <v>1887</v>
      </c>
      <c r="AG141">
        <v>1899</v>
      </c>
      <c r="AO141" t="b">
        <v>1</v>
      </c>
      <c r="AP141" t="s">
        <v>45</v>
      </c>
      <c r="AQ141">
        <v>1924</v>
      </c>
      <c r="AR141">
        <v>2016</v>
      </c>
      <c r="AS141" t="s">
        <v>742</v>
      </c>
      <c r="AT141">
        <v>12.5503080082135</v>
      </c>
      <c r="AU141">
        <f t="shared" si="8"/>
        <v>3.4000000000000002E-2</v>
      </c>
    </row>
    <row r="142" spans="1:47" x14ac:dyDescent="0.3">
      <c r="A142">
        <v>140</v>
      </c>
      <c r="B142" t="s">
        <v>743</v>
      </c>
      <c r="C142" t="s">
        <v>744</v>
      </c>
      <c r="D142">
        <v>42</v>
      </c>
      <c r="E142" t="s">
        <v>659</v>
      </c>
      <c r="F142" t="str">
        <f>VLOOKUP(E142,country_continent!A:C,2,FALSE)</f>
        <v>Dominican Republic</v>
      </c>
      <c r="G142" t="str">
        <f>VLOOKUP(E142,country_continent!A:C,3,FALSE)</f>
        <v>North America</v>
      </c>
      <c r="H142" t="s">
        <v>745</v>
      </c>
      <c r="I142" t="s">
        <v>746</v>
      </c>
      <c r="J142" s="3" t="str">
        <f t="shared" si="6"/>
        <v>1899/07/27</v>
      </c>
      <c r="K142" t="s">
        <v>747</v>
      </c>
      <c r="L142" s="3" t="str">
        <f t="shared" si="7"/>
        <v>1899/08/31</v>
      </c>
      <c r="M142" t="s">
        <v>49</v>
      </c>
      <c r="N142" t="s">
        <v>67</v>
      </c>
      <c r="O142" t="s">
        <v>347</v>
      </c>
      <c r="P142">
        <v>0</v>
      </c>
      <c r="Q142" t="s">
        <v>50</v>
      </c>
      <c r="R142" t="s">
        <v>51</v>
      </c>
      <c r="S142">
        <v>1834</v>
      </c>
      <c r="T142">
        <v>1910</v>
      </c>
      <c r="Z142">
        <v>0</v>
      </c>
      <c r="AA142">
        <v>3</v>
      </c>
      <c r="AB142">
        <v>-999</v>
      </c>
      <c r="AC142">
        <v>0</v>
      </c>
      <c r="AF142">
        <v>1899</v>
      </c>
      <c r="AG142">
        <v>1899</v>
      </c>
      <c r="AO142" t="b">
        <v>1</v>
      </c>
      <c r="AP142" t="s">
        <v>45</v>
      </c>
      <c r="AQ142">
        <v>1924</v>
      </c>
      <c r="AR142">
        <v>2016</v>
      </c>
      <c r="AS142" t="s">
        <v>748</v>
      </c>
      <c r="AT142">
        <v>9.5824777549623499E-2</v>
      </c>
      <c r="AU142">
        <f t="shared" si="8"/>
        <v>0</v>
      </c>
    </row>
    <row r="143" spans="1:47" x14ac:dyDescent="0.3">
      <c r="A143">
        <v>141</v>
      </c>
      <c r="B143" t="s">
        <v>749</v>
      </c>
      <c r="C143" t="s">
        <v>750</v>
      </c>
      <c r="D143">
        <v>42</v>
      </c>
      <c r="E143" t="s">
        <v>659</v>
      </c>
      <c r="F143" t="str">
        <f>VLOOKUP(E143,country_continent!A:C,2,FALSE)</f>
        <v>Dominican Republic</v>
      </c>
      <c r="G143" t="str">
        <f>VLOOKUP(E143,country_continent!A:C,3,FALSE)</f>
        <v>North America</v>
      </c>
      <c r="H143" t="s">
        <v>751</v>
      </c>
      <c r="I143" t="s">
        <v>752</v>
      </c>
      <c r="J143" s="3" t="str">
        <f t="shared" si="6"/>
        <v>1899/09/01</v>
      </c>
      <c r="K143" t="s">
        <v>753</v>
      </c>
      <c r="L143" s="3" t="str">
        <f t="shared" si="7"/>
        <v>1899/11/14</v>
      </c>
      <c r="M143" t="s">
        <v>67</v>
      </c>
      <c r="N143" t="s">
        <v>49</v>
      </c>
      <c r="O143" t="s">
        <v>49</v>
      </c>
      <c r="P143">
        <v>0</v>
      </c>
      <c r="Q143" t="s">
        <v>50</v>
      </c>
      <c r="R143" t="s">
        <v>51</v>
      </c>
      <c r="S143">
        <v>1860</v>
      </c>
      <c r="T143">
        <v>1936</v>
      </c>
      <c r="U143" t="s">
        <v>754</v>
      </c>
      <c r="V143" t="s">
        <v>755</v>
      </c>
      <c r="Z143">
        <v>1</v>
      </c>
      <c r="AA143">
        <v>1</v>
      </c>
      <c r="AB143">
        <v>0</v>
      </c>
      <c r="AC143">
        <v>0</v>
      </c>
      <c r="AD143" t="s">
        <v>756</v>
      </c>
      <c r="AE143">
        <v>0</v>
      </c>
      <c r="AF143">
        <v>1899</v>
      </c>
      <c r="AG143">
        <v>1899</v>
      </c>
      <c r="AO143" t="b">
        <v>1</v>
      </c>
      <c r="AP143" t="s">
        <v>45</v>
      </c>
      <c r="AQ143">
        <v>1924</v>
      </c>
      <c r="AR143">
        <v>2016</v>
      </c>
      <c r="AS143" t="s">
        <v>757</v>
      </c>
      <c r="AT143">
        <v>0.20260095824777499</v>
      </c>
      <c r="AU143">
        <f t="shared" si="8"/>
        <v>1E-3</v>
      </c>
    </row>
    <row r="144" spans="1:47" x14ac:dyDescent="0.3">
      <c r="A144">
        <v>142</v>
      </c>
      <c r="B144" t="s">
        <v>758</v>
      </c>
      <c r="C144" t="s">
        <v>759</v>
      </c>
      <c r="D144">
        <v>42</v>
      </c>
      <c r="E144" t="s">
        <v>659</v>
      </c>
      <c r="F144" t="str">
        <f>VLOOKUP(E144,country_continent!A:C,2,FALSE)</f>
        <v>Dominican Republic</v>
      </c>
      <c r="G144" t="str">
        <f>VLOOKUP(E144,country_continent!A:C,3,FALSE)</f>
        <v>North America</v>
      </c>
      <c r="H144" t="s">
        <v>760</v>
      </c>
      <c r="I144" t="s">
        <v>761</v>
      </c>
      <c r="J144" s="3" t="str">
        <f t="shared" si="6"/>
        <v>1899/11/15</v>
      </c>
      <c r="K144" s="1">
        <v>853</v>
      </c>
      <c r="L144" s="3">
        <f t="shared" si="7"/>
        <v>853</v>
      </c>
      <c r="M144" t="s">
        <v>49</v>
      </c>
      <c r="N144" t="s">
        <v>67</v>
      </c>
      <c r="O144" t="s">
        <v>347</v>
      </c>
      <c r="P144">
        <v>0</v>
      </c>
      <c r="Q144" t="s">
        <v>362</v>
      </c>
      <c r="R144" t="s">
        <v>51</v>
      </c>
      <c r="S144">
        <v>1846</v>
      </c>
      <c r="T144">
        <v>1919</v>
      </c>
      <c r="Z144">
        <v>0</v>
      </c>
      <c r="AA144">
        <v>3</v>
      </c>
      <c r="AB144">
        <v>-999</v>
      </c>
      <c r="AC144">
        <v>1</v>
      </c>
      <c r="AF144">
        <v>1899</v>
      </c>
      <c r="AG144">
        <v>1902</v>
      </c>
      <c r="AO144" t="b">
        <v>1</v>
      </c>
      <c r="AP144" t="s">
        <v>45</v>
      </c>
      <c r="AQ144">
        <v>1924</v>
      </c>
      <c r="AR144">
        <v>2016</v>
      </c>
      <c r="AS144" t="s">
        <v>762</v>
      </c>
      <c r="AT144">
        <v>2.45859000684462</v>
      </c>
      <c r="AU144">
        <f t="shared" si="8"/>
        <v>7.0000000000000001E-3</v>
      </c>
    </row>
    <row r="145" spans="1:47" x14ac:dyDescent="0.3">
      <c r="A145">
        <v>143</v>
      </c>
      <c r="B145" t="s">
        <v>763</v>
      </c>
      <c r="C145" t="s">
        <v>750</v>
      </c>
      <c r="D145">
        <v>42</v>
      </c>
      <c r="E145" t="s">
        <v>659</v>
      </c>
      <c r="F145" t="str">
        <f>VLOOKUP(E145,country_continent!A:C,2,FALSE)</f>
        <v>Dominican Republic</v>
      </c>
      <c r="G145" t="str">
        <f>VLOOKUP(E145,country_continent!A:C,3,FALSE)</f>
        <v>North America</v>
      </c>
      <c r="H145" t="s">
        <v>751</v>
      </c>
      <c r="I145" s="1">
        <v>853</v>
      </c>
      <c r="J145" s="3">
        <f t="shared" si="6"/>
        <v>853</v>
      </c>
      <c r="K145" s="1">
        <v>1204</v>
      </c>
      <c r="L145" s="3">
        <f t="shared" si="7"/>
        <v>1204</v>
      </c>
      <c r="M145" t="s">
        <v>67</v>
      </c>
      <c r="N145" t="s">
        <v>67</v>
      </c>
      <c r="O145" t="s">
        <v>347</v>
      </c>
      <c r="P145">
        <v>1</v>
      </c>
      <c r="Q145" t="s">
        <v>50</v>
      </c>
      <c r="R145" t="s">
        <v>51</v>
      </c>
      <c r="S145">
        <v>1860</v>
      </c>
      <c r="T145">
        <v>1936</v>
      </c>
      <c r="U145" t="s">
        <v>754</v>
      </c>
      <c r="V145" t="s">
        <v>755</v>
      </c>
      <c r="Z145">
        <v>1</v>
      </c>
      <c r="AA145">
        <v>3</v>
      </c>
      <c r="AB145">
        <v>-999</v>
      </c>
      <c r="AC145">
        <v>0</v>
      </c>
      <c r="AD145" t="s">
        <v>756</v>
      </c>
      <c r="AE145">
        <v>0</v>
      </c>
      <c r="AF145">
        <v>1902</v>
      </c>
      <c r="AG145">
        <v>1903</v>
      </c>
      <c r="AO145" t="b">
        <v>1</v>
      </c>
      <c r="AP145" t="s">
        <v>45</v>
      </c>
      <c r="AQ145">
        <v>1924</v>
      </c>
      <c r="AR145">
        <v>2016</v>
      </c>
      <c r="AS145" t="s">
        <v>764</v>
      </c>
      <c r="AT145">
        <v>0.96098562628336703</v>
      </c>
      <c r="AU145">
        <f t="shared" si="8"/>
        <v>3.0000000000000001E-3</v>
      </c>
    </row>
    <row r="146" spans="1:47" x14ac:dyDescent="0.3">
      <c r="A146">
        <v>144</v>
      </c>
      <c r="B146" t="s">
        <v>765</v>
      </c>
      <c r="C146" t="s">
        <v>737</v>
      </c>
      <c r="D146">
        <v>42</v>
      </c>
      <c r="E146" t="s">
        <v>659</v>
      </c>
      <c r="F146" t="str">
        <f>VLOOKUP(E146,country_continent!A:C,2,FALSE)</f>
        <v>Dominican Republic</v>
      </c>
      <c r="G146" t="str">
        <f>VLOOKUP(E146,country_continent!A:C,3,FALSE)</f>
        <v>North America</v>
      </c>
      <c r="H146" t="s">
        <v>738</v>
      </c>
      <c r="I146" s="1">
        <v>1204</v>
      </c>
      <c r="J146" s="3">
        <f t="shared" si="6"/>
        <v>1204</v>
      </c>
      <c r="K146" s="1">
        <v>1404</v>
      </c>
      <c r="L146" s="3">
        <f t="shared" si="7"/>
        <v>1404</v>
      </c>
      <c r="M146" t="s">
        <v>67</v>
      </c>
      <c r="N146" t="s">
        <v>49</v>
      </c>
      <c r="O146" t="s">
        <v>49</v>
      </c>
      <c r="P146">
        <v>1</v>
      </c>
      <c r="Q146" t="s">
        <v>362</v>
      </c>
      <c r="R146" t="s">
        <v>51</v>
      </c>
      <c r="S146">
        <v>1856</v>
      </c>
      <c r="T146">
        <v>1932</v>
      </c>
      <c r="Z146">
        <v>1</v>
      </c>
      <c r="AA146">
        <v>1</v>
      </c>
      <c r="AB146">
        <v>0</v>
      </c>
      <c r="AC146">
        <v>1</v>
      </c>
      <c r="AF146">
        <v>1903</v>
      </c>
      <c r="AG146">
        <v>1903</v>
      </c>
      <c r="AO146" t="b">
        <v>1</v>
      </c>
      <c r="AP146" t="s">
        <v>45</v>
      </c>
      <c r="AQ146">
        <v>1924</v>
      </c>
      <c r="AR146">
        <v>2016</v>
      </c>
      <c r="AS146" t="s">
        <v>766</v>
      </c>
      <c r="AT146">
        <v>0.54757015742642001</v>
      </c>
      <c r="AU146">
        <f t="shared" si="8"/>
        <v>2E-3</v>
      </c>
    </row>
    <row r="147" spans="1:47" x14ac:dyDescent="0.3">
      <c r="A147">
        <v>145</v>
      </c>
      <c r="B147" t="s">
        <v>767</v>
      </c>
      <c r="C147" t="s">
        <v>768</v>
      </c>
      <c r="D147">
        <v>42</v>
      </c>
      <c r="E147" t="s">
        <v>659</v>
      </c>
      <c r="F147" t="str">
        <f>VLOOKUP(E147,country_continent!A:C,2,FALSE)</f>
        <v>Dominican Republic</v>
      </c>
      <c r="G147" t="str">
        <f>VLOOKUP(E147,country_continent!A:C,3,FALSE)</f>
        <v>North America</v>
      </c>
      <c r="H147" t="s">
        <v>769</v>
      </c>
      <c r="I147" s="1">
        <v>1404</v>
      </c>
      <c r="J147" s="3">
        <f t="shared" si="6"/>
        <v>1404</v>
      </c>
      <c r="K147" s="1">
        <v>2186</v>
      </c>
      <c r="L147" s="3">
        <f t="shared" si="7"/>
        <v>2186</v>
      </c>
      <c r="M147" t="s">
        <v>67</v>
      </c>
      <c r="N147" t="s">
        <v>67</v>
      </c>
      <c r="O147" t="s">
        <v>347</v>
      </c>
      <c r="P147">
        <v>0</v>
      </c>
      <c r="Q147" t="s">
        <v>362</v>
      </c>
      <c r="R147" t="s">
        <v>51</v>
      </c>
      <c r="S147">
        <v>1867</v>
      </c>
      <c r="T147">
        <v>1906</v>
      </c>
      <c r="Z147">
        <v>1</v>
      </c>
      <c r="AA147">
        <v>3</v>
      </c>
      <c r="AB147">
        <v>-999</v>
      </c>
      <c r="AC147">
        <v>1</v>
      </c>
      <c r="AF147">
        <v>1903</v>
      </c>
      <c r="AG147">
        <v>1905</v>
      </c>
      <c r="AO147" t="b">
        <v>1</v>
      </c>
      <c r="AP147" t="s">
        <v>45</v>
      </c>
      <c r="AQ147">
        <v>1924</v>
      </c>
      <c r="AR147">
        <v>2016</v>
      </c>
      <c r="AS147" t="s">
        <v>663</v>
      </c>
      <c r="AT147">
        <v>2.1409993155373002</v>
      </c>
      <c r="AU147">
        <f t="shared" si="8"/>
        <v>6.0000000000000001E-3</v>
      </c>
    </row>
    <row r="148" spans="1:47" x14ac:dyDescent="0.3">
      <c r="A148">
        <v>146</v>
      </c>
      <c r="B148" t="s">
        <v>770</v>
      </c>
      <c r="C148" t="s">
        <v>771</v>
      </c>
      <c r="D148">
        <v>42</v>
      </c>
      <c r="E148" t="s">
        <v>659</v>
      </c>
      <c r="F148" t="str">
        <f>VLOOKUP(E148,country_continent!A:C,2,FALSE)</f>
        <v>Dominican Republic</v>
      </c>
      <c r="G148" t="str">
        <f>VLOOKUP(E148,country_continent!A:C,3,FALSE)</f>
        <v>North America</v>
      </c>
      <c r="H148" t="s">
        <v>772</v>
      </c>
      <c r="I148" s="1">
        <v>2186</v>
      </c>
      <c r="J148" s="3">
        <f t="shared" si="6"/>
        <v>2186</v>
      </c>
      <c r="K148" s="1">
        <v>4341</v>
      </c>
      <c r="L148" s="3">
        <f t="shared" si="7"/>
        <v>4341</v>
      </c>
      <c r="M148" t="s">
        <v>49</v>
      </c>
      <c r="N148" t="s">
        <v>67</v>
      </c>
      <c r="O148" t="s">
        <v>347</v>
      </c>
      <c r="P148">
        <v>0</v>
      </c>
      <c r="Q148" t="s">
        <v>69</v>
      </c>
      <c r="R148" t="s">
        <v>51</v>
      </c>
      <c r="S148">
        <v>1866</v>
      </c>
      <c r="T148">
        <v>1911</v>
      </c>
      <c r="U148" t="s">
        <v>773</v>
      </c>
      <c r="V148" t="s">
        <v>774</v>
      </c>
      <c r="Z148">
        <v>0</v>
      </c>
      <c r="AA148">
        <v>3</v>
      </c>
      <c r="AB148">
        <v>-999</v>
      </c>
      <c r="AC148">
        <v>3</v>
      </c>
      <c r="AD148" t="s">
        <v>775</v>
      </c>
      <c r="AE148">
        <v>1</v>
      </c>
      <c r="AF148">
        <v>1905</v>
      </c>
      <c r="AG148">
        <v>1911</v>
      </c>
      <c r="AO148" t="b">
        <v>1</v>
      </c>
      <c r="AP148" t="s">
        <v>45</v>
      </c>
      <c r="AQ148">
        <v>1924</v>
      </c>
      <c r="AR148">
        <v>2016</v>
      </c>
      <c r="AS148" t="s">
        <v>776</v>
      </c>
      <c r="AT148">
        <v>5.9000684462696702</v>
      </c>
      <c r="AU148">
        <f t="shared" si="8"/>
        <v>1.6E-2</v>
      </c>
    </row>
    <row r="149" spans="1:47" x14ac:dyDescent="0.3">
      <c r="A149">
        <v>147</v>
      </c>
      <c r="B149" t="s">
        <v>777</v>
      </c>
      <c r="C149" t="s">
        <v>778</v>
      </c>
      <c r="D149">
        <v>42</v>
      </c>
      <c r="E149" t="s">
        <v>659</v>
      </c>
      <c r="F149" t="str">
        <f>VLOOKUP(E149,country_continent!A:C,2,FALSE)</f>
        <v>Dominican Republic</v>
      </c>
      <c r="G149" t="str">
        <f>VLOOKUP(E149,country_continent!A:C,3,FALSE)</f>
        <v>North America</v>
      </c>
      <c r="H149" t="s">
        <v>779</v>
      </c>
      <c r="I149" s="1">
        <v>4354</v>
      </c>
      <c r="J149" s="3">
        <f t="shared" si="6"/>
        <v>4354</v>
      </c>
      <c r="K149" s="1">
        <v>4716</v>
      </c>
      <c r="L149" s="3">
        <f t="shared" si="7"/>
        <v>4716</v>
      </c>
      <c r="M149" t="s">
        <v>67</v>
      </c>
      <c r="N149" t="s">
        <v>67</v>
      </c>
      <c r="O149" t="s">
        <v>347</v>
      </c>
      <c r="P149">
        <v>0</v>
      </c>
      <c r="Q149" t="s">
        <v>50</v>
      </c>
      <c r="R149" t="s">
        <v>51</v>
      </c>
      <c r="S149">
        <v>1864</v>
      </c>
      <c r="T149">
        <v>1939</v>
      </c>
      <c r="Z149">
        <v>1</v>
      </c>
      <c r="AA149">
        <v>3</v>
      </c>
      <c r="AB149">
        <v>-999</v>
      </c>
      <c r="AC149">
        <v>0</v>
      </c>
      <c r="AF149">
        <v>1911</v>
      </c>
      <c r="AG149">
        <v>1912</v>
      </c>
      <c r="AO149" t="b">
        <v>1</v>
      </c>
      <c r="AP149" t="s">
        <v>45</v>
      </c>
      <c r="AQ149">
        <v>1924</v>
      </c>
      <c r="AR149">
        <v>2016</v>
      </c>
      <c r="AS149" t="s">
        <v>780</v>
      </c>
      <c r="AT149">
        <v>0.99110198494182</v>
      </c>
      <c r="AU149">
        <f t="shared" si="8"/>
        <v>3.0000000000000001E-3</v>
      </c>
    </row>
    <row r="150" spans="1:47" x14ac:dyDescent="0.3">
      <c r="A150">
        <v>148</v>
      </c>
      <c r="B150" t="s">
        <v>781</v>
      </c>
      <c r="C150" t="s">
        <v>782</v>
      </c>
      <c r="D150">
        <v>42</v>
      </c>
      <c r="E150" t="s">
        <v>659</v>
      </c>
      <c r="F150" t="str">
        <f>VLOOKUP(E150,country_continent!A:C,2,FALSE)</f>
        <v>Dominican Republic</v>
      </c>
      <c r="G150" t="str">
        <f>VLOOKUP(E150,country_continent!A:C,3,FALSE)</f>
        <v>North America</v>
      </c>
      <c r="H150" t="s">
        <v>783</v>
      </c>
      <c r="I150" s="1">
        <v>4719</v>
      </c>
      <c r="J150" s="3">
        <f t="shared" si="6"/>
        <v>4719</v>
      </c>
      <c r="K150" s="1">
        <v>4839</v>
      </c>
      <c r="L150" s="3">
        <f t="shared" si="7"/>
        <v>4839</v>
      </c>
      <c r="M150" t="s">
        <v>49</v>
      </c>
      <c r="N150" t="s">
        <v>49</v>
      </c>
      <c r="O150" t="s">
        <v>49</v>
      </c>
      <c r="P150">
        <v>0</v>
      </c>
      <c r="Q150" t="s">
        <v>362</v>
      </c>
      <c r="R150" t="s">
        <v>51</v>
      </c>
      <c r="S150">
        <v>1862</v>
      </c>
      <c r="T150">
        <v>1937</v>
      </c>
      <c r="Z150">
        <v>0</v>
      </c>
      <c r="AA150">
        <v>1</v>
      </c>
      <c r="AB150">
        <v>0</v>
      </c>
      <c r="AC150">
        <v>1</v>
      </c>
      <c r="AF150">
        <v>1912</v>
      </c>
      <c r="AG150">
        <v>1913</v>
      </c>
      <c r="AO150" t="b">
        <v>1</v>
      </c>
      <c r="AP150" t="s">
        <v>45</v>
      </c>
      <c r="AQ150">
        <v>1924</v>
      </c>
      <c r="AR150">
        <v>2016</v>
      </c>
      <c r="AS150" t="s">
        <v>784</v>
      </c>
      <c r="AT150">
        <v>0.32854209445585197</v>
      </c>
      <c r="AU150">
        <f t="shared" si="8"/>
        <v>1E-3</v>
      </c>
    </row>
    <row r="151" spans="1:47" x14ac:dyDescent="0.3">
      <c r="A151">
        <v>149</v>
      </c>
      <c r="B151" t="s">
        <v>785</v>
      </c>
      <c r="C151" t="s">
        <v>786</v>
      </c>
      <c r="D151">
        <v>42</v>
      </c>
      <c r="E151" t="s">
        <v>659</v>
      </c>
      <c r="F151" t="str">
        <f>VLOOKUP(E151,country_continent!A:C,2,FALSE)</f>
        <v>Dominican Republic</v>
      </c>
      <c r="G151" t="str">
        <f>VLOOKUP(E151,country_continent!A:C,3,FALSE)</f>
        <v>North America</v>
      </c>
      <c r="H151" t="s">
        <v>787</v>
      </c>
      <c r="I151" s="1">
        <v>4852</v>
      </c>
      <c r="J151" s="3">
        <f t="shared" si="6"/>
        <v>4852</v>
      </c>
      <c r="K151" s="1">
        <v>5353</v>
      </c>
      <c r="L151" s="3">
        <f t="shared" si="7"/>
        <v>5353</v>
      </c>
      <c r="M151" t="s">
        <v>49</v>
      </c>
      <c r="N151" t="s">
        <v>633</v>
      </c>
      <c r="O151" t="s">
        <v>347</v>
      </c>
      <c r="P151">
        <v>0</v>
      </c>
      <c r="Q151" t="s">
        <v>362</v>
      </c>
      <c r="R151" t="s">
        <v>51</v>
      </c>
      <c r="S151">
        <v>1874</v>
      </c>
      <c r="T151">
        <v>1968</v>
      </c>
      <c r="Z151">
        <v>0</v>
      </c>
      <c r="AA151">
        <v>4</v>
      </c>
      <c r="AB151">
        <v>-999</v>
      </c>
      <c r="AC151">
        <v>1</v>
      </c>
      <c r="AF151">
        <v>1913</v>
      </c>
      <c r="AG151">
        <v>1914</v>
      </c>
      <c r="AO151" t="b">
        <v>1</v>
      </c>
      <c r="AP151" t="s">
        <v>45</v>
      </c>
      <c r="AQ151">
        <v>1924</v>
      </c>
      <c r="AR151">
        <v>2016</v>
      </c>
      <c r="AS151" t="s">
        <v>788</v>
      </c>
      <c r="AT151">
        <v>1.37166324435318</v>
      </c>
      <c r="AU151">
        <f t="shared" si="8"/>
        <v>4.0000000000000001E-3</v>
      </c>
    </row>
    <row r="152" spans="1:47" x14ac:dyDescent="0.3">
      <c r="A152">
        <v>150</v>
      </c>
      <c r="B152" t="s">
        <v>789</v>
      </c>
      <c r="C152" t="s">
        <v>790</v>
      </c>
      <c r="D152">
        <v>42</v>
      </c>
      <c r="E152" t="s">
        <v>659</v>
      </c>
      <c r="F152" t="str">
        <f>VLOOKUP(E152,country_continent!A:C,2,FALSE)</f>
        <v>Dominican Republic</v>
      </c>
      <c r="G152" t="str">
        <f>VLOOKUP(E152,country_continent!A:C,3,FALSE)</f>
        <v>North America</v>
      </c>
      <c r="H152" t="s">
        <v>791</v>
      </c>
      <c r="I152" s="1">
        <v>5353</v>
      </c>
      <c r="J152" s="3">
        <f t="shared" si="6"/>
        <v>5353</v>
      </c>
      <c r="K152" s="1">
        <v>5453</v>
      </c>
      <c r="L152" s="3">
        <f t="shared" si="7"/>
        <v>5453</v>
      </c>
      <c r="M152" t="s">
        <v>49</v>
      </c>
      <c r="N152" t="s">
        <v>49</v>
      </c>
      <c r="O152" t="s">
        <v>49</v>
      </c>
      <c r="P152">
        <v>0</v>
      </c>
      <c r="Q152" t="s">
        <v>50</v>
      </c>
      <c r="R152" t="s">
        <v>51</v>
      </c>
      <c r="S152">
        <v>1858</v>
      </c>
      <c r="T152">
        <v>1929</v>
      </c>
      <c r="Z152">
        <v>0</v>
      </c>
      <c r="AA152">
        <v>1</v>
      </c>
      <c r="AB152">
        <v>0</v>
      </c>
      <c r="AC152">
        <v>0</v>
      </c>
      <c r="AD152" t="s">
        <v>792</v>
      </c>
      <c r="AE152">
        <v>1</v>
      </c>
      <c r="AF152">
        <v>1914</v>
      </c>
      <c r="AG152">
        <v>1914</v>
      </c>
      <c r="AO152" t="b">
        <v>1</v>
      </c>
      <c r="AP152" t="s">
        <v>45</v>
      </c>
      <c r="AQ152">
        <v>1924</v>
      </c>
      <c r="AR152">
        <v>2016</v>
      </c>
      <c r="AS152" t="s">
        <v>793</v>
      </c>
      <c r="AT152">
        <v>0.27378507871321001</v>
      </c>
      <c r="AU152">
        <f t="shared" si="8"/>
        <v>1E-3</v>
      </c>
    </row>
    <row r="153" spans="1:47" x14ac:dyDescent="0.3">
      <c r="A153">
        <v>151</v>
      </c>
      <c r="B153" t="s">
        <v>794</v>
      </c>
      <c r="C153" t="s">
        <v>759</v>
      </c>
      <c r="D153">
        <v>42</v>
      </c>
      <c r="E153" t="s">
        <v>659</v>
      </c>
      <c r="F153" t="str">
        <f>VLOOKUP(E153,country_continent!A:C,2,FALSE)</f>
        <v>Dominican Republic</v>
      </c>
      <c r="G153" t="str">
        <f>VLOOKUP(E153,country_continent!A:C,3,FALSE)</f>
        <v>North America</v>
      </c>
      <c r="H153" t="s">
        <v>760</v>
      </c>
      <c r="I153" s="1">
        <v>5453</v>
      </c>
      <c r="J153" s="3">
        <f t="shared" si="6"/>
        <v>5453</v>
      </c>
      <c r="K153" s="1">
        <v>5973</v>
      </c>
      <c r="L153" s="3">
        <f t="shared" si="7"/>
        <v>5973</v>
      </c>
      <c r="M153" t="s">
        <v>49</v>
      </c>
      <c r="N153" t="s">
        <v>633</v>
      </c>
      <c r="O153" t="s">
        <v>347</v>
      </c>
      <c r="P153">
        <v>1</v>
      </c>
      <c r="Q153" t="s">
        <v>362</v>
      </c>
      <c r="R153" t="s">
        <v>51</v>
      </c>
      <c r="S153">
        <v>1846</v>
      </c>
      <c r="T153">
        <v>1919</v>
      </c>
      <c r="Z153">
        <v>0</v>
      </c>
      <c r="AA153">
        <v>4</v>
      </c>
      <c r="AB153">
        <v>-999</v>
      </c>
      <c r="AC153">
        <v>1</v>
      </c>
      <c r="AF153">
        <v>1914</v>
      </c>
      <c r="AG153">
        <v>1916</v>
      </c>
      <c r="AO153" t="b">
        <v>1</v>
      </c>
      <c r="AP153" t="s">
        <v>45</v>
      </c>
      <c r="AQ153">
        <v>1924</v>
      </c>
      <c r="AR153">
        <v>2016</v>
      </c>
      <c r="AS153" t="s">
        <v>795</v>
      </c>
      <c r="AT153">
        <v>1.4236824093086899</v>
      </c>
      <c r="AU153">
        <f t="shared" si="8"/>
        <v>4.0000000000000001E-3</v>
      </c>
    </row>
    <row r="154" spans="1:47" x14ac:dyDescent="0.3">
      <c r="A154">
        <v>152</v>
      </c>
      <c r="B154" t="s">
        <v>796</v>
      </c>
      <c r="C154" t="s">
        <v>750</v>
      </c>
      <c r="D154">
        <v>42</v>
      </c>
      <c r="E154" t="s">
        <v>659</v>
      </c>
      <c r="F154" t="str">
        <f>VLOOKUP(E154,country_continent!A:C,2,FALSE)</f>
        <v>Dominican Republic</v>
      </c>
      <c r="G154" t="str">
        <f>VLOOKUP(E154,country_continent!A:C,3,FALSE)</f>
        <v>North America</v>
      </c>
      <c r="H154" t="s">
        <v>751</v>
      </c>
      <c r="I154" s="1">
        <v>8960</v>
      </c>
      <c r="J154" s="3">
        <f t="shared" si="6"/>
        <v>8960</v>
      </c>
      <c r="K154" s="1">
        <v>11016</v>
      </c>
      <c r="L154" s="3">
        <f t="shared" si="7"/>
        <v>11016</v>
      </c>
      <c r="M154" t="s">
        <v>67</v>
      </c>
      <c r="N154" t="s">
        <v>67</v>
      </c>
      <c r="O154" t="s">
        <v>376</v>
      </c>
      <c r="P154">
        <v>2</v>
      </c>
      <c r="Q154" t="s">
        <v>50</v>
      </c>
      <c r="R154" t="s">
        <v>51</v>
      </c>
      <c r="S154">
        <v>1860</v>
      </c>
      <c r="T154">
        <v>1936</v>
      </c>
      <c r="U154" t="s">
        <v>754</v>
      </c>
      <c r="V154" t="s">
        <v>755</v>
      </c>
      <c r="Z154">
        <v>1</v>
      </c>
      <c r="AA154">
        <v>3</v>
      </c>
      <c r="AB154">
        <v>6</v>
      </c>
      <c r="AC154">
        <v>0</v>
      </c>
      <c r="AD154" t="s">
        <v>756</v>
      </c>
      <c r="AE154">
        <v>1</v>
      </c>
      <c r="AF154">
        <v>1924</v>
      </c>
      <c r="AG154">
        <v>1930</v>
      </c>
      <c r="AO154" t="b">
        <v>1</v>
      </c>
      <c r="AP154" t="s">
        <v>45</v>
      </c>
      <c r="AQ154">
        <v>1924</v>
      </c>
      <c r="AR154">
        <v>2016</v>
      </c>
      <c r="AS154" t="s">
        <v>797</v>
      </c>
      <c r="AT154">
        <v>5.6290212183435999</v>
      </c>
      <c r="AU154">
        <f t="shared" si="8"/>
        <v>1.4999999999999999E-2</v>
      </c>
    </row>
    <row r="155" spans="1:47" x14ac:dyDescent="0.3">
      <c r="A155">
        <v>153</v>
      </c>
      <c r="B155" t="s">
        <v>798</v>
      </c>
      <c r="C155" t="s">
        <v>799</v>
      </c>
      <c r="D155">
        <v>42</v>
      </c>
      <c r="E155" t="s">
        <v>659</v>
      </c>
      <c r="F155" t="str">
        <f>VLOOKUP(E155,country_continent!A:C,2,FALSE)</f>
        <v>Dominican Republic</v>
      </c>
      <c r="G155" t="str">
        <f>VLOOKUP(E155,country_continent!A:C,3,FALSE)</f>
        <v>North America</v>
      </c>
      <c r="H155" t="s">
        <v>800</v>
      </c>
      <c r="I155" s="1">
        <v>11019</v>
      </c>
      <c r="J155" s="3">
        <f t="shared" si="6"/>
        <v>11019</v>
      </c>
      <c r="K155" s="1">
        <v>11186</v>
      </c>
      <c r="L155" s="3">
        <f t="shared" si="7"/>
        <v>11186</v>
      </c>
      <c r="M155" t="s">
        <v>67</v>
      </c>
      <c r="N155" t="s">
        <v>49</v>
      </c>
      <c r="O155" t="s">
        <v>49</v>
      </c>
      <c r="P155">
        <v>0</v>
      </c>
      <c r="Q155" t="s">
        <v>50</v>
      </c>
      <c r="R155" t="s">
        <v>51</v>
      </c>
      <c r="S155">
        <v>1889</v>
      </c>
      <c r="T155">
        <v>1945</v>
      </c>
      <c r="Z155">
        <v>1</v>
      </c>
      <c r="AA155">
        <v>1</v>
      </c>
      <c r="AB155">
        <v>0</v>
      </c>
      <c r="AC155">
        <v>0</v>
      </c>
      <c r="AF155">
        <v>1930</v>
      </c>
      <c r="AG155">
        <v>1930</v>
      </c>
      <c r="AO155" t="b">
        <v>1</v>
      </c>
      <c r="AP155" t="s">
        <v>45</v>
      </c>
      <c r="AQ155">
        <v>1924</v>
      </c>
      <c r="AR155">
        <v>2016</v>
      </c>
      <c r="AS155" t="s">
        <v>801</v>
      </c>
      <c r="AT155">
        <v>0.45722108145106</v>
      </c>
      <c r="AU155">
        <f t="shared" si="8"/>
        <v>1E-3</v>
      </c>
    </row>
    <row r="156" spans="1:47" x14ac:dyDescent="0.3">
      <c r="A156">
        <v>154</v>
      </c>
      <c r="B156" t="s">
        <v>802</v>
      </c>
      <c r="C156" t="s">
        <v>803</v>
      </c>
      <c r="D156">
        <v>42</v>
      </c>
      <c r="E156" t="s">
        <v>659</v>
      </c>
      <c r="F156" t="str">
        <f>VLOOKUP(E156,country_continent!A:C,2,FALSE)</f>
        <v>Dominican Republic</v>
      </c>
      <c r="G156" t="str">
        <f>VLOOKUP(E156,country_continent!A:C,3,FALSE)</f>
        <v>North America</v>
      </c>
      <c r="H156" t="s">
        <v>804</v>
      </c>
      <c r="I156" s="1">
        <v>11186</v>
      </c>
      <c r="J156" s="3">
        <f t="shared" si="6"/>
        <v>11186</v>
      </c>
      <c r="K156" s="1">
        <v>22431</v>
      </c>
      <c r="L156" s="3">
        <f t="shared" si="7"/>
        <v>22431</v>
      </c>
      <c r="M156" t="s">
        <v>49</v>
      </c>
      <c r="N156" t="s">
        <v>67</v>
      </c>
      <c r="O156" t="s">
        <v>376</v>
      </c>
      <c r="P156">
        <v>0</v>
      </c>
      <c r="Q156" t="s">
        <v>69</v>
      </c>
      <c r="R156" t="s">
        <v>51</v>
      </c>
      <c r="S156">
        <v>1891</v>
      </c>
      <c r="T156">
        <v>1961</v>
      </c>
      <c r="U156" t="s">
        <v>805</v>
      </c>
      <c r="V156" t="s">
        <v>806</v>
      </c>
      <c r="W156" s="1">
        <v>22431</v>
      </c>
      <c r="X156" s="2">
        <v>22431</v>
      </c>
      <c r="Y156" t="s">
        <v>807</v>
      </c>
      <c r="Z156">
        <v>0</v>
      </c>
      <c r="AA156">
        <v>3</v>
      </c>
      <c r="AB156">
        <v>6</v>
      </c>
      <c r="AC156">
        <v>3</v>
      </c>
      <c r="AF156">
        <v>1930</v>
      </c>
      <c r="AG156">
        <v>1961</v>
      </c>
      <c r="AH156">
        <v>-5.35100129947251</v>
      </c>
      <c r="AJ156">
        <v>-0.41794039383986997</v>
      </c>
      <c r="AK156">
        <v>146.94999999999999</v>
      </c>
      <c r="AL156">
        <v>3.1590644775754702</v>
      </c>
      <c r="AN156">
        <v>-8.81</v>
      </c>
      <c r="AO156" t="b">
        <v>1</v>
      </c>
      <c r="AP156" t="s">
        <v>45</v>
      </c>
      <c r="AQ156">
        <v>1924</v>
      </c>
      <c r="AR156">
        <v>2016</v>
      </c>
      <c r="AS156" t="s">
        <v>808</v>
      </c>
      <c r="AT156">
        <v>30.787132101300401</v>
      </c>
      <c r="AU156">
        <f t="shared" si="8"/>
        <v>8.4000000000000005E-2</v>
      </c>
    </row>
    <row r="157" spans="1:47" x14ac:dyDescent="0.3">
      <c r="A157">
        <v>155</v>
      </c>
      <c r="B157" t="s">
        <v>809</v>
      </c>
      <c r="C157" t="s">
        <v>810</v>
      </c>
      <c r="D157">
        <v>42</v>
      </c>
      <c r="E157" t="s">
        <v>659</v>
      </c>
      <c r="F157" t="str">
        <f>VLOOKUP(E157,country_continent!A:C,2,FALSE)</f>
        <v>Dominican Republic</v>
      </c>
      <c r="G157" t="str">
        <f>VLOOKUP(E157,country_continent!A:C,3,FALSE)</f>
        <v>North America</v>
      </c>
      <c r="H157" t="s">
        <v>811</v>
      </c>
      <c r="I157" s="1">
        <v>22431</v>
      </c>
      <c r="J157" s="3">
        <f t="shared" si="6"/>
        <v>22431</v>
      </c>
      <c r="K157" s="1">
        <v>22663</v>
      </c>
      <c r="L157" s="3">
        <f t="shared" si="7"/>
        <v>22663</v>
      </c>
      <c r="M157" t="s">
        <v>67</v>
      </c>
      <c r="N157" t="s">
        <v>67</v>
      </c>
      <c r="O157" t="s">
        <v>376</v>
      </c>
      <c r="P157">
        <v>0</v>
      </c>
      <c r="Q157" t="s">
        <v>362</v>
      </c>
      <c r="R157" t="s">
        <v>51</v>
      </c>
      <c r="S157">
        <v>1907</v>
      </c>
      <c r="T157">
        <v>2002</v>
      </c>
      <c r="U157" s="1">
        <v>2801</v>
      </c>
      <c r="V157" s="2">
        <v>2801</v>
      </c>
      <c r="Z157">
        <v>1</v>
      </c>
      <c r="AA157">
        <v>3</v>
      </c>
      <c r="AB157">
        <v>6</v>
      </c>
      <c r="AC157">
        <v>1</v>
      </c>
      <c r="AF157">
        <v>1961</v>
      </c>
      <c r="AG157">
        <v>1962</v>
      </c>
      <c r="AH157">
        <v>4.0536483454116201</v>
      </c>
      <c r="AI157">
        <v>220</v>
      </c>
      <c r="AJ157">
        <v>3.6111242675018098</v>
      </c>
      <c r="AK157">
        <v>145.6</v>
      </c>
      <c r="AL157">
        <v>3.1366457961277701</v>
      </c>
      <c r="AN157">
        <v>-4.5</v>
      </c>
      <c r="AO157" t="b">
        <v>1</v>
      </c>
      <c r="AP157" t="s">
        <v>45</v>
      </c>
      <c r="AQ157">
        <v>1924</v>
      </c>
      <c r="AR157">
        <v>2016</v>
      </c>
      <c r="AS157" t="s">
        <v>812</v>
      </c>
      <c r="AT157">
        <v>0.63518138261464696</v>
      </c>
      <c r="AU157">
        <f t="shared" si="8"/>
        <v>2E-3</v>
      </c>
    </row>
    <row r="158" spans="1:47" x14ac:dyDescent="0.3">
      <c r="A158">
        <v>156</v>
      </c>
      <c r="B158" t="s">
        <v>813</v>
      </c>
      <c r="C158" t="s">
        <v>814</v>
      </c>
      <c r="D158">
        <v>42</v>
      </c>
      <c r="E158" t="s">
        <v>659</v>
      </c>
      <c r="F158" t="str">
        <f>VLOOKUP(E158,country_continent!A:C,2,FALSE)</f>
        <v>Dominican Republic</v>
      </c>
      <c r="G158" t="str">
        <f>VLOOKUP(E158,country_continent!A:C,3,FALSE)</f>
        <v>North America</v>
      </c>
      <c r="H158" t="s">
        <v>815</v>
      </c>
      <c r="I158" s="1">
        <v>22663</v>
      </c>
      <c r="J158" s="3">
        <f t="shared" si="6"/>
        <v>22663</v>
      </c>
      <c r="K158" s="1">
        <v>22665</v>
      </c>
      <c r="L158" s="3">
        <f t="shared" si="7"/>
        <v>22665</v>
      </c>
      <c r="M158" t="s">
        <v>67</v>
      </c>
      <c r="N158" t="s">
        <v>67</v>
      </c>
      <c r="O158" t="s">
        <v>376</v>
      </c>
      <c r="P158">
        <v>0</v>
      </c>
      <c r="Q158" t="s">
        <v>463</v>
      </c>
      <c r="R158" t="s">
        <v>51</v>
      </c>
      <c r="S158">
        <v>1925</v>
      </c>
      <c r="T158">
        <v>-777</v>
      </c>
      <c r="Z158">
        <v>1</v>
      </c>
      <c r="AA158">
        <v>3</v>
      </c>
      <c r="AB158">
        <v>6</v>
      </c>
      <c r="AC158">
        <v>2</v>
      </c>
      <c r="AF158">
        <v>1962</v>
      </c>
      <c r="AG158">
        <v>1962</v>
      </c>
      <c r="AH158">
        <v>13.4582979902957</v>
      </c>
      <c r="AI158">
        <v>220</v>
      </c>
      <c r="AJ158">
        <v>7.6401889288435001</v>
      </c>
      <c r="AK158">
        <v>144.80000000000001</v>
      </c>
      <c r="AL158">
        <v>3.11422711468007</v>
      </c>
      <c r="AN158">
        <v>-3</v>
      </c>
      <c r="AO158" t="b">
        <v>1</v>
      </c>
      <c r="AP158" t="s">
        <v>45</v>
      </c>
      <c r="AQ158">
        <v>1924</v>
      </c>
      <c r="AR158">
        <v>2016</v>
      </c>
      <c r="AS158" t="s">
        <v>816</v>
      </c>
      <c r="AT158">
        <v>5.4757015742641999E-3</v>
      </c>
      <c r="AU158">
        <f t="shared" si="8"/>
        <v>0</v>
      </c>
    </row>
    <row r="159" spans="1:47" x14ac:dyDescent="0.3">
      <c r="A159">
        <v>157</v>
      </c>
      <c r="B159" t="s">
        <v>817</v>
      </c>
      <c r="C159" t="s">
        <v>818</v>
      </c>
      <c r="D159">
        <v>42</v>
      </c>
      <c r="E159" t="s">
        <v>659</v>
      </c>
      <c r="F159" t="str">
        <f>VLOOKUP(E159,country_continent!A:C,2,FALSE)</f>
        <v>Dominican Republic</v>
      </c>
      <c r="G159" t="str">
        <f>VLOOKUP(E159,country_continent!A:C,3,FALSE)</f>
        <v>North America</v>
      </c>
      <c r="H159" t="s">
        <v>819</v>
      </c>
      <c r="I159" s="1">
        <v>22665</v>
      </c>
      <c r="J159" s="3">
        <f t="shared" si="6"/>
        <v>22665</v>
      </c>
      <c r="K159" s="1">
        <v>23069</v>
      </c>
      <c r="L159" s="3">
        <f t="shared" si="7"/>
        <v>23069</v>
      </c>
      <c r="M159" t="s">
        <v>49</v>
      </c>
      <c r="N159" t="s">
        <v>49</v>
      </c>
      <c r="O159" t="s">
        <v>49</v>
      </c>
      <c r="P159">
        <v>0</v>
      </c>
      <c r="Q159" t="s">
        <v>50</v>
      </c>
      <c r="R159" t="s">
        <v>51</v>
      </c>
      <c r="S159">
        <v>1904</v>
      </c>
      <c r="T159">
        <v>1979</v>
      </c>
      <c r="U159" s="1">
        <v>1696</v>
      </c>
      <c r="V159" s="2">
        <v>1696</v>
      </c>
      <c r="Y159" t="s">
        <v>820</v>
      </c>
      <c r="Z159">
        <v>0</v>
      </c>
      <c r="AA159">
        <v>1</v>
      </c>
      <c r="AB159">
        <v>0</v>
      </c>
      <c r="AC159">
        <v>0</v>
      </c>
      <c r="AF159">
        <v>1962</v>
      </c>
      <c r="AG159">
        <v>1963</v>
      </c>
      <c r="AH159">
        <v>8.3726330559909101</v>
      </c>
      <c r="AI159">
        <v>230</v>
      </c>
      <c r="AJ159">
        <v>7.4152960247740598</v>
      </c>
      <c r="AK159">
        <v>143.85</v>
      </c>
      <c r="AL159">
        <v>3.0901649091734198</v>
      </c>
      <c r="AN159">
        <v>-1.5</v>
      </c>
      <c r="AO159" t="b">
        <v>1</v>
      </c>
      <c r="AP159" t="s">
        <v>45</v>
      </c>
      <c r="AQ159">
        <v>1924</v>
      </c>
      <c r="AR159">
        <v>2016</v>
      </c>
      <c r="AS159" t="s">
        <v>821</v>
      </c>
      <c r="AT159">
        <v>1.1060917180013601</v>
      </c>
      <c r="AU159">
        <f t="shared" si="8"/>
        <v>3.0000000000000001E-3</v>
      </c>
    </row>
    <row r="160" spans="1:47" x14ac:dyDescent="0.3">
      <c r="A160">
        <v>158</v>
      </c>
      <c r="B160" t="s">
        <v>822</v>
      </c>
      <c r="C160" t="s">
        <v>823</v>
      </c>
      <c r="D160">
        <v>42</v>
      </c>
      <c r="E160" t="s">
        <v>659</v>
      </c>
      <c r="F160" t="str">
        <f>VLOOKUP(E160,country_continent!A:C,2,FALSE)</f>
        <v>Dominican Republic</v>
      </c>
      <c r="G160" t="str">
        <f>VLOOKUP(E160,country_continent!A:C,3,FALSE)</f>
        <v>North America</v>
      </c>
      <c r="H160" t="s">
        <v>824</v>
      </c>
      <c r="I160" s="1">
        <v>23069</v>
      </c>
      <c r="J160" s="3">
        <f t="shared" si="6"/>
        <v>23069</v>
      </c>
      <c r="K160" s="1">
        <v>23279</v>
      </c>
      <c r="L160" s="3">
        <f t="shared" si="7"/>
        <v>23279</v>
      </c>
      <c r="M160" t="s">
        <v>49</v>
      </c>
      <c r="N160" t="s">
        <v>67</v>
      </c>
      <c r="O160" t="s">
        <v>376</v>
      </c>
      <c r="P160">
        <v>0</v>
      </c>
      <c r="Q160" t="s">
        <v>362</v>
      </c>
      <c r="R160" t="s">
        <v>51</v>
      </c>
      <c r="S160">
        <v>1909</v>
      </c>
      <c r="T160">
        <v>2001</v>
      </c>
      <c r="U160" s="1">
        <v>3469</v>
      </c>
      <c r="V160" s="2">
        <v>3469</v>
      </c>
      <c r="W160" s="1">
        <v>37196</v>
      </c>
      <c r="X160" s="2">
        <v>37196</v>
      </c>
      <c r="Y160" t="s">
        <v>825</v>
      </c>
      <c r="Z160">
        <v>0</v>
      </c>
      <c r="AA160">
        <v>3</v>
      </c>
      <c r="AB160">
        <v>6</v>
      </c>
      <c r="AC160">
        <v>1</v>
      </c>
      <c r="AF160">
        <v>1963</v>
      </c>
      <c r="AG160">
        <v>1963</v>
      </c>
      <c r="AH160">
        <v>3.28696812168607</v>
      </c>
      <c r="AI160">
        <v>240</v>
      </c>
      <c r="AJ160">
        <v>7.1904031207046302</v>
      </c>
      <c r="AK160">
        <v>142.9</v>
      </c>
      <c r="AL160">
        <v>3.0661027036667798</v>
      </c>
      <c r="AN160">
        <v>0</v>
      </c>
      <c r="AO160" t="b">
        <v>1</v>
      </c>
      <c r="AP160" t="s">
        <v>45</v>
      </c>
      <c r="AQ160">
        <v>1924</v>
      </c>
      <c r="AR160">
        <v>2016</v>
      </c>
      <c r="AS160" t="s">
        <v>826</v>
      </c>
      <c r="AT160">
        <v>0.57494866529774102</v>
      </c>
      <c r="AU160">
        <f t="shared" si="8"/>
        <v>2E-3</v>
      </c>
    </row>
    <row r="161" spans="1:47" x14ac:dyDescent="0.3">
      <c r="A161">
        <v>159</v>
      </c>
      <c r="B161" t="s">
        <v>827</v>
      </c>
      <c r="C161" t="s">
        <v>828</v>
      </c>
      <c r="D161">
        <v>42</v>
      </c>
      <c r="E161" t="s">
        <v>659</v>
      </c>
      <c r="F161" t="str">
        <f>VLOOKUP(E161,country_continent!A:C,2,FALSE)</f>
        <v>Dominican Republic</v>
      </c>
      <c r="G161" t="str">
        <f>VLOOKUP(E161,country_continent!A:C,3,FALSE)</f>
        <v>North America</v>
      </c>
      <c r="H161" t="s">
        <v>829</v>
      </c>
      <c r="I161" s="1">
        <v>23280</v>
      </c>
      <c r="J161" s="3">
        <f t="shared" si="6"/>
        <v>23280</v>
      </c>
      <c r="K161" s="1">
        <v>23367</v>
      </c>
      <c r="L161" s="3">
        <f t="shared" si="7"/>
        <v>23367</v>
      </c>
      <c r="M161" t="s">
        <v>67</v>
      </c>
      <c r="N161" t="s">
        <v>49</v>
      </c>
      <c r="O161" t="s">
        <v>49</v>
      </c>
      <c r="P161">
        <v>0</v>
      </c>
      <c r="Q161" t="s">
        <v>50</v>
      </c>
      <c r="R161" t="s">
        <v>51</v>
      </c>
      <c r="S161">
        <v>1903</v>
      </c>
      <c r="T161">
        <v>1986</v>
      </c>
      <c r="U161" s="1">
        <v>1381</v>
      </c>
      <c r="V161" s="2">
        <v>1381</v>
      </c>
      <c r="W161" s="1">
        <v>31573</v>
      </c>
      <c r="X161" s="2">
        <v>31573</v>
      </c>
      <c r="Z161">
        <v>1</v>
      </c>
      <c r="AA161">
        <v>1</v>
      </c>
      <c r="AB161">
        <v>0</v>
      </c>
      <c r="AC161">
        <v>0</v>
      </c>
      <c r="AF161">
        <v>1963</v>
      </c>
      <c r="AG161">
        <v>1963</v>
      </c>
      <c r="AH161">
        <v>3.28696812168607</v>
      </c>
      <c r="AI161">
        <v>240</v>
      </c>
      <c r="AJ161">
        <v>7.1904031207046302</v>
      </c>
      <c r="AK161">
        <v>142.9</v>
      </c>
      <c r="AL161">
        <v>3.0661027036667798</v>
      </c>
      <c r="AN161">
        <v>0</v>
      </c>
      <c r="AO161" t="b">
        <v>1</v>
      </c>
      <c r="AP161" t="s">
        <v>45</v>
      </c>
      <c r="AQ161">
        <v>1924</v>
      </c>
      <c r="AR161">
        <v>2016</v>
      </c>
      <c r="AS161" t="s">
        <v>830</v>
      </c>
      <c r="AT161">
        <v>0.23819301848049201</v>
      </c>
      <c r="AU161">
        <f t="shared" si="8"/>
        <v>1E-3</v>
      </c>
    </row>
    <row r="162" spans="1:47" x14ac:dyDescent="0.3">
      <c r="A162">
        <v>160</v>
      </c>
      <c r="B162" t="s">
        <v>831</v>
      </c>
      <c r="C162" t="s">
        <v>832</v>
      </c>
      <c r="D162">
        <v>42</v>
      </c>
      <c r="E162" t="s">
        <v>659</v>
      </c>
      <c r="F162" t="str">
        <f>VLOOKUP(E162,country_continent!A:C,2,FALSE)</f>
        <v>Dominican Republic</v>
      </c>
      <c r="G162" t="str">
        <f>VLOOKUP(E162,country_continent!A:C,3,FALSE)</f>
        <v>North America</v>
      </c>
      <c r="H162" t="s">
        <v>833</v>
      </c>
      <c r="I162" s="1">
        <v>23367</v>
      </c>
      <c r="J162" s="3">
        <f t="shared" si="6"/>
        <v>23367</v>
      </c>
      <c r="K162" s="1">
        <v>23857</v>
      </c>
      <c r="L162" s="3">
        <f t="shared" si="7"/>
        <v>23857</v>
      </c>
      <c r="M162" t="s">
        <v>67</v>
      </c>
      <c r="N162" t="s">
        <v>67</v>
      </c>
      <c r="O162" t="s">
        <v>376</v>
      </c>
      <c r="P162">
        <v>0</v>
      </c>
      <c r="Q162" t="s">
        <v>50</v>
      </c>
      <c r="R162" t="s">
        <v>51</v>
      </c>
      <c r="S162">
        <v>1923</v>
      </c>
      <c r="T162">
        <v>2006</v>
      </c>
      <c r="U162" s="1">
        <v>8561</v>
      </c>
      <c r="V162" s="2">
        <v>8561</v>
      </c>
      <c r="Z162">
        <v>1</v>
      </c>
      <c r="AA162">
        <v>3</v>
      </c>
      <c r="AB162">
        <v>6</v>
      </c>
      <c r="AC162">
        <v>0</v>
      </c>
      <c r="AF162">
        <v>1963</v>
      </c>
      <c r="AG162">
        <v>1965</v>
      </c>
      <c r="AH162">
        <v>-2.7166404764680099</v>
      </c>
      <c r="AI162">
        <v>250</v>
      </c>
      <c r="AJ162">
        <v>2.7465998978202499</v>
      </c>
      <c r="AK162">
        <v>140.5</v>
      </c>
      <c r="AL162">
        <v>3.0114356933654198</v>
      </c>
      <c r="AN162">
        <v>0</v>
      </c>
      <c r="AO162" t="b">
        <v>1</v>
      </c>
      <c r="AP162" t="s">
        <v>45</v>
      </c>
      <c r="AQ162">
        <v>1924</v>
      </c>
      <c r="AR162">
        <v>2016</v>
      </c>
      <c r="AS162" t="s">
        <v>834</v>
      </c>
      <c r="AT162">
        <v>1.3415468856947199</v>
      </c>
      <c r="AU162">
        <f t="shared" si="8"/>
        <v>4.0000000000000001E-3</v>
      </c>
    </row>
    <row r="163" spans="1:47" x14ac:dyDescent="0.3">
      <c r="A163">
        <v>161</v>
      </c>
      <c r="B163" t="s">
        <v>835</v>
      </c>
      <c r="C163" t="s">
        <v>836</v>
      </c>
      <c r="D163">
        <v>42</v>
      </c>
      <c r="E163" t="s">
        <v>659</v>
      </c>
      <c r="F163" t="str">
        <f>VLOOKUP(E163,country_continent!A:C,2,FALSE)</f>
        <v>Dominican Republic</v>
      </c>
      <c r="G163" t="str">
        <f>VLOOKUP(E163,country_continent!A:C,3,FALSE)</f>
        <v>North America</v>
      </c>
      <c r="H163" t="s">
        <v>837</v>
      </c>
      <c r="I163" s="1">
        <v>23857</v>
      </c>
      <c r="J163" s="3">
        <f t="shared" si="6"/>
        <v>23857</v>
      </c>
      <c r="K163" s="1">
        <v>23859</v>
      </c>
      <c r="L163" s="3">
        <f t="shared" si="7"/>
        <v>23859</v>
      </c>
      <c r="M163" t="s">
        <v>67</v>
      </c>
      <c r="N163" t="s">
        <v>67</v>
      </c>
      <c r="O163" t="s">
        <v>376</v>
      </c>
      <c r="P163">
        <v>0</v>
      </c>
      <c r="Q163" t="s">
        <v>362</v>
      </c>
      <c r="R163" t="s">
        <v>51</v>
      </c>
      <c r="S163">
        <v>1921</v>
      </c>
      <c r="T163">
        <v>2000</v>
      </c>
      <c r="Z163">
        <v>1</v>
      </c>
      <c r="AA163">
        <v>3</v>
      </c>
      <c r="AB163">
        <v>6</v>
      </c>
      <c r="AC163">
        <v>1</v>
      </c>
      <c r="AF163">
        <v>1965</v>
      </c>
      <c r="AG163">
        <v>1965</v>
      </c>
      <c r="AH163">
        <v>-15.018575703442201</v>
      </c>
      <c r="AI163">
        <v>240</v>
      </c>
      <c r="AJ163">
        <v>-1.0568593396142301</v>
      </c>
      <c r="AK163">
        <v>138</v>
      </c>
      <c r="AL163">
        <v>2.9413689281947599</v>
      </c>
      <c r="AN163">
        <v>0</v>
      </c>
      <c r="AO163" t="b">
        <v>1</v>
      </c>
      <c r="AP163" t="s">
        <v>45</v>
      </c>
      <c r="AQ163">
        <v>1924</v>
      </c>
      <c r="AR163">
        <v>2016</v>
      </c>
      <c r="AS163" t="s">
        <v>816</v>
      </c>
      <c r="AT163">
        <v>5.4757015742641999E-3</v>
      </c>
      <c r="AU163">
        <f t="shared" si="8"/>
        <v>0</v>
      </c>
    </row>
    <row r="164" spans="1:47" x14ac:dyDescent="0.3">
      <c r="A164">
        <v>162</v>
      </c>
      <c r="B164" t="s">
        <v>838</v>
      </c>
      <c r="C164" t="s">
        <v>839</v>
      </c>
      <c r="D164">
        <v>42</v>
      </c>
      <c r="E164" t="s">
        <v>659</v>
      </c>
      <c r="F164" t="str">
        <f>VLOOKUP(E164,country_continent!A:C,2,FALSE)</f>
        <v>Dominican Republic</v>
      </c>
      <c r="G164" t="str">
        <f>VLOOKUP(E164,country_continent!A:C,3,FALSE)</f>
        <v>North America</v>
      </c>
      <c r="H164" t="s">
        <v>840</v>
      </c>
      <c r="I164" s="1">
        <v>23859</v>
      </c>
      <c r="J164" s="3">
        <f t="shared" si="6"/>
        <v>23859</v>
      </c>
      <c r="K164" s="1">
        <v>23869</v>
      </c>
      <c r="L164" s="3">
        <f t="shared" si="7"/>
        <v>23869</v>
      </c>
      <c r="M164" t="s">
        <v>67</v>
      </c>
      <c r="N164" t="s">
        <v>49</v>
      </c>
      <c r="O164" t="s">
        <v>49</v>
      </c>
      <c r="P164">
        <v>0</v>
      </c>
      <c r="Q164" t="s">
        <v>50</v>
      </c>
      <c r="R164" t="s">
        <v>51</v>
      </c>
      <c r="S164">
        <v>1921</v>
      </c>
      <c r="T164">
        <v>-777</v>
      </c>
      <c r="Z164">
        <v>1</v>
      </c>
      <c r="AA164">
        <v>1</v>
      </c>
      <c r="AB164">
        <v>0</v>
      </c>
      <c r="AC164">
        <v>0</v>
      </c>
      <c r="AF164">
        <v>1965</v>
      </c>
      <c r="AG164">
        <v>1965</v>
      </c>
      <c r="AH164">
        <v>-15.018575703442201</v>
      </c>
      <c r="AI164">
        <v>240</v>
      </c>
      <c r="AJ164">
        <v>-1.0568593396142301</v>
      </c>
      <c r="AK164">
        <v>138</v>
      </c>
      <c r="AL164">
        <v>2.9413689281947599</v>
      </c>
      <c r="AN164">
        <v>0</v>
      </c>
      <c r="AO164" t="b">
        <v>1</v>
      </c>
      <c r="AP164" t="s">
        <v>45</v>
      </c>
      <c r="AQ164">
        <v>1924</v>
      </c>
      <c r="AR164">
        <v>2016</v>
      </c>
      <c r="AS164" t="s">
        <v>841</v>
      </c>
      <c r="AT164">
        <v>2.7378507871321001E-2</v>
      </c>
      <c r="AU164">
        <f t="shared" si="8"/>
        <v>0</v>
      </c>
    </row>
    <row r="165" spans="1:47" x14ac:dyDescent="0.3">
      <c r="A165">
        <v>163</v>
      </c>
      <c r="B165" t="s">
        <v>842</v>
      </c>
      <c r="C165" t="s">
        <v>843</v>
      </c>
      <c r="D165">
        <v>42</v>
      </c>
      <c r="E165" t="s">
        <v>659</v>
      </c>
      <c r="F165" t="str">
        <f>VLOOKUP(E165,country_continent!A:C,2,FALSE)</f>
        <v>Dominican Republic</v>
      </c>
      <c r="G165" t="str">
        <f>VLOOKUP(E165,country_continent!A:C,3,FALSE)</f>
        <v>North America</v>
      </c>
      <c r="H165" t="s">
        <v>844</v>
      </c>
      <c r="I165" s="1">
        <v>23869</v>
      </c>
      <c r="J165" s="3">
        <f t="shared" si="6"/>
        <v>23869</v>
      </c>
      <c r="K165" s="1">
        <v>23984</v>
      </c>
      <c r="L165" s="3">
        <f t="shared" si="7"/>
        <v>23984</v>
      </c>
      <c r="M165" t="s">
        <v>67</v>
      </c>
      <c r="N165" t="s">
        <v>49</v>
      </c>
      <c r="O165" t="s">
        <v>49</v>
      </c>
      <c r="P165">
        <v>0</v>
      </c>
      <c r="Q165" t="s">
        <v>50</v>
      </c>
      <c r="R165" t="s">
        <v>51</v>
      </c>
      <c r="S165">
        <v>1920</v>
      </c>
      <c r="T165">
        <v>-999</v>
      </c>
      <c r="U165" s="1">
        <v>7643</v>
      </c>
      <c r="V165" s="2">
        <v>7643</v>
      </c>
      <c r="Z165">
        <v>1</v>
      </c>
      <c r="AA165">
        <v>1</v>
      </c>
      <c r="AB165">
        <v>0</v>
      </c>
      <c r="AC165">
        <v>0</v>
      </c>
      <c r="AF165">
        <v>1965</v>
      </c>
      <c r="AG165">
        <v>1965</v>
      </c>
      <c r="AH165">
        <v>-15.018575703442201</v>
      </c>
      <c r="AI165">
        <v>240</v>
      </c>
      <c r="AJ165">
        <v>-1.0568593396142301</v>
      </c>
      <c r="AK165">
        <v>138</v>
      </c>
      <c r="AL165">
        <v>2.9413689281947599</v>
      </c>
      <c r="AN165">
        <v>0</v>
      </c>
      <c r="AO165" t="b">
        <v>1</v>
      </c>
      <c r="AP165" t="s">
        <v>45</v>
      </c>
      <c r="AQ165">
        <v>1924</v>
      </c>
      <c r="AR165">
        <v>2016</v>
      </c>
      <c r="AS165" t="s">
        <v>845</v>
      </c>
      <c r="AT165">
        <v>0.31485284052019102</v>
      </c>
      <c r="AU165">
        <f t="shared" si="8"/>
        <v>1E-3</v>
      </c>
    </row>
    <row r="166" spans="1:47" x14ac:dyDescent="0.3">
      <c r="A166">
        <v>164</v>
      </c>
      <c r="B166" t="s">
        <v>846</v>
      </c>
      <c r="C166" t="s">
        <v>847</v>
      </c>
      <c r="D166">
        <v>42</v>
      </c>
      <c r="E166" t="s">
        <v>659</v>
      </c>
      <c r="F166" t="str">
        <f>VLOOKUP(E166,country_continent!A:C,2,FALSE)</f>
        <v>Dominican Republic</v>
      </c>
      <c r="G166" t="str">
        <f>VLOOKUP(E166,country_continent!A:C,3,FALSE)</f>
        <v>North America</v>
      </c>
      <c r="H166" t="s">
        <v>848</v>
      </c>
      <c r="I166" s="1">
        <v>23988</v>
      </c>
      <c r="J166" s="3">
        <f t="shared" si="6"/>
        <v>23988</v>
      </c>
      <c r="K166" s="1">
        <v>24289</v>
      </c>
      <c r="L166" s="3">
        <f t="shared" si="7"/>
        <v>24289</v>
      </c>
      <c r="M166" t="s">
        <v>49</v>
      </c>
      <c r="N166" t="s">
        <v>49</v>
      </c>
      <c r="O166" t="s">
        <v>49</v>
      </c>
      <c r="P166">
        <v>0</v>
      </c>
      <c r="Q166" t="s">
        <v>50</v>
      </c>
      <c r="R166" t="s">
        <v>51</v>
      </c>
      <c r="S166">
        <v>1921</v>
      </c>
      <c r="T166">
        <v>1970</v>
      </c>
      <c r="U166" s="1">
        <v>7863</v>
      </c>
      <c r="V166" s="2">
        <v>7863</v>
      </c>
      <c r="Z166">
        <v>0</v>
      </c>
      <c r="AA166">
        <v>1</v>
      </c>
      <c r="AB166">
        <v>0</v>
      </c>
      <c r="AC166">
        <v>0</v>
      </c>
      <c r="AF166">
        <v>1965</v>
      </c>
      <c r="AG166">
        <v>1966</v>
      </c>
      <c r="AH166">
        <v>-2.4105445397605498</v>
      </c>
      <c r="AI166">
        <v>250</v>
      </c>
      <c r="AJ166">
        <v>-1.70778468916599</v>
      </c>
      <c r="AK166">
        <v>136.65</v>
      </c>
      <c r="AL166">
        <v>2.9309715986353799</v>
      </c>
      <c r="AN166">
        <v>-1.5</v>
      </c>
      <c r="AO166" t="b">
        <v>1</v>
      </c>
      <c r="AP166" t="s">
        <v>45</v>
      </c>
      <c r="AQ166">
        <v>1924</v>
      </c>
      <c r="AR166">
        <v>2016</v>
      </c>
      <c r="AS166" t="s">
        <v>849</v>
      </c>
      <c r="AT166">
        <v>0.82409308692676198</v>
      </c>
      <c r="AU166">
        <f t="shared" si="8"/>
        <v>2E-3</v>
      </c>
    </row>
    <row r="167" spans="1:47" x14ac:dyDescent="0.3">
      <c r="A167">
        <v>165</v>
      </c>
      <c r="B167" t="s">
        <v>850</v>
      </c>
      <c r="C167" t="s">
        <v>810</v>
      </c>
      <c r="D167">
        <v>42</v>
      </c>
      <c r="E167" t="s">
        <v>659</v>
      </c>
      <c r="F167" t="str">
        <f>VLOOKUP(E167,country_continent!A:C,2,FALSE)</f>
        <v>Dominican Republic</v>
      </c>
      <c r="G167" t="str">
        <f>VLOOKUP(E167,country_continent!A:C,3,FALSE)</f>
        <v>North America</v>
      </c>
      <c r="H167" t="s">
        <v>811</v>
      </c>
      <c r="I167" s="1">
        <v>24289</v>
      </c>
      <c r="J167" s="3">
        <f t="shared" si="6"/>
        <v>24289</v>
      </c>
      <c r="K167" s="1">
        <v>28672</v>
      </c>
      <c r="L167" s="3">
        <f t="shared" si="7"/>
        <v>28672</v>
      </c>
      <c r="M167" t="s">
        <v>49</v>
      </c>
      <c r="N167" t="s">
        <v>49</v>
      </c>
      <c r="O167" t="s">
        <v>49</v>
      </c>
      <c r="P167">
        <v>1</v>
      </c>
      <c r="Q167" t="s">
        <v>50</v>
      </c>
      <c r="R167" t="s">
        <v>51</v>
      </c>
      <c r="S167">
        <v>1907</v>
      </c>
      <c r="T167">
        <v>2002</v>
      </c>
      <c r="U167" s="1">
        <v>2801</v>
      </c>
      <c r="V167" s="2">
        <v>2801</v>
      </c>
      <c r="Z167">
        <v>0</v>
      </c>
      <c r="AA167">
        <v>1</v>
      </c>
      <c r="AB167">
        <v>0</v>
      </c>
      <c r="AC167">
        <v>0</v>
      </c>
      <c r="AF167">
        <v>1966</v>
      </c>
      <c r="AG167">
        <v>1978</v>
      </c>
      <c r="AH167">
        <v>5.1611542099391601</v>
      </c>
      <c r="AI167">
        <v>511.53846153846098</v>
      </c>
      <c r="AJ167">
        <v>5.4821512684142002</v>
      </c>
      <c r="AK167">
        <v>115.56153846153801</v>
      </c>
      <c r="AL167">
        <v>2.7584915119448099</v>
      </c>
      <c r="AM167">
        <v>1.7419653867140299</v>
      </c>
      <c r="AN167">
        <v>-2.38</v>
      </c>
      <c r="AO167" t="b">
        <v>1</v>
      </c>
      <c r="AP167" t="s">
        <v>45</v>
      </c>
      <c r="AQ167">
        <v>1924</v>
      </c>
      <c r="AR167">
        <v>2016</v>
      </c>
      <c r="AS167" t="s">
        <v>851</v>
      </c>
      <c r="AT167">
        <v>12</v>
      </c>
      <c r="AU167">
        <f t="shared" si="8"/>
        <v>3.3000000000000002E-2</v>
      </c>
    </row>
    <row r="168" spans="1:47" x14ac:dyDescent="0.3">
      <c r="A168">
        <v>166</v>
      </c>
      <c r="B168" t="s">
        <v>852</v>
      </c>
      <c r="C168" t="s">
        <v>853</v>
      </c>
      <c r="D168">
        <v>42</v>
      </c>
      <c r="E168" t="s">
        <v>659</v>
      </c>
      <c r="F168" t="str">
        <f>VLOOKUP(E168,country_continent!A:C,2,FALSE)</f>
        <v>Dominican Republic</v>
      </c>
      <c r="G168" t="str">
        <f>VLOOKUP(E168,country_continent!A:C,3,FALSE)</f>
        <v>North America</v>
      </c>
      <c r="H168" t="s">
        <v>854</v>
      </c>
      <c r="I168" s="1">
        <v>28672</v>
      </c>
      <c r="J168" s="3">
        <f t="shared" si="6"/>
        <v>28672</v>
      </c>
      <c r="K168" s="1">
        <v>30136</v>
      </c>
      <c r="L168" s="3">
        <f t="shared" si="7"/>
        <v>30136</v>
      </c>
      <c r="M168" t="s">
        <v>49</v>
      </c>
      <c r="N168" t="s">
        <v>855</v>
      </c>
      <c r="O168" t="s">
        <v>49</v>
      </c>
      <c r="P168">
        <v>0</v>
      </c>
      <c r="Q168" t="s">
        <v>111</v>
      </c>
      <c r="R168" t="s">
        <v>51</v>
      </c>
      <c r="S168">
        <v>1911</v>
      </c>
      <c r="T168">
        <v>1982</v>
      </c>
      <c r="U168" s="1">
        <v>4061</v>
      </c>
      <c r="V168" s="2">
        <v>4061</v>
      </c>
      <c r="Y168" t="s">
        <v>856</v>
      </c>
      <c r="Z168">
        <v>0</v>
      </c>
      <c r="AA168">
        <v>2.2000000000000002</v>
      </c>
      <c r="AB168">
        <v>0</v>
      </c>
      <c r="AC168">
        <v>-777</v>
      </c>
      <c r="AF168">
        <v>1978</v>
      </c>
      <c r="AG168">
        <v>1982</v>
      </c>
      <c r="AH168">
        <v>1.6070279036144599</v>
      </c>
      <c r="AI168">
        <v>1140</v>
      </c>
      <c r="AJ168">
        <v>8.1594983815673192</v>
      </c>
      <c r="AK168">
        <v>86.9</v>
      </c>
      <c r="AL168">
        <v>2.4465615242861301</v>
      </c>
      <c r="AM168">
        <v>1.80101592052338</v>
      </c>
      <c r="AN168">
        <v>5</v>
      </c>
      <c r="AO168" t="b">
        <v>1</v>
      </c>
      <c r="AP168" t="s">
        <v>45</v>
      </c>
      <c r="AQ168">
        <v>1924</v>
      </c>
      <c r="AR168">
        <v>2016</v>
      </c>
      <c r="AS168" t="s">
        <v>857</v>
      </c>
      <c r="AT168">
        <v>4.00821355236139</v>
      </c>
      <c r="AU168">
        <f t="shared" si="8"/>
        <v>1.0999999999999999E-2</v>
      </c>
    </row>
    <row r="169" spans="1:47" x14ac:dyDescent="0.3">
      <c r="A169">
        <v>167</v>
      </c>
      <c r="B169" t="s">
        <v>858</v>
      </c>
      <c r="C169" t="s">
        <v>859</v>
      </c>
      <c r="D169">
        <v>42</v>
      </c>
      <c r="E169" t="s">
        <v>659</v>
      </c>
      <c r="F169" t="str">
        <f>VLOOKUP(E169,country_continent!A:C,2,FALSE)</f>
        <v>Dominican Republic</v>
      </c>
      <c r="G169" t="str">
        <f>VLOOKUP(E169,country_continent!A:C,3,FALSE)</f>
        <v>North America</v>
      </c>
      <c r="H169" t="s">
        <v>860</v>
      </c>
      <c r="I169" s="1">
        <v>30136</v>
      </c>
      <c r="J169" s="3">
        <f t="shared" si="6"/>
        <v>30136</v>
      </c>
      <c r="K169" s="1">
        <v>30179</v>
      </c>
      <c r="L169" s="3">
        <f t="shared" si="7"/>
        <v>30179</v>
      </c>
      <c r="M169" t="s">
        <v>49</v>
      </c>
      <c r="N169" t="s">
        <v>49</v>
      </c>
      <c r="O169" t="s">
        <v>49</v>
      </c>
      <c r="P169">
        <v>0</v>
      </c>
      <c r="Q169" t="s">
        <v>50</v>
      </c>
      <c r="R169" t="s">
        <v>51</v>
      </c>
      <c r="S169">
        <v>1934</v>
      </c>
      <c r="T169">
        <v>1996</v>
      </c>
      <c r="Y169" t="s">
        <v>861</v>
      </c>
      <c r="Z169">
        <v>0</v>
      </c>
      <c r="AA169">
        <v>1</v>
      </c>
      <c r="AB169">
        <v>0</v>
      </c>
      <c r="AC169">
        <v>0</v>
      </c>
      <c r="AF169">
        <v>1982</v>
      </c>
      <c r="AG169">
        <v>1982</v>
      </c>
      <c r="AH169">
        <v>-0.648782133718242</v>
      </c>
      <c r="AI169">
        <v>1300</v>
      </c>
      <c r="AJ169">
        <v>7.5120252384534796</v>
      </c>
      <c r="AK169">
        <v>80.5</v>
      </c>
      <c r="AL169">
        <v>2.3353377882008299</v>
      </c>
      <c r="AM169">
        <v>0.92506950288145795</v>
      </c>
      <c r="AN169">
        <v>5</v>
      </c>
      <c r="AO169" t="b">
        <v>1</v>
      </c>
      <c r="AP169" t="s">
        <v>45</v>
      </c>
      <c r="AQ169">
        <v>1924</v>
      </c>
      <c r="AR169">
        <v>2016</v>
      </c>
      <c r="AS169" t="s">
        <v>862</v>
      </c>
      <c r="AT169">
        <v>0.11772758384668</v>
      </c>
      <c r="AU169">
        <f t="shared" si="8"/>
        <v>0</v>
      </c>
    </row>
    <row r="170" spans="1:47" x14ac:dyDescent="0.3">
      <c r="A170">
        <v>168</v>
      </c>
      <c r="B170" t="s">
        <v>863</v>
      </c>
      <c r="C170" t="s">
        <v>864</v>
      </c>
      <c r="D170">
        <v>42</v>
      </c>
      <c r="E170" t="s">
        <v>659</v>
      </c>
      <c r="F170" t="str">
        <f>VLOOKUP(E170,country_continent!A:C,2,FALSE)</f>
        <v>Dominican Republic</v>
      </c>
      <c r="G170" t="str">
        <f>VLOOKUP(E170,country_continent!A:C,3,FALSE)</f>
        <v>North America</v>
      </c>
      <c r="H170" t="s">
        <v>865</v>
      </c>
      <c r="I170" s="1">
        <v>30179</v>
      </c>
      <c r="J170" s="3">
        <f t="shared" si="6"/>
        <v>30179</v>
      </c>
      <c r="K170" s="1">
        <v>31640</v>
      </c>
      <c r="L170" s="3">
        <f t="shared" si="7"/>
        <v>31640</v>
      </c>
      <c r="M170" t="s">
        <v>49</v>
      </c>
      <c r="N170" t="s">
        <v>49</v>
      </c>
      <c r="O170" t="s">
        <v>49</v>
      </c>
      <c r="P170">
        <v>0</v>
      </c>
      <c r="Q170" t="s">
        <v>50</v>
      </c>
      <c r="R170" t="s">
        <v>51</v>
      </c>
      <c r="S170">
        <v>1926</v>
      </c>
      <c r="T170">
        <v>2010</v>
      </c>
      <c r="U170" s="1">
        <v>9683</v>
      </c>
      <c r="V170" s="2">
        <v>9683</v>
      </c>
      <c r="Y170" t="s">
        <v>866</v>
      </c>
      <c r="Z170">
        <v>0</v>
      </c>
      <c r="AA170">
        <v>1</v>
      </c>
      <c r="AB170">
        <v>0</v>
      </c>
      <c r="AC170">
        <v>0</v>
      </c>
      <c r="AF170">
        <v>1982</v>
      </c>
      <c r="AG170">
        <v>1986</v>
      </c>
      <c r="AH170">
        <v>-0.48127119592127998</v>
      </c>
      <c r="AI170">
        <v>1250</v>
      </c>
      <c r="AJ170">
        <v>17.209454834837</v>
      </c>
      <c r="AK170">
        <v>74.88</v>
      </c>
      <c r="AL170">
        <v>2.2621325197592501</v>
      </c>
      <c r="AM170">
        <v>0.94675761387133905</v>
      </c>
      <c r="AN170">
        <v>5</v>
      </c>
      <c r="AO170" t="b">
        <v>1</v>
      </c>
      <c r="AP170" t="s">
        <v>45</v>
      </c>
      <c r="AQ170">
        <v>1924</v>
      </c>
      <c r="AR170">
        <v>2016</v>
      </c>
      <c r="AS170" t="s">
        <v>867</v>
      </c>
      <c r="AT170">
        <v>4</v>
      </c>
      <c r="AU170">
        <f t="shared" si="8"/>
        <v>1.0999999999999999E-2</v>
      </c>
    </row>
    <row r="171" spans="1:47" x14ac:dyDescent="0.3">
      <c r="A171">
        <v>169</v>
      </c>
      <c r="B171" t="s">
        <v>868</v>
      </c>
      <c r="C171" t="s">
        <v>810</v>
      </c>
      <c r="D171">
        <v>42</v>
      </c>
      <c r="E171" t="s">
        <v>659</v>
      </c>
      <c r="F171" t="str">
        <f>VLOOKUP(E171,country_continent!A:C,2,FALSE)</f>
        <v>Dominican Republic</v>
      </c>
      <c r="G171" t="str">
        <f>VLOOKUP(E171,country_continent!A:C,3,FALSE)</f>
        <v>North America</v>
      </c>
      <c r="H171" t="s">
        <v>811</v>
      </c>
      <c r="I171" s="1">
        <v>31640</v>
      </c>
      <c r="J171" s="3">
        <f t="shared" si="6"/>
        <v>31640</v>
      </c>
      <c r="K171" s="1">
        <v>35293</v>
      </c>
      <c r="L171" s="3">
        <f t="shared" si="7"/>
        <v>35293</v>
      </c>
      <c r="M171" t="s">
        <v>49</v>
      </c>
      <c r="N171" t="s">
        <v>49</v>
      </c>
      <c r="O171" t="s">
        <v>49</v>
      </c>
      <c r="P171">
        <v>2</v>
      </c>
      <c r="Q171" t="s">
        <v>50</v>
      </c>
      <c r="R171" t="s">
        <v>51</v>
      </c>
      <c r="S171">
        <v>1907</v>
      </c>
      <c r="T171">
        <v>2002</v>
      </c>
      <c r="U171" s="1">
        <v>2801</v>
      </c>
      <c r="V171" s="2">
        <v>2801</v>
      </c>
      <c r="Z171">
        <v>0</v>
      </c>
      <c r="AA171">
        <v>1</v>
      </c>
      <c r="AB171">
        <v>0</v>
      </c>
      <c r="AC171">
        <v>0</v>
      </c>
      <c r="AF171">
        <v>1986</v>
      </c>
      <c r="AG171">
        <v>1996</v>
      </c>
      <c r="AH171">
        <v>2.3235469085733098</v>
      </c>
      <c r="AI171">
        <v>1318.1818181818101</v>
      </c>
      <c r="AJ171">
        <v>25.306914486428699</v>
      </c>
      <c r="AK171">
        <v>57.227272727272698</v>
      </c>
      <c r="AL171">
        <v>2.02279540707673</v>
      </c>
      <c r="AM171">
        <v>1.73613425476696</v>
      </c>
      <c r="AN171">
        <v>5.27</v>
      </c>
      <c r="AO171" t="b">
        <v>1</v>
      </c>
      <c r="AP171" t="s">
        <v>45</v>
      </c>
      <c r="AQ171">
        <v>1924</v>
      </c>
      <c r="AR171">
        <v>2016</v>
      </c>
      <c r="AS171" t="s">
        <v>869</v>
      </c>
      <c r="AT171">
        <v>10.0013689253935</v>
      </c>
      <c r="AU171">
        <f t="shared" si="8"/>
        <v>2.7E-2</v>
      </c>
    </row>
    <row r="172" spans="1:47" x14ac:dyDescent="0.3">
      <c r="A172">
        <v>170</v>
      </c>
      <c r="B172" t="s">
        <v>870</v>
      </c>
      <c r="C172" t="s">
        <v>871</v>
      </c>
      <c r="D172">
        <v>42</v>
      </c>
      <c r="E172" t="s">
        <v>659</v>
      </c>
      <c r="F172" t="str">
        <f>VLOOKUP(E172,country_continent!A:C,2,FALSE)</f>
        <v>Dominican Republic</v>
      </c>
      <c r="G172" t="str">
        <f>VLOOKUP(E172,country_continent!A:C,3,FALSE)</f>
        <v>North America</v>
      </c>
      <c r="H172" t="s">
        <v>872</v>
      </c>
      <c r="I172" s="1">
        <v>35293</v>
      </c>
      <c r="J172" s="3">
        <f t="shared" si="6"/>
        <v>35293</v>
      </c>
      <c r="K172" s="1">
        <v>36754</v>
      </c>
      <c r="L172" s="3">
        <f t="shared" si="7"/>
        <v>36754</v>
      </c>
      <c r="M172" t="s">
        <v>49</v>
      </c>
      <c r="N172" t="s">
        <v>49</v>
      </c>
      <c r="O172" t="s">
        <v>49</v>
      </c>
      <c r="P172">
        <v>0</v>
      </c>
      <c r="Q172" t="s">
        <v>50</v>
      </c>
      <c r="R172" t="s">
        <v>51</v>
      </c>
      <c r="S172">
        <v>1953</v>
      </c>
      <c r="T172">
        <v>-777</v>
      </c>
      <c r="U172" s="1">
        <v>19719</v>
      </c>
      <c r="V172" s="2">
        <v>19719</v>
      </c>
      <c r="Z172">
        <v>0</v>
      </c>
      <c r="AA172">
        <v>1</v>
      </c>
      <c r="AB172">
        <v>0</v>
      </c>
      <c r="AC172">
        <v>0</v>
      </c>
      <c r="AF172">
        <v>1996</v>
      </c>
      <c r="AG172">
        <v>2000</v>
      </c>
      <c r="AH172">
        <v>4.64958033188696</v>
      </c>
      <c r="AI172">
        <v>2414</v>
      </c>
      <c r="AJ172">
        <v>6.1344722053321199</v>
      </c>
      <c r="AK172">
        <v>42.6</v>
      </c>
      <c r="AL172">
        <v>1.69129885970085</v>
      </c>
      <c r="AM172">
        <v>0.35726067917182802</v>
      </c>
      <c r="AN172">
        <v>8</v>
      </c>
      <c r="AO172" t="b">
        <v>1</v>
      </c>
      <c r="AP172" t="s">
        <v>45</v>
      </c>
      <c r="AQ172">
        <v>1924</v>
      </c>
      <c r="AR172">
        <v>2016</v>
      </c>
      <c r="AS172" t="s">
        <v>867</v>
      </c>
      <c r="AT172">
        <v>4</v>
      </c>
      <c r="AU172">
        <f t="shared" si="8"/>
        <v>1.0999999999999999E-2</v>
      </c>
    </row>
    <row r="173" spans="1:47" x14ac:dyDescent="0.3">
      <c r="A173">
        <v>171</v>
      </c>
      <c r="B173" t="s">
        <v>873</v>
      </c>
      <c r="C173" t="s">
        <v>874</v>
      </c>
      <c r="D173">
        <v>42</v>
      </c>
      <c r="E173" t="s">
        <v>659</v>
      </c>
      <c r="F173" t="str">
        <f>VLOOKUP(E173,country_continent!A:C,2,FALSE)</f>
        <v>Dominican Republic</v>
      </c>
      <c r="G173" t="str">
        <f>VLOOKUP(E173,country_continent!A:C,3,FALSE)</f>
        <v>North America</v>
      </c>
      <c r="H173" t="s">
        <v>875</v>
      </c>
      <c r="I173" s="1">
        <v>36755</v>
      </c>
      <c r="J173" s="3">
        <f t="shared" si="6"/>
        <v>36755</v>
      </c>
      <c r="K173" s="1">
        <v>38215</v>
      </c>
      <c r="L173" s="3">
        <f t="shared" si="7"/>
        <v>38215</v>
      </c>
      <c r="M173" t="s">
        <v>49</v>
      </c>
      <c r="N173" t="s">
        <v>49</v>
      </c>
      <c r="O173" t="s">
        <v>49</v>
      </c>
      <c r="P173">
        <v>0</v>
      </c>
      <c r="Q173" t="s">
        <v>50</v>
      </c>
      <c r="R173" t="s">
        <v>51</v>
      </c>
      <c r="S173">
        <v>1941</v>
      </c>
      <c r="T173">
        <v>-777</v>
      </c>
      <c r="U173" s="1">
        <v>15029</v>
      </c>
      <c r="V173" s="2">
        <v>15029</v>
      </c>
      <c r="Y173" t="s">
        <v>876</v>
      </c>
      <c r="Z173">
        <v>0</v>
      </c>
      <c r="AA173">
        <v>1</v>
      </c>
      <c r="AB173">
        <v>0</v>
      </c>
      <c r="AC173">
        <v>0</v>
      </c>
      <c r="AF173">
        <v>2000</v>
      </c>
      <c r="AG173">
        <v>2004</v>
      </c>
      <c r="AH173">
        <v>1.0388998393069</v>
      </c>
      <c r="AI173">
        <v>2664</v>
      </c>
      <c r="AJ173">
        <v>19.757801512041102</v>
      </c>
      <c r="AK173">
        <v>38.119999999999898</v>
      </c>
      <c r="AL173">
        <v>1.50188536487652</v>
      </c>
      <c r="AM173">
        <v>0.42944522429526999</v>
      </c>
      <c r="AN173">
        <v>8</v>
      </c>
      <c r="AO173" t="b">
        <v>1</v>
      </c>
      <c r="AP173" t="s">
        <v>45</v>
      </c>
      <c r="AQ173">
        <v>1924</v>
      </c>
      <c r="AR173">
        <v>2016</v>
      </c>
      <c r="AS173" t="s">
        <v>877</v>
      </c>
      <c r="AT173">
        <v>3.9972621492128599</v>
      </c>
      <c r="AU173">
        <f t="shared" si="8"/>
        <v>1.0999999999999999E-2</v>
      </c>
    </row>
    <row r="174" spans="1:47" x14ac:dyDescent="0.3">
      <c r="A174">
        <v>172</v>
      </c>
      <c r="B174" t="s">
        <v>878</v>
      </c>
      <c r="C174" t="s">
        <v>871</v>
      </c>
      <c r="D174">
        <v>42</v>
      </c>
      <c r="E174" t="s">
        <v>659</v>
      </c>
      <c r="F174" t="str">
        <f>VLOOKUP(E174,country_continent!A:C,2,FALSE)</f>
        <v>Dominican Republic</v>
      </c>
      <c r="G174" t="str">
        <f>VLOOKUP(E174,country_continent!A:C,3,FALSE)</f>
        <v>North America</v>
      </c>
      <c r="H174" t="s">
        <v>872</v>
      </c>
      <c r="I174" s="1">
        <v>38215</v>
      </c>
      <c r="J174" s="3">
        <f t="shared" si="6"/>
        <v>38215</v>
      </c>
      <c r="K174" s="1">
        <v>41137</v>
      </c>
      <c r="L174" s="3">
        <f t="shared" si="7"/>
        <v>41137</v>
      </c>
      <c r="M174" t="s">
        <v>49</v>
      </c>
      <c r="N174" t="s">
        <v>49</v>
      </c>
      <c r="O174" t="s">
        <v>49</v>
      </c>
      <c r="P174">
        <v>1</v>
      </c>
      <c r="Q174" t="s">
        <v>50</v>
      </c>
      <c r="R174" t="s">
        <v>51</v>
      </c>
      <c r="S174">
        <v>1953</v>
      </c>
      <c r="T174">
        <v>-777</v>
      </c>
      <c r="U174" s="1">
        <v>19719</v>
      </c>
      <c r="V174" s="2">
        <v>19719</v>
      </c>
      <c r="Z174">
        <v>0</v>
      </c>
      <c r="AA174">
        <v>1</v>
      </c>
      <c r="AB174">
        <v>0</v>
      </c>
      <c r="AC174">
        <v>0</v>
      </c>
      <c r="AF174">
        <v>2004</v>
      </c>
      <c r="AG174">
        <v>2012</v>
      </c>
      <c r="AH174">
        <v>3.9189388171424002</v>
      </c>
      <c r="AI174">
        <v>4385.5555555555502</v>
      </c>
      <c r="AJ174">
        <v>10.797660116654599</v>
      </c>
      <c r="AK174">
        <v>35.5555555555555</v>
      </c>
      <c r="AL174">
        <v>1.2725844216715001</v>
      </c>
      <c r="AM174">
        <v>0.82072783522924198</v>
      </c>
      <c r="AN174">
        <v>8</v>
      </c>
      <c r="AO174" t="b">
        <v>1</v>
      </c>
      <c r="AP174" t="s">
        <v>45</v>
      </c>
      <c r="AQ174">
        <v>1924</v>
      </c>
      <c r="AR174">
        <v>2016</v>
      </c>
      <c r="AS174" t="s">
        <v>879</v>
      </c>
      <c r="AT174">
        <v>8</v>
      </c>
      <c r="AU174">
        <f t="shared" si="8"/>
        <v>2.1999999999999999E-2</v>
      </c>
    </row>
    <row r="175" spans="1:47" x14ac:dyDescent="0.3">
      <c r="A175">
        <v>173</v>
      </c>
      <c r="B175" t="s">
        <v>880</v>
      </c>
      <c r="C175" t="s">
        <v>881</v>
      </c>
      <c r="D175">
        <v>42</v>
      </c>
      <c r="E175" t="s">
        <v>659</v>
      </c>
      <c r="F175" t="str">
        <f>VLOOKUP(E175,country_continent!A:C,2,FALSE)</f>
        <v>Dominican Republic</v>
      </c>
      <c r="G175" t="str">
        <f>VLOOKUP(E175,country_continent!A:C,3,FALSE)</f>
        <v>North America</v>
      </c>
      <c r="H175" t="s">
        <v>882</v>
      </c>
      <c r="I175" s="1">
        <v>41137</v>
      </c>
      <c r="J175" s="3">
        <f t="shared" si="6"/>
        <v>41137</v>
      </c>
      <c r="K175" s="1">
        <v>42369</v>
      </c>
      <c r="L175" s="3">
        <f t="shared" si="7"/>
        <v>42369</v>
      </c>
      <c r="M175" t="s">
        <v>49</v>
      </c>
      <c r="N175" t="s">
        <v>173</v>
      </c>
      <c r="O175" t="s">
        <v>173</v>
      </c>
      <c r="P175">
        <v>0</v>
      </c>
      <c r="Q175" t="s">
        <v>174</v>
      </c>
      <c r="R175" t="s">
        <v>51</v>
      </c>
      <c r="S175">
        <v>1951</v>
      </c>
      <c r="T175">
        <v>-777</v>
      </c>
      <c r="U175" s="1">
        <v>18942</v>
      </c>
      <c r="V175" s="2">
        <v>18942</v>
      </c>
      <c r="Z175">
        <v>0</v>
      </c>
      <c r="AA175">
        <v>-888</v>
      </c>
      <c r="AB175">
        <v>-888</v>
      </c>
      <c r="AC175">
        <v>-888</v>
      </c>
      <c r="AF175">
        <v>2012</v>
      </c>
      <c r="AG175">
        <v>2015</v>
      </c>
      <c r="AH175">
        <v>4.1946166551172004</v>
      </c>
      <c r="AI175">
        <v>6085</v>
      </c>
      <c r="AJ175">
        <v>4.0510034597412696</v>
      </c>
      <c r="AK175">
        <v>34.975000000000001</v>
      </c>
      <c r="AL175">
        <v>1.2004199860238201</v>
      </c>
      <c r="AM175">
        <v>0.76235477055808798</v>
      </c>
      <c r="AN175">
        <v>8</v>
      </c>
      <c r="AO175" t="b">
        <v>1</v>
      </c>
      <c r="AP175" t="s">
        <v>45</v>
      </c>
      <c r="AQ175">
        <v>1924</v>
      </c>
      <c r="AR175">
        <v>2016</v>
      </c>
      <c r="AS175" t="s">
        <v>883</v>
      </c>
      <c r="AT175">
        <v>3.37303216974674</v>
      </c>
      <c r="AU175">
        <f t="shared" si="8"/>
        <v>8.9999999999999993E-3</v>
      </c>
    </row>
    <row r="176" spans="1:47" x14ac:dyDescent="0.3">
      <c r="A176">
        <v>174</v>
      </c>
      <c r="B176" t="s">
        <v>884</v>
      </c>
      <c r="C176" t="s">
        <v>885</v>
      </c>
      <c r="D176">
        <v>51</v>
      </c>
      <c r="E176" t="s">
        <v>886</v>
      </c>
      <c r="F176" t="str">
        <f>VLOOKUP(E176,country_continent!A:C,2,FALSE)</f>
        <v>Jamaica</v>
      </c>
      <c r="G176" t="str">
        <f>VLOOKUP(E176,country_continent!A:C,3,FALSE)</f>
        <v>North America</v>
      </c>
      <c r="H176" t="s">
        <v>887</v>
      </c>
      <c r="I176" s="1">
        <v>22864</v>
      </c>
      <c r="J176" s="3">
        <f t="shared" si="6"/>
        <v>22864</v>
      </c>
      <c r="K176" s="1">
        <v>24525</v>
      </c>
      <c r="L176" s="3">
        <f t="shared" si="7"/>
        <v>24525</v>
      </c>
      <c r="M176" t="s">
        <v>49</v>
      </c>
      <c r="N176" t="s">
        <v>49</v>
      </c>
      <c r="O176" t="s">
        <v>49</v>
      </c>
      <c r="P176">
        <v>0</v>
      </c>
      <c r="Q176" t="s">
        <v>50</v>
      </c>
      <c r="R176" t="s">
        <v>51</v>
      </c>
      <c r="S176">
        <v>1884</v>
      </c>
      <c r="T176">
        <v>1977</v>
      </c>
      <c r="U176" t="s">
        <v>888</v>
      </c>
      <c r="V176" t="s">
        <v>889</v>
      </c>
      <c r="W176" s="1">
        <v>28343</v>
      </c>
      <c r="X176" s="2">
        <v>28343</v>
      </c>
      <c r="Z176">
        <v>0</v>
      </c>
      <c r="AA176">
        <v>1</v>
      </c>
      <c r="AB176">
        <v>0</v>
      </c>
      <c r="AC176">
        <v>0</v>
      </c>
      <c r="AF176">
        <v>1962</v>
      </c>
      <c r="AG176">
        <v>1967</v>
      </c>
      <c r="AH176">
        <v>0.60739806366221605</v>
      </c>
      <c r="AJ176">
        <v>4.24178110994304</v>
      </c>
      <c r="AK176">
        <v>68.316666666666606</v>
      </c>
      <c r="AL176">
        <v>1.3355674962228099</v>
      </c>
      <c r="AN176">
        <v>10</v>
      </c>
      <c r="AO176" t="b">
        <v>1</v>
      </c>
      <c r="AP176" t="s">
        <v>45</v>
      </c>
      <c r="AQ176">
        <v>1962</v>
      </c>
      <c r="AR176">
        <v>2016</v>
      </c>
      <c r="AS176" t="s">
        <v>890</v>
      </c>
      <c r="AT176">
        <v>4.5475701574264198</v>
      </c>
      <c r="AU176">
        <f t="shared" si="8"/>
        <v>1.2E-2</v>
      </c>
    </row>
    <row r="177" spans="1:47" x14ac:dyDescent="0.3">
      <c r="A177">
        <v>175</v>
      </c>
      <c r="B177" t="s">
        <v>891</v>
      </c>
      <c r="C177" t="s">
        <v>892</v>
      </c>
      <c r="D177">
        <v>51</v>
      </c>
      <c r="E177" t="s">
        <v>886</v>
      </c>
      <c r="F177" t="str">
        <f>VLOOKUP(E177,country_continent!A:C,2,FALSE)</f>
        <v>Jamaica</v>
      </c>
      <c r="G177" t="str">
        <f>VLOOKUP(E177,country_continent!A:C,3,FALSE)</f>
        <v>North America</v>
      </c>
      <c r="H177" t="s">
        <v>893</v>
      </c>
      <c r="I177" s="1">
        <v>24525</v>
      </c>
      <c r="J177" s="3">
        <f t="shared" si="6"/>
        <v>24525</v>
      </c>
      <c r="K177" s="1">
        <v>24573</v>
      </c>
      <c r="L177" s="3">
        <f t="shared" si="7"/>
        <v>24573</v>
      </c>
      <c r="M177" t="s">
        <v>49</v>
      </c>
      <c r="N177" t="s">
        <v>110</v>
      </c>
      <c r="O177" t="s">
        <v>49</v>
      </c>
      <c r="P177">
        <v>0</v>
      </c>
      <c r="Q177" t="s">
        <v>111</v>
      </c>
      <c r="R177" t="s">
        <v>51</v>
      </c>
      <c r="S177">
        <v>1911</v>
      </c>
      <c r="T177">
        <v>1967</v>
      </c>
      <c r="U177" s="1">
        <v>4317</v>
      </c>
      <c r="V177" s="2">
        <v>4317</v>
      </c>
      <c r="Y177" t="s">
        <v>894</v>
      </c>
      <c r="Z177">
        <v>0</v>
      </c>
      <c r="AA177">
        <v>2</v>
      </c>
      <c r="AB177">
        <v>0</v>
      </c>
      <c r="AC177">
        <v>-777</v>
      </c>
      <c r="AF177">
        <v>1967</v>
      </c>
      <c r="AG177">
        <v>1967</v>
      </c>
      <c r="AH177">
        <v>0.60739806366221605</v>
      </c>
      <c r="AJ177">
        <v>4.24178110994304</v>
      </c>
      <c r="AK177">
        <v>62.8</v>
      </c>
      <c r="AL177">
        <v>1.18691639039353</v>
      </c>
      <c r="AN177">
        <v>10</v>
      </c>
      <c r="AO177" t="b">
        <v>1</v>
      </c>
      <c r="AP177" t="s">
        <v>45</v>
      </c>
      <c r="AQ177">
        <v>1962</v>
      </c>
      <c r="AR177">
        <v>2016</v>
      </c>
      <c r="AS177" t="s">
        <v>895</v>
      </c>
      <c r="AT177">
        <v>0.13141683778234001</v>
      </c>
      <c r="AU177">
        <f t="shared" si="8"/>
        <v>0</v>
      </c>
    </row>
    <row r="178" spans="1:47" x14ac:dyDescent="0.3">
      <c r="A178">
        <v>176</v>
      </c>
      <c r="B178" t="s">
        <v>896</v>
      </c>
      <c r="C178" t="s">
        <v>897</v>
      </c>
      <c r="D178">
        <v>51</v>
      </c>
      <c r="E178" t="s">
        <v>886</v>
      </c>
      <c r="F178" t="str">
        <f>VLOOKUP(E178,country_continent!A:C,2,FALSE)</f>
        <v>Jamaica</v>
      </c>
      <c r="G178" t="str">
        <f>VLOOKUP(E178,country_continent!A:C,3,FALSE)</f>
        <v>North America</v>
      </c>
      <c r="H178" t="s">
        <v>898</v>
      </c>
      <c r="I178" s="1">
        <v>24573</v>
      </c>
      <c r="J178" s="3">
        <f t="shared" si="6"/>
        <v>24573</v>
      </c>
      <c r="K178" s="1">
        <v>26360</v>
      </c>
      <c r="L178" s="3">
        <f t="shared" si="7"/>
        <v>26360</v>
      </c>
      <c r="M178" t="s">
        <v>49</v>
      </c>
      <c r="N178" t="s">
        <v>49</v>
      </c>
      <c r="O178" t="s">
        <v>49</v>
      </c>
      <c r="P178">
        <v>0</v>
      </c>
      <c r="Q178" t="s">
        <v>50</v>
      </c>
      <c r="R178" t="s">
        <v>51</v>
      </c>
      <c r="S178">
        <v>1923</v>
      </c>
      <c r="T178">
        <v>2004</v>
      </c>
      <c r="U178" s="1">
        <v>8539</v>
      </c>
      <c r="V178" s="2">
        <v>8539</v>
      </c>
      <c r="Y178" t="s">
        <v>899</v>
      </c>
      <c r="Z178">
        <v>0</v>
      </c>
      <c r="AA178">
        <v>1</v>
      </c>
      <c r="AB178">
        <v>0</v>
      </c>
      <c r="AC178">
        <v>0</v>
      </c>
      <c r="AF178">
        <v>1967</v>
      </c>
      <c r="AG178">
        <v>1972</v>
      </c>
      <c r="AH178">
        <v>6.2644113785867903</v>
      </c>
      <c r="AI178">
        <v>744</v>
      </c>
      <c r="AJ178">
        <v>3.0541336608604799</v>
      </c>
      <c r="AK178">
        <v>57.433333333333302</v>
      </c>
      <c r="AL178">
        <v>1.2546557461122401</v>
      </c>
      <c r="AM178">
        <v>7.12584660541481</v>
      </c>
      <c r="AN178">
        <v>10</v>
      </c>
      <c r="AO178" t="b">
        <v>1</v>
      </c>
      <c r="AP178" t="s">
        <v>45</v>
      </c>
      <c r="AQ178">
        <v>1962</v>
      </c>
      <c r="AR178">
        <v>2016</v>
      </c>
      <c r="AS178" t="s">
        <v>900</v>
      </c>
      <c r="AT178">
        <v>4.8925393566050603</v>
      </c>
      <c r="AU178">
        <f t="shared" si="8"/>
        <v>1.2999999999999999E-2</v>
      </c>
    </row>
    <row r="179" spans="1:47" x14ac:dyDescent="0.3">
      <c r="A179">
        <v>177</v>
      </c>
      <c r="B179" t="s">
        <v>901</v>
      </c>
      <c r="C179" t="s">
        <v>902</v>
      </c>
      <c r="D179">
        <v>51</v>
      </c>
      <c r="E179" t="s">
        <v>886</v>
      </c>
      <c r="F179" t="str">
        <f>VLOOKUP(E179,country_continent!A:C,2,FALSE)</f>
        <v>Jamaica</v>
      </c>
      <c r="G179" t="str">
        <f>VLOOKUP(E179,country_continent!A:C,3,FALSE)</f>
        <v>North America</v>
      </c>
      <c r="H179" t="s">
        <v>903</v>
      </c>
      <c r="I179" s="1">
        <v>26360</v>
      </c>
      <c r="J179" s="3">
        <f t="shared" si="6"/>
        <v>26360</v>
      </c>
      <c r="K179" s="1">
        <v>29526</v>
      </c>
      <c r="L179" s="3">
        <f t="shared" si="7"/>
        <v>29526</v>
      </c>
      <c r="M179" t="s">
        <v>49</v>
      </c>
      <c r="N179" t="s">
        <v>49</v>
      </c>
      <c r="O179" t="s">
        <v>49</v>
      </c>
      <c r="P179">
        <v>0</v>
      </c>
      <c r="Q179" t="s">
        <v>50</v>
      </c>
      <c r="R179" t="s">
        <v>51</v>
      </c>
      <c r="S179">
        <v>1924</v>
      </c>
      <c r="T179">
        <v>1997</v>
      </c>
      <c r="U179" s="1">
        <v>9111</v>
      </c>
      <c r="V179" s="2">
        <v>9111</v>
      </c>
      <c r="W179" s="1">
        <v>35495</v>
      </c>
      <c r="X179" s="2">
        <v>35495</v>
      </c>
      <c r="Y179" t="s">
        <v>904</v>
      </c>
      <c r="Z179">
        <v>0</v>
      </c>
      <c r="AA179">
        <v>1</v>
      </c>
      <c r="AB179">
        <v>0</v>
      </c>
      <c r="AC179">
        <v>0</v>
      </c>
      <c r="AF179">
        <v>1972</v>
      </c>
      <c r="AG179">
        <v>1980</v>
      </c>
      <c r="AH179">
        <v>-2.20819908295501</v>
      </c>
      <c r="AI179">
        <v>1265.55555555555</v>
      </c>
      <c r="AJ179">
        <v>17.5099193789538</v>
      </c>
      <c r="AK179">
        <v>44.177777777777699</v>
      </c>
      <c r="AL179">
        <v>1.3292466247141901</v>
      </c>
      <c r="AM179">
        <v>8.9824900823802007</v>
      </c>
      <c r="AN179">
        <v>10</v>
      </c>
      <c r="AO179" t="b">
        <v>1</v>
      </c>
      <c r="AP179" t="s">
        <v>45</v>
      </c>
      <c r="AQ179">
        <v>1962</v>
      </c>
      <c r="AR179">
        <v>2016</v>
      </c>
      <c r="AS179" t="s">
        <v>905</v>
      </c>
      <c r="AT179">
        <v>8.6680355920602299</v>
      </c>
      <c r="AU179">
        <f t="shared" si="8"/>
        <v>2.4E-2</v>
      </c>
    </row>
    <row r="180" spans="1:47" x14ac:dyDescent="0.3">
      <c r="A180">
        <v>178</v>
      </c>
      <c r="B180" t="s">
        <v>906</v>
      </c>
      <c r="C180" t="s">
        <v>907</v>
      </c>
      <c r="D180">
        <v>51</v>
      </c>
      <c r="E180" t="s">
        <v>886</v>
      </c>
      <c r="F180" t="str">
        <f>VLOOKUP(E180,country_continent!A:C,2,FALSE)</f>
        <v>Jamaica</v>
      </c>
      <c r="G180" t="str">
        <f>VLOOKUP(E180,country_continent!A:C,3,FALSE)</f>
        <v>North America</v>
      </c>
      <c r="H180" t="s">
        <v>908</v>
      </c>
      <c r="I180" s="1">
        <v>29526</v>
      </c>
      <c r="J180" s="3">
        <f t="shared" si="6"/>
        <v>29526</v>
      </c>
      <c r="K180" s="1">
        <v>32549</v>
      </c>
      <c r="L180" s="3">
        <f t="shared" si="7"/>
        <v>32549</v>
      </c>
      <c r="M180" t="s">
        <v>49</v>
      </c>
      <c r="N180" t="s">
        <v>49</v>
      </c>
      <c r="O180" t="s">
        <v>49</v>
      </c>
      <c r="P180">
        <v>0</v>
      </c>
      <c r="Q180" t="s">
        <v>50</v>
      </c>
      <c r="R180" t="s">
        <v>51</v>
      </c>
      <c r="S180">
        <v>1930</v>
      </c>
      <c r="T180">
        <v>-777</v>
      </c>
      <c r="U180" s="1">
        <v>11106</v>
      </c>
      <c r="V180" s="2">
        <v>11106</v>
      </c>
      <c r="Z180">
        <v>0</v>
      </c>
      <c r="AA180">
        <v>1</v>
      </c>
      <c r="AB180">
        <v>0</v>
      </c>
      <c r="AC180">
        <v>0</v>
      </c>
      <c r="AF180">
        <v>1980</v>
      </c>
      <c r="AG180">
        <v>1989</v>
      </c>
      <c r="AH180">
        <v>0.64118618282764095</v>
      </c>
      <c r="AI180">
        <v>1280</v>
      </c>
      <c r="AJ180">
        <v>17.844429570855802</v>
      </c>
      <c r="AK180">
        <v>32.96</v>
      </c>
      <c r="AL180">
        <v>1.08299547603361</v>
      </c>
      <c r="AM180">
        <v>7.7966881311797103</v>
      </c>
      <c r="AN180">
        <v>10</v>
      </c>
      <c r="AO180" t="b">
        <v>1</v>
      </c>
      <c r="AP180" t="s">
        <v>45</v>
      </c>
      <c r="AQ180">
        <v>1962</v>
      </c>
      <c r="AR180">
        <v>2016</v>
      </c>
      <c r="AS180" t="s">
        <v>909</v>
      </c>
      <c r="AT180">
        <v>8.2765229295003397</v>
      </c>
      <c r="AU180">
        <f t="shared" si="8"/>
        <v>2.3E-2</v>
      </c>
    </row>
    <row r="181" spans="1:47" x14ac:dyDescent="0.3">
      <c r="A181">
        <v>179</v>
      </c>
      <c r="B181" t="s">
        <v>910</v>
      </c>
      <c r="C181" t="s">
        <v>902</v>
      </c>
      <c r="D181">
        <v>51</v>
      </c>
      <c r="E181" t="s">
        <v>886</v>
      </c>
      <c r="F181" t="str">
        <f>VLOOKUP(E181,country_continent!A:C,2,FALSE)</f>
        <v>Jamaica</v>
      </c>
      <c r="G181" t="str">
        <f>VLOOKUP(E181,country_continent!A:C,3,FALSE)</f>
        <v>North America</v>
      </c>
      <c r="H181" t="s">
        <v>903</v>
      </c>
      <c r="I181" s="1">
        <v>32549</v>
      </c>
      <c r="J181" s="3">
        <f t="shared" si="6"/>
        <v>32549</v>
      </c>
      <c r="K181" s="1">
        <v>33693</v>
      </c>
      <c r="L181" s="3">
        <f t="shared" si="7"/>
        <v>33693</v>
      </c>
      <c r="M181" t="s">
        <v>49</v>
      </c>
      <c r="N181" t="s">
        <v>228</v>
      </c>
      <c r="O181" t="s">
        <v>49</v>
      </c>
      <c r="P181">
        <v>1</v>
      </c>
      <c r="Q181" t="s">
        <v>50</v>
      </c>
      <c r="R181" t="s">
        <v>51</v>
      </c>
      <c r="S181">
        <v>1924</v>
      </c>
      <c r="T181">
        <v>1997</v>
      </c>
      <c r="U181" s="1">
        <v>8915</v>
      </c>
      <c r="V181" s="2">
        <v>8915</v>
      </c>
      <c r="W181" s="1">
        <v>35495</v>
      </c>
      <c r="X181" s="2">
        <v>35495</v>
      </c>
      <c r="Y181" t="s">
        <v>904</v>
      </c>
      <c r="Z181">
        <v>0</v>
      </c>
      <c r="AA181">
        <v>2.0999998999999998</v>
      </c>
      <c r="AB181">
        <v>0</v>
      </c>
      <c r="AC181">
        <v>0</v>
      </c>
      <c r="AF181">
        <v>1989</v>
      </c>
      <c r="AG181">
        <v>1992</v>
      </c>
      <c r="AH181">
        <v>3.68253545390457</v>
      </c>
      <c r="AI181">
        <v>1727.5</v>
      </c>
      <c r="AJ181">
        <v>35.3410871723013</v>
      </c>
      <c r="AK181">
        <v>27.674999999999901</v>
      </c>
      <c r="AL181">
        <v>0.82728818796673897</v>
      </c>
      <c r="AM181">
        <v>7.1722358528122498</v>
      </c>
      <c r="AN181">
        <v>10</v>
      </c>
      <c r="AO181" t="b">
        <v>1</v>
      </c>
      <c r="AP181" t="s">
        <v>45</v>
      </c>
      <c r="AQ181">
        <v>1962</v>
      </c>
      <c r="AR181">
        <v>2016</v>
      </c>
      <c r="AS181" t="s">
        <v>911</v>
      </c>
      <c r="AT181">
        <v>3.1321013004791198</v>
      </c>
      <c r="AU181">
        <f t="shared" si="8"/>
        <v>8.9999999999999993E-3</v>
      </c>
    </row>
    <row r="182" spans="1:47" x14ac:dyDescent="0.3">
      <c r="A182">
        <v>180</v>
      </c>
      <c r="B182" t="s">
        <v>912</v>
      </c>
      <c r="C182" t="s">
        <v>913</v>
      </c>
      <c r="D182">
        <v>51</v>
      </c>
      <c r="E182" t="s">
        <v>886</v>
      </c>
      <c r="F182" t="str">
        <f>VLOOKUP(E182,country_continent!A:C,2,FALSE)</f>
        <v>Jamaica</v>
      </c>
      <c r="G182" t="str">
        <f>VLOOKUP(E182,country_continent!A:C,3,FALSE)</f>
        <v>North America</v>
      </c>
      <c r="H182" t="s">
        <v>914</v>
      </c>
      <c r="I182" s="1">
        <v>33693</v>
      </c>
      <c r="J182" s="3">
        <f t="shared" si="6"/>
        <v>33693</v>
      </c>
      <c r="K182" s="1">
        <v>38806</v>
      </c>
      <c r="L182" s="3">
        <f t="shared" si="7"/>
        <v>38806</v>
      </c>
      <c r="M182" t="s">
        <v>49</v>
      </c>
      <c r="N182" t="s">
        <v>49</v>
      </c>
      <c r="O182" t="s">
        <v>49</v>
      </c>
      <c r="P182">
        <v>0</v>
      </c>
      <c r="Q182" t="s">
        <v>50</v>
      </c>
      <c r="R182" t="s">
        <v>51</v>
      </c>
      <c r="S182">
        <v>1935</v>
      </c>
      <c r="T182">
        <v>-777</v>
      </c>
      <c r="Z182">
        <v>0</v>
      </c>
      <c r="AA182">
        <v>1</v>
      </c>
      <c r="AB182">
        <v>0</v>
      </c>
      <c r="AC182">
        <v>0</v>
      </c>
      <c r="AF182">
        <v>1992</v>
      </c>
      <c r="AG182">
        <v>2006</v>
      </c>
      <c r="AH182">
        <v>0.90884400508682495</v>
      </c>
      <c r="AI182">
        <v>2958.6666666666601</v>
      </c>
      <c r="AJ182">
        <v>19.159070819989299</v>
      </c>
      <c r="AK182">
        <v>21.886666666666599</v>
      </c>
      <c r="AL182">
        <v>0.78519648083674498</v>
      </c>
      <c r="AM182">
        <v>2.7335869481431798</v>
      </c>
      <c r="AN182">
        <v>9.07</v>
      </c>
      <c r="AO182" t="b">
        <v>1</v>
      </c>
      <c r="AP182" t="s">
        <v>45</v>
      </c>
      <c r="AQ182">
        <v>1962</v>
      </c>
      <c r="AR182">
        <v>2016</v>
      </c>
      <c r="AS182" t="s">
        <v>915</v>
      </c>
      <c r="AT182">
        <v>13.998631074606401</v>
      </c>
      <c r="AU182">
        <f t="shared" si="8"/>
        <v>3.7999999999999999E-2</v>
      </c>
    </row>
    <row r="183" spans="1:47" x14ac:dyDescent="0.3">
      <c r="A183">
        <v>181</v>
      </c>
      <c r="B183" t="s">
        <v>916</v>
      </c>
      <c r="C183" t="s">
        <v>917</v>
      </c>
      <c r="D183">
        <v>51</v>
      </c>
      <c r="E183" t="s">
        <v>886</v>
      </c>
      <c r="F183" t="str">
        <f>VLOOKUP(E183,country_continent!A:C,2,FALSE)</f>
        <v>Jamaica</v>
      </c>
      <c r="G183" t="str">
        <f>VLOOKUP(E183,country_continent!A:C,3,FALSE)</f>
        <v>North America</v>
      </c>
      <c r="H183" t="s">
        <v>918</v>
      </c>
      <c r="I183" s="1">
        <v>38806</v>
      </c>
      <c r="J183" s="3">
        <f t="shared" si="6"/>
        <v>38806</v>
      </c>
      <c r="K183" s="1">
        <v>39336</v>
      </c>
      <c r="L183" s="3">
        <f t="shared" si="7"/>
        <v>39336</v>
      </c>
      <c r="M183" t="s">
        <v>49</v>
      </c>
      <c r="N183" t="s">
        <v>49</v>
      </c>
      <c r="O183" t="s">
        <v>49</v>
      </c>
      <c r="P183">
        <v>0</v>
      </c>
      <c r="Q183" t="s">
        <v>50</v>
      </c>
      <c r="R183" t="s">
        <v>299</v>
      </c>
      <c r="S183">
        <v>1945</v>
      </c>
      <c r="T183">
        <v>-777</v>
      </c>
      <c r="U183" s="1">
        <v>16783</v>
      </c>
      <c r="V183" s="2">
        <v>16783</v>
      </c>
      <c r="Z183">
        <v>0</v>
      </c>
      <c r="AA183">
        <v>1</v>
      </c>
      <c r="AB183">
        <v>0</v>
      </c>
      <c r="AC183">
        <v>0</v>
      </c>
      <c r="AF183">
        <v>2006</v>
      </c>
      <c r="AG183">
        <v>2007</v>
      </c>
      <c r="AH183">
        <v>1.66091985391594</v>
      </c>
      <c r="AI183">
        <v>4285</v>
      </c>
      <c r="AJ183">
        <v>10.0845016561974</v>
      </c>
      <c r="AK183">
        <v>19.149999999999999</v>
      </c>
      <c r="AL183">
        <v>0.49499873443392101</v>
      </c>
      <c r="AM183">
        <v>3.4271168246234498</v>
      </c>
      <c r="AN183">
        <v>9</v>
      </c>
      <c r="AO183" t="b">
        <v>1</v>
      </c>
      <c r="AP183" t="s">
        <v>45</v>
      </c>
      <c r="AQ183">
        <v>1962</v>
      </c>
      <c r="AR183">
        <v>2016</v>
      </c>
      <c r="AS183" t="s">
        <v>919</v>
      </c>
      <c r="AT183">
        <v>1.45106091718001</v>
      </c>
      <c r="AU183">
        <f t="shared" si="8"/>
        <v>4.0000000000000001E-3</v>
      </c>
    </row>
    <row r="184" spans="1:47" x14ac:dyDescent="0.3">
      <c r="A184">
        <v>182</v>
      </c>
      <c r="B184" t="s">
        <v>920</v>
      </c>
      <c r="C184" t="s">
        <v>921</v>
      </c>
      <c r="D184">
        <v>51</v>
      </c>
      <c r="E184" t="s">
        <v>886</v>
      </c>
      <c r="F184" t="str">
        <f>VLOOKUP(E184,country_continent!A:C,2,FALSE)</f>
        <v>Jamaica</v>
      </c>
      <c r="G184" t="str">
        <f>VLOOKUP(E184,country_continent!A:C,3,FALSE)</f>
        <v>North America</v>
      </c>
      <c r="H184" t="s">
        <v>922</v>
      </c>
      <c r="I184" s="1">
        <v>39336</v>
      </c>
      <c r="J184" s="3">
        <f t="shared" si="6"/>
        <v>39336</v>
      </c>
      <c r="K184" s="1">
        <v>40839</v>
      </c>
      <c r="L184" s="3">
        <f t="shared" si="7"/>
        <v>40839</v>
      </c>
      <c r="M184" t="s">
        <v>49</v>
      </c>
      <c r="N184" t="s">
        <v>49</v>
      </c>
      <c r="O184" t="s">
        <v>49</v>
      </c>
      <c r="P184">
        <v>0</v>
      </c>
      <c r="Q184" t="s">
        <v>50</v>
      </c>
      <c r="R184" t="s">
        <v>51</v>
      </c>
      <c r="S184">
        <v>1947</v>
      </c>
      <c r="T184">
        <v>-777</v>
      </c>
      <c r="Z184">
        <v>0</v>
      </c>
      <c r="AA184">
        <v>1</v>
      </c>
      <c r="AB184">
        <v>0</v>
      </c>
      <c r="AC184">
        <v>0</v>
      </c>
      <c r="AF184">
        <v>2007</v>
      </c>
      <c r="AG184">
        <v>2011</v>
      </c>
      <c r="AH184">
        <v>-1.1227186682292001</v>
      </c>
      <c r="AI184">
        <v>4534</v>
      </c>
      <c r="AJ184">
        <v>10.426109705137</v>
      </c>
      <c r="AK184">
        <v>19.119999999999902</v>
      </c>
      <c r="AL184">
        <v>0.43598843887831101</v>
      </c>
      <c r="AM184">
        <v>2.4775881820244599</v>
      </c>
      <c r="AN184">
        <v>9</v>
      </c>
      <c r="AO184" t="b">
        <v>1</v>
      </c>
      <c r="AP184" t="s">
        <v>45</v>
      </c>
      <c r="AQ184">
        <v>1962</v>
      </c>
      <c r="AR184">
        <v>2016</v>
      </c>
      <c r="AS184" t="s">
        <v>923</v>
      </c>
      <c r="AT184">
        <v>4.1149897330595397</v>
      </c>
      <c r="AU184">
        <f t="shared" si="8"/>
        <v>1.0999999999999999E-2</v>
      </c>
    </row>
    <row r="185" spans="1:47" x14ac:dyDescent="0.3">
      <c r="A185">
        <v>183</v>
      </c>
      <c r="B185" t="s">
        <v>924</v>
      </c>
      <c r="C185" t="s">
        <v>925</v>
      </c>
      <c r="D185">
        <v>51</v>
      </c>
      <c r="E185" t="s">
        <v>886</v>
      </c>
      <c r="F185" t="str">
        <f>VLOOKUP(E185,country_continent!A:C,2,FALSE)</f>
        <v>Jamaica</v>
      </c>
      <c r="G185" t="str">
        <f>VLOOKUP(E185,country_continent!A:C,3,FALSE)</f>
        <v>North America</v>
      </c>
      <c r="H185" t="s">
        <v>926</v>
      </c>
      <c r="I185" s="1">
        <v>40839</v>
      </c>
      <c r="J185" s="3">
        <f t="shared" si="6"/>
        <v>40839</v>
      </c>
      <c r="K185" s="1">
        <v>40913</v>
      </c>
      <c r="L185" s="3">
        <f t="shared" si="7"/>
        <v>40913</v>
      </c>
      <c r="M185" t="s">
        <v>49</v>
      </c>
      <c r="N185" t="s">
        <v>49</v>
      </c>
      <c r="O185" t="s">
        <v>49</v>
      </c>
      <c r="P185">
        <v>0</v>
      </c>
      <c r="Q185" t="s">
        <v>50</v>
      </c>
      <c r="R185" t="s">
        <v>51</v>
      </c>
      <c r="S185">
        <v>1972</v>
      </c>
      <c r="T185">
        <v>-777</v>
      </c>
      <c r="Z185">
        <v>0</v>
      </c>
      <c r="AA185">
        <v>1</v>
      </c>
      <c r="AB185">
        <v>0</v>
      </c>
      <c r="AC185">
        <v>0</v>
      </c>
      <c r="AF185">
        <v>2011</v>
      </c>
      <c r="AG185">
        <v>2012</v>
      </c>
      <c r="AH185">
        <v>0.12467873533380899</v>
      </c>
      <c r="AI185">
        <v>4900</v>
      </c>
      <c r="AJ185">
        <v>6.1840460429659103</v>
      </c>
      <c r="AK185">
        <v>18.95</v>
      </c>
      <c r="AL185">
        <v>0.432207158614142</v>
      </c>
      <c r="AM185">
        <v>2.0436699019598299</v>
      </c>
      <c r="AN185">
        <v>9</v>
      </c>
      <c r="AO185" t="b">
        <v>1</v>
      </c>
      <c r="AP185" t="s">
        <v>45</v>
      </c>
      <c r="AQ185">
        <v>1962</v>
      </c>
      <c r="AR185">
        <v>2016</v>
      </c>
      <c r="AS185" t="s">
        <v>927</v>
      </c>
      <c r="AT185">
        <v>0.20260095824777499</v>
      </c>
      <c r="AU185">
        <f t="shared" si="8"/>
        <v>1E-3</v>
      </c>
    </row>
    <row r="186" spans="1:47" x14ac:dyDescent="0.3">
      <c r="A186">
        <v>184</v>
      </c>
      <c r="B186" t="s">
        <v>928</v>
      </c>
      <c r="C186" t="s">
        <v>917</v>
      </c>
      <c r="D186">
        <v>51</v>
      </c>
      <c r="E186" t="s">
        <v>886</v>
      </c>
      <c r="F186" t="str">
        <f>VLOOKUP(E186,country_continent!A:C,2,FALSE)</f>
        <v>Jamaica</v>
      </c>
      <c r="G186" t="str">
        <f>VLOOKUP(E186,country_continent!A:C,3,FALSE)</f>
        <v>North America</v>
      </c>
      <c r="H186" t="s">
        <v>918</v>
      </c>
      <c r="I186" s="1">
        <v>40913</v>
      </c>
      <c r="J186" s="3">
        <f t="shared" si="6"/>
        <v>40913</v>
      </c>
      <c r="K186" s="1">
        <v>42369</v>
      </c>
      <c r="L186" s="3">
        <f t="shared" si="7"/>
        <v>42369</v>
      </c>
      <c r="M186" t="s">
        <v>49</v>
      </c>
      <c r="N186" t="s">
        <v>173</v>
      </c>
      <c r="O186" t="s">
        <v>173</v>
      </c>
      <c r="P186">
        <v>1</v>
      </c>
      <c r="Q186" t="s">
        <v>174</v>
      </c>
      <c r="R186" t="s">
        <v>299</v>
      </c>
      <c r="S186">
        <v>1945</v>
      </c>
      <c r="T186">
        <v>-777</v>
      </c>
      <c r="U186" s="1">
        <v>16783</v>
      </c>
      <c r="V186" s="2">
        <v>16783</v>
      </c>
      <c r="Z186">
        <v>0</v>
      </c>
      <c r="AA186">
        <v>-888</v>
      </c>
      <c r="AB186">
        <v>-888</v>
      </c>
      <c r="AC186">
        <v>-888</v>
      </c>
      <c r="AF186">
        <v>2012</v>
      </c>
      <c r="AG186">
        <v>2015</v>
      </c>
      <c r="AH186">
        <v>4.976790302393E-4</v>
      </c>
      <c r="AI186">
        <v>5040</v>
      </c>
      <c r="AJ186">
        <v>7.1432682464747899</v>
      </c>
      <c r="AK186">
        <v>18.774999999999999</v>
      </c>
      <c r="AL186">
        <v>0.37785896738132901</v>
      </c>
      <c r="AM186">
        <v>1.6652218238377201</v>
      </c>
      <c r="AN186">
        <v>9</v>
      </c>
      <c r="AO186" t="b">
        <v>1</v>
      </c>
      <c r="AP186" t="s">
        <v>45</v>
      </c>
      <c r="AQ186">
        <v>1962</v>
      </c>
      <c r="AR186">
        <v>2016</v>
      </c>
      <c r="AS186" t="s">
        <v>929</v>
      </c>
      <c r="AT186">
        <v>3.9863107460643299</v>
      </c>
      <c r="AU186">
        <f t="shared" si="8"/>
        <v>1.0999999999999999E-2</v>
      </c>
    </row>
    <row r="187" spans="1:47" x14ac:dyDescent="0.3">
      <c r="A187">
        <v>185</v>
      </c>
      <c r="B187" t="s">
        <v>930</v>
      </c>
      <c r="C187" t="s">
        <v>931</v>
      </c>
      <c r="D187">
        <v>52</v>
      </c>
      <c r="E187" t="s">
        <v>932</v>
      </c>
      <c r="F187" t="str">
        <f>VLOOKUP(E187,country_continent!A:C,2,FALSE)</f>
        <v>Trinidad and Tobago</v>
      </c>
      <c r="G187" t="str">
        <f>VLOOKUP(E187,country_continent!A:C,3,FALSE)</f>
        <v>North America</v>
      </c>
      <c r="H187" t="s">
        <v>933</v>
      </c>
      <c r="I187" s="1">
        <v>22889</v>
      </c>
      <c r="J187" s="3">
        <f t="shared" si="6"/>
        <v>22889</v>
      </c>
      <c r="K187" s="1">
        <v>29674</v>
      </c>
      <c r="L187" s="3">
        <f t="shared" si="7"/>
        <v>29674</v>
      </c>
      <c r="M187" t="s">
        <v>49</v>
      </c>
      <c r="N187" t="s">
        <v>110</v>
      </c>
      <c r="O187" t="s">
        <v>49</v>
      </c>
      <c r="P187">
        <v>0</v>
      </c>
      <c r="Q187" t="s">
        <v>111</v>
      </c>
      <c r="R187" t="s">
        <v>51</v>
      </c>
      <c r="S187">
        <v>1911</v>
      </c>
      <c r="T187">
        <v>1981</v>
      </c>
      <c r="U187" s="1">
        <v>4286</v>
      </c>
      <c r="V187" s="2">
        <v>4286</v>
      </c>
      <c r="Y187" t="s">
        <v>934</v>
      </c>
      <c r="Z187">
        <v>0</v>
      </c>
      <c r="AA187">
        <v>2</v>
      </c>
      <c r="AB187">
        <v>0</v>
      </c>
      <c r="AC187">
        <v>-777</v>
      </c>
      <c r="AF187">
        <v>1962</v>
      </c>
      <c r="AG187">
        <v>1981</v>
      </c>
      <c r="AO187" t="b">
        <v>0</v>
      </c>
      <c r="AT187">
        <v>6785</v>
      </c>
      <c r="AU187">
        <f t="shared" si="8"/>
        <v>18.588999999999999</v>
      </c>
    </row>
    <row r="188" spans="1:47" x14ac:dyDescent="0.3">
      <c r="A188">
        <v>186</v>
      </c>
      <c r="B188" t="s">
        <v>935</v>
      </c>
      <c r="C188" t="s">
        <v>936</v>
      </c>
      <c r="D188">
        <v>52</v>
      </c>
      <c r="E188" t="s">
        <v>932</v>
      </c>
      <c r="F188" t="str">
        <f>VLOOKUP(E188,country_continent!A:C,2,FALSE)</f>
        <v>Trinidad and Tobago</v>
      </c>
      <c r="G188" t="str">
        <f>VLOOKUP(E188,country_continent!A:C,3,FALSE)</f>
        <v>North America</v>
      </c>
      <c r="H188" t="s">
        <v>937</v>
      </c>
      <c r="I188" s="1">
        <v>29675</v>
      </c>
      <c r="J188" s="3">
        <f t="shared" si="6"/>
        <v>29675</v>
      </c>
      <c r="K188" s="1">
        <v>31764</v>
      </c>
      <c r="L188" s="3">
        <f t="shared" si="7"/>
        <v>31764</v>
      </c>
      <c r="M188" t="s">
        <v>49</v>
      </c>
      <c r="N188" t="s">
        <v>49</v>
      </c>
      <c r="O188" t="s">
        <v>49</v>
      </c>
      <c r="P188">
        <v>0</v>
      </c>
      <c r="Q188" t="s">
        <v>50</v>
      </c>
      <c r="R188" t="s">
        <v>51</v>
      </c>
      <c r="S188">
        <v>1928</v>
      </c>
      <c r="T188">
        <v>1997</v>
      </c>
      <c r="U188" s="1">
        <v>10505</v>
      </c>
      <c r="V188" s="2">
        <v>10505</v>
      </c>
      <c r="W188" s="1">
        <v>35738</v>
      </c>
      <c r="X188" s="2">
        <v>35738</v>
      </c>
      <c r="Z188">
        <v>0</v>
      </c>
      <c r="AA188">
        <v>1</v>
      </c>
      <c r="AB188">
        <v>0</v>
      </c>
      <c r="AC188">
        <v>0</v>
      </c>
      <c r="AF188">
        <v>1981</v>
      </c>
      <c r="AG188">
        <v>1986</v>
      </c>
      <c r="AO188" t="b">
        <v>0</v>
      </c>
      <c r="AT188">
        <v>2089</v>
      </c>
      <c r="AU188">
        <f t="shared" si="8"/>
        <v>5.7229999999999999</v>
      </c>
    </row>
    <row r="189" spans="1:47" x14ac:dyDescent="0.3">
      <c r="A189">
        <v>187</v>
      </c>
      <c r="B189" t="s">
        <v>938</v>
      </c>
      <c r="C189" t="s">
        <v>939</v>
      </c>
      <c r="D189">
        <v>52</v>
      </c>
      <c r="E189" t="s">
        <v>932</v>
      </c>
      <c r="F189" t="str">
        <f>VLOOKUP(E189,country_continent!A:C,2,FALSE)</f>
        <v>Trinidad and Tobago</v>
      </c>
      <c r="G189" t="str">
        <f>VLOOKUP(E189,country_continent!A:C,3,FALSE)</f>
        <v>North America</v>
      </c>
      <c r="H189" t="s">
        <v>940</v>
      </c>
      <c r="I189" s="1">
        <v>31764</v>
      </c>
      <c r="J189" s="3">
        <f t="shared" si="6"/>
        <v>31764</v>
      </c>
      <c r="K189" s="1">
        <v>33579</v>
      </c>
      <c r="L189" s="3">
        <f t="shared" si="7"/>
        <v>33579</v>
      </c>
      <c r="M189" t="s">
        <v>49</v>
      </c>
      <c r="N189" t="s">
        <v>49</v>
      </c>
      <c r="O189" t="s">
        <v>49</v>
      </c>
      <c r="P189">
        <v>0</v>
      </c>
      <c r="Q189" t="s">
        <v>50</v>
      </c>
      <c r="R189" t="s">
        <v>51</v>
      </c>
      <c r="S189">
        <v>1926</v>
      </c>
      <c r="T189">
        <v>-777</v>
      </c>
      <c r="U189" s="1">
        <v>9847</v>
      </c>
      <c r="V189" s="2">
        <v>9847</v>
      </c>
      <c r="Y189" t="s">
        <v>941</v>
      </c>
      <c r="Z189">
        <v>0</v>
      </c>
      <c r="AA189">
        <v>1</v>
      </c>
      <c r="AB189">
        <v>0</v>
      </c>
      <c r="AC189">
        <v>0</v>
      </c>
      <c r="AF189">
        <v>1986</v>
      </c>
      <c r="AG189">
        <v>1991</v>
      </c>
      <c r="AO189" t="b">
        <v>0</v>
      </c>
      <c r="AT189">
        <v>1815</v>
      </c>
      <c r="AU189">
        <f t="shared" si="8"/>
        <v>4.9729999999999999</v>
      </c>
    </row>
    <row r="190" spans="1:47" x14ac:dyDescent="0.3">
      <c r="A190">
        <v>188</v>
      </c>
      <c r="B190" t="s">
        <v>942</v>
      </c>
      <c r="C190" t="s">
        <v>943</v>
      </c>
      <c r="D190">
        <v>52</v>
      </c>
      <c r="E190" t="s">
        <v>932</v>
      </c>
      <c r="F190" t="str">
        <f>VLOOKUP(E190,country_continent!A:C,2,FALSE)</f>
        <v>Trinidad and Tobago</v>
      </c>
      <c r="G190" t="str">
        <f>VLOOKUP(E190,country_continent!A:C,3,FALSE)</f>
        <v>North America</v>
      </c>
      <c r="H190" t="s">
        <v>944</v>
      </c>
      <c r="I190" s="1">
        <v>33588</v>
      </c>
      <c r="J190" s="3">
        <f t="shared" si="6"/>
        <v>33588</v>
      </c>
      <c r="K190" s="1">
        <v>35012</v>
      </c>
      <c r="L190" s="3">
        <f t="shared" si="7"/>
        <v>35012</v>
      </c>
      <c r="M190" t="s">
        <v>49</v>
      </c>
      <c r="N190" t="s">
        <v>49</v>
      </c>
      <c r="O190" t="s">
        <v>49</v>
      </c>
      <c r="P190">
        <v>0</v>
      </c>
      <c r="Q190" t="s">
        <v>50</v>
      </c>
      <c r="R190" t="s">
        <v>51</v>
      </c>
      <c r="S190">
        <v>1946</v>
      </c>
      <c r="T190">
        <v>-777</v>
      </c>
      <c r="U190" s="1">
        <v>17031</v>
      </c>
      <c r="V190" s="2">
        <v>17031</v>
      </c>
      <c r="Y190" t="s">
        <v>945</v>
      </c>
      <c r="Z190">
        <v>0</v>
      </c>
      <c r="AA190">
        <v>1</v>
      </c>
      <c r="AB190">
        <v>0</v>
      </c>
      <c r="AC190">
        <v>0</v>
      </c>
      <c r="AF190">
        <v>1991</v>
      </c>
      <c r="AG190">
        <v>1995</v>
      </c>
      <c r="AO190" t="b">
        <v>0</v>
      </c>
      <c r="AT190">
        <v>1424</v>
      </c>
      <c r="AU190">
        <f t="shared" si="8"/>
        <v>3.9009999999999998</v>
      </c>
    </row>
    <row r="191" spans="1:47" x14ac:dyDescent="0.3">
      <c r="A191">
        <v>189</v>
      </c>
      <c r="B191" t="s">
        <v>946</v>
      </c>
      <c r="C191" t="s">
        <v>947</v>
      </c>
      <c r="D191">
        <v>52</v>
      </c>
      <c r="E191" t="s">
        <v>932</v>
      </c>
      <c r="F191" t="str">
        <f>VLOOKUP(E191,country_continent!A:C,2,FALSE)</f>
        <v>Trinidad and Tobago</v>
      </c>
      <c r="G191" t="str">
        <f>VLOOKUP(E191,country_continent!A:C,3,FALSE)</f>
        <v>North America</v>
      </c>
      <c r="H191" t="s">
        <v>948</v>
      </c>
      <c r="I191" s="1">
        <v>35012</v>
      </c>
      <c r="J191" s="3">
        <f t="shared" si="6"/>
        <v>35012</v>
      </c>
      <c r="K191" s="1">
        <v>37249</v>
      </c>
      <c r="L191" s="3">
        <f t="shared" si="7"/>
        <v>37249</v>
      </c>
      <c r="M191" t="s">
        <v>49</v>
      </c>
      <c r="N191" t="s">
        <v>49</v>
      </c>
      <c r="O191" t="s">
        <v>49</v>
      </c>
      <c r="P191">
        <v>0</v>
      </c>
      <c r="Q191" t="s">
        <v>50</v>
      </c>
      <c r="R191" t="s">
        <v>51</v>
      </c>
      <c r="S191">
        <v>1933</v>
      </c>
      <c r="T191">
        <v>-777</v>
      </c>
      <c r="Z191">
        <v>0</v>
      </c>
      <c r="AA191">
        <v>1</v>
      </c>
      <c r="AB191">
        <v>0</v>
      </c>
      <c r="AC191">
        <v>0</v>
      </c>
      <c r="AF191">
        <v>1995</v>
      </c>
      <c r="AG191">
        <v>2001</v>
      </c>
      <c r="AO191" t="b">
        <v>0</v>
      </c>
      <c r="AT191">
        <v>2237</v>
      </c>
      <c r="AU191">
        <f t="shared" si="8"/>
        <v>6.1289999999999996</v>
      </c>
    </row>
    <row r="192" spans="1:47" x14ac:dyDescent="0.3">
      <c r="A192">
        <v>190</v>
      </c>
      <c r="B192" t="s">
        <v>949</v>
      </c>
      <c r="C192" t="s">
        <v>943</v>
      </c>
      <c r="D192">
        <v>52</v>
      </c>
      <c r="E192" t="s">
        <v>932</v>
      </c>
      <c r="F192" t="str">
        <f>VLOOKUP(E192,country_continent!A:C,2,FALSE)</f>
        <v>Trinidad and Tobago</v>
      </c>
      <c r="G192" t="str">
        <f>VLOOKUP(E192,country_continent!A:C,3,FALSE)</f>
        <v>North America</v>
      </c>
      <c r="H192" t="s">
        <v>944</v>
      </c>
      <c r="I192" s="1">
        <v>37250</v>
      </c>
      <c r="J192" s="3">
        <f t="shared" si="6"/>
        <v>37250</v>
      </c>
      <c r="K192" s="1">
        <v>40324</v>
      </c>
      <c r="L192" s="3">
        <f t="shared" si="7"/>
        <v>40324</v>
      </c>
      <c r="M192" t="s">
        <v>49</v>
      </c>
      <c r="N192" t="s">
        <v>49</v>
      </c>
      <c r="O192" t="s">
        <v>49</v>
      </c>
      <c r="P192">
        <v>1</v>
      </c>
      <c r="Q192" t="s">
        <v>50</v>
      </c>
      <c r="R192" t="s">
        <v>51</v>
      </c>
      <c r="S192">
        <v>1947</v>
      </c>
      <c r="T192">
        <v>-777</v>
      </c>
      <c r="U192" s="1">
        <v>17396</v>
      </c>
      <c r="V192" s="2">
        <v>17396</v>
      </c>
      <c r="Z192">
        <v>0</v>
      </c>
      <c r="AA192">
        <v>1</v>
      </c>
      <c r="AB192">
        <v>0</v>
      </c>
      <c r="AC192">
        <v>0</v>
      </c>
      <c r="AF192">
        <v>2001</v>
      </c>
      <c r="AG192">
        <v>2010</v>
      </c>
      <c r="AO192" t="b">
        <v>0</v>
      </c>
      <c r="AT192">
        <v>3074</v>
      </c>
      <c r="AU192">
        <f t="shared" si="8"/>
        <v>8.4220000000000006</v>
      </c>
    </row>
    <row r="193" spans="1:47" x14ac:dyDescent="0.3">
      <c r="A193">
        <v>191</v>
      </c>
      <c r="B193" t="s">
        <v>950</v>
      </c>
      <c r="C193" t="s">
        <v>951</v>
      </c>
      <c r="D193">
        <v>52</v>
      </c>
      <c r="E193" t="s">
        <v>932</v>
      </c>
      <c r="F193" t="str">
        <f>VLOOKUP(E193,country_continent!A:C,2,FALSE)</f>
        <v>Trinidad and Tobago</v>
      </c>
      <c r="G193" t="str">
        <f>VLOOKUP(E193,country_continent!A:C,3,FALSE)</f>
        <v>North America</v>
      </c>
      <c r="H193" t="s">
        <v>952</v>
      </c>
      <c r="I193" s="1">
        <v>40324</v>
      </c>
      <c r="J193" s="3">
        <f t="shared" si="6"/>
        <v>40324</v>
      </c>
      <c r="K193" s="1">
        <v>42256</v>
      </c>
      <c r="L193" s="3">
        <f t="shared" si="7"/>
        <v>42256</v>
      </c>
      <c r="M193" t="s">
        <v>49</v>
      </c>
      <c r="N193" t="s">
        <v>49</v>
      </c>
      <c r="O193" t="s">
        <v>49</v>
      </c>
      <c r="P193">
        <v>0</v>
      </c>
      <c r="Q193" t="s">
        <v>312</v>
      </c>
      <c r="R193" t="s">
        <v>299</v>
      </c>
      <c r="S193">
        <v>1952</v>
      </c>
      <c r="T193">
        <v>-777</v>
      </c>
      <c r="U193" s="1">
        <v>19106</v>
      </c>
      <c r="V193" s="2">
        <v>19106</v>
      </c>
      <c r="Z193">
        <v>0</v>
      </c>
      <c r="AA193">
        <v>1</v>
      </c>
      <c r="AB193">
        <v>0</v>
      </c>
      <c r="AC193">
        <v>-999</v>
      </c>
      <c r="AF193">
        <v>2010</v>
      </c>
      <c r="AG193">
        <v>2015</v>
      </c>
      <c r="AO193" t="b">
        <v>0</v>
      </c>
      <c r="AT193">
        <v>1932</v>
      </c>
      <c r="AU193">
        <f t="shared" si="8"/>
        <v>5.2930000000000001</v>
      </c>
    </row>
    <row r="194" spans="1:47" x14ac:dyDescent="0.3">
      <c r="A194">
        <v>192</v>
      </c>
      <c r="B194" t="s">
        <v>953</v>
      </c>
      <c r="C194" t="s">
        <v>954</v>
      </c>
      <c r="D194">
        <v>52</v>
      </c>
      <c r="E194" t="s">
        <v>932</v>
      </c>
      <c r="F194" t="str">
        <f>VLOOKUP(E194,country_continent!A:C,2,FALSE)</f>
        <v>Trinidad and Tobago</v>
      </c>
      <c r="G194" t="str">
        <f>VLOOKUP(E194,country_continent!A:C,3,FALSE)</f>
        <v>North America</v>
      </c>
      <c r="H194" t="s">
        <v>955</v>
      </c>
      <c r="I194" s="1">
        <v>42256</v>
      </c>
      <c r="J194" s="3">
        <f t="shared" si="6"/>
        <v>42256</v>
      </c>
      <c r="K194" s="1">
        <v>42369</v>
      </c>
      <c r="L194" s="3">
        <f t="shared" si="7"/>
        <v>42369</v>
      </c>
      <c r="M194" t="s">
        <v>49</v>
      </c>
      <c r="N194" t="s">
        <v>173</v>
      </c>
      <c r="O194" t="s">
        <v>173</v>
      </c>
      <c r="P194">
        <v>0</v>
      </c>
      <c r="Q194" t="s">
        <v>174</v>
      </c>
      <c r="R194" t="s">
        <v>299</v>
      </c>
      <c r="S194">
        <v>1949</v>
      </c>
      <c r="T194">
        <v>-777</v>
      </c>
      <c r="U194" s="1">
        <v>18195</v>
      </c>
      <c r="V194" s="2">
        <v>18195</v>
      </c>
      <c r="Z194">
        <v>0</v>
      </c>
      <c r="AA194">
        <v>-888</v>
      </c>
      <c r="AB194">
        <v>-888</v>
      </c>
      <c r="AC194">
        <v>-888</v>
      </c>
      <c r="AF194">
        <v>2015</v>
      </c>
      <c r="AG194">
        <v>2015</v>
      </c>
      <c r="AO194" t="b">
        <v>0</v>
      </c>
      <c r="AT194">
        <v>113</v>
      </c>
      <c r="AU194">
        <f t="shared" si="8"/>
        <v>0.31</v>
      </c>
    </row>
    <row r="195" spans="1:47" x14ac:dyDescent="0.3">
      <c r="A195">
        <v>193</v>
      </c>
      <c r="B195" t="s">
        <v>956</v>
      </c>
      <c r="C195" t="s">
        <v>957</v>
      </c>
      <c r="D195">
        <v>53</v>
      </c>
      <c r="E195" t="s">
        <v>958</v>
      </c>
      <c r="F195" t="str">
        <f>VLOOKUP(E195,country_continent!A:C,2,FALSE)</f>
        <v>Barbados</v>
      </c>
      <c r="G195" t="str">
        <f>VLOOKUP(E195,country_continent!A:C,3,FALSE)</f>
        <v>North America</v>
      </c>
      <c r="H195" t="s">
        <v>959</v>
      </c>
      <c r="I195" s="1">
        <v>24429</v>
      </c>
      <c r="J195" s="3">
        <f t="shared" ref="J195:J258" si="9">IF(ISNUMBER(SEARCH("-", I195)), SUBSTITUTE(I195, "-", "/"), I195)</f>
        <v>24429</v>
      </c>
      <c r="K195" s="1">
        <v>28011</v>
      </c>
      <c r="L195" s="3">
        <f t="shared" ref="L195:L258" si="10">IF(ISNUMBER(SEARCH("-", K195)), SUBSTITUTE(K195, "-", "/"), K195)</f>
        <v>28011</v>
      </c>
      <c r="M195" t="s">
        <v>49</v>
      </c>
      <c r="N195" t="s">
        <v>49</v>
      </c>
      <c r="O195" t="s">
        <v>49</v>
      </c>
      <c r="P195">
        <v>0</v>
      </c>
      <c r="Q195" t="s">
        <v>50</v>
      </c>
      <c r="R195" t="s">
        <v>51</v>
      </c>
      <c r="S195">
        <v>1920</v>
      </c>
      <c r="T195">
        <v>1987</v>
      </c>
      <c r="U195" s="1">
        <v>7326</v>
      </c>
      <c r="V195" s="2">
        <v>7326</v>
      </c>
      <c r="W195" s="1">
        <v>31929</v>
      </c>
      <c r="X195" s="2">
        <v>31929</v>
      </c>
      <c r="Y195" t="s">
        <v>960</v>
      </c>
      <c r="Z195">
        <v>0</v>
      </c>
      <c r="AA195">
        <v>1</v>
      </c>
      <c r="AB195">
        <v>0</v>
      </c>
      <c r="AC195">
        <v>0</v>
      </c>
      <c r="AF195">
        <v>1966</v>
      </c>
      <c r="AG195">
        <v>1976</v>
      </c>
      <c r="AO195" t="b">
        <v>0</v>
      </c>
      <c r="AT195">
        <v>3582</v>
      </c>
      <c r="AU195">
        <f t="shared" ref="AU195:AU258" si="11">ROUND(AT195/365,3)</f>
        <v>9.8140000000000001</v>
      </c>
    </row>
    <row r="196" spans="1:47" x14ac:dyDescent="0.3">
      <c r="A196">
        <v>194</v>
      </c>
      <c r="B196" t="s">
        <v>961</v>
      </c>
      <c r="C196" t="s">
        <v>962</v>
      </c>
      <c r="D196">
        <v>53</v>
      </c>
      <c r="E196" t="s">
        <v>958</v>
      </c>
      <c r="F196" t="str">
        <f>VLOOKUP(E196,country_continent!A:C,2,FALSE)</f>
        <v>Barbados</v>
      </c>
      <c r="G196" t="str">
        <f>VLOOKUP(E196,country_continent!A:C,3,FALSE)</f>
        <v>North America</v>
      </c>
      <c r="H196" t="s">
        <v>963</v>
      </c>
      <c r="I196" s="1">
        <v>28041</v>
      </c>
      <c r="J196" s="3">
        <f t="shared" si="9"/>
        <v>28041</v>
      </c>
      <c r="K196" s="1">
        <v>31117</v>
      </c>
      <c r="L196" s="3">
        <f t="shared" si="10"/>
        <v>31117</v>
      </c>
      <c r="M196" t="s">
        <v>49</v>
      </c>
      <c r="N196" t="s">
        <v>110</v>
      </c>
      <c r="O196" t="s">
        <v>49</v>
      </c>
      <c r="P196">
        <v>0</v>
      </c>
      <c r="Q196" t="s">
        <v>111</v>
      </c>
      <c r="R196" t="s">
        <v>51</v>
      </c>
      <c r="S196">
        <v>1931</v>
      </c>
      <c r="T196">
        <v>1985</v>
      </c>
      <c r="U196" s="1">
        <v>11590</v>
      </c>
      <c r="V196" s="2">
        <v>11590</v>
      </c>
      <c r="W196" s="1">
        <v>31117</v>
      </c>
      <c r="X196" s="2">
        <v>31117</v>
      </c>
      <c r="Z196">
        <v>0</v>
      </c>
      <c r="AA196">
        <v>2</v>
      </c>
      <c r="AB196">
        <v>0</v>
      </c>
      <c r="AC196">
        <v>-777</v>
      </c>
      <c r="AF196">
        <v>1976</v>
      </c>
      <c r="AG196">
        <v>1985</v>
      </c>
      <c r="AO196" t="b">
        <v>0</v>
      </c>
      <c r="AT196">
        <v>3076</v>
      </c>
      <c r="AU196">
        <f t="shared" si="11"/>
        <v>8.4269999999999996</v>
      </c>
    </row>
    <row r="197" spans="1:47" x14ac:dyDescent="0.3">
      <c r="A197">
        <v>195</v>
      </c>
      <c r="B197" t="s">
        <v>964</v>
      </c>
      <c r="C197" t="s">
        <v>965</v>
      </c>
      <c r="D197">
        <v>53</v>
      </c>
      <c r="E197" t="s">
        <v>958</v>
      </c>
      <c r="F197" t="str">
        <f>VLOOKUP(E197,country_continent!A:C,2,FALSE)</f>
        <v>Barbados</v>
      </c>
      <c r="G197" t="str">
        <f>VLOOKUP(E197,country_continent!A:C,3,FALSE)</f>
        <v>North America</v>
      </c>
      <c r="H197" t="s">
        <v>966</v>
      </c>
      <c r="I197" s="1">
        <v>31117</v>
      </c>
      <c r="J197" s="3">
        <f t="shared" si="9"/>
        <v>31117</v>
      </c>
      <c r="K197" s="1">
        <v>31561</v>
      </c>
      <c r="L197" s="3">
        <f t="shared" si="10"/>
        <v>31561</v>
      </c>
      <c r="M197" t="s">
        <v>49</v>
      </c>
      <c r="N197" t="s">
        <v>49</v>
      </c>
      <c r="O197" t="s">
        <v>49</v>
      </c>
      <c r="P197">
        <v>0</v>
      </c>
      <c r="Q197" t="s">
        <v>50</v>
      </c>
      <c r="R197" t="s">
        <v>51</v>
      </c>
      <c r="S197">
        <v>1931</v>
      </c>
      <c r="T197">
        <v>2004</v>
      </c>
      <c r="U197" s="1">
        <v>11551</v>
      </c>
      <c r="V197" s="2">
        <v>11551</v>
      </c>
      <c r="Y197" t="s">
        <v>967</v>
      </c>
      <c r="Z197">
        <v>0</v>
      </c>
      <c r="AA197">
        <v>1</v>
      </c>
      <c r="AB197">
        <v>0</v>
      </c>
      <c r="AC197">
        <v>0</v>
      </c>
      <c r="AF197">
        <v>1985</v>
      </c>
      <c r="AG197">
        <v>1986</v>
      </c>
      <c r="AO197" t="b">
        <v>0</v>
      </c>
      <c r="AT197">
        <v>444</v>
      </c>
      <c r="AU197">
        <f t="shared" si="11"/>
        <v>1.216</v>
      </c>
    </row>
    <row r="198" spans="1:47" x14ac:dyDescent="0.3">
      <c r="A198">
        <v>196</v>
      </c>
      <c r="B198" t="s">
        <v>968</v>
      </c>
      <c r="C198" t="s">
        <v>957</v>
      </c>
      <c r="D198">
        <v>53</v>
      </c>
      <c r="E198" t="s">
        <v>958</v>
      </c>
      <c r="F198" t="str">
        <f>VLOOKUP(E198,country_continent!A:C,2,FALSE)</f>
        <v>Barbados</v>
      </c>
      <c r="G198" t="str">
        <f>VLOOKUP(E198,country_continent!A:C,3,FALSE)</f>
        <v>North America</v>
      </c>
      <c r="H198" t="s">
        <v>959</v>
      </c>
      <c r="I198" s="1">
        <v>31561</v>
      </c>
      <c r="J198" s="3">
        <f t="shared" si="9"/>
        <v>31561</v>
      </c>
      <c r="K198" s="1">
        <v>31929</v>
      </c>
      <c r="L198" s="3">
        <f t="shared" si="10"/>
        <v>31929</v>
      </c>
      <c r="M198" t="s">
        <v>49</v>
      </c>
      <c r="N198" t="s">
        <v>110</v>
      </c>
      <c r="O198" t="s">
        <v>49</v>
      </c>
      <c r="P198">
        <v>1</v>
      </c>
      <c r="Q198" t="s">
        <v>111</v>
      </c>
      <c r="R198" t="s">
        <v>51</v>
      </c>
      <c r="S198">
        <v>1920</v>
      </c>
      <c r="T198">
        <v>1987</v>
      </c>
      <c r="U198" s="1">
        <v>7326</v>
      </c>
      <c r="V198" s="2">
        <v>7326</v>
      </c>
      <c r="W198" s="1">
        <v>31929</v>
      </c>
      <c r="X198" s="2">
        <v>31929</v>
      </c>
      <c r="Y198" t="s">
        <v>960</v>
      </c>
      <c r="Z198">
        <v>0</v>
      </c>
      <c r="AA198">
        <v>2</v>
      </c>
      <c r="AB198">
        <v>0</v>
      </c>
      <c r="AC198">
        <v>-777</v>
      </c>
      <c r="AF198">
        <v>1986</v>
      </c>
      <c r="AG198">
        <v>1987</v>
      </c>
      <c r="AO198" t="b">
        <v>0</v>
      </c>
      <c r="AT198">
        <v>368</v>
      </c>
      <c r="AU198">
        <f t="shared" si="11"/>
        <v>1.008</v>
      </c>
    </row>
    <row r="199" spans="1:47" x14ac:dyDescent="0.3">
      <c r="A199">
        <v>197</v>
      </c>
      <c r="B199" t="s">
        <v>969</v>
      </c>
      <c r="C199" t="s">
        <v>970</v>
      </c>
      <c r="D199">
        <v>53</v>
      </c>
      <c r="E199" t="s">
        <v>958</v>
      </c>
      <c r="F199" t="str">
        <f>VLOOKUP(E199,country_continent!A:C,2,FALSE)</f>
        <v>Barbados</v>
      </c>
      <c r="G199" t="str">
        <f>VLOOKUP(E199,country_continent!A:C,3,FALSE)</f>
        <v>North America</v>
      </c>
      <c r="H199" t="s">
        <v>971</v>
      </c>
      <c r="I199" s="1">
        <v>31929</v>
      </c>
      <c r="J199" s="3">
        <f t="shared" si="9"/>
        <v>31929</v>
      </c>
      <c r="K199" s="1">
        <v>34584</v>
      </c>
      <c r="L199" s="3">
        <f t="shared" si="10"/>
        <v>34584</v>
      </c>
      <c r="M199" t="s">
        <v>49</v>
      </c>
      <c r="N199" t="s">
        <v>49</v>
      </c>
      <c r="O199" t="s">
        <v>49</v>
      </c>
      <c r="P199">
        <v>0</v>
      </c>
      <c r="Q199" t="s">
        <v>50</v>
      </c>
      <c r="R199" t="s">
        <v>51</v>
      </c>
      <c r="S199">
        <v>1937</v>
      </c>
      <c r="T199">
        <v>-777</v>
      </c>
      <c r="U199" s="1">
        <v>13598</v>
      </c>
      <c r="V199" s="2">
        <v>13598</v>
      </c>
      <c r="Y199" t="s">
        <v>972</v>
      </c>
      <c r="Z199">
        <v>0</v>
      </c>
      <c r="AA199">
        <v>1</v>
      </c>
      <c r="AB199">
        <v>0</v>
      </c>
      <c r="AC199">
        <v>0</v>
      </c>
      <c r="AF199">
        <v>1987</v>
      </c>
      <c r="AG199">
        <v>1994</v>
      </c>
      <c r="AO199" t="b">
        <v>0</v>
      </c>
      <c r="AT199">
        <v>2655</v>
      </c>
      <c r="AU199">
        <f t="shared" si="11"/>
        <v>7.274</v>
      </c>
    </row>
    <row r="200" spans="1:47" x14ac:dyDescent="0.3">
      <c r="A200">
        <v>198</v>
      </c>
      <c r="B200" t="s">
        <v>973</v>
      </c>
      <c r="C200" t="s">
        <v>974</v>
      </c>
      <c r="D200">
        <v>53</v>
      </c>
      <c r="E200" t="s">
        <v>958</v>
      </c>
      <c r="F200" t="str">
        <f>VLOOKUP(E200,country_continent!A:C,2,FALSE)</f>
        <v>Barbados</v>
      </c>
      <c r="G200" t="str">
        <f>VLOOKUP(E200,country_continent!A:C,3,FALSE)</f>
        <v>North America</v>
      </c>
      <c r="H200" t="s">
        <v>73</v>
      </c>
      <c r="I200" s="1">
        <v>34584</v>
      </c>
      <c r="J200" s="3">
        <f t="shared" si="9"/>
        <v>34584</v>
      </c>
      <c r="K200" s="1">
        <v>39463</v>
      </c>
      <c r="L200" s="3">
        <f t="shared" si="10"/>
        <v>39463</v>
      </c>
      <c r="M200" t="s">
        <v>49</v>
      </c>
      <c r="N200" t="s">
        <v>49</v>
      </c>
      <c r="O200" t="s">
        <v>49</v>
      </c>
      <c r="P200">
        <v>0</v>
      </c>
      <c r="Q200" t="s">
        <v>50</v>
      </c>
      <c r="R200" t="s">
        <v>51</v>
      </c>
      <c r="S200">
        <v>1949</v>
      </c>
      <c r="T200">
        <v>-777</v>
      </c>
      <c r="Z200">
        <v>0</v>
      </c>
      <c r="AA200">
        <v>1</v>
      </c>
      <c r="AB200">
        <v>0</v>
      </c>
      <c r="AC200">
        <v>0</v>
      </c>
      <c r="AF200">
        <v>1994</v>
      </c>
      <c r="AG200">
        <v>2008</v>
      </c>
      <c r="AO200" t="b">
        <v>0</v>
      </c>
      <c r="AT200">
        <v>4879</v>
      </c>
      <c r="AU200">
        <f t="shared" si="11"/>
        <v>13.367000000000001</v>
      </c>
    </row>
    <row r="201" spans="1:47" x14ac:dyDescent="0.3">
      <c r="A201">
        <v>199</v>
      </c>
      <c r="B201" t="s">
        <v>975</v>
      </c>
      <c r="C201" t="s">
        <v>976</v>
      </c>
      <c r="D201">
        <v>53</v>
      </c>
      <c r="E201" t="s">
        <v>958</v>
      </c>
      <c r="F201" t="str">
        <f>VLOOKUP(E201,country_continent!A:C,2,FALSE)</f>
        <v>Barbados</v>
      </c>
      <c r="G201" t="str">
        <f>VLOOKUP(E201,country_continent!A:C,3,FALSE)</f>
        <v>North America</v>
      </c>
      <c r="H201" t="s">
        <v>203</v>
      </c>
      <c r="I201" s="1">
        <v>39463</v>
      </c>
      <c r="J201" s="3">
        <f t="shared" si="9"/>
        <v>39463</v>
      </c>
      <c r="K201" s="1">
        <v>40474</v>
      </c>
      <c r="L201" s="3">
        <f t="shared" si="10"/>
        <v>40474</v>
      </c>
      <c r="M201" t="s">
        <v>49</v>
      </c>
      <c r="N201" t="s">
        <v>110</v>
      </c>
      <c r="O201" t="s">
        <v>49</v>
      </c>
      <c r="P201">
        <v>0</v>
      </c>
      <c r="Q201" t="s">
        <v>111</v>
      </c>
      <c r="R201" t="s">
        <v>51</v>
      </c>
      <c r="S201">
        <v>1961</v>
      </c>
      <c r="T201">
        <v>2010</v>
      </c>
      <c r="Z201">
        <v>0</v>
      </c>
      <c r="AA201">
        <v>2</v>
      </c>
      <c r="AB201">
        <v>0</v>
      </c>
      <c r="AC201">
        <v>-777</v>
      </c>
      <c r="AF201">
        <v>2008</v>
      </c>
      <c r="AG201">
        <v>2010</v>
      </c>
      <c r="AO201" t="b">
        <v>0</v>
      </c>
      <c r="AT201">
        <v>1011</v>
      </c>
      <c r="AU201">
        <f t="shared" si="11"/>
        <v>2.77</v>
      </c>
    </row>
    <row r="202" spans="1:47" x14ac:dyDescent="0.3">
      <c r="A202">
        <v>200</v>
      </c>
      <c r="B202" t="s">
        <v>977</v>
      </c>
      <c r="C202" t="s">
        <v>978</v>
      </c>
      <c r="D202">
        <v>53</v>
      </c>
      <c r="E202" t="s">
        <v>958</v>
      </c>
      <c r="F202" t="str">
        <f>VLOOKUP(E202,country_continent!A:C,2,FALSE)</f>
        <v>Barbados</v>
      </c>
      <c r="G202" t="str">
        <f>VLOOKUP(E202,country_continent!A:C,3,FALSE)</f>
        <v>North America</v>
      </c>
      <c r="H202" t="s">
        <v>979</v>
      </c>
      <c r="I202" s="1">
        <v>40474</v>
      </c>
      <c r="J202" s="3">
        <f t="shared" si="9"/>
        <v>40474</v>
      </c>
      <c r="K202" s="1">
        <v>42369</v>
      </c>
      <c r="L202" s="3">
        <f t="shared" si="10"/>
        <v>42369</v>
      </c>
      <c r="M202" t="s">
        <v>49</v>
      </c>
      <c r="N202" t="s">
        <v>173</v>
      </c>
      <c r="O202" t="s">
        <v>173</v>
      </c>
      <c r="P202">
        <v>0</v>
      </c>
      <c r="Q202" t="s">
        <v>174</v>
      </c>
      <c r="R202" t="s">
        <v>51</v>
      </c>
      <c r="S202">
        <v>1951</v>
      </c>
      <c r="T202">
        <v>-777</v>
      </c>
      <c r="U202" s="1">
        <v>18745</v>
      </c>
      <c r="V202" s="2">
        <v>18745</v>
      </c>
      <c r="Z202">
        <v>0</v>
      </c>
      <c r="AA202">
        <v>-888</v>
      </c>
      <c r="AB202">
        <v>-888</v>
      </c>
      <c r="AC202">
        <v>-888</v>
      </c>
      <c r="AF202">
        <v>2010</v>
      </c>
      <c r="AG202">
        <v>2015</v>
      </c>
      <c r="AO202" t="b">
        <v>0</v>
      </c>
      <c r="AT202">
        <v>1895</v>
      </c>
      <c r="AU202">
        <f t="shared" si="11"/>
        <v>5.1920000000000002</v>
      </c>
    </row>
    <row r="203" spans="1:47" x14ac:dyDescent="0.3">
      <c r="A203">
        <v>201</v>
      </c>
      <c r="B203" t="s">
        <v>980</v>
      </c>
      <c r="C203" t="s">
        <v>981</v>
      </c>
      <c r="D203">
        <v>70</v>
      </c>
      <c r="E203" t="s">
        <v>982</v>
      </c>
      <c r="F203" t="str">
        <f>VLOOKUP(E203,country_continent!A:C,2,FALSE)</f>
        <v>Mexico</v>
      </c>
      <c r="G203" t="str">
        <f>VLOOKUP(E203,country_continent!A:C,3,FALSE)</f>
        <v>North America</v>
      </c>
      <c r="H203" t="s">
        <v>983</v>
      </c>
      <c r="I203" t="s">
        <v>984</v>
      </c>
      <c r="J203" s="3" t="str">
        <f t="shared" si="9"/>
        <v>1872/07/19</v>
      </c>
      <c r="K203" t="s">
        <v>985</v>
      </c>
      <c r="L203" s="3" t="str">
        <f t="shared" si="10"/>
        <v>1876/11/21</v>
      </c>
      <c r="M203" t="s">
        <v>49</v>
      </c>
      <c r="N203" t="s">
        <v>67</v>
      </c>
      <c r="O203" t="s">
        <v>347</v>
      </c>
      <c r="P203">
        <v>0</v>
      </c>
      <c r="Q203" t="s">
        <v>362</v>
      </c>
      <c r="R203" t="s">
        <v>51</v>
      </c>
      <c r="S203">
        <v>1825</v>
      </c>
      <c r="T203">
        <v>1889</v>
      </c>
      <c r="U203" t="s">
        <v>986</v>
      </c>
      <c r="V203" t="s">
        <v>987</v>
      </c>
      <c r="W203" t="s">
        <v>988</v>
      </c>
      <c r="X203" t="s">
        <v>989</v>
      </c>
      <c r="Y203" t="s">
        <v>990</v>
      </c>
      <c r="Z203">
        <v>0</v>
      </c>
      <c r="AA203">
        <v>3</v>
      </c>
      <c r="AB203">
        <v>-999</v>
      </c>
      <c r="AC203">
        <v>1</v>
      </c>
      <c r="AF203">
        <v>1872</v>
      </c>
      <c r="AG203">
        <v>1876</v>
      </c>
      <c r="AO203" t="b">
        <v>1</v>
      </c>
      <c r="AP203" t="s">
        <v>45</v>
      </c>
      <c r="AQ203">
        <v>1863</v>
      </c>
      <c r="AR203">
        <v>1971</v>
      </c>
      <c r="AS203" t="s">
        <v>991</v>
      </c>
      <c r="AT203">
        <v>4.3422313483915103</v>
      </c>
      <c r="AU203">
        <f t="shared" si="11"/>
        <v>1.2E-2</v>
      </c>
    </row>
    <row r="204" spans="1:47" x14ac:dyDescent="0.3">
      <c r="A204">
        <v>202</v>
      </c>
      <c r="B204" t="s">
        <v>992</v>
      </c>
      <c r="C204" t="s">
        <v>993</v>
      </c>
      <c r="D204">
        <v>70</v>
      </c>
      <c r="E204" t="s">
        <v>982</v>
      </c>
      <c r="F204" t="str">
        <f>VLOOKUP(E204,country_continent!A:C,2,FALSE)</f>
        <v>Mexico</v>
      </c>
      <c r="G204" t="str">
        <f>VLOOKUP(E204,country_continent!A:C,3,FALSE)</f>
        <v>North America</v>
      </c>
      <c r="H204" t="s">
        <v>994</v>
      </c>
      <c r="I204" t="s">
        <v>995</v>
      </c>
      <c r="J204" s="3" t="str">
        <f t="shared" si="9"/>
        <v>1876/11/23</v>
      </c>
      <c r="K204" s="1">
        <v>4163</v>
      </c>
      <c r="L204" s="3">
        <f t="shared" si="10"/>
        <v>4163</v>
      </c>
      <c r="M204" t="s">
        <v>67</v>
      </c>
      <c r="N204" t="s">
        <v>67</v>
      </c>
      <c r="O204" t="s">
        <v>347</v>
      </c>
      <c r="P204">
        <v>0</v>
      </c>
      <c r="Q204" t="s">
        <v>362</v>
      </c>
      <c r="R204" t="s">
        <v>51</v>
      </c>
      <c r="S204">
        <v>1830</v>
      </c>
      <c r="T204">
        <v>1915</v>
      </c>
      <c r="U204" t="s">
        <v>996</v>
      </c>
      <c r="V204" t="s">
        <v>997</v>
      </c>
      <c r="W204" s="1">
        <v>5662</v>
      </c>
      <c r="X204" s="2">
        <v>5662</v>
      </c>
      <c r="Y204" t="s">
        <v>998</v>
      </c>
      <c r="Z204">
        <v>1</v>
      </c>
      <c r="AA204">
        <v>3</v>
      </c>
      <c r="AB204">
        <v>-999</v>
      </c>
      <c r="AC204">
        <v>1</v>
      </c>
      <c r="AF204">
        <v>1876</v>
      </c>
      <c r="AG204">
        <v>1911</v>
      </c>
      <c r="AO204" t="b">
        <v>1</v>
      </c>
      <c r="AP204" t="s">
        <v>45</v>
      </c>
      <c r="AQ204">
        <v>1863</v>
      </c>
      <c r="AR204">
        <v>1971</v>
      </c>
      <c r="AS204" t="s">
        <v>999</v>
      </c>
      <c r="AT204">
        <v>34.496919917864403</v>
      </c>
      <c r="AU204">
        <f t="shared" si="11"/>
        <v>9.5000000000000001E-2</v>
      </c>
    </row>
    <row r="205" spans="1:47" x14ac:dyDescent="0.3">
      <c r="A205">
        <v>203</v>
      </c>
      <c r="B205" t="s">
        <v>1000</v>
      </c>
      <c r="C205" t="s">
        <v>1001</v>
      </c>
      <c r="D205">
        <v>70</v>
      </c>
      <c r="E205" t="s">
        <v>982</v>
      </c>
      <c r="F205" t="str">
        <f>VLOOKUP(E205,country_continent!A:C,2,FALSE)</f>
        <v>Mexico</v>
      </c>
      <c r="G205" t="str">
        <f>VLOOKUP(E205,country_continent!A:C,3,FALSE)</f>
        <v>North America</v>
      </c>
      <c r="H205" t="s">
        <v>1002</v>
      </c>
      <c r="I205" s="1">
        <v>4164</v>
      </c>
      <c r="J205" s="3">
        <f t="shared" si="9"/>
        <v>4164</v>
      </c>
      <c r="K205" s="1">
        <v>4328</v>
      </c>
      <c r="L205" s="3">
        <f t="shared" si="10"/>
        <v>4328</v>
      </c>
      <c r="M205" t="s">
        <v>49</v>
      </c>
      <c r="N205" t="s">
        <v>49</v>
      </c>
      <c r="O205" t="s">
        <v>49</v>
      </c>
      <c r="P205">
        <v>0</v>
      </c>
      <c r="Q205" t="s">
        <v>362</v>
      </c>
      <c r="R205" t="s">
        <v>51</v>
      </c>
      <c r="S205">
        <v>1863</v>
      </c>
      <c r="T205">
        <v>1939</v>
      </c>
      <c r="U205" t="s">
        <v>1003</v>
      </c>
      <c r="V205" t="s">
        <v>1004</v>
      </c>
      <c r="Y205" t="s">
        <v>1005</v>
      </c>
      <c r="Z205">
        <v>0</v>
      </c>
      <c r="AA205">
        <v>1</v>
      </c>
      <c r="AB205">
        <v>0</v>
      </c>
      <c r="AC205">
        <v>1</v>
      </c>
      <c r="AF205">
        <v>1911</v>
      </c>
      <c r="AG205">
        <v>1911</v>
      </c>
      <c r="AO205" t="b">
        <v>1</v>
      </c>
      <c r="AP205" t="s">
        <v>45</v>
      </c>
      <c r="AQ205">
        <v>1863</v>
      </c>
      <c r="AR205">
        <v>1971</v>
      </c>
      <c r="AS205" t="s">
        <v>1006</v>
      </c>
      <c r="AT205">
        <v>0.44900752908966401</v>
      </c>
      <c r="AU205">
        <f t="shared" si="11"/>
        <v>1E-3</v>
      </c>
    </row>
    <row r="206" spans="1:47" x14ac:dyDescent="0.3">
      <c r="A206">
        <v>204</v>
      </c>
      <c r="B206" t="s">
        <v>1007</v>
      </c>
      <c r="C206" t="s">
        <v>1008</v>
      </c>
      <c r="D206">
        <v>70</v>
      </c>
      <c r="E206" t="s">
        <v>982</v>
      </c>
      <c r="F206" t="str">
        <f>VLOOKUP(E206,country_continent!A:C,2,FALSE)</f>
        <v>Mexico</v>
      </c>
      <c r="G206" t="str">
        <f>VLOOKUP(E206,country_continent!A:C,3,FALSE)</f>
        <v>North America</v>
      </c>
      <c r="H206" t="s">
        <v>1009</v>
      </c>
      <c r="I206" s="1">
        <v>4328</v>
      </c>
      <c r="J206" s="3">
        <f t="shared" si="9"/>
        <v>4328</v>
      </c>
      <c r="K206" s="1">
        <v>4799</v>
      </c>
      <c r="L206" s="3">
        <f t="shared" si="10"/>
        <v>4799</v>
      </c>
      <c r="M206" t="s">
        <v>49</v>
      </c>
      <c r="N206" t="s">
        <v>67</v>
      </c>
      <c r="O206" t="s">
        <v>347</v>
      </c>
      <c r="P206">
        <v>0</v>
      </c>
      <c r="Q206" t="s">
        <v>69</v>
      </c>
      <c r="R206" t="s">
        <v>51</v>
      </c>
      <c r="S206">
        <v>1873</v>
      </c>
      <c r="T206">
        <v>1913</v>
      </c>
      <c r="U206" t="s">
        <v>1010</v>
      </c>
      <c r="V206" t="s">
        <v>1011</v>
      </c>
      <c r="W206" s="1">
        <v>4802</v>
      </c>
      <c r="X206" s="2">
        <v>4802</v>
      </c>
      <c r="Y206" t="s">
        <v>1012</v>
      </c>
      <c r="Z206">
        <v>0</v>
      </c>
      <c r="AA206">
        <v>3</v>
      </c>
      <c r="AB206">
        <v>-999</v>
      </c>
      <c r="AC206">
        <v>3</v>
      </c>
      <c r="AF206">
        <v>1911</v>
      </c>
      <c r="AG206">
        <v>1913</v>
      </c>
      <c r="AO206" t="b">
        <v>1</v>
      </c>
      <c r="AP206" t="s">
        <v>45</v>
      </c>
      <c r="AQ206">
        <v>1863</v>
      </c>
      <c r="AR206">
        <v>1971</v>
      </c>
      <c r="AS206" t="s">
        <v>1013</v>
      </c>
      <c r="AT206">
        <v>1.28952772073921</v>
      </c>
      <c r="AU206">
        <f t="shared" si="11"/>
        <v>4.0000000000000001E-3</v>
      </c>
    </row>
    <row r="207" spans="1:47" x14ac:dyDescent="0.3">
      <c r="A207">
        <v>205</v>
      </c>
      <c r="B207" t="s">
        <v>1014</v>
      </c>
      <c r="C207" t="s">
        <v>1015</v>
      </c>
      <c r="D207">
        <v>70</v>
      </c>
      <c r="E207" t="s">
        <v>982</v>
      </c>
      <c r="F207" t="str">
        <f>VLOOKUP(E207,country_continent!A:C,2,FALSE)</f>
        <v>Mexico</v>
      </c>
      <c r="G207" t="str">
        <f>VLOOKUP(E207,country_continent!A:C,3,FALSE)</f>
        <v>North America</v>
      </c>
      <c r="H207" t="s">
        <v>1016</v>
      </c>
      <c r="I207" s="1">
        <v>4799</v>
      </c>
      <c r="J207" s="3">
        <f t="shared" si="9"/>
        <v>4799</v>
      </c>
      <c r="K207" s="1">
        <v>5310</v>
      </c>
      <c r="L207" s="3">
        <f t="shared" si="10"/>
        <v>5310</v>
      </c>
      <c r="M207" t="s">
        <v>67</v>
      </c>
      <c r="N207" t="s">
        <v>67</v>
      </c>
      <c r="O207" t="s">
        <v>347</v>
      </c>
      <c r="P207">
        <v>0</v>
      </c>
      <c r="Q207" t="s">
        <v>362</v>
      </c>
      <c r="R207" t="s">
        <v>51</v>
      </c>
      <c r="S207">
        <v>1845</v>
      </c>
      <c r="T207">
        <v>1916</v>
      </c>
      <c r="U207" t="s">
        <v>1017</v>
      </c>
      <c r="V207" t="s">
        <v>1018</v>
      </c>
      <c r="W207" s="1">
        <v>5857</v>
      </c>
      <c r="X207" s="2">
        <v>5857</v>
      </c>
      <c r="Y207" t="s">
        <v>1019</v>
      </c>
      <c r="Z207">
        <v>1</v>
      </c>
      <c r="AA207">
        <v>3</v>
      </c>
      <c r="AB207">
        <v>-999</v>
      </c>
      <c r="AC207">
        <v>1</v>
      </c>
      <c r="AF207">
        <v>1913</v>
      </c>
      <c r="AG207">
        <v>1914</v>
      </c>
      <c r="AO207" t="b">
        <v>1</v>
      </c>
      <c r="AP207" t="s">
        <v>45</v>
      </c>
      <c r="AQ207">
        <v>1863</v>
      </c>
      <c r="AR207">
        <v>1971</v>
      </c>
      <c r="AS207" t="s">
        <v>1020</v>
      </c>
      <c r="AT207">
        <v>1.3990417522245</v>
      </c>
      <c r="AU207">
        <f t="shared" si="11"/>
        <v>4.0000000000000001E-3</v>
      </c>
    </row>
    <row r="208" spans="1:47" x14ac:dyDescent="0.3">
      <c r="A208">
        <v>206</v>
      </c>
      <c r="B208" t="s">
        <v>1021</v>
      </c>
      <c r="C208" t="s">
        <v>1022</v>
      </c>
      <c r="D208">
        <v>70</v>
      </c>
      <c r="E208" t="s">
        <v>982</v>
      </c>
      <c r="F208" t="str">
        <f>VLOOKUP(E208,country_continent!A:C,2,FALSE)</f>
        <v>Mexico</v>
      </c>
      <c r="G208" t="str">
        <f>VLOOKUP(E208,country_continent!A:C,3,FALSE)</f>
        <v>North America</v>
      </c>
      <c r="H208" t="s">
        <v>1023</v>
      </c>
      <c r="I208" s="1">
        <v>5771</v>
      </c>
      <c r="J208" s="3">
        <f t="shared" si="9"/>
        <v>5771</v>
      </c>
      <c r="K208" s="1">
        <v>7432</v>
      </c>
      <c r="L208" s="3">
        <f t="shared" si="10"/>
        <v>7432</v>
      </c>
      <c r="M208" t="s">
        <v>67</v>
      </c>
      <c r="N208" t="s">
        <v>67</v>
      </c>
      <c r="O208" t="s">
        <v>433</v>
      </c>
      <c r="P208">
        <v>0</v>
      </c>
      <c r="Q208" t="s">
        <v>69</v>
      </c>
      <c r="R208" t="s">
        <v>51</v>
      </c>
      <c r="S208">
        <v>1859</v>
      </c>
      <c r="T208">
        <v>1920</v>
      </c>
      <c r="U208" t="s">
        <v>1024</v>
      </c>
      <c r="V208" t="s">
        <v>1025</v>
      </c>
      <c r="W208" s="1">
        <v>7447</v>
      </c>
      <c r="X208" s="2">
        <v>7447</v>
      </c>
      <c r="Y208" t="s">
        <v>1026</v>
      </c>
      <c r="Z208">
        <v>1</v>
      </c>
      <c r="AA208">
        <v>3</v>
      </c>
      <c r="AB208">
        <v>4</v>
      </c>
      <c r="AC208">
        <v>3</v>
      </c>
      <c r="AF208">
        <v>1915</v>
      </c>
      <c r="AG208">
        <v>1920</v>
      </c>
      <c r="AO208" t="b">
        <v>1</v>
      </c>
      <c r="AP208" t="s">
        <v>45</v>
      </c>
      <c r="AQ208">
        <v>1863</v>
      </c>
      <c r="AR208">
        <v>1971</v>
      </c>
      <c r="AS208" t="s">
        <v>1027</v>
      </c>
      <c r="AT208">
        <v>4.5475701574264198</v>
      </c>
      <c r="AU208">
        <f t="shared" si="11"/>
        <v>1.2E-2</v>
      </c>
    </row>
    <row r="209" spans="1:47" x14ac:dyDescent="0.3">
      <c r="A209">
        <v>207</v>
      </c>
      <c r="B209" t="s">
        <v>1028</v>
      </c>
      <c r="C209" t="s">
        <v>1029</v>
      </c>
      <c r="D209">
        <v>70</v>
      </c>
      <c r="E209" t="s">
        <v>982</v>
      </c>
      <c r="F209" t="str">
        <f>VLOOKUP(E209,country_continent!A:C,2,FALSE)</f>
        <v>Mexico</v>
      </c>
      <c r="G209" t="str">
        <f>VLOOKUP(E209,country_continent!A:C,3,FALSE)</f>
        <v>North America</v>
      </c>
      <c r="H209" t="s">
        <v>1030</v>
      </c>
      <c r="I209" s="1">
        <v>7450</v>
      </c>
      <c r="J209" s="3">
        <f t="shared" si="9"/>
        <v>7450</v>
      </c>
      <c r="K209" s="1">
        <v>7641</v>
      </c>
      <c r="L209" s="3">
        <f t="shared" si="10"/>
        <v>7641</v>
      </c>
      <c r="M209" t="s">
        <v>49</v>
      </c>
      <c r="N209" t="s">
        <v>49</v>
      </c>
      <c r="O209" t="s">
        <v>49</v>
      </c>
      <c r="P209">
        <v>0</v>
      </c>
      <c r="Q209" t="s">
        <v>50</v>
      </c>
      <c r="R209" t="s">
        <v>51</v>
      </c>
      <c r="S209">
        <v>1881</v>
      </c>
      <c r="T209">
        <v>1955</v>
      </c>
      <c r="U209" t="s">
        <v>1031</v>
      </c>
      <c r="V209" t="s">
        <v>1032</v>
      </c>
      <c r="W209" s="1">
        <v>20279</v>
      </c>
      <c r="X209" s="2">
        <v>20279</v>
      </c>
      <c r="Y209" t="s">
        <v>1033</v>
      </c>
      <c r="Z209">
        <v>0</v>
      </c>
      <c r="AA209">
        <v>1</v>
      </c>
      <c r="AB209">
        <v>0</v>
      </c>
      <c r="AC209">
        <v>0</v>
      </c>
      <c r="AF209">
        <v>1920</v>
      </c>
      <c r="AG209">
        <v>1920</v>
      </c>
      <c r="AO209" t="b">
        <v>1</v>
      </c>
      <c r="AP209" t="s">
        <v>45</v>
      </c>
      <c r="AQ209">
        <v>1863</v>
      </c>
      <c r="AR209">
        <v>1971</v>
      </c>
      <c r="AS209" t="s">
        <v>1034</v>
      </c>
      <c r="AT209">
        <v>0.52292950034223096</v>
      </c>
      <c r="AU209">
        <f t="shared" si="11"/>
        <v>1E-3</v>
      </c>
    </row>
    <row r="210" spans="1:47" x14ac:dyDescent="0.3">
      <c r="A210">
        <v>208</v>
      </c>
      <c r="B210" t="s">
        <v>1035</v>
      </c>
      <c r="C210" t="s">
        <v>1036</v>
      </c>
      <c r="D210">
        <v>70</v>
      </c>
      <c r="E210" t="s">
        <v>982</v>
      </c>
      <c r="F210" t="str">
        <f>VLOOKUP(E210,country_continent!A:C,2,FALSE)</f>
        <v>Mexico</v>
      </c>
      <c r="G210" t="str">
        <f>VLOOKUP(E210,country_continent!A:C,3,FALSE)</f>
        <v>North America</v>
      </c>
      <c r="H210" t="s">
        <v>1037</v>
      </c>
      <c r="I210" s="1">
        <v>7641</v>
      </c>
      <c r="J210" s="3">
        <f t="shared" si="9"/>
        <v>7641</v>
      </c>
      <c r="K210" s="1">
        <v>9102</v>
      </c>
      <c r="L210" s="3">
        <f t="shared" si="10"/>
        <v>9102</v>
      </c>
      <c r="M210" t="s">
        <v>67</v>
      </c>
      <c r="N210" t="s">
        <v>49</v>
      </c>
      <c r="O210" t="s">
        <v>49</v>
      </c>
      <c r="P210">
        <v>0</v>
      </c>
      <c r="Q210" t="s">
        <v>50</v>
      </c>
      <c r="R210" t="s">
        <v>51</v>
      </c>
      <c r="S210">
        <v>1890</v>
      </c>
      <c r="T210">
        <v>1928</v>
      </c>
      <c r="U210" t="s">
        <v>1038</v>
      </c>
      <c r="V210" t="s">
        <v>1039</v>
      </c>
      <c r="W210" s="1">
        <v>10426</v>
      </c>
      <c r="X210" s="2">
        <v>10426</v>
      </c>
      <c r="Y210" t="s">
        <v>1040</v>
      </c>
      <c r="Z210">
        <v>1</v>
      </c>
      <c r="AA210">
        <v>1</v>
      </c>
      <c r="AB210">
        <v>0</v>
      </c>
      <c r="AC210">
        <v>0</v>
      </c>
      <c r="AF210">
        <v>1920</v>
      </c>
      <c r="AG210">
        <v>1924</v>
      </c>
      <c r="AO210" t="b">
        <v>1</v>
      </c>
      <c r="AP210" t="s">
        <v>45</v>
      </c>
      <c r="AQ210">
        <v>1863</v>
      </c>
      <c r="AR210">
        <v>1971</v>
      </c>
      <c r="AS210" t="s">
        <v>1041</v>
      </c>
      <c r="AT210">
        <v>4</v>
      </c>
      <c r="AU210">
        <f t="shared" si="11"/>
        <v>1.0999999999999999E-2</v>
      </c>
    </row>
    <row r="211" spans="1:47" x14ac:dyDescent="0.3">
      <c r="A211">
        <v>209</v>
      </c>
      <c r="B211" t="s">
        <v>1042</v>
      </c>
      <c r="C211" t="s">
        <v>1043</v>
      </c>
      <c r="D211">
        <v>70</v>
      </c>
      <c r="E211" t="s">
        <v>982</v>
      </c>
      <c r="F211" t="str">
        <f>VLOOKUP(E211,country_continent!A:C,2,FALSE)</f>
        <v>Mexico</v>
      </c>
      <c r="G211" t="str">
        <f>VLOOKUP(E211,country_continent!A:C,3,FALSE)</f>
        <v>North America</v>
      </c>
      <c r="H211" t="s">
        <v>1044</v>
      </c>
      <c r="I211" s="1">
        <v>9102</v>
      </c>
      <c r="J211" s="3">
        <f t="shared" si="9"/>
        <v>9102</v>
      </c>
      <c r="K211" s="1">
        <v>10563</v>
      </c>
      <c r="L211" s="3">
        <f t="shared" si="10"/>
        <v>10563</v>
      </c>
      <c r="M211" t="s">
        <v>49</v>
      </c>
      <c r="N211" t="s">
        <v>49</v>
      </c>
      <c r="O211" t="s">
        <v>49</v>
      </c>
      <c r="P211">
        <v>0</v>
      </c>
      <c r="Q211" t="s">
        <v>362</v>
      </c>
      <c r="R211" t="s">
        <v>51</v>
      </c>
      <c r="S211">
        <v>1877</v>
      </c>
      <c r="T211">
        <v>1945</v>
      </c>
      <c r="U211" t="s">
        <v>1045</v>
      </c>
      <c r="V211" t="s">
        <v>1046</v>
      </c>
      <c r="W211" s="1">
        <v>16729</v>
      </c>
      <c r="X211" s="2">
        <v>16729</v>
      </c>
      <c r="Y211" t="s">
        <v>1047</v>
      </c>
      <c r="Z211">
        <v>0</v>
      </c>
      <c r="AA211">
        <v>1</v>
      </c>
      <c r="AB211">
        <v>0</v>
      </c>
      <c r="AC211">
        <v>1</v>
      </c>
      <c r="AF211">
        <v>1924</v>
      </c>
      <c r="AG211">
        <v>1928</v>
      </c>
      <c r="AO211" t="b">
        <v>1</v>
      </c>
      <c r="AP211" t="s">
        <v>45</v>
      </c>
      <c r="AQ211">
        <v>1863</v>
      </c>
      <c r="AR211">
        <v>1971</v>
      </c>
      <c r="AS211" t="s">
        <v>1041</v>
      </c>
      <c r="AT211">
        <v>4</v>
      </c>
      <c r="AU211">
        <f t="shared" si="11"/>
        <v>1.0999999999999999E-2</v>
      </c>
    </row>
    <row r="212" spans="1:47" x14ac:dyDescent="0.3">
      <c r="A212">
        <v>210</v>
      </c>
      <c r="B212" t="s">
        <v>1048</v>
      </c>
      <c r="C212" t="s">
        <v>1049</v>
      </c>
      <c r="D212">
        <v>70</v>
      </c>
      <c r="E212" t="s">
        <v>982</v>
      </c>
      <c r="F212" t="str">
        <f>VLOOKUP(E212,country_continent!A:C,2,FALSE)</f>
        <v>Mexico</v>
      </c>
      <c r="G212" t="str">
        <f>VLOOKUP(E212,country_continent!A:C,3,FALSE)</f>
        <v>North America</v>
      </c>
      <c r="H212" t="s">
        <v>1050</v>
      </c>
      <c r="I212" s="1">
        <v>10563</v>
      </c>
      <c r="J212" s="3">
        <f t="shared" si="9"/>
        <v>10563</v>
      </c>
      <c r="K212" s="1">
        <v>10994</v>
      </c>
      <c r="L212" s="3">
        <f t="shared" si="10"/>
        <v>10994</v>
      </c>
      <c r="M212" t="s">
        <v>49</v>
      </c>
      <c r="N212" t="s">
        <v>49</v>
      </c>
      <c r="O212" t="s">
        <v>49</v>
      </c>
      <c r="P212">
        <v>0</v>
      </c>
      <c r="Q212" t="s">
        <v>50</v>
      </c>
      <c r="R212" t="s">
        <v>51</v>
      </c>
      <c r="S212">
        <v>1890</v>
      </c>
      <c r="T212">
        <v>1978</v>
      </c>
      <c r="U212" t="s">
        <v>1051</v>
      </c>
      <c r="V212" t="s">
        <v>1052</v>
      </c>
      <c r="W212" s="1">
        <v>28834</v>
      </c>
      <c r="X212" s="2">
        <v>28834</v>
      </c>
      <c r="Y212" t="s">
        <v>1053</v>
      </c>
      <c r="Z212">
        <v>0</v>
      </c>
      <c r="AA212">
        <v>1</v>
      </c>
      <c r="AB212">
        <v>0</v>
      </c>
      <c r="AC212">
        <v>0</v>
      </c>
      <c r="AF212">
        <v>1928</v>
      </c>
      <c r="AG212">
        <v>1930</v>
      </c>
      <c r="AO212" t="b">
        <v>1</v>
      </c>
      <c r="AP212" t="s">
        <v>45</v>
      </c>
      <c r="AQ212">
        <v>1863</v>
      </c>
      <c r="AR212">
        <v>1971</v>
      </c>
      <c r="AS212" t="s">
        <v>1054</v>
      </c>
      <c r="AT212">
        <v>1.1800136892539299</v>
      </c>
      <c r="AU212">
        <f t="shared" si="11"/>
        <v>3.0000000000000001E-3</v>
      </c>
    </row>
    <row r="213" spans="1:47" x14ac:dyDescent="0.3">
      <c r="A213">
        <v>211</v>
      </c>
      <c r="B213" t="s">
        <v>1055</v>
      </c>
      <c r="C213" t="s">
        <v>1056</v>
      </c>
      <c r="D213">
        <v>70</v>
      </c>
      <c r="E213" t="s">
        <v>982</v>
      </c>
      <c r="F213" t="str">
        <f>VLOOKUP(E213,country_continent!A:C,2,FALSE)</f>
        <v>Mexico</v>
      </c>
      <c r="G213" t="str">
        <f>VLOOKUP(E213,country_continent!A:C,3,FALSE)</f>
        <v>North America</v>
      </c>
      <c r="H213" t="s">
        <v>1057</v>
      </c>
      <c r="I213" s="1">
        <v>10994</v>
      </c>
      <c r="J213" s="3">
        <f t="shared" si="9"/>
        <v>10994</v>
      </c>
      <c r="K213" s="1">
        <v>11936</v>
      </c>
      <c r="L213" s="3">
        <f t="shared" si="10"/>
        <v>11936</v>
      </c>
      <c r="M213" t="s">
        <v>49</v>
      </c>
      <c r="N213" t="s">
        <v>49</v>
      </c>
      <c r="O213" t="s">
        <v>49</v>
      </c>
      <c r="P213">
        <v>0</v>
      </c>
      <c r="Q213" t="s">
        <v>362</v>
      </c>
      <c r="R213" t="s">
        <v>51</v>
      </c>
      <c r="S213">
        <v>1877</v>
      </c>
      <c r="T213">
        <v>1963</v>
      </c>
      <c r="U213" t="s">
        <v>1058</v>
      </c>
      <c r="V213" t="s">
        <v>1059</v>
      </c>
      <c r="Y213" t="s">
        <v>1060</v>
      </c>
      <c r="Z213">
        <v>0</v>
      </c>
      <c r="AA213">
        <v>1</v>
      </c>
      <c r="AB213">
        <v>0</v>
      </c>
      <c r="AC213">
        <v>1</v>
      </c>
      <c r="AF213">
        <v>1930</v>
      </c>
      <c r="AG213">
        <v>1932</v>
      </c>
      <c r="AO213" t="b">
        <v>1</v>
      </c>
      <c r="AP213" t="s">
        <v>45</v>
      </c>
      <c r="AQ213">
        <v>1863</v>
      </c>
      <c r="AR213">
        <v>1971</v>
      </c>
      <c r="AS213" t="s">
        <v>1061</v>
      </c>
      <c r="AT213">
        <v>2.5790554414784301</v>
      </c>
      <c r="AU213">
        <f t="shared" si="11"/>
        <v>7.0000000000000001E-3</v>
      </c>
    </row>
    <row r="214" spans="1:47" x14ac:dyDescent="0.3">
      <c r="A214">
        <v>212</v>
      </c>
      <c r="B214" t="s">
        <v>1062</v>
      </c>
      <c r="C214" t="s">
        <v>1063</v>
      </c>
      <c r="D214">
        <v>70</v>
      </c>
      <c r="E214" t="s">
        <v>982</v>
      </c>
      <c r="F214" t="str">
        <f>VLOOKUP(E214,country_continent!A:C,2,FALSE)</f>
        <v>Mexico</v>
      </c>
      <c r="G214" t="str">
        <f>VLOOKUP(E214,country_continent!A:C,3,FALSE)</f>
        <v>North America</v>
      </c>
      <c r="H214" t="s">
        <v>1064</v>
      </c>
      <c r="I214" s="1">
        <v>11936</v>
      </c>
      <c r="J214" s="3">
        <f t="shared" si="9"/>
        <v>11936</v>
      </c>
      <c r="K214" s="1">
        <v>12754</v>
      </c>
      <c r="L214" s="3">
        <f t="shared" si="10"/>
        <v>12754</v>
      </c>
      <c r="M214" t="s">
        <v>49</v>
      </c>
      <c r="N214" t="s">
        <v>49</v>
      </c>
      <c r="O214" t="s">
        <v>49</v>
      </c>
      <c r="P214">
        <v>0</v>
      </c>
      <c r="Q214" t="s">
        <v>50</v>
      </c>
      <c r="R214" t="s">
        <v>51</v>
      </c>
      <c r="S214">
        <v>1889</v>
      </c>
      <c r="T214">
        <v>1967</v>
      </c>
      <c r="U214" t="s">
        <v>1065</v>
      </c>
      <c r="V214" t="s">
        <v>1066</v>
      </c>
      <c r="Y214" t="s">
        <v>1067</v>
      </c>
      <c r="Z214">
        <v>0</v>
      </c>
      <c r="AA214">
        <v>1</v>
      </c>
      <c r="AB214">
        <v>0</v>
      </c>
      <c r="AC214">
        <v>0</v>
      </c>
      <c r="AF214">
        <v>1932</v>
      </c>
      <c r="AG214">
        <v>1934</v>
      </c>
      <c r="AO214" t="b">
        <v>1</v>
      </c>
      <c r="AP214" t="s">
        <v>45</v>
      </c>
      <c r="AQ214">
        <v>1863</v>
      </c>
      <c r="AR214">
        <v>1971</v>
      </c>
      <c r="AS214" t="s">
        <v>1068</v>
      </c>
      <c r="AT214">
        <v>2.2395619438740502</v>
      </c>
      <c r="AU214">
        <f t="shared" si="11"/>
        <v>6.0000000000000001E-3</v>
      </c>
    </row>
    <row r="215" spans="1:47" x14ac:dyDescent="0.3">
      <c r="A215">
        <v>213</v>
      </c>
      <c r="B215" t="s">
        <v>1069</v>
      </c>
      <c r="C215" t="s">
        <v>1070</v>
      </c>
      <c r="D215">
        <v>70</v>
      </c>
      <c r="E215" t="s">
        <v>982</v>
      </c>
      <c r="F215" t="str">
        <f>VLOOKUP(E215,country_continent!A:C,2,FALSE)</f>
        <v>Mexico</v>
      </c>
      <c r="G215" t="str">
        <f>VLOOKUP(E215,country_continent!A:C,3,FALSE)</f>
        <v>North America</v>
      </c>
      <c r="H215" t="s">
        <v>1071</v>
      </c>
      <c r="I215" s="1">
        <v>12754</v>
      </c>
      <c r="J215" s="3">
        <f t="shared" si="9"/>
        <v>12754</v>
      </c>
      <c r="K215" s="1">
        <v>14946</v>
      </c>
      <c r="L215" s="3">
        <f t="shared" si="10"/>
        <v>14946</v>
      </c>
      <c r="M215" t="s">
        <v>49</v>
      </c>
      <c r="N215" t="s">
        <v>49</v>
      </c>
      <c r="O215" t="s">
        <v>49</v>
      </c>
      <c r="P215">
        <v>0</v>
      </c>
      <c r="Q215" t="s">
        <v>50</v>
      </c>
      <c r="R215" t="s">
        <v>51</v>
      </c>
      <c r="S215">
        <v>1895</v>
      </c>
      <c r="T215">
        <v>1970</v>
      </c>
      <c r="U215" t="s">
        <v>1072</v>
      </c>
      <c r="V215" t="s">
        <v>1073</v>
      </c>
      <c r="W215" s="1">
        <v>25860</v>
      </c>
      <c r="X215" s="2">
        <v>25860</v>
      </c>
      <c r="Y215" t="s">
        <v>1074</v>
      </c>
      <c r="Z215">
        <v>0</v>
      </c>
      <c r="AA215">
        <v>1</v>
      </c>
      <c r="AB215">
        <v>0</v>
      </c>
      <c r="AC215">
        <v>0</v>
      </c>
      <c r="AF215">
        <v>1934</v>
      </c>
      <c r="AG215">
        <v>1940</v>
      </c>
      <c r="AO215" t="b">
        <v>1</v>
      </c>
      <c r="AP215" t="s">
        <v>45</v>
      </c>
      <c r="AQ215">
        <v>1863</v>
      </c>
      <c r="AR215">
        <v>1971</v>
      </c>
      <c r="AS215" t="s">
        <v>1075</v>
      </c>
      <c r="AT215">
        <v>6.0013689253935603</v>
      </c>
      <c r="AU215">
        <f t="shared" si="11"/>
        <v>1.6E-2</v>
      </c>
    </row>
    <row r="216" spans="1:47" x14ac:dyDescent="0.3">
      <c r="A216">
        <v>214</v>
      </c>
      <c r="B216" t="s">
        <v>1076</v>
      </c>
      <c r="C216" t="s">
        <v>1077</v>
      </c>
      <c r="D216">
        <v>70</v>
      </c>
      <c r="E216" t="s">
        <v>982</v>
      </c>
      <c r="F216" t="str">
        <f>VLOOKUP(E216,country_continent!A:C,2,FALSE)</f>
        <v>Mexico</v>
      </c>
      <c r="G216" t="str">
        <f>VLOOKUP(E216,country_continent!A:C,3,FALSE)</f>
        <v>North America</v>
      </c>
      <c r="H216" t="s">
        <v>1078</v>
      </c>
      <c r="I216" s="1">
        <v>14946</v>
      </c>
      <c r="J216" s="3">
        <f t="shared" si="9"/>
        <v>14946</v>
      </c>
      <c r="K216" s="1">
        <v>17137</v>
      </c>
      <c r="L216" s="3">
        <f t="shared" si="10"/>
        <v>17137</v>
      </c>
      <c r="M216" t="s">
        <v>49</v>
      </c>
      <c r="N216" t="s">
        <v>49</v>
      </c>
      <c r="O216" t="s">
        <v>49</v>
      </c>
      <c r="P216">
        <v>0</v>
      </c>
      <c r="Q216" t="s">
        <v>50</v>
      </c>
      <c r="R216" t="s">
        <v>51</v>
      </c>
      <c r="S216">
        <v>1897</v>
      </c>
      <c r="T216">
        <v>1955</v>
      </c>
      <c r="U216" t="s">
        <v>1079</v>
      </c>
      <c r="V216" t="s">
        <v>1080</v>
      </c>
      <c r="W216" s="1">
        <v>20375</v>
      </c>
      <c r="X216" s="2">
        <v>20375</v>
      </c>
      <c r="Y216" t="s">
        <v>1081</v>
      </c>
      <c r="Z216">
        <v>0</v>
      </c>
      <c r="AA216">
        <v>1</v>
      </c>
      <c r="AB216">
        <v>0</v>
      </c>
      <c r="AC216">
        <v>0</v>
      </c>
      <c r="AF216">
        <v>1940</v>
      </c>
      <c r="AG216">
        <v>1946</v>
      </c>
      <c r="AN216">
        <v>-6</v>
      </c>
      <c r="AO216" t="b">
        <v>1</v>
      </c>
      <c r="AP216" t="s">
        <v>45</v>
      </c>
      <c r="AQ216">
        <v>1863</v>
      </c>
      <c r="AR216">
        <v>1971</v>
      </c>
      <c r="AS216" t="s">
        <v>1082</v>
      </c>
      <c r="AT216">
        <v>5.99863107460643</v>
      </c>
      <c r="AU216">
        <f t="shared" si="11"/>
        <v>1.6E-2</v>
      </c>
    </row>
    <row r="217" spans="1:47" x14ac:dyDescent="0.3">
      <c r="A217">
        <v>215</v>
      </c>
      <c r="B217" t="s">
        <v>1083</v>
      </c>
      <c r="C217" t="s">
        <v>1084</v>
      </c>
      <c r="D217">
        <v>70</v>
      </c>
      <c r="E217" t="s">
        <v>982</v>
      </c>
      <c r="F217" t="str">
        <f>VLOOKUP(E217,country_continent!A:C,2,FALSE)</f>
        <v>Mexico</v>
      </c>
      <c r="G217" t="str">
        <f>VLOOKUP(E217,country_continent!A:C,3,FALSE)</f>
        <v>North America</v>
      </c>
      <c r="H217" t="s">
        <v>1085</v>
      </c>
      <c r="I217" s="1">
        <v>17137</v>
      </c>
      <c r="J217" s="3">
        <f t="shared" si="9"/>
        <v>17137</v>
      </c>
      <c r="K217" s="1">
        <v>19329</v>
      </c>
      <c r="L217" s="3">
        <f t="shared" si="10"/>
        <v>19329</v>
      </c>
      <c r="M217" t="s">
        <v>49</v>
      </c>
      <c r="N217" t="s">
        <v>49</v>
      </c>
      <c r="O217" t="s">
        <v>49</v>
      </c>
      <c r="P217">
        <v>0</v>
      </c>
      <c r="Q217" t="s">
        <v>362</v>
      </c>
      <c r="R217" t="s">
        <v>51</v>
      </c>
      <c r="S217">
        <v>1903</v>
      </c>
      <c r="T217">
        <v>1983</v>
      </c>
      <c r="U217" s="1">
        <v>1368</v>
      </c>
      <c r="V217" s="2">
        <v>1368</v>
      </c>
      <c r="W217" s="1">
        <v>30450</v>
      </c>
      <c r="X217" s="2">
        <v>30450</v>
      </c>
      <c r="Y217" t="s">
        <v>1086</v>
      </c>
      <c r="Z217">
        <v>0</v>
      </c>
      <c r="AA217">
        <v>1</v>
      </c>
      <c r="AB217">
        <v>0</v>
      </c>
      <c r="AC217">
        <v>1</v>
      </c>
      <c r="AF217">
        <v>1946</v>
      </c>
      <c r="AG217">
        <v>1952</v>
      </c>
      <c r="AN217">
        <v>-6</v>
      </c>
      <c r="AO217" t="b">
        <v>1</v>
      </c>
      <c r="AP217" t="s">
        <v>45</v>
      </c>
      <c r="AQ217">
        <v>1863</v>
      </c>
      <c r="AR217">
        <v>1971</v>
      </c>
      <c r="AS217" t="s">
        <v>1075</v>
      </c>
      <c r="AT217">
        <v>6.0013689253935603</v>
      </c>
      <c r="AU217">
        <f t="shared" si="11"/>
        <v>1.6E-2</v>
      </c>
    </row>
    <row r="218" spans="1:47" x14ac:dyDescent="0.3">
      <c r="A218">
        <v>216</v>
      </c>
      <c r="B218" t="s">
        <v>1087</v>
      </c>
      <c r="C218" t="s">
        <v>1088</v>
      </c>
      <c r="D218">
        <v>70</v>
      </c>
      <c r="E218" t="s">
        <v>982</v>
      </c>
      <c r="F218" t="str">
        <f>VLOOKUP(E218,country_continent!A:C,2,FALSE)</f>
        <v>Mexico</v>
      </c>
      <c r="G218" t="str">
        <f>VLOOKUP(E218,country_continent!A:C,3,FALSE)</f>
        <v>North America</v>
      </c>
      <c r="H218" t="s">
        <v>1089</v>
      </c>
      <c r="I218" s="1">
        <v>19329</v>
      </c>
      <c r="J218" s="3">
        <f t="shared" si="9"/>
        <v>19329</v>
      </c>
      <c r="K218" s="1">
        <v>21520</v>
      </c>
      <c r="L218" s="3">
        <f t="shared" si="10"/>
        <v>21520</v>
      </c>
      <c r="M218" t="s">
        <v>49</v>
      </c>
      <c r="N218" t="s">
        <v>49</v>
      </c>
      <c r="O218" t="s">
        <v>49</v>
      </c>
      <c r="P218">
        <v>0</v>
      </c>
      <c r="Q218" t="s">
        <v>50</v>
      </c>
      <c r="R218" t="s">
        <v>51</v>
      </c>
      <c r="S218">
        <v>1890</v>
      </c>
      <c r="T218">
        <v>1973</v>
      </c>
      <c r="U218" t="s">
        <v>1090</v>
      </c>
      <c r="V218" t="s">
        <v>1091</v>
      </c>
      <c r="Y218" t="s">
        <v>1092</v>
      </c>
      <c r="Z218">
        <v>0</v>
      </c>
      <c r="AA218">
        <v>1</v>
      </c>
      <c r="AB218">
        <v>0</v>
      </c>
      <c r="AC218">
        <v>0</v>
      </c>
      <c r="AF218">
        <v>1952</v>
      </c>
      <c r="AG218">
        <v>1958</v>
      </c>
      <c r="AN218">
        <v>-6</v>
      </c>
      <c r="AO218" t="b">
        <v>1</v>
      </c>
      <c r="AP218" t="s">
        <v>45</v>
      </c>
      <c r="AQ218">
        <v>1863</v>
      </c>
      <c r="AR218">
        <v>1971</v>
      </c>
      <c r="AS218" t="s">
        <v>1082</v>
      </c>
      <c r="AT218">
        <v>5.99863107460643</v>
      </c>
      <c r="AU218">
        <f t="shared" si="11"/>
        <v>1.6E-2</v>
      </c>
    </row>
    <row r="219" spans="1:47" x14ac:dyDescent="0.3">
      <c r="A219">
        <v>217</v>
      </c>
      <c r="B219" t="s">
        <v>1093</v>
      </c>
      <c r="C219" t="s">
        <v>1094</v>
      </c>
      <c r="D219">
        <v>70</v>
      </c>
      <c r="E219" t="s">
        <v>982</v>
      </c>
      <c r="F219" t="str">
        <f>VLOOKUP(E219,country_continent!A:C,2,FALSE)</f>
        <v>Mexico</v>
      </c>
      <c r="G219" t="str">
        <f>VLOOKUP(E219,country_continent!A:C,3,FALSE)</f>
        <v>North America</v>
      </c>
      <c r="H219" t="s">
        <v>1095</v>
      </c>
      <c r="I219" s="1">
        <v>21520</v>
      </c>
      <c r="J219" s="3">
        <f t="shared" si="9"/>
        <v>21520</v>
      </c>
      <c r="K219" s="1">
        <v>23712</v>
      </c>
      <c r="L219" s="3">
        <f t="shared" si="10"/>
        <v>23712</v>
      </c>
      <c r="M219" t="s">
        <v>49</v>
      </c>
      <c r="N219" t="s">
        <v>49</v>
      </c>
      <c r="O219" t="s">
        <v>49</v>
      </c>
      <c r="P219">
        <v>0</v>
      </c>
      <c r="Q219" t="s">
        <v>50</v>
      </c>
      <c r="R219" t="s">
        <v>51</v>
      </c>
      <c r="S219">
        <v>1910</v>
      </c>
      <c r="T219">
        <v>1969</v>
      </c>
      <c r="U219" s="1">
        <v>3799</v>
      </c>
      <c r="V219" s="2">
        <v>3799</v>
      </c>
      <c r="W219" s="1">
        <v>25468</v>
      </c>
      <c r="X219" s="2">
        <v>25468</v>
      </c>
      <c r="Y219" t="s">
        <v>1096</v>
      </c>
      <c r="Z219">
        <v>0</v>
      </c>
      <c r="AA219">
        <v>1</v>
      </c>
      <c r="AB219">
        <v>0</v>
      </c>
      <c r="AC219">
        <v>0</v>
      </c>
      <c r="AF219">
        <v>1958</v>
      </c>
      <c r="AG219">
        <v>1964</v>
      </c>
      <c r="AH219">
        <v>4.0146381874089796</v>
      </c>
      <c r="AI219">
        <v>406.666666666666</v>
      </c>
      <c r="AJ219">
        <v>3.74768077020902</v>
      </c>
      <c r="AK219">
        <v>142.9</v>
      </c>
      <c r="AL219">
        <v>3.2195048242044901</v>
      </c>
      <c r="AN219">
        <v>-6</v>
      </c>
      <c r="AO219" t="b">
        <v>1</v>
      </c>
      <c r="AP219" t="s">
        <v>45</v>
      </c>
      <c r="AQ219">
        <v>1863</v>
      </c>
      <c r="AR219">
        <v>1971</v>
      </c>
      <c r="AS219" t="s">
        <v>1075</v>
      </c>
      <c r="AT219">
        <v>6.0013689253935603</v>
      </c>
      <c r="AU219">
        <f t="shared" si="11"/>
        <v>1.6E-2</v>
      </c>
    </row>
    <row r="220" spans="1:47" x14ac:dyDescent="0.3">
      <c r="A220">
        <v>218</v>
      </c>
      <c r="B220" t="s">
        <v>1097</v>
      </c>
      <c r="C220" t="s">
        <v>1098</v>
      </c>
      <c r="D220">
        <v>70</v>
      </c>
      <c r="E220" t="s">
        <v>982</v>
      </c>
      <c r="F220" t="str">
        <f>VLOOKUP(E220,country_continent!A:C,2,FALSE)</f>
        <v>Mexico</v>
      </c>
      <c r="G220" t="str">
        <f>VLOOKUP(E220,country_continent!A:C,3,FALSE)</f>
        <v>North America</v>
      </c>
      <c r="H220" t="s">
        <v>1099</v>
      </c>
      <c r="I220" s="1">
        <v>23712</v>
      </c>
      <c r="J220" s="3">
        <f t="shared" si="9"/>
        <v>23712</v>
      </c>
      <c r="K220" s="1">
        <v>25903</v>
      </c>
      <c r="L220" s="3">
        <f t="shared" si="10"/>
        <v>25903</v>
      </c>
      <c r="M220" t="s">
        <v>49</v>
      </c>
      <c r="N220" t="s">
        <v>49</v>
      </c>
      <c r="O220" t="s">
        <v>49</v>
      </c>
      <c r="P220">
        <v>0</v>
      </c>
      <c r="Q220" t="s">
        <v>50</v>
      </c>
      <c r="R220" t="s">
        <v>51</v>
      </c>
      <c r="S220">
        <v>1911</v>
      </c>
      <c r="T220">
        <v>1979</v>
      </c>
      <c r="U220" s="1">
        <v>4089</v>
      </c>
      <c r="V220" s="2">
        <v>4089</v>
      </c>
      <c r="W220" s="1">
        <v>29051</v>
      </c>
      <c r="X220" s="2">
        <v>29051</v>
      </c>
      <c r="Y220" t="s">
        <v>1100</v>
      </c>
      <c r="Z220">
        <v>0</v>
      </c>
      <c r="AA220">
        <v>1</v>
      </c>
      <c r="AB220">
        <v>0</v>
      </c>
      <c r="AC220">
        <v>0</v>
      </c>
      <c r="AF220">
        <v>1964</v>
      </c>
      <c r="AG220">
        <v>1970</v>
      </c>
      <c r="AH220">
        <v>3.7392912722494902</v>
      </c>
      <c r="AI220">
        <v>568.57142857142799</v>
      </c>
      <c r="AJ220">
        <v>3.7366833321795601</v>
      </c>
      <c r="AK220">
        <v>119.01428571428499</v>
      </c>
      <c r="AL220">
        <v>3.2680769388796298</v>
      </c>
      <c r="AM220">
        <v>0.90437357076026204</v>
      </c>
      <c r="AN220">
        <v>-6</v>
      </c>
      <c r="AO220" t="b">
        <v>1</v>
      </c>
      <c r="AP220" t="s">
        <v>45</v>
      </c>
      <c r="AQ220">
        <v>1863</v>
      </c>
      <c r="AR220">
        <v>1971</v>
      </c>
      <c r="AS220" t="s">
        <v>1082</v>
      </c>
      <c r="AT220">
        <v>5.99863107460643</v>
      </c>
      <c r="AU220">
        <f t="shared" si="11"/>
        <v>1.6E-2</v>
      </c>
    </row>
    <row r="221" spans="1:47" x14ac:dyDescent="0.3">
      <c r="A221">
        <v>219</v>
      </c>
      <c r="B221" t="s">
        <v>1101</v>
      </c>
      <c r="C221" t="s">
        <v>1102</v>
      </c>
      <c r="D221">
        <v>70</v>
      </c>
      <c r="E221" t="s">
        <v>982</v>
      </c>
      <c r="F221" t="str">
        <f>VLOOKUP(E221,country_continent!A:C,2,FALSE)</f>
        <v>Mexico</v>
      </c>
      <c r="G221" t="str">
        <f>VLOOKUP(E221,country_continent!A:C,3,FALSE)</f>
        <v>North America</v>
      </c>
      <c r="H221" t="s">
        <v>1103</v>
      </c>
      <c r="I221" s="1">
        <v>25903</v>
      </c>
      <c r="J221" s="3">
        <f t="shared" si="9"/>
        <v>25903</v>
      </c>
      <c r="K221" s="1">
        <v>28095</v>
      </c>
      <c r="L221" s="3">
        <f t="shared" si="10"/>
        <v>28095</v>
      </c>
      <c r="M221" t="s">
        <v>49</v>
      </c>
      <c r="N221" t="s">
        <v>49</v>
      </c>
      <c r="O221" t="s">
        <v>49</v>
      </c>
      <c r="P221">
        <v>0</v>
      </c>
      <c r="Q221" t="s">
        <v>50</v>
      </c>
      <c r="R221" t="s">
        <v>51</v>
      </c>
      <c r="S221">
        <v>1922</v>
      </c>
      <c r="T221">
        <v>-777</v>
      </c>
      <c r="U221" s="1">
        <v>8053</v>
      </c>
      <c r="V221" s="2">
        <v>8053</v>
      </c>
      <c r="Z221">
        <v>0</v>
      </c>
      <c r="AA221">
        <v>1</v>
      </c>
      <c r="AB221">
        <v>0</v>
      </c>
      <c r="AC221">
        <v>0</v>
      </c>
      <c r="AF221">
        <v>1970</v>
      </c>
      <c r="AG221">
        <v>1976</v>
      </c>
      <c r="AH221">
        <v>2.9299336491399699</v>
      </c>
      <c r="AI221">
        <v>1072.8571428571399</v>
      </c>
      <c r="AJ221">
        <v>12.4352723494484</v>
      </c>
      <c r="AK221">
        <v>95.8</v>
      </c>
      <c r="AL221">
        <v>2.9782509070937899</v>
      </c>
      <c r="AM221">
        <v>2.1029014801027301</v>
      </c>
      <c r="AN221">
        <v>-6</v>
      </c>
      <c r="AO221" t="b">
        <v>1</v>
      </c>
      <c r="AP221" t="s">
        <v>45</v>
      </c>
      <c r="AQ221">
        <v>1863</v>
      </c>
      <c r="AR221">
        <v>1971</v>
      </c>
      <c r="AS221" t="s">
        <v>1075</v>
      </c>
      <c r="AT221">
        <v>6.0013689253935603</v>
      </c>
      <c r="AU221">
        <f t="shared" si="11"/>
        <v>1.6E-2</v>
      </c>
    </row>
    <row r="222" spans="1:47" x14ac:dyDescent="0.3">
      <c r="A222">
        <v>220</v>
      </c>
      <c r="B222" t="s">
        <v>1104</v>
      </c>
      <c r="C222" t="s">
        <v>1105</v>
      </c>
      <c r="D222">
        <v>70</v>
      </c>
      <c r="E222" t="s">
        <v>982</v>
      </c>
      <c r="F222" t="str">
        <f>VLOOKUP(E222,country_continent!A:C,2,FALSE)</f>
        <v>Mexico</v>
      </c>
      <c r="G222" t="str">
        <f>VLOOKUP(E222,country_continent!A:C,3,FALSE)</f>
        <v>North America</v>
      </c>
      <c r="H222" t="s">
        <v>1106</v>
      </c>
      <c r="I222" s="1">
        <v>28095</v>
      </c>
      <c r="J222" s="3">
        <f t="shared" si="9"/>
        <v>28095</v>
      </c>
      <c r="K222" s="1">
        <v>30286</v>
      </c>
      <c r="L222" s="3">
        <f t="shared" si="10"/>
        <v>30286</v>
      </c>
      <c r="M222" t="s">
        <v>49</v>
      </c>
      <c r="N222" t="s">
        <v>49</v>
      </c>
      <c r="O222" t="s">
        <v>49</v>
      </c>
      <c r="P222">
        <v>0</v>
      </c>
      <c r="Q222" t="s">
        <v>50</v>
      </c>
      <c r="R222" t="s">
        <v>51</v>
      </c>
      <c r="S222">
        <v>1920</v>
      </c>
      <c r="T222">
        <v>2004</v>
      </c>
      <c r="U222" s="1">
        <v>7473</v>
      </c>
      <c r="V222" s="2">
        <v>7473</v>
      </c>
      <c r="W222" s="1">
        <v>38034</v>
      </c>
      <c r="X222" s="2">
        <v>38034</v>
      </c>
      <c r="Y222" t="s">
        <v>1107</v>
      </c>
      <c r="Z222">
        <v>0</v>
      </c>
      <c r="AA222">
        <v>1</v>
      </c>
      <c r="AB222">
        <v>0</v>
      </c>
      <c r="AC222">
        <v>0</v>
      </c>
      <c r="AF222">
        <v>1976</v>
      </c>
      <c r="AG222">
        <v>1982</v>
      </c>
      <c r="AH222">
        <v>3.7300203558309502</v>
      </c>
      <c r="AI222">
        <v>2211.4285714285702</v>
      </c>
      <c r="AJ222">
        <v>30.4347516045917</v>
      </c>
      <c r="AK222">
        <v>75.214285714285694</v>
      </c>
      <c r="AL222">
        <v>2.53466429229301</v>
      </c>
      <c r="AM222">
        <v>6.9650453902003902</v>
      </c>
      <c r="AN222">
        <v>-3.43</v>
      </c>
      <c r="AO222" t="b">
        <v>1</v>
      </c>
      <c r="AP222" t="s">
        <v>45</v>
      </c>
      <c r="AQ222">
        <v>1863</v>
      </c>
      <c r="AR222">
        <v>1971</v>
      </c>
      <c r="AS222" t="s">
        <v>1082</v>
      </c>
      <c r="AT222">
        <v>5.99863107460643</v>
      </c>
      <c r="AU222">
        <f t="shared" si="11"/>
        <v>1.6E-2</v>
      </c>
    </row>
    <row r="223" spans="1:47" x14ac:dyDescent="0.3">
      <c r="A223">
        <v>221</v>
      </c>
      <c r="B223" t="s">
        <v>1108</v>
      </c>
      <c r="C223" t="s">
        <v>1109</v>
      </c>
      <c r="D223">
        <v>70</v>
      </c>
      <c r="E223" t="s">
        <v>982</v>
      </c>
      <c r="F223" t="str">
        <f>VLOOKUP(E223,country_continent!A:C,2,FALSE)</f>
        <v>Mexico</v>
      </c>
      <c r="G223" t="str">
        <f>VLOOKUP(E223,country_continent!A:C,3,FALSE)</f>
        <v>North America</v>
      </c>
      <c r="H223" t="s">
        <v>1110</v>
      </c>
      <c r="I223" s="1">
        <v>30286</v>
      </c>
      <c r="J223" s="3">
        <f t="shared" si="9"/>
        <v>30286</v>
      </c>
      <c r="K223" s="1">
        <v>32478</v>
      </c>
      <c r="L223" s="3">
        <f t="shared" si="10"/>
        <v>32478</v>
      </c>
      <c r="M223" t="s">
        <v>49</v>
      </c>
      <c r="N223" t="s">
        <v>49</v>
      </c>
      <c r="O223" t="s">
        <v>49</v>
      </c>
      <c r="P223">
        <v>0</v>
      </c>
      <c r="Q223" t="s">
        <v>50</v>
      </c>
      <c r="R223" t="s">
        <v>51</v>
      </c>
      <c r="S223">
        <v>1934</v>
      </c>
      <c r="T223">
        <v>2012</v>
      </c>
      <c r="U223" s="1">
        <v>12765</v>
      </c>
      <c r="V223" s="2">
        <v>12765</v>
      </c>
      <c r="W223" s="1">
        <v>41000</v>
      </c>
      <c r="X223" s="2">
        <v>41000</v>
      </c>
      <c r="Y223" t="s">
        <v>1111</v>
      </c>
      <c r="Z223">
        <v>0</v>
      </c>
      <c r="AA223">
        <v>1</v>
      </c>
      <c r="AB223">
        <v>0</v>
      </c>
      <c r="AC223">
        <v>0</v>
      </c>
      <c r="AF223">
        <v>1982</v>
      </c>
      <c r="AG223">
        <v>1988</v>
      </c>
      <c r="AH223">
        <v>-2.04347307719723</v>
      </c>
      <c r="AI223">
        <v>2321.4285714285702</v>
      </c>
      <c r="AJ223">
        <v>83.115355630821199</v>
      </c>
      <c r="AK223">
        <v>57.357142857142797</v>
      </c>
      <c r="AL223">
        <v>2.08102689725321</v>
      </c>
      <c r="AM223">
        <v>8.7885753219247498</v>
      </c>
      <c r="AN223">
        <v>-2.57</v>
      </c>
      <c r="AO223" t="b">
        <v>1</v>
      </c>
      <c r="AP223" t="s">
        <v>45</v>
      </c>
      <c r="AQ223">
        <v>1863</v>
      </c>
      <c r="AR223">
        <v>1971</v>
      </c>
      <c r="AS223" t="s">
        <v>1075</v>
      </c>
      <c r="AT223">
        <v>6.0013689253935603</v>
      </c>
      <c r="AU223">
        <f t="shared" si="11"/>
        <v>1.6E-2</v>
      </c>
    </row>
    <row r="224" spans="1:47" x14ac:dyDescent="0.3">
      <c r="A224">
        <v>222</v>
      </c>
      <c r="B224" t="s">
        <v>1112</v>
      </c>
      <c r="C224" t="s">
        <v>1113</v>
      </c>
      <c r="D224">
        <v>70</v>
      </c>
      <c r="E224" t="s">
        <v>982</v>
      </c>
      <c r="F224" t="str">
        <f>VLOOKUP(E224,country_continent!A:C,2,FALSE)</f>
        <v>Mexico</v>
      </c>
      <c r="G224" t="str">
        <f>VLOOKUP(E224,country_continent!A:C,3,FALSE)</f>
        <v>North America</v>
      </c>
      <c r="H224" t="s">
        <v>1114</v>
      </c>
      <c r="I224" s="1">
        <v>32478</v>
      </c>
      <c r="J224" s="3">
        <f t="shared" si="9"/>
        <v>32478</v>
      </c>
      <c r="K224" s="1">
        <v>34668</v>
      </c>
      <c r="L224" s="3">
        <f t="shared" si="10"/>
        <v>34668</v>
      </c>
      <c r="M224" t="s">
        <v>49</v>
      </c>
      <c r="N224" t="s">
        <v>49</v>
      </c>
      <c r="O224" t="s">
        <v>49</v>
      </c>
      <c r="P224">
        <v>0</v>
      </c>
      <c r="Q224" t="s">
        <v>362</v>
      </c>
      <c r="R224" t="s">
        <v>51</v>
      </c>
      <c r="S224">
        <v>1948</v>
      </c>
      <c r="T224">
        <v>-777</v>
      </c>
      <c r="U224" s="1">
        <v>17626</v>
      </c>
      <c r="V224" s="2">
        <v>17626</v>
      </c>
      <c r="Y224" t="s">
        <v>1115</v>
      </c>
      <c r="Z224">
        <v>0</v>
      </c>
      <c r="AA224">
        <v>1</v>
      </c>
      <c r="AB224">
        <v>0</v>
      </c>
      <c r="AC224">
        <v>1</v>
      </c>
      <c r="AF224">
        <v>1988</v>
      </c>
      <c r="AG224">
        <v>1994</v>
      </c>
      <c r="AH224">
        <v>1.6070628221894201</v>
      </c>
      <c r="AI224">
        <v>3515.7142857142799</v>
      </c>
      <c r="AJ224">
        <v>35.1188132519937</v>
      </c>
      <c r="AK224">
        <v>43.371428571428503</v>
      </c>
      <c r="AL224">
        <v>1.9012188979856299</v>
      </c>
      <c r="AM224">
        <v>4.6783396371937602</v>
      </c>
      <c r="AN224">
        <v>0.56999999999999995</v>
      </c>
      <c r="AO224" t="b">
        <v>1</v>
      </c>
      <c r="AP224" t="s">
        <v>45</v>
      </c>
      <c r="AQ224">
        <v>1863</v>
      </c>
      <c r="AR224">
        <v>1971</v>
      </c>
      <c r="AS224" t="s">
        <v>1116</v>
      </c>
      <c r="AT224">
        <v>5.9958932238192997</v>
      </c>
      <c r="AU224">
        <f t="shared" si="11"/>
        <v>1.6E-2</v>
      </c>
    </row>
    <row r="225" spans="1:47" x14ac:dyDescent="0.3">
      <c r="A225">
        <v>223</v>
      </c>
      <c r="B225" t="s">
        <v>1117</v>
      </c>
      <c r="C225" t="s">
        <v>1118</v>
      </c>
      <c r="D225">
        <v>70</v>
      </c>
      <c r="E225" t="s">
        <v>982</v>
      </c>
      <c r="F225" t="str">
        <f>VLOOKUP(E225,country_continent!A:C,2,FALSE)</f>
        <v>Mexico</v>
      </c>
      <c r="G225" t="str">
        <f>VLOOKUP(E225,country_continent!A:C,3,FALSE)</f>
        <v>North America</v>
      </c>
      <c r="H225" t="s">
        <v>1119</v>
      </c>
      <c r="I225" s="1">
        <v>34669</v>
      </c>
      <c r="J225" s="3">
        <f t="shared" si="9"/>
        <v>34669</v>
      </c>
      <c r="K225" s="1">
        <v>36860</v>
      </c>
      <c r="L225" s="3">
        <f t="shared" si="10"/>
        <v>36860</v>
      </c>
      <c r="M225" t="s">
        <v>49</v>
      </c>
      <c r="N225" t="s">
        <v>49</v>
      </c>
      <c r="O225" t="s">
        <v>49</v>
      </c>
      <c r="P225">
        <v>0</v>
      </c>
      <c r="Q225" t="s">
        <v>50</v>
      </c>
      <c r="R225" t="s">
        <v>51</v>
      </c>
      <c r="S225">
        <v>1951</v>
      </c>
      <c r="T225">
        <v>-777</v>
      </c>
      <c r="U225" s="1">
        <v>18989</v>
      </c>
      <c r="V225" s="2">
        <v>18989</v>
      </c>
      <c r="Y225" t="s">
        <v>1120</v>
      </c>
      <c r="Z225">
        <v>0</v>
      </c>
      <c r="AA225">
        <v>1</v>
      </c>
      <c r="AB225">
        <v>0</v>
      </c>
      <c r="AC225">
        <v>0</v>
      </c>
      <c r="AF225">
        <v>1994</v>
      </c>
      <c r="AG225">
        <v>2000</v>
      </c>
      <c r="AH225">
        <v>1.9646970327522699</v>
      </c>
      <c r="AI225">
        <v>5462.8571428571404</v>
      </c>
      <c r="AJ225">
        <v>19.047631880461001</v>
      </c>
      <c r="AK225">
        <v>32.5571428571428</v>
      </c>
      <c r="AL225">
        <v>1.6847904510227301</v>
      </c>
      <c r="AM225">
        <v>2.9822308791193799</v>
      </c>
      <c r="AN225">
        <v>5.43</v>
      </c>
      <c r="AO225" t="b">
        <v>1</v>
      </c>
      <c r="AP225" t="s">
        <v>45</v>
      </c>
      <c r="AQ225">
        <v>1863</v>
      </c>
      <c r="AR225">
        <v>1971</v>
      </c>
      <c r="AS225" t="s">
        <v>1082</v>
      </c>
      <c r="AT225">
        <v>5.99863107460643</v>
      </c>
      <c r="AU225">
        <f t="shared" si="11"/>
        <v>1.6E-2</v>
      </c>
    </row>
    <row r="226" spans="1:47" x14ac:dyDescent="0.3">
      <c r="A226">
        <v>224</v>
      </c>
      <c r="B226" t="s">
        <v>1121</v>
      </c>
      <c r="C226" t="s">
        <v>1122</v>
      </c>
      <c r="D226">
        <v>70</v>
      </c>
      <c r="E226" t="s">
        <v>982</v>
      </c>
      <c r="F226" t="str">
        <f>VLOOKUP(E226,country_continent!A:C,2,FALSE)</f>
        <v>Mexico</v>
      </c>
      <c r="G226" t="str">
        <f>VLOOKUP(E226,country_continent!A:C,3,FALSE)</f>
        <v>North America</v>
      </c>
      <c r="H226" t="s">
        <v>1123</v>
      </c>
      <c r="I226" s="1">
        <v>36861</v>
      </c>
      <c r="J226" s="3">
        <f t="shared" si="9"/>
        <v>36861</v>
      </c>
      <c r="K226" s="1">
        <v>39051</v>
      </c>
      <c r="L226" s="3">
        <f t="shared" si="10"/>
        <v>39051</v>
      </c>
      <c r="M226" t="s">
        <v>49</v>
      </c>
      <c r="N226" t="s">
        <v>49</v>
      </c>
      <c r="O226" t="s">
        <v>49</v>
      </c>
      <c r="P226">
        <v>0</v>
      </c>
      <c r="Q226" t="s">
        <v>50</v>
      </c>
      <c r="R226" t="s">
        <v>51</v>
      </c>
      <c r="S226">
        <v>1942</v>
      </c>
      <c r="T226">
        <v>-777</v>
      </c>
      <c r="U226" s="1">
        <v>15524</v>
      </c>
      <c r="V226" s="2">
        <v>15524</v>
      </c>
      <c r="Z226">
        <v>0</v>
      </c>
      <c r="AA226">
        <v>1</v>
      </c>
      <c r="AB226">
        <v>0</v>
      </c>
      <c r="AC226">
        <v>0</v>
      </c>
      <c r="AF226">
        <v>2000</v>
      </c>
      <c r="AG226">
        <v>2006</v>
      </c>
      <c r="AH226">
        <v>0.84675431309460003</v>
      </c>
      <c r="AI226">
        <v>7830</v>
      </c>
      <c r="AJ226">
        <v>6.7232207591116397</v>
      </c>
      <c r="AK226">
        <v>24.771428571428501</v>
      </c>
      <c r="AL226">
        <v>1.41848022508134</v>
      </c>
      <c r="AM226">
        <v>4.0300280509095998</v>
      </c>
      <c r="AN226">
        <v>8</v>
      </c>
      <c r="AO226" t="b">
        <v>1</v>
      </c>
      <c r="AP226" t="s">
        <v>45</v>
      </c>
      <c r="AQ226">
        <v>1863</v>
      </c>
      <c r="AR226">
        <v>1971</v>
      </c>
      <c r="AS226" t="s">
        <v>1116</v>
      </c>
      <c r="AT226">
        <v>5.9958932238192997</v>
      </c>
      <c r="AU226">
        <f t="shared" si="11"/>
        <v>1.6E-2</v>
      </c>
    </row>
    <row r="227" spans="1:47" x14ac:dyDescent="0.3">
      <c r="A227">
        <v>225</v>
      </c>
      <c r="B227" t="s">
        <v>1124</v>
      </c>
      <c r="C227" t="s">
        <v>1125</v>
      </c>
      <c r="D227">
        <v>70</v>
      </c>
      <c r="E227" t="s">
        <v>982</v>
      </c>
      <c r="F227" t="str">
        <f>VLOOKUP(E227,country_continent!A:C,2,FALSE)</f>
        <v>Mexico</v>
      </c>
      <c r="G227" t="str">
        <f>VLOOKUP(E227,country_continent!A:C,3,FALSE)</f>
        <v>North America</v>
      </c>
      <c r="H227" t="s">
        <v>1126</v>
      </c>
      <c r="I227" s="1">
        <v>39052</v>
      </c>
      <c r="J227" s="3">
        <f t="shared" si="9"/>
        <v>39052</v>
      </c>
      <c r="K227" s="1">
        <v>41244</v>
      </c>
      <c r="L227" s="3">
        <f t="shared" si="10"/>
        <v>41244</v>
      </c>
      <c r="M227" t="s">
        <v>49</v>
      </c>
      <c r="N227" t="s">
        <v>49</v>
      </c>
      <c r="O227" t="s">
        <v>49</v>
      </c>
      <c r="P227">
        <v>0</v>
      </c>
      <c r="Q227" t="s">
        <v>50</v>
      </c>
      <c r="R227" t="s">
        <v>51</v>
      </c>
      <c r="S227">
        <v>1962</v>
      </c>
      <c r="T227">
        <v>-777</v>
      </c>
      <c r="Z227">
        <v>0</v>
      </c>
      <c r="AA227">
        <v>1</v>
      </c>
      <c r="AB227">
        <v>0</v>
      </c>
      <c r="AC227">
        <v>0</v>
      </c>
      <c r="AF227">
        <v>2006</v>
      </c>
      <c r="AG227">
        <v>2012</v>
      </c>
      <c r="AH227">
        <v>0.49856118099387398</v>
      </c>
      <c r="AI227">
        <v>9725.7142857142808</v>
      </c>
      <c r="AJ227">
        <v>5.4819462247164301</v>
      </c>
      <c r="AK227">
        <v>19.814285714285699</v>
      </c>
      <c r="AL227">
        <v>1.41371002404194</v>
      </c>
      <c r="AM227">
        <v>5.9339625524643198</v>
      </c>
      <c r="AN227">
        <v>8</v>
      </c>
      <c r="AO227" t="b">
        <v>1</v>
      </c>
      <c r="AP227" t="s">
        <v>45</v>
      </c>
      <c r="AQ227">
        <v>1863</v>
      </c>
      <c r="AR227">
        <v>1971</v>
      </c>
      <c r="AS227" t="s">
        <v>1075</v>
      </c>
      <c r="AT227">
        <v>6.0013689253935603</v>
      </c>
      <c r="AU227">
        <f t="shared" si="11"/>
        <v>1.6E-2</v>
      </c>
    </row>
    <row r="228" spans="1:47" x14ac:dyDescent="0.3">
      <c r="A228">
        <v>226</v>
      </c>
      <c r="B228" t="s">
        <v>1127</v>
      </c>
      <c r="C228" t="s">
        <v>1128</v>
      </c>
      <c r="D228">
        <v>70</v>
      </c>
      <c r="E228" t="s">
        <v>982</v>
      </c>
      <c r="F228" t="str">
        <f>VLOOKUP(E228,country_continent!A:C,2,FALSE)</f>
        <v>Mexico</v>
      </c>
      <c r="G228" t="str">
        <f>VLOOKUP(E228,country_continent!A:C,3,FALSE)</f>
        <v>North America</v>
      </c>
      <c r="H228" t="s">
        <v>1129</v>
      </c>
      <c r="I228" s="1">
        <v>41244</v>
      </c>
      <c r="J228" s="3">
        <f t="shared" si="9"/>
        <v>41244</v>
      </c>
      <c r="K228" s="1">
        <v>42369</v>
      </c>
      <c r="L228" s="3">
        <f t="shared" si="10"/>
        <v>42369</v>
      </c>
      <c r="M228" t="s">
        <v>49</v>
      </c>
      <c r="N228" t="s">
        <v>173</v>
      </c>
      <c r="O228" t="s">
        <v>173</v>
      </c>
      <c r="P228">
        <v>0</v>
      </c>
      <c r="Q228" t="s">
        <v>174</v>
      </c>
      <c r="R228" t="s">
        <v>51</v>
      </c>
      <c r="S228">
        <v>1966</v>
      </c>
      <c r="T228">
        <v>-777</v>
      </c>
      <c r="U228" s="1">
        <v>24308</v>
      </c>
      <c r="V228" s="2">
        <v>24308</v>
      </c>
      <c r="Z228">
        <v>0</v>
      </c>
      <c r="AA228">
        <v>-888</v>
      </c>
      <c r="AB228">
        <v>-888</v>
      </c>
      <c r="AC228">
        <v>-888</v>
      </c>
      <c r="AF228">
        <v>2012</v>
      </c>
      <c r="AG228">
        <v>2015</v>
      </c>
      <c r="AH228">
        <v>1.1475329705213999</v>
      </c>
      <c r="AI228">
        <v>10685</v>
      </c>
      <c r="AJ228">
        <v>3.4599738877238</v>
      </c>
      <c r="AK228">
        <v>17.05</v>
      </c>
      <c r="AL228">
        <v>1.23351553769025</v>
      </c>
      <c r="AM228">
        <v>4.8036783471504503</v>
      </c>
      <c r="AN228">
        <v>8</v>
      </c>
      <c r="AO228" t="b">
        <v>1</v>
      </c>
      <c r="AP228" t="s">
        <v>45</v>
      </c>
      <c r="AQ228">
        <v>1863</v>
      </c>
      <c r="AR228">
        <v>1971</v>
      </c>
      <c r="AS228" t="s">
        <v>1130</v>
      </c>
      <c r="AT228">
        <v>3.0800821355236101</v>
      </c>
      <c r="AU228">
        <f t="shared" si="11"/>
        <v>8.0000000000000002E-3</v>
      </c>
    </row>
    <row r="229" spans="1:47" x14ac:dyDescent="0.3">
      <c r="A229">
        <v>227</v>
      </c>
      <c r="B229" t="s">
        <v>1131</v>
      </c>
      <c r="C229" t="s">
        <v>1132</v>
      </c>
      <c r="D229">
        <v>80</v>
      </c>
      <c r="E229" t="s">
        <v>1133</v>
      </c>
      <c r="F229" t="str">
        <f>VLOOKUP(E229,country_continent!A:C,2,FALSE)</f>
        <v>Belize</v>
      </c>
      <c r="G229" t="str">
        <f>VLOOKUP(E229,country_continent!A:C,3,FALSE)</f>
        <v>North America</v>
      </c>
      <c r="H229" t="s">
        <v>1134</v>
      </c>
      <c r="I229" s="1">
        <v>22378</v>
      </c>
      <c r="J229" s="3">
        <f t="shared" si="9"/>
        <v>22378</v>
      </c>
      <c r="K229" s="1">
        <v>31033</v>
      </c>
      <c r="L229" s="3">
        <f t="shared" si="10"/>
        <v>31033</v>
      </c>
      <c r="M229" t="s">
        <v>49</v>
      </c>
      <c r="N229" t="s">
        <v>49</v>
      </c>
      <c r="O229" t="s">
        <v>49</v>
      </c>
      <c r="P229">
        <v>0</v>
      </c>
      <c r="Q229" t="s">
        <v>50</v>
      </c>
      <c r="R229" t="s">
        <v>51</v>
      </c>
      <c r="S229">
        <v>1919</v>
      </c>
      <c r="T229">
        <v>2011</v>
      </c>
      <c r="U229" s="1">
        <v>6955</v>
      </c>
      <c r="V229" s="2">
        <v>6955</v>
      </c>
      <c r="W229" s="1">
        <v>40805</v>
      </c>
      <c r="X229" s="2">
        <v>40805</v>
      </c>
      <c r="Y229" t="s">
        <v>1135</v>
      </c>
      <c r="Z229">
        <v>0</v>
      </c>
      <c r="AA229">
        <v>1</v>
      </c>
      <c r="AB229">
        <v>0</v>
      </c>
      <c r="AC229">
        <v>0</v>
      </c>
      <c r="AF229">
        <v>1961</v>
      </c>
      <c r="AG229">
        <v>1984</v>
      </c>
      <c r="AH229">
        <v>2.7097353519061702</v>
      </c>
      <c r="AI229">
        <v>805.65217391304304</v>
      </c>
      <c r="AJ229">
        <v>6.8595994310746899</v>
      </c>
      <c r="AK229">
        <v>80.561111111111103</v>
      </c>
      <c r="AL229">
        <v>2.3379202375580799</v>
      </c>
      <c r="AM229">
        <v>1.12603334348373</v>
      </c>
      <c r="AO229" t="b">
        <v>0</v>
      </c>
      <c r="AT229">
        <v>8655</v>
      </c>
      <c r="AU229">
        <f t="shared" si="11"/>
        <v>23.712</v>
      </c>
    </row>
    <row r="230" spans="1:47" x14ac:dyDescent="0.3">
      <c r="A230">
        <v>228</v>
      </c>
      <c r="B230" t="s">
        <v>1136</v>
      </c>
      <c r="C230" t="s">
        <v>1137</v>
      </c>
      <c r="D230">
        <v>80</v>
      </c>
      <c r="E230" t="s">
        <v>1133</v>
      </c>
      <c r="F230" t="str">
        <f>VLOOKUP(E230,country_continent!A:C,2,FALSE)</f>
        <v>Belize</v>
      </c>
      <c r="G230" t="str">
        <f>VLOOKUP(E230,country_continent!A:C,3,FALSE)</f>
        <v>North America</v>
      </c>
      <c r="H230" t="s">
        <v>1138</v>
      </c>
      <c r="I230" s="1">
        <v>31033</v>
      </c>
      <c r="J230" s="3">
        <f t="shared" si="9"/>
        <v>31033</v>
      </c>
      <c r="K230" s="1">
        <v>32819</v>
      </c>
      <c r="L230" s="3">
        <f t="shared" si="10"/>
        <v>32819</v>
      </c>
      <c r="M230" t="s">
        <v>49</v>
      </c>
      <c r="N230" t="s">
        <v>49</v>
      </c>
      <c r="O230" t="s">
        <v>49</v>
      </c>
      <c r="P230">
        <v>0</v>
      </c>
      <c r="Q230" t="s">
        <v>50</v>
      </c>
      <c r="R230" t="s">
        <v>51</v>
      </c>
      <c r="S230">
        <v>1940</v>
      </c>
      <c r="T230">
        <v>-777</v>
      </c>
      <c r="U230" s="1">
        <v>14733</v>
      </c>
      <c r="V230" s="2">
        <v>14733</v>
      </c>
      <c r="Y230" t="s">
        <v>1139</v>
      </c>
      <c r="Z230">
        <v>0</v>
      </c>
      <c r="AA230">
        <v>1</v>
      </c>
      <c r="AB230">
        <v>0</v>
      </c>
      <c r="AC230">
        <v>0</v>
      </c>
      <c r="AF230">
        <v>1984</v>
      </c>
      <c r="AG230">
        <v>1989</v>
      </c>
      <c r="AH230">
        <v>4.4465268615672802</v>
      </c>
      <c r="AI230">
        <v>2116.6666666666601</v>
      </c>
      <c r="AJ230">
        <v>4.0711111228435302</v>
      </c>
      <c r="AK230">
        <v>48.466666666666598</v>
      </c>
      <c r="AL230">
        <v>2.27042248713457</v>
      </c>
      <c r="AM230">
        <v>0.62780620840172496</v>
      </c>
      <c r="AO230" t="b">
        <v>0</v>
      </c>
      <c r="AT230">
        <v>1786</v>
      </c>
      <c r="AU230">
        <f t="shared" si="11"/>
        <v>4.8929999999999998</v>
      </c>
    </row>
    <row r="231" spans="1:47" x14ac:dyDescent="0.3">
      <c r="A231">
        <v>229</v>
      </c>
      <c r="B231" t="s">
        <v>1140</v>
      </c>
      <c r="C231" t="s">
        <v>1132</v>
      </c>
      <c r="D231">
        <v>80</v>
      </c>
      <c r="E231" t="s">
        <v>1133</v>
      </c>
      <c r="F231" t="str">
        <f>VLOOKUP(E231,country_continent!A:C,2,FALSE)</f>
        <v>Belize</v>
      </c>
      <c r="G231" t="str">
        <f>VLOOKUP(E231,country_continent!A:C,3,FALSE)</f>
        <v>North America</v>
      </c>
      <c r="H231" t="s">
        <v>1134</v>
      </c>
      <c r="I231" s="1">
        <v>32819</v>
      </c>
      <c r="J231" s="3">
        <f t="shared" si="9"/>
        <v>32819</v>
      </c>
      <c r="K231" s="1">
        <v>34153</v>
      </c>
      <c r="L231" s="3">
        <f t="shared" si="10"/>
        <v>34153</v>
      </c>
      <c r="M231" t="s">
        <v>49</v>
      </c>
      <c r="N231" t="s">
        <v>49</v>
      </c>
      <c r="O231" t="s">
        <v>49</v>
      </c>
      <c r="P231">
        <v>1</v>
      </c>
      <c r="Q231" t="s">
        <v>50</v>
      </c>
      <c r="R231" t="s">
        <v>51</v>
      </c>
      <c r="S231">
        <v>1919</v>
      </c>
      <c r="T231">
        <v>2011</v>
      </c>
      <c r="U231" s="1">
        <v>6955</v>
      </c>
      <c r="V231" s="2">
        <v>6955</v>
      </c>
      <c r="W231" s="1">
        <v>40805</v>
      </c>
      <c r="X231" s="2">
        <v>40805</v>
      </c>
      <c r="Y231" t="s">
        <v>1135</v>
      </c>
      <c r="Z231">
        <v>0</v>
      </c>
      <c r="AA231">
        <v>1</v>
      </c>
      <c r="AB231">
        <v>0</v>
      </c>
      <c r="AC231">
        <v>0</v>
      </c>
      <c r="AF231">
        <v>1989</v>
      </c>
      <c r="AG231">
        <v>1993</v>
      </c>
      <c r="AH231">
        <v>8.6765067603098398</v>
      </c>
      <c r="AI231">
        <v>3354</v>
      </c>
      <c r="AJ231">
        <v>1.20429712969477</v>
      </c>
      <c r="AK231">
        <v>37.159999999999997</v>
      </c>
      <c r="AL231">
        <v>2.1336570279714802</v>
      </c>
      <c r="AM231">
        <v>0.53453932221405298</v>
      </c>
      <c r="AO231" t="b">
        <v>0</v>
      </c>
      <c r="AT231">
        <v>1334</v>
      </c>
      <c r="AU231">
        <f t="shared" si="11"/>
        <v>3.6549999999999998</v>
      </c>
    </row>
    <row r="232" spans="1:47" x14ac:dyDescent="0.3">
      <c r="A232">
        <v>230</v>
      </c>
      <c r="B232" t="s">
        <v>1141</v>
      </c>
      <c r="C232" t="s">
        <v>1137</v>
      </c>
      <c r="D232">
        <v>80</v>
      </c>
      <c r="E232" t="s">
        <v>1133</v>
      </c>
      <c r="F232" t="str">
        <f>VLOOKUP(E232,country_continent!A:C,2,FALSE)</f>
        <v>Belize</v>
      </c>
      <c r="G232" t="str">
        <f>VLOOKUP(E232,country_continent!A:C,3,FALSE)</f>
        <v>North America</v>
      </c>
      <c r="H232" t="s">
        <v>1138</v>
      </c>
      <c r="I232" s="1">
        <v>34153</v>
      </c>
      <c r="J232" s="3">
        <f t="shared" si="9"/>
        <v>34153</v>
      </c>
      <c r="K232" s="1">
        <v>36035</v>
      </c>
      <c r="L232" s="3">
        <f t="shared" si="10"/>
        <v>36035</v>
      </c>
      <c r="M232" t="s">
        <v>49</v>
      </c>
      <c r="N232" t="s">
        <v>49</v>
      </c>
      <c r="O232" t="s">
        <v>49</v>
      </c>
      <c r="P232">
        <v>1</v>
      </c>
      <c r="Q232" t="s">
        <v>50</v>
      </c>
      <c r="R232" t="s">
        <v>51</v>
      </c>
      <c r="S232">
        <v>1940</v>
      </c>
      <c r="T232">
        <v>-777</v>
      </c>
      <c r="U232" s="1">
        <v>14733</v>
      </c>
      <c r="V232" s="2">
        <v>14733</v>
      </c>
      <c r="Y232" t="s">
        <v>1139</v>
      </c>
      <c r="Z232">
        <v>0</v>
      </c>
      <c r="AA232">
        <v>1</v>
      </c>
      <c r="AB232">
        <v>0</v>
      </c>
      <c r="AC232">
        <v>0</v>
      </c>
      <c r="AF232">
        <v>1993</v>
      </c>
      <c r="AG232">
        <v>1998</v>
      </c>
      <c r="AH232">
        <v>-9.9731635857693804E-2</v>
      </c>
      <c r="AI232">
        <v>3876.6666666666601</v>
      </c>
      <c r="AJ232">
        <v>2.2375140893538301</v>
      </c>
      <c r="AK232">
        <v>29.433333333333302</v>
      </c>
      <c r="AL232">
        <v>2.7447429466642101</v>
      </c>
      <c r="AM232">
        <v>0.40982416202365601</v>
      </c>
      <c r="AO232" t="b">
        <v>0</v>
      </c>
      <c r="AT232">
        <v>1882</v>
      </c>
      <c r="AU232">
        <f t="shared" si="11"/>
        <v>5.1559999999999997</v>
      </c>
    </row>
    <row r="233" spans="1:47" x14ac:dyDescent="0.3">
      <c r="A233">
        <v>231</v>
      </c>
      <c r="B233" t="s">
        <v>1142</v>
      </c>
      <c r="C233" t="s">
        <v>1143</v>
      </c>
      <c r="D233">
        <v>80</v>
      </c>
      <c r="E233" t="s">
        <v>1133</v>
      </c>
      <c r="F233" t="str">
        <f>VLOOKUP(E233,country_continent!A:C,2,FALSE)</f>
        <v>Belize</v>
      </c>
      <c r="G233" t="str">
        <f>VLOOKUP(E233,country_continent!A:C,3,FALSE)</f>
        <v>North America</v>
      </c>
      <c r="H233" t="s">
        <v>1144</v>
      </c>
      <c r="I233" s="1">
        <v>36035</v>
      </c>
      <c r="J233" s="3">
        <f t="shared" si="9"/>
        <v>36035</v>
      </c>
      <c r="K233" s="1">
        <v>39486</v>
      </c>
      <c r="L233" s="3">
        <f t="shared" si="10"/>
        <v>39486</v>
      </c>
      <c r="M233" t="s">
        <v>49</v>
      </c>
      <c r="N233" t="s">
        <v>49</v>
      </c>
      <c r="O233" t="s">
        <v>49</v>
      </c>
      <c r="P233">
        <v>0</v>
      </c>
      <c r="Q233" t="s">
        <v>50</v>
      </c>
      <c r="R233" t="s">
        <v>51</v>
      </c>
      <c r="S233">
        <v>1944</v>
      </c>
      <c r="T233">
        <v>-777</v>
      </c>
      <c r="U233" s="1">
        <v>16150</v>
      </c>
      <c r="V233" s="2">
        <v>16150</v>
      </c>
      <c r="Y233" t="s">
        <v>1145</v>
      </c>
      <c r="Z233">
        <v>0</v>
      </c>
      <c r="AA233">
        <v>1</v>
      </c>
      <c r="AB233">
        <v>0</v>
      </c>
      <c r="AC233">
        <v>0</v>
      </c>
      <c r="AF233">
        <v>1998</v>
      </c>
      <c r="AG233">
        <v>2008</v>
      </c>
      <c r="AH233">
        <v>2.1690687943627598</v>
      </c>
      <c r="AI233">
        <v>4712.7272727272702</v>
      </c>
      <c r="AJ233">
        <v>1.1515075766995999</v>
      </c>
      <c r="AK233">
        <v>22.518181818181802</v>
      </c>
      <c r="AL233">
        <v>3.0569450276788199</v>
      </c>
      <c r="AM233">
        <v>1.0928663797073599</v>
      </c>
      <c r="AO233" t="b">
        <v>0</v>
      </c>
      <c r="AT233">
        <v>3451</v>
      </c>
      <c r="AU233">
        <f t="shared" si="11"/>
        <v>9.4550000000000001</v>
      </c>
    </row>
    <row r="234" spans="1:47" x14ac:dyDescent="0.3">
      <c r="A234">
        <v>232</v>
      </c>
      <c r="B234" t="s">
        <v>1146</v>
      </c>
      <c r="C234" t="s">
        <v>1147</v>
      </c>
      <c r="D234">
        <v>80</v>
      </c>
      <c r="E234" t="s">
        <v>1133</v>
      </c>
      <c r="F234" t="str">
        <f>VLOOKUP(E234,country_continent!A:C,2,FALSE)</f>
        <v>Belize</v>
      </c>
      <c r="G234" t="str">
        <f>VLOOKUP(E234,country_continent!A:C,3,FALSE)</f>
        <v>North America</v>
      </c>
      <c r="H234" t="s">
        <v>1148</v>
      </c>
      <c r="I234" s="1">
        <v>39486</v>
      </c>
      <c r="J234" s="3">
        <f t="shared" si="9"/>
        <v>39486</v>
      </c>
      <c r="K234" s="1">
        <v>42369</v>
      </c>
      <c r="L234" s="3">
        <f t="shared" si="10"/>
        <v>42369</v>
      </c>
      <c r="M234" t="s">
        <v>49</v>
      </c>
      <c r="N234" t="s">
        <v>173</v>
      </c>
      <c r="O234" t="s">
        <v>173</v>
      </c>
      <c r="P234">
        <v>0</v>
      </c>
      <c r="Q234" t="s">
        <v>174</v>
      </c>
      <c r="R234" t="s">
        <v>51</v>
      </c>
      <c r="S234">
        <v>1951</v>
      </c>
      <c r="T234">
        <v>-777</v>
      </c>
      <c r="U234" s="1">
        <v>18689</v>
      </c>
      <c r="V234" s="2">
        <v>18689</v>
      </c>
      <c r="Z234">
        <v>0</v>
      </c>
      <c r="AA234">
        <v>-888</v>
      </c>
      <c r="AB234">
        <v>-888</v>
      </c>
      <c r="AC234">
        <v>-888</v>
      </c>
      <c r="AF234">
        <v>2008</v>
      </c>
      <c r="AG234">
        <v>2015</v>
      </c>
      <c r="AH234">
        <v>-0.58595171319274097</v>
      </c>
      <c r="AI234">
        <v>5375</v>
      </c>
      <c r="AJ234">
        <v>1.4654440836802101</v>
      </c>
      <c r="AK234">
        <v>17.837499999999999</v>
      </c>
      <c r="AL234">
        <v>2.3146056474407102</v>
      </c>
      <c r="AM234">
        <v>3.4447678115164599</v>
      </c>
      <c r="AO234" t="b">
        <v>0</v>
      </c>
      <c r="AT234">
        <v>2883</v>
      </c>
      <c r="AU234">
        <f t="shared" si="11"/>
        <v>7.899</v>
      </c>
    </row>
    <row r="235" spans="1:47" x14ac:dyDescent="0.3">
      <c r="A235">
        <v>233</v>
      </c>
      <c r="B235" t="s">
        <v>1149</v>
      </c>
      <c r="C235" t="s">
        <v>1150</v>
      </c>
      <c r="D235">
        <v>90</v>
      </c>
      <c r="E235" t="s">
        <v>1151</v>
      </c>
      <c r="F235" t="str">
        <f>VLOOKUP(E235,country_continent!A:C,2,FALSE)</f>
        <v>Guatemala</v>
      </c>
      <c r="G235" t="str">
        <f>VLOOKUP(E235,country_continent!A:C,3,FALSE)</f>
        <v>North America</v>
      </c>
      <c r="H235" t="s">
        <v>1152</v>
      </c>
      <c r="I235" t="s">
        <v>1153</v>
      </c>
      <c r="J235" s="3" t="str">
        <f t="shared" si="9"/>
        <v>1873/06/04</v>
      </c>
      <c r="K235" t="s">
        <v>1154</v>
      </c>
      <c r="L235" s="3" t="str">
        <f t="shared" si="10"/>
        <v>1885/04/06</v>
      </c>
      <c r="M235" t="s">
        <v>49</v>
      </c>
      <c r="N235" t="s">
        <v>67</v>
      </c>
      <c r="O235" t="s">
        <v>347</v>
      </c>
      <c r="P235">
        <v>0</v>
      </c>
      <c r="Q235" t="s">
        <v>69</v>
      </c>
      <c r="R235" t="s">
        <v>51</v>
      </c>
      <c r="S235">
        <v>1835</v>
      </c>
      <c r="T235">
        <v>1885</v>
      </c>
      <c r="U235" t="s">
        <v>1155</v>
      </c>
      <c r="V235" t="s">
        <v>1156</v>
      </c>
      <c r="Z235">
        <v>0</v>
      </c>
      <c r="AA235">
        <v>3</v>
      </c>
      <c r="AB235">
        <v>-999</v>
      </c>
      <c r="AC235">
        <v>3</v>
      </c>
      <c r="AD235" t="s">
        <v>1157</v>
      </c>
      <c r="AE235">
        <v>0</v>
      </c>
      <c r="AF235">
        <v>1873</v>
      </c>
      <c r="AG235">
        <v>1885</v>
      </c>
      <c r="AO235" t="b">
        <v>0</v>
      </c>
      <c r="AT235">
        <v>4324</v>
      </c>
      <c r="AU235">
        <f t="shared" si="11"/>
        <v>11.847</v>
      </c>
    </row>
    <row r="236" spans="1:47" x14ac:dyDescent="0.3">
      <c r="A236">
        <v>234</v>
      </c>
      <c r="B236" t="s">
        <v>1158</v>
      </c>
      <c r="C236" t="s">
        <v>1159</v>
      </c>
      <c r="D236">
        <v>90</v>
      </c>
      <c r="E236" t="s">
        <v>1151</v>
      </c>
      <c r="F236" t="str">
        <f>VLOOKUP(E236,country_continent!A:C,2,FALSE)</f>
        <v>Guatemala</v>
      </c>
      <c r="G236" t="str">
        <f>VLOOKUP(E236,country_continent!A:C,3,FALSE)</f>
        <v>North America</v>
      </c>
      <c r="H236" t="s">
        <v>1160</v>
      </c>
      <c r="I236" t="s">
        <v>1154</v>
      </c>
      <c r="J236" s="3" t="str">
        <f t="shared" si="9"/>
        <v>1885/04/06</v>
      </c>
      <c r="K236" t="s">
        <v>1161</v>
      </c>
      <c r="L236" s="3" t="str">
        <f t="shared" si="10"/>
        <v>1892/03/15</v>
      </c>
      <c r="M236" t="s">
        <v>49</v>
      </c>
      <c r="N236" t="s">
        <v>49</v>
      </c>
      <c r="O236" t="s">
        <v>49</v>
      </c>
      <c r="P236">
        <v>0</v>
      </c>
      <c r="Q236" t="s">
        <v>50</v>
      </c>
      <c r="R236" t="s">
        <v>51</v>
      </c>
      <c r="S236">
        <v>1845</v>
      </c>
      <c r="T236">
        <v>1907</v>
      </c>
      <c r="Z236">
        <v>0</v>
      </c>
      <c r="AA236">
        <v>1</v>
      </c>
      <c r="AB236">
        <v>0</v>
      </c>
      <c r="AC236">
        <v>0</v>
      </c>
      <c r="AF236">
        <v>1885</v>
      </c>
      <c r="AG236">
        <v>1892</v>
      </c>
      <c r="AO236" t="b">
        <v>0</v>
      </c>
      <c r="AT236">
        <v>2535</v>
      </c>
      <c r="AU236">
        <f t="shared" si="11"/>
        <v>6.9450000000000003</v>
      </c>
    </row>
    <row r="237" spans="1:47" x14ac:dyDescent="0.3">
      <c r="A237">
        <v>235</v>
      </c>
      <c r="B237" t="s">
        <v>1162</v>
      </c>
      <c r="C237" t="s">
        <v>1163</v>
      </c>
      <c r="D237">
        <v>90</v>
      </c>
      <c r="E237" t="s">
        <v>1151</v>
      </c>
      <c r="F237" t="str">
        <f>VLOOKUP(E237,country_continent!A:C,2,FALSE)</f>
        <v>Guatemala</v>
      </c>
      <c r="G237" t="str">
        <f>VLOOKUP(E237,country_continent!A:C,3,FALSE)</f>
        <v>North America</v>
      </c>
      <c r="H237" t="s">
        <v>1164</v>
      </c>
      <c r="I237" t="s">
        <v>1161</v>
      </c>
      <c r="J237" s="3" t="str">
        <f t="shared" si="9"/>
        <v>1892/03/15</v>
      </c>
      <c r="K237" t="s">
        <v>1165</v>
      </c>
      <c r="L237" s="3" t="str">
        <f t="shared" si="10"/>
        <v>1898/02/08</v>
      </c>
      <c r="M237" t="s">
        <v>49</v>
      </c>
      <c r="N237" t="s">
        <v>67</v>
      </c>
      <c r="O237" t="s">
        <v>347</v>
      </c>
      <c r="P237">
        <v>0</v>
      </c>
      <c r="Q237" t="s">
        <v>69</v>
      </c>
      <c r="R237" t="s">
        <v>51</v>
      </c>
      <c r="S237">
        <v>1835</v>
      </c>
      <c r="T237">
        <v>1898</v>
      </c>
      <c r="Z237">
        <v>0</v>
      </c>
      <c r="AA237">
        <v>3</v>
      </c>
      <c r="AB237">
        <v>-999</v>
      </c>
      <c r="AC237">
        <v>3</v>
      </c>
      <c r="AD237" t="s">
        <v>1166</v>
      </c>
      <c r="AE237">
        <v>1</v>
      </c>
      <c r="AF237">
        <v>1892</v>
      </c>
      <c r="AG237">
        <v>1898</v>
      </c>
      <c r="AO237" t="b">
        <v>0</v>
      </c>
      <c r="AT237">
        <v>2156</v>
      </c>
      <c r="AU237">
        <f t="shared" si="11"/>
        <v>5.907</v>
      </c>
    </row>
    <row r="238" spans="1:47" x14ac:dyDescent="0.3">
      <c r="A238">
        <v>236</v>
      </c>
      <c r="B238" t="s">
        <v>1167</v>
      </c>
      <c r="C238" t="s">
        <v>1168</v>
      </c>
      <c r="D238">
        <v>90</v>
      </c>
      <c r="E238" t="s">
        <v>1151</v>
      </c>
      <c r="F238" t="str">
        <f>VLOOKUP(E238,country_continent!A:C,2,FALSE)</f>
        <v>Guatemala</v>
      </c>
      <c r="G238" t="str">
        <f>VLOOKUP(E238,country_continent!A:C,3,FALSE)</f>
        <v>North America</v>
      </c>
      <c r="H238" t="s">
        <v>1169</v>
      </c>
      <c r="I238" t="s">
        <v>1165</v>
      </c>
      <c r="J238" s="3" t="str">
        <f t="shared" si="9"/>
        <v>1898/02/08</v>
      </c>
      <c r="K238" s="1">
        <v>7411</v>
      </c>
      <c r="L238" s="3">
        <f t="shared" si="10"/>
        <v>7411</v>
      </c>
      <c r="M238" t="s">
        <v>49</v>
      </c>
      <c r="N238" t="s">
        <v>67</v>
      </c>
      <c r="O238" t="s">
        <v>433</v>
      </c>
      <c r="P238">
        <v>0</v>
      </c>
      <c r="Q238" t="s">
        <v>463</v>
      </c>
      <c r="R238" t="s">
        <v>51</v>
      </c>
      <c r="S238">
        <v>1857</v>
      </c>
      <c r="T238">
        <v>1924</v>
      </c>
      <c r="U238" t="s">
        <v>1170</v>
      </c>
      <c r="V238" t="s">
        <v>1171</v>
      </c>
      <c r="Y238" t="s">
        <v>1172</v>
      </c>
      <c r="Z238">
        <v>0</v>
      </c>
      <c r="AA238">
        <v>3</v>
      </c>
      <c r="AB238">
        <v>4</v>
      </c>
      <c r="AC238">
        <v>2</v>
      </c>
      <c r="AF238">
        <v>1898</v>
      </c>
      <c r="AG238">
        <v>1920</v>
      </c>
      <c r="AO238" t="b">
        <v>0</v>
      </c>
      <c r="AT238">
        <v>8101</v>
      </c>
      <c r="AU238">
        <f t="shared" si="11"/>
        <v>22.195</v>
      </c>
    </row>
    <row r="239" spans="1:47" x14ac:dyDescent="0.3">
      <c r="A239">
        <v>237</v>
      </c>
      <c r="B239" t="s">
        <v>1173</v>
      </c>
      <c r="C239" t="s">
        <v>1174</v>
      </c>
      <c r="D239">
        <v>90</v>
      </c>
      <c r="E239" t="s">
        <v>1151</v>
      </c>
      <c r="F239" t="str">
        <f>VLOOKUP(E239,country_continent!A:C,2,FALSE)</f>
        <v>Guatemala</v>
      </c>
      <c r="G239" t="str">
        <f>VLOOKUP(E239,country_continent!A:C,3,FALSE)</f>
        <v>North America</v>
      </c>
      <c r="H239" t="s">
        <v>1175</v>
      </c>
      <c r="I239" s="1">
        <v>7411</v>
      </c>
      <c r="J239" s="3">
        <f t="shared" si="9"/>
        <v>7411</v>
      </c>
      <c r="K239" s="1">
        <v>8012</v>
      </c>
      <c r="L239" s="3">
        <f t="shared" si="10"/>
        <v>8012</v>
      </c>
      <c r="M239" t="s">
        <v>67</v>
      </c>
      <c r="N239" t="s">
        <v>67</v>
      </c>
      <c r="O239" t="s">
        <v>376</v>
      </c>
      <c r="P239">
        <v>0</v>
      </c>
      <c r="Q239" t="s">
        <v>463</v>
      </c>
      <c r="R239" t="s">
        <v>51</v>
      </c>
      <c r="S239">
        <v>1856</v>
      </c>
      <c r="T239">
        <v>1930</v>
      </c>
      <c r="Z239">
        <v>1</v>
      </c>
      <c r="AA239">
        <v>3</v>
      </c>
      <c r="AB239">
        <v>6</v>
      </c>
      <c r="AC239">
        <v>2</v>
      </c>
      <c r="AF239">
        <v>1920</v>
      </c>
      <c r="AG239">
        <v>1921</v>
      </c>
      <c r="AO239" t="b">
        <v>0</v>
      </c>
      <c r="AT239">
        <v>601</v>
      </c>
      <c r="AU239">
        <f t="shared" si="11"/>
        <v>1.647</v>
      </c>
    </row>
    <row r="240" spans="1:47" x14ac:dyDescent="0.3">
      <c r="A240">
        <v>238</v>
      </c>
      <c r="B240" t="s">
        <v>1176</v>
      </c>
      <c r="C240" t="s">
        <v>1177</v>
      </c>
      <c r="D240">
        <v>90</v>
      </c>
      <c r="E240" t="s">
        <v>1151</v>
      </c>
      <c r="F240" t="str">
        <f>VLOOKUP(E240,country_continent!A:C,2,FALSE)</f>
        <v>Guatemala</v>
      </c>
      <c r="G240" t="str">
        <f>VLOOKUP(E240,country_continent!A:C,3,FALSE)</f>
        <v>North America</v>
      </c>
      <c r="H240" t="s">
        <v>1178</v>
      </c>
      <c r="I240" s="1">
        <v>8012</v>
      </c>
      <c r="J240" s="3">
        <f t="shared" si="9"/>
        <v>8012</v>
      </c>
      <c r="K240" s="1">
        <v>9766</v>
      </c>
      <c r="L240" s="3">
        <f t="shared" si="10"/>
        <v>9766</v>
      </c>
      <c r="M240" t="s">
        <v>67</v>
      </c>
      <c r="N240" t="s">
        <v>110</v>
      </c>
      <c r="O240" t="s">
        <v>49</v>
      </c>
      <c r="P240">
        <v>0</v>
      </c>
      <c r="Q240" t="s">
        <v>111</v>
      </c>
      <c r="R240" t="s">
        <v>51</v>
      </c>
      <c r="S240">
        <v>1872</v>
      </c>
      <c r="T240">
        <v>1926</v>
      </c>
      <c r="U240" t="s">
        <v>1179</v>
      </c>
      <c r="V240" t="s">
        <v>1180</v>
      </c>
      <c r="Z240">
        <v>1</v>
      </c>
      <c r="AA240">
        <v>2</v>
      </c>
      <c r="AB240">
        <v>0</v>
      </c>
      <c r="AC240">
        <v>-777</v>
      </c>
      <c r="AF240">
        <v>1921</v>
      </c>
      <c r="AG240">
        <v>1926</v>
      </c>
      <c r="AO240" t="b">
        <v>0</v>
      </c>
      <c r="AT240">
        <v>1754</v>
      </c>
      <c r="AU240">
        <f t="shared" si="11"/>
        <v>4.8049999999999997</v>
      </c>
    </row>
    <row r="241" spans="1:47" x14ac:dyDescent="0.3">
      <c r="A241">
        <v>239</v>
      </c>
      <c r="B241" t="s">
        <v>1181</v>
      </c>
      <c r="C241" t="s">
        <v>1182</v>
      </c>
      <c r="D241">
        <v>90</v>
      </c>
      <c r="E241" t="s">
        <v>1151</v>
      </c>
      <c r="F241" t="str">
        <f>VLOOKUP(E241,country_continent!A:C,2,FALSE)</f>
        <v>Guatemala</v>
      </c>
      <c r="G241" t="str">
        <f>VLOOKUP(E241,country_continent!A:C,3,FALSE)</f>
        <v>North America</v>
      </c>
      <c r="H241" t="s">
        <v>1183</v>
      </c>
      <c r="I241" s="1">
        <v>9767</v>
      </c>
      <c r="J241" s="3">
        <f t="shared" si="9"/>
        <v>9767</v>
      </c>
      <c r="K241" s="1">
        <v>11305</v>
      </c>
      <c r="L241" s="3">
        <f t="shared" si="10"/>
        <v>11305</v>
      </c>
      <c r="M241" t="s">
        <v>49</v>
      </c>
      <c r="N241" t="s">
        <v>228</v>
      </c>
      <c r="O241" t="s">
        <v>49</v>
      </c>
      <c r="P241">
        <v>0</v>
      </c>
      <c r="Q241" t="s">
        <v>111</v>
      </c>
      <c r="R241" t="s">
        <v>51</v>
      </c>
      <c r="S241">
        <v>1874</v>
      </c>
      <c r="T241">
        <v>1931</v>
      </c>
      <c r="U241" t="s">
        <v>1184</v>
      </c>
      <c r="V241" t="s">
        <v>1185</v>
      </c>
      <c r="Z241">
        <v>0</v>
      </c>
      <c r="AA241">
        <v>2.0999998999999998</v>
      </c>
      <c r="AB241">
        <v>0</v>
      </c>
      <c r="AC241">
        <v>-777</v>
      </c>
      <c r="AF241">
        <v>1926</v>
      </c>
      <c r="AG241">
        <v>1930</v>
      </c>
      <c r="AO241" t="b">
        <v>0</v>
      </c>
      <c r="AT241">
        <v>1538</v>
      </c>
      <c r="AU241">
        <f t="shared" si="11"/>
        <v>4.2140000000000004</v>
      </c>
    </row>
    <row r="242" spans="1:47" x14ac:dyDescent="0.3">
      <c r="A242">
        <v>240</v>
      </c>
      <c r="B242" t="s">
        <v>1186</v>
      </c>
      <c r="C242" t="s">
        <v>1187</v>
      </c>
      <c r="D242">
        <v>90</v>
      </c>
      <c r="E242" t="s">
        <v>1151</v>
      </c>
      <c r="F242" t="str">
        <f>VLOOKUP(E242,country_continent!A:C,2,FALSE)</f>
        <v>Guatemala</v>
      </c>
      <c r="G242" t="str">
        <f>VLOOKUP(E242,country_continent!A:C,3,FALSE)</f>
        <v>North America</v>
      </c>
      <c r="H242" t="s">
        <v>346</v>
      </c>
      <c r="I242" s="1">
        <v>11305</v>
      </c>
      <c r="J242" s="3">
        <f t="shared" si="9"/>
        <v>11305</v>
      </c>
      <c r="K242" s="1">
        <v>11309</v>
      </c>
      <c r="L242" s="3">
        <f t="shared" si="10"/>
        <v>11309</v>
      </c>
      <c r="M242" t="s">
        <v>49</v>
      </c>
      <c r="N242" t="s">
        <v>67</v>
      </c>
      <c r="O242" t="s">
        <v>376</v>
      </c>
      <c r="P242">
        <v>0</v>
      </c>
      <c r="Q242" t="s">
        <v>50</v>
      </c>
      <c r="R242" t="s">
        <v>51</v>
      </c>
      <c r="S242">
        <v>1874</v>
      </c>
      <c r="T242">
        <v>1930</v>
      </c>
      <c r="U242" t="s">
        <v>1188</v>
      </c>
      <c r="V242" t="s">
        <v>1189</v>
      </c>
      <c r="W242" s="1">
        <v>11309</v>
      </c>
      <c r="X242" s="2">
        <v>11309</v>
      </c>
      <c r="Z242">
        <v>0</v>
      </c>
      <c r="AA242">
        <v>3</v>
      </c>
      <c r="AB242">
        <v>6</v>
      </c>
      <c r="AC242">
        <v>0</v>
      </c>
      <c r="AF242">
        <v>1930</v>
      </c>
      <c r="AG242">
        <v>1930</v>
      </c>
      <c r="AO242" t="b">
        <v>0</v>
      </c>
      <c r="AT242">
        <v>4</v>
      </c>
      <c r="AU242">
        <f t="shared" si="11"/>
        <v>1.0999999999999999E-2</v>
      </c>
    </row>
    <row r="243" spans="1:47" x14ac:dyDescent="0.3">
      <c r="A243">
        <v>241</v>
      </c>
      <c r="B243" t="s">
        <v>1190</v>
      </c>
      <c r="C243" t="s">
        <v>1191</v>
      </c>
      <c r="D243">
        <v>90</v>
      </c>
      <c r="E243" t="s">
        <v>1151</v>
      </c>
      <c r="F243" t="str">
        <f>VLOOKUP(E243,country_continent!A:C,2,FALSE)</f>
        <v>Guatemala</v>
      </c>
      <c r="G243" t="str">
        <f>VLOOKUP(E243,country_continent!A:C,3,FALSE)</f>
        <v>North America</v>
      </c>
      <c r="H243" t="s">
        <v>1192</v>
      </c>
      <c r="I243" s="1">
        <v>11309</v>
      </c>
      <c r="J243" s="3">
        <f t="shared" si="9"/>
        <v>11309</v>
      </c>
      <c r="K243" s="1">
        <v>11323</v>
      </c>
      <c r="L243" s="3">
        <f t="shared" si="10"/>
        <v>11323</v>
      </c>
      <c r="M243" t="s">
        <v>67</v>
      </c>
      <c r="N243" t="s">
        <v>49</v>
      </c>
      <c r="O243" t="s">
        <v>49</v>
      </c>
      <c r="P243">
        <v>0</v>
      </c>
      <c r="Q243" t="s">
        <v>50</v>
      </c>
      <c r="R243" t="s">
        <v>51</v>
      </c>
      <c r="S243">
        <v>1870</v>
      </c>
      <c r="T243">
        <v>1940</v>
      </c>
      <c r="U243" t="s">
        <v>1193</v>
      </c>
      <c r="V243" t="s">
        <v>1194</v>
      </c>
      <c r="W243" s="1">
        <v>14779</v>
      </c>
      <c r="X243" s="2">
        <v>14779</v>
      </c>
      <c r="Z243">
        <v>1</v>
      </c>
      <c r="AA243">
        <v>1</v>
      </c>
      <c r="AB243">
        <v>0</v>
      </c>
      <c r="AC243">
        <v>0</v>
      </c>
      <c r="AF243">
        <v>1930</v>
      </c>
      <c r="AG243">
        <v>1930</v>
      </c>
      <c r="AO243" t="b">
        <v>0</v>
      </c>
      <c r="AT243">
        <v>14</v>
      </c>
      <c r="AU243">
        <f t="shared" si="11"/>
        <v>3.7999999999999999E-2</v>
      </c>
    </row>
    <row r="244" spans="1:47" x14ac:dyDescent="0.3">
      <c r="A244">
        <v>242</v>
      </c>
      <c r="B244" t="s">
        <v>1195</v>
      </c>
      <c r="C244" t="s">
        <v>1196</v>
      </c>
      <c r="D244">
        <v>90</v>
      </c>
      <c r="E244" t="s">
        <v>1151</v>
      </c>
      <c r="F244" t="str">
        <f>VLOOKUP(E244,country_continent!A:C,2,FALSE)</f>
        <v>Guatemala</v>
      </c>
      <c r="G244" t="str">
        <f>VLOOKUP(E244,country_continent!A:C,3,FALSE)</f>
        <v>North America</v>
      </c>
      <c r="H244" t="s">
        <v>1197</v>
      </c>
      <c r="I244" s="1">
        <v>11324</v>
      </c>
      <c r="J244" s="3">
        <f t="shared" si="9"/>
        <v>11324</v>
      </c>
      <c r="K244" s="1">
        <v>11368</v>
      </c>
      <c r="L244" s="3">
        <f t="shared" si="10"/>
        <v>11368</v>
      </c>
      <c r="M244" t="s">
        <v>49</v>
      </c>
      <c r="N244" t="s">
        <v>49</v>
      </c>
      <c r="O244" t="s">
        <v>49</v>
      </c>
      <c r="P244">
        <v>0</v>
      </c>
      <c r="Q244" t="s">
        <v>50</v>
      </c>
      <c r="R244" t="s">
        <v>51</v>
      </c>
      <c r="S244">
        <v>1860</v>
      </c>
      <c r="T244">
        <v>1947</v>
      </c>
      <c r="Z244">
        <v>0</v>
      </c>
      <c r="AA244">
        <v>1</v>
      </c>
      <c r="AB244">
        <v>0</v>
      </c>
      <c r="AC244">
        <v>0</v>
      </c>
      <c r="AF244">
        <v>1931</v>
      </c>
      <c r="AG244">
        <v>1931</v>
      </c>
      <c r="AO244" t="b">
        <v>0</v>
      </c>
      <c r="AT244">
        <v>44</v>
      </c>
      <c r="AU244">
        <f t="shared" si="11"/>
        <v>0.121</v>
      </c>
    </row>
    <row r="245" spans="1:47" x14ac:dyDescent="0.3">
      <c r="A245">
        <v>243</v>
      </c>
      <c r="B245" t="s">
        <v>1198</v>
      </c>
      <c r="C245" t="s">
        <v>1199</v>
      </c>
      <c r="D245">
        <v>90</v>
      </c>
      <c r="E245" t="s">
        <v>1151</v>
      </c>
      <c r="F245" t="str">
        <f>VLOOKUP(E245,country_continent!A:C,2,FALSE)</f>
        <v>Guatemala</v>
      </c>
      <c r="G245" t="str">
        <f>VLOOKUP(E245,country_continent!A:C,3,FALSE)</f>
        <v>North America</v>
      </c>
      <c r="H245" t="s">
        <v>1200</v>
      </c>
      <c r="I245" s="1">
        <v>11369</v>
      </c>
      <c r="J245" s="3">
        <f t="shared" si="9"/>
        <v>11369</v>
      </c>
      <c r="K245" s="1">
        <v>16254</v>
      </c>
      <c r="L245" s="3">
        <f t="shared" si="10"/>
        <v>16254</v>
      </c>
      <c r="M245" t="s">
        <v>49</v>
      </c>
      <c r="N245" t="s">
        <v>67</v>
      </c>
      <c r="O245" t="s">
        <v>613</v>
      </c>
      <c r="P245">
        <v>0</v>
      </c>
      <c r="Q245" t="s">
        <v>362</v>
      </c>
      <c r="R245" t="s">
        <v>51</v>
      </c>
      <c r="S245">
        <v>1878</v>
      </c>
      <c r="T245">
        <v>1946</v>
      </c>
      <c r="U245" t="s">
        <v>1201</v>
      </c>
      <c r="V245" t="s">
        <v>1202</v>
      </c>
      <c r="Z245">
        <v>0</v>
      </c>
      <c r="AA245">
        <v>3</v>
      </c>
      <c r="AB245">
        <v>2</v>
      </c>
      <c r="AC245">
        <v>1</v>
      </c>
      <c r="AF245">
        <v>1931</v>
      </c>
      <c r="AG245">
        <v>1944</v>
      </c>
      <c r="AO245" t="b">
        <v>0</v>
      </c>
      <c r="AT245">
        <v>4885</v>
      </c>
      <c r="AU245">
        <f t="shared" si="11"/>
        <v>13.384</v>
      </c>
    </row>
    <row r="246" spans="1:47" x14ac:dyDescent="0.3">
      <c r="A246">
        <v>244</v>
      </c>
      <c r="B246" t="s">
        <v>1203</v>
      </c>
      <c r="C246" t="s">
        <v>1204</v>
      </c>
      <c r="D246">
        <v>90</v>
      </c>
      <c r="E246" t="s">
        <v>1151</v>
      </c>
      <c r="F246" t="str">
        <f>VLOOKUP(E246,country_continent!A:C,2,FALSE)</f>
        <v>Guatemala</v>
      </c>
      <c r="G246" t="str">
        <f>VLOOKUP(E246,country_continent!A:C,3,FALSE)</f>
        <v>North America</v>
      </c>
      <c r="H246" t="s">
        <v>1205</v>
      </c>
      <c r="I246" s="1">
        <v>16254</v>
      </c>
      <c r="J246" s="3">
        <f t="shared" si="9"/>
        <v>16254</v>
      </c>
      <c r="K246" s="1">
        <v>16366</v>
      </c>
      <c r="L246" s="3">
        <f t="shared" si="10"/>
        <v>16366</v>
      </c>
      <c r="M246" t="s">
        <v>67</v>
      </c>
      <c r="N246" t="s">
        <v>67</v>
      </c>
      <c r="O246" t="s">
        <v>376</v>
      </c>
      <c r="P246">
        <v>0</v>
      </c>
      <c r="Q246" t="s">
        <v>362</v>
      </c>
      <c r="R246" t="s">
        <v>51</v>
      </c>
      <c r="S246">
        <v>1889</v>
      </c>
      <c r="T246">
        <v>1956</v>
      </c>
      <c r="Y246" t="s">
        <v>1206</v>
      </c>
      <c r="Z246">
        <v>1</v>
      </c>
      <c r="AA246">
        <v>3</v>
      </c>
      <c r="AB246">
        <v>6</v>
      </c>
      <c r="AC246">
        <v>1</v>
      </c>
      <c r="AF246">
        <v>1944</v>
      </c>
      <c r="AG246">
        <v>1944</v>
      </c>
      <c r="AO246" t="b">
        <v>0</v>
      </c>
      <c r="AT246">
        <v>112</v>
      </c>
      <c r="AU246">
        <f t="shared" si="11"/>
        <v>0.307</v>
      </c>
    </row>
    <row r="247" spans="1:47" x14ac:dyDescent="0.3">
      <c r="A247">
        <v>245</v>
      </c>
      <c r="B247" t="s">
        <v>1207</v>
      </c>
      <c r="C247" t="s">
        <v>1208</v>
      </c>
      <c r="D247">
        <v>90</v>
      </c>
      <c r="E247" t="s">
        <v>1151</v>
      </c>
      <c r="F247" t="str">
        <f>VLOOKUP(E247,country_continent!A:C,2,FALSE)</f>
        <v>Guatemala</v>
      </c>
      <c r="G247" t="str">
        <f>VLOOKUP(E247,country_continent!A:C,3,FALSE)</f>
        <v>North America</v>
      </c>
      <c r="H247" t="s">
        <v>1209</v>
      </c>
      <c r="I247" s="1">
        <v>16366</v>
      </c>
      <c r="J247" s="3">
        <f t="shared" si="9"/>
        <v>16366</v>
      </c>
      <c r="K247" s="1">
        <v>16511</v>
      </c>
      <c r="L247" s="3">
        <f t="shared" si="10"/>
        <v>16511</v>
      </c>
      <c r="M247" t="s">
        <v>67</v>
      </c>
      <c r="N247" t="s">
        <v>49</v>
      </c>
      <c r="O247" t="s">
        <v>49</v>
      </c>
      <c r="P247">
        <v>0</v>
      </c>
      <c r="Q247" t="s">
        <v>50</v>
      </c>
      <c r="R247" t="s">
        <v>51</v>
      </c>
      <c r="S247">
        <v>1913</v>
      </c>
      <c r="T247">
        <v>1971</v>
      </c>
      <c r="U247" s="1">
        <v>5006</v>
      </c>
      <c r="V247" s="2">
        <v>5006</v>
      </c>
      <c r="W247" s="1">
        <v>25960</v>
      </c>
      <c r="X247" s="2">
        <v>25960</v>
      </c>
      <c r="Z247">
        <v>1</v>
      </c>
      <c r="AA247">
        <v>1</v>
      </c>
      <c r="AB247">
        <v>0</v>
      </c>
      <c r="AC247">
        <v>0</v>
      </c>
      <c r="AF247">
        <v>1944</v>
      </c>
      <c r="AG247">
        <v>1945</v>
      </c>
      <c r="AO247" t="b">
        <v>0</v>
      </c>
      <c r="AT247">
        <v>145</v>
      </c>
      <c r="AU247">
        <f t="shared" si="11"/>
        <v>0.39700000000000002</v>
      </c>
    </row>
    <row r="248" spans="1:47" x14ac:dyDescent="0.3">
      <c r="A248">
        <v>246</v>
      </c>
      <c r="B248" t="s">
        <v>1210</v>
      </c>
      <c r="C248" t="s">
        <v>1211</v>
      </c>
      <c r="D248">
        <v>90</v>
      </c>
      <c r="E248" t="s">
        <v>1151</v>
      </c>
      <c r="F248" t="str">
        <f>VLOOKUP(E248,country_continent!A:C,2,FALSE)</f>
        <v>Guatemala</v>
      </c>
      <c r="G248" t="str">
        <f>VLOOKUP(E248,country_continent!A:C,3,FALSE)</f>
        <v>North America</v>
      </c>
      <c r="H248" t="s">
        <v>1212</v>
      </c>
      <c r="I248" s="1">
        <v>16511</v>
      </c>
      <c r="J248" s="3">
        <f t="shared" si="9"/>
        <v>16511</v>
      </c>
      <c r="K248" s="1">
        <v>18688</v>
      </c>
      <c r="L248" s="3">
        <f t="shared" si="10"/>
        <v>18688</v>
      </c>
      <c r="M248" t="s">
        <v>49</v>
      </c>
      <c r="N248" t="s">
        <v>49</v>
      </c>
      <c r="O248" t="s">
        <v>49</v>
      </c>
      <c r="P248">
        <v>0</v>
      </c>
      <c r="Q248" t="s">
        <v>362</v>
      </c>
      <c r="R248" t="s">
        <v>51</v>
      </c>
      <c r="S248">
        <v>1904</v>
      </c>
      <c r="T248">
        <v>1990</v>
      </c>
      <c r="U248" s="1">
        <v>1715</v>
      </c>
      <c r="V248" s="2">
        <v>1715</v>
      </c>
      <c r="W248" s="1">
        <v>33152</v>
      </c>
      <c r="X248" s="2">
        <v>33152</v>
      </c>
      <c r="Y248" t="s">
        <v>1213</v>
      </c>
      <c r="Z248">
        <v>0</v>
      </c>
      <c r="AA248">
        <v>1</v>
      </c>
      <c r="AB248">
        <v>0</v>
      </c>
      <c r="AC248">
        <v>1</v>
      </c>
      <c r="AF248">
        <v>1945</v>
      </c>
      <c r="AG248">
        <v>1951</v>
      </c>
      <c r="AO248" t="b">
        <v>0</v>
      </c>
      <c r="AT248">
        <v>2177</v>
      </c>
      <c r="AU248">
        <f t="shared" si="11"/>
        <v>5.9640000000000004</v>
      </c>
    </row>
    <row r="249" spans="1:47" x14ac:dyDescent="0.3">
      <c r="A249">
        <v>247</v>
      </c>
      <c r="B249" t="s">
        <v>1214</v>
      </c>
      <c r="C249" t="s">
        <v>1208</v>
      </c>
      <c r="D249">
        <v>90</v>
      </c>
      <c r="E249" t="s">
        <v>1151</v>
      </c>
      <c r="F249" t="str">
        <f>VLOOKUP(E249,country_continent!A:C,2,FALSE)</f>
        <v>Guatemala</v>
      </c>
      <c r="G249" t="str">
        <f>VLOOKUP(E249,country_continent!A:C,3,FALSE)</f>
        <v>North America</v>
      </c>
      <c r="H249" t="s">
        <v>1209</v>
      </c>
      <c r="I249" s="1">
        <v>18688</v>
      </c>
      <c r="J249" s="3">
        <f t="shared" si="9"/>
        <v>18688</v>
      </c>
      <c r="K249" s="1">
        <v>19902</v>
      </c>
      <c r="L249" s="3">
        <f t="shared" si="10"/>
        <v>19902</v>
      </c>
      <c r="M249" t="s">
        <v>49</v>
      </c>
      <c r="N249" t="s">
        <v>67</v>
      </c>
      <c r="O249" t="s">
        <v>1215</v>
      </c>
      <c r="P249">
        <v>1</v>
      </c>
      <c r="Q249" t="s">
        <v>362</v>
      </c>
      <c r="R249" t="s">
        <v>51</v>
      </c>
      <c r="S249">
        <v>1913</v>
      </c>
      <c r="T249">
        <v>1971</v>
      </c>
      <c r="U249" s="1">
        <v>5006</v>
      </c>
      <c r="V249" s="2">
        <v>5006</v>
      </c>
      <c r="W249" s="1">
        <v>25960</v>
      </c>
      <c r="X249" s="2">
        <v>25960</v>
      </c>
      <c r="Z249">
        <v>0</v>
      </c>
      <c r="AA249">
        <v>3</v>
      </c>
      <c r="AB249">
        <v>5</v>
      </c>
      <c r="AC249">
        <v>1</v>
      </c>
      <c r="AF249">
        <v>1951</v>
      </c>
      <c r="AG249">
        <v>1954</v>
      </c>
      <c r="AO249" t="b">
        <v>0</v>
      </c>
      <c r="AT249">
        <v>1214</v>
      </c>
      <c r="AU249">
        <f t="shared" si="11"/>
        <v>3.3260000000000001</v>
      </c>
    </row>
    <row r="250" spans="1:47" x14ac:dyDescent="0.3">
      <c r="A250">
        <v>248</v>
      </c>
      <c r="B250" t="s">
        <v>1216</v>
      </c>
      <c r="C250" t="s">
        <v>1217</v>
      </c>
      <c r="D250">
        <v>90</v>
      </c>
      <c r="E250" t="s">
        <v>1151</v>
      </c>
      <c r="F250" t="str">
        <f>VLOOKUP(E250,country_continent!A:C,2,FALSE)</f>
        <v>Guatemala</v>
      </c>
      <c r="G250" t="str">
        <f>VLOOKUP(E250,country_continent!A:C,3,FALSE)</f>
        <v>North America</v>
      </c>
      <c r="H250" t="s">
        <v>994</v>
      </c>
      <c r="I250" s="1">
        <v>19902</v>
      </c>
      <c r="J250" s="3">
        <f t="shared" si="9"/>
        <v>19902</v>
      </c>
      <c r="K250" s="1">
        <v>19904</v>
      </c>
      <c r="L250" s="3">
        <f t="shared" si="10"/>
        <v>19904</v>
      </c>
      <c r="M250" t="s">
        <v>67</v>
      </c>
      <c r="N250" t="s">
        <v>67</v>
      </c>
      <c r="O250" t="s">
        <v>376</v>
      </c>
      <c r="P250">
        <v>0</v>
      </c>
      <c r="Q250" t="s">
        <v>463</v>
      </c>
      <c r="R250" t="s">
        <v>51</v>
      </c>
      <c r="S250">
        <v>1910</v>
      </c>
      <c r="T250">
        <v>2015</v>
      </c>
      <c r="Z250">
        <v>1</v>
      </c>
      <c r="AA250">
        <v>3</v>
      </c>
      <c r="AB250">
        <v>6</v>
      </c>
      <c r="AC250">
        <v>2</v>
      </c>
      <c r="AF250">
        <v>1954</v>
      </c>
      <c r="AG250">
        <v>1954</v>
      </c>
      <c r="AO250" t="b">
        <v>0</v>
      </c>
      <c r="AT250">
        <v>2</v>
      </c>
      <c r="AU250">
        <f t="shared" si="11"/>
        <v>5.0000000000000001E-3</v>
      </c>
    </row>
    <row r="251" spans="1:47" x14ac:dyDescent="0.3">
      <c r="A251">
        <v>249</v>
      </c>
      <c r="B251" t="s">
        <v>1218</v>
      </c>
      <c r="C251" t="s">
        <v>1219</v>
      </c>
      <c r="D251">
        <v>90</v>
      </c>
      <c r="E251" t="s">
        <v>1151</v>
      </c>
      <c r="F251" t="str">
        <f>VLOOKUP(E251,country_continent!A:C,2,FALSE)</f>
        <v>Guatemala</v>
      </c>
      <c r="G251" t="str">
        <f>VLOOKUP(E251,country_continent!A:C,3,FALSE)</f>
        <v>North America</v>
      </c>
      <c r="H251" t="s">
        <v>1220</v>
      </c>
      <c r="I251" s="1">
        <v>19904</v>
      </c>
      <c r="J251" s="3">
        <f t="shared" si="9"/>
        <v>19904</v>
      </c>
      <c r="K251" s="1">
        <v>19913</v>
      </c>
      <c r="L251" s="3">
        <f t="shared" si="10"/>
        <v>19913</v>
      </c>
      <c r="M251" t="s">
        <v>67</v>
      </c>
      <c r="N251" t="s">
        <v>67</v>
      </c>
      <c r="O251" t="s">
        <v>389</v>
      </c>
      <c r="P251">
        <v>0</v>
      </c>
      <c r="Q251" t="s">
        <v>50</v>
      </c>
      <c r="R251" t="s">
        <v>51</v>
      </c>
      <c r="S251">
        <v>1912</v>
      </c>
      <c r="T251">
        <v>1981</v>
      </c>
      <c r="Z251">
        <v>1</v>
      </c>
      <c r="AA251">
        <v>3</v>
      </c>
      <c r="AB251">
        <v>16</v>
      </c>
      <c r="AC251">
        <v>0</v>
      </c>
      <c r="AF251">
        <v>1954</v>
      </c>
      <c r="AG251">
        <v>1954</v>
      </c>
      <c r="AO251" t="b">
        <v>0</v>
      </c>
      <c r="AT251">
        <v>9</v>
      </c>
      <c r="AU251">
        <f t="shared" si="11"/>
        <v>2.5000000000000001E-2</v>
      </c>
    </row>
    <row r="252" spans="1:47" x14ac:dyDescent="0.3">
      <c r="A252">
        <v>250</v>
      </c>
      <c r="B252" t="s">
        <v>1221</v>
      </c>
      <c r="C252" t="s">
        <v>1222</v>
      </c>
      <c r="D252">
        <v>90</v>
      </c>
      <c r="E252" t="s">
        <v>1151</v>
      </c>
      <c r="F252" t="str">
        <f>VLOOKUP(E252,country_continent!A:C,2,FALSE)</f>
        <v>Guatemala</v>
      </c>
      <c r="G252" t="str">
        <f>VLOOKUP(E252,country_continent!A:C,3,FALSE)</f>
        <v>North America</v>
      </c>
      <c r="H252" t="s">
        <v>1223</v>
      </c>
      <c r="I252" s="1">
        <v>19913</v>
      </c>
      <c r="J252" s="3">
        <f t="shared" si="9"/>
        <v>19913</v>
      </c>
      <c r="K252" s="1">
        <v>21021</v>
      </c>
      <c r="L252" s="3">
        <f t="shared" si="10"/>
        <v>21021</v>
      </c>
      <c r="M252" t="s">
        <v>67</v>
      </c>
      <c r="N252" t="s">
        <v>67</v>
      </c>
      <c r="O252" t="s">
        <v>68</v>
      </c>
      <c r="P252">
        <v>0</v>
      </c>
      <c r="Q252" t="s">
        <v>69</v>
      </c>
      <c r="R252" t="s">
        <v>51</v>
      </c>
      <c r="S252">
        <v>1914</v>
      </c>
      <c r="T252">
        <v>1957</v>
      </c>
      <c r="U252" s="1">
        <v>5422</v>
      </c>
      <c r="V252" s="2">
        <v>5422</v>
      </c>
      <c r="Z252">
        <v>1</v>
      </c>
      <c r="AA252">
        <v>3</v>
      </c>
      <c r="AB252">
        <v>11</v>
      </c>
      <c r="AC252">
        <v>3</v>
      </c>
      <c r="AF252">
        <v>1954</v>
      </c>
      <c r="AG252">
        <v>1957</v>
      </c>
      <c r="AO252" t="b">
        <v>0</v>
      </c>
      <c r="AT252">
        <v>1108</v>
      </c>
      <c r="AU252">
        <f t="shared" si="11"/>
        <v>3.036</v>
      </c>
    </row>
    <row r="253" spans="1:47" x14ac:dyDescent="0.3">
      <c r="A253">
        <v>251</v>
      </c>
      <c r="B253" t="s">
        <v>1224</v>
      </c>
      <c r="C253" t="s">
        <v>1225</v>
      </c>
      <c r="D253">
        <v>90</v>
      </c>
      <c r="E253" t="s">
        <v>1151</v>
      </c>
      <c r="F253" t="str">
        <f>VLOOKUP(E253,country_continent!A:C,2,FALSE)</f>
        <v>Guatemala</v>
      </c>
      <c r="G253" t="str">
        <f>VLOOKUP(E253,country_continent!A:C,3,FALSE)</f>
        <v>North America</v>
      </c>
      <c r="H253" t="s">
        <v>1226</v>
      </c>
      <c r="I253" s="1">
        <v>21021</v>
      </c>
      <c r="J253" s="3">
        <f t="shared" si="9"/>
        <v>21021</v>
      </c>
      <c r="K253" s="1">
        <v>21117</v>
      </c>
      <c r="L253" s="3">
        <f t="shared" si="10"/>
        <v>21117</v>
      </c>
      <c r="M253" t="s">
        <v>67</v>
      </c>
      <c r="N253" t="s">
        <v>67</v>
      </c>
      <c r="O253" t="s">
        <v>376</v>
      </c>
      <c r="P253">
        <v>0</v>
      </c>
      <c r="Q253" t="s">
        <v>50</v>
      </c>
      <c r="R253" t="s">
        <v>51</v>
      </c>
      <c r="S253">
        <v>1900</v>
      </c>
      <c r="T253">
        <v>1965</v>
      </c>
      <c r="U253" s="1">
        <v>347</v>
      </c>
      <c r="V253" s="2">
        <v>347</v>
      </c>
      <c r="Z253">
        <v>1</v>
      </c>
      <c r="AA253">
        <v>3</v>
      </c>
      <c r="AB253">
        <v>6</v>
      </c>
      <c r="AC253">
        <v>0</v>
      </c>
      <c r="AF253">
        <v>1957</v>
      </c>
      <c r="AG253">
        <v>1957</v>
      </c>
      <c r="AO253" t="b">
        <v>0</v>
      </c>
      <c r="AT253">
        <v>96</v>
      </c>
      <c r="AU253">
        <f t="shared" si="11"/>
        <v>0.26300000000000001</v>
      </c>
    </row>
    <row r="254" spans="1:47" x14ac:dyDescent="0.3">
      <c r="A254">
        <v>252</v>
      </c>
      <c r="B254" t="s">
        <v>1227</v>
      </c>
      <c r="C254" t="s">
        <v>1228</v>
      </c>
      <c r="D254">
        <v>90</v>
      </c>
      <c r="E254" t="s">
        <v>1151</v>
      </c>
      <c r="F254" t="str">
        <f>VLOOKUP(E254,country_continent!A:C,2,FALSE)</f>
        <v>Guatemala</v>
      </c>
      <c r="G254" t="str">
        <f>VLOOKUP(E254,country_continent!A:C,3,FALSE)</f>
        <v>North America</v>
      </c>
      <c r="H254" t="s">
        <v>1229</v>
      </c>
      <c r="I254" s="1">
        <v>21117</v>
      </c>
      <c r="J254" s="3">
        <f t="shared" si="9"/>
        <v>21117</v>
      </c>
      <c r="K254" s="1">
        <v>21120</v>
      </c>
      <c r="L254" s="3">
        <f t="shared" si="10"/>
        <v>21120</v>
      </c>
      <c r="M254" t="s">
        <v>67</v>
      </c>
      <c r="N254" t="s">
        <v>67</v>
      </c>
      <c r="O254" t="s">
        <v>1215</v>
      </c>
      <c r="P254">
        <v>0</v>
      </c>
      <c r="Q254" t="s">
        <v>50</v>
      </c>
      <c r="R254" t="s">
        <v>51</v>
      </c>
      <c r="S254">
        <v>1917</v>
      </c>
      <c r="T254">
        <v>-999</v>
      </c>
      <c r="U254" s="1">
        <v>6365</v>
      </c>
      <c r="V254" s="2">
        <v>6365</v>
      </c>
      <c r="Z254">
        <v>1</v>
      </c>
      <c r="AA254">
        <v>3</v>
      </c>
      <c r="AB254">
        <v>5</v>
      </c>
      <c r="AC254">
        <v>0</v>
      </c>
      <c r="AF254">
        <v>1957</v>
      </c>
      <c r="AG254">
        <v>1957</v>
      </c>
      <c r="AO254" t="b">
        <v>0</v>
      </c>
      <c r="AT254">
        <v>3</v>
      </c>
      <c r="AU254">
        <f t="shared" si="11"/>
        <v>8.0000000000000002E-3</v>
      </c>
    </row>
    <row r="255" spans="1:47" x14ac:dyDescent="0.3">
      <c r="A255">
        <v>253</v>
      </c>
      <c r="B255" t="s">
        <v>1230</v>
      </c>
      <c r="C255" t="s">
        <v>1231</v>
      </c>
      <c r="D255">
        <v>90</v>
      </c>
      <c r="E255" t="s">
        <v>1151</v>
      </c>
      <c r="F255" t="str">
        <f>VLOOKUP(E255,country_continent!A:C,2,FALSE)</f>
        <v>Guatemala</v>
      </c>
      <c r="G255" t="str">
        <f>VLOOKUP(E255,country_continent!A:C,3,FALSE)</f>
        <v>North America</v>
      </c>
      <c r="H255" t="s">
        <v>1232</v>
      </c>
      <c r="I255" s="1">
        <v>21121</v>
      </c>
      <c r="J255" s="3">
        <f t="shared" si="9"/>
        <v>21121</v>
      </c>
      <c r="K255" s="1">
        <v>21246</v>
      </c>
      <c r="L255" s="3">
        <f t="shared" si="10"/>
        <v>21246</v>
      </c>
      <c r="M255" t="s">
        <v>67</v>
      </c>
      <c r="N255" t="s">
        <v>49</v>
      </c>
      <c r="O255" t="s">
        <v>49</v>
      </c>
      <c r="P255">
        <v>0</v>
      </c>
      <c r="Q255" t="s">
        <v>50</v>
      </c>
      <c r="R255" t="s">
        <v>51</v>
      </c>
      <c r="S255">
        <v>1898</v>
      </c>
      <c r="T255">
        <v>1982</v>
      </c>
      <c r="Z255">
        <v>1</v>
      </c>
      <c r="AA255">
        <v>1</v>
      </c>
      <c r="AB255">
        <v>0</v>
      </c>
      <c r="AC255">
        <v>0</v>
      </c>
      <c r="AF255">
        <v>1957</v>
      </c>
      <c r="AG255">
        <v>1958</v>
      </c>
      <c r="AO255" t="b">
        <v>0</v>
      </c>
      <c r="AT255">
        <v>125</v>
      </c>
      <c r="AU255">
        <f t="shared" si="11"/>
        <v>0.34200000000000003</v>
      </c>
    </row>
    <row r="256" spans="1:47" x14ac:dyDescent="0.3">
      <c r="A256">
        <v>254</v>
      </c>
      <c r="B256" t="s">
        <v>1233</v>
      </c>
      <c r="C256" t="s">
        <v>1234</v>
      </c>
      <c r="D256">
        <v>90</v>
      </c>
      <c r="E256" t="s">
        <v>1151</v>
      </c>
      <c r="F256" t="str">
        <f>VLOOKUP(E256,country_continent!A:C,2,FALSE)</f>
        <v>Guatemala</v>
      </c>
      <c r="G256" t="str">
        <f>VLOOKUP(E256,country_continent!A:C,3,FALSE)</f>
        <v>North America</v>
      </c>
      <c r="H256" t="s">
        <v>1235</v>
      </c>
      <c r="I256" s="1">
        <v>21246</v>
      </c>
      <c r="J256" s="3">
        <f t="shared" si="9"/>
        <v>21246</v>
      </c>
      <c r="K256" s="1">
        <v>23101</v>
      </c>
      <c r="L256" s="3">
        <f t="shared" si="10"/>
        <v>23101</v>
      </c>
      <c r="M256" t="s">
        <v>49</v>
      </c>
      <c r="N256" t="s">
        <v>67</v>
      </c>
      <c r="O256" t="s">
        <v>376</v>
      </c>
      <c r="P256">
        <v>0</v>
      </c>
      <c r="Q256" t="s">
        <v>362</v>
      </c>
      <c r="R256" t="s">
        <v>51</v>
      </c>
      <c r="S256">
        <v>1895</v>
      </c>
      <c r="T256">
        <v>1982</v>
      </c>
      <c r="U256" t="s">
        <v>1236</v>
      </c>
      <c r="V256" t="s">
        <v>1237</v>
      </c>
      <c r="Z256">
        <v>0</v>
      </c>
      <c r="AA256">
        <v>3</v>
      </c>
      <c r="AB256">
        <v>6</v>
      </c>
      <c r="AC256">
        <v>1</v>
      </c>
      <c r="AF256">
        <v>1958</v>
      </c>
      <c r="AG256">
        <v>1963</v>
      </c>
      <c r="AO256" t="b">
        <v>0</v>
      </c>
      <c r="AT256">
        <v>1855</v>
      </c>
      <c r="AU256">
        <f t="shared" si="11"/>
        <v>5.0819999999999999</v>
      </c>
    </row>
    <row r="257" spans="1:47" x14ac:dyDescent="0.3">
      <c r="A257">
        <v>255</v>
      </c>
      <c r="B257" t="s">
        <v>1238</v>
      </c>
      <c r="C257" t="s">
        <v>1239</v>
      </c>
      <c r="D257">
        <v>90</v>
      </c>
      <c r="E257" t="s">
        <v>1151</v>
      </c>
      <c r="F257" t="str">
        <f>VLOOKUP(E257,country_continent!A:C,2,FALSE)</f>
        <v>Guatemala</v>
      </c>
      <c r="G257" t="str">
        <f>VLOOKUP(E257,country_continent!A:C,3,FALSE)</f>
        <v>North America</v>
      </c>
      <c r="H257" t="s">
        <v>1240</v>
      </c>
      <c r="I257" s="1">
        <v>23101</v>
      </c>
      <c r="J257" s="3">
        <f t="shared" si="9"/>
        <v>23101</v>
      </c>
      <c r="K257" s="1">
        <v>24289</v>
      </c>
      <c r="L257" s="3">
        <f t="shared" si="10"/>
        <v>24289</v>
      </c>
      <c r="M257" t="s">
        <v>67</v>
      </c>
      <c r="N257" t="s">
        <v>49</v>
      </c>
      <c r="O257" t="s">
        <v>49</v>
      </c>
      <c r="P257">
        <v>0</v>
      </c>
      <c r="Q257" t="s">
        <v>50</v>
      </c>
      <c r="R257" t="s">
        <v>51</v>
      </c>
      <c r="S257">
        <v>1908</v>
      </c>
      <c r="T257">
        <v>1997</v>
      </c>
      <c r="U257" s="1">
        <v>3091</v>
      </c>
      <c r="V257" s="2">
        <v>3091</v>
      </c>
      <c r="Z257">
        <v>1</v>
      </c>
      <c r="AA257">
        <v>1</v>
      </c>
      <c r="AB257">
        <v>0</v>
      </c>
      <c r="AC257">
        <v>0</v>
      </c>
      <c r="AF257">
        <v>1963</v>
      </c>
      <c r="AG257">
        <v>1966</v>
      </c>
      <c r="AO257" t="b">
        <v>0</v>
      </c>
      <c r="AT257">
        <v>1188</v>
      </c>
      <c r="AU257">
        <f t="shared" si="11"/>
        <v>3.2549999999999999</v>
      </c>
    </row>
    <row r="258" spans="1:47" x14ac:dyDescent="0.3">
      <c r="A258">
        <v>256</v>
      </c>
      <c r="B258" t="s">
        <v>1241</v>
      </c>
      <c r="C258" t="s">
        <v>1242</v>
      </c>
      <c r="D258">
        <v>90</v>
      </c>
      <c r="E258" t="s">
        <v>1151</v>
      </c>
      <c r="F258" t="str">
        <f>VLOOKUP(E258,country_continent!A:C,2,FALSE)</f>
        <v>Guatemala</v>
      </c>
      <c r="G258" t="str">
        <f>VLOOKUP(E258,country_continent!A:C,3,FALSE)</f>
        <v>North America</v>
      </c>
      <c r="H258" t="s">
        <v>1243</v>
      </c>
      <c r="I258" s="1">
        <v>24289</v>
      </c>
      <c r="J258" s="3">
        <f t="shared" si="9"/>
        <v>24289</v>
      </c>
      <c r="K258" s="1">
        <v>25750</v>
      </c>
      <c r="L258" s="3">
        <f t="shared" si="10"/>
        <v>25750</v>
      </c>
      <c r="M258" t="s">
        <v>49</v>
      </c>
      <c r="N258" t="s">
        <v>49</v>
      </c>
      <c r="O258" t="s">
        <v>49</v>
      </c>
      <c r="P258">
        <v>0</v>
      </c>
      <c r="Q258" t="s">
        <v>50</v>
      </c>
      <c r="R258" t="s">
        <v>51</v>
      </c>
      <c r="S258">
        <v>1915</v>
      </c>
      <c r="T258">
        <v>1996</v>
      </c>
      <c r="U258" s="1">
        <v>5806</v>
      </c>
      <c r="V258" s="2">
        <v>5806</v>
      </c>
      <c r="Z258">
        <v>0</v>
      </c>
      <c r="AA258">
        <v>1</v>
      </c>
      <c r="AB258">
        <v>0</v>
      </c>
      <c r="AC258">
        <v>0</v>
      </c>
      <c r="AF258">
        <v>1966</v>
      </c>
      <c r="AG258">
        <v>1970</v>
      </c>
      <c r="AO258" t="b">
        <v>0</v>
      </c>
      <c r="AT258">
        <v>1461</v>
      </c>
      <c r="AU258">
        <f t="shared" si="11"/>
        <v>4.0030000000000001</v>
      </c>
    </row>
    <row r="259" spans="1:47" x14ac:dyDescent="0.3">
      <c r="A259">
        <v>257</v>
      </c>
      <c r="B259" t="s">
        <v>1244</v>
      </c>
      <c r="C259" t="s">
        <v>1245</v>
      </c>
      <c r="D259">
        <v>90</v>
      </c>
      <c r="E259" t="s">
        <v>1151</v>
      </c>
      <c r="F259" t="str">
        <f>VLOOKUP(E259,country_continent!A:C,2,FALSE)</f>
        <v>Guatemala</v>
      </c>
      <c r="G259" t="str">
        <f>VLOOKUP(E259,country_continent!A:C,3,FALSE)</f>
        <v>North America</v>
      </c>
      <c r="H259" t="s">
        <v>1246</v>
      </c>
      <c r="I259" s="1">
        <v>25750</v>
      </c>
      <c r="J259" s="3">
        <f t="shared" ref="J259:J322" si="12">IF(ISNUMBER(SEARCH("-", I259)), SUBSTITUTE(I259, "-", "/"), I259)</f>
        <v>25750</v>
      </c>
      <c r="K259" s="1">
        <v>27211</v>
      </c>
      <c r="L259" s="3">
        <f t="shared" ref="L259:L322" si="13">IF(ISNUMBER(SEARCH("-", K259)), SUBSTITUTE(K259, "-", "/"), K259)</f>
        <v>27211</v>
      </c>
      <c r="M259" t="s">
        <v>49</v>
      </c>
      <c r="N259" t="s">
        <v>49</v>
      </c>
      <c r="O259" t="s">
        <v>49</v>
      </c>
      <c r="P259">
        <v>0</v>
      </c>
      <c r="Q259" t="s">
        <v>50</v>
      </c>
      <c r="R259" t="s">
        <v>51</v>
      </c>
      <c r="S259">
        <v>1918</v>
      </c>
      <c r="T259">
        <v>2003</v>
      </c>
      <c r="U259" s="1">
        <v>6773</v>
      </c>
      <c r="V259" s="2">
        <v>6773</v>
      </c>
      <c r="W259" s="1">
        <v>37961</v>
      </c>
      <c r="X259" s="2">
        <v>37961</v>
      </c>
      <c r="Z259">
        <v>0</v>
      </c>
      <c r="AA259">
        <v>1</v>
      </c>
      <c r="AB259">
        <v>0</v>
      </c>
      <c r="AC259">
        <v>0</v>
      </c>
      <c r="AF259">
        <v>1970</v>
      </c>
      <c r="AG259">
        <v>1974</v>
      </c>
      <c r="AO259" t="b">
        <v>0</v>
      </c>
      <c r="AT259">
        <v>1461</v>
      </c>
      <c r="AU259">
        <f t="shared" ref="AU259:AU322" si="14">ROUND(AT259/365,3)</f>
        <v>4.0030000000000001</v>
      </c>
    </row>
    <row r="260" spans="1:47" x14ac:dyDescent="0.3">
      <c r="A260">
        <v>258</v>
      </c>
      <c r="B260" t="s">
        <v>1247</v>
      </c>
      <c r="C260" t="s">
        <v>1248</v>
      </c>
      <c r="D260">
        <v>90</v>
      </c>
      <c r="E260" t="s">
        <v>1151</v>
      </c>
      <c r="F260" t="str">
        <f>VLOOKUP(E260,country_continent!A:C,2,FALSE)</f>
        <v>Guatemala</v>
      </c>
      <c r="G260" t="str">
        <f>VLOOKUP(E260,country_continent!A:C,3,FALSE)</f>
        <v>North America</v>
      </c>
      <c r="H260" t="s">
        <v>1249</v>
      </c>
      <c r="I260" s="1">
        <v>27211</v>
      </c>
      <c r="J260" s="3">
        <f t="shared" si="12"/>
        <v>27211</v>
      </c>
      <c r="K260" s="1">
        <v>28672</v>
      </c>
      <c r="L260" s="3">
        <f t="shared" si="13"/>
        <v>28672</v>
      </c>
      <c r="M260" t="s">
        <v>49</v>
      </c>
      <c r="N260" t="s">
        <v>49</v>
      </c>
      <c r="O260" t="s">
        <v>49</v>
      </c>
      <c r="P260">
        <v>0</v>
      </c>
      <c r="Q260" t="s">
        <v>50</v>
      </c>
      <c r="R260" t="s">
        <v>51</v>
      </c>
      <c r="S260">
        <v>1930</v>
      </c>
      <c r="T260">
        <v>2009</v>
      </c>
      <c r="U260" s="1">
        <v>10982</v>
      </c>
      <c r="V260" s="2">
        <v>10982</v>
      </c>
      <c r="W260" s="1">
        <v>40156</v>
      </c>
      <c r="X260" s="2">
        <v>40156</v>
      </c>
      <c r="Z260">
        <v>0</v>
      </c>
      <c r="AA260">
        <v>1</v>
      </c>
      <c r="AB260">
        <v>0</v>
      </c>
      <c r="AC260">
        <v>0</v>
      </c>
      <c r="AF260">
        <v>1974</v>
      </c>
      <c r="AG260">
        <v>1978</v>
      </c>
      <c r="AO260" t="b">
        <v>0</v>
      </c>
      <c r="AT260">
        <v>1461</v>
      </c>
      <c r="AU260">
        <f t="shared" si="14"/>
        <v>4.0030000000000001</v>
      </c>
    </row>
    <row r="261" spans="1:47" x14ac:dyDescent="0.3">
      <c r="A261">
        <v>259</v>
      </c>
      <c r="B261" t="s">
        <v>1250</v>
      </c>
      <c r="C261" t="s">
        <v>1251</v>
      </c>
      <c r="D261">
        <v>90</v>
      </c>
      <c r="E261" t="s">
        <v>1151</v>
      </c>
      <c r="F261" t="str">
        <f>VLOOKUP(E261,country_continent!A:C,2,FALSE)</f>
        <v>Guatemala</v>
      </c>
      <c r="G261" t="str">
        <f>VLOOKUP(E261,country_continent!A:C,3,FALSE)</f>
        <v>North America</v>
      </c>
      <c r="H261" t="s">
        <v>1252</v>
      </c>
      <c r="I261" s="1">
        <v>28672</v>
      </c>
      <c r="J261" s="3">
        <f t="shared" si="12"/>
        <v>28672</v>
      </c>
      <c r="K261" s="1">
        <v>30033</v>
      </c>
      <c r="L261" s="3">
        <f t="shared" si="13"/>
        <v>30033</v>
      </c>
      <c r="M261" t="s">
        <v>49</v>
      </c>
      <c r="N261" t="s">
        <v>67</v>
      </c>
      <c r="O261" t="s">
        <v>376</v>
      </c>
      <c r="P261">
        <v>0</v>
      </c>
      <c r="Q261" t="s">
        <v>463</v>
      </c>
      <c r="R261" t="s">
        <v>51</v>
      </c>
      <c r="S261">
        <v>1924</v>
      </c>
      <c r="T261">
        <v>2006</v>
      </c>
      <c r="U261" s="1">
        <v>8952</v>
      </c>
      <c r="V261" s="2">
        <v>8952</v>
      </c>
      <c r="W261" s="1">
        <v>38864</v>
      </c>
      <c r="X261" s="2">
        <v>38864</v>
      </c>
      <c r="Z261">
        <v>0</v>
      </c>
      <c r="AA261">
        <v>3</v>
      </c>
      <c r="AB261">
        <v>6</v>
      </c>
      <c r="AC261">
        <v>2</v>
      </c>
      <c r="AF261">
        <v>1978</v>
      </c>
      <c r="AG261">
        <v>1982</v>
      </c>
      <c r="AO261" t="b">
        <v>0</v>
      </c>
      <c r="AT261">
        <v>1361</v>
      </c>
      <c r="AU261">
        <f t="shared" si="14"/>
        <v>3.7290000000000001</v>
      </c>
    </row>
    <row r="262" spans="1:47" x14ac:dyDescent="0.3">
      <c r="A262">
        <v>260</v>
      </c>
      <c r="B262" t="s">
        <v>1253</v>
      </c>
      <c r="C262" t="s">
        <v>1254</v>
      </c>
      <c r="D262">
        <v>90</v>
      </c>
      <c r="E262" t="s">
        <v>1151</v>
      </c>
      <c r="F262" t="str">
        <f>VLOOKUP(E262,country_continent!A:C,2,FALSE)</f>
        <v>Guatemala</v>
      </c>
      <c r="G262" t="str">
        <f>VLOOKUP(E262,country_continent!A:C,3,FALSE)</f>
        <v>North America</v>
      </c>
      <c r="H262" t="s">
        <v>1255</v>
      </c>
      <c r="I262" s="1">
        <v>30033</v>
      </c>
      <c r="J262" s="3">
        <f t="shared" si="12"/>
        <v>30033</v>
      </c>
      <c r="K262" s="1">
        <v>30536</v>
      </c>
      <c r="L262" s="3">
        <f t="shared" si="13"/>
        <v>30536</v>
      </c>
      <c r="M262" t="s">
        <v>67</v>
      </c>
      <c r="N262" t="s">
        <v>67</v>
      </c>
      <c r="O262" t="s">
        <v>376</v>
      </c>
      <c r="P262">
        <v>0</v>
      </c>
      <c r="Q262" t="s">
        <v>463</v>
      </c>
      <c r="R262" t="s">
        <v>51</v>
      </c>
      <c r="S262">
        <v>1926</v>
      </c>
      <c r="T262">
        <v>-777</v>
      </c>
      <c r="U262" s="1">
        <v>9664</v>
      </c>
      <c r="V262" s="2">
        <v>9664</v>
      </c>
      <c r="Y262" t="s">
        <v>1256</v>
      </c>
      <c r="Z262">
        <v>1</v>
      </c>
      <c r="AA262">
        <v>3</v>
      </c>
      <c r="AB262">
        <v>6</v>
      </c>
      <c r="AC262">
        <v>2</v>
      </c>
      <c r="AF262">
        <v>1982</v>
      </c>
      <c r="AG262">
        <v>1983</v>
      </c>
      <c r="AO262" t="b">
        <v>0</v>
      </c>
      <c r="AT262">
        <v>503</v>
      </c>
      <c r="AU262">
        <f t="shared" si="14"/>
        <v>1.3779999999999999</v>
      </c>
    </row>
    <row r="263" spans="1:47" x14ac:dyDescent="0.3">
      <c r="A263">
        <v>261</v>
      </c>
      <c r="B263" t="s">
        <v>1257</v>
      </c>
      <c r="C263" t="s">
        <v>1258</v>
      </c>
      <c r="D263">
        <v>90</v>
      </c>
      <c r="E263" t="s">
        <v>1151</v>
      </c>
      <c r="F263" t="str">
        <f>VLOOKUP(E263,country_continent!A:C,2,FALSE)</f>
        <v>Guatemala</v>
      </c>
      <c r="G263" t="str">
        <f>VLOOKUP(E263,country_continent!A:C,3,FALSE)</f>
        <v>North America</v>
      </c>
      <c r="H263" t="s">
        <v>1259</v>
      </c>
      <c r="I263" s="1">
        <v>30536</v>
      </c>
      <c r="J263" s="3">
        <f t="shared" si="12"/>
        <v>30536</v>
      </c>
      <c r="K263" s="1">
        <v>31426</v>
      </c>
      <c r="L263" s="3">
        <f t="shared" si="13"/>
        <v>31426</v>
      </c>
      <c r="M263" t="s">
        <v>67</v>
      </c>
      <c r="N263" t="s">
        <v>49</v>
      </c>
      <c r="O263" t="s">
        <v>49</v>
      </c>
      <c r="P263">
        <v>0</v>
      </c>
      <c r="Q263" t="s">
        <v>50</v>
      </c>
      <c r="R263" t="s">
        <v>51</v>
      </c>
      <c r="S263">
        <v>1930</v>
      </c>
      <c r="T263">
        <v>-777</v>
      </c>
      <c r="Z263">
        <v>1</v>
      </c>
      <c r="AA263">
        <v>1</v>
      </c>
      <c r="AB263">
        <v>0</v>
      </c>
      <c r="AC263">
        <v>0</v>
      </c>
      <c r="AF263">
        <v>1983</v>
      </c>
      <c r="AG263">
        <v>1986</v>
      </c>
      <c r="AO263" t="b">
        <v>0</v>
      </c>
      <c r="AT263">
        <v>890</v>
      </c>
      <c r="AU263">
        <f t="shared" si="14"/>
        <v>2.4380000000000002</v>
      </c>
    </row>
    <row r="264" spans="1:47" x14ac:dyDescent="0.3">
      <c r="A264">
        <v>262</v>
      </c>
      <c r="B264" t="s">
        <v>1260</v>
      </c>
      <c r="C264" t="s">
        <v>1261</v>
      </c>
      <c r="D264">
        <v>90</v>
      </c>
      <c r="E264" t="s">
        <v>1151</v>
      </c>
      <c r="F264" t="str">
        <f>VLOOKUP(E264,country_continent!A:C,2,FALSE)</f>
        <v>Guatemala</v>
      </c>
      <c r="G264" t="str">
        <f>VLOOKUP(E264,country_continent!A:C,3,FALSE)</f>
        <v>North America</v>
      </c>
      <c r="H264" t="s">
        <v>1262</v>
      </c>
      <c r="I264" s="1">
        <v>31426</v>
      </c>
      <c r="J264" s="3">
        <f t="shared" si="12"/>
        <v>31426</v>
      </c>
      <c r="K264" s="1">
        <v>33252</v>
      </c>
      <c r="L264" s="3">
        <f t="shared" si="13"/>
        <v>33252</v>
      </c>
      <c r="M264" t="s">
        <v>49</v>
      </c>
      <c r="N264" t="s">
        <v>49</v>
      </c>
      <c r="O264" t="s">
        <v>49</v>
      </c>
      <c r="P264">
        <v>0</v>
      </c>
      <c r="Q264" t="s">
        <v>50</v>
      </c>
      <c r="R264" t="s">
        <v>51</v>
      </c>
      <c r="S264">
        <v>1942</v>
      </c>
      <c r="T264">
        <v>-777</v>
      </c>
      <c r="U264" s="1">
        <v>15701</v>
      </c>
      <c r="V264" s="2">
        <v>15701</v>
      </c>
      <c r="Y264" t="s">
        <v>1263</v>
      </c>
      <c r="Z264">
        <v>0</v>
      </c>
      <c r="AA264">
        <v>1</v>
      </c>
      <c r="AB264">
        <v>0</v>
      </c>
      <c r="AC264">
        <v>0</v>
      </c>
      <c r="AF264">
        <v>1986</v>
      </c>
      <c r="AG264">
        <v>1991</v>
      </c>
      <c r="AO264" t="b">
        <v>0</v>
      </c>
      <c r="AT264">
        <v>1826</v>
      </c>
      <c r="AU264">
        <f t="shared" si="14"/>
        <v>5.0030000000000001</v>
      </c>
    </row>
    <row r="265" spans="1:47" x14ac:dyDescent="0.3">
      <c r="A265">
        <v>263</v>
      </c>
      <c r="B265" t="s">
        <v>1264</v>
      </c>
      <c r="C265" t="s">
        <v>1265</v>
      </c>
      <c r="D265">
        <v>90</v>
      </c>
      <c r="E265" t="s">
        <v>1151</v>
      </c>
      <c r="F265" t="str">
        <f>VLOOKUP(E265,country_continent!A:C,2,FALSE)</f>
        <v>Guatemala</v>
      </c>
      <c r="G265" t="str">
        <f>VLOOKUP(E265,country_continent!A:C,3,FALSE)</f>
        <v>North America</v>
      </c>
      <c r="H265" t="s">
        <v>1266</v>
      </c>
      <c r="I265" s="1">
        <v>33252</v>
      </c>
      <c r="J265" s="3">
        <f t="shared" si="12"/>
        <v>33252</v>
      </c>
      <c r="K265" s="1">
        <v>34120</v>
      </c>
      <c r="L265" s="3">
        <f t="shared" si="13"/>
        <v>34120</v>
      </c>
      <c r="M265" t="s">
        <v>49</v>
      </c>
      <c r="N265" t="s">
        <v>67</v>
      </c>
      <c r="O265" t="s">
        <v>376</v>
      </c>
      <c r="P265">
        <v>0</v>
      </c>
      <c r="Q265" t="s">
        <v>362</v>
      </c>
      <c r="R265" t="s">
        <v>51</v>
      </c>
      <c r="S265">
        <v>1945</v>
      </c>
      <c r="T265">
        <v>-777</v>
      </c>
      <c r="U265" s="1">
        <v>16553</v>
      </c>
      <c r="V265" s="2">
        <v>16553</v>
      </c>
      <c r="Y265" t="s">
        <v>1267</v>
      </c>
      <c r="Z265">
        <v>0</v>
      </c>
      <c r="AA265">
        <v>3</v>
      </c>
      <c r="AB265">
        <v>6</v>
      </c>
      <c r="AC265">
        <v>1</v>
      </c>
      <c r="AF265">
        <v>1991</v>
      </c>
      <c r="AG265">
        <v>1993</v>
      </c>
      <c r="AO265" t="b">
        <v>0</v>
      </c>
      <c r="AT265">
        <v>868</v>
      </c>
      <c r="AU265">
        <f t="shared" si="14"/>
        <v>2.3780000000000001</v>
      </c>
    </row>
    <row r="266" spans="1:47" x14ac:dyDescent="0.3">
      <c r="A266">
        <v>264</v>
      </c>
      <c r="B266" t="s">
        <v>1268</v>
      </c>
      <c r="C266" t="s">
        <v>1269</v>
      </c>
      <c r="D266">
        <v>90</v>
      </c>
      <c r="E266" t="s">
        <v>1151</v>
      </c>
      <c r="F266" t="str">
        <f>VLOOKUP(E266,country_continent!A:C,2,FALSE)</f>
        <v>Guatemala</v>
      </c>
      <c r="G266" t="str">
        <f>VLOOKUP(E266,country_continent!A:C,3,FALSE)</f>
        <v>North America</v>
      </c>
      <c r="H266" t="s">
        <v>1270</v>
      </c>
      <c r="I266" s="1">
        <v>34120</v>
      </c>
      <c r="J266" s="3">
        <f t="shared" si="12"/>
        <v>34120</v>
      </c>
      <c r="K266" s="1">
        <v>34121</v>
      </c>
      <c r="L266" s="3">
        <f t="shared" si="13"/>
        <v>34121</v>
      </c>
      <c r="M266" t="s">
        <v>49</v>
      </c>
      <c r="N266" t="s">
        <v>49</v>
      </c>
      <c r="O266" t="s">
        <v>49</v>
      </c>
      <c r="P266">
        <v>0</v>
      </c>
      <c r="Q266" t="s">
        <v>362</v>
      </c>
      <c r="R266" t="s">
        <v>51</v>
      </c>
      <c r="S266">
        <v>1946</v>
      </c>
      <c r="T266">
        <v>-777</v>
      </c>
      <c r="Z266">
        <v>0</v>
      </c>
      <c r="AA266">
        <v>1</v>
      </c>
      <c r="AB266">
        <v>0</v>
      </c>
      <c r="AC266">
        <v>1</v>
      </c>
      <c r="AF266">
        <v>1993</v>
      </c>
      <c r="AG266">
        <v>1993</v>
      </c>
      <c r="AO266" t="b">
        <v>0</v>
      </c>
      <c r="AT266">
        <v>1</v>
      </c>
      <c r="AU266">
        <f t="shared" si="14"/>
        <v>3.0000000000000001E-3</v>
      </c>
    </row>
    <row r="267" spans="1:47" x14ac:dyDescent="0.3">
      <c r="A267">
        <v>265</v>
      </c>
      <c r="B267" t="s">
        <v>1271</v>
      </c>
      <c r="C267" t="s">
        <v>1272</v>
      </c>
      <c r="D267">
        <v>90</v>
      </c>
      <c r="E267" t="s">
        <v>1151</v>
      </c>
      <c r="F267" t="str">
        <f>VLOOKUP(E267,country_continent!A:C,2,FALSE)</f>
        <v>Guatemala</v>
      </c>
      <c r="G267" t="str">
        <f>VLOOKUP(E267,country_continent!A:C,3,FALSE)</f>
        <v>North America</v>
      </c>
      <c r="H267" t="s">
        <v>1273</v>
      </c>
      <c r="I267" s="1">
        <v>34121</v>
      </c>
      <c r="J267" s="3">
        <f t="shared" si="12"/>
        <v>34121</v>
      </c>
      <c r="K267" s="1">
        <v>35078</v>
      </c>
      <c r="L267" s="3">
        <f t="shared" si="13"/>
        <v>35078</v>
      </c>
      <c r="M267" t="s">
        <v>67</v>
      </c>
      <c r="N267" t="s">
        <v>49</v>
      </c>
      <c r="O267" t="s">
        <v>49</v>
      </c>
      <c r="P267">
        <v>0</v>
      </c>
      <c r="Q267" t="s">
        <v>50</v>
      </c>
      <c r="R267" t="s">
        <v>51</v>
      </c>
      <c r="S267">
        <v>1942</v>
      </c>
      <c r="T267">
        <v>2002</v>
      </c>
      <c r="Y267" t="s">
        <v>1274</v>
      </c>
      <c r="Z267">
        <v>1</v>
      </c>
      <c r="AA267">
        <v>1</v>
      </c>
      <c r="AB267">
        <v>0</v>
      </c>
      <c r="AC267">
        <v>0</v>
      </c>
      <c r="AF267">
        <v>1993</v>
      </c>
      <c r="AG267">
        <v>1996</v>
      </c>
      <c r="AO267" t="b">
        <v>0</v>
      </c>
      <c r="AT267">
        <v>957</v>
      </c>
      <c r="AU267">
        <f t="shared" si="14"/>
        <v>2.6219999999999999</v>
      </c>
    </row>
    <row r="268" spans="1:47" x14ac:dyDescent="0.3">
      <c r="A268">
        <v>266</v>
      </c>
      <c r="B268" t="s">
        <v>1275</v>
      </c>
      <c r="C268" t="s">
        <v>1276</v>
      </c>
      <c r="D268">
        <v>90</v>
      </c>
      <c r="E268" t="s">
        <v>1151</v>
      </c>
      <c r="F268" t="str">
        <f>VLOOKUP(E268,country_continent!A:C,2,FALSE)</f>
        <v>Guatemala</v>
      </c>
      <c r="G268" t="str">
        <f>VLOOKUP(E268,country_continent!A:C,3,FALSE)</f>
        <v>North America</v>
      </c>
      <c r="H268" t="s">
        <v>1277</v>
      </c>
      <c r="I268" s="1">
        <v>35078</v>
      </c>
      <c r="J268" s="3">
        <f t="shared" si="12"/>
        <v>35078</v>
      </c>
      <c r="K268" s="1">
        <v>36539</v>
      </c>
      <c r="L268" s="3">
        <f t="shared" si="13"/>
        <v>36539</v>
      </c>
      <c r="M268" t="s">
        <v>49</v>
      </c>
      <c r="N268" t="s">
        <v>49</v>
      </c>
      <c r="O268" t="s">
        <v>49</v>
      </c>
      <c r="P268">
        <v>0</v>
      </c>
      <c r="Q268" t="s">
        <v>50</v>
      </c>
      <c r="R268" t="s">
        <v>51</v>
      </c>
      <c r="S268">
        <v>1946</v>
      </c>
      <c r="T268">
        <v>-777</v>
      </c>
      <c r="Y268" t="s">
        <v>1278</v>
      </c>
      <c r="Z268">
        <v>0</v>
      </c>
      <c r="AA268">
        <v>1</v>
      </c>
      <c r="AB268">
        <v>0</v>
      </c>
      <c r="AC268">
        <v>0</v>
      </c>
      <c r="AF268">
        <v>1996</v>
      </c>
      <c r="AG268">
        <v>2000</v>
      </c>
      <c r="AO268" t="b">
        <v>0</v>
      </c>
      <c r="AT268">
        <v>1461</v>
      </c>
      <c r="AU268">
        <f t="shared" si="14"/>
        <v>4.0030000000000001</v>
      </c>
    </row>
    <row r="269" spans="1:47" x14ac:dyDescent="0.3">
      <c r="A269">
        <v>267</v>
      </c>
      <c r="B269" t="s">
        <v>1279</v>
      </c>
      <c r="C269" t="s">
        <v>1280</v>
      </c>
      <c r="D269">
        <v>90</v>
      </c>
      <c r="E269" t="s">
        <v>1151</v>
      </c>
      <c r="F269" t="str">
        <f>VLOOKUP(E269,country_continent!A:C,2,FALSE)</f>
        <v>Guatemala</v>
      </c>
      <c r="G269" t="str">
        <f>VLOOKUP(E269,country_continent!A:C,3,FALSE)</f>
        <v>North America</v>
      </c>
      <c r="H269" t="s">
        <v>1281</v>
      </c>
      <c r="I269" s="1">
        <v>36540</v>
      </c>
      <c r="J269" s="3">
        <f t="shared" si="12"/>
        <v>36540</v>
      </c>
      <c r="K269" s="1">
        <v>38000</v>
      </c>
      <c r="L269" s="3">
        <f t="shared" si="13"/>
        <v>38000</v>
      </c>
      <c r="M269" t="s">
        <v>49</v>
      </c>
      <c r="N269" t="s">
        <v>49</v>
      </c>
      <c r="O269" t="s">
        <v>49</v>
      </c>
      <c r="P269">
        <v>0</v>
      </c>
      <c r="Q269" t="s">
        <v>362</v>
      </c>
      <c r="R269" t="s">
        <v>51</v>
      </c>
      <c r="S269">
        <v>1951</v>
      </c>
      <c r="T269">
        <v>-777</v>
      </c>
      <c r="Z269">
        <v>0</v>
      </c>
      <c r="AA269">
        <v>1</v>
      </c>
      <c r="AB269">
        <v>0</v>
      </c>
      <c r="AC269">
        <v>1</v>
      </c>
      <c r="AF269">
        <v>2000</v>
      </c>
      <c r="AG269">
        <v>2004</v>
      </c>
      <c r="AO269" t="b">
        <v>0</v>
      </c>
      <c r="AT269">
        <v>1460</v>
      </c>
      <c r="AU269">
        <f t="shared" si="14"/>
        <v>4</v>
      </c>
    </row>
    <row r="270" spans="1:47" x14ac:dyDescent="0.3">
      <c r="A270">
        <v>268</v>
      </c>
      <c r="B270" t="s">
        <v>1282</v>
      </c>
      <c r="C270" t="s">
        <v>1283</v>
      </c>
      <c r="D270">
        <v>90</v>
      </c>
      <c r="E270" t="s">
        <v>1151</v>
      </c>
      <c r="F270" t="str">
        <f>VLOOKUP(E270,country_continent!A:C,2,FALSE)</f>
        <v>Guatemala</v>
      </c>
      <c r="G270" t="str">
        <f>VLOOKUP(E270,country_continent!A:C,3,FALSE)</f>
        <v>North America</v>
      </c>
      <c r="H270" t="s">
        <v>1284</v>
      </c>
      <c r="I270" s="1">
        <v>38000</v>
      </c>
      <c r="J270" s="3">
        <f t="shared" si="12"/>
        <v>38000</v>
      </c>
      <c r="K270" s="1">
        <v>39461</v>
      </c>
      <c r="L270" s="3">
        <f t="shared" si="13"/>
        <v>39461</v>
      </c>
      <c r="M270" t="s">
        <v>49</v>
      </c>
      <c r="N270" t="s">
        <v>49</v>
      </c>
      <c r="O270" t="s">
        <v>49</v>
      </c>
      <c r="P270">
        <v>0</v>
      </c>
      <c r="Q270" t="s">
        <v>50</v>
      </c>
      <c r="R270" t="s">
        <v>51</v>
      </c>
      <c r="S270">
        <v>1946</v>
      </c>
      <c r="T270">
        <v>-777</v>
      </c>
      <c r="Z270">
        <v>0</v>
      </c>
      <c r="AA270">
        <v>1</v>
      </c>
      <c r="AB270">
        <v>0</v>
      </c>
      <c r="AC270">
        <v>0</v>
      </c>
      <c r="AF270">
        <v>2004</v>
      </c>
      <c r="AG270">
        <v>2008</v>
      </c>
      <c r="AO270" t="b">
        <v>0</v>
      </c>
      <c r="AT270">
        <v>1461</v>
      </c>
      <c r="AU270">
        <f t="shared" si="14"/>
        <v>4.0030000000000001</v>
      </c>
    </row>
    <row r="271" spans="1:47" x14ac:dyDescent="0.3">
      <c r="A271">
        <v>269</v>
      </c>
      <c r="B271" t="s">
        <v>1285</v>
      </c>
      <c r="C271" t="s">
        <v>1286</v>
      </c>
      <c r="D271">
        <v>90</v>
      </c>
      <c r="E271" t="s">
        <v>1151</v>
      </c>
      <c r="F271" t="str">
        <f>VLOOKUP(E271,country_continent!A:C,2,FALSE)</f>
        <v>Guatemala</v>
      </c>
      <c r="G271" t="str">
        <f>VLOOKUP(E271,country_continent!A:C,3,FALSE)</f>
        <v>North America</v>
      </c>
      <c r="H271" t="s">
        <v>1287</v>
      </c>
      <c r="I271" s="1">
        <v>39461</v>
      </c>
      <c r="J271" s="3">
        <f t="shared" si="12"/>
        <v>39461</v>
      </c>
      <c r="K271" s="1">
        <v>40922</v>
      </c>
      <c r="L271" s="3">
        <f t="shared" si="13"/>
        <v>40922</v>
      </c>
      <c r="M271" t="s">
        <v>49</v>
      </c>
      <c r="N271" t="s">
        <v>49</v>
      </c>
      <c r="O271" t="s">
        <v>49</v>
      </c>
      <c r="P271">
        <v>0</v>
      </c>
      <c r="Q271" t="s">
        <v>50</v>
      </c>
      <c r="R271" t="s">
        <v>51</v>
      </c>
      <c r="S271">
        <v>1951</v>
      </c>
      <c r="T271">
        <v>-777</v>
      </c>
      <c r="Z271">
        <v>0</v>
      </c>
      <c r="AA271">
        <v>1</v>
      </c>
      <c r="AB271">
        <v>0</v>
      </c>
      <c r="AC271">
        <v>0</v>
      </c>
      <c r="AF271">
        <v>2008</v>
      </c>
      <c r="AG271">
        <v>2012</v>
      </c>
      <c r="AO271" t="b">
        <v>0</v>
      </c>
      <c r="AT271">
        <v>1461</v>
      </c>
      <c r="AU271">
        <f t="shared" si="14"/>
        <v>4.0030000000000001</v>
      </c>
    </row>
    <row r="272" spans="1:47" x14ac:dyDescent="0.3">
      <c r="A272">
        <v>270</v>
      </c>
      <c r="B272" t="s">
        <v>1288</v>
      </c>
      <c r="C272" t="s">
        <v>1289</v>
      </c>
      <c r="D272">
        <v>90</v>
      </c>
      <c r="E272" t="s">
        <v>1151</v>
      </c>
      <c r="F272" t="str">
        <f>VLOOKUP(E272,country_continent!A:C,2,FALSE)</f>
        <v>Guatemala</v>
      </c>
      <c r="G272" t="str">
        <f>VLOOKUP(E272,country_continent!A:C,3,FALSE)</f>
        <v>North America</v>
      </c>
      <c r="H272" t="s">
        <v>1290</v>
      </c>
      <c r="I272" s="1">
        <v>40922</v>
      </c>
      <c r="J272" s="3">
        <f t="shared" si="12"/>
        <v>40922</v>
      </c>
      <c r="K272" s="1">
        <v>42249</v>
      </c>
      <c r="L272" s="3">
        <f t="shared" si="13"/>
        <v>42249</v>
      </c>
      <c r="M272" t="s">
        <v>49</v>
      </c>
      <c r="N272" t="s">
        <v>49</v>
      </c>
      <c r="O272" t="s">
        <v>49</v>
      </c>
      <c r="P272">
        <v>0</v>
      </c>
      <c r="Q272" t="s">
        <v>312</v>
      </c>
      <c r="R272" t="s">
        <v>51</v>
      </c>
      <c r="S272">
        <v>1950</v>
      </c>
      <c r="T272">
        <v>-777</v>
      </c>
      <c r="U272" s="1">
        <v>18598</v>
      </c>
      <c r="V272" s="2">
        <v>18598</v>
      </c>
      <c r="Z272">
        <v>0</v>
      </c>
      <c r="AA272">
        <v>1</v>
      </c>
      <c r="AB272">
        <v>0</v>
      </c>
      <c r="AC272">
        <v>-999</v>
      </c>
      <c r="AF272">
        <v>2012</v>
      </c>
      <c r="AG272">
        <v>2015</v>
      </c>
      <c r="AO272" t="b">
        <v>0</v>
      </c>
      <c r="AT272">
        <v>1327</v>
      </c>
      <c r="AU272">
        <f t="shared" si="14"/>
        <v>3.6360000000000001</v>
      </c>
    </row>
    <row r="273" spans="1:47" x14ac:dyDescent="0.3">
      <c r="A273">
        <v>271</v>
      </c>
      <c r="B273" t="s">
        <v>1291</v>
      </c>
      <c r="C273" t="s">
        <v>1292</v>
      </c>
      <c r="D273">
        <v>91</v>
      </c>
      <c r="E273" t="s">
        <v>1293</v>
      </c>
      <c r="F273" t="str">
        <f>VLOOKUP(E273,country_continent!A:C,2,FALSE)</f>
        <v>Honduras</v>
      </c>
      <c r="G273" t="str">
        <f>VLOOKUP(E273,country_continent!A:C,3,FALSE)</f>
        <v>North America</v>
      </c>
      <c r="H273" t="s">
        <v>1294</v>
      </c>
      <c r="I273" t="s">
        <v>1295</v>
      </c>
      <c r="J273" s="3" t="str">
        <f t="shared" si="12"/>
        <v>1874/01/13</v>
      </c>
      <c r="K273" t="s">
        <v>1296</v>
      </c>
      <c r="L273" s="3" t="str">
        <f t="shared" si="13"/>
        <v>1876/06/08</v>
      </c>
      <c r="M273" t="s">
        <v>67</v>
      </c>
      <c r="N273" t="s">
        <v>67</v>
      </c>
      <c r="O273" t="s">
        <v>347</v>
      </c>
      <c r="P273">
        <v>0</v>
      </c>
      <c r="Q273" t="s">
        <v>50</v>
      </c>
      <c r="R273" t="s">
        <v>51</v>
      </c>
      <c r="S273">
        <v>1821</v>
      </c>
      <c r="T273">
        <v>1896</v>
      </c>
      <c r="Z273">
        <v>1</v>
      </c>
      <c r="AA273">
        <v>3</v>
      </c>
      <c r="AB273">
        <v>-999</v>
      </c>
      <c r="AC273">
        <v>0</v>
      </c>
      <c r="AF273">
        <v>1874</v>
      </c>
      <c r="AG273">
        <v>1876</v>
      </c>
      <c r="AO273" t="b">
        <v>1</v>
      </c>
      <c r="AP273" t="s">
        <v>45</v>
      </c>
      <c r="AQ273">
        <v>1899</v>
      </c>
      <c r="AR273">
        <v>1971</v>
      </c>
      <c r="AS273" t="s">
        <v>1297</v>
      </c>
      <c r="AT273">
        <v>2.4010951403148502</v>
      </c>
      <c r="AU273">
        <f t="shared" si="14"/>
        <v>7.0000000000000001E-3</v>
      </c>
    </row>
    <row r="274" spans="1:47" x14ac:dyDescent="0.3">
      <c r="A274">
        <v>272</v>
      </c>
      <c r="B274" t="s">
        <v>1298</v>
      </c>
      <c r="C274" t="s">
        <v>1299</v>
      </c>
      <c r="D274">
        <v>91</v>
      </c>
      <c r="E274" t="s">
        <v>1293</v>
      </c>
      <c r="F274" t="str">
        <f>VLOOKUP(E274,country_continent!A:C,2,FALSE)</f>
        <v>Honduras</v>
      </c>
      <c r="G274" t="str">
        <f>VLOOKUP(E274,country_continent!A:C,3,FALSE)</f>
        <v>North America</v>
      </c>
      <c r="H274" t="s">
        <v>1300</v>
      </c>
      <c r="I274" t="s">
        <v>1301</v>
      </c>
      <c r="J274" s="3" t="str">
        <f t="shared" si="12"/>
        <v>1876/08/27</v>
      </c>
      <c r="K274" t="s">
        <v>1302</v>
      </c>
      <c r="L274" s="3" t="str">
        <f t="shared" si="13"/>
        <v>1883/10/19</v>
      </c>
      <c r="M274" t="s">
        <v>67</v>
      </c>
      <c r="N274" t="s">
        <v>67</v>
      </c>
      <c r="O274" t="s">
        <v>347</v>
      </c>
      <c r="P274">
        <v>0</v>
      </c>
      <c r="Q274" t="s">
        <v>362</v>
      </c>
      <c r="R274" t="s">
        <v>51</v>
      </c>
      <c r="S274">
        <v>1846</v>
      </c>
      <c r="T274">
        <v>1908</v>
      </c>
      <c r="Z274">
        <v>1</v>
      </c>
      <c r="AA274">
        <v>3</v>
      </c>
      <c r="AB274">
        <v>-999</v>
      </c>
      <c r="AC274">
        <v>1</v>
      </c>
      <c r="AF274">
        <v>1876</v>
      </c>
      <c r="AG274">
        <v>1883</v>
      </c>
      <c r="AO274" t="b">
        <v>1</v>
      </c>
      <c r="AP274" t="s">
        <v>45</v>
      </c>
      <c r="AQ274">
        <v>1899</v>
      </c>
      <c r="AR274">
        <v>1971</v>
      </c>
      <c r="AS274" t="s">
        <v>1303</v>
      </c>
      <c r="AT274">
        <v>7.1430527036276503</v>
      </c>
      <c r="AU274">
        <f t="shared" si="14"/>
        <v>0.02</v>
      </c>
    </row>
    <row r="275" spans="1:47" x14ac:dyDescent="0.3">
      <c r="A275">
        <v>273</v>
      </c>
      <c r="B275" t="s">
        <v>1304</v>
      </c>
      <c r="C275" t="s">
        <v>1305</v>
      </c>
      <c r="D275">
        <v>91</v>
      </c>
      <c r="E275" t="s">
        <v>1293</v>
      </c>
      <c r="F275" t="str">
        <f>VLOOKUP(E275,country_continent!A:C,2,FALSE)</f>
        <v>Honduras</v>
      </c>
      <c r="G275" t="str">
        <f>VLOOKUP(E275,country_continent!A:C,3,FALSE)</f>
        <v>North America</v>
      </c>
      <c r="H275" t="s">
        <v>1306</v>
      </c>
      <c r="I275" t="s">
        <v>1302</v>
      </c>
      <c r="J275" s="3" t="str">
        <f t="shared" si="12"/>
        <v>1883/10/19</v>
      </c>
      <c r="K275" t="s">
        <v>1307</v>
      </c>
      <c r="L275" s="3" t="str">
        <f t="shared" si="13"/>
        <v>1883/11/30</v>
      </c>
      <c r="M275" t="s">
        <v>67</v>
      </c>
      <c r="N275" t="s">
        <v>49</v>
      </c>
      <c r="O275" t="s">
        <v>49</v>
      </c>
      <c r="P275">
        <v>0</v>
      </c>
      <c r="Q275" t="s">
        <v>50</v>
      </c>
      <c r="R275" t="s">
        <v>51</v>
      </c>
      <c r="S275">
        <v>-999</v>
      </c>
      <c r="T275">
        <v>-999</v>
      </c>
      <c r="Z275">
        <v>1</v>
      </c>
      <c r="AA275">
        <v>1</v>
      </c>
      <c r="AB275">
        <v>0</v>
      </c>
      <c r="AC275">
        <v>0</v>
      </c>
      <c r="AF275">
        <v>1883</v>
      </c>
      <c r="AG275">
        <v>1883</v>
      </c>
      <c r="AO275" t="b">
        <v>1</v>
      </c>
      <c r="AP275" t="s">
        <v>45</v>
      </c>
      <c r="AQ275">
        <v>1899</v>
      </c>
      <c r="AR275">
        <v>1971</v>
      </c>
      <c r="AS275" t="s">
        <v>1308</v>
      </c>
      <c r="AT275">
        <v>0.114989733059548</v>
      </c>
      <c r="AU275">
        <f t="shared" si="14"/>
        <v>0</v>
      </c>
    </row>
    <row r="276" spans="1:47" x14ac:dyDescent="0.3">
      <c r="A276">
        <v>274</v>
      </c>
      <c r="B276" t="s">
        <v>1309</v>
      </c>
      <c r="C276" t="s">
        <v>1310</v>
      </c>
      <c r="D276">
        <v>91</v>
      </c>
      <c r="E276" t="s">
        <v>1293</v>
      </c>
      <c r="F276" t="str">
        <f>VLOOKUP(E276,country_continent!A:C,2,FALSE)</f>
        <v>Honduras</v>
      </c>
      <c r="G276" t="str">
        <f>VLOOKUP(E276,country_continent!A:C,3,FALSE)</f>
        <v>North America</v>
      </c>
      <c r="H276" t="s">
        <v>1311</v>
      </c>
      <c r="I276" t="s">
        <v>1307</v>
      </c>
      <c r="J276" s="3" t="str">
        <f t="shared" si="12"/>
        <v>1883/11/30</v>
      </c>
      <c r="K276" t="s">
        <v>1312</v>
      </c>
      <c r="L276" s="3" t="str">
        <f t="shared" si="13"/>
        <v>1891/11/30</v>
      </c>
      <c r="M276" t="s">
        <v>49</v>
      </c>
      <c r="N276" t="s">
        <v>49</v>
      </c>
      <c r="O276" t="s">
        <v>49</v>
      </c>
      <c r="P276">
        <v>0</v>
      </c>
      <c r="Q276" t="s">
        <v>362</v>
      </c>
      <c r="R276" t="s">
        <v>51</v>
      </c>
      <c r="S276">
        <v>1849</v>
      </c>
      <c r="T276">
        <v>1895</v>
      </c>
      <c r="Y276" t="s">
        <v>1313</v>
      </c>
      <c r="Z276">
        <v>0</v>
      </c>
      <c r="AA276">
        <v>1</v>
      </c>
      <c r="AB276">
        <v>0</v>
      </c>
      <c r="AC276">
        <v>1</v>
      </c>
      <c r="AF276">
        <v>1883</v>
      </c>
      <c r="AG276">
        <v>1891</v>
      </c>
      <c r="AO276" t="b">
        <v>1</v>
      </c>
      <c r="AP276" t="s">
        <v>45</v>
      </c>
      <c r="AQ276">
        <v>1899</v>
      </c>
      <c r="AR276">
        <v>1971</v>
      </c>
      <c r="AS276" t="s">
        <v>1314</v>
      </c>
      <c r="AT276">
        <v>8</v>
      </c>
      <c r="AU276">
        <f t="shared" si="14"/>
        <v>2.1999999999999999E-2</v>
      </c>
    </row>
    <row r="277" spans="1:47" x14ac:dyDescent="0.3">
      <c r="A277">
        <v>275</v>
      </c>
      <c r="B277" t="s">
        <v>1315</v>
      </c>
      <c r="C277" t="s">
        <v>1292</v>
      </c>
      <c r="D277">
        <v>91</v>
      </c>
      <c r="E277" t="s">
        <v>1293</v>
      </c>
      <c r="F277" t="str">
        <f>VLOOKUP(E277,country_continent!A:C,2,FALSE)</f>
        <v>Honduras</v>
      </c>
      <c r="G277" t="str">
        <f>VLOOKUP(E277,country_continent!A:C,3,FALSE)</f>
        <v>North America</v>
      </c>
      <c r="H277" t="s">
        <v>1294</v>
      </c>
      <c r="I277" t="s">
        <v>1312</v>
      </c>
      <c r="J277" s="3" t="str">
        <f t="shared" si="12"/>
        <v>1891/11/30</v>
      </c>
      <c r="K277" t="s">
        <v>1316</v>
      </c>
      <c r="L277" s="3" t="str">
        <f t="shared" si="13"/>
        <v>1893/08/07</v>
      </c>
      <c r="M277" t="s">
        <v>49</v>
      </c>
      <c r="N277" t="s">
        <v>67</v>
      </c>
      <c r="O277" t="s">
        <v>347</v>
      </c>
      <c r="P277">
        <v>1</v>
      </c>
      <c r="Q277" t="s">
        <v>362</v>
      </c>
      <c r="R277" t="s">
        <v>51</v>
      </c>
      <c r="S277">
        <v>1821</v>
      </c>
      <c r="T277">
        <v>1896</v>
      </c>
      <c r="Z277">
        <v>0</v>
      </c>
      <c r="AA277">
        <v>3</v>
      </c>
      <c r="AB277">
        <v>-999</v>
      </c>
      <c r="AC277">
        <v>1</v>
      </c>
      <c r="AF277">
        <v>1891</v>
      </c>
      <c r="AG277">
        <v>1893</v>
      </c>
      <c r="AO277" t="b">
        <v>1</v>
      </c>
      <c r="AP277" t="s">
        <v>45</v>
      </c>
      <c r="AQ277">
        <v>1899</v>
      </c>
      <c r="AR277">
        <v>1971</v>
      </c>
      <c r="AS277" t="s">
        <v>1317</v>
      </c>
      <c r="AT277">
        <v>1.68651608487337</v>
      </c>
      <c r="AU277">
        <f t="shared" si="14"/>
        <v>5.0000000000000001E-3</v>
      </c>
    </row>
    <row r="278" spans="1:47" x14ac:dyDescent="0.3">
      <c r="A278">
        <v>276</v>
      </c>
      <c r="B278" t="s">
        <v>1318</v>
      </c>
      <c r="C278" t="s">
        <v>1319</v>
      </c>
      <c r="D278">
        <v>91</v>
      </c>
      <c r="E278" t="s">
        <v>1293</v>
      </c>
      <c r="F278" t="str">
        <f>VLOOKUP(E278,country_continent!A:C,2,FALSE)</f>
        <v>Honduras</v>
      </c>
      <c r="G278" t="str">
        <f>VLOOKUP(E278,country_continent!A:C,3,FALSE)</f>
        <v>North America</v>
      </c>
      <c r="H278" t="s">
        <v>751</v>
      </c>
      <c r="I278" t="s">
        <v>1316</v>
      </c>
      <c r="J278" s="3" t="str">
        <f t="shared" si="12"/>
        <v>1893/08/07</v>
      </c>
      <c r="K278" t="s">
        <v>1320</v>
      </c>
      <c r="L278" s="3" t="str">
        <f t="shared" si="13"/>
        <v>1894/02/22</v>
      </c>
      <c r="M278" t="s">
        <v>67</v>
      </c>
      <c r="N278" t="s">
        <v>67</v>
      </c>
      <c r="O278" t="s">
        <v>347</v>
      </c>
      <c r="P278">
        <v>0</v>
      </c>
      <c r="Q278" t="s">
        <v>362</v>
      </c>
      <c r="R278" t="s">
        <v>51</v>
      </c>
      <c r="S278">
        <v>1846</v>
      </c>
      <c r="T278">
        <v>1909</v>
      </c>
      <c r="Z278">
        <v>1</v>
      </c>
      <c r="AA278">
        <v>3</v>
      </c>
      <c r="AB278">
        <v>-999</v>
      </c>
      <c r="AC278">
        <v>1</v>
      </c>
      <c r="AF278">
        <v>1893</v>
      </c>
      <c r="AG278">
        <v>1894</v>
      </c>
      <c r="AO278" t="b">
        <v>1</v>
      </c>
      <c r="AP278" t="s">
        <v>45</v>
      </c>
      <c r="AQ278">
        <v>1899</v>
      </c>
      <c r="AR278">
        <v>1971</v>
      </c>
      <c r="AS278" t="s">
        <v>1321</v>
      </c>
      <c r="AT278">
        <v>0.54483230663928806</v>
      </c>
      <c r="AU278">
        <f t="shared" si="14"/>
        <v>1E-3</v>
      </c>
    </row>
    <row r="279" spans="1:47" x14ac:dyDescent="0.3">
      <c r="A279">
        <v>277</v>
      </c>
      <c r="B279" t="s">
        <v>1322</v>
      </c>
      <c r="C279" t="s">
        <v>1323</v>
      </c>
      <c r="D279">
        <v>91</v>
      </c>
      <c r="E279" t="s">
        <v>1293</v>
      </c>
      <c r="F279" t="str">
        <f>VLOOKUP(E279,country_continent!A:C,2,FALSE)</f>
        <v>Honduras</v>
      </c>
      <c r="G279" t="str">
        <f>VLOOKUP(E279,country_continent!A:C,3,FALSE)</f>
        <v>North America</v>
      </c>
      <c r="H279" t="s">
        <v>1324</v>
      </c>
      <c r="I279" t="s">
        <v>1320</v>
      </c>
      <c r="J279" s="3" t="str">
        <f t="shared" si="12"/>
        <v>1894/02/22</v>
      </c>
      <c r="K279" t="s">
        <v>1325</v>
      </c>
      <c r="L279" s="3" t="str">
        <f t="shared" si="13"/>
        <v>1899/02/01</v>
      </c>
      <c r="M279" t="s">
        <v>67</v>
      </c>
      <c r="N279" t="s">
        <v>49</v>
      </c>
      <c r="O279" t="s">
        <v>49</v>
      </c>
      <c r="P279">
        <v>0</v>
      </c>
      <c r="Q279" t="s">
        <v>50</v>
      </c>
      <c r="R279" t="s">
        <v>51</v>
      </c>
      <c r="S279">
        <v>1858</v>
      </c>
      <c r="T279">
        <v>1926</v>
      </c>
      <c r="Z279">
        <v>1</v>
      </c>
      <c r="AA279">
        <v>1</v>
      </c>
      <c r="AB279">
        <v>0</v>
      </c>
      <c r="AC279">
        <v>0</v>
      </c>
      <c r="AF279">
        <v>1894</v>
      </c>
      <c r="AG279">
        <v>1899</v>
      </c>
      <c r="AO279" t="b">
        <v>1</v>
      </c>
      <c r="AP279" t="s">
        <v>45</v>
      </c>
      <c r="AQ279">
        <v>1899</v>
      </c>
      <c r="AR279">
        <v>1971</v>
      </c>
      <c r="AS279" t="s">
        <v>1326</v>
      </c>
      <c r="AT279">
        <v>4.9418206707734402</v>
      </c>
      <c r="AU279">
        <f t="shared" si="14"/>
        <v>1.4E-2</v>
      </c>
    </row>
    <row r="280" spans="1:47" x14ac:dyDescent="0.3">
      <c r="A280">
        <v>278</v>
      </c>
      <c r="B280" t="s">
        <v>1327</v>
      </c>
      <c r="C280" t="s">
        <v>1328</v>
      </c>
      <c r="D280">
        <v>91</v>
      </c>
      <c r="E280" t="s">
        <v>1293</v>
      </c>
      <c r="F280" t="str">
        <f>VLOOKUP(E280,country_continent!A:C,2,FALSE)</f>
        <v>Honduras</v>
      </c>
      <c r="G280" t="str">
        <f>VLOOKUP(E280,country_continent!A:C,3,FALSE)</f>
        <v>North America</v>
      </c>
      <c r="H280" t="s">
        <v>1329</v>
      </c>
      <c r="I280" t="s">
        <v>1325</v>
      </c>
      <c r="J280" s="3" t="str">
        <f t="shared" si="12"/>
        <v>1899/02/01</v>
      </c>
      <c r="K280" s="1">
        <v>1126</v>
      </c>
      <c r="L280" s="3">
        <f t="shared" si="13"/>
        <v>1126</v>
      </c>
      <c r="M280" t="s">
        <v>49</v>
      </c>
      <c r="N280" t="s">
        <v>67</v>
      </c>
      <c r="O280" t="s">
        <v>347</v>
      </c>
      <c r="P280">
        <v>0</v>
      </c>
      <c r="Q280" t="s">
        <v>362</v>
      </c>
      <c r="R280" t="s">
        <v>51</v>
      </c>
      <c r="S280">
        <v>1839</v>
      </c>
      <c r="T280">
        <v>1907</v>
      </c>
      <c r="Z280">
        <v>0</v>
      </c>
      <c r="AA280">
        <v>3</v>
      </c>
      <c r="AB280">
        <v>-999</v>
      </c>
      <c r="AC280">
        <v>1</v>
      </c>
      <c r="AF280">
        <v>1899</v>
      </c>
      <c r="AG280">
        <v>1903</v>
      </c>
      <c r="AO280" t="b">
        <v>1</v>
      </c>
      <c r="AP280" t="s">
        <v>45</v>
      </c>
      <c r="AQ280">
        <v>1899</v>
      </c>
      <c r="AR280">
        <v>1971</v>
      </c>
      <c r="AS280" t="s">
        <v>1330</v>
      </c>
      <c r="AT280">
        <v>3.9917864476385998</v>
      </c>
      <c r="AU280">
        <f t="shared" si="14"/>
        <v>1.0999999999999999E-2</v>
      </c>
    </row>
    <row r="281" spans="1:47" x14ac:dyDescent="0.3">
      <c r="A281">
        <v>279</v>
      </c>
      <c r="B281" t="s">
        <v>1331</v>
      </c>
      <c r="C281" t="s">
        <v>1332</v>
      </c>
      <c r="D281">
        <v>91</v>
      </c>
      <c r="E281" t="s">
        <v>1293</v>
      </c>
      <c r="F281" t="str">
        <f>VLOOKUP(E281,country_continent!A:C,2,FALSE)</f>
        <v>Honduras</v>
      </c>
      <c r="G281" t="str">
        <f>VLOOKUP(E281,country_continent!A:C,3,FALSE)</f>
        <v>North America</v>
      </c>
      <c r="H281" t="s">
        <v>1333</v>
      </c>
      <c r="I281" s="1">
        <v>1128</v>
      </c>
      <c r="J281" s="3">
        <f t="shared" si="12"/>
        <v>1128</v>
      </c>
      <c r="K281" s="1">
        <v>2658</v>
      </c>
      <c r="L281" s="3">
        <f t="shared" si="13"/>
        <v>2658</v>
      </c>
      <c r="M281" t="s">
        <v>67</v>
      </c>
      <c r="N281" t="s">
        <v>67</v>
      </c>
      <c r="O281" t="s">
        <v>347</v>
      </c>
      <c r="P281">
        <v>0</v>
      </c>
      <c r="Q281" t="s">
        <v>362</v>
      </c>
      <c r="R281" t="s">
        <v>51</v>
      </c>
      <c r="S281">
        <v>1849</v>
      </c>
      <c r="T281">
        <v>1913</v>
      </c>
      <c r="Z281">
        <v>1</v>
      </c>
      <c r="AA281">
        <v>3</v>
      </c>
      <c r="AB281">
        <v>-999</v>
      </c>
      <c r="AC281">
        <v>1</v>
      </c>
      <c r="AF281">
        <v>1903</v>
      </c>
      <c r="AG281">
        <v>1907</v>
      </c>
      <c r="AO281" t="b">
        <v>1</v>
      </c>
      <c r="AP281" t="s">
        <v>45</v>
      </c>
      <c r="AQ281">
        <v>1899</v>
      </c>
      <c r="AR281">
        <v>1971</v>
      </c>
      <c r="AS281" t="s">
        <v>1334</v>
      </c>
      <c r="AT281">
        <v>4.18891170431211</v>
      </c>
      <c r="AU281">
        <f t="shared" si="14"/>
        <v>1.0999999999999999E-2</v>
      </c>
    </row>
    <row r="282" spans="1:47" x14ac:dyDescent="0.3">
      <c r="A282">
        <v>280</v>
      </c>
      <c r="B282" t="s">
        <v>1335</v>
      </c>
      <c r="C282" t="s">
        <v>1336</v>
      </c>
      <c r="D282">
        <v>91</v>
      </c>
      <c r="E282" t="s">
        <v>1293</v>
      </c>
      <c r="F282" t="str">
        <f>VLOOKUP(E282,country_continent!A:C,2,FALSE)</f>
        <v>Honduras</v>
      </c>
      <c r="G282" t="str">
        <f>VLOOKUP(E282,country_continent!A:C,3,FALSE)</f>
        <v>North America</v>
      </c>
      <c r="H282" t="s">
        <v>1337</v>
      </c>
      <c r="I282" s="1">
        <v>2665</v>
      </c>
      <c r="J282" s="3">
        <f t="shared" si="12"/>
        <v>2665</v>
      </c>
      <c r="K282" s="1">
        <v>4105</v>
      </c>
      <c r="L282" s="3">
        <f t="shared" si="13"/>
        <v>4105</v>
      </c>
      <c r="M282" t="s">
        <v>67</v>
      </c>
      <c r="N282" t="s">
        <v>67</v>
      </c>
      <c r="O282" t="s">
        <v>347</v>
      </c>
      <c r="P282">
        <v>0</v>
      </c>
      <c r="Q282" t="s">
        <v>362</v>
      </c>
      <c r="R282" t="s">
        <v>51</v>
      </c>
      <c r="S282">
        <v>1856</v>
      </c>
      <c r="T282">
        <v>1927</v>
      </c>
      <c r="Z282">
        <v>1</v>
      </c>
      <c r="AA282">
        <v>3</v>
      </c>
      <c r="AB282">
        <v>-999</v>
      </c>
      <c r="AC282">
        <v>1</v>
      </c>
      <c r="AF282">
        <v>1907</v>
      </c>
      <c r="AG282">
        <v>1911</v>
      </c>
      <c r="AO282" t="b">
        <v>1</v>
      </c>
      <c r="AP282" t="s">
        <v>45</v>
      </c>
      <c r="AQ282">
        <v>1899</v>
      </c>
      <c r="AR282">
        <v>1971</v>
      </c>
      <c r="AS282" t="s">
        <v>1338</v>
      </c>
      <c r="AT282">
        <v>3.9425051334702199</v>
      </c>
      <c r="AU282">
        <f t="shared" si="14"/>
        <v>1.0999999999999999E-2</v>
      </c>
    </row>
    <row r="283" spans="1:47" x14ac:dyDescent="0.3">
      <c r="A283">
        <v>281</v>
      </c>
      <c r="B283" t="s">
        <v>1339</v>
      </c>
      <c r="C283" t="s">
        <v>1340</v>
      </c>
      <c r="D283">
        <v>91</v>
      </c>
      <c r="E283" t="s">
        <v>1293</v>
      </c>
      <c r="F283" t="str">
        <f>VLOOKUP(E283,country_continent!A:C,2,FALSE)</f>
        <v>Honduras</v>
      </c>
      <c r="G283" t="str">
        <f>VLOOKUP(E283,country_continent!A:C,3,FALSE)</f>
        <v>North America</v>
      </c>
      <c r="H283" t="s">
        <v>1341</v>
      </c>
      <c r="I283" s="1">
        <v>4105</v>
      </c>
      <c r="J283" s="3">
        <f t="shared" si="12"/>
        <v>4105</v>
      </c>
      <c r="K283" s="1">
        <v>4416</v>
      </c>
      <c r="L283" s="3">
        <f t="shared" si="13"/>
        <v>4416</v>
      </c>
      <c r="M283" t="s">
        <v>67</v>
      </c>
      <c r="N283" t="s">
        <v>49</v>
      </c>
      <c r="O283" t="s">
        <v>49</v>
      </c>
      <c r="P283">
        <v>0</v>
      </c>
      <c r="Q283" t="s">
        <v>50</v>
      </c>
      <c r="R283" t="s">
        <v>51</v>
      </c>
      <c r="S283">
        <v>1866</v>
      </c>
      <c r="T283">
        <v>1926</v>
      </c>
      <c r="Z283">
        <v>1</v>
      </c>
      <c r="AA283">
        <v>1</v>
      </c>
      <c r="AB283">
        <v>0</v>
      </c>
      <c r="AC283">
        <v>0</v>
      </c>
      <c r="AF283">
        <v>1911</v>
      </c>
      <c r="AG283">
        <v>1912</v>
      </c>
      <c r="AO283" t="b">
        <v>1</v>
      </c>
      <c r="AP283" t="s">
        <v>45</v>
      </c>
      <c r="AQ283">
        <v>1899</v>
      </c>
      <c r="AR283">
        <v>1971</v>
      </c>
      <c r="AS283" t="s">
        <v>1342</v>
      </c>
      <c r="AT283">
        <v>0.85147159479808299</v>
      </c>
      <c r="AU283">
        <f t="shared" si="14"/>
        <v>2E-3</v>
      </c>
    </row>
    <row r="284" spans="1:47" x14ac:dyDescent="0.3">
      <c r="A284">
        <v>282</v>
      </c>
      <c r="B284" t="s">
        <v>1343</v>
      </c>
      <c r="C284" t="s">
        <v>1332</v>
      </c>
      <c r="D284">
        <v>91</v>
      </c>
      <c r="E284" t="s">
        <v>1293</v>
      </c>
      <c r="F284" t="str">
        <f>VLOOKUP(E284,country_continent!A:C,2,FALSE)</f>
        <v>Honduras</v>
      </c>
      <c r="G284" t="str">
        <f>VLOOKUP(E284,country_continent!A:C,3,FALSE)</f>
        <v>North America</v>
      </c>
      <c r="H284" t="s">
        <v>1333</v>
      </c>
      <c r="I284" s="1">
        <v>4416</v>
      </c>
      <c r="J284" s="3">
        <f t="shared" si="12"/>
        <v>4416</v>
      </c>
      <c r="K284" s="1">
        <v>4828</v>
      </c>
      <c r="L284" s="3">
        <f t="shared" si="13"/>
        <v>4828</v>
      </c>
      <c r="M284" t="s">
        <v>49</v>
      </c>
      <c r="N284" t="s">
        <v>110</v>
      </c>
      <c r="O284" t="s">
        <v>49</v>
      </c>
      <c r="P284">
        <v>1</v>
      </c>
      <c r="Q284" t="s">
        <v>111</v>
      </c>
      <c r="R284" t="s">
        <v>51</v>
      </c>
      <c r="S284">
        <v>1849</v>
      </c>
      <c r="T284">
        <v>1913</v>
      </c>
      <c r="W284" s="1">
        <v>4828</v>
      </c>
      <c r="X284" s="2">
        <v>4828</v>
      </c>
      <c r="Z284">
        <v>0</v>
      </c>
      <c r="AA284">
        <v>2</v>
      </c>
      <c r="AB284">
        <v>0</v>
      </c>
      <c r="AC284">
        <v>-777</v>
      </c>
      <c r="AF284">
        <v>1912</v>
      </c>
      <c r="AG284">
        <v>1913</v>
      </c>
      <c r="AO284" t="b">
        <v>1</v>
      </c>
      <c r="AP284" t="s">
        <v>45</v>
      </c>
      <c r="AQ284">
        <v>1899</v>
      </c>
      <c r="AR284">
        <v>1971</v>
      </c>
      <c r="AS284" t="s">
        <v>1344</v>
      </c>
      <c r="AT284">
        <v>1.12799452429842</v>
      </c>
      <c r="AU284">
        <f t="shared" si="14"/>
        <v>3.0000000000000001E-3</v>
      </c>
    </row>
    <row r="285" spans="1:47" x14ac:dyDescent="0.3">
      <c r="A285">
        <v>283</v>
      </c>
      <c r="B285" t="s">
        <v>1345</v>
      </c>
      <c r="C285" t="s">
        <v>1340</v>
      </c>
      <c r="D285">
        <v>91</v>
      </c>
      <c r="E285" t="s">
        <v>1293</v>
      </c>
      <c r="F285" t="str">
        <f>VLOOKUP(E285,country_continent!A:C,2,FALSE)</f>
        <v>Honduras</v>
      </c>
      <c r="G285" t="str">
        <f>VLOOKUP(E285,country_continent!A:C,3,FALSE)</f>
        <v>North America</v>
      </c>
      <c r="H285" t="s">
        <v>1341</v>
      </c>
      <c r="I285" s="1">
        <v>4828</v>
      </c>
      <c r="J285" s="3">
        <f t="shared" si="12"/>
        <v>4828</v>
      </c>
      <c r="K285" s="1">
        <v>5688</v>
      </c>
      <c r="L285" s="3">
        <f t="shared" si="13"/>
        <v>5688</v>
      </c>
      <c r="M285" t="s">
        <v>49</v>
      </c>
      <c r="N285" t="s">
        <v>49</v>
      </c>
      <c r="O285" t="s">
        <v>49</v>
      </c>
      <c r="P285">
        <v>1</v>
      </c>
      <c r="Q285" t="s">
        <v>50</v>
      </c>
      <c r="R285" t="s">
        <v>51</v>
      </c>
      <c r="S285">
        <v>1866</v>
      </c>
      <c r="T285">
        <v>1926</v>
      </c>
      <c r="Z285">
        <v>0</v>
      </c>
      <c r="AA285">
        <v>1</v>
      </c>
      <c r="AB285">
        <v>0</v>
      </c>
      <c r="AC285">
        <v>0</v>
      </c>
      <c r="AF285">
        <v>1913</v>
      </c>
      <c r="AG285">
        <v>1915</v>
      </c>
      <c r="AO285" t="b">
        <v>1</v>
      </c>
      <c r="AP285" t="s">
        <v>45</v>
      </c>
      <c r="AQ285">
        <v>1899</v>
      </c>
      <c r="AR285">
        <v>1971</v>
      </c>
      <c r="AS285" t="s">
        <v>1346</v>
      </c>
      <c r="AT285">
        <v>2.3545516769336001</v>
      </c>
      <c r="AU285">
        <f t="shared" si="14"/>
        <v>6.0000000000000001E-3</v>
      </c>
    </row>
    <row r="286" spans="1:47" x14ac:dyDescent="0.3">
      <c r="A286">
        <v>284</v>
      </c>
      <c r="B286" t="s">
        <v>1347</v>
      </c>
      <c r="C286" t="s">
        <v>1348</v>
      </c>
      <c r="D286">
        <v>91</v>
      </c>
      <c r="E286" t="s">
        <v>1293</v>
      </c>
      <c r="F286" t="str">
        <f>VLOOKUP(E286,country_continent!A:C,2,FALSE)</f>
        <v>Honduras</v>
      </c>
      <c r="G286" t="str">
        <f>VLOOKUP(E286,country_continent!A:C,3,FALSE)</f>
        <v>North America</v>
      </c>
      <c r="H286" t="s">
        <v>1349</v>
      </c>
      <c r="I286" s="1">
        <v>5688</v>
      </c>
      <c r="J286" s="3">
        <f t="shared" si="12"/>
        <v>5688</v>
      </c>
      <c r="K286" s="1">
        <v>5876</v>
      </c>
      <c r="L286" s="3">
        <f t="shared" si="13"/>
        <v>5876</v>
      </c>
      <c r="M286" t="s">
        <v>49</v>
      </c>
      <c r="N286" t="s">
        <v>49</v>
      </c>
      <c r="O286" t="s">
        <v>49</v>
      </c>
      <c r="P286">
        <v>0</v>
      </c>
      <c r="Q286" t="s">
        <v>50</v>
      </c>
      <c r="R286" t="s">
        <v>51</v>
      </c>
      <c r="S286">
        <v>1858</v>
      </c>
      <c r="T286">
        <v>1921</v>
      </c>
      <c r="W286" s="1">
        <v>7708</v>
      </c>
      <c r="X286" s="2">
        <v>7708</v>
      </c>
      <c r="Z286">
        <v>0</v>
      </c>
      <c r="AA286">
        <v>1</v>
      </c>
      <c r="AB286">
        <v>0</v>
      </c>
      <c r="AC286">
        <v>0</v>
      </c>
      <c r="AF286">
        <v>1915</v>
      </c>
      <c r="AG286">
        <v>1916</v>
      </c>
      <c r="AO286" t="b">
        <v>1</v>
      </c>
      <c r="AP286" t="s">
        <v>45</v>
      </c>
      <c r="AQ286">
        <v>1899</v>
      </c>
      <c r="AR286">
        <v>1971</v>
      </c>
      <c r="AS286" t="s">
        <v>1350</v>
      </c>
      <c r="AT286">
        <v>0.51471594798083498</v>
      </c>
      <c r="AU286">
        <f t="shared" si="14"/>
        <v>1E-3</v>
      </c>
    </row>
    <row r="287" spans="1:47" x14ac:dyDescent="0.3">
      <c r="A287">
        <v>285</v>
      </c>
      <c r="B287" t="s">
        <v>1351</v>
      </c>
      <c r="C287" t="s">
        <v>1340</v>
      </c>
      <c r="D287">
        <v>91</v>
      </c>
      <c r="E287" t="s">
        <v>1293</v>
      </c>
      <c r="F287" t="str">
        <f>VLOOKUP(E287,country_continent!A:C,2,FALSE)</f>
        <v>Honduras</v>
      </c>
      <c r="G287" t="str">
        <f>VLOOKUP(E287,country_continent!A:C,3,FALSE)</f>
        <v>North America</v>
      </c>
      <c r="H287" t="s">
        <v>1341</v>
      </c>
      <c r="I287" s="1">
        <v>5876</v>
      </c>
      <c r="J287" s="3">
        <f t="shared" si="12"/>
        <v>5876</v>
      </c>
      <c r="K287" s="1">
        <v>7192</v>
      </c>
      <c r="L287" s="3">
        <f t="shared" si="13"/>
        <v>7192</v>
      </c>
      <c r="M287" t="s">
        <v>49</v>
      </c>
      <c r="N287" t="s">
        <v>67</v>
      </c>
      <c r="O287" t="s">
        <v>376</v>
      </c>
      <c r="P287">
        <v>2</v>
      </c>
      <c r="Q287" t="s">
        <v>362</v>
      </c>
      <c r="R287" t="s">
        <v>51</v>
      </c>
      <c r="S287">
        <v>1866</v>
      </c>
      <c r="T287">
        <v>1926</v>
      </c>
      <c r="Z287">
        <v>0</v>
      </c>
      <c r="AA287">
        <v>3</v>
      </c>
      <c r="AB287">
        <v>6</v>
      </c>
      <c r="AC287">
        <v>1</v>
      </c>
      <c r="AF287">
        <v>1916</v>
      </c>
      <c r="AG287">
        <v>1919</v>
      </c>
      <c r="AO287" t="b">
        <v>1</v>
      </c>
      <c r="AP287" t="s">
        <v>45</v>
      </c>
      <c r="AQ287">
        <v>1899</v>
      </c>
      <c r="AR287">
        <v>1971</v>
      </c>
      <c r="AS287" t="s">
        <v>1352</v>
      </c>
      <c r="AT287">
        <v>3.6030116358658399</v>
      </c>
      <c r="AU287">
        <f t="shared" si="14"/>
        <v>0.01</v>
      </c>
    </row>
    <row r="288" spans="1:47" x14ac:dyDescent="0.3">
      <c r="A288">
        <v>286</v>
      </c>
      <c r="B288" t="s">
        <v>1353</v>
      </c>
      <c r="C288" t="s">
        <v>1310</v>
      </c>
      <c r="D288">
        <v>91</v>
      </c>
      <c r="E288" t="s">
        <v>1293</v>
      </c>
      <c r="F288" t="str">
        <f>VLOOKUP(E288,country_continent!A:C,2,FALSE)</f>
        <v>Honduras</v>
      </c>
      <c r="G288" t="str">
        <f>VLOOKUP(E288,country_continent!A:C,3,FALSE)</f>
        <v>North America</v>
      </c>
      <c r="H288" t="s">
        <v>1311</v>
      </c>
      <c r="I288" s="1">
        <v>7196</v>
      </c>
      <c r="J288" s="3">
        <f t="shared" si="12"/>
        <v>7196</v>
      </c>
      <c r="K288" s="1">
        <v>7337</v>
      </c>
      <c r="L288" s="3">
        <f t="shared" si="13"/>
        <v>7337</v>
      </c>
      <c r="M288" t="s">
        <v>49</v>
      </c>
      <c r="N288" t="s">
        <v>49</v>
      </c>
      <c r="O288" t="s">
        <v>49</v>
      </c>
      <c r="P288">
        <v>1</v>
      </c>
      <c r="Q288" t="s">
        <v>50</v>
      </c>
      <c r="R288" t="s">
        <v>51</v>
      </c>
      <c r="S288">
        <v>1849</v>
      </c>
      <c r="T288">
        <v>1926</v>
      </c>
      <c r="Y288" t="s">
        <v>1313</v>
      </c>
      <c r="Z288">
        <v>0</v>
      </c>
      <c r="AA288">
        <v>1</v>
      </c>
      <c r="AB288">
        <v>0</v>
      </c>
      <c r="AC288">
        <v>0</v>
      </c>
      <c r="AF288">
        <v>1919</v>
      </c>
      <c r="AG288">
        <v>1920</v>
      </c>
      <c r="AO288" t="b">
        <v>1</v>
      </c>
      <c r="AP288" t="s">
        <v>45</v>
      </c>
      <c r="AQ288">
        <v>1899</v>
      </c>
      <c r="AR288">
        <v>1971</v>
      </c>
      <c r="AS288" t="s">
        <v>1354</v>
      </c>
      <c r="AT288">
        <v>0.38603696098562601</v>
      </c>
      <c r="AU288">
        <f t="shared" si="14"/>
        <v>1E-3</v>
      </c>
    </row>
    <row r="289" spans="1:47" x14ac:dyDescent="0.3">
      <c r="A289">
        <v>287</v>
      </c>
      <c r="B289" t="s">
        <v>1355</v>
      </c>
      <c r="C289" t="s">
        <v>1356</v>
      </c>
      <c r="D289">
        <v>91</v>
      </c>
      <c r="E289" t="s">
        <v>1293</v>
      </c>
      <c r="F289" t="str">
        <f>VLOOKUP(E289,country_continent!A:C,2,FALSE)</f>
        <v>Honduras</v>
      </c>
      <c r="G289" t="str">
        <f>VLOOKUP(E289,country_continent!A:C,3,FALSE)</f>
        <v>North America</v>
      </c>
      <c r="H289" t="s">
        <v>1357</v>
      </c>
      <c r="I289" s="1">
        <v>7337</v>
      </c>
      <c r="J289" s="3">
        <f t="shared" si="12"/>
        <v>7337</v>
      </c>
      <c r="K289" s="1">
        <v>8798</v>
      </c>
      <c r="L289" s="3">
        <f t="shared" si="13"/>
        <v>8798</v>
      </c>
      <c r="M289" t="s">
        <v>49</v>
      </c>
      <c r="N289" t="s">
        <v>67</v>
      </c>
      <c r="O289" t="s">
        <v>376</v>
      </c>
      <c r="P289">
        <v>0</v>
      </c>
      <c r="Q289" t="s">
        <v>111</v>
      </c>
      <c r="R289" t="s">
        <v>51</v>
      </c>
      <c r="S289">
        <v>1855</v>
      </c>
      <c r="T289">
        <v>1924</v>
      </c>
      <c r="Y289" t="s">
        <v>1358</v>
      </c>
      <c r="Z289">
        <v>0</v>
      </c>
      <c r="AA289">
        <v>3</v>
      </c>
      <c r="AB289">
        <v>6</v>
      </c>
      <c r="AC289">
        <v>-777</v>
      </c>
      <c r="AF289">
        <v>1920</v>
      </c>
      <c r="AG289">
        <v>1924</v>
      </c>
      <c r="AO289" t="b">
        <v>1</v>
      </c>
      <c r="AP289" t="s">
        <v>45</v>
      </c>
      <c r="AQ289">
        <v>1899</v>
      </c>
      <c r="AR289">
        <v>1971</v>
      </c>
      <c r="AS289" t="s">
        <v>1359</v>
      </c>
      <c r="AT289">
        <v>4</v>
      </c>
      <c r="AU289">
        <f t="shared" si="14"/>
        <v>1.0999999999999999E-2</v>
      </c>
    </row>
    <row r="290" spans="1:47" x14ac:dyDescent="0.3">
      <c r="A290">
        <v>288</v>
      </c>
      <c r="B290" t="s">
        <v>1360</v>
      </c>
      <c r="C290" t="s">
        <v>1361</v>
      </c>
      <c r="D290">
        <v>91</v>
      </c>
      <c r="E290" t="s">
        <v>1293</v>
      </c>
      <c r="F290" t="str">
        <f>VLOOKUP(E290,country_continent!A:C,2,FALSE)</f>
        <v>Honduras</v>
      </c>
      <c r="G290" t="str">
        <f>VLOOKUP(E290,country_continent!A:C,3,FALSE)</f>
        <v>North America</v>
      </c>
      <c r="H290" t="s">
        <v>1362</v>
      </c>
      <c r="I290" s="1">
        <v>8798</v>
      </c>
      <c r="J290" s="3">
        <f t="shared" si="12"/>
        <v>8798</v>
      </c>
      <c r="K290" s="1">
        <v>9164</v>
      </c>
      <c r="L290" s="3">
        <f t="shared" si="13"/>
        <v>9164</v>
      </c>
      <c r="M290" t="s">
        <v>67</v>
      </c>
      <c r="N290" t="s">
        <v>49</v>
      </c>
      <c r="O290" t="s">
        <v>49</v>
      </c>
      <c r="P290">
        <v>0</v>
      </c>
      <c r="Q290" t="s">
        <v>50</v>
      </c>
      <c r="R290" t="s">
        <v>51</v>
      </c>
      <c r="S290">
        <v>1876</v>
      </c>
      <c r="T290">
        <v>1930</v>
      </c>
      <c r="Z290">
        <v>1</v>
      </c>
      <c r="AA290">
        <v>1</v>
      </c>
      <c r="AB290">
        <v>0</v>
      </c>
      <c r="AC290">
        <v>0</v>
      </c>
      <c r="AF290">
        <v>1924</v>
      </c>
      <c r="AG290">
        <v>1925</v>
      </c>
      <c r="AO290" t="b">
        <v>1</v>
      </c>
      <c r="AP290" t="s">
        <v>45</v>
      </c>
      <c r="AQ290">
        <v>1899</v>
      </c>
      <c r="AR290">
        <v>1971</v>
      </c>
      <c r="AS290" t="s">
        <v>1363</v>
      </c>
      <c r="AT290">
        <v>1.0020533880903399</v>
      </c>
      <c r="AU290">
        <f t="shared" si="14"/>
        <v>3.0000000000000001E-3</v>
      </c>
    </row>
    <row r="291" spans="1:47" x14ac:dyDescent="0.3">
      <c r="A291">
        <v>289</v>
      </c>
      <c r="B291" t="s">
        <v>1364</v>
      </c>
      <c r="C291" t="s">
        <v>1365</v>
      </c>
      <c r="D291">
        <v>91</v>
      </c>
      <c r="E291" t="s">
        <v>1293</v>
      </c>
      <c r="F291" t="str">
        <f>VLOOKUP(E291,country_continent!A:C,2,FALSE)</f>
        <v>Honduras</v>
      </c>
      <c r="G291" t="str">
        <f>VLOOKUP(E291,country_continent!A:C,3,FALSE)</f>
        <v>North America</v>
      </c>
      <c r="H291" t="s">
        <v>1366</v>
      </c>
      <c r="I291" s="1">
        <v>9164</v>
      </c>
      <c r="J291" s="3">
        <f t="shared" si="12"/>
        <v>9164</v>
      </c>
      <c r="K291" s="1">
        <v>10625</v>
      </c>
      <c r="L291" s="3">
        <f t="shared" si="13"/>
        <v>10625</v>
      </c>
      <c r="M291" t="s">
        <v>67</v>
      </c>
      <c r="N291" t="s">
        <v>49</v>
      </c>
      <c r="O291" t="s">
        <v>49</v>
      </c>
      <c r="P291">
        <v>0</v>
      </c>
      <c r="Q291" t="s">
        <v>50</v>
      </c>
      <c r="R291" t="s">
        <v>51</v>
      </c>
      <c r="S291">
        <v>1863</v>
      </c>
      <c r="T291">
        <v>1937</v>
      </c>
      <c r="Z291">
        <v>1</v>
      </c>
      <c r="AA291">
        <v>1</v>
      </c>
      <c r="AB291">
        <v>0</v>
      </c>
      <c r="AC291">
        <v>0</v>
      </c>
      <c r="AF291">
        <v>1925</v>
      </c>
      <c r="AG291">
        <v>1929</v>
      </c>
      <c r="AO291" t="b">
        <v>1</v>
      </c>
      <c r="AP291" t="s">
        <v>45</v>
      </c>
      <c r="AQ291">
        <v>1899</v>
      </c>
      <c r="AR291">
        <v>1971</v>
      </c>
      <c r="AS291" t="s">
        <v>1359</v>
      </c>
      <c r="AT291">
        <v>4</v>
      </c>
      <c r="AU291">
        <f t="shared" si="14"/>
        <v>1.0999999999999999E-2</v>
      </c>
    </row>
    <row r="292" spans="1:47" x14ac:dyDescent="0.3">
      <c r="A292">
        <v>290</v>
      </c>
      <c r="B292" t="s">
        <v>1367</v>
      </c>
      <c r="C292" t="s">
        <v>1368</v>
      </c>
      <c r="D292">
        <v>91</v>
      </c>
      <c r="E292" t="s">
        <v>1293</v>
      </c>
      <c r="F292" t="str">
        <f>VLOOKUP(E292,country_continent!A:C,2,FALSE)</f>
        <v>Honduras</v>
      </c>
      <c r="G292" t="str">
        <f>VLOOKUP(E292,country_continent!A:C,3,FALSE)</f>
        <v>North America</v>
      </c>
      <c r="H292" t="s">
        <v>1369</v>
      </c>
      <c r="I292" s="1">
        <v>10625</v>
      </c>
      <c r="J292" s="3">
        <f t="shared" si="12"/>
        <v>10625</v>
      </c>
      <c r="K292" s="1">
        <v>12086</v>
      </c>
      <c r="L292" s="3">
        <f t="shared" si="13"/>
        <v>12086</v>
      </c>
      <c r="M292" t="s">
        <v>49</v>
      </c>
      <c r="N292" t="s">
        <v>49</v>
      </c>
      <c r="O292" t="s">
        <v>49</v>
      </c>
      <c r="P292">
        <v>0</v>
      </c>
      <c r="Q292" t="s">
        <v>362</v>
      </c>
      <c r="R292" t="s">
        <v>51</v>
      </c>
      <c r="S292">
        <v>1878</v>
      </c>
      <c r="T292">
        <v>1966</v>
      </c>
      <c r="Z292">
        <v>0</v>
      </c>
      <c r="AA292">
        <v>1</v>
      </c>
      <c r="AB292">
        <v>0</v>
      </c>
      <c r="AC292">
        <v>1</v>
      </c>
      <c r="AF292">
        <v>1929</v>
      </c>
      <c r="AG292">
        <v>1933</v>
      </c>
      <c r="AO292" t="b">
        <v>1</v>
      </c>
      <c r="AP292" t="s">
        <v>45</v>
      </c>
      <c r="AQ292">
        <v>1899</v>
      </c>
      <c r="AR292">
        <v>1971</v>
      </c>
      <c r="AS292" t="s">
        <v>1359</v>
      </c>
      <c r="AT292">
        <v>4</v>
      </c>
      <c r="AU292">
        <f t="shared" si="14"/>
        <v>1.0999999999999999E-2</v>
      </c>
    </row>
    <row r="293" spans="1:47" x14ac:dyDescent="0.3">
      <c r="A293">
        <v>291</v>
      </c>
      <c r="B293" t="s">
        <v>1370</v>
      </c>
      <c r="C293" t="s">
        <v>1371</v>
      </c>
      <c r="D293">
        <v>91</v>
      </c>
      <c r="E293" t="s">
        <v>1293</v>
      </c>
      <c r="F293" t="str">
        <f>VLOOKUP(E293,country_continent!A:C,2,FALSE)</f>
        <v>Honduras</v>
      </c>
      <c r="G293" t="str">
        <f>VLOOKUP(E293,country_continent!A:C,3,FALSE)</f>
        <v>North America</v>
      </c>
      <c r="H293" t="s">
        <v>1372</v>
      </c>
      <c r="I293" s="1">
        <v>12086</v>
      </c>
      <c r="J293" s="3">
        <f t="shared" si="12"/>
        <v>12086</v>
      </c>
      <c r="K293" s="1">
        <v>17899</v>
      </c>
      <c r="L293" s="3">
        <f t="shared" si="13"/>
        <v>17899</v>
      </c>
      <c r="M293" t="s">
        <v>49</v>
      </c>
      <c r="N293" t="s">
        <v>49</v>
      </c>
      <c r="O293" t="s">
        <v>49</v>
      </c>
      <c r="P293">
        <v>0</v>
      </c>
      <c r="Q293" t="s">
        <v>50</v>
      </c>
      <c r="R293" t="s">
        <v>51</v>
      </c>
      <c r="S293">
        <v>1876</v>
      </c>
      <c r="T293">
        <v>1969</v>
      </c>
      <c r="U293" t="s">
        <v>1373</v>
      </c>
      <c r="V293" t="s">
        <v>1374</v>
      </c>
      <c r="Z293">
        <v>0</v>
      </c>
      <c r="AA293">
        <v>1</v>
      </c>
      <c r="AB293">
        <v>0</v>
      </c>
      <c r="AC293">
        <v>0</v>
      </c>
      <c r="AF293">
        <v>1933</v>
      </c>
      <c r="AG293">
        <v>1949</v>
      </c>
      <c r="AO293" t="b">
        <v>1</v>
      </c>
      <c r="AP293" t="s">
        <v>45</v>
      </c>
      <c r="AQ293">
        <v>1899</v>
      </c>
      <c r="AR293">
        <v>1971</v>
      </c>
      <c r="AS293" t="s">
        <v>1375</v>
      </c>
      <c r="AT293">
        <v>15.9151266255989</v>
      </c>
      <c r="AU293">
        <f t="shared" si="14"/>
        <v>4.3999999999999997E-2</v>
      </c>
    </row>
    <row r="294" spans="1:47" x14ac:dyDescent="0.3">
      <c r="A294">
        <v>292</v>
      </c>
      <c r="B294" t="s">
        <v>1376</v>
      </c>
      <c r="C294" t="s">
        <v>1377</v>
      </c>
      <c r="D294">
        <v>91</v>
      </c>
      <c r="E294" t="s">
        <v>1293</v>
      </c>
      <c r="F294" t="str">
        <f>VLOOKUP(E294,country_continent!A:C,2,FALSE)</f>
        <v>Honduras</v>
      </c>
      <c r="G294" t="str">
        <f>VLOOKUP(E294,country_continent!A:C,3,FALSE)</f>
        <v>North America</v>
      </c>
      <c r="H294" t="s">
        <v>1378</v>
      </c>
      <c r="I294" s="1">
        <v>17899</v>
      </c>
      <c r="J294" s="3">
        <f t="shared" si="12"/>
        <v>17899</v>
      </c>
      <c r="K294" s="1">
        <v>19739</v>
      </c>
      <c r="L294" s="3">
        <f t="shared" si="13"/>
        <v>19739</v>
      </c>
      <c r="M294" t="s">
        <v>49</v>
      </c>
      <c r="N294" t="s">
        <v>228</v>
      </c>
      <c r="O294" t="s">
        <v>49</v>
      </c>
      <c r="P294">
        <v>0</v>
      </c>
      <c r="Q294" t="s">
        <v>50</v>
      </c>
      <c r="R294" t="s">
        <v>51</v>
      </c>
      <c r="S294">
        <v>1887</v>
      </c>
      <c r="T294">
        <v>1972</v>
      </c>
      <c r="Z294">
        <v>0</v>
      </c>
      <c r="AA294">
        <v>2.0999998999999998</v>
      </c>
      <c r="AB294">
        <v>0</v>
      </c>
      <c r="AC294">
        <v>0</v>
      </c>
      <c r="AF294">
        <v>1949</v>
      </c>
      <c r="AG294">
        <v>1954</v>
      </c>
      <c r="AO294" t="b">
        <v>1</v>
      </c>
      <c r="AP294" t="s">
        <v>45</v>
      </c>
      <c r="AQ294">
        <v>1899</v>
      </c>
      <c r="AR294">
        <v>1971</v>
      </c>
      <c r="AS294" t="s">
        <v>1379</v>
      </c>
      <c r="AT294">
        <v>5.0376454483230599</v>
      </c>
      <c r="AU294">
        <f t="shared" si="14"/>
        <v>1.4E-2</v>
      </c>
    </row>
    <row r="295" spans="1:47" x14ac:dyDescent="0.3">
      <c r="A295">
        <v>293</v>
      </c>
      <c r="B295" t="s">
        <v>1380</v>
      </c>
      <c r="C295" t="s">
        <v>1381</v>
      </c>
      <c r="D295">
        <v>91</v>
      </c>
      <c r="E295" t="s">
        <v>1293</v>
      </c>
      <c r="F295" t="str">
        <f>VLOOKUP(E295,country_continent!A:C,2,FALSE)</f>
        <v>Honduras</v>
      </c>
      <c r="G295" t="str">
        <f>VLOOKUP(E295,country_continent!A:C,3,FALSE)</f>
        <v>North America</v>
      </c>
      <c r="H295" t="s">
        <v>1382</v>
      </c>
      <c r="I295" s="1">
        <v>19739</v>
      </c>
      <c r="J295" s="3">
        <f t="shared" si="12"/>
        <v>19739</v>
      </c>
      <c r="K295" s="1">
        <v>20749</v>
      </c>
      <c r="L295" s="3">
        <f t="shared" si="13"/>
        <v>20749</v>
      </c>
      <c r="M295" t="s">
        <v>49</v>
      </c>
      <c r="N295" t="s">
        <v>67</v>
      </c>
      <c r="O295" t="s">
        <v>376</v>
      </c>
      <c r="P295">
        <v>0</v>
      </c>
      <c r="Q295" t="s">
        <v>362</v>
      </c>
      <c r="R295" t="s">
        <v>51</v>
      </c>
      <c r="S295">
        <v>1885</v>
      </c>
      <c r="T295">
        <v>1957</v>
      </c>
      <c r="Z295">
        <v>0</v>
      </c>
      <c r="AA295">
        <v>3</v>
      </c>
      <c r="AB295">
        <v>6</v>
      </c>
      <c r="AC295">
        <v>1</v>
      </c>
      <c r="AF295">
        <v>1954</v>
      </c>
      <c r="AG295">
        <v>1956</v>
      </c>
      <c r="AO295" t="b">
        <v>1</v>
      </c>
      <c r="AP295" t="s">
        <v>45</v>
      </c>
      <c r="AQ295">
        <v>1899</v>
      </c>
      <c r="AR295">
        <v>1971</v>
      </c>
      <c r="AS295" t="s">
        <v>1383</v>
      </c>
      <c r="AT295">
        <v>2.7652292950034201</v>
      </c>
      <c r="AU295">
        <f t="shared" si="14"/>
        <v>8.0000000000000002E-3</v>
      </c>
    </row>
    <row r="296" spans="1:47" x14ac:dyDescent="0.3">
      <c r="A296">
        <v>294</v>
      </c>
      <c r="B296" t="s">
        <v>1384</v>
      </c>
      <c r="C296" t="s">
        <v>1385</v>
      </c>
      <c r="D296">
        <v>91</v>
      </c>
      <c r="E296" t="s">
        <v>1293</v>
      </c>
      <c r="F296" t="str">
        <f>VLOOKUP(E296,country_continent!A:C,2,FALSE)</f>
        <v>Honduras</v>
      </c>
      <c r="G296" t="str">
        <f>VLOOKUP(E296,country_continent!A:C,3,FALSE)</f>
        <v>North America</v>
      </c>
      <c r="H296" t="s">
        <v>1386</v>
      </c>
      <c r="I296" s="1">
        <v>20749</v>
      </c>
      <c r="J296" s="3">
        <f t="shared" si="12"/>
        <v>20749</v>
      </c>
      <c r="K296" s="1">
        <v>21175</v>
      </c>
      <c r="L296" s="3">
        <f t="shared" si="13"/>
        <v>21175</v>
      </c>
      <c r="M296" t="s">
        <v>67</v>
      </c>
      <c r="N296" t="s">
        <v>49</v>
      </c>
      <c r="O296" t="s">
        <v>49</v>
      </c>
      <c r="P296">
        <v>0</v>
      </c>
      <c r="Q296" t="s">
        <v>50</v>
      </c>
      <c r="R296" t="s">
        <v>51</v>
      </c>
      <c r="S296">
        <v>1922</v>
      </c>
      <c r="T296">
        <v>1975</v>
      </c>
      <c r="Z296">
        <v>1</v>
      </c>
      <c r="AA296">
        <v>1</v>
      </c>
      <c r="AB296">
        <v>0</v>
      </c>
      <c r="AC296">
        <v>0</v>
      </c>
      <c r="AF296">
        <v>1956</v>
      </c>
      <c r="AG296">
        <v>1957</v>
      </c>
      <c r="AO296" t="b">
        <v>1</v>
      </c>
      <c r="AP296" t="s">
        <v>45</v>
      </c>
      <c r="AQ296">
        <v>1899</v>
      </c>
      <c r="AR296">
        <v>1971</v>
      </c>
      <c r="AS296" t="s">
        <v>1387</v>
      </c>
      <c r="AT296">
        <v>1.16632443531827</v>
      </c>
      <c r="AU296">
        <f t="shared" si="14"/>
        <v>3.0000000000000001E-3</v>
      </c>
    </row>
    <row r="297" spans="1:47" x14ac:dyDescent="0.3">
      <c r="A297">
        <v>295</v>
      </c>
      <c r="B297" t="s">
        <v>1388</v>
      </c>
      <c r="C297" t="s">
        <v>1389</v>
      </c>
      <c r="D297">
        <v>91</v>
      </c>
      <c r="E297" t="s">
        <v>1293</v>
      </c>
      <c r="F297" t="str">
        <f>VLOOKUP(E297,country_continent!A:C,2,FALSE)</f>
        <v>Honduras</v>
      </c>
      <c r="G297" t="str">
        <f>VLOOKUP(E297,country_continent!A:C,3,FALSE)</f>
        <v>North America</v>
      </c>
      <c r="H297" t="s">
        <v>1390</v>
      </c>
      <c r="I297" s="1">
        <v>21175</v>
      </c>
      <c r="J297" s="3">
        <f t="shared" si="12"/>
        <v>21175</v>
      </c>
      <c r="K297" s="1">
        <v>23287</v>
      </c>
      <c r="L297" s="3">
        <f t="shared" si="13"/>
        <v>23287</v>
      </c>
      <c r="M297" t="s">
        <v>49</v>
      </c>
      <c r="N297" t="s">
        <v>67</v>
      </c>
      <c r="O297" t="s">
        <v>376</v>
      </c>
      <c r="P297">
        <v>0</v>
      </c>
      <c r="Q297" t="s">
        <v>362</v>
      </c>
      <c r="R297" t="s">
        <v>51</v>
      </c>
      <c r="S297">
        <v>1909</v>
      </c>
      <c r="T297">
        <v>1971</v>
      </c>
      <c r="U297" s="1">
        <v>3618</v>
      </c>
      <c r="V297" s="2">
        <v>3618</v>
      </c>
      <c r="Z297">
        <v>0</v>
      </c>
      <c r="AA297">
        <v>3</v>
      </c>
      <c r="AB297">
        <v>6</v>
      </c>
      <c r="AC297">
        <v>1</v>
      </c>
      <c r="AF297">
        <v>1957</v>
      </c>
      <c r="AG297">
        <v>1963</v>
      </c>
      <c r="AO297" t="b">
        <v>1</v>
      </c>
      <c r="AP297" t="s">
        <v>45</v>
      </c>
      <c r="AQ297">
        <v>1899</v>
      </c>
      <c r="AR297">
        <v>1971</v>
      </c>
      <c r="AS297" t="s">
        <v>1391</v>
      </c>
      <c r="AT297">
        <v>5.7823408624229904</v>
      </c>
      <c r="AU297">
        <f t="shared" si="14"/>
        <v>1.6E-2</v>
      </c>
    </row>
    <row r="298" spans="1:47" x14ac:dyDescent="0.3">
      <c r="A298">
        <v>296</v>
      </c>
      <c r="B298" t="s">
        <v>1392</v>
      </c>
      <c r="C298" t="s">
        <v>1393</v>
      </c>
      <c r="D298">
        <v>91</v>
      </c>
      <c r="E298" t="s">
        <v>1293</v>
      </c>
      <c r="F298" t="str">
        <f>VLOOKUP(E298,country_continent!A:C,2,FALSE)</f>
        <v>Honduras</v>
      </c>
      <c r="G298" t="str">
        <f>VLOOKUP(E298,country_continent!A:C,3,FALSE)</f>
        <v>North America</v>
      </c>
      <c r="H298" t="s">
        <v>1394</v>
      </c>
      <c r="I298" s="1">
        <v>23287</v>
      </c>
      <c r="J298" s="3">
        <f t="shared" si="12"/>
        <v>23287</v>
      </c>
      <c r="K298" s="1">
        <v>26090</v>
      </c>
      <c r="L298" s="3">
        <f t="shared" si="13"/>
        <v>26090</v>
      </c>
      <c r="M298" t="s">
        <v>67</v>
      </c>
      <c r="N298" t="s">
        <v>49</v>
      </c>
      <c r="O298" t="s">
        <v>49</v>
      </c>
      <c r="P298">
        <v>0</v>
      </c>
      <c r="Q298" t="s">
        <v>50</v>
      </c>
      <c r="R298" t="s">
        <v>51</v>
      </c>
      <c r="S298">
        <v>1921</v>
      </c>
      <c r="T298">
        <v>-777</v>
      </c>
      <c r="U298" s="1">
        <v>7852</v>
      </c>
      <c r="V298" s="2">
        <v>7852</v>
      </c>
      <c r="Y298" t="s">
        <v>1395</v>
      </c>
      <c r="Z298">
        <v>1</v>
      </c>
      <c r="AA298">
        <v>1</v>
      </c>
      <c r="AB298">
        <v>0</v>
      </c>
      <c r="AC298">
        <v>0</v>
      </c>
      <c r="AF298">
        <v>1963</v>
      </c>
      <c r="AG298">
        <v>1971</v>
      </c>
      <c r="AO298" t="b">
        <v>1</v>
      </c>
      <c r="AP298" t="s">
        <v>45</v>
      </c>
      <c r="AQ298">
        <v>1899</v>
      </c>
      <c r="AR298">
        <v>1971</v>
      </c>
      <c r="AS298" t="s">
        <v>1396</v>
      </c>
      <c r="AT298">
        <v>7.6741957563312804</v>
      </c>
      <c r="AU298">
        <f t="shared" si="14"/>
        <v>2.1000000000000001E-2</v>
      </c>
    </row>
    <row r="299" spans="1:47" x14ac:dyDescent="0.3">
      <c r="A299">
        <v>297</v>
      </c>
      <c r="B299" t="s">
        <v>1397</v>
      </c>
      <c r="C299" t="s">
        <v>1398</v>
      </c>
      <c r="D299">
        <v>91</v>
      </c>
      <c r="E299" t="s">
        <v>1293</v>
      </c>
      <c r="F299" t="str">
        <f>VLOOKUP(E299,country_continent!A:C,2,FALSE)</f>
        <v>Honduras</v>
      </c>
      <c r="G299" t="str">
        <f>VLOOKUP(E299,country_continent!A:C,3,FALSE)</f>
        <v>North America</v>
      </c>
      <c r="H299" t="s">
        <v>1399</v>
      </c>
      <c r="I299" s="1">
        <v>26090</v>
      </c>
      <c r="J299" s="3">
        <f t="shared" si="12"/>
        <v>26090</v>
      </c>
      <c r="K299" s="1">
        <v>26637</v>
      </c>
      <c r="L299" s="3">
        <f t="shared" si="13"/>
        <v>26637</v>
      </c>
      <c r="M299" t="s">
        <v>49</v>
      </c>
      <c r="N299" t="s">
        <v>67</v>
      </c>
      <c r="O299" t="s">
        <v>376</v>
      </c>
      <c r="P299">
        <v>0</v>
      </c>
      <c r="Q299" t="s">
        <v>463</v>
      </c>
      <c r="R299" t="s">
        <v>51</v>
      </c>
      <c r="S299">
        <v>1903</v>
      </c>
      <c r="T299">
        <v>1985</v>
      </c>
      <c r="U299" s="1">
        <v>1100</v>
      </c>
      <c r="V299" s="2">
        <v>1100</v>
      </c>
      <c r="W299" s="1">
        <v>31265</v>
      </c>
      <c r="X299" s="2">
        <v>31265</v>
      </c>
      <c r="Z299">
        <v>0</v>
      </c>
      <c r="AA299">
        <v>3</v>
      </c>
      <c r="AB299">
        <v>6</v>
      </c>
      <c r="AC299">
        <v>2</v>
      </c>
      <c r="AF299">
        <v>1971</v>
      </c>
      <c r="AG299">
        <v>1972</v>
      </c>
      <c r="AO299" t="b">
        <v>1</v>
      </c>
      <c r="AP299" t="s">
        <v>45</v>
      </c>
      <c r="AQ299">
        <v>1899</v>
      </c>
      <c r="AR299">
        <v>1971</v>
      </c>
      <c r="AS299" t="s">
        <v>1400</v>
      </c>
      <c r="AT299">
        <v>1.49760438056125</v>
      </c>
      <c r="AU299">
        <f t="shared" si="14"/>
        <v>4.0000000000000001E-3</v>
      </c>
    </row>
    <row r="300" spans="1:47" x14ac:dyDescent="0.3">
      <c r="A300">
        <v>298</v>
      </c>
      <c r="B300" t="s">
        <v>1401</v>
      </c>
      <c r="C300" t="s">
        <v>1393</v>
      </c>
      <c r="D300">
        <v>91</v>
      </c>
      <c r="E300" t="s">
        <v>1293</v>
      </c>
      <c r="F300" t="str">
        <f>VLOOKUP(E300,country_continent!A:C,2,FALSE)</f>
        <v>Honduras</v>
      </c>
      <c r="G300" t="str">
        <f>VLOOKUP(E300,country_continent!A:C,3,FALSE)</f>
        <v>North America</v>
      </c>
      <c r="H300" t="s">
        <v>1394</v>
      </c>
      <c r="I300" s="1">
        <v>26637</v>
      </c>
      <c r="J300" s="3">
        <f t="shared" si="12"/>
        <v>26637</v>
      </c>
      <c r="K300" s="1">
        <v>27506</v>
      </c>
      <c r="L300" s="3">
        <f t="shared" si="13"/>
        <v>27506</v>
      </c>
      <c r="M300" t="s">
        <v>67</v>
      </c>
      <c r="N300" t="s">
        <v>67</v>
      </c>
      <c r="O300" t="s">
        <v>389</v>
      </c>
      <c r="P300">
        <v>1</v>
      </c>
      <c r="Q300" t="s">
        <v>50</v>
      </c>
      <c r="R300" t="s">
        <v>51</v>
      </c>
      <c r="S300">
        <v>1921</v>
      </c>
      <c r="T300">
        <v>-777</v>
      </c>
      <c r="U300" s="1">
        <v>7852</v>
      </c>
      <c r="V300" s="2">
        <v>7852</v>
      </c>
      <c r="Y300" t="s">
        <v>1395</v>
      </c>
      <c r="Z300">
        <v>1</v>
      </c>
      <c r="AA300">
        <v>3</v>
      </c>
      <c r="AB300">
        <v>16</v>
      </c>
      <c r="AC300">
        <v>0</v>
      </c>
      <c r="AF300">
        <v>1972</v>
      </c>
      <c r="AG300">
        <v>1975</v>
      </c>
      <c r="AO300" t="b">
        <v>1</v>
      </c>
      <c r="AP300" t="s">
        <v>45</v>
      </c>
      <c r="AQ300">
        <v>1899</v>
      </c>
      <c r="AR300">
        <v>1971</v>
      </c>
      <c r="AS300" t="s">
        <v>1402</v>
      </c>
      <c r="AT300">
        <v>2.3791923340177901</v>
      </c>
      <c r="AU300">
        <f t="shared" si="14"/>
        <v>7.0000000000000001E-3</v>
      </c>
    </row>
    <row r="301" spans="1:47" x14ac:dyDescent="0.3">
      <c r="A301">
        <v>299</v>
      </c>
      <c r="B301" t="s">
        <v>1403</v>
      </c>
      <c r="C301" t="s">
        <v>1404</v>
      </c>
      <c r="D301">
        <v>91</v>
      </c>
      <c r="E301" t="s">
        <v>1293</v>
      </c>
      <c r="F301" t="str">
        <f>VLOOKUP(E301,country_continent!A:C,2,FALSE)</f>
        <v>Honduras</v>
      </c>
      <c r="G301" t="str">
        <f>VLOOKUP(E301,country_continent!A:C,3,FALSE)</f>
        <v>North America</v>
      </c>
      <c r="H301" t="s">
        <v>437</v>
      </c>
      <c r="I301" s="1">
        <v>27506</v>
      </c>
      <c r="J301" s="3">
        <f t="shared" si="12"/>
        <v>27506</v>
      </c>
      <c r="K301" s="1">
        <v>28709</v>
      </c>
      <c r="L301" s="3">
        <f t="shared" si="13"/>
        <v>28709</v>
      </c>
      <c r="M301" t="s">
        <v>67</v>
      </c>
      <c r="N301" t="s">
        <v>67</v>
      </c>
      <c r="O301" t="s">
        <v>389</v>
      </c>
      <c r="P301">
        <v>0</v>
      </c>
      <c r="Q301" t="s">
        <v>50</v>
      </c>
      <c r="R301" t="s">
        <v>51</v>
      </c>
      <c r="S301">
        <v>1938</v>
      </c>
      <c r="T301">
        <v>1987</v>
      </c>
      <c r="Y301" t="s">
        <v>1405</v>
      </c>
      <c r="Z301">
        <v>1</v>
      </c>
      <c r="AA301">
        <v>3</v>
      </c>
      <c r="AB301">
        <v>16</v>
      </c>
      <c r="AC301">
        <v>0</v>
      </c>
      <c r="AF301">
        <v>1975</v>
      </c>
      <c r="AG301">
        <v>1978</v>
      </c>
      <c r="AO301" t="b">
        <v>1</v>
      </c>
      <c r="AP301" t="s">
        <v>45</v>
      </c>
      <c r="AQ301">
        <v>1899</v>
      </c>
      <c r="AR301">
        <v>1971</v>
      </c>
      <c r="AS301" t="s">
        <v>1406</v>
      </c>
      <c r="AT301">
        <v>3.2936344969199101</v>
      </c>
      <c r="AU301">
        <f t="shared" si="14"/>
        <v>8.9999999999999993E-3</v>
      </c>
    </row>
    <row r="302" spans="1:47" x14ac:dyDescent="0.3">
      <c r="A302">
        <v>300</v>
      </c>
      <c r="B302" t="s">
        <v>1407</v>
      </c>
      <c r="C302" t="s">
        <v>1408</v>
      </c>
      <c r="D302">
        <v>91</v>
      </c>
      <c r="E302" t="s">
        <v>1293</v>
      </c>
      <c r="F302" t="str">
        <f>VLOOKUP(E302,country_continent!A:C,2,FALSE)</f>
        <v>Honduras</v>
      </c>
      <c r="G302" t="str">
        <f>VLOOKUP(E302,country_continent!A:C,3,FALSE)</f>
        <v>North America</v>
      </c>
      <c r="H302" t="s">
        <v>1409</v>
      </c>
      <c r="I302" s="1">
        <v>28709</v>
      </c>
      <c r="J302" s="3">
        <f t="shared" si="12"/>
        <v>28709</v>
      </c>
      <c r="K302" s="1">
        <v>29978</v>
      </c>
      <c r="L302" s="3">
        <f t="shared" si="13"/>
        <v>29978</v>
      </c>
      <c r="M302" t="s">
        <v>67</v>
      </c>
      <c r="N302" t="s">
        <v>49</v>
      </c>
      <c r="O302" t="s">
        <v>49</v>
      </c>
      <c r="P302">
        <v>0</v>
      </c>
      <c r="Q302" t="s">
        <v>50</v>
      </c>
      <c r="R302" t="s">
        <v>51</v>
      </c>
      <c r="S302">
        <v>1931</v>
      </c>
      <c r="T302">
        <v>2000</v>
      </c>
      <c r="Z302">
        <v>1</v>
      </c>
      <c r="AA302">
        <v>1</v>
      </c>
      <c r="AB302">
        <v>0</v>
      </c>
      <c r="AC302">
        <v>0</v>
      </c>
      <c r="AF302">
        <v>1978</v>
      </c>
      <c r="AG302">
        <v>1982</v>
      </c>
      <c r="AO302" t="b">
        <v>1</v>
      </c>
      <c r="AP302" t="s">
        <v>45</v>
      </c>
      <c r="AQ302">
        <v>1899</v>
      </c>
      <c r="AR302">
        <v>1971</v>
      </c>
      <c r="AS302" t="s">
        <v>1410</v>
      </c>
      <c r="AT302">
        <v>3.4743326488706301</v>
      </c>
      <c r="AU302">
        <f t="shared" si="14"/>
        <v>0.01</v>
      </c>
    </row>
    <row r="303" spans="1:47" x14ac:dyDescent="0.3">
      <c r="A303">
        <v>301</v>
      </c>
      <c r="B303" t="s">
        <v>1411</v>
      </c>
      <c r="C303" t="s">
        <v>1412</v>
      </c>
      <c r="D303">
        <v>91</v>
      </c>
      <c r="E303" t="s">
        <v>1293</v>
      </c>
      <c r="F303" t="str">
        <f>VLOOKUP(E303,country_continent!A:C,2,FALSE)</f>
        <v>Honduras</v>
      </c>
      <c r="G303" t="str">
        <f>VLOOKUP(E303,country_continent!A:C,3,FALSE)</f>
        <v>North America</v>
      </c>
      <c r="H303" t="s">
        <v>1413</v>
      </c>
      <c r="I303" s="1">
        <v>29978</v>
      </c>
      <c r="J303" s="3">
        <f t="shared" si="12"/>
        <v>29978</v>
      </c>
      <c r="K303" s="1">
        <v>31439</v>
      </c>
      <c r="L303" s="3">
        <f t="shared" si="13"/>
        <v>31439</v>
      </c>
      <c r="M303" t="s">
        <v>49</v>
      </c>
      <c r="N303" t="s">
        <v>49</v>
      </c>
      <c r="O303" t="s">
        <v>49</v>
      </c>
      <c r="P303">
        <v>0</v>
      </c>
      <c r="Q303" t="s">
        <v>50</v>
      </c>
      <c r="R303" t="s">
        <v>51</v>
      </c>
      <c r="S303">
        <v>1928</v>
      </c>
      <c r="T303">
        <v>-777</v>
      </c>
      <c r="Z303">
        <v>0</v>
      </c>
      <c r="AA303">
        <v>1</v>
      </c>
      <c r="AB303">
        <v>0</v>
      </c>
      <c r="AC303">
        <v>0</v>
      </c>
      <c r="AF303">
        <v>1982</v>
      </c>
      <c r="AG303">
        <v>1986</v>
      </c>
      <c r="AO303" t="b">
        <v>1</v>
      </c>
      <c r="AP303" t="s">
        <v>45</v>
      </c>
      <c r="AQ303">
        <v>1899</v>
      </c>
      <c r="AR303">
        <v>1971</v>
      </c>
      <c r="AS303" t="s">
        <v>1359</v>
      </c>
      <c r="AT303">
        <v>4</v>
      </c>
      <c r="AU303">
        <f t="shared" si="14"/>
        <v>1.0999999999999999E-2</v>
      </c>
    </row>
    <row r="304" spans="1:47" x14ac:dyDescent="0.3">
      <c r="A304">
        <v>302</v>
      </c>
      <c r="B304" t="s">
        <v>1414</v>
      </c>
      <c r="C304" t="s">
        <v>1415</v>
      </c>
      <c r="D304">
        <v>91</v>
      </c>
      <c r="E304" t="s">
        <v>1293</v>
      </c>
      <c r="F304" t="str">
        <f>VLOOKUP(E304,country_continent!A:C,2,FALSE)</f>
        <v>Honduras</v>
      </c>
      <c r="G304" t="str">
        <f>VLOOKUP(E304,country_continent!A:C,3,FALSE)</f>
        <v>North America</v>
      </c>
      <c r="H304" t="s">
        <v>1416</v>
      </c>
      <c r="I304" s="1">
        <v>31439</v>
      </c>
      <c r="J304" s="3">
        <f t="shared" si="12"/>
        <v>31439</v>
      </c>
      <c r="K304" s="1">
        <v>32900</v>
      </c>
      <c r="L304" s="3">
        <f t="shared" si="13"/>
        <v>32900</v>
      </c>
      <c r="M304" t="s">
        <v>49</v>
      </c>
      <c r="N304" t="s">
        <v>49</v>
      </c>
      <c r="O304" t="s">
        <v>49</v>
      </c>
      <c r="P304">
        <v>0</v>
      </c>
      <c r="Q304" t="s">
        <v>50</v>
      </c>
      <c r="R304" t="s">
        <v>51</v>
      </c>
      <c r="S304">
        <v>1927</v>
      </c>
      <c r="T304">
        <v>2005</v>
      </c>
      <c r="U304" s="1">
        <v>9888</v>
      </c>
      <c r="V304" s="2">
        <v>9888</v>
      </c>
      <c r="W304" s="1">
        <v>38649</v>
      </c>
      <c r="X304" s="2">
        <v>38649</v>
      </c>
      <c r="Y304" t="s">
        <v>1417</v>
      </c>
      <c r="Z304">
        <v>0</v>
      </c>
      <c r="AA304">
        <v>1</v>
      </c>
      <c r="AB304">
        <v>0</v>
      </c>
      <c r="AC304">
        <v>0</v>
      </c>
      <c r="AF304">
        <v>1986</v>
      </c>
      <c r="AG304">
        <v>1990</v>
      </c>
      <c r="AO304" t="b">
        <v>1</v>
      </c>
      <c r="AP304" t="s">
        <v>45</v>
      </c>
      <c r="AQ304">
        <v>1899</v>
      </c>
      <c r="AR304">
        <v>1971</v>
      </c>
      <c r="AS304" t="s">
        <v>1359</v>
      </c>
      <c r="AT304">
        <v>4</v>
      </c>
      <c r="AU304">
        <f t="shared" si="14"/>
        <v>1.0999999999999999E-2</v>
      </c>
    </row>
    <row r="305" spans="1:47" x14ac:dyDescent="0.3">
      <c r="A305">
        <v>303</v>
      </c>
      <c r="B305" t="s">
        <v>1418</v>
      </c>
      <c r="C305" t="s">
        <v>1419</v>
      </c>
      <c r="D305">
        <v>91</v>
      </c>
      <c r="E305" t="s">
        <v>1293</v>
      </c>
      <c r="F305" t="str">
        <f>VLOOKUP(E305,country_continent!A:C,2,FALSE)</f>
        <v>Honduras</v>
      </c>
      <c r="G305" t="str">
        <f>VLOOKUP(E305,country_continent!A:C,3,FALSE)</f>
        <v>North America</v>
      </c>
      <c r="H305" t="s">
        <v>1420</v>
      </c>
      <c r="I305" s="1">
        <v>32900</v>
      </c>
      <c r="J305" s="3">
        <f t="shared" si="12"/>
        <v>32900</v>
      </c>
      <c r="K305" s="1">
        <v>34361</v>
      </c>
      <c r="L305" s="3">
        <f t="shared" si="13"/>
        <v>34361</v>
      </c>
      <c r="M305" t="s">
        <v>49</v>
      </c>
      <c r="N305" t="s">
        <v>49</v>
      </c>
      <c r="O305" t="s">
        <v>49</v>
      </c>
      <c r="P305">
        <v>0</v>
      </c>
      <c r="Q305" t="s">
        <v>50</v>
      </c>
      <c r="R305" t="s">
        <v>51</v>
      </c>
      <c r="S305">
        <v>1943</v>
      </c>
      <c r="T305">
        <v>-777</v>
      </c>
      <c r="Z305">
        <v>0</v>
      </c>
      <c r="AA305">
        <v>1</v>
      </c>
      <c r="AB305">
        <v>0</v>
      </c>
      <c r="AC305">
        <v>0</v>
      </c>
      <c r="AF305">
        <v>1990</v>
      </c>
      <c r="AG305">
        <v>1994</v>
      </c>
      <c r="AO305" t="b">
        <v>1</v>
      </c>
      <c r="AP305" t="s">
        <v>45</v>
      </c>
      <c r="AQ305">
        <v>1899</v>
      </c>
      <c r="AR305">
        <v>1971</v>
      </c>
      <c r="AS305" t="s">
        <v>1359</v>
      </c>
      <c r="AT305">
        <v>4</v>
      </c>
      <c r="AU305">
        <f t="shared" si="14"/>
        <v>1.0999999999999999E-2</v>
      </c>
    </row>
    <row r="306" spans="1:47" x14ac:dyDescent="0.3">
      <c r="A306">
        <v>304</v>
      </c>
      <c r="B306" t="s">
        <v>1421</v>
      </c>
      <c r="C306" t="s">
        <v>1422</v>
      </c>
      <c r="D306">
        <v>91</v>
      </c>
      <c r="E306" t="s">
        <v>1293</v>
      </c>
      <c r="F306" t="str">
        <f>VLOOKUP(E306,country_continent!A:C,2,FALSE)</f>
        <v>Honduras</v>
      </c>
      <c r="G306" t="str">
        <f>VLOOKUP(E306,country_continent!A:C,3,FALSE)</f>
        <v>North America</v>
      </c>
      <c r="H306" t="s">
        <v>1423</v>
      </c>
      <c r="I306" s="1">
        <v>34361</v>
      </c>
      <c r="J306" s="3">
        <f t="shared" si="12"/>
        <v>34361</v>
      </c>
      <c r="K306" s="1">
        <v>35822</v>
      </c>
      <c r="L306" s="3">
        <f t="shared" si="13"/>
        <v>35822</v>
      </c>
      <c r="M306" t="s">
        <v>49</v>
      </c>
      <c r="N306" t="s">
        <v>49</v>
      </c>
      <c r="O306" t="s">
        <v>49</v>
      </c>
      <c r="P306">
        <v>0</v>
      </c>
      <c r="Q306" t="s">
        <v>50</v>
      </c>
      <c r="R306" t="s">
        <v>51</v>
      </c>
      <c r="S306">
        <v>1926</v>
      </c>
      <c r="T306">
        <v>2003</v>
      </c>
      <c r="U306" s="1">
        <v>9569</v>
      </c>
      <c r="V306" s="2">
        <v>9569</v>
      </c>
      <c r="W306" s="1">
        <v>37852</v>
      </c>
      <c r="X306" s="2">
        <v>37852</v>
      </c>
      <c r="Y306" t="s">
        <v>1424</v>
      </c>
      <c r="Z306">
        <v>0</v>
      </c>
      <c r="AA306">
        <v>1</v>
      </c>
      <c r="AB306">
        <v>0</v>
      </c>
      <c r="AC306">
        <v>0</v>
      </c>
      <c r="AF306">
        <v>1994</v>
      </c>
      <c r="AG306">
        <v>1998</v>
      </c>
      <c r="AO306" t="b">
        <v>1</v>
      </c>
      <c r="AP306" t="s">
        <v>45</v>
      </c>
      <c r="AQ306">
        <v>1899</v>
      </c>
      <c r="AR306">
        <v>1971</v>
      </c>
      <c r="AS306" t="s">
        <v>1359</v>
      </c>
      <c r="AT306">
        <v>4</v>
      </c>
      <c r="AU306">
        <f t="shared" si="14"/>
        <v>1.0999999999999999E-2</v>
      </c>
    </row>
    <row r="307" spans="1:47" x14ac:dyDescent="0.3">
      <c r="A307">
        <v>305</v>
      </c>
      <c r="B307" t="s">
        <v>1425</v>
      </c>
      <c r="C307" t="s">
        <v>1426</v>
      </c>
      <c r="D307">
        <v>91</v>
      </c>
      <c r="E307" t="s">
        <v>1293</v>
      </c>
      <c r="F307" t="str">
        <f>VLOOKUP(E307,country_continent!A:C,2,FALSE)</f>
        <v>Honduras</v>
      </c>
      <c r="G307" t="str">
        <f>VLOOKUP(E307,country_continent!A:C,3,FALSE)</f>
        <v>North America</v>
      </c>
      <c r="H307" t="s">
        <v>1427</v>
      </c>
      <c r="I307" s="1">
        <v>35822</v>
      </c>
      <c r="J307" s="3">
        <f t="shared" si="12"/>
        <v>35822</v>
      </c>
      <c r="K307" s="1">
        <v>37283</v>
      </c>
      <c r="L307" s="3">
        <f t="shared" si="13"/>
        <v>37283</v>
      </c>
      <c r="M307" t="s">
        <v>49</v>
      </c>
      <c r="N307" t="s">
        <v>49</v>
      </c>
      <c r="O307" t="s">
        <v>49</v>
      </c>
      <c r="P307">
        <v>0</v>
      </c>
      <c r="Q307" t="s">
        <v>50</v>
      </c>
      <c r="R307" t="s">
        <v>51</v>
      </c>
      <c r="S307">
        <v>1950</v>
      </c>
      <c r="T307">
        <v>-777</v>
      </c>
      <c r="Z307">
        <v>0</v>
      </c>
      <c r="AA307">
        <v>1</v>
      </c>
      <c r="AB307">
        <v>0</v>
      </c>
      <c r="AC307">
        <v>0</v>
      </c>
      <c r="AF307">
        <v>1998</v>
      </c>
      <c r="AG307">
        <v>2002</v>
      </c>
      <c r="AO307" t="b">
        <v>1</v>
      </c>
      <c r="AP307" t="s">
        <v>45</v>
      </c>
      <c r="AQ307">
        <v>1899</v>
      </c>
      <c r="AR307">
        <v>1971</v>
      </c>
      <c r="AS307" t="s">
        <v>1359</v>
      </c>
      <c r="AT307">
        <v>4</v>
      </c>
      <c r="AU307">
        <f t="shared" si="14"/>
        <v>1.0999999999999999E-2</v>
      </c>
    </row>
    <row r="308" spans="1:47" x14ac:dyDescent="0.3">
      <c r="A308">
        <v>306</v>
      </c>
      <c r="B308" t="s">
        <v>1428</v>
      </c>
      <c r="C308" t="s">
        <v>1429</v>
      </c>
      <c r="D308">
        <v>91</v>
      </c>
      <c r="E308" t="s">
        <v>1293</v>
      </c>
      <c r="F308" t="str">
        <f>VLOOKUP(E308,country_continent!A:C,2,FALSE)</f>
        <v>Honduras</v>
      </c>
      <c r="G308" t="str">
        <f>VLOOKUP(E308,country_continent!A:C,3,FALSE)</f>
        <v>North America</v>
      </c>
      <c r="H308" t="s">
        <v>1430</v>
      </c>
      <c r="I308" s="1">
        <v>37283</v>
      </c>
      <c r="J308" s="3">
        <f t="shared" si="12"/>
        <v>37283</v>
      </c>
      <c r="K308" s="1">
        <v>38744</v>
      </c>
      <c r="L308" s="3">
        <f t="shared" si="13"/>
        <v>38744</v>
      </c>
      <c r="M308" t="s">
        <v>49</v>
      </c>
      <c r="N308" t="s">
        <v>49</v>
      </c>
      <c r="O308" t="s">
        <v>49</v>
      </c>
      <c r="P308">
        <v>0</v>
      </c>
      <c r="Q308" t="s">
        <v>50</v>
      </c>
      <c r="R308" t="s">
        <v>51</v>
      </c>
      <c r="S308">
        <v>1946</v>
      </c>
      <c r="T308">
        <v>-777</v>
      </c>
      <c r="Y308" t="s">
        <v>1431</v>
      </c>
      <c r="Z308">
        <v>0</v>
      </c>
      <c r="AA308">
        <v>1</v>
      </c>
      <c r="AB308">
        <v>0</v>
      </c>
      <c r="AC308">
        <v>0</v>
      </c>
      <c r="AF308">
        <v>2002</v>
      </c>
      <c r="AG308">
        <v>2006</v>
      </c>
      <c r="AO308" t="b">
        <v>1</v>
      </c>
      <c r="AP308" t="s">
        <v>45</v>
      </c>
      <c r="AQ308">
        <v>1899</v>
      </c>
      <c r="AR308">
        <v>1971</v>
      </c>
      <c r="AS308" t="s">
        <v>1359</v>
      </c>
      <c r="AT308">
        <v>4</v>
      </c>
      <c r="AU308">
        <f t="shared" si="14"/>
        <v>1.0999999999999999E-2</v>
      </c>
    </row>
    <row r="309" spans="1:47" x14ac:dyDescent="0.3">
      <c r="A309">
        <v>307</v>
      </c>
      <c r="B309" t="s">
        <v>1432</v>
      </c>
      <c r="C309" t="s">
        <v>1433</v>
      </c>
      <c r="D309">
        <v>91</v>
      </c>
      <c r="E309" t="s">
        <v>1293</v>
      </c>
      <c r="F309" t="str">
        <f>VLOOKUP(E309,country_continent!A:C,2,FALSE)</f>
        <v>Honduras</v>
      </c>
      <c r="G309" t="str">
        <f>VLOOKUP(E309,country_continent!A:C,3,FALSE)</f>
        <v>North America</v>
      </c>
      <c r="H309" t="s">
        <v>1434</v>
      </c>
      <c r="I309" s="1">
        <v>38744</v>
      </c>
      <c r="J309" s="3">
        <f t="shared" si="12"/>
        <v>38744</v>
      </c>
      <c r="K309" s="1">
        <v>39992</v>
      </c>
      <c r="L309" s="3">
        <f t="shared" si="13"/>
        <v>39992</v>
      </c>
      <c r="M309" t="s">
        <v>49</v>
      </c>
      <c r="N309" t="s">
        <v>67</v>
      </c>
      <c r="O309" t="s">
        <v>376</v>
      </c>
      <c r="P309">
        <v>0</v>
      </c>
      <c r="Q309" t="s">
        <v>362</v>
      </c>
      <c r="R309" t="s">
        <v>51</v>
      </c>
      <c r="S309">
        <v>1952</v>
      </c>
      <c r="T309">
        <v>-777</v>
      </c>
      <c r="Z309">
        <v>0</v>
      </c>
      <c r="AA309">
        <v>3</v>
      </c>
      <c r="AB309">
        <v>6</v>
      </c>
      <c r="AC309">
        <v>1</v>
      </c>
      <c r="AF309">
        <v>2006</v>
      </c>
      <c r="AG309">
        <v>2009</v>
      </c>
      <c r="AO309" t="b">
        <v>1</v>
      </c>
      <c r="AP309" t="s">
        <v>45</v>
      </c>
      <c r="AQ309">
        <v>1899</v>
      </c>
      <c r="AR309">
        <v>1971</v>
      </c>
      <c r="AS309" t="s">
        <v>1435</v>
      </c>
      <c r="AT309">
        <v>3.4168377823408602</v>
      </c>
      <c r="AU309">
        <f t="shared" si="14"/>
        <v>8.9999999999999993E-3</v>
      </c>
    </row>
    <row r="310" spans="1:47" x14ac:dyDescent="0.3">
      <c r="A310">
        <v>308</v>
      </c>
      <c r="B310" t="s">
        <v>1436</v>
      </c>
      <c r="C310" t="s">
        <v>1437</v>
      </c>
      <c r="D310">
        <v>91</v>
      </c>
      <c r="E310" t="s">
        <v>1293</v>
      </c>
      <c r="F310" t="str">
        <f>VLOOKUP(E310,country_continent!A:C,2,FALSE)</f>
        <v>Honduras</v>
      </c>
      <c r="G310" t="str">
        <f>VLOOKUP(E310,country_continent!A:C,3,FALSE)</f>
        <v>North America</v>
      </c>
      <c r="H310" t="s">
        <v>1438</v>
      </c>
      <c r="I310" s="1">
        <v>39992</v>
      </c>
      <c r="J310" s="3">
        <f t="shared" si="12"/>
        <v>39992</v>
      </c>
      <c r="K310" s="1">
        <v>40205</v>
      </c>
      <c r="L310" s="3">
        <f t="shared" si="13"/>
        <v>40205</v>
      </c>
      <c r="M310" t="s">
        <v>67</v>
      </c>
      <c r="N310" t="s">
        <v>49</v>
      </c>
      <c r="O310" t="s">
        <v>49</v>
      </c>
      <c r="P310">
        <v>0</v>
      </c>
      <c r="Q310" t="s">
        <v>50</v>
      </c>
      <c r="R310" t="s">
        <v>51</v>
      </c>
      <c r="S310">
        <v>1948</v>
      </c>
      <c r="T310">
        <v>-777</v>
      </c>
      <c r="Z310">
        <v>1</v>
      </c>
      <c r="AA310">
        <v>1</v>
      </c>
      <c r="AB310">
        <v>0</v>
      </c>
      <c r="AC310">
        <v>0</v>
      </c>
      <c r="AF310">
        <v>2009</v>
      </c>
      <c r="AG310">
        <v>2010</v>
      </c>
      <c r="AO310" t="b">
        <v>1</v>
      </c>
      <c r="AP310" t="s">
        <v>45</v>
      </c>
      <c r="AQ310">
        <v>1899</v>
      </c>
      <c r="AR310">
        <v>1971</v>
      </c>
      <c r="AS310" t="s">
        <v>1439</v>
      </c>
      <c r="AT310">
        <v>0.58316221765913701</v>
      </c>
      <c r="AU310">
        <f t="shared" si="14"/>
        <v>2E-3</v>
      </c>
    </row>
    <row r="311" spans="1:47" x14ac:dyDescent="0.3">
      <c r="A311">
        <v>309</v>
      </c>
      <c r="B311" t="s">
        <v>1440</v>
      </c>
      <c r="C311" t="s">
        <v>1441</v>
      </c>
      <c r="D311">
        <v>91</v>
      </c>
      <c r="E311" t="s">
        <v>1293</v>
      </c>
      <c r="F311" t="str">
        <f>VLOOKUP(E311,country_continent!A:C,2,FALSE)</f>
        <v>Honduras</v>
      </c>
      <c r="G311" t="str">
        <f>VLOOKUP(E311,country_continent!A:C,3,FALSE)</f>
        <v>North America</v>
      </c>
      <c r="H311" t="s">
        <v>1442</v>
      </c>
      <c r="I311" s="1">
        <v>40205</v>
      </c>
      <c r="J311" s="3">
        <f t="shared" si="12"/>
        <v>40205</v>
      </c>
      <c r="K311" s="1">
        <v>41666</v>
      </c>
      <c r="L311" s="3">
        <f t="shared" si="13"/>
        <v>41666</v>
      </c>
      <c r="M311" t="s">
        <v>49</v>
      </c>
      <c r="N311" t="s">
        <v>49</v>
      </c>
      <c r="O311" t="s">
        <v>49</v>
      </c>
      <c r="P311">
        <v>0</v>
      </c>
      <c r="Q311" t="s">
        <v>50</v>
      </c>
      <c r="R311" t="s">
        <v>51</v>
      </c>
      <c r="S311">
        <v>1947</v>
      </c>
      <c r="T311">
        <v>-777</v>
      </c>
      <c r="Z311">
        <v>0</v>
      </c>
      <c r="AA311">
        <v>1</v>
      </c>
      <c r="AB311">
        <v>0</v>
      </c>
      <c r="AC311">
        <v>0</v>
      </c>
      <c r="AF311">
        <v>2010</v>
      </c>
      <c r="AG311">
        <v>2014</v>
      </c>
      <c r="AO311" t="b">
        <v>1</v>
      </c>
      <c r="AP311" t="s">
        <v>45</v>
      </c>
      <c r="AQ311">
        <v>1899</v>
      </c>
      <c r="AR311">
        <v>1971</v>
      </c>
      <c r="AS311" t="s">
        <v>1359</v>
      </c>
      <c r="AT311">
        <v>4</v>
      </c>
      <c r="AU311">
        <f t="shared" si="14"/>
        <v>1.0999999999999999E-2</v>
      </c>
    </row>
    <row r="312" spans="1:47" x14ac:dyDescent="0.3">
      <c r="A312">
        <v>310</v>
      </c>
      <c r="B312" t="s">
        <v>1443</v>
      </c>
      <c r="C312" t="s">
        <v>1444</v>
      </c>
      <c r="D312">
        <v>91</v>
      </c>
      <c r="E312" t="s">
        <v>1293</v>
      </c>
      <c r="F312" t="str">
        <f>VLOOKUP(E312,country_continent!A:C,2,FALSE)</f>
        <v>Honduras</v>
      </c>
      <c r="G312" t="str">
        <f>VLOOKUP(E312,country_continent!A:C,3,FALSE)</f>
        <v>North America</v>
      </c>
      <c r="H312" t="s">
        <v>1445</v>
      </c>
      <c r="I312" s="1">
        <v>41666</v>
      </c>
      <c r="J312" s="3">
        <f t="shared" si="12"/>
        <v>41666</v>
      </c>
      <c r="K312" s="1">
        <v>42369</v>
      </c>
      <c r="L312" s="3">
        <f t="shared" si="13"/>
        <v>42369</v>
      </c>
      <c r="M312" t="s">
        <v>49</v>
      </c>
      <c r="N312" t="s">
        <v>173</v>
      </c>
      <c r="O312" t="s">
        <v>173</v>
      </c>
      <c r="P312">
        <v>0</v>
      </c>
      <c r="Q312" t="s">
        <v>174</v>
      </c>
      <c r="R312" t="s">
        <v>51</v>
      </c>
      <c r="S312">
        <v>1968</v>
      </c>
      <c r="T312">
        <v>-777</v>
      </c>
      <c r="U312" s="1">
        <v>25139</v>
      </c>
      <c r="V312" s="2">
        <v>25139</v>
      </c>
      <c r="Z312">
        <v>0</v>
      </c>
      <c r="AA312">
        <v>-888</v>
      </c>
      <c r="AB312">
        <v>-888</v>
      </c>
      <c r="AC312">
        <v>-888</v>
      </c>
      <c r="AF312">
        <v>2014</v>
      </c>
      <c r="AG312">
        <v>2015</v>
      </c>
      <c r="AO312" t="b">
        <v>1</v>
      </c>
      <c r="AP312" t="s">
        <v>45</v>
      </c>
      <c r="AQ312">
        <v>1899</v>
      </c>
      <c r="AR312">
        <v>1971</v>
      </c>
      <c r="AS312" t="s">
        <v>1446</v>
      </c>
      <c r="AT312">
        <v>1.9247091033538599</v>
      </c>
      <c r="AU312">
        <f t="shared" si="14"/>
        <v>5.0000000000000001E-3</v>
      </c>
    </row>
    <row r="313" spans="1:47" x14ac:dyDescent="0.3">
      <c r="A313">
        <v>311</v>
      </c>
      <c r="B313" t="s">
        <v>1447</v>
      </c>
      <c r="C313" t="s">
        <v>1448</v>
      </c>
      <c r="D313">
        <v>92</v>
      </c>
      <c r="E313" t="s">
        <v>1449</v>
      </c>
      <c r="F313" t="str">
        <f>VLOOKUP(E313,country_continent!A:C,2,FALSE)</f>
        <v>El Salvador</v>
      </c>
      <c r="G313" t="str">
        <f>VLOOKUP(E313,country_continent!A:C,3,FALSE)</f>
        <v>North America</v>
      </c>
      <c r="H313" t="s">
        <v>660</v>
      </c>
      <c r="I313" t="s">
        <v>1450</v>
      </c>
      <c r="J313" s="3" t="str">
        <f t="shared" si="12"/>
        <v>1871/04/15</v>
      </c>
      <c r="K313" t="s">
        <v>1452</v>
      </c>
      <c r="L313" s="3" t="str">
        <f t="shared" si="13"/>
        <v>1876/02/11</v>
      </c>
      <c r="M313" t="s">
        <v>67</v>
      </c>
      <c r="N313" t="s">
        <v>49</v>
      </c>
      <c r="O313" t="s">
        <v>49</v>
      </c>
      <c r="P313">
        <v>0</v>
      </c>
      <c r="Q313" t="s">
        <v>1453</v>
      </c>
      <c r="R313" t="s">
        <v>51</v>
      </c>
      <c r="S313">
        <v>1818</v>
      </c>
      <c r="T313">
        <v>1887</v>
      </c>
      <c r="Z313">
        <v>1</v>
      </c>
      <c r="AA313">
        <v>1</v>
      </c>
      <c r="AB313">
        <v>0</v>
      </c>
      <c r="AC313">
        <v>-666</v>
      </c>
      <c r="AF313">
        <v>1871</v>
      </c>
      <c r="AG313">
        <v>1876</v>
      </c>
      <c r="AO313" t="b">
        <v>0</v>
      </c>
      <c r="AT313">
        <v>1763</v>
      </c>
      <c r="AU313">
        <f t="shared" si="14"/>
        <v>4.83</v>
      </c>
    </row>
    <row r="314" spans="1:47" x14ac:dyDescent="0.3">
      <c r="A314">
        <v>312</v>
      </c>
      <c r="B314" t="s">
        <v>1454</v>
      </c>
      <c r="C314" t="s">
        <v>1455</v>
      </c>
      <c r="D314">
        <v>92</v>
      </c>
      <c r="E314" t="s">
        <v>1449</v>
      </c>
      <c r="F314" t="str">
        <f>VLOOKUP(E314,country_continent!A:C,2,FALSE)</f>
        <v>El Salvador</v>
      </c>
      <c r="G314" t="str">
        <f>VLOOKUP(E314,country_continent!A:C,3,FALSE)</f>
        <v>North America</v>
      </c>
      <c r="H314" t="s">
        <v>1456</v>
      </c>
      <c r="I314" t="s">
        <v>1457</v>
      </c>
      <c r="J314" s="3" t="str">
        <f t="shared" si="12"/>
        <v>1876/02/12</v>
      </c>
      <c r="K314" t="s">
        <v>1458</v>
      </c>
      <c r="L314" s="3" t="str">
        <f t="shared" si="13"/>
        <v>1876/05/01</v>
      </c>
      <c r="M314" t="s">
        <v>49</v>
      </c>
      <c r="N314" t="s">
        <v>67</v>
      </c>
      <c r="O314" t="s">
        <v>347</v>
      </c>
      <c r="P314">
        <v>0</v>
      </c>
      <c r="Q314" t="s">
        <v>362</v>
      </c>
      <c r="R314" t="s">
        <v>51</v>
      </c>
      <c r="S314">
        <v>1833</v>
      </c>
      <c r="T314">
        <v>1888</v>
      </c>
      <c r="Z314">
        <v>0</v>
      </c>
      <c r="AA314">
        <v>3</v>
      </c>
      <c r="AB314">
        <v>-999</v>
      </c>
      <c r="AC314">
        <v>1</v>
      </c>
      <c r="AF314">
        <v>1876</v>
      </c>
      <c r="AG314">
        <v>1876</v>
      </c>
      <c r="AO314" t="b">
        <v>0</v>
      </c>
      <c r="AT314">
        <v>79</v>
      </c>
      <c r="AU314">
        <f t="shared" si="14"/>
        <v>0.216</v>
      </c>
    </row>
    <row r="315" spans="1:47" x14ac:dyDescent="0.3">
      <c r="A315">
        <v>313</v>
      </c>
      <c r="B315" t="s">
        <v>1459</v>
      </c>
      <c r="C315" t="s">
        <v>1460</v>
      </c>
      <c r="D315">
        <v>92</v>
      </c>
      <c r="E315" t="s">
        <v>1449</v>
      </c>
      <c r="F315" t="str">
        <f>VLOOKUP(E315,country_continent!A:C,2,FALSE)</f>
        <v>El Salvador</v>
      </c>
      <c r="G315" t="str">
        <f>VLOOKUP(E315,country_continent!A:C,3,FALSE)</f>
        <v>North America</v>
      </c>
      <c r="H315" t="s">
        <v>1461</v>
      </c>
      <c r="I315" t="s">
        <v>1458</v>
      </c>
      <c r="J315" s="3" t="str">
        <f t="shared" si="12"/>
        <v>1876/05/01</v>
      </c>
      <c r="K315" t="s">
        <v>1462</v>
      </c>
      <c r="L315" s="3" t="str">
        <f t="shared" si="13"/>
        <v>1885/05/14</v>
      </c>
      <c r="M315" t="s">
        <v>67</v>
      </c>
      <c r="N315" t="s">
        <v>67</v>
      </c>
      <c r="O315" t="s">
        <v>347</v>
      </c>
      <c r="P315">
        <v>0</v>
      </c>
      <c r="Q315" t="s">
        <v>362</v>
      </c>
      <c r="R315" t="s">
        <v>51</v>
      </c>
      <c r="S315">
        <v>1834</v>
      </c>
      <c r="T315">
        <v>1903</v>
      </c>
      <c r="Z315">
        <v>1</v>
      </c>
      <c r="AA315">
        <v>3</v>
      </c>
      <c r="AB315">
        <v>-999</v>
      </c>
      <c r="AC315">
        <v>1</v>
      </c>
      <c r="AF315">
        <v>1876</v>
      </c>
      <c r="AG315">
        <v>1885</v>
      </c>
      <c r="AO315" t="b">
        <v>0</v>
      </c>
      <c r="AT315">
        <v>3300</v>
      </c>
      <c r="AU315">
        <f t="shared" si="14"/>
        <v>9.0410000000000004</v>
      </c>
    </row>
    <row r="316" spans="1:47" x14ac:dyDescent="0.3">
      <c r="A316">
        <v>314</v>
      </c>
      <c r="B316" t="s">
        <v>1463</v>
      </c>
      <c r="C316" t="s">
        <v>1464</v>
      </c>
      <c r="D316">
        <v>92</v>
      </c>
      <c r="E316" t="s">
        <v>1449</v>
      </c>
      <c r="F316" t="str">
        <f>VLOOKUP(E316,country_continent!A:C,2,FALSE)</f>
        <v>El Salvador</v>
      </c>
      <c r="G316" t="str">
        <f>VLOOKUP(E316,country_continent!A:C,3,FALSE)</f>
        <v>North America</v>
      </c>
      <c r="H316" t="s">
        <v>1465</v>
      </c>
      <c r="I316" t="s">
        <v>1466</v>
      </c>
      <c r="J316" s="3" t="str">
        <f t="shared" si="12"/>
        <v>1885/05/22</v>
      </c>
      <c r="K316" t="s">
        <v>1467</v>
      </c>
      <c r="L316" s="3" t="str">
        <f t="shared" si="13"/>
        <v>1890/06/22</v>
      </c>
      <c r="M316" t="s">
        <v>67</v>
      </c>
      <c r="N316" t="s">
        <v>67</v>
      </c>
      <c r="O316" t="s">
        <v>347</v>
      </c>
      <c r="P316">
        <v>0</v>
      </c>
      <c r="Q316" t="s">
        <v>50</v>
      </c>
      <c r="R316" t="s">
        <v>51</v>
      </c>
      <c r="S316">
        <v>1830</v>
      </c>
      <c r="T316">
        <v>1890</v>
      </c>
      <c r="Z316">
        <v>1</v>
      </c>
      <c r="AA316">
        <v>3</v>
      </c>
      <c r="AB316">
        <v>-999</v>
      </c>
      <c r="AC316">
        <v>0</v>
      </c>
      <c r="AF316">
        <v>1885</v>
      </c>
      <c r="AG316">
        <v>1890</v>
      </c>
      <c r="AO316" t="b">
        <v>0</v>
      </c>
      <c r="AT316">
        <v>1857</v>
      </c>
      <c r="AU316">
        <f t="shared" si="14"/>
        <v>5.0880000000000001</v>
      </c>
    </row>
    <row r="317" spans="1:47" x14ac:dyDescent="0.3">
      <c r="A317">
        <v>315</v>
      </c>
      <c r="B317" t="s">
        <v>1468</v>
      </c>
      <c r="C317" t="s">
        <v>1469</v>
      </c>
      <c r="D317">
        <v>92</v>
      </c>
      <c r="E317" t="s">
        <v>1449</v>
      </c>
      <c r="F317" t="str">
        <f>VLOOKUP(E317,country_continent!A:C,2,FALSE)</f>
        <v>El Salvador</v>
      </c>
      <c r="G317" t="str">
        <f>VLOOKUP(E317,country_continent!A:C,3,FALSE)</f>
        <v>North America</v>
      </c>
      <c r="H317" t="s">
        <v>1470</v>
      </c>
      <c r="I317" t="s">
        <v>1467</v>
      </c>
      <c r="J317" s="3" t="str">
        <f t="shared" si="12"/>
        <v>1890/06/22</v>
      </c>
      <c r="K317" t="s">
        <v>1471</v>
      </c>
      <c r="L317" s="3" t="str">
        <f t="shared" si="13"/>
        <v>1894/06/10</v>
      </c>
      <c r="M317" t="s">
        <v>67</v>
      </c>
      <c r="N317" t="s">
        <v>67</v>
      </c>
      <c r="O317" t="s">
        <v>347</v>
      </c>
      <c r="P317">
        <v>0</v>
      </c>
      <c r="Q317" t="s">
        <v>362</v>
      </c>
      <c r="R317" t="s">
        <v>51</v>
      </c>
      <c r="S317">
        <v>1852</v>
      </c>
      <c r="T317">
        <v>1903</v>
      </c>
      <c r="Z317">
        <v>1</v>
      </c>
      <c r="AA317">
        <v>3</v>
      </c>
      <c r="AB317">
        <v>-999</v>
      </c>
      <c r="AC317">
        <v>1</v>
      </c>
      <c r="AF317">
        <v>1890</v>
      </c>
      <c r="AG317">
        <v>1894</v>
      </c>
      <c r="AO317" t="b">
        <v>0</v>
      </c>
      <c r="AT317">
        <v>1449</v>
      </c>
      <c r="AU317">
        <f t="shared" si="14"/>
        <v>3.97</v>
      </c>
    </row>
    <row r="318" spans="1:47" x14ac:dyDescent="0.3">
      <c r="A318">
        <v>316</v>
      </c>
      <c r="B318" t="s">
        <v>1472</v>
      </c>
      <c r="C318" t="s">
        <v>1473</v>
      </c>
      <c r="D318">
        <v>92</v>
      </c>
      <c r="E318" t="s">
        <v>1449</v>
      </c>
      <c r="F318" t="str">
        <f>VLOOKUP(E318,country_continent!A:C,2,FALSE)</f>
        <v>El Salvador</v>
      </c>
      <c r="G318" t="str">
        <f>VLOOKUP(E318,country_continent!A:C,3,FALSE)</f>
        <v>North America</v>
      </c>
      <c r="H318" t="s">
        <v>1474</v>
      </c>
      <c r="I318" t="s">
        <v>1471</v>
      </c>
      <c r="J318" s="3" t="str">
        <f t="shared" si="12"/>
        <v>1894/06/10</v>
      </c>
      <c r="K318" t="s">
        <v>1475</v>
      </c>
      <c r="L318" s="3" t="str">
        <f t="shared" si="13"/>
        <v>1898/11/14</v>
      </c>
      <c r="M318" t="s">
        <v>67</v>
      </c>
      <c r="N318" t="s">
        <v>67</v>
      </c>
      <c r="O318" t="s">
        <v>347</v>
      </c>
      <c r="P318">
        <v>0</v>
      </c>
      <c r="Q318" t="s">
        <v>362</v>
      </c>
      <c r="R318" t="s">
        <v>51</v>
      </c>
      <c r="S318">
        <v>1861</v>
      </c>
      <c r="T318">
        <v>1921</v>
      </c>
      <c r="Z318">
        <v>1</v>
      </c>
      <c r="AA318">
        <v>3</v>
      </c>
      <c r="AB318">
        <v>-999</v>
      </c>
      <c r="AC318">
        <v>1</v>
      </c>
      <c r="AF318">
        <v>1894</v>
      </c>
      <c r="AG318">
        <v>1898</v>
      </c>
      <c r="AO318" t="b">
        <v>0</v>
      </c>
      <c r="AT318">
        <v>1618</v>
      </c>
      <c r="AU318">
        <f t="shared" si="14"/>
        <v>4.4329999999999998</v>
      </c>
    </row>
    <row r="319" spans="1:47" x14ac:dyDescent="0.3">
      <c r="A319">
        <v>317</v>
      </c>
      <c r="B319" t="s">
        <v>1476</v>
      </c>
      <c r="C319" t="s">
        <v>1477</v>
      </c>
      <c r="D319">
        <v>92</v>
      </c>
      <c r="E319" t="s">
        <v>1449</v>
      </c>
      <c r="F319" t="str">
        <f>VLOOKUP(E319,country_continent!A:C,2,FALSE)</f>
        <v>El Salvador</v>
      </c>
      <c r="G319" t="str">
        <f>VLOOKUP(E319,country_continent!A:C,3,FALSE)</f>
        <v>North America</v>
      </c>
      <c r="H319" t="s">
        <v>1478</v>
      </c>
      <c r="I319" t="s">
        <v>1475</v>
      </c>
      <c r="J319" s="3" t="str">
        <f t="shared" si="12"/>
        <v>1898/11/14</v>
      </c>
      <c r="K319" s="1">
        <v>1156</v>
      </c>
      <c r="L319" s="3">
        <f t="shared" si="13"/>
        <v>1156</v>
      </c>
      <c r="M319" t="s">
        <v>67</v>
      </c>
      <c r="N319" t="s">
        <v>49</v>
      </c>
      <c r="O319" t="s">
        <v>49</v>
      </c>
      <c r="P319">
        <v>0</v>
      </c>
      <c r="Q319" t="s">
        <v>50</v>
      </c>
      <c r="R319" t="s">
        <v>51</v>
      </c>
      <c r="S319">
        <v>1864</v>
      </c>
      <c r="T319">
        <v>1906</v>
      </c>
      <c r="Z319">
        <v>1</v>
      </c>
      <c r="AA319">
        <v>1</v>
      </c>
      <c r="AB319">
        <v>0</v>
      </c>
      <c r="AC319">
        <v>0</v>
      </c>
      <c r="AF319">
        <v>1898</v>
      </c>
      <c r="AG319">
        <v>1903</v>
      </c>
      <c r="AO319" t="b">
        <v>0</v>
      </c>
      <c r="AT319">
        <v>1567</v>
      </c>
      <c r="AU319">
        <f t="shared" si="14"/>
        <v>4.2930000000000001</v>
      </c>
    </row>
    <row r="320" spans="1:47" x14ac:dyDescent="0.3">
      <c r="A320">
        <v>318</v>
      </c>
      <c r="B320" t="s">
        <v>1479</v>
      </c>
      <c r="C320" t="s">
        <v>1480</v>
      </c>
      <c r="D320">
        <v>92</v>
      </c>
      <c r="E320" t="s">
        <v>1449</v>
      </c>
      <c r="F320" t="str">
        <f>VLOOKUP(E320,country_continent!A:C,2,FALSE)</f>
        <v>El Salvador</v>
      </c>
      <c r="G320" t="str">
        <f>VLOOKUP(E320,country_continent!A:C,3,FALSE)</f>
        <v>North America</v>
      </c>
      <c r="H320" t="s">
        <v>1481</v>
      </c>
      <c r="I320" s="1">
        <v>1156</v>
      </c>
      <c r="J320" s="3">
        <f t="shared" si="12"/>
        <v>1156</v>
      </c>
      <c r="K320" s="1">
        <v>2616</v>
      </c>
      <c r="L320" s="3">
        <f t="shared" si="13"/>
        <v>2616</v>
      </c>
      <c r="M320" t="s">
        <v>49</v>
      </c>
      <c r="N320" t="s">
        <v>49</v>
      </c>
      <c r="O320" t="s">
        <v>49</v>
      </c>
      <c r="P320">
        <v>0</v>
      </c>
      <c r="Q320" t="s">
        <v>1453</v>
      </c>
      <c r="R320" t="s">
        <v>51</v>
      </c>
      <c r="S320">
        <v>1847</v>
      </c>
      <c r="T320">
        <v>1923</v>
      </c>
      <c r="Z320">
        <v>0</v>
      </c>
      <c r="AA320">
        <v>1</v>
      </c>
      <c r="AB320">
        <v>0</v>
      </c>
      <c r="AC320">
        <v>-666</v>
      </c>
      <c r="AF320">
        <v>1903</v>
      </c>
      <c r="AG320">
        <v>1907</v>
      </c>
      <c r="AO320" t="b">
        <v>0</v>
      </c>
      <c r="AT320">
        <v>1460</v>
      </c>
      <c r="AU320">
        <f t="shared" si="14"/>
        <v>4</v>
      </c>
    </row>
    <row r="321" spans="1:47" x14ac:dyDescent="0.3">
      <c r="A321">
        <v>319</v>
      </c>
      <c r="B321" t="s">
        <v>1482</v>
      </c>
      <c r="C321" t="s">
        <v>1483</v>
      </c>
      <c r="D321">
        <v>92</v>
      </c>
      <c r="E321" t="s">
        <v>1449</v>
      </c>
      <c r="F321" t="str">
        <f>VLOOKUP(E321,country_continent!A:C,2,FALSE)</f>
        <v>El Salvador</v>
      </c>
      <c r="G321" t="str">
        <f>VLOOKUP(E321,country_continent!A:C,3,FALSE)</f>
        <v>North America</v>
      </c>
      <c r="H321" t="s">
        <v>1484</v>
      </c>
      <c r="I321" s="1">
        <v>2617</v>
      </c>
      <c r="J321" s="3">
        <f t="shared" si="12"/>
        <v>2617</v>
      </c>
      <c r="K321" s="1">
        <v>4077</v>
      </c>
      <c r="L321" s="3">
        <f t="shared" si="13"/>
        <v>4077</v>
      </c>
      <c r="M321" t="s">
        <v>49</v>
      </c>
      <c r="N321" t="s">
        <v>49</v>
      </c>
      <c r="O321" t="s">
        <v>49</v>
      </c>
      <c r="P321">
        <v>0</v>
      </c>
      <c r="Q321" t="s">
        <v>1453</v>
      </c>
      <c r="R321" t="s">
        <v>51</v>
      </c>
      <c r="S321">
        <v>1849</v>
      </c>
      <c r="T321">
        <v>1919</v>
      </c>
      <c r="Z321">
        <v>0</v>
      </c>
      <c r="AA321">
        <v>1</v>
      </c>
      <c r="AB321">
        <v>0</v>
      </c>
      <c r="AC321">
        <v>-666</v>
      </c>
      <c r="AF321">
        <v>1907</v>
      </c>
      <c r="AG321">
        <v>1911</v>
      </c>
      <c r="AO321" t="b">
        <v>0</v>
      </c>
      <c r="AT321">
        <v>1460</v>
      </c>
      <c r="AU321">
        <f t="shared" si="14"/>
        <v>4</v>
      </c>
    </row>
    <row r="322" spans="1:47" x14ac:dyDescent="0.3">
      <c r="A322">
        <v>320</v>
      </c>
      <c r="B322" t="s">
        <v>1485</v>
      </c>
      <c r="C322" t="s">
        <v>1486</v>
      </c>
      <c r="D322">
        <v>92</v>
      </c>
      <c r="E322" t="s">
        <v>1449</v>
      </c>
      <c r="F322" t="str">
        <f>VLOOKUP(E322,country_continent!A:C,2,FALSE)</f>
        <v>El Salvador</v>
      </c>
      <c r="G322" t="str">
        <f>VLOOKUP(E322,country_continent!A:C,3,FALSE)</f>
        <v>North America</v>
      </c>
      <c r="H322" t="s">
        <v>1487</v>
      </c>
      <c r="I322" s="1">
        <v>4078</v>
      </c>
      <c r="J322" s="3">
        <f t="shared" si="12"/>
        <v>4078</v>
      </c>
      <c r="K322" s="1">
        <v>4789</v>
      </c>
      <c r="L322" s="3">
        <f t="shared" si="13"/>
        <v>4789</v>
      </c>
      <c r="M322" t="s">
        <v>49</v>
      </c>
      <c r="N322" t="s">
        <v>67</v>
      </c>
      <c r="O322" t="s">
        <v>347</v>
      </c>
      <c r="P322">
        <v>0</v>
      </c>
      <c r="Q322" t="s">
        <v>69</v>
      </c>
      <c r="R322" t="s">
        <v>51</v>
      </c>
      <c r="S322">
        <v>1865</v>
      </c>
      <c r="T322">
        <v>1913</v>
      </c>
      <c r="Z322">
        <v>0</v>
      </c>
      <c r="AA322">
        <v>3</v>
      </c>
      <c r="AB322">
        <v>-999</v>
      </c>
      <c r="AC322">
        <v>3</v>
      </c>
      <c r="AF322">
        <v>1911</v>
      </c>
      <c r="AG322">
        <v>1913</v>
      </c>
      <c r="AO322" t="b">
        <v>0</v>
      </c>
      <c r="AT322">
        <v>711</v>
      </c>
      <c r="AU322">
        <f t="shared" si="14"/>
        <v>1.948</v>
      </c>
    </row>
    <row r="323" spans="1:47" x14ac:dyDescent="0.3">
      <c r="A323">
        <v>321</v>
      </c>
      <c r="B323" t="s">
        <v>1488</v>
      </c>
      <c r="C323" t="s">
        <v>1489</v>
      </c>
      <c r="D323">
        <v>92</v>
      </c>
      <c r="E323" t="s">
        <v>1449</v>
      </c>
      <c r="F323" t="str">
        <f>VLOOKUP(E323,country_continent!A:C,2,FALSE)</f>
        <v>El Salvador</v>
      </c>
      <c r="G323" t="str">
        <f>VLOOKUP(E323,country_continent!A:C,3,FALSE)</f>
        <v>North America</v>
      </c>
      <c r="H323" t="s">
        <v>1490</v>
      </c>
      <c r="I323" s="1">
        <v>4791</v>
      </c>
      <c r="J323" s="3">
        <f t="shared" ref="J323:J386" si="15">IF(ISNUMBER(SEARCH("-", I323)), SUBSTITUTE(I323, "-", "/"), I323)</f>
        <v>4791</v>
      </c>
      <c r="K323" s="1">
        <v>5341</v>
      </c>
      <c r="L323" s="3">
        <f t="shared" ref="L323:L386" si="16">IF(ISNUMBER(SEARCH("-", K323)), SUBSTITUTE(K323, "-", "/"), K323)</f>
        <v>5341</v>
      </c>
      <c r="M323" t="s">
        <v>49</v>
      </c>
      <c r="N323" t="s">
        <v>49</v>
      </c>
      <c r="O323" t="s">
        <v>49</v>
      </c>
      <c r="P323">
        <v>0</v>
      </c>
      <c r="Q323" t="s">
        <v>50</v>
      </c>
      <c r="R323" t="s">
        <v>51</v>
      </c>
      <c r="S323">
        <v>1861</v>
      </c>
      <c r="T323">
        <v>1919</v>
      </c>
      <c r="U323" t="s">
        <v>1491</v>
      </c>
      <c r="V323" t="s">
        <v>1492</v>
      </c>
      <c r="W323" s="1">
        <v>7222</v>
      </c>
      <c r="X323" s="2">
        <v>7222</v>
      </c>
      <c r="Z323">
        <v>0</v>
      </c>
      <c r="AA323">
        <v>1</v>
      </c>
      <c r="AB323">
        <v>0</v>
      </c>
      <c r="AC323">
        <v>0</v>
      </c>
      <c r="AD323" t="s">
        <v>1493</v>
      </c>
      <c r="AE323">
        <v>0</v>
      </c>
      <c r="AF323">
        <v>1913</v>
      </c>
      <c r="AG323">
        <v>1914</v>
      </c>
      <c r="AO323" t="b">
        <v>0</v>
      </c>
      <c r="AT323">
        <v>550</v>
      </c>
      <c r="AU323">
        <f t="shared" ref="AU323:AU386" si="17">ROUND(AT323/365,3)</f>
        <v>1.5069999999999999</v>
      </c>
    </row>
    <row r="324" spans="1:47" x14ac:dyDescent="0.3">
      <c r="A324">
        <v>322</v>
      </c>
      <c r="B324" t="s">
        <v>1494</v>
      </c>
      <c r="C324" t="s">
        <v>1495</v>
      </c>
      <c r="D324">
        <v>92</v>
      </c>
      <c r="E324" t="s">
        <v>1449</v>
      </c>
      <c r="F324" t="str">
        <f>VLOOKUP(E324,country_continent!A:C,2,FALSE)</f>
        <v>El Salvador</v>
      </c>
      <c r="G324" t="str">
        <f>VLOOKUP(E324,country_continent!A:C,3,FALSE)</f>
        <v>North America</v>
      </c>
      <c r="H324" t="s">
        <v>1496</v>
      </c>
      <c r="I324" s="1">
        <v>5355</v>
      </c>
      <c r="J324" s="3">
        <f t="shared" si="15"/>
        <v>5355</v>
      </c>
      <c r="K324" s="1">
        <v>5538</v>
      </c>
      <c r="L324" s="3">
        <f t="shared" si="16"/>
        <v>5538</v>
      </c>
      <c r="M324" t="s">
        <v>49</v>
      </c>
      <c r="N324" t="s">
        <v>49</v>
      </c>
      <c r="O324" t="s">
        <v>49</v>
      </c>
      <c r="P324">
        <v>0</v>
      </c>
      <c r="Q324" t="s">
        <v>50</v>
      </c>
      <c r="R324" t="s">
        <v>51</v>
      </c>
      <c r="S324">
        <v>1873</v>
      </c>
      <c r="T324">
        <v>1950</v>
      </c>
      <c r="Z324">
        <v>0</v>
      </c>
      <c r="AA324">
        <v>1</v>
      </c>
      <c r="AB324">
        <v>0</v>
      </c>
      <c r="AC324">
        <v>0</v>
      </c>
      <c r="AD324" t="s">
        <v>1497</v>
      </c>
      <c r="AE324">
        <v>1</v>
      </c>
      <c r="AF324">
        <v>1914</v>
      </c>
      <c r="AG324">
        <v>1915</v>
      </c>
      <c r="AO324" t="b">
        <v>0</v>
      </c>
      <c r="AT324">
        <v>183</v>
      </c>
      <c r="AU324">
        <f t="shared" si="17"/>
        <v>0.501</v>
      </c>
    </row>
    <row r="325" spans="1:47" x14ac:dyDescent="0.3">
      <c r="A325">
        <v>323</v>
      </c>
      <c r="B325" t="s">
        <v>1498</v>
      </c>
      <c r="C325" t="s">
        <v>1489</v>
      </c>
      <c r="D325">
        <v>92</v>
      </c>
      <c r="E325" t="s">
        <v>1449</v>
      </c>
      <c r="F325" t="str">
        <f>VLOOKUP(E325,country_continent!A:C,2,FALSE)</f>
        <v>El Salvador</v>
      </c>
      <c r="G325" t="str">
        <f>VLOOKUP(E325,country_continent!A:C,3,FALSE)</f>
        <v>North America</v>
      </c>
      <c r="H325" t="s">
        <v>1490</v>
      </c>
      <c r="I325" s="1">
        <v>5539</v>
      </c>
      <c r="J325" s="3">
        <f t="shared" si="15"/>
        <v>5539</v>
      </c>
      <c r="K325" s="1">
        <v>6930</v>
      </c>
      <c r="L325" s="3">
        <f t="shared" si="16"/>
        <v>6930</v>
      </c>
      <c r="M325" t="s">
        <v>49</v>
      </c>
      <c r="N325" t="s">
        <v>228</v>
      </c>
      <c r="O325" t="s">
        <v>49</v>
      </c>
      <c r="P325">
        <v>1</v>
      </c>
      <c r="Q325" t="s">
        <v>50</v>
      </c>
      <c r="R325" t="s">
        <v>51</v>
      </c>
      <c r="S325">
        <v>1861</v>
      </c>
      <c r="T325">
        <v>1919</v>
      </c>
      <c r="U325" t="s">
        <v>1491</v>
      </c>
      <c r="V325" t="s">
        <v>1492</v>
      </c>
      <c r="W325" s="1">
        <v>7222</v>
      </c>
      <c r="X325" s="2">
        <v>7222</v>
      </c>
      <c r="Z325">
        <v>0</v>
      </c>
      <c r="AA325">
        <v>2.0999998999999998</v>
      </c>
      <c r="AB325">
        <v>0</v>
      </c>
      <c r="AC325">
        <v>0</v>
      </c>
      <c r="AD325" t="s">
        <v>1493</v>
      </c>
      <c r="AE325">
        <v>1</v>
      </c>
      <c r="AF325">
        <v>1915</v>
      </c>
      <c r="AG325">
        <v>1918</v>
      </c>
      <c r="AO325" t="b">
        <v>0</v>
      </c>
      <c r="AT325">
        <v>1391</v>
      </c>
      <c r="AU325">
        <f t="shared" si="17"/>
        <v>3.8109999999999999</v>
      </c>
    </row>
    <row r="326" spans="1:47" x14ac:dyDescent="0.3">
      <c r="A326">
        <v>324</v>
      </c>
      <c r="B326" t="s">
        <v>1499</v>
      </c>
      <c r="C326" t="s">
        <v>1495</v>
      </c>
      <c r="D326">
        <v>92</v>
      </c>
      <c r="E326" t="s">
        <v>1449</v>
      </c>
      <c r="F326" t="str">
        <f>VLOOKUP(E326,country_continent!A:C,2,FALSE)</f>
        <v>El Salvador</v>
      </c>
      <c r="G326" t="str">
        <f>VLOOKUP(E326,country_continent!A:C,3,FALSE)</f>
        <v>North America</v>
      </c>
      <c r="H326" t="s">
        <v>1496</v>
      </c>
      <c r="I326" s="1">
        <v>6930</v>
      </c>
      <c r="J326" s="3">
        <f t="shared" si="15"/>
        <v>6930</v>
      </c>
      <c r="K326" s="1">
        <v>6999</v>
      </c>
      <c r="L326" s="3">
        <f t="shared" si="16"/>
        <v>6999</v>
      </c>
      <c r="M326" t="s">
        <v>49</v>
      </c>
      <c r="N326" t="s">
        <v>49</v>
      </c>
      <c r="O326" t="s">
        <v>49</v>
      </c>
      <c r="P326">
        <v>1</v>
      </c>
      <c r="Q326" t="s">
        <v>50</v>
      </c>
      <c r="R326" t="s">
        <v>51</v>
      </c>
      <c r="S326">
        <v>1873</v>
      </c>
      <c r="T326">
        <v>1950</v>
      </c>
      <c r="Z326">
        <v>0</v>
      </c>
      <c r="AA326">
        <v>1</v>
      </c>
      <c r="AB326">
        <v>0</v>
      </c>
      <c r="AC326">
        <v>0</v>
      </c>
      <c r="AD326" t="s">
        <v>1497</v>
      </c>
      <c r="AE326">
        <v>1</v>
      </c>
      <c r="AF326">
        <v>1918</v>
      </c>
      <c r="AG326">
        <v>1919</v>
      </c>
      <c r="AO326" t="b">
        <v>0</v>
      </c>
      <c r="AT326">
        <v>69</v>
      </c>
      <c r="AU326">
        <f t="shared" si="17"/>
        <v>0.189</v>
      </c>
    </row>
    <row r="327" spans="1:47" x14ac:dyDescent="0.3">
      <c r="A327">
        <v>325</v>
      </c>
      <c r="B327" t="s">
        <v>1500</v>
      </c>
      <c r="C327" t="s">
        <v>1501</v>
      </c>
      <c r="D327">
        <v>92</v>
      </c>
      <c r="E327" t="s">
        <v>1449</v>
      </c>
      <c r="F327" t="str">
        <f>VLOOKUP(E327,country_continent!A:C,2,FALSE)</f>
        <v>El Salvador</v>
      </c>
      <c r="G327" t="str">
        <f>VLOOKUP(E327,country_continent!A:C,3,FALSE)</f>
        <v>North America</v>
      </c>
      <c r="H327" t="s">
        <v>1502</v>
      </c>
      <c r="I327" s="1">
        <v>7000</v>
      </c>
      <c r="J327" s="3">
        <f t="shared" si="15"/>
        <v>7000</v>
      </c>
      <c r="K327" s="1">
        <v>8460</v>
      </c>
      <c r="L327" s="3">
        <f t="shared" si="16"/>
        <v>8460</v>
      </c>
      <c r="M327" t="s">
        <v>49</v>
      </c>
      <c r="N327" t="s">
        <v>49</v>
      </c>
      <c r="O327" t="s">
        <v>49</v>
      </c>
      <c r="P327">
        <v>0</v>
      </c>
      <c r="Q327" t="s">
        <v>50</v>
      </c>
      <c r="R327" t="s">
        <v>51</v>
      </c>
      <c r="S327">
        <v>1871</v>
      </c>
      <c r="T327">
        <v>1953</v>
      </c>
      <c r="U327" t="s">
        <v>1450</v>
      </c>
      <c r="V327" t="s">
        <v>1451</v>
      </c>
      <c r="Z327">
        <v>0</v>
      </c>
      <c r="AA327">
        <v>1</v>
      </c>
      <c r="AB327">
        <v>0</v>
      </c>
      <c r="AC327">
        <v>0</v>
      </c>
      <c r="AF327">
        <v>1919</v>
      </c>
      <c r="AG327">
        <v>1923</v>
      </c>
      <c r="AO327" t="b">
        <v>0</v>
      </c>
      <c r="AT327">
        <v>1460</v>
      </c>
      <c r="AU327">
        <f t="shared" si="17"/>
        <v>4</v>
      </c>
    </row>
    <row r="328" spans="1:47" x14ac:dyDescent="0.3">
      <c r="A328">
        <v>326</v>
      </c>
      <c r="B328" t="s">
        <v>1503</v>
      </c>
      <c r="C328" t="s">
        <v>1495</v>
      </c>
      <c r="D328">
        <v>92</v>
      </c>
      <c r="E328" t="s">
        <v>1449</v>
      </c>
      <c r="F328" t="str">
        <f>VLOOKUP(E328,country_continent!A:C,2,FALSE)</f>
        <v>El Salvador</v>
      </c>
      <c r="G328" t="str">
        <f>VLOOKUP(E328,country_continent!A:C,3,FALSE)</f>
        <v>North America</v>
      </c>
      <c r="H328" t="s">
        <v>1496</v>
      </c>
      <c r="I328" s="1">
        <v>8461</v>
      </c>
      <c r="J328" s="3">
        <f t="shared" si="15"/>
        <v>8461</v>
      </c>
      <c r="K328" s="1">
        <v>9921</v>
      </c>
      <c r="L328" s="3">
        <f t="shared" si="16"/>
        <v>9921</v>
      </c>
      <c r="M328" t="s">
        <v>49</v>
      </c>
      <c r="N328" t="s">
        <v>49</v>
      </c>
      <c r="O328" t="s">
        <v>49</v>
      </c>
      <c r="P328">
        <v>2</v>
      </c>
      <c r="Q328" t="s">
        <v>362</v>
      </c>
      <c r="R328" t="s">
        <v>51</v>
      </c>
      <c r="S328">
        <v>1873</v>
      </c>
      <c r="T328">
        <v>1950</v>
      </c>
      <c r="Z328">
        <v>0</v>
      </c>
      <c r="AA328">
        <v>1</v>
      </c>
      <c r="AB328">
        <v>0</v>
      </c>
      <c r="AC328">
        <v>1</v>
      </c>
      <c r="AD328" t="s">
        <v>1497</v>
      </c>
      <c r="AE328">
        <v>1</v>
      </c>
      <c r="AF328">
        <v>1923</v>
      </c>
      <c r="AG328">
        <v>1927</v>
      </c>
      <c r="AO328" t="b">
        <v>0</v>
      </c>
      <c r="AT328">
        <v>1460</v>
      </c>
      <c r="AU328">
        <f t="shared" si="17"/>
        <v>4</v>
      </c>
    </row>
    <row r="329" spans="1:47" x14ac:dyDescent="0.3">
      <c r="A329">
        <v>327</v>
      </c>
      <c r="B329" t="s">
        <v>1504</v>
      </c>
      <c r="C329" t="s">
        <v>1505</v>
      </c>
      <c r="D329">
        <v>92</v>
      </c>
      <c r="E329" t="s">
        <v>1449</v>
      </c>
      <c r="F329" t="str">
        <f>VLOOKUP(E329,country_continent!A:C,2,FALSE)</f>
        <v>El Salvador</v>
      </c>
      <c r="G329" t="str">
        <f>VLOOKUP(E329,country_continent!A:C,3,FALSE)</f>
        <v>North America</v>
      </c>
      <c r="H329" t="s">
        <v>1506</v>
      </c>
      <c r="I329" s="1">
        <v>9922</v>
      </c>
      <c r="J329" s="3">
        <f t="shared" si="15"/>
        <v>9922</v>
      </c>
      <c r="K329" s="1">
        <v>11382</v>
      </c>
      <c r="L329" s="3">
        <f t="shared" si="16"/>
        <v>11382</v>
      </c>
      <c r="M329" t="s">
        <v>49</v>
      </c>
      <c r="N329" t="s">
        <v>49</v>
      </c>
      <c r="O329" t="s">
        <v>49</v>
      </c>
      <c r="P329">
        <v>0</v>
      </c>
      <c r="Q329" t="s">
        <v>362</v>
      </c>
      <c r="R329" t="s">
        <v>51</v>
      </c>
      <c r="S329">
        <v>1860</v>
      </c>
      <c r="T329">
        <v>1935</v>
      </c>
      <c r="Z329">
        <v>0</v>
      </c>
      <c r="AA329">
        <v>1</v>
      </c>
      <c r="AB329">
        <v>0</v>
      </c>
      <c r="AC329">
        <v>1</v>
      </c>
      <c r="AF329">
        <v>1927</v>
      </c>
      <c r="AG329">
        <v>1931</v>
      </c>
      <c r="AO329" t="b">
        <v>0</v>
      </c>
      <c r="AT329">
        <v>1460</v>
      </c>
      <c r="AU329">
        <f t="shared" si="17"/>
        <v>4</v>
      </c>
    </row>
    <row r="330" spans="1:47" x14ac:dyDescent="0.3">
      <c r="A330">
        <v>328</v>
      </c>
      <c r="B330" t="s">
        <v>1507</v>
      </c>
      <c r="C330" t="s">
        <v>1508</v>
      </c>
      <c r="D330">
        <v>92</v>
      </c>
      <c r="E330" t="s">
        <v>1449</v>
      </c>
      <c r="F330" t="str">
        <f>VLOOKUP(E330,country_continent!A:C,2,FALSE)</f>
        <v>El Salvador</v>
      </c>
      <c r="G330" t="str">
        <f>VLOOKUP(E330,country_continent!A:C,3,FALSE)</f>
        <v>North America</v>
      </c>
      <c r="H330" t="s">
        <v>1509</v>
      </c>
      <c r="I330" s="1">
        <v>11383</v>
      </c>
      <c r="J330" s="3">
        <f t="shared" si="15"/>
        <v>11383</v>
      </c>
      <c r="K330" s="1">
        <v>11659</v>
      </c>
      <c r="L330" s="3">
        <f t="shared" si="16"/>
        <v>11659</v>
      </c>
      <c r="M330" t="s">
        <v>49</v>
      </c>
      <c r="N330" t="s">
        <v>67</v>
      </c>
      <c r="O330" t="s">
        <v>376</v>
      </c>
      <c r="P330">
        <v>0</v>
      </c>
      <c r="Q330" t="s">
        <v>362</v>
      </c>
      <c r="R330" t="s">
        <v>51</v>
      </c>
      <c r="S330">
        <v>1878</v>
      </c>
      <c r="T330">
        <v>1967</v>
      </c>
      <c r="Z330">
        <v>0</v>
      </c>
      <c r="AA330">
        <v>3</v>
      </c>
      <c r="AB330">
        <v>6</v>
      </c>
      <c r="AC330">
        <v>1</v>
      </c>
      <c r="AF330">
        <v>1931</v>
      </c>
      <c r="AG330">
        <v>1931</v>
      </c>
      <c r="AO330" t="b">
        <v>0</v>
      </c>
      <c r="AT330">
        <v>276</v>
      </c>
      <c r="AU330">
        <f t="shared" si="17"/>
        <v>0.75600000000000001</v>
      </c>
    </row>
    <row r="331" spans="1:47" x14ac:dyDescent="0.3">
      <c r="A331">
        <v>329</v>
      </c>
      <c r="B331" t="s">
        <v>1510</v>
      </c>
      <c r="C331" t="s">
        <v>1511</v>
      </c>
      <c r="D331">
        <v>92</v>
      </c>
      <c r="E331" t="s">
        <v>1449</v>
      </c>
      <c r="F331" t="str">
        <f>VLOOKUP(E331,country_continent!A:C,2,FALSE)</f>
        <v>El Salvador</v>
      </c>
      <c r="G331" t="str">
        <f>VLOOKUP(E331,country_continent!A:C,3,FALSE)</f>
        <v>North America</v>
      </c>
      <c r="H331" t="s">
        <v>1512</v>
      </c>
      <c r="I331" s="1">
        <v>11661</v>
      </c>
      <c r="J331" s="3">
        <f t="shared" si="15"/>
        <v>11661</v>
      </c>
      <c r="K331" s="1">
        <v>12660</v>
      </c>
      <c r="L331" s="3">
        <f t="shared" si="16"/>
        <v>12660</v>
      </c>
      <c r="M331" t="s">
        <v>49</v>
      </c>
      <c r="N331" t="s">
        <v>49</v>
      </c>
      <c r="O331" t="s">
        <v>49</v>
      </c>
      <c r="P331">
        <v>0</v>
      </c>
      <c r="Q331" t="s">
        <v>50</v>
      </c>
      <c r="R331" t="s">
        <v>51</v>
      </c>
      <c r="S331">
        <v>1882</v>
      </c>
      <c r="T331">
        <v>1966</v>
      </c>
      <c r="U331" t="s">
        <v>1513</v>
      </c>
      <c r="V331" t="s">
        <v>1514</v>
      </c>
      <c r="W331" s="1">
        <v>24208</v>
      </c>
      <c r="X331" s="2">
        <v>24208</v>
      </c>
      <c r="Z331">
        <v>0</v>
      </c>
      <c r="AA331">
        <v>1</v>
      </c>
      <c r="AB331">
        <v>0</v>
      </c>
      <c r="AC331">
        <v>0</v>
      </c>
      <c r="AF331">
        <v>1931</v>
      </c>
      <c r="AG331">
        <v>1934</v>
      </c>
      <c r="AO331" t="b">
        <v>0</v>
      </c>
      <c r="AT331">
        <v>999</v>
      </c>
      <c r="AU331">
        <f t="shared" si="17"/>
        <v>2.7370000000000001</v>
      </c>
    </row>
    <row r="332" spans="1:47" x14ac:dyDescent="0.3">
      <c r="A332">
        <v>330</v>
      </c>
      <c r="B332" t="s">
        <v>1515</v>
      </c>
      <c r="C332" t="s">
        <v>1516</v>
      </c>
      <c r="D332">
        <v>92</v>
      </c>
      <c r="E332" t="s">
        <v>1449</v>
      </c>
      <c r="F332" t="str">
        <f>VLOOKUP(E332,country_continent!A:C,2,FALSE)</f>
        <v>El Salvador</v>
      </c>
      <c r="G332" t="str">
        <f>VLOOKUP(E332,country_continent!A:C,3,FALSE)</f>
        <v>North America</v>
      </c>
      <c r="H332" t="s">
        <v>1517</v>
      </c>
      <c r="I332" s="1">
        <v>12660</v>
      </c>
      <c r="J332" s="3">
        <f t="shared" si="15"/>
        <v>12660</v>
      </c>
      <c r="K332" s="1">
        <v>12843</v>
      </c>
      <c r="L332" s="3">
        <f t="shared" si="16"/>
        <v>12843</v>
      </c>
      <c r="M332" t="s">
        <v>49</v>
      </c>
      <c r="N332" t="s">
        <v>49</v>
      </c>
      <c r="O332" t="s">
        <v>49</v>
      </c>
      <c r="P332">
        <v>0</v>
      </c>
      <c r="Q332" t="s">
        <v>50</v>
      </c>
      <c r="R332" t="s">
        <v>51</v>
      </c>
      <c r="S332">
        <v>1879</v>
      </c>
      <c r="T332">
        <v>1962</v>
      </c>
      <c r="Z332">
        <v>0</v>
      </c>
      <c r="AA332">
        <v>1</v>
      </c>
      <c r="AB332">
        <v>0</v>
      </c>
      <c r="AC332">
        <v>0</v>
      </c>
      <c r="AF332">
        <v>1934</v>
      </c>
      <c r="AG332">
        <v>1935</v>
      </c>
      <c r="AO332" t="b">
        <v>0</v>
      </c>
      <c r="AT332">
        <v>183</v>
      </c>
      <c r="AU332">
        <f t="shared" si="17"/>
        <v>0.501</v>
      </c>
    </row>
    <row r="333" spans="1:47" x14ac:dyDescent="0.3">
      <c r="A333">
        <v>331</v>
      </c>
      <c r="B333" t="s">
        <v>1518</v>
      </c>
      <c r="C333" t="s">
        <v>1511</v>
      </c>
      <c r="D333">
        <v>92</v>
      </c>
      <c r="E333" t="s">
        <v>1449</v>
      </c>
      <c r="F333" t="str">
        <f>VLOOKUP(E333,country_continent!A:C,2,FALSE)</f>
        <v>El Salvador</v>
      </c>
      <c r="G333" t="str">
        <f>VLOOKUP(E333,country_continent!A:C,3,FALSE)</f>
        <v>North America</v>
      </c>
      <c r="H333" t="s">
        <v>1512</v>
      </c>
      <c r="I333" s="1">
        <v>12843</v>
      </c>
      <c r="J333" s="3">
        <f t="shared" si="15"/>
        <v>12843</v>
      </c>
      <c r="K333" s="1">
        <v>16201</v>
      </c>
      <c r="L333" s="3">
        <f t="shared" si="16"/>
        <v>16201</v>
      </c>
      <c r="M333" t="s">
        <v>49</v>
      </c>
      <c r="N333" t="s">
        <v>67</v>
      </c>
      <c r="O333" t="s">
        <v>613</v>
      </c>
      <c r="P333">
        <v>1</v>
      </c>
      <c r="Q333" t="s">
        <v>362</v>
      </c>
      <c r="R333" t="s">
        <v>51</v>
      </c>
      <c r="S333">
        <v>1882</v>
      </c>
      <c r="T333">
        <v>1966</v>
      </c>
      <c r="U333" t="s">
        <v>1513</v>
      </c>
      <c r="V333" t="s">
        <v>1514</v>
      </c>
      <c r="W333" s="1">
        <v>24208</v>
      </c>
      <c r="X333" s="2">
        <v>24208</v>
      </c>
      <c r="Z333">
        <v>0</v>
      </c>
      <c r="AA333">
        <v>3</v>
      </c>
      <c r="AB333">
        <v>2</v>
      </c>
      <c r="AC333">
        <v>1</v>
      </c>
      <c r="AF333">
        <v>1935</v>
      </c>
      <c r="AG333">
        <v>1944</v>
      </c>
      <c r="AO333" t="b">
        <v>0</v>
      </c>
      <c r="AT333">
        <v>3358</v>
      </c>
      <c r="AU333">
        <f t="shared" si="17"/>
        <v>9.1999999999999993</v>
      </c>
    </row>
    <row r="334" spans="1:47" x14ac:dyDescent="0.3">
      <c r="A334">
        <v>332</v>
      </c>
      <c r="B334" t="s">
        <v>1519</v>
      </c>
      <c r="C334" t="s">
        <v>1516</v>
      </c>
      <c r="D334">
        <v>92</v>
      </c>
      <c r="E334" t="s">
        <v>1449</v>
      </c>
      <c r="F334" t="str">
        <f>VLOOKUP(E334,country_continent!A:C,2,FALSE)</f>
        <v>El Salvador</v>
      </c>
      <c r="G334" t="str">
        <f>VLOOKUP(E334,country_continent!A:C,3,FALSE)</f>
        <v>North America</v>
      </c>
      <c r="H334" t="s">
        <v>1517</v>
      </c>
      <c r="I334" s="1">
        <v>16201</v>
      </c>
      <c r="J334" s="3">
        <f t="shared" si="15"/>
        <v>16201</v>
      </c>
      <c r="K334" s="1">
        <v>16366</v>
      </c>
      <c r="L334" s="3">
        <f t="shared" si="16"/>
        <v>16366</v>
      </c>
      <c r="M334" t="s">
        <v>67</v>
      </c>
      <c r="N334" t="s">
        <v>67</v>
      </c>
      <c r="O334" t="s">
        <v>376</v>
      </c>
      <c r="P334">
        <v>1</v>
      </c>
      <c r="Q334" t="s">
        <v>362</v>
      </c>
      <c r="R334" t="s">
        <v>51</v>
      </c>
      <c r="S334">
        <v>1879</v>
      </c>
      <c r="T334">
        <v>1962</v>
      </c>
      <c r="Z334">
        <v>1</v>
      </c>
      <c r="AA334">
        <v>3</v>
      </c>
      <c r="AB334">
        <v>6</v>
      </c>
      <c r="AC334">
        <v>1</v>
      </c>
      <c r="AF334">
        <v>1944</v>
      </c>
      <c r="AG334">
        <v>1944</v>
      </c>
      <c r="AO334" t="b">
        <v>0</v>
      </c>
      <c r="AT334">
        <v>165</v>
      </c>
      <c r="AU334">
        <f t="shared" si="17"/>
        <v>0.45200000000000001</v>
      </c>
    </row>
    <row r="335" spans="1:47" x14ac:dyDescent="0.3">
      <c r="A335">
        <v>333</v>
      </c>
      <c r="B335" t="s">
        <v>1520</v>
      </c>
      <c r="C335" t="s">
        <v>1521</v>
      </c>
      <c r="D335">
        <v>92</v>
      </c>
      <c r="E335" t="s">
        <v>1449</v>
      </c>
      <c r="F335" t="str">
        <f>VLOOKUP(E335,country_continent!A:C,2,FALSE)</f>
        <v>El Salvador</v>
      </c>
      <c r="G335" t="str">
        <f>VLOOKUP(E335,country_continent!A:C,3,FALSE)</f>
        <v>North America</v>
      </c>
      <c r="H335" t="s">
        <v>1522</v>
      </c>
      <c r="I335" s="1">
        <v>16366</v>
      </c>
      <c r="J335" s="3">
        <f t="shared" si="15"/>
        <v>16366</v>
      </c>
      <c r="K335" s="1">
        <v>16496</v>
      </c>
      <c r="L335" s="3">
        <f t="shared" si="16"/>
        <v>16496</v>
      </c>
      <c r="M335" t="s">
        <v>67</v>
      </c>
      <c r="N335" t="s">
        <v>49</v>
      </c>
      <c r="O335" t="s">
        <v>49</v>
      </c>
      <c r="P335">
        <v>0</v>
      </c>
      <c r="Q335" t="s">
        <v>362</v>
      </c>
      <c r="R335" t="s">
        <v>51</v>
      </c>
      <c r="S335">
        <v>1889</v>
      </c>
      <c r="T335">
        <v>1977</v>
      </c>
      <c r="Z335">
        <v>1</v>
      </c>
      <c r="AA335">
        <v>1</v>
      </c>
      <c r="AB335">
        <v>0</v>
      </c>
      <c r="AC335">
        <v>1</v>
      </c>
      <c r="AF335">
        <v>1944</v>
      </c>
      <c r="AG335">
        <v>1945</v>
      </c>
      <c r="AO335" t="b">
        <v>0</v>
      </c>
      <c r="AT335">
        <v>130</v>
      </c>
      <c r="AU335">
        <f t="shared" si="17"/>
        <v>0.35599999999999998</v>
      </c>
    </row>
    <row r="336" spans="1:47" x14ac:dyDescent="0.3">
      <c r="A336">
        <v>334</v>
      </c>
      <c r="B336" t="s">
        <v>1523</v>
      </c>
      <c r="C336" t="s">
        <v>1524</v>
      </c>
      <c r="D336">
        <v>92</v>
      </c>
      <c r="E336" t="s">
        <v>1449</v>
      </c>
      <c r="F336" t="str">
        <f>VLOOKUP(E336,country_continent!A:C,2,FALSE)</f>
        <v>El Salvador</v>
      </c>
      <c r="G336" t="str">
        <f>VLOOKUP(E336,country_continent!A:C,3,FALSE)</f>
        <v>North America</v>
      </c>
      <c r="H336" t="s">
        <v>1525</v>
      </c>
      <c r="I336" s="1">
        <v>16496</v>
      </c>
      <c r="J336" s="3">
        <f t="shared" si="15"/>
        <v>16496</v>
      </c>
      <c r="K336" s="1">
        <v>17881</v>
      </c>
      <c r="L336" s="3">
        <f t="shared" si="16"/>
        <v>17881</v>
      </c>
      <c r="M336" t="s">
        <v>49</v>
      </c>
      <c r="N336" t="s">
        <v>67</v>
      </c>
      <c r="O336" t="s">
        <v>376</v>
      </c>
      <c r="P336">
        <v>0</v>
      </c>
      <c r="Q336" t="s">
        <v>463</v>
      </c>
      <c r="R336" t="s">
        <v>51</v>
      </c>
      <c r="S336">
        <v>1888</v>
      </c>
      <c r="T336">
        <v>1965</v>
      </c>
      <c r="U336" t="s">
        <v>1526</v>
      </c>
      <c r="V336" t="s">
        <v>1527</v>
      </c>
      <c r="Z336">
        <v>0</v>
      </c>
      <c r="AA336">
        <v>3</v>
      </c>
      <c r="AB336">
        <v>6</v>
      </c>
      <c r="AC336">
        <v>2</v>
      </c>
      <c r="AF336">
        <v>1945</v>
      </c>
      <c r="AG336">
        <v>1948</v>
      </c>
      <c r="AO336" t="b">
        <v>0</v>
      </c>
      <c r="AT336">
        <v>1385</v>
      </c>
      <c r="AU336">
        <f t="shared" si="17"/>
        <v>3.7949999999999999</v>
      </c>
    </row>
    <row r="337" spans="1:47" x14ac:dyDescent="0.3">
      <c r="A337">
        <v>335</v>
      </c>
      <c r="B337" t="s">
        <v>1528</v>
      </c>
      <c r="C337" t="s">
        <v>1529</v>
      </c>
      <c r="D337">
        <v>92</v>
      </c>
      <c r="E337" t="s">
        <v>1449</v>
      </c>
      <c r="F337" t="str">
        <f>VLOOKUP(E337,country_continent!A:C,2,FALSE)</f>
        <v>El Salvador</v>
      </c>
      <c r="G337" t="str">
        <f>VLOOKUP(E337,country_continent!A:C,3,FALSE)</f>
        <v>North America</v>
      </c>
      <c r="H337" t="s">
        <v>1530</v>
      </c>
      <c r="I337" s="1">
        <v>17882</v>
      </c>
      <c r="J337" s="3">
        <f t="shared" si="15"/>
        <v>17882</v>
      </c>
      <c r="K337" s="1">
        <v>17902</v>
      </c>
      <c r="L337" s="3">
        <f t="shared" si="16"/>
        <v>17902</v>
      </c>
      <c r="M337" t="s">
        <v>67</v>
      </c>
      <c r="N337" t="s">
        <v>49</v>
      </c>
      <c r="O337" t="s">
        <v>49</v>
      </c>
      <c r="P337">
        <v>0</v>
      </c>
      <c r="Q337" t="s">
        <v>362</v>
      </c>
      <c r="R337" t="s">
        <v>51</v>
      </c>
      <c r="S337">
        <v>1894</v>
      </c>
      <c r="T337">
        <v>-999</v>
      </c>
      <c r="Z337">
        <v>1</v>
      </c>
      <c r="AA337">
        <v>1</v>
      </c>
      <c r="AB337">
        <v>0</v>
      </c>
      <c r="AC337">
        <v>1</v>
      </c>
      <c r="AF337">
        <v>1948</v>
      </c>
      <c r="AG337">
        <v>1949</v>
      </c>
      <c r="AO337" t="b">
        <v>0</v>
      </c>
      <c r="AT337">
        <v>20</v>
      </c>
      <c r="AU337">
        <f t="shared" si="17"/>
        <v>5.5E-2</v>
      </c>
    </row>
    <row r="338" spans="1:47" x14ac:dyDescent="0.3">
      <c r="A338">
        <v>336</v>
      </c>
      <c r="B338" t="s">
        <v>1531</v>
      </c>
      <c r="C338" t="s">
        <v>1532</v>
      </c>
      <c r="D338">
        <v>92</v>
      </c>
      <c r="E338" t="s">
        <v>1449</v>
      </c>
      <c r="F338" t="str">
        <f>VLOOKUP(E338,country_continent!A:C,2,FALSE)</f>
        <v>El Salvador</v>
      </c>
      <c r="G338" t="str">
        <f>VLOOKUP(E338,country_continent!A:C,3,FALSE)</f>
        <v>North America</v>
      </c>
      <c r="H338" t="s">
        <v>1533</v>
      </c>
      <c r="I338" s="1">
        <v>17902</v>
      </c>
      <c r="J338" s="3">
        <f t="shared" si="15"/>
        <v>17902</v>
      </c>
      <c r="K338" s="1">
        <v>18193</v>
      </c>
      <c r="L338" s="3">
        <f t="shared" si="16"/>
        <v>18193</v>
      </c>
      <c r="M338" t="s">
        <v>49</v>
      </c>
      <c r="N338" t="s">
        <v>49</v>
      </c>
      <c r="O338" t="s">
        <v>49</v>
      </c>
      <c r="P338">
        <v>0</v>
      </c>
      <c r="Q338" t="s">
        <v>50</v>
      </c>
      <c r="R338" t="s">
        <v>51</v>
      </c>
      <c r="S338">
        <v>1910</v>
      </c>
      <c r="T338">
        <v>1969</v>
      </c>
      <c r="Z338">
        <v>0</v>
      </c>
      <c r="AA338">
        <v>1</v>
      </c>
      <c r="AB338">
        <v>0</v>
      </c>
      <c r="AC338">
        <v>0</v>
      </c>
      <c r="AF338">
        <v>1949</v>
      </c>
      <c r="AG338">
        <v>1949</v>
      </c>
      <c r="AO338" t="b">
        <v>0</v>
      </c>
      <c r="AT338">
        <v>291</v>
      </c>
      <c r="AU338">
        <f t="shared" si="17"/>
        <v>0.79700000000000004</v>
      </c>
    </row>
    <row r="339" spans="1:47" x14ac:dyDescent="0.3">
      <c r="A339">
        <v>337</v>
      </c>
      <c r="B339" t="s">
        <v>1534</v>
      </c>
      <c r="C339" t="s">
        <v>1535</v>
      </c>
      <c r="D339">
        <v>92</v>
      </c>
      <c r="E339" t="s">
        <v>1449</v>
      </c>
      <c r="F339" t="str">
        <f>VLOOKUP(E339,country_continent!A:C,2,FALSE)</f>
        <v>El Salvador</v>
      </c>
      <c r="G339" t="str">
        <f>VLOOKUP(E339,country_continent!A:C,3,FALSE)</f>
        <v>North America</v>
      </c>
      <c r="H339" t="s">
        <v>1536</v>
      </c>
      <c r="I339" s="1">
        <v>18193</v>
      </c>
      <c r="J339" s="3">
        <f t="shared" si="15"/>
        <v>18193</v>
      </c>
      <c r="K339" s="1">
        <v>18520</v>
      </c>
      <c r="L339" s="3">
        <f t="shared" si="16"/>
        <v>18520</v>
      </c>
      <c r="M339" t="s">
        <v>49</v>
      </c>
      <c r="N339" t="s">
        <v>49</v>
      </c>
      <c r="O339" t="s">
        <v>49</v>
      </c>
      <c r="P339">
        <v>0</v>
      </c>
      <c r="Q339" t="s">
        <v>362</v>
      </c>
      <c r="R339" t="s">
        <v>51</v>
      </c>
      <c r="S339">
        <v>1912</v>
      </c>
      <c r="T339">
        <v>-777</v>
      </c>
      <c r="Z339">
        <v>0</v>
      </c>
      <c r="AA339">
        <v>1</v>
      </c>
      <c r="AB339">
        <v>0</v>
      </c>
      <c r="AC339">
        <v>1</v>
      </c>
      <c r="AF339">
        <v>1949</v>
      </c>
      <c r="AG339">
        <v>1950</v>
      </c>
      <c r="AO339" t="b">
        <v>0</v>
      </c>
      <c r="AT339">
        <v>327</v>
      </c>
      <c r="AU339">
        <f t="shared" si="17"/>
        <v>0.89600000000000002</v>
      </c>
    </row>
    <row r="340" spans="1:47" x14ac:dyDescent="0.3">
      <c r="A340">
        <v>338</v>
      </c>
      <c r="B340" t="s">
        <v>1537</v>
      </c>
      <c r="C340" t="s">
        <v>1532</v>
      </c>
      <c r="D340">
        <v>92</v>
      </c>
      <c r="E340" t="s">
        <v>1449</v>
      </c>
      <c r="F340" t="str">
        <f>VLOOKUP(E340,country_continent!A:C,2,FALSE)</f>
        <v>El Salvador</v>
      </c>
      <c r="G340" t="str">
        <f>VLOOKUP(E340,country_continent!A:C,3,FALSE)</f>
        <v>North America</v>
      </c>
      <c r="H340" t="s">
        <v>1533</v>
      </c>
      <c r="I340" s="1">
        <v>18520</v>
      </c>
      <c r="J340" s="3">
        <f t="shared" si="15"/>
        <v>18520</v>
      </c>
      <c r="K340" s="1">
        <v>20712</v>
      </c>
      <c r="L340" s="3">
        <f t="shared" si="16"/>
        <v>20712</v>
      </c>
      <c r="M340" t="s">
        <v>49</v>
      </c>
      <c r="N340" t="s">
        <v>49</v>
      </c>
      <c r="O340" t="s">
        <v>49</v>
      </c>
      <c r="P340">
        <v>1</v>
      </c>
      <c r="Q340" t="s">
        <v>50</v>
      </c>
      <c r="R340" t="s">
        <v>51</v>
      </c>
      <c r="S340">
        <v>1910</v>
      </c>
      <c r="T340">
        <v>1969</v>
      </c>
      <c r="Z340">
        <v>0</v>
      </c>
      <c r="AA340">
        <v>1</v>
      </c>
      <c r="AB340">
        <v>0</v>
      </c>
      <c r="AC340">
        <v>0</v>
      </c>
      <c r="AF340">
        <v>1950</v>
      </c>
      <c r="AG340">
        <v>1956</v>
      </c>
      <c r="AO340" t="b">
        <v>0</v>
      </c>
      <c r="AT340">
        <v>2192</v>
      </c>
      <c r="AU340">
        <f t="shared" si="17"/>
        <v>6.0049999999999999</v>
      </c>
    </row>
    <row r="341" spans="1:47" x14ac:dyDescent="0.3">
      <c r="A341">
        <v>339</v>
      </c>
      <c r="B341" t="s">
        <v>1538</v>
      </c>
      <c r="C341" t="s">
        <v>1539</v>
      </c>
      <c r="D341">
        <v>92</v>
      </c>
      <c r="E341" t="s">
        <v>1449</v>
      </c>
      <c r="F341" t="str">
        <f>VLOOKUP(E341,country_continent!A:C,2,FALSE)</f>
        <v>El Salvador</v>
      </c>
      <c r="G341" t="str">
        <f>VLOOKUP(E341,country_continent!A:C,3,FALSE)</f>
        <v>North America</v>
      </c>
      <c r="H341" t="s">
        <v>1540</v>
      </c>
      <c r="I341" s="1">
        <v>20712</v>
      </c>
      <c r="J341" s="3">
        <f t="shared" si="15"/>
        <v>20712</v>
      </c>
      <c r="K341" s="1">
        <v>22215</v>
      </c>
      <c r="L341" s="3">
        <f t="shared" si="16"/>
        <v>22215</v>
      </c>
      <c r="M341" t="s">
        <v>49</v>
      </c>
      <c r="N341" t="s">
        <v>67</v>
      </c>
      <c r="O341" t="s">
        <v>376</v>
      </c>
      <c r="P341">
        <v>0</v>
      </c>
      <c r="Q341" t="s">
        <v>362</v>
      </c>
      <c r="R341" t="s">
        <v>51</v>
      </c>
      <c r="S341">
        <v>1911</v>
      </c>
      <c r="T341">
        <v>1993</v>
      </c>
      <c r="Z341">
        <v>0</v>
      </c>
      <c r="AA341">
        <v>3</v>
      </c>
      <c r="AB341">
        <v>6</v>
      </c>
      <c r="AC341">
        <v>1</v>
      </c>
      <c r="AF341">
        <v>1956</v>
      </c>
      <c r="AG341">
        <v>1960</v>
      </c>
      <c r="AO341" t="b">
        <v>0</v>
      </c>
      <c r="AT341">
        <v>1503</v>
      </c>
      <c r="AU341">
        <f t="shared" si="17"/>
        <v>4.1180000000000003</v>
      </c>
    </row>
    <row r="342" spans="1:47" x14ac:dyDescent="0.3">
      <c r="A342">
        <v>340</v>
      </c>
      <c r="B342" t="s">
        <v>1541</v>
      </c>
      <c r="C342" t="s">
        <v>1542</v>
      </c>
      <c r="D342">
        <v>92</v>
      </c>
      <c r="E342" t="s">
        <v>1449</v>
      </c>
      <c r="F342" t="str">
        <f>VLOOKUP(E342,country_continent!A:C,2,FALSE)</f>
        <v>El Salvador</v>
      </c>
      <c r="G342" t="str">
        <f>VLOOKUP(E342,country_continent!A:C,3,FALSE)</f>
        <v>North America</v>
      </c>
      <c r="H342" t="s">
        <v>1543</v>
      </c>
      <c r="I342" s="1">
        <v>22215</v>
      </c>
      <c r="J342" s="3">
        <f t="shared" si="15"/>
        <v>22215</v>
      </c>
      <c r="K342" s="1">
        <v>22306</v>
      </c>
      <c r="L342" s="3">
        <f t="shared" si="16"/>
        <v>22306</v>
      </c>
      <c r="M342" t="s">
        <v>67</v>
      </c>
      <c r="N342" t="s">
        <v>67</v>
      </c>
      <c r="O342" t="s">
        <v>376</v>
      </c>
      <c r="P342">
        <v>0</v>
      </c>
      <c r="Q342" t="s">
        <v>362</v>
      </c>
      <c r="R342" t="s">
        <v>51</v>
      </c>
      <c r="S342">
        <v>1915</v>
      </c>
      <c r="T342">
        <v>-999</v>
      </c>
      <c r="Z342">
        <v>1</v>
      </c>
      <c r="AA342">
        <v>3</v>
      </c>
      <c r="AB342">
        <v>6</v>
      </c>
      <c r="AC342">
        <v>1</v>
      </c>
      <c r="AF342">
        <v>1960</v>
      </c>
      <c r="AG342">
        <v>1961</v>
      </c>
      <c r="AO342" t="b">
        <v>0</v>
      </c>
      <c r="AT342">
        <v>91</v>
      </c>
      <c r="AU342">
        <f t="shared" si="17"/>
        <v>0.249</v>
      </c>
    </row>
    <row r="343" spans="1:47" x14ac:dyDescent="0.3">
      <c r="A343">
        <v>341</v>
      </c>
      <c r="B343" t="s">
        <v>1544</v>
      </c>
      <c r="C343" t="s">
        <v>1545</v>
      </c>
      <c r="D343">
        <v>92</v>
      </c>
      <c r="E343" t="s">
        <v>1449</v>
      </c>
      <c r="F343" t="str">
        <f>VLOOKUP(E343,country_continent!A:C,2,FALSE)</f>
        <v>El Salvador</v>
      </c>
      <c r="G343" t="str">
        <f>VLOOKUP(E343,country_continent!A:C,3,FALSE)</f>
        <v>North America</v>
      </c>
      <c r="H343" t="s">
        <v>1546</v>
      </c>
      <c r="I343" s="1">
        <v>22306</v>
      </c>
      <c r="J343" s="3">
        <f t="shared" si="15"/>
        <v>22306</v>
      </c>
      <c r="K343" s="1">
        <v>22671</v>
      </c>
      <c r="L343" s="3">
        <f t="shared" si="16"/>
        <v>22671</v>
      </c>
      <c r="M343" t="s">
        <v>67</v>
      </c>
      <c r="N343" t="s">
        <v>49</v>
      </c>
      <c r="O343" t="s">
        <v>49</v>
      </c>
      <c r="P343">
        <v>0</v>
      </c>
      <c r="Q343" t="s">
        <v>50</v>
      </c>
      <c r="R343" t="s">
        <v>51</v>
      </c>
      <c r="S343">
        <v>1914</v>
      </c>
      <c r="T343">
        <v>2010</v>
      </c>
      <c r="U343" s="1">
        <v>5468</v>
      </c>
      <c r="V343" s="2">
        <v>5468</v>
      </c>
      <c r="W343" s="1">
        <v>40224</v>
      </c>
      <c r="X343" s="2">
        <v>40224</v>
      </c>
      <c r="Z343">
        <v>1</v>
      </c>
      <c r="AA343">
        <v>1</v>
      </c>
      <c r="AB343">
        <v>0</v>
      </c>
      <c r="AC343">
        <v>0</v>
      </c>
      <c r="AF343">
        <v>1961</v>
      </c>
      <c r="AG343">
        <v>1962</v>
      </c>
      <c r="AO343" t="b">
        <v>0</v>
      </c>
      <c r="AT343">
        <v>365</v>
      </c>
      <c r="AU343">
        <f t="shared" si="17"/>
        <v>1</v>
      </c>
    </row>
    <row r="344" spans="1:47" x14ac:dyDescent="0.3">
      <c r="A344">
        <v>342</v>
      </c>
      <c r="B344" t="s">
        <v>1547</v>
      </c>
      <c r="C344" t="s">
        <v>1548</v>
      </c>
      <c r="D344">
        <v>92</v>
      </c>
      <c r="E344" t="s">
        <v>1449</v>
      </c>
      <c r="F344" t="str">
        <f>VLOOKUP(E344,country_continent!A:C,2,FALSE)</f>
        <v>El Salvador</v>
      </c>
      <c r="G344" t="str">
        <f>VLOOKUP(E344,country_continent!A:C,3,FALSE)</f>
        <v>North America</v>
      </c>
      <c r="H344" t="s">
        <v>1549</v>
      </c>
      <c r="I344" s="1">
        <v>22671</v>
      </c>
      <c r="J344" s="3">
        <f t="shared" si="15"/>
        <v>22671</v>
      </c>
      <c r="K344" s="1">
        <v>22828</v>
      </c>
      <c r="L344" s="3">
        <f t="shared" si="16"/>
        <v>22828</v>
      </c>
      <c r="M344" t="s">
        <v>49</v>
      </c>
      <c r="N344" t="s">
        <v>49</v>
      </c>
      <c r="O344" t="s">
        <v>49</v>
      </c>
      <c r="P344">
        <v>0</v>
      </c>
      <c r="Q344" t="s">
        <v>50</v>
      </c>
      <c r="R344" t="s">
        <v>51</v>
      </c>
      <c r="S344">
        <v>1899</v>
      </c>
      <c r="T344">
        <v>1966</v>
      </c>
      <c r="Z344">
        <v>0</v>
      </c>
      <c r="AA344">
        <v>1</v>
      </c>
      <c r="AB344">
        <v>0</v>
      </c>
      <c r="AC344">
        <v>0</v>
      </c>
      <c r="AF344">
        <v>1962</v>
      </c>
      <c r="AG344">
        <v>1962</v>
      </c>
      <c r="AO344" t="b">
        <v>0</v>
      </c>
      <c r="AT344">
        <v>157</v>
      </c>
      <c r="AU344">
        <f t="shared" si="17"/>
        <v>0.43</v>
      </c>
    </row>
    <row r="345" spans="1:47" x14ac:dyDescent="0.3">
      <c r="A345">
        <v>343</v>
      </c>
      <c r="B345" t="s">
        <v>1550</v>
      </c>
      <c r="C345" t="s">
        <v>1551</v>
      </c>
      <c r="D345">
        <v>92</v>
      </c>
      <c r="E345" t="s">
        <v>1449</v>
      </c>
      <c r="F345" t="str">
        <f>VLOOKUP(E345,country_continent!A:C,2,FALSE)</f>
        <v>El Salvador</v>
      </c>
      <c r="G345" t="str">
        <f>VLOOKUP(E345,country_continent!A:C,3,FALSE)</f>
        <v>North America</v>
      </c>
      <c r="H345" t="s">
        <v>1552</v>
      </c>
      <c r="I345" s="1">
        <v>22828</v>
      </c>
      <c r="J345" s="3">
        <f t="shared" si="15"/>
        <v>22828</v>
      </c>
      <c r="K345" s="1">
        <v>24654</v>
      </c>
      <c r="L345" s="3">
        <f t="shared" si="16"/>
        <v>24654</v>
      </c>
      <c r="M345" t="s">
        <v>49</v>
      </c>
      <c r="N345" t="s">
        <v>49</v>
      </c>
      <c r="O345" t="s">
        <v>49</v>
      </c>
      <c r="P345">
        <v>0</v>
      </c>
      <c r="Q345" t="s">
        <v>50</v>
      </c>
      <c r="R345" t="s">
        <v>51</v>
      </c>
      <c r="S345">
        <v>1922</v>
      </c>
      <c r="T345">
        <v>1973</v>
      </c>
      <c r="Z345">
        <v>0</v>
      </c>
      <c r="AA345">
        <v>1</v>
      </c>
      <c r="AB345">
        <v>0</v>
      </c>
      <c r="AC345">
        <v>0</v>
      </c>
      <c r="AF345">
        <v>1962</v>
      </c>
      <c r="AG345">
        <v>1967</v>
      </c>
      <c r="AO345" t="b">
        <v>0</v>
      </c>
      <c r="AT345">
        <v>1826</v>
      </c>
      <c r="AU345">
        <f t="shared" si="17"/>
        <v>5.0030000000000001</v>
      </c>
    </row>
    <row r="346" spans="1:47" x14ac:dyDescent="0.3">
      <c r="A346">
        <v>344</v>
      </c>
      <c r="B346" t="s">
        <v>1553</v>
      </c>
      <c r="C346" t="s">
        <v>1554</v>
      </c>
      <c r="D346">
        <v>92</v>
      </c>
      <c r="E346" t="s">
        <v>1449</v>
      </c>
      <c r="F346" t="str">
        <f>VLOOKUP(E346,country_continent!A:C,2,FALSE)</f>
        <v>El Salvador</v>
      </c>
      <c r="G346" t="str">
        <f>VLOOKUP(E346,country_continent!A:C,3,FALSE)</f>
        <v>North America</v>
      </c>
      <c r="H346" t="s">
        <v>1555</v>
      </c>
      <c r="I346" s="1">
        <v>24654</v>
      </c>
      <c r="J346" s="3">
        <f t="shared" si="15"/>
        <v>24654</v>
      </c>
      <c r="K346" s="1">
        <v>26481</v>
      </c>
      <c r="L346" s="3">
        <f t="shared" si="16"/>
        <v>26481</v>
      </c>
      <c r="M346" t="s">
        <v>49</v>
      </c>
      <c r="N346" t="s">
        <v>49</v>
      </c>
      <c r="O346" t="s">
        <v>49</v>
      </c>
      <c r="P346">
        <v>0</v>
      </c>
      <c r="Q346" t="s">
        <v>50</v>
      </c>
      <c r="R346" t="s">
        <v>51</v>
      </c>
      <c r="S346">
        <v>1917</v>
      </c>
      <c r="T346">
        <v>2003</v>
      </c>
      <c r="U346" s="1">
        <v>6398</v>
      </c>
      <c r="V346" s="2">
        <v>6398</v>
      </c>
      <c r="Z346">
        <v>0</v>
      </c>
      <c r="AA346">
        <v>1</v>
      </c>
      <c r="AB346">
        <v>0</v>
      </c>
      <c r="AC346">
        <v>0</v>
      </c>
      <c r="AF346">
        <v>1967</v>
      </c>
      <c r="AG346">
        <v>1972</v>
      </c>
      <c r="AO346" t="b">
        <v>0</v>
      </c>
      <c r="AT346">
        <v>1827</v>
      </c>
      <c r="AU346">
        <f t="shared" si="17"/>
        <v>5.0049999999999999</v>
      </c>
    </row>
    <row r="347" spans="1:47" x14ac:dyDescent="0.3">
      <c r="A347">
        <v>345</v>
      </c>
      <c r="B347" t="s">
        <v>1556</v>
      </c>
      <c r="C347" t="s">
        <v>1557</v>
      </c>
      <c r="D347">
        <v>92</v>
      </c>
      <c r="E347" t="s">
        <v>1449</v>
      </c>
      <c r="F347" t="str">
        <f>VLOOKUP(E347,country_continent!A:C,2,FALSE)</f>
        <v>El Salvador</v>
      </c>
      <c r="G347" t="str">
        <f>VLOOKUP(E347,country_continent!A:C,3,FALSE)</f>
        <v>North America</v>
      </c>
      <c r="H347" t="s">
        <v>1558</v>
      </c>
      <c r="I347" s="1">
        <v>26481</v>
      </c>
      <c r="J347" s="3">
        <f t="shared" si="15"/>
        <v>26481</v>
      </c>
      <c r="K347" s="1">
        <v>28307</v>
      </c>
      <c r="L347" s="3">
        <f t="shared" si="16"/>
        <v>28307</v>
      </c>
      <c r="M347" t="s">
        <v>49</v>
      </c>
      <c r="N347" t="s">
        <v>49</v>
      </c>
      <c r="O347" t="s">
        <v>49</v>
      </c>
      <c r="P347">
        <v>0</v>
      </c>
      <c r="Q347" t="s">
        <v>50</v>
      </c>
      <c r="R347" t="s">
        <v>51</v>
      </c>
      <c r="S347">
        <v>1927</v>
      </c>
      <c r="T347">
        <v>-777</v>
      </c>
      <c r="U347" s="1">
        <v>10031</v>
      </c>
      <c r="V347" s="2">
        <v>10031</v>
      </c>
      <c r="Z347">
        <v>0</v>
      </c>
      <c r="AA347">
        <v>1</v>
      </c>
      <c r="AB347">
        <v>0</v>
      </c>
      <c r="AC347">
        <v>0</v>
      </c>
      <c r="AF347">
        <v>1972</v>
      </c>
      <c r="AG347">
        <v>1977</v>
      </c>
      <c r="AO347" t="b">
        <v>0</v>
      </c>
      <c r="AT347">
        <v>1826</v>
      </c>
      <c r="AU347">
        <f t="shared" si="17"/>
        <v>5.0030000000000001</v>
      </c>
    </row>
    <row r="348" spans="1:47" x14ac:dyDescent="0.3">
      <c r="A348">
        <v>346</v>
      </c>
      <c r="B348" t="s">
        <v>1559</v>
      </c>
      <c r="C348" t="s">
        <v>1560</v>
      </c>
      <c r="D348">
        <v>92</v>
      </c>
      <c r="E348" t="s">
        <v>1449</v>
      </c>
      <c r="F348" t="str">
        <f>VLOOKUP(E348,country_continent!A:C,2,FALSE)</f>
        <v>El Salvador</v>
      </c>
      <c r="G348" t="str">
        <f>VLOOKUP(E348,country_continent!A:C,3,FALSE)</f>
        <v>North America</v>
      </c>
      <c r="H348" t="s">
        <v>1561</v>
      </c>
      <c r="I348" s="1">
        <v>28307</v>
      </c>
      <c r="J348" s="3">
        <f t="shared" si="15"/>
        <v>28307</v>
      </c>
      <c r="K348" s="1">
        <v>29143</v>
      </c>
      <c r="L348" s="3">
        <f t="shared" si="16"/>
        <v>29143</v>
      </c>
      <c r="M348" t="s">
        <v>49</v>
      </c>
      <c r="N348" t="s">
        <v>67</v>
      </c>
      <c r="O348" t="s">
        <v>376</v>
      </c>
      <c r="P348">
        <v>0</v>
      </c>
      <c r="Q348" t="s">
        <v>362</v>
      </c>
      <c r="R348" t="s">
        <v>51</v>
      </c>
      <c r="S348">
        <v>1924</v>
      </c>
      <c r="T348">
        <v>-777</v>
      </c>
      <c r="Z348">
        <v>0</v>
      </c>
      <c r="AA348">
        <v>3</v>
      </c>
      <c r="AB348">
        <v>6</v>
      </c>
      <c r="AC348">
        <v>1</v>
      </c>
      <c r="AF348">
        <v>1977</v>
      </c>
      <c r="AG348">
        <v>1979</v>
      </c>
      <c r="AO348" t="b">
        <v>0</v>
      </c>
      <c r="AT348">
        <v>836</v>
      </c>
      <c r="AU348">
        <f t="shared" si="17"/>
        <v>2.29</v>
      </c>
    </row>
    <row r="349" spans="1:47" x14ac:dyDescent="0.3">
      <c r="A349">
        <v>347</v>
      </c>
      <c r="B349" t="s">
        <v>1562</v>
      </c>
      <c r="C349" t="s">
        <v>1563</v>
      </c>
      <c r="D349">
        <v>92</v>
      </c>
      <c r="E349" t="s">
        <v>1449</v>
      </c>
      <c r="F349" t="str">
        <f>VLOOKUP(E349,country_continent!A:C,2,FALSE)</f>
        <v>El Salvador</v>
      </c>
      <c r="G349" t="str">
        <f>VLOOKUP(E349,country_continent!A:C,3,FALSE)</f>
        <v>North America</v>
      </c>
      <c r="H349" t="s">
        <v>1564</v>
      </c>
      <c r="I349" s="1">
        <v>29143</v>
      </c>
      <c r="J349" s="3">
        <f t="shared" si="15"/>
        <v>29143</v>
      </c>
      <c r="K349" s="1">
        <v>29562</v>
      </c>
      <c r="L349" s="3">
        <f t="shared" si="16"/>
        <v>29562</v>
      </c>
      <c r="M349" t="s">
        <v>67</v>
      </c>
      <c r="N349" t="s">
        <v>67</v>
      </c>
      <c r="O349" t="s">
        <v>389</v>
      </c>
      <c r="P349">
        <v>0</v>
      </c>
      <c r="Q349" t="s">
        <v>362</v>
      </c>
      <c r="R349" t="s">
        <v>51</v>
      </c>
      <c r="S349">
        <v>1938</v>
      </c>
      <c r="T349">
        <v>-777</v>
      </c>
      <c r="Z349">
        <v>1</v>
      </c>
      <c r="AA349">
        <v>3</v>
      </c>
      <c r="AB349">
        <v>16</v>
      </c>
      <c r="AC349">
        <v>1</v>
      </c>
      <c r="AF349">
        <v>1979</v>
      </c>
      <c r="AG349">
        <v>1980</v>
      </c>
      <c r="AO349" t="b">
        <v>0</v>
      </c>
      <c r="AT349">
        <v>419</v>
      </c>
      <c r="AU349">
        <f t="shared" si="17"/>
        <v>1.1479999999999999</v>
      </c>
    </row>
    <row r="350" spans="1:47" x14ac:dyDescent="0.3">
      <c r="A350">
        <v>348</v>
      </c>
      <c r="B350" t="s">
        <v>1565</v>
      </c>
      <c r="C350" t="s">
        <v>1566</v>
      </c>
      <c r="D350">
        <v>92</v>
      </c>
      <c r="E350" t="s">
        <v>1449</v>
      </c>
      <c r="F350" t="str">
        <f>VLOOKUP(E350,country_continent!A:C,2,FALSE)</f>
        <v>El Salvador</v>
      </c>
      <c r="G350" t="str">
        <f>VLOOKUP(E350,country_continent!A:C,3,FALSE)</f>
        <v>North America</v>
      </c>
      <c r="H350" t="s">
        <v>1567</v>
      </c>
      <c r="I350" s="1">
        <v>29568</v>
      </c>
      <c r="J350" s="3">
        <f t="shared" si="15"/>
        <v>29568</v>
      </c>
      <c r="K350" s="1">
        <v>30073</v>
      </c>
      <c r="L350" s="3">
        <f t="shared" si="16"/>
        <v>30073</v>
      </c>
      <c r="M350" t="s">
        <v>67</v>
      </c>
      <c r="N350" t="s">
        <v>49</v>
      </c>
      <c r="O350" t="s">
        <v>49</v>
      </c>
      <c r="P350">
        <v>0</v>
      </c>
      <c r="Q350" t="s">
        <v>50</v>
      </c>
      <c r="R350" t="s">
        <v>51</v>
      </c>
      <c r="S350">
        <v>1925</v>
      </c>
      <c r="T350">
        <v>1990</v>
      </c>
      <c r="U350" s="1">
        <v>9459</v>
      </c>
      <c r="V350" s="2">
        <v>9459</v>
      </c>
      <c r="W350" s="1">
        <v>32927</v>
      </c>
      <c r="X350" s="2">
        <v>32927</v>
      </c>
      <c r="Z350">
        <v>1</v>
      </c>
      <c r="AA350">
        <v>1</v>
      </c>
      <c r="AB350">
        <v>0</v>
      </c>
      <c r="AC350">
        <v>0</v>
      </c>
      <c r="AF350">
        <v>1980</v>
      </c>
      <c r="AG350">
        <v>1982</v>
      </c>
      <c r="AO350" t="b">
        <v>0</v>
      </c>
      <c r="AT350">
        <v>505</v>
      </c>
      <c r="AU350">
        <f t="shared" si="17"/>
        <v>1.3839999999999999</v>
      </c>
    </row>
    <row r="351" spans="1:47" x14ac:dyDescent="0.3">
      <c r="A351">
        <v>349</v>
      </c>
      <c r="B351" t="s">
        <v>1568</v>
      </c>
      <c r="C351" t="s">
        <v>1569</v>
      </c>
      <c r="D351">
        <v>92</v>
      </c>
      <c r="E351" t="s">
        <v>1449</v>
      </c>
      <c r="F351" t="str">
        <f>VLOOKUP(E351,country_continent!A:C,2,FALSE)</f>
        <v>El Salvador</v>
      </c>
      <c r="G351" t="str">
        <f>VLOOKUP(E351,country_continent!A:C,3,FALSE)</f>
        <v>North America</v>
      </c>
      <c r="H351" t="s">
        <v>1570</v>
      </c>
      <c r="I351" s="1">
        <v>30073</v>
      </c>
      <c r="J351" s="3">
        <f t="shared" si="15"/>
        <v>30073</v>
      </c>
      <c r="K351" s="1">
        <v>30834</v>
      </c>
      <c r="L351" s="3">
        <f t="shared" si="16"/>
        <v>30834</v>
      </c>
      <c r="M351" t="s">
        <v>49</v>
      </c>
      <c r="N351" t="s">
        <v>49</v>
      </c>
      <c r="O351" t="s">
        <v>49</v>
      </c>
      <c r="P351">
        <v>0</v>
      </c>
      <c r="Q351" t="s">
        <v>50</v>
      </c>
      <c r="R351" t="s">
        <v>51</v>
      </c>
      <c r="S351">
        <v>1925</v>
      </c>
      <c r="T351">
        <v>2001</v>
      </c>
      <c r="U351" s="1">
        <v>9413</v>
      </c>
      <c r="V351" s="2">
        <v>9413</v>
      </c>
      <c r="W351" s="1">
        <v>37082</v>
      </c>
      <c r="X351" s="2">
        <v>37082</v>
      </c>
      <c r="Z351">
        <v>0</v>
      </c>
      <c r="AA351">
        <v>1</v>
      </c>
      <c r="AB351">
        <v>0</v>
      </c>
      <c r="AC351">
        <v>0</v>
      </c>
      <c r="AF351">
        <v>1982</v>
      </c>
      <c r="AG351">
        <v>1984</v>
      </c>
      <c r="AO351" t="b">
        <v>0</v>
      </c>
      <c r="AT351">
        <v>761</v>
      </c>
      <c r="AU351">
        <f t="shared" si="17"/>
        <v>2.085</v>
      </c>
    </row>
    <row r="352" spans="1:47" x14ac:dyDescent="0.3">
      <c r="A352">
        <v>350</v>
      </c>
      <c r="B352" t="s">
        <v>1571</v>
      </c>
      <c r="C352" t="s">
        <v>1566</v>
      </c>
      <c r="D352">
        <v>92</v>
      </c>
      <c r="E352" t="s">
        <v>1449</v>
      </c>
      <c r="F352" t="str">
        <f>VLOOKUP(E352,country_continent!A:C,2,FALSE)</f>
        <v>El Salvador</v>
      </c>
      <c r="G352" t="str">
        <f>VLOOKUP(E352,country_continent!A:C,3,FALSE)</f>
        <v>North America</v>
      </c>
      <c r="H352" t="s">
        <v>1567</v>
      </c>
      <c r="I352" s="1">
        <v>30834</v>
      </c>
      <c r="J352" s="3">
        <f t="shared" si="15"/>
        <v>30834</v>
      </c>
      <c r="K352" s="1">
        <v>32660</v>
      </c>
      <c r="L352" s="3">
        <f t="shared" si="16"/>
        <v>32660</v>
      </c>
      <c r="M352" t="s">
        <v>49</v>
      </c>
      <c r="N352" t="s">
        <v>49</v>
      </c>
      <c r="O352" t="s">
        <v>49</v>
      </c>
      <c r="P352">
        <v>1</v>
      </c>
      <c r="Q352" t="s">
        <v>111</v>
      </c>
      <c r="R352" t="s">
        <v>51</v>
      </c>
      <c r="S352">
        <v>1925</v>
      </c>
      <c r="T352">
        <v>1990</v>
      </c>
      <c r="U352" s="1">
        <v>9459</v>
      </c>
      <c r="V352" s="2">
        <v>9459</v>
      </c>
      <c r="W352" s="1">
        <v>32927</v>
      </c>
      <c r="X352" s="2">
        <v>32927</v>
      </c>
      <c r="Z352">
        <v>0</v>
      </c>
      <c r="AA352">
        <v>1</v>
      </c>
      <c r="AB352">
        <v>0</v>
      </c>
      <c r="AC352">
        <v>-777</v>
      </c>
      <c r="AF352">
        <v>1984</v>
      </c>
      <c r="AG352">
        <v>1989</v>
      </c>
      <c r="AO352" t="b">
        <v>0</v>
      </c>
      <c r="AT352">
        <v>1826</v>
      </c>
      <c r="AU352">
        <f t="shared" si="17"/>
        <v>5.0030000000000001</v>
      </c>
    </row>
    <row r="353" spans="1:47" x14ac:dyDescent="0.3">
      <c r="A353">
        <v>351</v>
      </c>
      <c r="B353" t="s">
        <v>1572</v>
      </c>
      <c r="C353" t="s">
        <v>1573</v>
      </c>
      <c r="D353">
        <v>92</v>
      </c>
      <c r="E353" t="s">
        <v>1449</v>
      </c>
      <c r="F353" t="str">
        <f>VLOOKUP(E353,country_continent!A:C,2,FALSE)</f>
        <v>El Salvador</v>
      </c>
      <c r="G353" t="str">
        <f>VLOOKUP(E353,country_continent!A:C,3,FALSE)</f>
        <v>North America</v>
      </c>
      <c r="H353" t="s">
        <v>1574</v>
      </c>
      <c r="I353" s="1">
        <v>32660</v>
      </c>
      <c r="J353" s="3">
        <f t="shared" si="15"/>
        <v>32660</v>
      </c>
      <c r="K353" s="1">
        <v>34486</v>
      </c>
      <c r="L353" s="3">
        <f t="shared" si="16"/>
        <v>34486</v>
      </c>
      <c r="M353" t="s">
        <v>49</v>
      </c>
      <c r="N353" t="s">
        <v>49</v>
      </c>
      <c r="O353" t="s">
        <v>49</v>
      </c>
      <c r="P353">
        <v>0</v>
      </c>
      <c r="Q353" t="s">
        <v>50</v>
      </c>
      <c r="R353" t="s">
        <v>51</v>
      </c>
      <c r="S353">
        <v>1947</v>
      </c>
      <c r="T353">
        <v>-777</v>
      </c>
      <c r="U353" s="1">
        <v>17493</v>
      </c>
      <c r="V353" s="2">
        <v>17493</v>
      </c>
      <c r="Z353">
        <v>0</v>
      </c>
      <c r="AA353">
        <v>1</v>
      </c>
      <c r="AB353">
        <v>0</v>
      </c>
      <c r="AC353">
        <v>0</v>
      </c>
      <c r="AF353">
        <v>1989</v>
      </c>
      <c r="AG353">
        <v>1994</v>
      </c>
      <c r="AO353" t="b">
        <v>0</v>
      </c>
      <c r="AT353">
        <v>1826</v>
      </c>
      <c r="AU353">
        <f t="shared" si="17"/>
        <v>5.0030000000000001</v>
      </c>
    </row>
    <row r="354" spans="1:47" x14ac:dyDescent="0.3">
      <c r="A354">
        <v>352</v>
      </c>
      <c r="B354" t="s">
        <v>1575</v>
      </c>
      <c r="C354" t="s">
        <v>1576</v>
      </c>
      <c r="D354">
        <v>92</v>
      </c>
      <c r="E354" t="s">
        <v>1449</v>
      </c>
      <c r="F354" t="str">
        <f>VLOOKUP(E354,country_continent!A:C,2,FALSE)</f>
        <v>El Salvador</v>
      </c>
      <c r="G354" t="str">
        <f>VLOOKUP(E354,country_continent!A:C,3,FALSE)</f>
        <v>North America</v>
      </c>
      <c r="H354" t="s">
        <v>1577</v>
      </c>
      <c r="I354" s="1">
        <v>34486</v>
      </c>
      <c r="J354" s="3">
        <f t="shared" si="15"/>
        <v>34486</v>
      </c>
      <c r="K354" s="1">
        <v>36312</v>
      </c>
      <c r="L354" s="3">
        <f t="shared" si="16"/>
        <v>36312</v>
      </c>
      <c r="M354" t="s">
        <v>49</v>
      </c>
      <c r="N354" t="s">
        <v>49</v>
      </c>
      <c r="O354" t="s">
        <v>49</v>
      </c>
      <c r="P354">
        <v>0</v>
      </c>
      <c r="Q354" t="s">
        <v>50</v>
      </c>
      <c r="R354" t="s">
        <v>51</v>
      </c>
      <c r="S354">
        <v>1948</v>
      </c>
      <c r="T354">
        <v>-777</v>
      </c>
      <c r="Z354">
        <v>0</v>
      </c>
      <c r="AA354">
        <v>1</v>
      </c>
      <c r="AB354">
        <v>0</v>
      </c>
      <c r="AC354">
        <v>0</v>
      </c>
      <c r="AF354">
        <v>1994</v>
      </c>
      <c r="AG354">
        <v>1999</v>
      </c>
      <c r="AO354" t="b">
        <v>0</v>
      </c>
      <c r="AT354">
        <v>1826</v>
      </c>
      <c r="AU354">
        <f t="shared" si="17"/>
        <v>5.0030000000000001</v>
      </c>
    </row>
    <row r="355" spans="1:47" x14ac:dyDescent="0.3">
      <c r="A355">
        <v>353</v>
      </c>
      <c r="B355" t="s">
        <v>1578</v>
      </c>
      <c r="C355" t="s">
        <v>1579</v>
      </c>
      <c r="D355">
        <v>92</v>
      </c>
      <c r="E355" t="s">
        <v>1449</v>
      </c>
      <c r="F355" t="str">
        <f>VLOOKUP(E355,country_continent!A:C,2,FALSE)</f>
        <v>El Salvador</v>
      </c>
      <c r="G355" t="str">
        <f>VLOOKUP(E355,country_continent!A:C,3,FALSE)</f>
        <v>North America</v>
      </c>
      <c r="H355" t="s">
        <v>1580</v>
      </c>
      <c r="I355" s="1">
        <v>36312</v>
      </c>
      <c r="J355" s="3">
        <f t="shared" si="15"/>
        <v>36312</v>
      </c>
      <c r="K355" s="1">
        <v>38139</v>
      </c>
      <c r="L355" s="3">
        <f t="shared" si="16"/>
        <v>38139</v>
      </c>
      <c r="M355" t="s">
        <v>49</v>
      </c>
      <c r="N355" t="s">
        <v>49</v>
      </c>
      <c r="O355" t="s">
        <v>49</v>
      </c>
      <c r="P355">
        <v>0</v>
      </c>
      <c r="Q355" t="s">
        <v>50</v>
      </c>
      <c r="R355" t="s">
        <v>51</v>
      </c>
      <c r="S355">
        <v>1959</v>
      </c>
      <c r="T355">
        <v>-777</v>
      </c>
      <c r="U355" s="1">
        <v>21840</v>
      </c>
      <c r="V355" s="2">
        <v>21840</v>
      </c>
      <c r="Y355" t="s">
        <v>1581</v>
      </c>
      <c r="Z355">
        <v>0</v>
      </c>
      <c r="AA355">
        <v>1</v>
      </c>
      <c r="AB355">
        <v>0</v>
      </c>
      <c r="AC355">
        <v>0</v>
      </c>
      <c r="AF355">
        <v>1999</v>
      </c>
      <c r="AG355">
        <v>2004</v>
      </c>
      <c r="AO355" t="b">
        <v>0</v>
      </c>
      <c r="AT355">
        <v>1827</v>
      </c>
      <c r="AU355">
        <f t="shared" si="17"/>
        <v>5.0049999999999999</v>
      </c>
    </row>
    <row r="356" spans="1:47" x14ac:dyDescent="0.3">
      <c r="A356">
        <v>354</v>
      </c>
      <c r="B356" t="s">
        <v>1582</v>
      </c>
      <c r="C356" t="s">
        <v>1583</v>
      </c>
      <c r="D356">
        <v>92</v>
      </c>
      <c r="E356" t="s">
        <v>1449</v>
      </c>
      <c r="F356" t="str">
        <f>VLOOKUP(E356,country_continent!A:C,2,FALSE)</f>
        <v>El Salvador</v>
      </c>
      <c r="G356" t="str">
        <f>VLOOKUP(E356,country_continent!A:C,3,FALSE)</f>
        <v>North America</v>
      </c>
      <c r="H356" t="s">
        <v>1584</v>
      </c>
      <c r="I356" s="1">
        <v>38139</v>
      </c>
      <c r="J356" s="3">
        <f t="shared" si="15"/>
        <v>38139</v>
      </c>
      <c r="K356" s="1">
        <v>39965</v>
      </c>
      <c r="L356" s="3">
        <f t="shared" si="16"/>
        <v>39965</v>
      </c>
      <c r="M356" t="s">
        <v>49</v>
      </c>
      <c r="N356" t="s">
        <v>49</v>
      </c>
      <c r="O356" t="s">
        <v>49</v>
      </c>
      <c r="P356">
        <v>0</v>
      </c>
      <c r="Q356" t="s">
        <v>50</v>
      </c>
      <c r="R356" t="s">
        <v>51</v>
      </c>
      <c r="S356">
        <v>1965</v>
      </c>
      <c r="T356">
        <v>-777</v>
      </c>
      <c r="Z356">
        <v>0</v>
      </c>
      <c r="AA356">
        <v>1</v>
      </c>
      <c r="AB356">
        <v>0</v>
      </c>
      <c r="AC356">
        <v>0</v>
      </c>
      <c r="AF356">
        <v>2004</v>
      </c>
      <c r="AG356">
        <v>2009</v>
      </c>
      <c r="AO356" t="b">
        <v>0</v>
      </c>
      <c r="AT356">
        <v>1826</v>
      </c>
      <c r="AU356">
        <f t="shared" si="17"/>
        <v>5.0030000000000001</v>
      </c>
    </row>
    <row r="357" spans="1:47" x14ac:dyDescent="0.3">
      <c r="A357">
        <v>355</v>
      </c>
      <c r="B357" t="s">
        <v>1585</v>
      </c>
      <c r="C357" t="s">
        <v>1586</v>
      </c>
      <c r="D357">
        <v>92</v>
      </c>
      <c r="E357" t="s">
        <v>1449</v>
      </c>
      <c r="F357" t="str">
        <f>VLOOKUP(E357,country_continent!A:C,2,FALSE)</f>
        <v>El Salvador</v>
      </c>
      <c r="G357" t="str">
        <f>VLOOKUP(E357,country_continent!A:C,3,FALSE)</f>
        <v>North America</v>
      </c>
      <c r="H357" t="s">
        <v>1587</v>
      </c>
      <c r="I357" s="1">
        <v>39965</v>
      </c>
      <c r="J357" s="3">
        <f t="shared" si="15"/>
        <v>39965</v>
      </c>
      <c r="K357" s="1">
        <v>41791</v>
      </c>
      <c r="L357" s="3">
        <f t="shared" si="16"/>
        <v>41791</v>
      </c>
      <c r="M357" t="s">
        <v>49</v>
      </c>
      <c r="N357" t="s">
        <v>49</v>
      </c>
      <c r="O357" t="s">
        <v>49</v>
      </c>
      <c r="P357">
        <v>0</v>
      </c>
      <c r="Q357" t="s">
        <v>50</v>
      </c>
      <c r="R357" t="s">
        <v>51</v>
      </c>
      <c r="S357">
        <v>1959</v>
      </c>
      <c r="T357">
        <v>-777</v>
      </c>
      <c r="Z357">
        <v>0</v>
      </c>
      <c r="AA357">
        <v>1</v>
      </c>
      <c r="AB357">
        <v>0</v>
      </c>
      <c r="AC357">
        <v>0</v>
      </c>
      <c r="AF357">
        <v>2009</v>
      </c>
      <c r="AG357">
        <v>2014</v>
      </c>
      <c r="AO357" t="b">
        <v>0</v>
      </c>
      <c r="AT357">
        <v>1826</v>
      </c>
      <c r="AU357">
        <f t="shared" si="17"/>
        <v>5.0030000000000001</v>
      </c>
    </row>
    <row r="358" spans="1:47" x14ac:dyDescent="0.3">
      <c r="A358">
        <v>356</v>
      </c>
      <c r="B358" t="s">
        <v>1588</v>
      </c>
      <c r="C358" t="s">
        <v>1589</v>
      </c>
      <c r="D358">
        <v>92</v>
      </c>
      <c r="E358" t="s">
        <v>1449</v>
      </c>
      <c r="F358" t="str">
        <f>VLOOKUP(E358,country_continent!A:C,2,FALSE)</f>
        <v>El Salvador</v>
      </c>
      <c r="G358" t="str">
        <f>VLOOKUP(E358,country_continent!A:C,3,FALSE)</f>
        <v>North America</v>
      </c>
      <c r="H358" t="s">
        <v>1590</v>
      </c>
      <c r="I358" s="1">
        <v>41791</v>
      </c>
      <c r="J358" s="3">
        <f t="shared" si="15"/>
        <v>41791</v>
      </c>
      <c r="K358" s="1">
        <v>42369</v>
      </c>
      <c r="L358" s="3">
        <f t="shared" si="16"/>
        <v>42369</v>
      </c>
      <c r="M358" t="s">
        <v>49</v>
      </c>
      <c r="N358" t="s">
        <v>173</v>
      </c>
      <c r="O358" t="s">
        <v>173</v>
      </c>
      <c r="P358">
        <v>0</v>
      </c>
      <c r="Q358" t="s">
        <v>174</v>
      </c>
      <c r="R358" t="s">
        <v>51</v>
      </c>
      <c r="S358">
        <v>1944</v>
      </c>
      <c r="T358">
        <v>-777</v>
      </c>
      <c r="U358" s="1">
        <v>16237</v>
      </c>
      <c r="V358" s="2">
        <v>16237</v>
      </c>
      <c r="Z358">
        <v>0</v>
      </c>
      <c r="AA358">
        <v>-888</v>
      </c>
      <c r="AB358">
        <v>-888</v>
      </c>
      <c r="AC358">
        <v>-888</v>
      </c>
      <c r="AF358">
        <v>2014</v>
      </c>
      <c r="AG358">
        <v>2015</v>
      </c>
      <c r="AO358" t="b">
        <v>0</v>
      </c>
      <c r="AT358">
        <v>578</v>
      </c>
      <c r="AU358">
        <f t="shared" si="17"/>
        <v>1.5840000000000001</v>
      </c>
    </row>
    <row r="359" spans="1:47" x14ac:dyDescent="0.3">
      <c r="A359">
        <v>357</v>
      </c>
      <c r="B359" t="s">
        <v>1591</v>
      </c>
      <c r="C359" t="s">
        <v>1592</v>
      </c>
      <c r="D359">
        <v>93</v>
      </c>
      <c r="E359" t="s">
        <v>1593</v>
      </c>
      <c r="F359" t="str">
        <f>VLOOKUP(E359,country_continent!A:C,2,FALSE)</f>
        <v>Nicaragua</v>
      </c>
      <c r="G359" t="str">
        <f>VLOOKUP(E359,country_continent!A:C,3,FALSE)</f>
        <v>North America</v>
      </c>
      <c r="H359" t="s">
        <v>1594</v>
      </c>
      <c r="I359" t="s">
        <v>1595</v>
      </c>
      <c r="J359" s="3" t="str">
        <f t="shared" si="15"/>
        <v>1871/03/01</v>
      </c>
      <c r="K359" t="s">
        <v>1596</v>
      </c>
      <c r="L359" s="3" t="str">
        <f t="shared" si="16"/>
        <v>1875/03/01</v>
      </c>
      <c r="M359" t="s">
        <v>49</v>
      </c>
      <c r="N359" t="s">
        <v>49</v>
      </c>
      <c r="O359" t="s">
        <v>49</v>
      </c>
      <c r="P359">
        <v>0</v>
      </c>
      <c r="Q359" t="s">
        <v>50</v>
      </c>
      <c r="R359" t="s">
        <v>51</v>
      </c>
      <c r="S359">
        <v>1812</v>
      </c>
      <c r="T359">
        <v>1894</v>
      </c>
      <c r="Z359">
        <v>0</v>
      </c>
      <c r="AA359">
        <v>1</v>
      </c>
      <c r="AB359">
        <v>0</v>
      </c>
      <c r="AC359">
        <v>0</v>
      </c>
      <c r="AF359">
        <v>1871</v>
      </c>
      <c r="AG359">
        <v>1875</v>
      </c>
      <c r="AO359" t="b">
        <v>1</v>
      </c>
      <c r="AP359" t="s">
        <v>45</v>
      </c>
      <c r="AQ359">
        <v>1903</v>
      </c>
      <c r="AR359">
        <v>1978</v>
      </c>
      <c r="AS359" t="s">
        <v>1597</v>
      </c>
      <c r="AT359">
        <v>4</v>
      </c>
      <c r="AU359">
        <f t="shared" si="17"/>
        <v>1.0999999999999999E-2</v>
      </c>
    </row>
    <row r="360" spans="1:47" x14ac:dyDescent="0.3">
      <c r="A360">
        <v>358</v>
      </c>
      <c r="B360" t="s">
        <v>1598</v>
      </c>
      <c r="C360" t="s">
        <v>1599</v>
      </c>
      <c r="D360">
        <v>93</v>
      </c>
      <c r="E360" t="s">
        <v>1593</v>
      </c>
      <c r="F360" t="str">
        <f>VLOOKUP(E360,country_continent!A:C,2,FALSE)</f>
        <v>Nicaragua</v>
      </c>
      <c r="G360" t="str">
        <f>VLOOKUP(E360,country_continent!A:C,3,FALSE)</f>
        <v>North America</v>
      </c>
      <c r="H360" t="s">
        <v>1600</v>
      </c>
      <c r="I360" t="s">
        <v>1596</v>
      </c>
      <c r="J360" s="3" t="str">
        <f t="shared" si="15"/>
        <v>1875/03/01</v>
      </c>
      <c r="K360" t="s">
        <v>1601</v>
      </c>
      <c r="L360" s="3" t="str">
        <f t="shared" si="16"/>
        <v>1879/03/01</v>
      </c>
      <c r="M360" t="s">
        <v>49</v>
      </c>
      <c r="N360" t="s">
        <v>49</v>
      </c>
      <c r="O360" t="s">
        <v>49</v>
      </c>
      <c r="P360">
        <v>0</v>
      </c>
      <c r="Q360" t="s">
        <v>50</v>
      </c>
      <c r="R360" t="s">
        <v>51</v>
      </c>
      <c r="S360">
        <v>1818</v>
      </c>
      <c r="T360">
        <v>1894</v>
      </c>
      <c r="Z360">
        <v>0</v>
      </c>
      <c r="AA360">
        <v>1</v>
      </c>
      <c r="AB360">
        <v>0</v>
      </c>
      <c r="AC360">
        <v>0</v>
      </c>
      <c r="AD360" t="s">
        <v>1602</v>
      </c>
      <c r="AE360">
        <v>0</v>
      </c>
      <c r="AF360">
        <v>1875</v>
      </c>
      <c r="AG360">
        <v>1879</v>
      </c>
      <c r="AO360" t="b">
        <v>1</v>
      </c>
      <c r="AP360" t="s">
        <v>45</v>
      </c>
      <c r="AQ360">
        <v>1903</v>
      </c>
      <c r="AR360">
        <v>1978</v>
      </c>
      <c r="AS360" t="s">
        <v>1597</v>
      </c>
      <c r="AT360">
        <v>4</v>
      </c>
      <c r="AU360">
        <f t="shared" si="17"/>
        <v>1.0999999999999999E-2</v>
      </c>
    </row>
    <row r="361" spans="1:47" x14ac:dyDescent="0.3">
      <c r="A361">
        <v>359</v>
      </c>
      <c r="B361" t="s">
        <v>1603</v>
      </c>
      <c r="C361" t="s">
        <v>1604</v>
      </c>
      <c r="D361">
        <v>93</v>
      </c>
      <c r="E361" t="s">
        <v>1593</v>
      </c>
      <c r="F361" t="str">
        <f>VLOOKUP(E361,country_continent!A:C,2,FALSE)</f>
        <v>Nicaragua</v>
      </c>
      <c r="G361" t="str">
        <f>VLOOKUP(E361,country_continent!A:C,3,FALSE)</f>
        <v>North America</v>
      </c>
      <c r="H361" t="s">
        <v>1605</v>
      </c>
      <c r="I361" t="s">
        <v>1601</v>
      </c>
      <c r="J361" s="3" t="str">
        <f t="shared" si="15"/>
        <v>1879/03/01</v>
      </c>
      <c r="K361" t="s">
        <v>1606</v>
      </c>
      <c r="L361" s="3" t="str">
        <f t="shared" si="16"/>
        <v>1883/03/01</v>
      </c>
      <c r="M361" t="s">
        <v>49</v>
      </c>
      <c r="N361" t="s">
        <v>49</v>
      </c>
      <c r="O361" t="s">
        <v>49</v>
      </c>
      <c r="P361">
        <v>0</v>
      </c>
      <c r="Q361" t="s">
        <v>50</v>
      </c>
      <c r="R361" t="s">
        <v>51</v>
      </c>
      <c r="S361">
        <v>1835</v>
      </c>
      <c r="T361">
        <v>1906</v>
      </c>
      <c r="Z361">
        <v>0</v>
      </c>
      <c r="AA361">
        <v>1</v>
      </c>
      <c r="AB361">
        <v>0</v>
      </c>
      <c r="AC361">
        <v>0</v>
      </c>
      <c r="AF361">
        <v>1879</v>
      </c>
      <c r="AG361">
        <v>1883</v>
      </c>
      <c r="AO361" t="b">
        <v>1</v>
      </c>
      <c r="AP361" t="s">
        <v>45</v>
      </c>
      <c r="AQ361">
        <v>1903</v>
      </c>
      <c r="AR361">
        <v>1978</v>
      </c>
      <c r="AS361" t="s">
        <v>1597</v>
      </c>
      <c r="AT361">
        <v>4</v>
      </c>
      <c r="AU361">
        <f t="shared" si="17"/>
        <v>1.0999999999999999E-2</v>
      </c>
    </row>
    <row r="362" spans="1:47" x14ac:dyDescent="0.3">
      <c r="A362">
        <v>360</v>
      </c>
      <c r="B362" t="s">
        <v>1607</v>
      </c>
      <c r="C362" t="s">
        <v>1608</v>
      </c>
      <c r="D362">
        <v>93</v>
      </c>
      <c r="E362" t="s">
        <v>1593</v>
      </c>
      <c r="F362" t="str">
        <f>VLOOKUP(E362,country_continent!A:C,2,FALSE)</f>
        <v>Nicaragua</v>
      </c>
      <c r="G362" t="str">
        <f>VLOOKUP(E362,country_continent!A:C,3,FALSE)</f>
        <v>North America</v>
      </c>
      <c r="H362" t="s">
        <v>1071</v>
      </c>
      <c r="I362" t="s">
        <v>1606</v>
      </c>
      <c r="J362" s="3" t="str">
        <f t="shared" si="15"/>
        <v>1883/03/01</v>
      </c>
      <c r="K362" t="s">
        <v>1609</v>
      </c>
      <c r="L362" s="3" t="str">
        <f t="shared" si="16"/>
        <v>1887/03/01</v>
      </c>
      <c r="M362" t="s">
        <v>49</v>
      </c>
      <c r="N362" t="s">
        <v>49</v>
      </c>
      <c r="O362" t="s">
        <v>49</v>
      </c>
      <c r="P362">
        <v>0</v>
      </c>
      <c r="Q362" t="s">
        <v>50</v>
      </c>
      <c r="R362" t="s">
        <v>51</v>
      </c>
      <c r="S362">
        <v>1836</v>
      </c>
      <c r="T362">
        <v>1916</v>
      </c>
      <c r="Z362">
        <v>0</v>
      </c>
      <c r="AA362">
        <v>1</v>
      </c>
      <c r="AB362">
        <v>0</v>
      </c>
      <c r="AC362">
        <v>0</v>
      </c>
      <c r="AF362">
        <v>1883</v>
      </c>
      <c r="AG362">
        <v>1887</v>
      </c>
      <c r="AO362" t="b">
        <v>1</v>
      </c>
      <c r="AP362" t="s">
        <v>45</v>
      </c>
      <c r="AQ362">
        <v>1903</v>
      </c>
      <c r="AR362">
        <v>1978</v>
      </c>
      <c r="AS362" t="s">
        <v>1597</v>
      </c>
      <c r="AT362">
        <v>4</v>
      </c>
      <c r="AU362">
        <f t="shared" si="17"/>
        <v>1.0999999999999999E-2</v>
      </c>
    </row>
    <row r="363" spans="1:47" x14ac:dyDescent="0.3">
      <c r="A363">
        <v>361</v>
      </c>
      <c r="B363" t="s">
        <v>1610</v>
      </c>
      <c r="C363" t="s">
        <v>1611</v>
      </c>
      <c r="D363">
        <v>93</v>
      </c>
      <c r="E363" t="s">
        <v>1593</v>
      </c>
      <c r="F363" t="str">
        <f>VLOOKUP(E363,country_continent!A:C,2,FALSE)</f>
        <v>Nicaragua</v>
      </c>
      <c r="G363" t="str">
        <f>VLOOKUP(E363,country_continent!A:C,3,FALSE)</f>
        <v>North America</v>
      </c>
      <c r="H363" t="s">
        <v>1612</v>
      </c>
      <c r="I363" t="s">
        <v>1609</v>
      </c>
      <c r="J363" s="3" t="str">
        <f t="shared" si="15"/>
        <v>1887/03/01</v>
      </c>
      <c r="K363" t="s">
        <v>1613</v>
      </c>
      <c r="L363" s="3" t="str">
        <f t="shared" si="16"/>
        <v>1889/08/01</v>
      </c>
      <c r="M363" t="s">
        <v>49</v>
      </c>
      <c r="N363" t="s">
        <v>110</v>
      </c>
      <c r="O363" t="s">
        <v>49</v>
      </c>
      <c r="P363">
        <v>0</v>
      </c>
      <c r="Q363" t="s">
        <v>111</v>
      </c>
      <c r="R363" t="s">
        <v>51</v>
      </c>
      <c r="S363">
        <v>1821</v>
      </c>
      <c r="T363">
        <v>1889</v>
      </c>
      <c r="U363" t="s">
        <v>1614</v>
      </c>
      <c r="V363" t="s">
        <v>1615</v>
      </c>
      <c r="Z363">
        <v>0</v>
      </c>
      <c r="AA363">
        <v>2</v>
      </c>
      <c r="AB363">
        <v>0</v>
      </c>
      <c r="AC363">
        <v>-777</v>
      </c>
      <c r="AF363">
        <v>1887</v>
      </c>
      <c r="AG363">
        <v>1889</v>
      </c>
      <c r="AO363" t="b">
        <v>1</v>
      </c>
      <c r="AP363" t="s">
        <v>45</v>
      </c>
      <c r="AQ363">
        <v>1903</v>
      </c>
      <c r="AR363">
        <v>1978</v>
      </c>
      <c r="AS363" t="s">
        <v>1616</v>
      </c>
      <c r="AT363">
        <v>2.4202600958247702</v>
      </c>
      <c r="AU363">
        <f t="shared" si="17"/>
        <v>7.0000000000000001E-3</v>
      </c>
    </row>
    <row r="364" spans="1:47" x14ac:dyDescent="0.3">
      <c r="A364">
        <v>362</v>
      </c>
      <c r="B364" t="s">
        <v>1617</v>
      </c>
      <c r="C364" t="s">
        <v>1618</v>
      </c>
      <c r="D364">
        <v>93</v>
      </c>
      <c r="E364" t="s">
        <v>1593</v>
      </c>
      <c r="F364" t="str">
        <f>VLOOKUP(E364,country_continent!A:C,2,FALSE)</f>
        <v>Nicaragua</v>
      </c>
      <c r="G364" t="str">
        <f>VLOOKUP(E364,country_continent!A:C,3,FALSE)</f>
        <v>North America</v>
      </c>
      <c r="H364" t="s">
        <v>1619</v>
      </c>
      <c r="I364" t="s">
        <v>1613</v>
      </c>
      <c r="J364" s="3" t="str">
        <f t="shared" si="15"/>
        <v>1889/08/01</v>
      </c>
      <c r="K364" t="s">
        <v>1620</v>
      </c>
      <c r="L364" s="3" t="str">
        <f t="shared" si="16"/>
        <v>1893/06/01</v>
      </c>
      <c r="M364" t="s">
        <v>49</v>
      </c>
      <c r="N364" t="s">
        <v>67</v>
      </c>
      <c r="O364" t="s">
        <v>347</v>
      </c>
      <c r="P364">
        <v>0</v>
      </c>
      <c r="Q364" t="s">
        <v>362</v>
      </c>
      <c r="R364" t="s">
        <v>51</v>
      </c>
      <c r="S364">
        <v>1840</v>
      </c>
      <c r="T364">
        <v>1896</v>
      </c>
      <c r="Z364">
        <v>0</v>
      </c>
      <c r="AA364">
        <v>3</v>
      </c>
      <c r="AB364">
        <v>-999</v>
      </c>
      <c r="AC364">
        <v>1</v>
      </c>
      <c r="AD364" t="s">
        <v>1621</v>
      </c>
      <c r="AE364">
        <v>0</v>
      </c>
      <c r="AF364">
        <v>1889</v>
      </c>
      <c r="AG364">
        <v>1893</v>
      </c>
      <c r="AO364" t="b">
        <v>1</v>
      </c>
      <c r="AP364" t="s">
        <v>45</v>
      </c>
      <c r="AQ364">
        <v>1903</v>
      </c>
      <c r="AR364">
        <v>1978</v>
      </c>
      <c r="AS364" t="s">
        <v>1622</v>
      </c>
      <c r="AT364">
        <v>3.8329911019849399</v>
      </c>
      <c r="AU364">
        <f t="shared" si="17"/>
        <v>1.0999999999999999E-2</v>
      </c>
    </row>
    <row r="365" spans="1:47" x14ac:dyDescent="0.3">
      <c r="A365">
        <v>363</v>
      </c>
      <c r="B365" t="s">
        <v>1623</v>
      </c>
      <c r="C365" t="s">
        <v>1624</v>
      </c>
      <c r="D365">
        <v>93</v>
      </c>
      <c r="E365" t="s">
        <v>1593</v>
      </c>
      <c r="F365" t="str">
        <f>VLOOKUP(E365,country_continent!A:C,2,FALSE)</f>
        <v>Nicaragua</v>
      </c>
      <c r="G365" t="str">
        <f>VLOOKUP(E365,country_continent!A:C,3,FALSE)</f>
        <v>North America</v>
      </c>
      <c r="H365" t="s">
        <v>1434</v>
      </c>
      <c r="I365" t="s">
        <v>1625</v>
      </c>
      <c r="J365" s="3" t="str">
        <f t="shared" si="15"/>
        <v>1893/07/31</v>
      </c>
      <c r="K365" s="1">
        <v>3638</v>
      </c>
      <c r="L365" s="3">
        <f t="shared" si="16"/>
        <v>3638</v>
      </c>
      <c r="M365" t="s">
        <v>67</v>
      </c>
      <c r="N365" t="s">
        <v>67</v>
      </c>
      <c r="O365" t="s">
        <v>347</v>
      </c>
      <c r="P365">
        <v>0</v>
      </c>
      <c r="Q365" t="s">
        <v>362</v>
      </c>
      <c r="R365" t="s">
        <v>51</v>
      </c>
      <c r="S365">
        <v>1853</v>
      </c>
      <c r="T365">
        <v>1919</v>
      </c>
      <c r="U365" t="s">
        <v>1626</v>
      </c>
      <c r="V365" t="s">
        <v>1627</v>
      </c>
      <c r="Z365">
        <v>1</v>
      </c>
      <c r="AA365">
        <v>3</v>
      </c>
      <c r="AB365">
        <v>-999</v>
      </c>
      <c r="AC365">
        <v>1</v>
      </c>
      <c r="AF365">
        <v>1893</v>
      </c>
      <c r="AG365">
        <v>1909</v>
      </c>
      <c r="AO365" t="b">
        <v>1</v>
      </c>
      <c r="AP365" t="s">
        <v>45</v>
      </c>
      <c r="AQ365">
        <v>1903</v>
      </c>
      <c r="AR365">
        <v>1978</v>
      </c>
      <c r="AS365" t="s">
        <v>1628</v>
      </c>
      <c r="AT365">
        <v>16.3750855578371</v>
      </c>
      <c r="AU365">
        <f t="shared" si="17"/>
        <v>4.4999999999999998E-2</v>
      </c>
    </row>
    <row r="366" spans="1:47" x14ac:dyDescent="0.3">
      <c r="A366">
        <v>364</v>
      </c>
      <c r="B366" t="s">
        <v>1629</v>
      </c>
      <c r="C366" t="s">
        <v>1630</v>
      </c>
      <c r="D366">
        <v>93</v>
      </c>
      <c r="E366" t="s">
        <v>1593</v>
      </c>
      <c r="F366" t="str">
        <f>VLOOKUP(E366,country_continent!A:C,2,FALSE)</f>
        <v>Nicaragua</v>
      </c>
      <c r="G366" t="str">
        <f>VLOOKUP(E366,country_continent!A:C,3,FALSE)</f>
        <v>North America</v>
      </c>
      <c r="H366" t="s">
        <v>1631</v>
      </c>
      <c r="I366" s="1">
        <v>3638</v>
      </c>
      <c r="J366" s="3">
        <f t="shared" si="15"/>
        <v>3638</v>
      </c>
      <c r="K366" s="1">
        <v>3885</v>
      </c>
      <c r="L366" s="3">
        <f t="shared" si="16"/>
        <v>3885</v>
      </c>
      <c r="M366" t="s">
        <v>67</v>
      </c>
      <c r="N366" t="s">
        <v>67</v>
      </c>
      <c r="O366" t="s">
        <v>347</v>
      </c>
      <c r="P366">
        <v>0</v>
      </c>
      <c r="Q366" t="s">
        <v>362</v>
      </c>
      <c r="R366" t="s">
        <v>51</v>
      </c>
      <c r="S366">
        <v>1867</v>
      </c>
      <c r="T366">
        <v>1911</v>
      </c>
      <c r="Z366">
        <v>1</v>
      </c>
      <c r="AA366">
        <v>3</v>
      </c>
      <c r="AB366">
        <v>-999</v>
      </c>
      <c r="AC366">
        <v>1</v>
      </c>
      <c r="AF366">
        <v>1909</v>
      </c>
      <c r="AG366">
        <v>1910</v>
      </c>
      <c r="AO366" t="b">
        <v>1</v>
      </c>
      <c r="AP366" t="s">
        <v>45</v>
      </c>
      <c r="AQ366">
        <v>1903</v>
      </c>
      <c r="AR366">
        <v>1978</v>
      </c>
      <c r="AS366" t="s">
        <v>1632</v>
      </c>
      <c r="AT366">
        <v>0.67624914442162898</v>
      </c>
      <c r="AU366">
        <f t="shared" si="17"/>
        <v>2E-3</v>
      </c>
    </row>
    <row r="367" spans="1:47" x14ac:dyDescent="0.3">
      <c r="A367">
        <v>365</v>
      </c>
      <c r="B367" t="s">
        <v>1633</v>
      </c>
      <c r="C367" t="s">
        <v>1634</v>
      </c>
      <c r="D367">
        <v>93</v>
      </c>
      <c r="E367" t="s">
        <v>1593</v>
      </c>
      <c r="F367" t="str">
        <f>VLOOKUP(E367,country_continent!A:C,2,FALSE)</f>
        <v>Nicaragua</v>
      </c>
      <c r="G367" t="str">
        <f>VLOOKUP(E367,country_continent!A:C,3,FALSE)</f>
        <v>North America</v>
      </c>
      <c r="H367" t="s">
        <v>1635</v>
      </c>
      <c r="I367" s="1">
        <v>3885</v>
      </c>
      <c r="J367" s="3">
        <f t="shared" si="15"/>
        <v>3885</v>
      </c>
      <c r="K367" s="1">
        <v>3894</v>
      </c>
      <c r="L367" s="3">
        <f t="shared" si="16"/>
        <v>3894</v>
      </c>
      <c r="M367" t="s">
        <v>67</v>
      </c>
      <c r="N367" t="s">
        <v>67</v>
      </c>
      <c r="O367" t="s">
        <v>347</v>
      </c>
      <c r="P367">
        <v>0</v>
      </c>
      <c r="Q367" t="s">
        <v>50</v>
      </c>
      <c r="R367" t="s">
        <v>51</v>
      </c>
      <c r="S367">
        <v>1869</v>
      </c>
      <c r="T367">
        <v>1911</v>
      </c>
      <c r="Z367">
        <v>1</v>
      </c>
      <c r="AA367">
        <v>3</v>
      </c>
      <c r="AB367">
        <v>-999</v>
      </c>
      <c r="AC367">
        <v>0</v>
      </c>
      <c r="AD367" t="s">
        <v>1636</v>
      </c>
      <c r="AF367">
        <v>1910</v>
      </c>
      <c r="AG367">
        <v>1910</v>
      </c>
      <c r="AO367" t="b">
        <v>1</v>
      </c>
      <c r="AP367" t="s">
        <v>45</v>
      </c>
      <c r="AQ367">
        <v>1903</v>
      </c>
      <c r="AR367">
        <v>1978</v>
      </c>
      <c r="AS367" t="s">
        <v>1637</v>
      </c>
      <c r="AT367">
        <v>2.4640657084188899E-2</v>
      </c>
      <c r="AU367">
        <f t="shared" si="17"/>
        <v>0</v>
      </c>
    </row>
    <row r="368" spans="1:47" x14ac:dyDescent="0.3">
      <c r="A368">
        <v>366</v>
      </c>
      <c r="B368" t="s">
        <v>1638</v>
      </c>
      <c r="C368" t="s">
        <v>1639</v>
      </c>
      <c r="D368">
        <v>93</v>
      </c>
      <c r="E368" t="s">
        <v>1593</v>
      </c>
      <c r="F368" t="str">
        <f>VLOOKUP(E368,country_continent!A:C,2,FALSE)</f>
        <v>Nicaragua</v>
      </c>
      <c r="G368" t="str">
        <f>VLOOKUP(E368,country_continent!A:C,3,FALSE)</f>
        <v>North America</v>
      </c>
      <c r="H368" t="s">
        <v>1640</v>
      </c>
      <c r="I368" s="1">
        <v>3894</v>
      </c>
      <c r="J368" s="3">
        <f t="shared" si="15"/>
        <v>3894</v>
      </c>
      <c r="K368" s="1">
        <v>4147</v>
      </c>
      <c r="L368" s="3">
        <f t="shared" si="16"/>
        <v>4147</v>
      </c>
      <c r="M368" t="s">
        <v>67</v>
      </c>
      <c r="N368" t="s">
        <v>67</v>
      </c>
      <c r="O368" t="s">
        <v>347</v>
      </c>
      <c r="P368">
        <v>0</v>
      </c>
      <c r="Q368" t="s">
        <v>362</v>
      </c>
      <c r="R368" t="s">
        <v>51</v>
      </c>
      <c r="S368">
        <v>1871</v>
      </c>
      <c r="T368">
        <v>1967</v>
      </c>
      <c r="Z368">
        <v>1</v>
      </c>
      <c r="AA368">
        <v>3</v>
      </c>
      <c r="AB368">
        <v>-999</v>
      </c>
      <c r="AC368">
        <v>1</v>
      </c>
      <c r="AF368">
        <v>1910</v>
      </c>
      <c r="AG368">
        <v>1911</v>
      </c>
      <c r="AO368" t="b">
        <v>1</v>
      </c>
      <c r="AP368" t="s">
        <v>45</v>
      </c>
      <c r="AQ368">
        <v>1903</v>
      </c>
      <c r="AR368">
        <v>1978</v>
      </c>
      <c r="AS368" t="s">
        <v>1641</v>
      </c>
      <c r="AT368">
        <v>0.69267624914442105</v>
      </c>
      <c r="AU368">
        <f t="shared" si="17"/>
        <v>2E-3</v>
      </c>
    </row>
    <row r="369" spans="1:47" x14ac:dyDescent="0.3">
      <c r="A369">
        <v>367</v>
      </c>
      <c r="B369" t="s">
        <v>1642</v>
      </c>
      <c r="C369" t="s">
        <v>1643</v>
      </c>
      <c r="D369">
        <v>93</v>
      </c>
      <c r="E369" t="s">
        <v>1593</v>
      </c>
      <c r="F369" t="str">
        <f>VLOOKUP(E369,country_continent!A:C,2,FALSE)</f>
        <v>Nicaragua</v>
      </c>
      <c r="G369" t="str">
        <f>VLOOKUP(E369,country_continent!A:C,3,FALSE)</f>
        <v>North America</v>
      </c>
      <c r="H369" t="s">
        <v>1644</v>
      </c>
      <c r="I369" s="1">
        <v>4147</v>
      </c>
      <c r="J369" s="3">
        <f t="shared" si="15"/>
        <v>4147</v>
      </c>
      <c r="K369" s="1">
        <v>6210</v>
      </c>
      <c r="L369" s="3">
        <f t="shared" si="16"/>
        <v>6210</v>
      </c>
      <c r="M369" t="s">
        <v>67</v>
      </c>
      <c r="N369" t="s">
        <v>49</v>
      </c>
      <c r="O369" t="s">
        <v>49</v>
      </c>
      <c r="P369">
        <v>0</v>
      </c>
      <c r="Q369" t="s">
        <v>50</v>
      </c>
      <c r="R369" t="s">
        <v>51</v>
      </c>
      <c r="S369">
        <v>1875</v>
      </c>
      <c r="T369">
        <v>1964</v>
      </c>
      <c r="Z369">
        <v>1</v>
      </c>
      <c r="AA369">
        <v>1</v>
      </c>
      <c r="AB369">
        <v>0</v>
      </c>
      <c r="AC369">
        <v>0</v>
      </c>
      <c r="AF369">
        <v>1911</v>
      </c>
      <c r="AG369">
        <v>1916</v>
      </c>
      <c r="AO369" t="b">
        <v>1</v>
      </c>
      <c r="AP369" t="s">
        <v>45</v>
      </c>
      <c r="AQ369">
        <v>1903</v>
      </c>
      <c r="AR369">
        <v>1978</v>
      </c>
      <c r="AS369" t="s">
        <v>1645</v>
      </c>
      <c r="AT369">
        <v>5.64818617385352</v>
      </c>
      <c r="AU369">
        <f t="shared" si="17"/>
        <v>1.4999999999999999E-2</v>
      </c>
    </row>
    <row r="370" spans="1:47" x14ac:dyDescent="0.3">
      <c r="A370">
        <v>368</v>
      </c>
      <c r="B370" t="s">
        <v>1646</v>
      </c>
      <c r="C370" t="s">
        <v>1647</v>
      </c>
      <c r="D370">
        <v>93</v>
      </c>
      <c r="E370" t="s">
        <v>1593</v>
      </c>
      <c r="F370" t="str">
        <f>VLOOKUP(E370,country_continent!A:C,2,FALSE)</f>
        <v>Nicaragua</v>
      </c>
      <c r="G370" t="str">
        <f>VLOOKUP(E370,country_continent!A:C,3,FALSE)</f>
        <v>North America</v>
      </c>
      <c r="H370" t="s">
        <v>1648</v>
      </c>
      <c r="I370" s="1">
        <v>6211</v>
      </c>
      <c r="J370" s="3">
        <f t="shared" si="15"/>
        <v>6211</v>
      </c>
      <c r="K370" s="1">
        <v>7671</v>
      </c>
      <c r="L370" s="3">
        <f t="shared" si="16"/>
        <v>7671</v>
      </c>
      <c r="M370" t="s">
        <v>49</v>
      </c>
      <c r="N370" t="s">
        <v>49</v>
      </c>
      <c r="O370" t="s">
        <v>49</v>
      </c>
      <c r="P370">
        <v>0</v>
      </c>
      <c r="Q370" t="s">
        <v>50</v>
      </c>
      <c r="R370" t="s">
        <v>51</v>
      </c>
      <c r="S370">
        <v>1871</v>
      </c>
      <c r="T370">
        <v>1966</v>
      </c>
      <c r="U370" t="s">
        <v>1649</v>
      </c>
      <c r="V370" t="s">
        <v>1650</v>
      </c>
      <c r="W370" s="1">
        <v>24164</v>
      </c>
      <c r="X370" s="2">
        <v>24164</v>
      </c>
      <c r="Z370">
        <v>0</v>
      </c>
      <c r="AA370">
        <v>1</v>
      </c>
      <c r="AB370">
        <v>0</v>
      </c>
      <c r="AC370">
        <v>0</v>
      </c>
      <c r="AF370">
        <v>1917</v>
      </c>
      <c r="AG370">
        <v>1920</v>
      </c>
      <c r="AO370" t="b">
        <v>1</v>
      </c>
      <c r="AP370" t="s">
        <v>45</v>
      </c>
      <c r="AQ370">
        <v>1903</v>
      </c>
      <c r="AR370">
        <v>1978</v>
      </c>
      <c r="AS370" t="s">
        <v>1651</v>
      </c>
      <c r="AT370">
        <v>3.9972621492128599</v>
      </c>
      <c r="AU370">
        <f t="shared" si="17"/>
        <v>1.0999999999999999E-2</v>
      </c>
    </row>
    <row r="371" spans="1:47" x14ac:dyDescent="0.3">
      <c r="A371">
        <v>369</v>
      </c>
      <c r="B371" t="s">
        <v>1652</v>
      </c>
      <c r="C371" t="s">
        <v>1653</v>
      </c>
      <c r="D371">
        <v>93</v>
      </c>
      <c r="E371" t="s">
        <v>1593</v>
      </c>
      <c r="F371" t="str">
        <f>VLOOKUP(E371,country_continent!A:C,2,FALSE)</f>
        <v>Nicaragua</v>
      </c>
      <c r="G371" t="str">
        <f>VLOOKUP(E371,country_continent!A:C,3,FALSE)</f>
        <v>North America</v>
      </c>
      <c r="H371" t="s">
        <v>1654</v>
      </c>
      <c r="I371" s="1">
        <v>7672</v>
      </c>
      <c r="J371" s="3">
        <f t="shared" si="15"/>
        <v>7672</v>
      </c>
      <c r="K371" s="1">
        <v>8686</v>
      </c>
      <c r="L371" s="3">
        <f t="shared" si="16"/>
        <v>8686</v>
      </c>
      <c r="M371" t="s">
        <v>49</v>
      </c>
      <c r="N371" t="s">
        <v>110</v>
      </c>
      <c r="O371" t="s">
        <v>49</v>
      </c>
      <c r="P371">
        <v>0</v>
      </c>
      <c r="Q371" t="s">
        <v>111</v>
      </c>
      <c r="R371" t="s">
        <v>51</v>
      </c>
      <c r="S371">
        <v>1861</v>
      </c>
      <c r="T371">
        <v>1923</v>
      </c>
      <c r="Z371">
        <v>0</v>
      </c>
      <c r="AA371">
        <v>2</v>
      </c>
      <c r="AB371">
        <v>0</v>
      </c>
      <c r="AC371">
        <v>-777</v>
      </c>
      <c r="AD371" t="s">
        <v>1655</v>
      </c>
      <c r="AE371">
        <v>1</v>
      </c>
      <c r="AF371">
        <v>1921</v>
      </c>
      <c r="AG371">
        <v>1923</v>
      </c>
      <c r="AO371" t="b">
        <v>1</v>
      </c>
      <c r="AP371" t="s">
        <v>45</v>
      </c>
      <c r="AQ371">
        <v>1903</v>
      </c>
      <c r="AR371">
        <v>1978</v>
      </c>
      <c r="AS371" t="s">
        <v>1656</v>
      </c>
      <c r="AT371">
        <v>2.7761806981519501</v>
      </c>
      <c r="AU371">
        <f t="shared" si="17"/>
        <v>8.0000000000000002E-3</v>
      </c>
    </row>
    <row r="372" spans="1:47" x14ac:dyDescent="0.3">
      <c r="A372">
        <v>370</v>
      </c>
      <c r="B372" t="s">
        <v>1657</v>
      </c>
      <c r="C372" t="s">
        <v>1658</v>
      </c>
      <c r="D372">
        <v>93</v>
      </c>
      <c r="E372" t="s">
        <v>1593</v>
      </c>
      <c r="F372" t="str">
        <f>VLOOKUP(E372,country_continent!A:C,2,FALSE)</f>
        <v>Nicaragua</v>
      </c>
      <c r="G372" t="str">
        <f>VLOOKUP(E372,country_continent!A:C,3,FALSE)</f>
        <v>North America</v>
      </c>
      <c r="H372" t="s">
        <v>1659</v>
      </c>
      <c r="I372" s="1">
        <v>8686</v>
      </c>
      <c r="J372" s="3">
        <f t="shared" si="15"/>
        <v>8686</v>
      </c>
      <c r="K372" s="1">
        <v>9108</v>
      </c>
      <c r="L372" s="3">
        <f t="shared" si="16"/>
        <v>9108</v>
      </c>
      <c r="M372" t="s">
        <v>49</v>
      </c>
      <c r="N372" t="s">
        <v>49</v>
      </c>
      <c r="O372" t="s">
        <v>49</v>
      </c>
      <c r="P372">
        <v>0</v>
      </c>
      <c r="Q372" t="s">
        <v>362</v>
      </c>
      <c r="R372" t="s">
        <v>51</v>
      </c>
      <c r="S372">
        <v>1860</v>
      </c>
      <c r="T372">
        <v>1936</v>
      </c>
      <c r="Z372">
        <v>0</v>
      </c>
      <c r="AA372">
        <v>1</v>
      </c>
      <c r="AB372">
        <v>0</v>
      </c>
      <c r="AC372">
        <v>1</v>
      </c>
      <c r="AF372">
        <v>1923</v>
      </c>
      <c r="AG372">
        <v>1924</v>
      </c>
      <c r="AO372" t="b">
        <v>1</v>
      </c>
      <c r="AP372" t="s">
        <v>45</v>
      </c>
      <c r="AQ372">
        <v>1903</v>
      </c>
      <c r="AR372">
        <v>1978</v>
      </c>
      <c r="AS372" t="s">
        <v>1660</v>
      </c>
      <c r="AT372">
        <v>1.15537303216974</v>
      </c>
      <c r="AU372">
        <f t="shared" si="17"/>
        <v>3.0000000000000001E-3</v>
      </c>
    </row>
    <row r="373" spans="1:47" x14ac:dyDescent="0.3">
      <c r="A373">
        <v>371</v>
      </c>
      <c r="B373" t="s">
        <v>1661</v>
      </c>
      <c r="C373" t="s">
        <v>1662</v>
      </c>
      <c r="D373">
        <v>93</v>
      </c>
      <c r="E373" t="s">
        <v>1593</v>
      </c>
      <c r="F373" t="str">
        <f>VLOOKUP(E373,country_continent!A:C,2,FALSE)</f>
        <v>Nicaragua</v>
      </c>
      <c r="G373" t="str">
        <f>VLOOKUP(E373,country_continent!A:C,3,FALSE)</f>
        <v>North America</v>
      </c>
      <c r="H373" t="s">
        <v>1663</v>
      </c>
      <c r="I373" s="1">
        <v>9133</v>
      </c>
      <c r="J373" s="3">
        <f t="shared" si="15"/>
        <v>9133</v>
      </c>
      <c r="K373" s="1">
        <v>9511</v>
      </c>
      <c r="L373" s="3">
        <f t="shared" si="16"/>
        <v>9511</v>
      </c>
      <c r="M373" t="s">
        <v>49</v>
      </c>
      <c r="N373" t="s">
        <v>67</v>
      </c>
      <c r="O373" t="s">
        <v>376</v>
      </c>
      <c r="P373">
        <v>0</v>
      </c>
      <c r="Q373" t="s">
        <v>362</v>
      </c>
      <c r="R373" t="s">
        <v>51</v>
      </c>
      <c r="S373">
        <v>1860</v>
      </c>
      <c r="T373">
        <v>1936</v>
      </c>
      <c r="Z373">
        <v>0</v>
      </c>
      <c r="AA373">
        <v>3</v>
      </c>
      <c r="AB373">
        <v>6</v>
      </c>
      <c r="AC373">
        <v>1</v>
      </c>
      <c r="AF373">
        <v>1925</v>
      </c>
      <c r="AG373">
        <v>1926</v>
      </c>
      <c r="AO373" t="b">
        <v>1</v>
      </c>
      <c r="AP373" t="s">
        <v>45</v>
      </c>
      <c r="AQ373">
        <v>1903</v>
      </c>
      <c r="AR373">
        <v>1978</v>
      </c>
      <c r="AS373" t="s">
        <v>1664</v>
      </c>
      <c r="AT373">
        <v>1.0349075975359301</v>
      </c>
      <c r="AU373">
        <f t="shared" si="17"/>
        <v>3.0000000000000001E-3</v>
      </c>
    </row>
    <row r="374" spans="1:47" x14ac:dyDescent="0.3">
      <c r="A374">
        <v>372</v>
      </c>
      <c r="B374" t="s">
        <v>1665</v>
      </c>
      <c r="C374" t="s">
        <v>1647</v>
      </c>
      <c r="D374">
        <v>93</v>
      </c>
      <c r="E374" t="s">
        <v>1593</v>
      </c>
      <c r="F374" t="str">
        <f>VLOOKUP(E374,country_continent!A:C,2,FALSE)</f>
        <v>Nicaragua</v>
      </c>
      <c r="G374" t="str">
        <f>VLOOKUP(E374,country_continent!A:C,3,FALSE)</f>
        <v>North America</v>
      </c>
      <c r="H374" t="s">
        <v>1648</v>
      </c>
      <c r="I374" s="1">
        <v>9514</v>
      </c>
      <c r="J374" s="3">
        <f t="shared" si="15"/>
        <v>9514</v>
      </c>
      <c r="K374" s="1">
        <v>9800</v>
      </c>
      <c r="L374" s="3">
        <f t="shared" si="16"/>
        <v>9800</v>
      </c>
      <c r="M374" t="s">
        <v>67</v>
      </c>
      <c r="N374" t="s">
        <v>49</v>
      </c>
      <c r="O374" t="s">
        <v>49</v>
      </c>
      <c r="P374">
        <v>1</v>
      </c>
      <c r="Q374" t="s">
        <v>362</v>
      </c>
      <c r="R374" t="s">
        <v>51</v>
      </c>
      <c r="S374">
        <v>1871</v>
      </c>
      <c r="T374">
        <v>1966</v>
      </c>
      <c r="U374" t="s">
        <v>1649</v>
      </c>
      <c r="V374" t="s">
        <v>1650</v>
      </c>
      <c r="W374" s="1">
        <v>24164</v>
      </c>
      <c r="X374" s="2">
        <v>24164</v>
      </c>
      <c r="Z374">
        <v>1</v>
      </c>
      <c r="AA374">
        <v>1</v>
      </c>
      <c r="AB374">
        <v>0</v>
      </c>
      <c r="AC374">
        <v>1</v>
      </c>
      <c r="AF374">
        <v>1926</v>
      </c>
      <c r="AG374">
        <v>1926</v>
      </c>
      <c r="AO374" t="b">
        <v>1</v>
      </c>
      <c r="AP374" t="s">
        <v>45</v>
      </c>
      <c r="AQ374">
        <v>1903</v>
      </c>
      <c r="AR374">
        <v>1978</v>
      </c>
      <c r="AS374" t="s">
        <v>1666</v>
      </c>
      <c r="AT374">
        <v>0.78302532511978096</v>
      </c>
      <c r="AU374">
        <f t="shared" si="17"/>
        <v>2E-3</v>
      </c>
    </row>
    <row r="375" spans="1:47" x14ac:dyDescent="0.3">
      <c r="A375">
        <v>373</v>
      </c>
      <c r="B375" t="s">
        <v>1667</v>
      </c>
      <c r="C375" t="s">
        <v>1643</v>
      </c>
      <c r="D375">
        <v>93</v>
      </c>
      <c r="E375" t="s">
        <v>1593</v>
      </c>
      <c r="F375" t="str">
        <f>VLOOKUP(E375,country_continent!A:C,2,FALSE)</f>
        <v>Nicaragua</v>
      </c>
      <c r="G375" t="str">
        <f>VLOOKUP(E375,country_continent!A:C,3,FALSE)</f>
        <v>North America</v>
      </c>
      <c r="H375" t="s">
        <v>1644</v>
      </c>
      <c r="I375" s="1">
        <v>9800</v>
      </c>
      <c r="J375" s="3">
        <f t="shared" si="15"/>
        <v>9800</v>
      </c>
      <c r="K375" s="1">
        <v>10594</v>
      </c>
      <c r="L375" s="3">
        <f t="shared" si="16"/>
        <v>10594</v>
      </c>
      <c r="M375" t="s">
        <v>49</v>
      </c>
      <c r="N375" t="s">
        <v>49</v>
      </c>
      <c r="O375" t="s">
        <v>49</v>
      </c>
      <c r="P375">
        <v>1</v>
      </c>
      <c r="Q375" t="s">
        <v>362</v>
      </c>
      <c r="R375" t="s">
        <v>51</v>
      </c>
      <c r="S375">
        <v>1875</v>
      </c>
      <c r="T375">
        <v>1964</v>
      </c>
      <c r="Z375">
        <v>0</v>
      </c>
      <c r="AA375">
        <v>1</v>
      </c>
      <c r="AB375">
        <v>0</v>
      </c>
      <c r="AC375">
        <v>1</v>
      </c>
      <c r="AF375">
        <v>1926</v>
      </c>
      <c r="AG375">
        <v>1929</v>
      </c>
      <c r="AO375" t="b">
        <v>1</v>
      </c>
      <c r="AP375" t="s">
        <v>45</v>
      </c>
      <c r="AQ375">
        <v>1903</v>
      </c>
      <c r="AR375">
        <v>1978</v>
      </c>
      <c r="AS375" t="s">
        <v>1668</v>
      </c>
      <c r="AT375">
        <v>2.1738535249828801</v>
      </c>
      <c r="AU375">
        <f t="shared" si="17"/>
        <v>6.0000000000000001E-3</v>
      </c>
    </row>
    <row r="376" spans="1:47" x14ac:dyDescent="0.3">
      <c r="A376">
        <v>374</v>
      </c>
      <c r="B376" t="s">
        <v>1669</v>
      </c>
      <c r="C376" t="s">
        <v>1670</v>
      </c>
      <c r="D376">
        <v>93</v>
      </c>
      <c r="E376" t="s">
        <v>1593</v>
      </c>
      <c r="F376" t="str">
        <f>VLOOKUP(E376,country_continent!A:C,2,FALSE)</f>
        <v>Nicaragua</v>
      </c>
      <c r="G376" t="str">
        <f>VLOOKUP(E376,country_continent!A:C,3,FALSE)</f>
        <v>North America</v>
      </c>
      <c r="H376" t="s">
        <v>1671</v>
      </c>
      <c r="I376" s="1">
        <v>10594</v>
      </c>
      <c r="J376" s="3">
        <f t="shared" si="15"/>
        <v>10594</v>
      </c>
      <c r="K376" s="1">
        <v>12054</v>
      </c>
      <c r="L376" s="3">
        <f t="shared" si="16"/>
        <v>12054</v>
      </c>
      <c r="M376" t="s">
        <v>49</v>
      </c>
      <c r="N376" t="s">
        <v>49</v>
      </c>
      <c r="O376" t="s">
        <v>49</v>
      </c>
      <c r="P376">
        <v>0</v>
      </c>
      <c r="Q376" t="s">
        <v>50</v>
      </c>
      <c r="R376" t="s">
        <v>51</v>
      </c>
      <c r="S376">
        <v>1871</v>
      </c>
      <c r="T376">
        <v>1945</v>
      </c>
      <c r="Z376">
        <v>0</v>
      </c>
      <c r="AA376">
        <v>1</v>
      </c>
      <c r="AB376">
        <v>0</v>
      </c>
      <c r="AC376">
        <v>0</v>
      </c>
      <c r="AF376">
        <v>1929</v>
      </c>
      <c r="AG376">
        <v>1932</v>
      </c>
      <c r="AO376" t="b">
        <v>1</v>
      </c>
      <c r="AP376" t="s">
        <v>45</v>
      </c>
      <c r="AQ376">
        <v>1903</v>
      </c>
      <c r="AR376">
        <v>1978</v>
      </c>
      <c r="AS376" t="s">
        <v>1651</v>
      </c>
      <c r="AT376">
        <v>3.9972621492128599</v>
      </c>
      <c r="AU376">
        <f t="shared" si="17"/>
        <v>1.0999999999999999E-2</v>
      </c>
    </row>
    <row r="377" spans="1:47" x14ac:dyDescent="0.3">
      <c r="A377">
        <v>375</v>
      </c>
      <c r="B377" t="s">
        <v>1672</v>
      </c>
      <c r="C377" t="s">
        <v>1673</v>
      </c>
      <c r="D377">
        <v>93</v>
      </c>
      <c r="E377" t="s">
        <v>1593</v>
      </c>
      <c r="F377" t="str">
        <f>VLOOKUP(E377,country_continent!A:C,2,FALSE)</f>
        <v>Nicaragua</v>
      </c>
      <c r="G377" t="str">
        <f>VLOOKUP(E377,country_continent!A:C,3,FALSE)</f>
        <v>North America</v>
      </c>
      <c r="H377" t="s">
        <v>1674</v>
      </c>
      <c r="I377" s="1">
        <v>12055</v>
      </c>
      <c r="J377" s="3">
        <f t="shared" si="15"/>
        <v>12055</v>
      </c>
      <c r="K377" s="1">
        <v>13307</v>
      </c>
      <c r="L377" s="3">
        <f t="shared" si="16"/>
        <v>13307</v>
      </c>
      <c r="M377" t="s">
        <v>49</v>
      </c>
      <c r="N377" t="s">
        <v>49</v>
      </c>
      <c r="O377" t="s">
        <v>49</v>
      </c>
      <c r="P377">
        <v>0</v>
      </c>
      <c r="Q377" t="s">
        <v>362</v>
      </c>
      <c r="R377" t="s">
        <v>51</v>
      </c>
      <c r="S377">
        <v>1874</v>
      </c>
      <c r="T377">
        <v>1946</v>
      </c>
      <c r="U377" t="s">
        <v>1675</v>
      </c>
      <c r="V377" t="s">
        <v>1676</v>
      </c>
      <c r="Y377" t="s">
        <v>1677</v>
      </c>
      <c r="Z377">
        <v>0</v>
      </c>
      <c r="AA377">
        <v>1</v>
      </c>
      <c r="AB377">
        <v>0</v>
      </c>
      <c r="AC377">
        <v>1</v>
      </c>
      <c r="AD377" t="s">
        <v>1678</v>
      </c>
      <c r="AE377">
        <v>1</v>
      </c>
      <c r="AF377">
        <v>1933</v>
      </c>
      <c r="AG377">
        <v>1936</v>
      </c>
      <c r="AO377" t="b">
        <v>1</v>
      </c>
      <c r="AP377" t="s">
        <v>45</v>
      </c>
      <c r="AQ377">
        <v>1903</v>
      </c>
      <c r="AR377">
        <v>1978</v>
      </c>
      <c r="AS377" t="s">
        <v>1679</v>
      </c>
      <c r="AT377">
        <v>3.4277891854893898</v>
      </c>
      <c r="AU377">
        <f t="shared" si="17"/>
        <v>8.9999999999999993E-3</v>
      </c>
    </row>
    <row r="378" spans="1:47" x14ac:dyDescent="0.3">
      <c r="A378">
        <v>376</v>
      </c>
      <c r="B378" t="s">
        <v>1680</v>
      </c>
      <c r="C378" t="s">
        <v>1681</v>
      </c>
      <c r="D378">
        <v>93</v>
      </c>
      <c r="E378" t="s">
        <v>1593</v>
      </c>
      <c r="F378" t="str">
        <f>VLOOKUP(E378,country_continent!A:C,2,FALSE)</f>
        <v>Nicaragua</v>
      </c>
      <c r="G378" t="str">
        <f>VLOOKUP(E378,country_continent!A:C,3,FALSE)</f>
        <v>North America</v>
      </c>
      <c r="H378" t="s">
        <v>1682</v>
      </c>
      <c r="I378" s="1">
        <v>13307</v>
      </c>
      <c r="J378" s="3">
        <f t="shared" si="15"/>
        <v>13307</v>
      </c>
      <c r="K378" s="1">
        <v>13502</v>
      </c>
      <c r="L378" s="3">
        <f t="shared" si="16"/>
        <v>13502</v>
      </c>
      <c r="M378" t="s">
        <v>49</v>
      </c>
      <c r="N378" t="s">
        <v>49</v>
      </c>
      <c r="O378" t="s">
        <v>49</v>
      </c>
      <c r="P378">
        <v>0</v>
      </c>
      <c r="Q378" t="s">
        <v>362</v>
      </c>
      <c r="R378" t="s">
        <v>51</v>
      </c>
      <c r="S378">
        <v>1886</v>
      </c>
      <c r="T378">
        <v>1942</v>
      </c>
      <c r="Z378">
        <v>0</v>
      </c>
      <c r="AA378">
        <v>1</v>
      </c>
      <c r="AB378">
        <v>0</v>
      </c>
      <c r="AC378">
        <v>1</v>
      </c>
      <c r="AF378">
        <v>1936</v>
      </c>
      <c r="AG378">
        <v>1936</v>
      </c>
      <c r="AO378" t="b">
        <v>1</v>
      </c>
      <c r="AP378" t="s">
        <v>45</v>
      </c>
      <c r="AQ378">
        <v>1903</v>
      </c>
      <c r="AR378">
        <v>1978</v>
      </c>
      <c r="AS378" t="s">
        <v>1683</v>
      </c>
      <c r="AT378">
        <v>0.53388090349075901</v>
      </c>
      <c r="AU378">
        <f t="shared" si="17"/>
        <v>1E-3</v>
      </c>
    </row>
    <row r="379" spans="1:47" x14ac:dyDescent="0.3">
      <c r="A379">
        <v>377</v>
      </c>
      <c r="B379" t="s">
        <v>1684</v>
      </c>
      <c r="C379" t="s">
        <v>1685</v>
      </c>
      <c r="D379">
        <v>93</v>
      </c>
      <c r="E379" t="s">
        <v>1593</v>
      </c>
      <c r="F379" t="str">
        <f>VLOOKUP(E379,country_continent!A:C,2,FALSE)</f>
        <v>Nicaragua</v>
      </c>
      <c r="G379" t="str">
        <f>VLOOKUP(E379,country_continent!A:C,3,FALSE)</f>
        <v>North America</v>
      </c>
      <c r="H379" t="s">
        <v>1686</v>
      </c>
      <c r="I379" s="1">
        <v>13516</v>
      </c>
      <c r="J379" s="3">
        <f t="shared" si="15"/>
        <v>13516</v>
      </c>
      <c r="K379" s="1">
        <v>17288</v>
      </c>
      <c r="L379" s="3">
        <f t="shared" si="16"/>
        <v>17288</v>
      </c>
      <c r="M379" t="s">
        <v>49</v>
      </c>
      <c r="N379" t="s">
        <v>49</v>
      </c>
      <c r="O379" t="s">
        <v>49</v>
      </c>
      <c r="P379">
        <v>0</v>
      </c>
      <c r="Q379" t="s">
        <v>50</v>
      </c>
      <c r="R379" t="s">
        <v>51</v>
      </c>
      <c r="S379">
        <v>1896</v>
      </c>
      <c r="T379">
        <v>1956</v>
      </c>
      <c r="U379" t="s">
        <v>1687</v>
      </c>
      <c r="V379" t="s">
        <v>1688</v>
      </c>
      <c r="W379" s="1">
        <v>20727</v>
      </c>
      <c r="X379" s="2">
        <v>20727</v>
      </c>
      <c r="Z379">
        <v>0</v>
      </c>
      <c r="AA379">
        <v>1</v>
      </c>
      <c r="AB379">
        <v>0</v>
      </c>
      <c r="AC379">
        <v>0</v>
      </c>
      <c r="AF379">
        <v>1937</v>
      </c>
      <c r="AG379">
        <v>1947</v>
      </c>
      <c r="AN379">
        <v>-8</v>
      </c>
      <c r="AO379" t="b">
        <v>1</v>
      </c>
      <c r="AP379" t="s">
        <v>45</v>
      </c>
      <c r="AQ379">
        <v>1903</v>
      </c>
      <c r="AR379">
        <v>1978</v>
      </c>
      <c r="AS379" t="s">
        <v>1689</v>
      </c>
      <c r="AT379">
        <v>10.327173169062201</v>
      </c>
      <c r="AU379">
        <f t="shared" si="17"/>
        <v>2.8000000000000001E-2</v>
      </c>
    </row>
    <row r="380" spans="1:47" x14ac:dyDescent="0.3">
      <c r="A380">
        <v>378</v>
      </c>
      <c r="B380" t="s">
        <v>1690</v>
      </c>
      <c r="C380" t="s">
        <v>1691</v>
      </c>
      <c r="D380">
        <v>93</v>
      </c>
      <c r="E380" t="s">
        <v>1593</v>
      </c>
      <c r="F380" t="str">
        <f>VLOOKUP(E380,country_continent!A:C,2,FALSE)</f>
        <v>Nicaragua</v>
      </c>
      <c r="G380" t="str">
        <f>VLOOKUP(E380,country_continent!A:C,3,FALSE)</f>
        <v>North America</v>
      </c>
      <c r="H380" t="s">
        <v>1692</v>
      </c>
      <c r="I380" s="1">
        <v>17288</v>
      </c>
      <c r="J380" s="3">
        <f t="shared" si="15"/>
        <v>17288</v>
      </c>
      <c r="K380" s="1">
        <v>17313</v>
      </c>
      <c r="L380" s="3">
        <f t="shared" si="16"/>
        <v>17313</v>
      </c>
      <c r="M380" t="s">
        <v>49</v>
      </c>
      <c r="N380" t="s">
        <v>67</v>
      </c>
      <c r="O380" t="s">
        <v>376</v>
      </c>
      <c r="P380">
        <v>0</v>
      </c>
      <c r="Q380" t="s">
        <v>362</v>
      </c>
      <c r="R380" t="s">
        <v>51</v>
      </c>
      <c r="S380">
        <v>1875</v>
      </c>
      <c r="T380">
        <v>1947</v>
      </c>
      <c r="U380" t="s">
        <v>1693</v>
      </c>
      <c r="V380" t="s">
        <v>1694</v>
      </c>
      <c r="W380" s="1">
        <v>17516</v>
      </c>
      <c r="X380" s="2">
        <v>17516</v>
      </c>
      <c r="Z380">
        <v>0</v>
      </c>
      <c r="AA380">
        <v>3</v>
      </c>
      <c r="AB380">
        <v>6</v>
      </c>
      <c r="AC380">
        <v>1</v>
      </c>
      <c r="AF380">
        <v>1947</v>
      </c>
      <c r="AG380">
        <v>1947</v>
      </c>
      <c r="AN380">
        <v>-8</v>
      </c>
      <c r="AO380" t="b">
        <v>1</v>
      </c>
      <c r="AP380" t="s">
        <v>45</v>
      </c>
      <c r="AQ380">
        <v>1903</v>
      </c>
      <c r="AR380">
        <v>1978</v>
      </c>
      <c r="AS380" t="s">
        <v>1695</v>
      </c>
      <c r="AT380">
        <v>6.8446269678302502E-2</v>
      </c>
      <c r="AU380">
        <f t="shared" si="17"/>
        <v>0</v>
      </c>
    </row>
    <row r="381" spans="1:47" x14ac:dyDescent="0.3">
      <c r="A381">
        <v>379</v>
      </c>
      <c r="B381" t="s">
        <v>1696</v>
      </c>
      <c r="C381" t="s">
        <v>1685</v>
      </c>
      <c r="D381">
        <v>93</v>
      </c>
      <c r="E381" t="s">
        <v>1593</v>
      </c>
      <c r="F381" t="str">
        <f>VLOOKUP(E381,country_continent!A:C,2,FALSE)</f>
        <v>Nicaragua</v>
      </c>
      <c r="G381" t="str">
        <f>VLOOKUP(E381,country_continent!A:C,3,FALSE)</f>
        <v>North America</v>
      </c>
      <c r="H381" t="s">
        <v>1686</v>
      </c>
      <c r="I381" s="1">
        <v>17313</v>
      </c>
      <c r="J381" s="3">
        <f t="shared" si="15"/>
        <v>17313</v>
      </c>
      <c r="K381" s="1">
        <v>20727</v>
      </c>
      <c r="L381" s="3">
        <f t="shared" si="16"/>
        <v>20727</v>
      </c>
      <c r="M381" t="s">
        <v>67</v>
      </c>
      <c r="N381" t="s">
        <v>67</v>
      </c>
      <c r="O381" t="s">
        <v>68</v>
      </c>
      <c r="P381">
        <v>1</v>
      </c>
      <c r="Q381" t="s">
        <v>69</v>
      </c>
      <c r="R381" t="s">
        <v>51</v>
      </c>
      <c r="S381">
        <v>1896</v>
      </c>
      <c r="T381">
        <v>1956</v>
      </c>
      <c r="U381" t="s">
        <v>1687</v>
      </c>
      <c r="V381" t="s">
        <v>1688</v>
      </c>
      <c r="W381" s="1">
        <v>20727</v>
      </c>
      <c r="X381" s="2">
        <v>20727</v>
      </c>
      <c r="Z381">
        <v>1</v>
      </c>
      <c r="AA381">
        <v>3</v>
      </c>
      <c r="AB381">
        <v>11</v>
      </c>
      <c r="AC381">
        <v>3</v>
      </c>
      <c r="AF381">
        <v>1947</v>
      </c>
      <c r="AG381">
        <v>1956</v>
      </c>
      <c r="AN381">
        <v>-8</v>
      </c>
      <c r="AO381" t="b">
        <v>1</v>
      </c>
      <c r="AP381" t="s">
        <v>45</v>
      </c>
      <c r="AQ381">
        <v>1903</v>
      </c>
      <c r="AR381">
        <v>1978</v>
      </c>
      <c r="AS381" t="s">
        <v>1697</v>
      </c>
      <c r="AT381">
        <v>9.3470225872689898</v>
      </c>
      <c r="AU381">
        <f t="shared" si="17"/>
        <v>2.5999999999999999E-2</v>
      </c>
    </row>
    <row r="382" spans="1:47" x14ac:dyDescent="0.3">
      <c r="A382">
        <v>380</v>
      </c>
      <c r="B382" t="s">
        <v>1698</v>
      </c>
      <c r="C382" t="s">
        <v>1699</v>
      </c>
      <c r="D382">
        <v>93</v>
      </c>
      <c r="E382" t="s">
        <v>1593</v>
      </c>
      <c r="F382" t="str">
        <f>VLOOKUP(E382,country_continent!A:C,2,FALSE)</f>
        <v>Nicaragua</v>
      </c>
      <c r="G382" t="str">
        <f>VLOOKUP(E382,country_continent!A:C,3,FALSE)</f>
        <v>North America</v>
      </c>
      <c r="H382" t="s">
        <v>1700</v>
      </c>
      <c r="I382" s="1">
        <v>20727</v>
      </c>
      <c r="J382" s="3">
        <f t="shared" si="15"/>
        <v>20727</v>
      </c>
      <c r="K382" s="1">
        <v>23132</v>
      </c>
      <c r="L382" s="3">
        <f t="shared" si="16"/>
        <v>23132</v>
      </c>
      <c r="M382" t="s">
        <v>49</v>
      </c>
      <c r="N382" t="s">
        <v>49</v>
      </c>
      <c r="O382" t="s">
        <v>49</v>
      </c>
      <c r="P382">
        <v>0</v>
      </c>
      <c r="Q382" t="s">
        <v>50</v>
      </c>
      <c r="R382" t="s">
        <v>51</v>
      </c>
      <c r="S382">
        <v>1922</v>
      </c>
      <c r="T382">
        <v>1967</v>
      </c>
      <c r="U382" s="1">
        <v>8358</v>
      </c>
      <c r="V382" s="2">
        <v>8358</v>
      </c>
      <c r="Z382">
        <v>0</v>
      </c>
      <c r="AA382">
        <v>1</v>
      </c>
      <c r="AB382">
        <v>0</v>
      </c>
      <c r="AC382">
        <v>0</v>
      </c>
      <c r="AF382">
        <v>1956</v>
      </c>
      <c r="AG382">
        <v>1963</v>
      </c>
      <c r="AH382">
        <v>6.5087645369639198</v>
      </c>
      <c r="AI382">
        <v>145</v>
      </c>
      <c r="AJ382">
        <v>-0.330342005699928</v>
      </c>
      <c r="AK382">
        <v>194.95</v>
      </c>
      <c r="AL382">
        <v>2.9988989447570802</v>
      </c>
      <c r="AN382">
        <v>-8</v>
      </c>
      <c r="AO382" t="b">
        <v>1</v>
      </c>
      <c r="AP382" t="s">
        <v>45</v>
      </c>
      <c r="AQ382">
        <v>1903</v>
      </c>
      <c r="AR382">
        <v>1978</v>
      </c>
      <c r="AS382" t="s">
        <v>1701</v>
      </c>
      <c r="AT382">
        <v>6.5845311430526996</v>
      </c>
      <c r="AU382">
        <f t="shared" si="17"/>
        <v>1.7999999999999999E-2</v>
      </c>
    </row>
    <row r="383" spans="1:47" x14ac:dyDescent="0.3">
      <c r="A383">
        <v>381</v>
      </c>
      <c r="B383" t="s">
        <v>1702</v>
      </c>
      <c r="C383" t="s">
        <v>1703</v>
      </c>
      <c r="D383">
        <v>93</v>
      </c>
      <c r="E383" t="s">
        <v>1593</v>
      </c>
      <c r="F383" t="str">
        <f>VLOOKUP(E383,country_continent!A:C,2,FALSE)</f>
        <v>Nicaragua</v>
      </c>
      <c r="G383" t="str">
        <f>VLOOKUP(E383,country_continent!A:C,3,FALSE)</f>
        <v>North America</v>
      </c>
      <c r="H383" t="s">
        <v>1704</v>
      </c>
      <c r="I383" s="1">
        <v>23132</v>
      </c>
      <c r="J383" s="3">
        <f t="shared" si="15"/>
        <v>23132</v>
      </c>
      <c r="K383" s="1">
        <v>24322</v>
      </c>
      <c r="L383" s="3">
        <f t="shared" si="16"/>
        <v>24322</v>
      </c>
      <c r="M383" t="s">
        <v>67</v>
      </c>
      <c r="N383" t="s">
        <v>110</v>
      </c>
      <c r="O383" t="s">
        <v>49</v>
      </c>
      <c r="P383">
        <v>0</v>
      </c>
      <c r="Q383" t="s">
        <v>111</v>
      </c>
      <c r="R383" t="s">
        <v>51</v>
      </c>
      <c r="S383">
        <v>1909</v>
      </c>
      <c r="T383">
        <v>1966</v>
      </c>
      <c r="Z383">
        <v>1</v>
      </c>
      <c r="AA383">
        <v>2</v>
      </c>
      <c r="AB383">
        <v>0</v>
      </c>
      <c r="AC383">
        <v>-777</v>
      </c>
      <c r="AD383" t="s">
        <v>1705</v>
      </c>
      <c r="AE383">
        <v>0</v>
      </c>
      <c r="AF383">
        <v>1963</v>
      </c>
      <c r="AG383">
        <v>1966</v>
      </c>
      <c r="AH383">
        <v>5.5791814889892901</v>
      </c>
      <c r="AI383">
        <v>187.5</v>
      </c>
      <c r="AJ383">
        <v>2.1534976305619198</v>
      </c>
      <c r="AK383">
        <v>188.17500000000001</v>
      </c>
      <c r="AL383">
        <v>3.0495757176345699</v>
      </c>
      <c r="AN383">
        <v>-8</v>
      </c>
      <c r="AO383" t="b">
        <v>1</v>
      </c>
      <c r="AP383" t="s">
        <v>45</v>
      </c>
      <c r="AQ383">
        <v>1903</v>
      </c>
      <c r="AR383">
        <v>1978</v>
      </c>
      <c r="AS383" t="s">
        <v>1706</v>
      </c>
      <c r="AT383">
        <v>3.2580424366871998</v>
      </c>
      <c r="AU383">
        <f t="shared" si="17"/>
        <v>8.9999999999999993E-3</v>
      </c>
    </row>
    <row r="384" spans="1:47" x14ac:dyDescent="0.3">
      <c r="A384">
        <v>382</v>
      </c>
      <c r="B384" t="s">
        <v>1707</v>
      </c>
      <c r="C384" t="s">
        <v>1708</v>
      </c>
      <c r="D384">
        <v>93</v>
      </c>
      <c r="E384" t="s">
        <v>1593</v>
      </c>
      <c r="F384" t="str">
        <f>VLOOKUP(E384,country_continent!A:C,2,FALSE)</f>
        <v>Nicaragua</v>
      </c>
      <c r="G384" t="str">
        <f>VLOOKUP(E384,country_continent!A:C,3,FALSE)</f>
        <v>North America</v>
      </c>
      <c r="H384" t="s">
        <v>1709</v>
      </c>
      <c r="I384" s="1">
        <v>24323</v>
      </c>
      <c r="J384" s="3">
        <f t="shared" si="15"/>
        <v>24323</v>
      </c>
      <c r="K384" s="1">
        <v>24593</v>
      </c>
      <c r="L384" s="3">
        <f t="shared" si="16"/>
        <v>24593</v>
      </c>
      <c r="M384" t="s">
        <v>49</v>
      </c>
      <c r="N384" t="s">
        <v>49</v>
      </c>
      <c r="O384" t="s">
        <v>49</v>
      </c>
      <c r="P384">
        <v>0</v>
      </c>
      <c r="Q384" t="s">
        <v>50</v>
      </c>
      <c r="R384" t="s">
        <v>51</v>
      </c>
      <c r="S384">
        <v>1900</v>
      </c>
      <c r="T384">
        <v>1981</v>
      </c>
      <c r="U384" s="1">
        <v>318</v>
      </c>
      <c r="V384" s="2">
        <v>318</v>
      </c>
      <c r="Z384">
        <v>0</v>
      </c>
      <c r="AA384">
        <v>1</v>
      </c>
      <c r="AB384">
        <v>0</v>
      </c>
      <c r="AC384">
        <v>0</v>
      </c>
      <c r="AD384" t="s">
        <v>1710</v>
      </c>
      <c r="AE384">
        <v>1</v>
      </c>
      <c r="AF384">
        <v>1966</v>
      </c>
      <c r="AG384">
        <v>1967</v>
      </c>
      <c r="AH384">
        <v>1.9186840775456899</v>
      </c>
      <c r="AI384">
        <v>255</v>
      </c>
      <c r="AJ384">
        <v>2.46370223700908</v>
      </c>
      <c r="AK384">
        <v>182.8</v>
      </c>
      <c r="AL384">
        <v>3.1070840174484999</v>
      </c>
      <c r="AN384">
        <v>-8</v>
      </c>
      <c r="AO384" t="b">
        <v>1</v>
      </c>
      <c r="AP384" t="s">
        <v>45</v>
      </c>
      <c r="AQ384">
        <v>1903</v>
      </c>
      <c r="AR384">
        <v>1978</v>
      </c>
      <c r="AS384" t="s">
        <v>1711</v>
      </c>
      <c r="AT384">
        <v>0.73921971252566698</v>
      </c>
      <c r="AU384">
        <f t="shared" si="17"/>
        <v>2E-3</v>
      </c>
    </row>
    <row r="385" spans="1:47" x14ac:dyDescent="0.3">
      <c r="A385">
        <v>383</v>
      </c>
      <c r="B385" t="s">
        <v>1712</v>
      </c>
      <c r="C385" t="s">
        <v>1713</v>
      </c>
      <c r="D385">
        <v>93</v>
      </c>
      <c r="E385" t="s">
        <v>1593</v>
      </c>
      <c r="F385" t="str">
        <f>VLOOKUP(E385,country_continent!A:C,2,FALSE)</f>
        <v>Nicaragua</v>
      </c>
      <c r="G385" t="str">
        <f>VLOOKUP(E385,country_continent!A:C,3,FALSE)</f>
        <v>North America</v>
      </c>
      <c r="H385" t="s">
        <v>1714</v>
      </c>
      <c r="I385" s="1">
        <v>24593</v>
      </c>
      <c r="J385" s="3">
        <f t="shared" si="15"/>
        <v>24593</v>
      </c>
      <c r="K385" s="1">
        <v>29053</v>
      </c>
      <c r="L385" s="3">
        <f t="shared" si="16"/>
        <v>29053</v>
      </c>
      <c r="M385" t="s">
        <v>49</v>
      </c>
      <c r="N385" t="s">
        <v>67</v>
      </c>
      <c r="O385" t="s">
        <v>645</v>
      </c>
      <c r="P385">
        <v>0</v>
      </c>
      <c r="Q385" t="s">
        <v>69</v>
      </c>
      <c r="R385" t="s">
        <v>51</v>
      </c>
      <c r="S385">
        <v>1925</v>
      </c>
      <c r="T385">
        <v>1980</v>
      </c>
      <c r="U385" s="1">
        <v>9471</v>
      </c>
      <c r="V385" s="2">
        <v>9471</v>
      </c>
      <c r="W385" s="1">
        <v>29481</v>
      </c>
      <c r="X385" s="2">
        <v>29481</v>
      </c>
      <c r="Y385" t="s">
        <v>1715</v>
      </c>
      <c r="Z385">
        <v>0</v>
      </c>
      <c r="AA385">
        <v>3</v>
      </c>
      <c r="AB385">
        <v>3</v>
      </c>
      <c r="AC385">
        <v>3</v>
      </c>
      <c r="AF385">
        <v>1967</v>
      </c>
      <c r="AG385">
        <v>1979</v>
      </c>
      <c r="AH385">
        <v>-1.40220649863394</v>
      </c>
      <c r="AI385">
        <v>436.15384615384602</v>
      </c>
      <c r="AJ385">
        <v>9.0425371496232803</v>
      </c>
      <c r="AK385">
        <v>154.51538461538399</v>
      </c>
      <c r="AL385">
        <v>3.0170488239858901</v>
      </c>
      <c r="AM385">
        <v>3.1744649658312198</v>
      </c>
      <c r="AN385">
        <v>-7.62</v>
      </c>
      <c r="AO385" t="b">
        <v>1</v>
      </c>
      <c r="AP385" t="s">
        <v>45</v>
      </c>
      <c r="AQ385">
        <v>1903</v>
      </c>
      <c r="AR385">
        <v>1978</v>
      </c>
      <c r="AS385" t="s">
        <v>1716</v>
      </c>
      <c r="AT385">
        <v>12.210814510609101</v>
      </c>
      <c r="AU385">
        <f t="shared" si="17"/>
        <v>3.3000000000000002E-2</v>
      </c>
    </row>
    <row r="386" spans="1:47" x14ac:dyDescent="0.3">
      <c r="A386">
        <v>384</v>
      </c>
      <c r="B386" t="s">
        <v>1717</v>
      </c>
      <c r="C386" t="s">
        <v>1718</v>
      </c>
      <c r="D386">
        <v>93</v>
      </c>
      <c r="E386" t="s">
        <v>1593</v>
      </c>
      <c r="F386" t="str">
        <f>VLOOKUP(E386,country_continent!A:C,2,FALSE)</f>
        <v>Nicaragua</v>
      </c>
      <c r="G386" t="str">
        <f>VLOOKUP(E386,country_continent!A:C,3,FALSE)</f>
        <v>North America</v>
      </c>
      <c r="H386" t="s">
        <v>1719</v>
      </c>
      <c r="I386" s="1">
        <v>29054</v>
      </c>
      <c r="J386" s="3">
        <f t="shared" si="15"/>
        <v>29054</v>
      </c>
      <c r="K386" s="1">
        <v>32988</v>
      </c>
      <c r="L386" s="3">
        <f t="shared" si="16"/>
        <v>32988</v>
      </c>
      <c r="M386" t="s">
        <v>67</v>
      </c>
      <c r="N386" t="s">
        <v>49</v>
      </c>
      <c r="O386" t="s">
        <v>49</v>
      </c>
      <c r="P386">
        <v>0</v>
      </c>
      <c r="Q386" t="s">
        <v>50</v>
      </c>
      <c r="R386" t="s">
        <v>51</v>
      </c>
      <c r="S386">
        <v>1945</v>
      </c>
      <c r="T386">
        <v>-777</v>
      </c>
      <c r="U386" s="1">
        <v>16752</v>
      </c>
      <c r="V386" s="2">
        <v>16752</v>
      </c>
      <c r="Y386" t="s">
        <v>1720</v>
      </c>
      <c r="Z386">
        <v>1</v>
      </c>
      <c r="AA386">
        <v>1</v>
      </c>
      <c r="AB386">
        <v>0</v>
      </c>
      <c r="AC386">
        <v>0</v>
      </c>
      <c r="AF386">
        <v>1979</v>
      </c>
      <c r="AG386">
        <v>1990</v>
      </c>
      <c r="AH386">
        <v>-5.2684087932080299</v>
      </c>
      <c r="AI386">
        <v>625</v>
      </c>
      <c r="AJ386">
        <v>2038.1425307202401</v>
      </c>
      <c r="AK386">
        <v>86.716666666666598</v>
      </c>
      <c r="AL386">
        <v>2.5091540794933498</v>
      </c>
      <c r="AM386">
        <v>3.1126039004965098</v>
      </c>
      <c r="AN386">
        <v>-1.75</v>
      </c>
      <c r="AO386" t="b">
        <v>1</v>
      </c>
      <c r="AP386" t="s">
        <v>45</v>
      </c>
      <c r="AQ386">
        <v>1903</v>
      </c>
      <c r="AR386">
        <v>1978</v>
      </c>
      <c r="AS386" t="s">
        <v>1721</v>
      </c>
      <c r="AT386">
        <v>10.770704996577599</v>
      </c>
      <c r="AU386">
        <f t="shared" si="17"/>
        <v>0.03</v>
      </c>
    </row>
    <row r="387" spans="1:47" x14ac:dyDescent="0.3">
      <c r="A387">
        <v>385</v>
      </c>
      <c r="B387" t="s">
        <v>1722</v>
      </c>
      <c r="C387" t="s">
        <v>1723</v>
      </c>
      <c r="D387">
        <v>93</v>
      </c>
      <c r="E387" t="s">
        <v>1593</v>
      </c>
      <c r="F387" t="str">
        <f>VLOOKUP(E387,country_continent!A:C,2,FALSE)</f>
        <v>Nicaragua</v>
      </c>
      <c r="G387" t="str">
        <f>VLOOKUP(E387,country_continent!A:C,3,FALSE)</f>
        <v>North America</v>
      </c>
      <c r="H387" t="s">
        <v>1724</v>
      </c>
      <c r="I387" s="1">
        <v>32988</v>
      </c>
      <c r="J387" s="3">
        <f t="shared" ref="J387:J450" si="18">IF(ISNUMBER(SEARCH("-", I387)), SUBSTITUTE(I387, "-", "/"), I387)</f>
        <v>32988</v>
      </c>
      <c r="K387" s="1">
        <v>35440</v>
      </c>
      <c r="L387" s="3">
        <f t="shared" ref="L387:L450" si="19">IF(ISNUMBER(SEARCH("-", K387)), SUBSTITUTE(K387, "-", "/"), K387)</f>
        <v>35440</v>
      </c>
      <c r="M387" t="s">
        <v>49</v>
      </c>
      <c r="N387" t="s">
        <v>49</v>
      </c>
      <c r="O387" t="s">
        <v>49</v>
      </c>
      <c r="P387">
        <v>0</v>
      </c>
      <c r="Q387" t="s">
        <v>50</v>
      </c>
      <c r="R387" t="s">
        <v>299</v>
      </c>
      <c r="S387">
        <v>1929</v>
      </c>
      <c r="T387">
        <v>-777</v>
      </c>
      <c r="U387" s="1">
        <v>10884</v>
      </c>
      <c r="V387" s="2">
        <v>10884</v>
      </c>
      <c r="Y387" t="s">
        <v>1725</v>
      </c>
      <c r="Z387">
        <v>0</v>
      </c>
      <c r="AA387">
        <v>1</v>
      </c>
      <c r="AB387">
        <v>0</v>
      </c>
      <c r="AC387">
        <v>0</v>
      </c>
      <c r="AF387">
        <v>1990</v>
      </c>
      <c r="AG387">
        <v>1997</v>
      </c>
      <c r="AH387">
        <v>0.29242695018057102</v>
      </c>
      <c r="AI387">
        <v>486.25</v>
      </c>
      <c r="AJ387">
        <v>1218.78488216546</v>
      </c>
      <c r="AK387">
        <v>55.5625</v>
      </c>
      <c r="AL387">
        <v>2.0978941257781698</v>
      </c>
      <c r="AM387">
        <v>3.2962769913696501</v>
      </c>
      <c r="AN387">
        <v>6.75</v>
      </c>
      <c r="AO387" t="b">
        <v>1</v>
      </c>
      <c r="AP387" t="s">
        <v>45</v>
      </c>
      <c r="AQ387">
        <v>1903</v>
      </c>
      <c r="AR387">
        <v>1978</v>
      </c>
      <c r="AS387" t="s">
        <v>1726</v>
      </c>
      <c r="AT387">
        <v>6.7132101300479103</v>
      </c>
      <c r="AU387">
        <f t="shared" ref="AU387:AU450" si="20">ROUND(AT387/365,3)</f>
        <v>1.7999999999999999E-2</v>
      </c>
    </row>
    <row r="388" spans="1:47" x14ac:dyDescent="0.3">
      <c r="A388">
        <v>386</v>
      </c>
      <c r="B388" t="s">
        <v>1727</v>
      </c>
      <c r="C388" t="s">
        <v>1728</v>
      </c>
      <c r="D388">
        <v>93</v>
      </c>
      <c r="E388" t="s">
        <v>1593</v>
      </c>
      <c r="F388" t="str">
        <f>VLOOKUP(E388,country_continent!A:C,2,FALSE)</f>
        <v>Nicaragua</v>
      </c>
      <c r="G388" t="str">
        <f>VLOOKUP(E388,country_continent!A:C,3,FALSE)</f>
        <v>North America</v>
      </c>
      <c r="H388" t="s">
        <v>1729</v>
      </c>
      <c r="I388" s="1">
        <v>35440</v>
      </c>
      <c r="J388" s="3">
        <f t="shared" si="18"/>
        <v>35440</v>
      </c>
      <c r="K388" s="1">
        <v>37266</v>
      </c>
      <c r="L388" s="3">
        <f t="shared" si="19"/>
        <v>37266</v>
      </c>
      <c r="M388" t="s">
        <v>49</v>
      </c>
      <c r="N388" t="s">
        <v>49</v>
      </c>
      <c r="O388" t="s">
        <v>49</v>
      </c>
      <c r="P388">
        <v>0</v>
      </c>
      <c r="Q388" t="s">
        <v>50</v>
      </c>
      <c r="R388" t="s">
        <v>51</v>
      </c>
      <c r="S388">
        <v>1946</v>
      </c>
      <c r="T388">
        <v>-777</v>
      </c>
      <c r="Z388">
        <v>0</v>
      </c>
      <c r="AA388">
        <v>1</v>
      </c>
      <c r="AB388">
        <v>0</v>
      </c>
      <c r="AC388">
        <v>0</v>
      </c>
      <c r="AF388">
        <v>1997</v>
      </c>
      <c r="AG388">
        <v>2002</v>
      </c>
      <c r="AH388">
        <v>2.29341220168584</v>
      </c>
      <c r="AI388">
        <v>938.33333333333303</v>
      </c>
      <c r="AJ388">
        <v>8.681471668795</v>
      </c>
      <c r="AK388">
        <v>40.766666666666602</v>
      </c>
      <c r="AL388">
        <v>1.4176556492772701</v>
      </c>
      <c r="AM388">
        <v>1.4224247187968999</v>
      </c>
      <c r="AN388">
        <v>8</v>
      </c>
      <c r="AO388" t="b">
        <v>1</v>
      </c>
      <c r="AP388" t="s">
        <v>45</v>
      </c>
      <c r="AQ388">
        <v>1903</v>
      </c>
      <c r="AR388">
        <v>1978</v>
      </c>
      <c r="AS388" t="s">
        <v>1730</v>
      </c>
      <c r="AT388">
        <v>4.9993155373032101</v>
      </c>
      <c r="AU388">
        <f t="shared" si="20"/>
        <v>1.4E-2</v>
      </c>
    </row>
    <row r="389" spans="1:47" x14ac:dyDescent="0.3">
      <c r="A389">
        <v>387</v>
      </c>
      <c r="B389" t="s">
        <v>1731</v>
      </c>
      <c r="C389" t="s">
        <v>1732</v>
      </c>
      <c r="D389">
        <v>93</v>
      </c>
      <c r="E389" t="s">
        <v>1593</v>
      </c>
      <c r="F389" t="str">
        <f>VLOOKUP(E389,country_continent!A:C,2,FALSE)</f>
        <v>Nicaragua</v>
      </c>
      <c r="G389" t="str">
        <f>VLOOKUP(E389,country_continent!A:C,3,FALSE)</f>
        <v>North America</v>
      </c>
      <c r="H389" t="s">
        <v>1733</v>
      </c>
      <c r="I389" s="1">
        <v>37267</v>
      </c>
      <c r="J389" s="3">
        <f t="shared" si="18"/>
        <v>37267</v>
      </c>
      <c r="K389" s="1">
        <v>39092</v>
      </c>
      <c r="L389" s="3">
        <f t="shared" si="19"/>
        <v>39092</v>
      </c>
      <c r="M389" t="s">
        <v>49</v>
      </c>
      <c r="N389" t="s">
        <v>49</v>
      </c>
      <c r="O389" t="s">
        <v>49</v>
      </c>
      <c r="P389">
        <v>0</v>
      </c>
      <c r="Q389" t="s">
        <v>50</v>
      </c>
      <c r="R389" t="s">
        <v>51</v>
      </c>
      <c r="S389">
        <v>1928</v>
      </c>
      <c r="T389">
        <v>-777</v>
      </c>
      <c r="Y389" t="s">
        <v>1734</v>
      </c>
      <c r="Z389">
        <v>0</v>
      </c>
      <c r="AA389">
        <v>1</v>
      </c>
      <c r="AB389">
        <v>0</v>
      </c>
      <c r="AC389">
        <v>0</v>
      </c>
      <c r="AF389">
        <v>2002</v>
      </c>
      <c r="AG389">
        <v>2007</v>
      </c>
      <c r="AH389">
        <v>2.3535426459286199</v>
      </c>
      <c r="AI389">
        <v>1135</v>
      </c>
      <c r="AJ389">
        <v>7.5065463433716602</v>
      </c>
      <c r="AK389">
        <v>30.383333333333301</v>
      </c>
      <c r="AL389">
        <v>1.2899377173292299</v>
      </c>
      <c r="AM389">
        <v>1.2994648833989699</v>
      </c>
      <c r="AN389">
        <v>8.17</v>
      </c>
      <c r="AO389" t="b">
        <v>1</v>
      </c>
      <c r="AP389" t="s">
        <v>45</v>
      </c>
      <c r="AQ389">
        <v>1903</v>
      </c>
      <c r="AR389">
        <v>1978</v>
      </c>
      <c r="AS389" t="s">
        <v>1735</v>
      </c>
      <c r="AT389">
        <v>4.9965776865160798</v>
      </c>
      <c r="AU389">
        <f t="shared" si="20"/>
        <v>1.4E-2</v>
      </c>
    </row>
    <row r="390" spans="1:47" x14ac:dyDescent="0.3">
      <c r="A390">
        <v>388</v>
      </c>
      <c r="B390" t="s">
        <v>1736</v>
      </c>
      <c r="C390" t="s">
        <v>1718</v>
      </c>
      <c r="D390">
        <v>93</v>
      </c>
      <c r="E390" t="s">
        <v>1593</v>
      </c>
      <c r="F390" t="str">
        <f>VLOOKUP(E390,country_continent!A:C,2,FALSE)</f>
        <v>Nicaragua</v>
      </c>
      <c r="G390" t="str">
        <f>VLOOKUP(E390,country_continent!A:C,3,FALSE)</f>
        <v>North America</v>
      </c>
      <c r="H390" t="s">
        <v>1719</v>
      </c>
      <c r="I390" s="1">
        <v>39092</v>
      </c>
      <c r="J390" s="3">
        <f t="shared" si="18"/>
        <v>39092</v>
      </c>
      <c r="K390" s="1">
        <v>42369</v>
      </c>
      <c r="L390" s="3">
        <f t="shared" si="19"/>
        <v>42369</v>
      </c>
      <c r="M390" t="s">
        <v>49</v>
      </c>
      <c r="N390" t="s">
        <v>173</v>
      </c>
      <c r="O390" t="s">
        <v>173</v>
      </c>
      <c r="P390">
        <v>1</v>
      </c>
      <c r="Q390" t="s">
        <v>174</v>
      </c>
      <c r="R390" t="s">
        <v>51</v>
      </c>
      <c r="S390">
        <v>1945</v>
      </c>
      <c r="T390">
        <v>-777</v>
      </c>
      <c r="U390" s="1">
        <v>16752</v>
      </c>
      <c r="V390" s="2">
        <v>16752</v>
      </c>
      <c r="Z390">
        <v>0</v>
      </c>
      <c r="AA390">
        <v>-888</v>
      </c>
      <c r="AB390">
        <v>-888</v>
      </c>
      <c r="AC390">
        <v>-888</v>
      </c>
      <c r="AF390">
        <v>2007</v>
      </c>
      <c r="AG390">
        <v>2015</v>
      </c>
      <c r="AH390">
        <v>2.6527336390502101</v>
      </c>
      <c r="AI390">
        <v>1605.55555555555</v>
      </c>
      <c r="AJ390">
        <v>8.3151141392956305</v>
      </c>
      <c r="AK390">
        <v>22.422222222222199</v>
      </c>
      <c r="AL390">
        <v>1.4052526895039199</v>
      </c>
      <c r="AM390">
        <v>3.27916264105097</v>
      </c>
      <c r="AN390">
        <v>9</v>
      </c>
      <c r="AO390" t="b">
        <v>1</v>
      </c>
      <c r="AP390" t="s">
        <v>45</v>
      </c>
      <c r="AQ390">
        <v>1903</v>
      </c>
      <c r="AR390">
        <v>1978</v>
      </c>
      <c r="AS390" t="s">
        <v>1737</v>
      </c>
      <c r="AT390">
        <v>8.9719370294318903</v>
      </c>
      <c r="AU390">
        <f t="shared" si="20"/>
        <v>2.5000000000000001E-2</v>
      </c>
    </row>
    <row r="391" spans="1:47" x14ac:dyDescent="0.3">
      <c r="A391">
        <v>389</v>
      </c>
      <c r="B391" t="s">
        <v>1738</v>
      </c>
      <c r="C391" t="s">
        <v>1739</v>
      </c>
      <c r="D391">
        <v>94</v>
      </c>
      <c r="E391" t="s">
        <v>1740</v>
      </c>
      <c r="F391" t="str">
        <f>VLOOKUP(E391,country_continent!A:C,2,FALSE)</f>
        <v>Costa Rica</v>
      </c>
      <c r="G391" t="str">
        <f>VLOOKUP(E391,country_continent!A:C,3,FALSE)</f>
        <v>North America</v>
      </c>
      <c r="H391" t="s">
        <v>1741</v>
      </c>
      <c r="I391" t="s">
        <v>1742</v>
      </c>
      <c r="J391" s="3" t="str">
        <f t="shared" si="18"/>
        <v>1870/08/10</v>
      </c>
      <c r="K391" t="s">
        <v>1743</v>
      </c>
      <c r="L391" s="3" t="str">
        <f t="shared" si="19"/>
        <v>1882/07/06</v>
      </c>
      <c r="M391" t="s">
        <v>67</v>
      </c>
      <c r="N391" t="s">
        <v>110</v>
      </c>
      <c r="O391" t="s">
        <v>49</v>
      </c>
      <c r="P391">
        <v>0</v>
      </c>
      <c r="Q391" t="s">
        <v>111</v>
      </c>
      <c r="R391" t="s">
        <v>51</v>
      </c>
      <c r="S391">
        <v>1831</v>
      </c>
      <c r="T391">
        <v>1882</v>
      </c>
      <c r="Y391" t="s">
        <v>1744</v>
      </c>
      <c r="Z391">
        <v>1</v>
      </c>
      <c r="AA391">
        <v>2</v>
      </c>
      <c r="AB391">
        <v>0</v>
      </c>
      <c r="AC391">
        <v>-777</v>
      </c>
      <c r="AF391">
        <v>1870</v>
      </c>
      <c r="AG391">
        <v>1882</v>
      </c>
      <c r="AO391" t="b">
        <v>1</v>
      </c>
      <c r="AP391" t="s">
        <v>45</v>
      </c>
      <c r="AQ391">
        <v>1920</v>
      </c>
      <c r="AR391">
        <v>1978</v>
      </c>
      <c r="AS391" t="s">
        <v>1745</v>
      </c>
      <c r="AT391">
        <v>11.9041752224503</v>
      </c>
      <c r="AU391">
        <f t="shared" si="20"/>
        <v>3.3000000000000002E-2</v>
      </c>
    </row>
    <row r="392" spans="1:47" x14ac:dyDescent="0.3">
      <c r="A392">
        <v>390</v>
      </c>
      <c r="B392" t="s">
        <v>1746</v>
      </c>
      <c r="C392" t="s">
        <v>1747</v>
      </c>
      <c r="D392">
        <v>94</v>
      </c>
      <c r="E392" t="s">
        <v>1740</v>
      </c>
      <c r="F392" t="str">
        <f>VLOOKUP(E392,country_continent!A:C,2,FALSE)</f>
        <v>Costa Rica</v>
      </c>
      <c r="G392" t="str">
        <f>VLOOKUP(E392,country_continent!A:C,3,FALSE)</f>
        <v>North America</v>
      </c>
      <c r="H392" t="s">
        <v>1748</v>
      </c>
      <c r="I392" t="s">
        <v>1743</v>
      </c>
      <c r="J392" s="3" t="str">
        <f t="shared" si="18"/>
        <v>1882/07/06</v>
      </c>
      <c r="K392" t="s">
        <v>1749</v>
      </c>
      <c r="L392" s="3" t="str">
        <f t="shared" si="19"/>
        <v>1882/07/20</v>
      </c>
      <c r="M392" t="s">
        <v>49</v>
      </c>
      <c r="N392" t="s">
        <v>49</v>
      </c>
      <c r="O392" t="s">
        <v>49</v>
      </c>
      <c r="P392">
        <v>0</v>
      </c>
      <c r="Q392" t="s">
        <v>50</v>
      </c>
      <c r="R392" t="s">
        <v>51</v>
      </c>
      <c r="S392">
        <v>1826</v>
      </c>
      <c r="T392">
        <v>1905</v>
      </c>
      <c r="Z392">
        <v>0</v>
      </c>
      <c r="AA392">
        <v>1</v>
      </c>
      <c r="AB392">
        <v>0</v>
      </c>
      <c r="AC392">
        <v>0</v>
      </c>
      <c r="AF392">
        <v>1882</v>
      </c>
      <c r="AG392">
        <v>1882</v>
      </c>
      <c r="AO392" t="b">
        <v>1</v>
      </c>
      <c r="AP392" t="s">
        <v>45</v>
      </c>
      <c r="AQ392">
        <v>1920</v>
      </c>
      <c r="AR392">
        <v>1978</v>
      </c>
      <c r="AS392" t="s">
        <v>1750</v>
      </c>
      <c r="AT392">
        <v>3.8329911019849401E-2</v>
      </c>
      <c r="AU392">
        <f t="shared" si="20"/>
        <v>0</v>
      </c>
    </row>
    <row r="393" spans="1:47" x14ac:dyDescent="0.3">
      <c r="A393">
        <v>391</v>
      </c>
      <c r="B393" t="s">
        <v>1751</v>
      </c>
      <c r="C393" t="s">
        <v>1752</v>
      </c>
      <c r="D393">
        <v>94</v>
      </c>
      <c r="E393" t="s">
        <v>1740</v>
      </c>
      <c r="F393" t="str">
        <f>VLOOKUP(E393,country_continent!A:C,2,FALSE)</f>
        <v>Costa Rica</v>
      </c>
      <c r="G393" t="str">
        <f>VLOOKUP(E393,country_continent!A:C,3,FALSE)</f>
        <v>North America</v>
      </c>
      <c r="H393" t="s">
        <v>1753</v>
      </c>
      <c r="I393" t="s">
        <v>1749</v>
      </c>
      <c r="J393" s="3" t="str">
        <f t="shared" si="18"/>
        <v>1882/07/20</v>
      </c>
      <c r="K393" t="s">
        <v>1754</v>
      </c>
      <c r="L393" s="3" t="str">
        <f t="shared" si="19"/>
        <v>1885/03/12</v>
      </c>
      <c r="M393" t="s">
        <v>49</v>
      </c>
      <c r="N393" t="s">
        <v>110</v>
      </c>
      <c r="O393" t="s">
        <v>49</v>
      </c>
      <c r="P393">
        <v>0</v>
      </c>
      <c r="Q393" t="s">
        <v>111</v>
      </c>
      <c r="R393" t="s">
        <v>51</v>
      </c>
      <c r="S393">
        <v>1834</v>
      </c>
      <c r="T393">
        <v>1885</v>
      </c>
      <c r="Z393">
        <v>0</v>
      </c>
      <c r="AA393">
        <v>2</v>
      </c>
      <c r="AB393">
        <v>0</v>
      </c>
      <c r="AC393">
        <v>-777</v>
      </c>
      <c r="AD393" t="s">
        <v>1755</v>
      </c>
      <c r="AE393">
        <v>0</v>
      </c>
      <c r="AF393">
        <v>1882</v>
      </c>
      <c r="AG393">
        <v>1885</v>
      </c>
      <c r="AO393" t="b">
        <v>1</v>
      </c>
      <c r="AP393" t="s">
        <v>45</v>
      </c>
      <c r="AQ393">
        <v>1920</v>
      </c>
      <c r="AR393">
        <v>1978</v>
      </c>
      <c r="AS393" t="s">
        <v>1756</v>
      </c>
      <c r="AT393">
        <v>2.64476386036961</v>
      </c>
      <c r="AU393">
        <f t="shared" si="20"/>
        <v>7.0000000000000001E-3</v>
      </c>
    </row>
    <row r="394" spans="1:47" x14ac:dyDescent="0.3">
      <c r="A394">
        <v>392</v>
      </c>
      <c r="B394" t="s">
        <v>1757</v>
      </c>
      <c r="C394" t="s">
        <v>1758</v>
      </c>
      <c r="D394">
        <v>94</v>
      </c>
      <c r="E394" t="s">
        <v>1740</v>
      </c>
      <c r="F394" t="str">
        <f>VLOOKUP(E394,country_continent!A:C,2,FALSE)</f>
        <v>Costa Rica</v>
      </c>
      <c r="G394" t="str">
        <f>VLOOKUP(E394,country_continent!A:C,3,FALSE)</f>
        <v>North America</v>
      </c>
      <c r="H394" t="s">
        <v>1759</v>
      </c>
      <c r="I394" t="s">
        <v>1754</v>
      </c>
      <c r="J394" s="3" t="str">
        <f t="shared" si="18"/>
        <v>1885/03/12</v>
      </c>
      <c r="K394" t="s">
        <v>1760</v>
      </c>
      <c r="L394" s="3" t="str">
        <f t="shared" si="19"/>
        <v>1889/11/07</v>
      </c>
      <c r="M394" t="s">
        <v>49</v>
      </c>
      <c r="N394" t="s">
        <v>67</v>
      </c>
      <c r="O394" t="s">
        <v>347</v>
      </c>
      <c r="P394">
        <v>0</v>
      </c>
      <c r="Q394" t="s">
        <v>362</v>
      </c>
      <c r="R394" t="s">
        <v>51</v>
      </c>
      <c r="S394">
        <v>1854</v>
      </c>
      <c r="T394">
        <v>1931</v>
      </c>
      <c r="Z394">
        <v>0</v>
      </c>
      <c r="AA394">
        <v>3</v>
      </c>
      <c r="AB394">
        <v>-999</v>
      </c>
      <c r="AC394">
        <v>1</v>
      </c>
      <c r="AD394" t="s">
        <v>1761</v>
      </c>
      <c r="AF394">
        <v>1885</v>
      </c>
      <c r="AG394">
        <v>1889</v>
      </c>
      <c r="AO394" t="b">
        <v>1</v>
      </c>
      <c r="AP394" t="s">
        <v>45</v>
      </c>
      <c r="AQ394">
        <v>1920</v>
      </c>
      <c r="AR394">
        <v>1978</v>
      </c>
      <c r="AS394" t="s">
        <v>1762</v>
      </c>
      <c r="AT394">
        <v>4.6570841889116998</v>
      </c>
      <c r="AU394">
        <f t="shared" si="20"/>
        <v>1.2999999999999999E-2</v>
      </c>
    </row>
    <row r="395" spans="1:47" x14ac:dyDescent="0.3">
      <c r="A395">
        <v>393</v>
      </c>
      <c r="B395" t="s">
        <v>1763</v>
      </c>
      <c r="C395" t="s">
        <v>1764</v>
      </c>
      <c r="D395">
        <v>94</v>
      </c>
      <c r="E395" t="s">
        <v>1740</v>
      </c>
      <c r="F395" t="str">
        <f>VLOOKUP(E395,country_continent!A:C,2,FALSE)</f>
        <v>Costa Rica</v>
      </c>
      <c r="G395" t="str">
        <f>VLOOKUP(E395,country_continent!A:C,3,FALSE)</f>
        <v>North America</v>
      </c>
      <c r="H395" t="s">
        <v>1765</v>
      </c>
      <c r="I395" t="s">
        <v>1760</v>
      </c>
      <c r="J395" s="3" t="str">
        <f t="shared" si="18"/>
        <v>1889/11/07</v>
      </c>
      <c r="K395" t="s">
        <v>1766</v>
      </c>
      <c r="L395" s="3" t="str">
        <f t="shared" si="19"/>
        <v>1890/05/08</v>
      </c>
      <c r="M395" t="s">
        <v>49</v>
      </c>
      <c r="N395" t="s">
        <v>49</v>
      </c>
      <c r="O395" t="s">
        <v>49</v>
      </c>
      <c r="P395">
        <v>0</v>
      </c>
      <c r="Q395" t="s">
        <v>1453</v>
      </c>
      <c r="R395" t="s">
        <v>51</v>
      </c>
      <c r="S395">
        <v>1852</v>
      </c>
      <c r="T395">
        <v>1924</v>
      </c>
      <c r="U395" t="s">
        <v>1767</v>
      </c>
      <c r="V395" t="s">
        <v>1768</v>
      </c>
      <c r="W395" s="1">
        <v>9094</v>
      </c>
      <c r="X395" s="2">
        <v>9094</v>
      </c>
      <c r="Z395">
        <v>0</v>
      </c>
      <c r="AA395">
        <v>1</v>
      </c>
      <c r="AB395">
        <v>0</v>
      </c>
      <c r="AC395">
        <v>-666</v>
      </c>
      <c r="AF395">
        <v>1889</v>
      </c>
      <c r="AG395">
        <v>1890</v>
      </c>
      <c r="AO395" t="b">
        <v>1</v>
      </c>
      <c r="AP395" t="s">
        <v>45</v>
      </c>
      <c r="AQ395">
        <v>1920</v>
      </c>
      <c r="AR395">
        <v>1978</v>
      </c>
      <c r="AS395" t="s">
        <v>1769</v>
      </c>
      <c r="AT395">
        <v>0.49828884325804201</v>
      </c>
      <c r="AU395">
        <f t="shared" si="20"/>
        <v>1E-3</v>
      </c>
    </row>
    <row r="396" spans="1:47" x14ac:dyDescent="0.3">
      <c r="A396">
        <v>394</v>
      </c>
      <c r="B396" t="s">
        <v>1770</v>
      </c>
      <c r="C396" t="s">
        <v>1771</v>
      </c>
      <c r="D396">
        <v>94</v>
      </c>
      <c r="E396" t="s">
        <v>1740</v>
      </c>
      <c r="F396" t="str">
        <f>VLOOKUP(E396,country_continent!A:C,2,FALSE)</f>
        <v>Costa Rica</v>
      </c>
      <c r="G396" t="str">
        <f>VLOOKUP(E396,country_continent!A:C,3,FALSE)</f>
        <v>North America</v>
      </c>
      <c r="H396" t="s">
        <v>1772</v>
      </c>
      <c r="I396" t="s">
        <v>1766</v>
      </c>
      <c r="J396" s="3" t="str">
        <f t="shared" si="18"/>
        <v>1890/05/08</v>
      </c>
      <c r="K396" t="s">
        <v>1773</v>
      </c>
      <c r="L396" s="3" t="str">
        <f t="shared" si="19"/>
        <v>1894/05/08</v>
      </c>
      <c r="M396" t="s">
        <v>49</v>
      </c>
      <c r="N396" t="s">
        <v>49</v>
      </c>
      <c r="O396" t="s">
        <v>49</v>
      </c>
      <c r="P396">
        <v>0</v>
      </c>
      <c r="Q396" t="s">
        <v>362</v>
      </c>
      <c r="R396" t="s">
        <v>51</v>
      </c>
      <c r="S396">
        <v>1838</v>
      </c>
      <c r="T396">
        <v>1917</v>
      </c>
      <c r="Z396">
        <v>0</v>
      </c>
      <c r="AA396">
        <v>1</v>
      </c>
      <c r="AB396">
        <v>0</v>
      </c>
      <c r="AC396">
        <v>1</v>
      </c>
      <c r="AD396" t="s">
        <v>1774</v>
      </c>
      <c r="AE396">
        <v>0</v>
      </c>
      <c r="AF396">
        <v>1890</v>
      </c>
      <c r="AG396">
        <v>1894</v>
      </c>
      <c r="AO396" t="b">
        <v>1</v>
      </c>
      <c r="AP396" t="s">
        <v>45</v>
      </c>
      <c r="AQ396">
        <v>1920</v>
      </c>
      <c r="AR396">
        <v>1978</v>
      </c>
      <c r="AS396" t="s">
        <v>1775</v>
      </c>
      <c r="AT396">
        <v>4</v>
      </c>
      <c r="AU396">
        <f t="shared" si="20"/>
        <v>1.0999999999999999E-2</v>
      </c>
    </row>
    <row r="397" spans="1:47" x14ac:dyDescent="0.3">
      <c r="A397">
        <v>395</v>
      </c>
      <c r="B397" t="s">
        <v>1776</v>
      </c>
      <c r="C397" t="s">
        <v>1777</v>
      </c>
      <c r="D397">
        <v>94</v>
      </c>
      <c r="E397" t="s">
        <v>1740</v>
      </c>
      <c r="F397" t="str">
        <f>VLOOKUP(E397,country_continent!A:C,2,FALSE)</f>
        <v>Costa Rica</v>
      </c>
      <c r="G397" t="str">
        <f>VLOOKUP(E397,country_continent!A:C,3,FALSE)</f>
        <v>North America</v>
      </c>
      <c r="H397" t="s">
        <v>1778</v>
      </c>
      <c r="I397" t="s">
        <v>1773</v>
      </c>
      <c r="J397" s="3" t="str">
        <f t="shared" si="18"/>
        <v>1894/05/08</v>
      </c>
      <c r="K397" s="1">
        <v>859</v>
      </c>
      <c r="L397" s="3">
        <f t="shared" si="19"/>
        <v>859</v>
      </c>
      <c r="M397" t="s">
        <v>49</v>
      </c>
      <c r="N397" t="s">
        <v>49</v>
      </c>
      <c r="O397" t="s">
        <v>49</v>
      </c>
      <c r="P397">
        <v>0</v>
      </c>
      <c r="Q397" t="s">
        <v>50</v>
      </c>
      <c r="R397" t="s">
        <v>51</v>
      </c>
      <c r="S397">
        <v>1861</v>
      </c>
      <c r="T397">
        <v>1924</v>
      </c>
      <c r="U397" t="s">
        <v>1779</v>
      </c>
      <c r="V397" t="s">
        <v>1780</v>
      </c>
      <c r="Z397">
        <v>0</v>
      </c>
      <c r="AA397">
        <v>1</v>
      </c>
      <c r="AB397">
        <v>0</v>
      </c>
      <c r="AC397">
        <v>0</v>
      </c>
      <c r="AD397" t="s">
        <v>1781</v>
      </c>
      <c r="AF397">
        <v>1894</v>
      </c>
      <c r="AG397">
        <v>1902</v>
      </c>
      <c r="AO397" t="b">
        <v>1</v>
      </c>
      <c r="AP397" t="s">
        <v>45</v>
      </c>
      <c r="AQ397">
        <v>1920</v>
      </c>
      <c r="AR397">
        <v>1978</v>
      </c>
      <c r="AS397" t="s">
        <v>1782</v>
      </c>
      <c r="AT397">
        <v>7.9972621492128599</v>
      </c>
      <c r="AU397">
        <f t="shared" si="20"/>
        <v>2.1999999999999999E-2</v>
      </c>
    </row>
    <row r="398" spans="1:47" x14ac:dyDescent="0.3">
      <c r="A398">
        <v>396</v>
      </c>
      <c r="B398" t="s">
        <v>1783</v>
      </c>
      <c r="C398" t="s">
        <v>1784</v>
      </c>
      <c r="D398">
        <v>94</v>
      </c>
      <c r="E398" t="s">
        <v>1740</v>
      </c>
      <c r="F398" t="str">
        <f>VLOOKUP(E398,country_continent!A:C,2,FALSE)</f>
        <v>Costa Rica</v>
      </c>
      <c r="G398" t="str">
        <f>VLOOKUP(E398,country_continent!A:C,3,FALSE)</f>
        <v>North America</v>
      </c>
      <c r="H398" t="s">
        <v>1785</v>
      </c>
      <c r="I398" s="1">
        <v>859</v>
      </c>
      <c r="J398" s="3">
        <f t="shared" si="18"/>
        <v>859</v>
      </c>
      <c r="K398" s="1">
        <v>2320</v>
      </c>
      <c r="L398" s="3">
        <f t="shared" si="19"/>
        <v>2320</v>
      </c>
      <c r="M398" t="s">
        <v>49</v>
      </c>
      <c r="N398" t="s">
        <v>49</v>
      </c>
      <c r="O398" t="s">
        <v>49</v>
      </c>
      <c r="P398">
        <v>0</v>
      </c>
      <c r="Q398" t="s">
        <v>50</v>
      </c>
      <c r="R398" t="s">
        <v>51</v>
      </c>
      <c r="S398">
        <v>1848</v>
      </c>
      <c r="T398">
        <v>1927</v>
      </c>
      <c r="Z398">
        <v>0</v>
      </c>
      <c r="AA398">
        <v>1</v>
      </c>
      <c r="AB398">
        <v>0</v>
      </c>
      <c r="AC398">
        <v>0</v>
      </c>
      <c r="AF398">
        <v>1902</v>
      </c>
      <c r="AG398">
        <v>1906</v>
      </c>
      <c r="AO398" t="b">
        <v>1</v>
      </c>
      <c r="AP398" t="s">
        <v>45</v>
      </c>
      <c r="AQ398">
        <v>1920</v>
      </c>
      <c r="AR398">
        <v>1978</v>
      </c>
      <c r="AS398" t="s">
        <v>1775</v>
      </c>
      <c r="AT398">
        <v>4</v>
      </c>
      <c r="AU398">
        <f t="shared" si="20"/>
        <v>1.0999999999999999E-2</v>
      </c>
    </row>
    <row r="399" spans="1:47" x14ac:dyDescent="0.3">
      <c r="A399">
        <v>397</v>
      </c>
      <c r="B399" t="s">
        <v>1786</v>
      </c>
      <c r="C399" t="s">
        <v>1787</v>
      </c>
      <c r="D399">
        <v>94</v>
      </c>
      <c r="E399" t="s">
        <v>1740</v>
      </c>
      <c r="F399" t="str">
        <f>VLOOKUP(E399,country_continent!A:C,2,FALSE)</f>
        <v>Costa Rica</v>
      </c>
      <c r="G399" t="str">
        <f>VLOOKUP(E399,country_continent!A:C,3,FALSE)</f>
        <v>North America</v>
      </c>
      <c r="H399" t="s">
        <v>1788</v>
      </c>
      <c r="I399" s="1">
        <v>2320</v>
      </c>
      <c r="J399" s="3">
        <f t="shared" si="18"/>
        <v>2320</v>
      </c>
      <c r="K399" s="1">
        <v>3781</v>
      </c>
      <c r="L399" s="3">
        <f t="shared" si="19"/>
        <v>3781</v>
      </c>
      <c r="M399" t="s">
        <v>49</v>
      </c>
      <c r="N399" t="s">
        <v>49</v>
      </c>
      <c r="O399" t="s">
        <v>49</v>
      </c>
      <c r="P399">
        <v>0</v>
      </c>
      <c r="Q399" t="s">
        <v>50</v>
      </c>
      <c r="R399" t="s">
        <v>51</v>
      </c>
      <c r="S399">
        <v>1858</v>
      </c>
      <c r="T399">
        <v>1937</v>
      </c>
      <c r="U399" t="s">
        <v>1789</v>
      </c>
      <c r="V399" t="s">
        <v>1790</v>
      </c>
      <c r="Y399" t="s">
        <v>1791</v>
      </c>
      <c r="Z399">
        <v>0</v>
      </c>
      <c r="AA399">
        <v>1</v>
      </c>
      <c r="AB399">
        <v>0</v>
      </c>
      <c r="AC399">
        <v>0</v>
      </c>
      <c r="AF399">
        <v>1906</v>
      </c>
      <c r="AG399">
        <v>1910</v>
      </c>
      <c r="AO399" t="b">
        <v>1</v>
      </c>
      <c r="AP399" t="s">
        <v>45</v>
      </c>
      <c r="AQ399">
        <v>1920</v>
      </c>
      <c r="AR399">
        <v>1978</v>
      </c>
      <c r="AS399" t="s">
        <v>1775</v>
      </c>
      <c r="AT399">
        <v>4</v>
      </c>
      <c r="AU399">
        <f t="shared" si="20"/>
        <v>1.0999999999999999E-2</v>
      </c>
    </row>
    <row r="400" spans="1:47" x14ac:dyDescent="0.3">
      <c r="A400">
        <v>398</v>
      </c>
      <c r="B400" t="s">
        <v>1792</v>
      </c>
      <c r="C400" t="s">
        <v>1793</v>
      </c>
      <c r="D400">
        <v>94</v>
      </c>
      <c r="E400" t="s">
        <v>1740</v>
      </c>
      <c r="F400" t="str">
        <f>VLOOKUP(E400,country_continent!A:C,2,FALSE)</f>
        <v>Costa Rica</v>
      </c>
      <c r="G400" t="str">
        <f>VLOOKUP(E400,country_continent!A:C,3,FALSE)</f>
        <v>North America</v>
      </c>
      <c r="H400" t="s">
        <v>1794</v>
      </c>
      <c r="I400" s="1">
        <v>3781</v>
      </c>
      <c r="J400" s="3">
        <f t="shared" si="18"/>
        <v>3781</v>
      </c>
      <c r="K400" s="1">
        <v>5242</v>
      </c>
      <c r="L400" s="3">
        <f t="shared" si="19"/>
        <v>5242</v>
      </c>
      <c r="M400" t="s">
        <v>49</v>
      </c>
      <c r="N400" t="s">
        <v>49</v>
      </c>
      <c r="O400" t="s">
        <v>49</v>
      </c>
      <c r="P400">
        <v>0</v>
      </c>
      <c r="Q400" t="s">
        <v>50</v>
      </c>
      <c r="R400" t="s">
        <v>51</v>
      </c>
      <c r="S400">
        <v>1859</v>
      </c>
      <c r="T400">
        <v>1945</v>
      </c>
      <c r="U400" t="s">
        <v>1795</v>
      </c>
      <c r="V400" t="s">
        <v>1796</v>
      </c>
      <c r="Z400">
        <v>0</v>
      </c>
      <c r="AA400">
        <v>1</v>
      </c>
      <c r="AB400">
        <v>0</v>
      </c>
      <c r="AC400">
        <v>0</v>
      </c>
      <c r="AF400">
        <v>1910</v>
      </c>
      <c r="AG400">
        <v>1914</v>
      </c>
      <c r="AO400" t="b">
        <v>1</v>
      </c>
      <c r="AP400" t="s">
        <v>45</v>
      </c>
      <c r="AQ400">
        <v>1920</v>
      </c>
      <c r="AR400">
        <v>1978</v>
      </c>
      <c r="AS400" t="s">
        <v>1775</v>
      </c>
      <c r="AT400">
        <v>4</v>
      </c>
      <c r="AU400">
        <f t="shared" si="20"/>
        <v>1.0999999999999999E-2</v>
      </c>
    </row>
    <row r="401" spans="1:47" x14ac:dyDescent="0.3">
      <c r="A401">
        <v>399</v>
      </c>
      <c r="B401" t="s">
        <v>1797</v>
      </c>
      <c r="C401" t="s">
        <v>1798</v>
      </c>
      <c r="D401">
        <v>94</v>
      </c>
      <c r="E401" t="s">
        <v>1740</v>
      </c>
      <c r="F401" t="str">
        <f>VLOOKUP(E401,country_continent!A:C,2,FALSE)</f>
        <v>Costa Rica</v>
      </c>
      <c r="G401" t="str">
        <f>VLOOKUP(E401,country_continent!A:C,3,FALSE)</f>
        <v>North America</v>
      </c>
      <c r="H401" t="s">
        <v>1799</v>
      </c>
      <c r="I401" s="1">
        <v>5242</v>
      </c>
      <c r="J401" s="3">
        <f t="shared" si="18"/>
        <v>5242</v>
      </c>
      <c r="K401" s="1">
        <v>6237</v>
      </c>
      <c r="L401" s="3">
        <f t="shared" si="19"/>
        <v>6237</v>
      </c>
      <c r="M401" t="s">
        <v>49</v>
      </c>
      <c r="N401" t="s">
        <v>67</v>
      </c>
      <c r="O401" t="s">
        <v>347</v>
      </c>
      <c r="P401">
        <v>0</v>
      </c>
      <c r="Q401" t="s">
        <v>362</v>
      </c>
      <c r="R401" t="s">
        <v>51</v>
      </c>
      <c r="S401">
        <v>1877</v>
      </c>
      <c r="T401">
        <v>1962</v>
      </c>
      <c r="U401" t="s">
        <v>1800</v>
      </c>
      <c r="V401" t="s">
        <v>1801</v>
      </c>
      <c r="Z401">
        <v>0</v>
      </c>
      <c r="AA401">
        <v>3</v>
      </c>
      <c r="AB401">
        <v>-999</v>
      </c>
      <c r="AC401">
        <v>1</v>
      </c>
      <c r="AF401">
        <v>1914</v>
      </c>
      <c r="AG401">
        <v>1917</v>
      </c>
      <c r="AO401" t="b">
        <v>1</v>
      </c>
      <c r="AP401" t="s">
        <v>45</v>
      </c>
      <c r="AQ401">
        <v>1920</v>
      </c>
      <c r="AR401">
        <v>1978</v>
      </c>
      <c r="AS401" t="s">
        <v>1802</v>
      </c>
      <c r="AT401">
        <v>2.7241615331964399</v>
      </c>
      <c r="AU401">
        <f t="shared" si="20"/>
        <v>7.0000000000000001E-3</v>
      </c>
    </row>
    <row r="402" spans="1:47" x14ac:dyDescent="0.3">
      <c r="A402">
        <v>400</v>
      </c>
      <c r="B402" t="s">
        <v>1803</v>
      </c>
      <c r="C402" t="s">
        <v>1804</v>
      </c>
      <c r="D402">
        <v>94</v>
      </c>
      <c r="E402" t="s">
        <v>1740</v>
      </c>
      <c r="F402" t="str">
        <f>VLOOKUP(E402,country_continent!A:C,2,FALSE)</f>
        <v>Costa Rica</v>
      </c>
      <c r="G402" t="str">
        <f>VLOOKUP(E402,country_continent!A:C,3,FALSE)</f>
        <v>North America</v>
      </c>
      <c r="H402" t="s">
        <v>1805</v>
      </c>
      <c r="I402" s="1">
        <v>6237</v>
      </c>
      <c r="J402" s="3">
        <f t="shared" si="18"/>
        <v>6237</v>
      </c>
      <c r="K402" s="1">
        <v>7165</v>
      </c>
      <c r="L402" s="3">
        <f t="shared" si="19"/>
        <v>7165</v>
      </c>
      <c r="M402" t="s">
        <v>67</v>
      </c>
      <c r="N402" t="s">
        <v>67</v>
      </c>
      <c r="O402" t="s">
        <v>433</v>
      </c>
      <c r="P402">
        <v>0</v>
      </c>
      <c r="Q402" t="s">
        <v>362</v>
      </c>
      <c r="R402" t="s">
        <v>51</v>
      </c>
      <c r="S402">
        <v>1870</v>
      </c>
      <c r="T402">
        <v>1931</v>
      </c>
      <c r="Z402">
        <v>1</v>
      </c>
      <c r="AA402">
        <v>3</v>
      </c>
      <c r="AB402">
        <v>4</v>
      </c>
      <c r="AC402">
        <v>1</v>
      </c>
      <c r="AF402">
        <v>1917</v>
      </c>
      <c r="AG402">
        <v>1919</v>
      </c>
      <c r="AO402" t="b">
        <v>1</v>
      </c>
      <c r="AP402" t="s">
        <v>45</v>
      </c>
      <c r="AQ402">
        <v>1920</v>
      </c>
      <c r="AR402">
        <v>1978</v>
      </c>
      <c r="AS402" t="s">
        <v>1806</v>
      </c>
      <c r="AT402">
        <v>2.5407255304585901</v>
      </c>
      <c r="AU402">
        <f t="shared" si="20"/>
        <v>7.0000000000000001E-3</v>
      </c>
    </row>
    <row r="403" spans="1:47" x14ac:dyDescent="0.3">
      <c r="A403">
        <v>401</v>
      </c>
      <c r="B403" t="s">
        <v>1807</v>
      </c>
      <c r="C403" t="s">
        <v>1808</v>
      </c>
      <c r="D403">
        <v>94</v>
      </c>
      <c r="E403" t="s">
        <v>1740</v>
      </c>
      <c r="F403" t="str">
        <f>VLOOKUP(E403,country_continent!A:C,2,FALSE)</f>
        <v>Costa Rica</v>
      </c>
      <c r="G403" t="str">
        <f>VLOOKUP(E403,country_continent!A:C,3,FALSE)</f>
        <v>North America</v>
      </c>
      <c r="H403" t="s">
        <v>1809</v>
      </c>
      <c r="I403" s="1">
        <v>7165</v>
      </c>
      <c r="J403" s="3">
        <f t="shared" si="18"/>
        <v>7165</v>
      </c>
      <c r="K403" s="1">
        <v>7189</v>
      </c>
      <c r="L403" s="3">
        <f t="shared" si="19"/>
        <v>7189</v>
      </c>
      <c r="M403" t="s">
        <v>67</v>
      </c>
      <c r="N403" t="s">
        <v>67</v>
      </c>
      <c r="O403" t="s">
        <v>1810</v>
      </c>
      <c r="P403">
        <v>0</v>
      </c>
      <c r="Q403" t="s">
        <v>50</v>
      </c>
      <c r="R403" t="s">
        <v>51</v>
      </c>
      <c r="S403">
        <v>1853</v>
      </c>
      <c r="T403">
        <v>1934</v>
      </c>
      <c r="Y403" t="s">
        <v>1811</v>
      </c>
      <c r="Z403">
        <v>1</v>
      </c>
      <c r="AA403">
        <v>3</v>
      </c>
      <c r="AB403">
        <v>1</v>
      </c>
      <c r="AC403">
        <v>0</v>
      </c>
      <c r="AF403">
        <v>1919</v>
      </c>
      <c r="AG403">
        <v>1919</v>
      </c>
      <c r="AO403" t="b">
        <v>1</v>
      </c>
      <c r="AP403" t="s">
        <v>45</v>
      </c>
      <c r="AQ403">
        <v>1920</v>
      </c>
      <c r="AR403">
        <v>1978</v>
      </c>
      <c r="AS403" t="s">
        <v>1812</v>
      </c>
      <c r="AT403">
        <v>6.5708418891170406E-2</v>
      </c>
      <c r="AU403">
        <f t="shared" si="20"/>
        <v>0</v>
      </c>
    </row>
    <row r="404" spans="1:47" x14ac:dyDescent="0.3">
      <c r="A404">
        <v>402</v>
      </c>
      <c r="B404" t="s">
        <v>1813</v>
      </c>
      <c r="C404" t="s">
        <v>1814</v>
      </c>
      <c r="D404">
        <v>94</v>
      </c>
      <c r="E404" t="s">
        <v>1740</v>
      </c>
      <c r="F404" t="str">
        <f>VLOOKUP(E404,country_continent!A:C,2,FALSE)</f>
        <v>Costa Rica</v>
      </c>
      <c r="G404" t="str">
        <f>VLOOKUP(E404,country_continent!A:C,3,FALSE)</f>
        <v>North America</v>
      </c>
      <c r="H404" t="s">
        <v>1815</v>
      </c>
      <c r="I404" s="1">
        <v>7189</v>
      </c>
      <c r="J404" s="3">
        <f t="shared" si="18"/>
        <v>7189</v>
      </c>
      <c r="K404" s="1">
        <v>7189</v>
      </c>
      <c r="L404" s="3">
        <f t="shared" si="19"/>
        <v>7189</v>
      </c>
      <c r="M404" t="s">
        <v>67</v>
      </c>
      <c r="N404" t="s">
        <v>49</v>
      </c>
      <c r="O404" t="s">
        <v>49</v>
      </c>
      <c r="P404">
        <v>0</v>
      </c>
      <c r="Q404" t="s">
        <v>1453</v>
      </c>
      <c r="R404" t="s">
        <v>51</v>
      </c>
      <c r="S404">
        <v>1857</v>
      </c>
      <c r="T404">
        <v>1924</v>
      </c>
      <c r="Z404">
        <v>1</v>
      </c>
      <c r="AA404">
        <v>1</v>
      </c>
      <c r="AB404">
        <v>0</v>
      </c>
      <c r="AC404">
        <v>-666</v>
      </c>
      <c r="AF404">
        <v>1919</v>
      </c>
      <c r="AG404">
        <v>1919</v>
      </c>
      <c r="AO404" t="b">
        <v>1</v>
      </c>
      <c r="AP404" t="s">
        <v>45</v>
      </c>
      <c r="AQ404">
        <v>1920</v>
      </c>
      <c r="AR404">
        <v>1978</v>
      </c>
      <c r="AS404" t="s">
        <v>1816</v>
      </c>
      <c r="AT404">
        <v>0</v>
      </c>
      <c r="AU404">
        <f t="shared" si="20"/>
        <v>0</v>
      </c>
    </row>
    <row r="405" spans="1:47" x14ac:dyDescent="0.3">
      <c r="A405">
        <v>403</v>
      </c>
      <c r="B405" t="s">
        <v>1817</v>
      </c>
      <c r="C405" t="s">
        <v>1818</v>
      </c>
      <c r="D405">
        <v>94</v>
      </c>
      <c r="E405" t="s">
        <v>1740</v>
      </c>
      <c r="F405" t="str">
        <f>VLOOKUP(E405,country_continent!A:C,2,FALSE)</f>
        <v>Costa Rica</v>
      </c>
      <c r="G405" t="str">
        <f>VLOOKUP(E405,country_continent!A:C,3,FALSE)</f>
        <v>North America</v>
      </c>
      <c r="H405" t="s">
        <v>1819</v>
      </c>
      <c r="I405" s="1">
        <v>7434</v>
      </c>
      <c r="J405" s="3">
        <f t="shared" si="18"/>
        <v>7434</v>
      </c>
      <c r="K405" s="1">
        <v>8895</v>
      </c>
      <c r="L405" s="3">
        <f t="shared" si="19"/>
        <v>8895</v>
      </c>
      <c r="M405" t="s">
        <v>49</v>
      </c>
      <c r="N405" t="s">
        <v>49</v>
      </c>
      <c r="O405" t="s">
        <v>49</v>
      </c>
      <c r="P405">
        <v>0</v>
      </c>
      <c r="Q405" t="s">
        <v>50</v>
      </c>
      <c r="R405" t="s">
        <v>51</v>
      </c>
      <c r="S405">
        <v>1872</v>
      </c>
      <c r="T405">
        <v>1954</v>
      </c>
      <c r="U405" t="s">
        <v>1820</v>
      </c>
      <c r="V405" t="s">
        <v>1821</v>
      </c>
      <c r="Z405">
        <v>0</v>
      </c>
      <c r="AA405">
        <v>1</v>
      </c>
      <c r="AB405">
        <v>0</v>
      </c>
      <c r="AC405">
        <v>0</v>
      </c>
      <c r="AF405">
        <v>1920</v>
      </c>
      <c r="AG405">
        <v>1924</v>
      </c>
      <c r="AO405" t="b">
        <v>1</v>
      </c>
      <c r="AP405" t="s">
        <v>45</v>
      </c>
      <c r="AQ405">
        <v>1920</v>
      </c>
      <c r="AR405">
        <v>1978</v>
      </c>
      <c r="AS405" t="s">
        <v>1775</v>
      </c>
      <c r="AT405">
        <v>4</v>
      </c>
      <c r="AU405">
        <f t="shared" si="20"/>
        <v>1.0999999999999999E-2</v>
      </c>
    </row>
    <row r="406" spans="1:47" x14ac:dyDescent="0.3">
      <c r="A406">
        <v>404</v>
      </c>
      <c r="B406" t="s">
        <v>1822</v>
      </c>
      <c r="C406" t="s">
        <v>1793</v>
      </c>
      <c r="D406">
        <v>94</v>
      </c>
      <c r="E406" t="s">
        <v>1740</v>
      </c>
      <c r="F406" t="str">
        <f>VLOOKUP(E406,country_continent!A:C,2,FALSE)</f>
        <v>Costa Rica</v>
      </c>
      <c r="G406" t="str">
        <f>VLOOKUP(E406,country_continent!A:C,3,FALSE)</f>
        <v>North America</v>
      </c>
      <c r="H406" t="s">
        <v>1794</v>
      </c>
      <c r="I406" s="1">
        <v>8895</v>
      </c>
      <c r="J406" s="3">
        <f t="shared" si="18"/>
        <v>8895</v>
      </c>
      <c r="K406" s="1">
        <v>10356</v>
      </c>
      <c r="L406" s="3">
        <f t="shared" si="19"/>
        <v>10356</v>
      </c>
      <c r="M406" t="s">
        <v>49</v>
      </c>
      <c r="N406" t="s">
        <v>49</v>
      </c>
      <c r="O406" t="s">
        <v>49</v>
      </c>
      <c r="P406">
        <v>1</v>
      </c>
      <c r="Q406" t="s">
        <v>50</v>
      </c>
      <c r="R406" t="s">
        <v>51</v>
      </c>
      <c r="S406">
        <v>1859</v>
      </c>
      <c r="T406">
        <v>1945</v>
      </c>
      <c r="U406" t="s">
        <v>1795</v>
      </c>
      <c r="V406" t="s">
        <v>1796</v>
      </c>
      <c r="Z406">
        <v>0</v>
      </c>
      <c r="AA406">
        <v>1</v>
      </c>
      <c r="AB406">
        <v>0</v>
      </c>
      <c r="AC406">
        <v>0</v>
      </c>
      <c r="AF406">
        <v>1924</v>
      </c>
      <c r="AG406">
        <v>1928</v>
      </c>
      <c r="AO406" t="b">
        <v>1</v>
      </c>
      <c r="AP406" t="s">
        <v>45</v>
      </c>
      <c r="AQ406">
        <v>1920</v>
      </c>
      <c r="AR406">
        <v>1978</v>
      </c>
      <c r="AS406" t="s">
        <v>1775</v>
      </c>
      <c r="AT406">
        <v>4</v>
      </c>
      <c r="AU406">
        <f t="shared" si="20"/>
        <v>1.0999999999999999E-2</v>
      </c>
    </row>
    <row r="407" spans="1:47" x14ac:dyDescent="0.3">
      <c r="A407">
        <v>405</v>
      </c>
      <c r="B407" t="s">
        <v>1823</v>
      </c>
      <c r="C407" t="s">
        <v>1787</v>
      </c>
      <c r="D407">
        <v>94</v>
      </c>
      <c r="E407" t="s">
        <v>1740</v>
      </c>
      <c r="F407" t="str">
        <f>VLOOKUP(E407,country_continent!A:C,2,FALSE)</f>
        <v>Costa Rica</v>
      </c>
      <c r="G407" t="str">
        <f>VLOOKUP(E407,country_continent!A:C,3,FALSE)</f>
        <v>North America</v>
      </c>
      <c r="H407" t="s">
        <v>1788</v>
      </c>
      <c r="I407" s="1">
        <v>10356</v>
      </c>
      <c r="J407" s="3">
        <f t="shared" si="18"/>
        <v>10356</v>
      </c>
      <c r="K407" s="1">
        <v>11817</v>
      </c>
      <c r="L407" s="3">
        <f t="shared" si="19"/>
        <v>11817</v>
      </c>
      <c r="M407" t="s">
        <v>49</v>
      </c>
      <c r="N407" t="s">
        <v>49</v>
      </c>
      <c r="O407" t="s">
        <v>49</v>
      </c>
      <c r="P407">
        <v>1</v>
      </c>
      <c r="Q407" t="s">
        <v>50</v>
      </c>
      <c r="R407" t="s">
        <v>51</v>
      </c>
      <c r="S407">
        <v>1858</v>
      </c>
      <c r="T407">
        <v>1937</v>
      </c>
      <c r="U407" t="s">
        <v>1789</v>
      </c>
      <c r="V407" t="s">
        <v>1790</v>
      </c>
      <c r="Y407" t="s">
        <v>1791</v>
      </c>
      <c r="Z407">
        <v>0</v>
      </c>
      <c r="AA407">
        <v>1</v>
      </c>
      <c r="AB407">
        <v>0</v>
      </c>
      <c r="AC407">
        <v>0</v>
      </c>
      <c r="AF407">
        <v>1928</v>
      </c>
      <c r="AG407">
        <v>1932</v>
      </c>
      <c r="AO407" t="b">
        <v>1</v>
      </c>
      <c r="AP407" t="s">
        <v>45</v>
      </c>
      <c r="AQ407">
        <v>1920</v>
      </c>
      <c r="AR407">
        <v>1978</v>
      </c>
      <c r="AS407" t="s">
        <v>1775</v>
      </c>
      <c r="AT407">
        <v>4</v>
      </c>
      <c r="AU407">
        <f t="shared" si="20"/>
        <v>1.0999999999999999E-2</v>
      </c>
    </row>
    <row r="408" spans="1:47" x14ac:dyDescent="0.3">
      <c r="A408">
        <v>406</v>
      </c>
      <c r="B408" t="s">
        <v>1824</v>
      </c>
      <c r="C408" t="s">
        <v>1793</v>
      </c>
      <c r="D408">
        <v>94</v>
      </c>
      <c r="E408" t="s">
        <v>1740</v>
      </c>
      <c r="F408" t="str">
        <f>VLOOKUP(E408,country_continent!A:C,2,FALSE)</f>
        <v>Costa Rica</v>
      </c>
      <c r="G408" t="str">
        <f>VLOOKUP(E408,country_continent!A:C,3,FALSE)</f>
        <v>North America</v>
      </c>
      <c r="H408" t="s">
        <v>1794</v>
      </c>
      <c r="I408" s="1">
        <v>11817</v>
      </c>
      <c r="J408" s="3">
        <f t="shared" si="18"/>
        <v>11817</v>
      </c>
      <c r="K408" s="1">
        <v>13278</v>
      </c>
      <c r="L408" s="3">
        <f t="shared" si="19"/>
        <v>13278</v>
      </c>
      <c r="M408" t="s">
        <v>49</v>
      </c>
      <c r="N408" t="s">
        <v>49</v>
      </c>
      <c r="O408" t="s">
        <v>49</v>
      </c>
      <c r="P408">
        <v>2</v>
      </c>
      <c r="Q408" t="s">
        <v>50</v>
      </c>
      <c r="R408" t="s">
        <v>51</v>
      </c>
      <c r="S408">
        <v>1859</v>
      </c>
      <c r="T408">
        <v>1945</v>
      </c>
      <c r="U408" t="s">
        <v>1795</v>
      </c>
      <c r="V408" t="s">
        <v>1796</v>
      </c>
      <c r="Z408">
        <v>0</v>
      </c>
      <c r="AA408">
        <v>1</v>
      </c>
      <c r="AB408">
        <v>0</v>
      </c>
      <c r="AC408">
        <v>0</v>
      </c>
      <c r="AF408">
        <v>1932</v>
      </c>
      <c r="AG408">
        <v>1936</v>
      </c>
      <c r="AO408" t="b">
        <v>1</v>
      </c>
      <c r="AP408" t="s">
        <v>45</v>
      </c>
      <c r="AQ408">
        <v>1920</v>
      </c>
      <c r="AR408">
        <v>1978</v>
      </c>
      <c r="AS408" t="s">
        <v>1775</v>
      </c>
      <c r="AT408">
        <v>4</v>
      </c>
      <c r="AU408">
        <f t="shared" si="20"/>
        <v>1.0999999999999999E-2</v>
      </c>
    </row>
    <row r="409" spans="1:47" x14ac:dyDescent="0.3">
      <c r="A409">
        <v>407</v>
      </c>
      <c r="B409" t="s">
        <v>1825</v>
      </c>
      <c r="C409" t="s">
        <v>1826</v>
      </c>
      <c r="D409">
        <v>94</v>
      </c>
      <c r="E409" t="s">
        <v>1740</v>
      </c>
      <c r="F409" t="str">
        <f>VLOOKUP(E409,country_continent!A:C,2,FALSE)</f>
        <v>Costa Rica</v>
      </c>
      <c r="G409" t="str">
        <f>VLOOKUP(E409,country_continent!A:C,3,FALSE)</f>
        <v>North America</v>
      </c>
      <c r="H409" t="s">
        <v>1827</v>
      </c>
      <c r="I409" s="1">
        <v>13278</v>
      </c>
      <c r="J409" s="3">
        <f t="shared" si="18"/>
        <v>13278</v>
      </c>
      <c r="K409" s="1">
        <v>14739</v>
      </c>
      <c r="L409" s="3">
        <f t="shared" si="19"/>
        <v>14739</v>
      </c>
      <c r="M409" t="s">
        <v>49</v>
      </c>
      <c r="N409" t="s">
        <v>49</v>
      </c>
      <c r="O409" t="s">
        <v>49</v>
      </c>
      <c r="P409">
        <v>0</v>
      </c>
      <c r="Q409" t="s">
        <v>50</v>
      </c>
      <c r="R409" t="s">
        <v>51</v>
      </c>
      <c r="S409">
        <v>1882</v>
      </c>
      <c r="T409">
        <v>1946</v>
      </c>
      <c r="U409" t="s">
        <v>1828</v>
      </c>
      <c r="V409" t="s">
        <v>1829</v>
      </c>
      <c r="Y409" t="s">
        <v>1830</v>
      </c>
      <c r="Z409">
        <v>0</v>
      </c>
      <c r="AA409">
        <v>1</v>
      </c>
      <c r="AB409">
        <v>0</v>
      </c>
      <c r="AC409">
        <v>0</v>
      </c>
      <c r="AF409">
        <v>1936</v>
      </c>
      <c r="AG409">
        <v>1940</v>
      </c>
      <c r="AO409" t="b">
        <v>1</v>
      </c>
      <c r="AP409" t="s">
        <v>45</v>
      </c>
      <c r="AQ409">
        <v>1920</v>
      </c>
      <c r="AR409">
        <v>1978</v>
      </c>
      <c r="AS409" t="s">
        <v>1775</v>
      </c>
      <c r="AT409">
        <v>4</v>
      </c>
      <c r="AU409">
        <f t="shared" si="20"/>
        <v>1.0999999999999999E-2</v>
      </c>
    </row>
    <row r="410" spans="1:47" x14ac:dyDescent="0.3">
      <c r="A410">
        <v>408</v>
      </c>
      <c r="B410" t="s">
        <v>1831</v>
      </c>
      <c r="C410" t="s">
        <v>1832</v>
      </c>
      <c r="D410">
        <v>94</v>
      </c>
      <c r="E410" t="s">
        <v>1740</v>
      </c>
      <c r="F410" t="str">
        <f>VLOOKUP(E410,country_continent!A:C,2,FALSE)</f>
        <v>Costa Rica</v>
      </c>
      <c r="G410" t="str">
        <f>VLOOKUP(E410,country_continent!A:C,3,FALSE)</f>
        <v>North America</v>
      </c>
      <c r="H410" t="s">
        <v>1833</v>
      </c>
      <c r="I410" s="1">
        <v>14739</v>
      </c>
      <c r="J410" s="3">
        <f t="shared" si="18"/>
        <v>14739</v>
      </c>
      <c r="K410" s="1">
        <v>16200</v>
      </c>
      <c r="L410" s="3">
        <f t="shared" si="19"/>
        <v>16200</v>
      </c>
      <c r="M410" t="s">
        <v>49</v>
      </c>
      <c r="N410" t="s">
        <v>49</v>
      </c>
      <c r="O410" t="s">
        <v>49</v>
      </c>
      <c r="P410">
        <v>0</v>
      </c>
      <c r="Q410" t="s">
        <v>50</v>
      </c>
      <c r="R410" t="s">
        <v>51</v>
      </c>
      <c r="S410">
        <v>1900</v>
      </c>
      <c r="T410">
        <v>1970</v>
      </c>
      <c r="U410" s="1">
        <v>70</v>
      </c>
      <c r="V410" s="2">
        <v>70</v>
      </c>
      <c r="Y410" t="s">
        <v>1834</v>
      </c>
      <c r="Z410">
        <v>0</v>
      </c>
      <c r="AA410">
        <v>1</v>
      </c>
      <c r="AB410">
        <v>0</v>
      </c>
      <c r="AC410">
        <v>0</v>
      </c>
      <c r="AD410" t="s">
        <v>1835</v>
      </c>
      <c r="AE410">
        <v>0</v>
      </c>
      <c r="AF410">
        <v>1940</v>
      </c>
      <c r="AG410">
        <v>1944</v>
      </c>
      <c r="AO410" t="b">
        <v>1</v>
      </c>
      <c r="AP410" t="s">
        <v>45</v>
      </c>
      <c r="AQ410">
        <v>1920</v>
      </c>
      <c r="AR410">
        <v>1978</v>
      </c>
      <c r="AS410" t="s">
        <v>1775</v>
      </c>
      <c r="AT410">
        <v>4</v>
      </c>
      <c r="AU410">
        <f t="shared" si="20"/>
        <v>1.0999999999999999E-2</v>
      </c>
    </row>
    <row r="411" spans="1:47" x14ac:dyDescent="0.3">
      <c r="A411">
        <v>409</v>
      </c>
      <c r="B411" t="s">
        <v>1836</v>
      </c>
      <c r="C411" t="s">
        <v>1837</v>
      </c>
      <c r="D411">
        <v>94</v>
      </c>
      <c r="E411" t="s">
        <v>1740</v>
      </c>
      <c r="F411" t="str">
        <f>VLOOKUP(E411,country_continent!A:C,2,FALSE)</f>
        <v>Costa Rica</v>
      </c>
      <c r="G411" t="str">
        <f>VLOOKUP(E411,country_continent!A:C,3,FALSE)</f>
        <v>North America</v>
      </c>
      <c r="H411" t="s">
        <v>1838</v>
      </c>
      <c r="I411" s="1">
        <v>16200</v>
      </c>
      <c r="J411" s="3">
        <f t="shared" si="18"/>
        <v>16200</v>
      </c>
      <c r="K411" s="1">
        <v>17643</v>
      </c>
      <c r="L411" s="3">
        <f t="shared" si="19"/>
        <v>17643</v>
      </c>
      <c r="M411" t="s">
        <v>49</v>
      </c>
      <c r="N411" t="s">
        <v>67</v>
      </c>
      <c r="O411" t="s">
        <v>433</v>
      </c>
      <c r="P411">
        <v>0</v>
      </c>
      <c r="Q411" t="s">
        <v>362</v>
      </c>
      <c r="R411" t="s">
        <v>51</v>
      </c>
      <c r="S411">
        <v>1900</v>
      </c>
      <c r="T411">
        <v>1960</v>
      </c>
      <c r="U411" s="1">
        <v>10</v>
      </c>
      <c r="V411" s="2">
        <v>10</v>
      </c>
      <c r="Y411" t="s">
        <v>1839</v>
      </c>
      <c r="Z411">
        <v>0</v>
      </c>
      <c r="AA411">
        <v>3</v>
      </c>
      <c r="AB411">
        <v>4</v>
      </c>
      <c r="AC411">
        <v>1</v>
      </c>
      <c r="AF411">
        <v>1944</v>
      </c>
      <c r="AG411">
        <v>1948</v>
      </c>
      <c r="AO411" t="b">
        <v>1</v>
      </c>
      <c r="AP411" t="s">
        <v>45</v>
      </c>
      <c r="AQ411">
        <v>1920</v>
      </c>
      <c r="AR411">
        <v>1978</v>
      </c>
      <c r="AS411" t="s">
        <v>1840</v>
      </c>
      <c r="AT411">
        <v>3.9507186858316201</v>
      </c>
      <c r="AU411">
        <f t="shared" si="20"/>
        <v>1.0999999999999999E-2</v>
      </c>
    </row>
    <row r="412" spans="1:47" x14ac:dyDescent="0.3">
      <c r="A412">
        <v>410</v>
      </c>
      <c r="B412" t="s">
        <v>1841</v>
      </c>
      <c r="C412" t="s">
        <v>1842</v>
      </c>
      <c r="D412">
        <v>94</v>
      </c>
      <c r="E412" t="s">
        <v>1740</v>
      </c>
      <c r="F412" t="str">
        <f>VLOOKUP(E412,country_continent!A:C,2,FALSE)</f>
        <v>Costa Rica</v>
      </c>
      <c r="G412" t="str">
        <f>VLOOKUP(E412,country_continent!A:C,3,FALSE)</f>
        <v>North America</v>
      </c>
      <c r="H412" t="s">
        <v>1843</v>
      </c>
      <c r="I412" s="1">
        <v>17643</v>
      </c>
      <c r="J412" s="3">
        <f t="shared" si="18"/>
        <v>17643</v>
      </c>
      <c r="K412" s="1">
        <v>17661</v>
      </c>
      <c r="L412" s="3">
        <f t="shared" si="19"/>
        <v>17661</v>
      </c>
      <c r="M412" t="s">
        <v>67</v>
      </c>
      <c r="N412" t="s">
        <v>49</v>
      </c>
      <c r="O412" t="s">
        <v>49</v>
      </c>
      <c r="P412">
        <v>0</v>
      </c>
      <c r="Q412" t="s">
        <v>50</v>
      </c>
      <c r="R412" t="s">
        <v>51</v>
      </c>
      <c r="S412">
        <v>1874</v>
      </c>
      <c r="T412">
        <v>1950</v>
      </c>
      <c r="U412" t="s">
        <v>1844</v>
      </c>
      <c r="V412" t="s">
        <v>1845</v>
      </c>
      <c r="W412" s="1">
        <v>18391</v>
      </c>
      <c r="X412" s="2">
        <v>18391</v>
      </c>
      <c r="Z412">
        <v>1</v>
      </c>
      <c r="AA412">
        <v>1</v>
      </c>
      <c r="AB412">
        <v>0</v>
      </c>
      <c r="AC412">
        <v>0</v>
      </c>
      <c r="AF412">
        <v>1948</v>
      </c>
      <c r="AG412">
        <v>1948</v>
      </c>
      <c r="AO412" t="b">
        <v>1</v>
      </c>
      <c r="AP412" t="s">
        <v>45</v>
      </c>
      <c r="AQ412">
        <v>1920</v>
      </c>
      <c r="AR412">
        <v>1978</v>
      </c>
      <c r="AS412" t="s">
        <v>1846</v>
      </c>
      <c r="AT412">
        <v>4.9281314168377797E-2</v>
      </c>
      <c r="AU412">
        <f t="shared" si="20"/>
        <v>0</v>
      </c>
    </row>
    <row r="413" spans="1:47" x14ac:dyDescent="0.3">
      <c r="A413">
        <v>411</v>
      </c>
      <c r="B413" t="s">
        <v>1847</v>
      </c>
      <c r="C413" t="s">
        <v>1848</v>
      </c>
      <c r="D413">
        <v>94</v>
      </c>
      <c r="E413" t="s">
        <v>1740</v>
      </c>
      <c r="F413" t="str">
        <f>VLOOKUP(E413,country_continent!A:C,2,FALSE)</f>
        <v>Costa Rica</v>
      </c>
      <c r="G413" t="str">
        <f>VLOOKUP(E413,country_continent!A:C,3,FALSE)</f>
        <v>North America</v>
      </c>
      <c r="H413" t="s">
        <v>1849</v>
      </c>
      <c r="I413" s="1">
        <v>17661</v>
      </c>
      <c r="J413" s="3">
        <f t="shared" si="18"/>
        <v>17661</v>
      </c>
      <c r="K413" s="1">
        <v>18210</v>
      </c>
      <c r="L413" s="3">
        <f t="shared" si="19"/>
        <v>18210</v>
      </c>
      <c r="M413" t="s">
        <v>67</v>
      </c>
      <c r="N413" t="s">
        <v>49</v>
      </c>
      <c r="O413" t="s">
        <v>49</v>
      </c>
      <c r="P413">
        <v>0</v>
      </c>
      <c r="Q413" t="s">
        <v>50</v>
      </c>
      <c r="R413" t="s">
        <v>51</v>
      </c>
      <c r="S413">
        <v>1906</v>
      </c>
      <c r="T413">
        <v>1990</v>
      </c>
      <c r="U413" s="1">
        <v>2460</v>
      </c>
      <c r="V413" s="2">
        <v>2460</v>
      </c>
      <c r="W413" s="1">
        <v>33032</v>
      </c>
      <c r="X413" s="2">
        <v>33032</v>
      </c>
      <c r="Y413" t="s">
        <v>1850</v>
      </c>
      <c r="Z413">
        <v>1</v>
      </c>
      <c r="AA413">
        <v>1</v>
      </c>
      <c r="AB413">
        <v>0</v>
      </c>
      <c r="AC413">
        <v>0</v>
      </c>
      <c r="AD413" t="s">
        <v>1835</v>
      </c>
      <c r="AE413">
        <v>0</v>
      </c>
      <c r="AF413">
        <v>1948</v>
      </c>
      <c r="AG413">
        <v>1949</v>
      </c>
      <c r="AO413" t="b">
        <v>1</v>
      </c>
      <c r="AP413" t="s">
        <v>45</v>
      </c>
      <c r="AQ413">
        <v>1920</v>
      </c>
      <c r="AR413">
        <v>1978</v>
      </c>
      <c r="AS413" t="s">
        <v>1851</v>
      </c>
      <c r="AT413">
        <v>1.5030800821355199</v>
      </c>
      <c r="AU413">
        <f t="shared" si="20"/>
        <v>4.0000000000000001E-3</v>
      </c>
    </row>
    <row r="414" spans="1:47" x14ac:dyDescent="0.3">
      <c r="A414">
        <v>412</v>
      </c>
      <c r="B414" t="s">
        <v>1852</v>
      </c>
      <c r="C414" t="s">
        <v>1853</v>
      </c>
      <c r="D414">
        <v>94</v>
      </c>
      <c r="E414" t="s">
        <v>1740</v>
      </c>
      <c r="F414" t="str">
        <f>VLOOKUP(E414,country_continent!A:C,2,FALSE)</f>
        <v>Costa Rica</v>
      </c>
      <c r="G414" t="str">
        <f>VLOOKUP(E414,country_continent!A:C,3,FALSE)</f>
        <v>North America</v>
      </c>
      <c r="H414" t="s">
        <v>1854</v>
      </c>
      <c r="I414" s="1">
        <v>18210</v>
      </c>
      <c r="J414" s="3">
        <f t="shared" si="18"/>
        <v>18210</v>
      </c>
      <c r="K414" s="1">
        <v>19671</v>
      </c>
      <c r="L414" s="3">
        <f t="shared" si="19"/>
        <v>19671</v>
      </c>
      <c r="M414" t="s">
        <v>49</v>
      </c>
      <c r="N414" t="s">
        <v>49</v>
      </c>
      <c r="O414" t="s">
        <v>49</v>
      </c>
      <c r="P414">
        <v>0</v>
      </c>
      <c r="Q414" t="s">
        <v>50</v>
      </c>
      <c r="R414" t="s">
        <v>51</v>
      </c>
      <c r="S414">
        <v>1892</v>
      </c>
      <c r="T414">
        <v>1973</v>
      </c>
      <c r="Z414">
        <v>0</v>
      </c>
      <c r="AA414">
        <v>1</v>
      </c>
      <c r="AB414">
        <v>0</v>
      </c>
      <c r="AC414">
        <v>0</v>
      </c>
      <c r="AF414">
        <v>1949</v>
      </c>
      <c r="AG414">
        <v>1953</v>
      </c>
      <c r="AO414" t="b">
        <v>1</v>
      </c>
      <c r="AP414" t="s">
        <v>45</v>
      </c>
      <c r="AQ414">
        <v>1920</v>
      </c>
      <c r="AR414">
        <v>1978</v>
      </c>
      <c r="AS414" t="s">
        <v>1775</v>
      </c>
      <c r="AT414">
        <v>4</v>
      </c>
      <c r="AU414">
        <f t="shared" si="20"/>
        <v>1.0999999999999999E-2</v>
      </c>
    </row>
    <row r="415" spans="1:47" x14ac:dyDescent="0.3">
      <c r="A415">
        <v>413</v>
      </c>
      <c r="B415" t="s">
        <v>1855</v>
      </c>
      <c r="C415" t="s">
        <v>1848</v>
      </c>
      <c r="D415">
        <v>94</v>
      </c>
      <c r="E415" t="s">
        <v>1740</v>
      </c>
      <c r="F415" t="str">
        <f>VLOOKUP(E415,country_continent!A:C,2,FALSE)</f>
        <v>Costa Rica</v>
      </c>
      <c r="G415" t="str">
        <f>VLOOKUP(E415,country_continent!A:C,3,FALSE)</f>
        <v>North America</v>
      </c>
      <c r="H415" t="s">
        <v>1849</v>
      </c>
      <c r="I415" s="1">
        <v>19671</v>
      </c>
      <c r="J415" s="3">
        <f t="shared" si="18"/>
        <v>19671</v>
      </c>
      <c r="K415" s="1">
        <v>21313</v>
      </c>
      <c r="L415" s="3">
        <f t="shared" si="19"/>
        <v>21313</v>
      </c>
      <c r="M415" t="s">
        <v>49</v>
      </c>
      <c r="N415" t="s">
        <v>49</v>
      </c>
      <c r="O415" t="s">
        <v>49</v>
      </c>
      <c r="P415">
        <v>1</v>
      </c>
      <c r="Q415" t="s">
        <v>50</v>
      </c>
      <c r="R415" t="s">
        <v>51</v>
      </c>
      <c r="S415">
        <v>1906</v>
      </c>
      <c r="T415">
        <v>1990</v>
      </c>
      <c r="U415" s="1">
        <v>2460</v>
      </c>
      <c r="V415" s="2">
        <v>2460</v>
      </c>
      <c r="W415" s="1">
        <v>33032</v>
      </c>
      <c r="X415" s="2">
        <v>33032</v>
      </c>
      <c r="Y415" t="s">
        <v>1850</v>
      </c>
      <c r="Z415">
        <v>0</v>
      </c>
      <c r="AA415">
        <v>1</v>
      </c>
      <c r="AB415">
        <v>0</v>
      </c>
      <c r="AC415">
        <v>0</v>
      </c>
      <c r="AD415" t="s">
        <v>1835</v>
      </c>
      <c r="AE415">
        <v>0</v>
      </c>
      <c r="AF415">
        <v>1953</v>
      </c>
      <c r="AG415">
        <v>1958</v>
      </c>
      <c r="AO415" t="b">
        <v>1</v>
      </c>
      <c r="AP415" t="s">
        <v>45</v>
      </c>
      <c r="AQ415">
        <v>1920</v>
      </c>
      <c r="AR415">
        <v>1978</v>
      </c>
      <c r="AS415" t="s">
        <v>1856</v>
      </c>
      <c r="AT415">
        <v>4.4955509924709096</v>
      </c>
      <c r="AU415">
        <f t="shared" si="20"/>
        <v>1.2E-2</v>
      </c>
    </row>
    <row r="416" spans="1:47" x14ac:dyDescent="0.3">
      <c r="A416">
        <v>414</v>
      </c>
      <c r="B416" t="s">
        <v>1857</v>
      </c>
      <c r="C416" t="s">
        <v>1858</v>
      </c>
      <c r="D416">
        <v>94</v>
      </c>
      <c r="E416" t="s">
        <v>1740</v>
      </c>
      <c r="F416" t="str">
        <f>VLOOKUP(E416,country_continent!A:C,2,FALSE)</f>
        <v>Costa Rica</v>
      </c>
      <c r="G416" t="str">
        <f>VLOOKUP(E416,country_continent!A:C,3,FALSE)</f>
        <v>North America</v>
      </c>
      <c r="H416" t="s">
        <v>1859</v>
      </c>
      <c r="I416" s="1">
        <v>21313</v>
      </c>
      <c r="J416" s="3">
        <f t="shared" si="18"/>
        <v>21313</v>
      </c>
      <c r="K416" s="1">
        <v>22774</v>
      </c>
      <c r="L416" s="3">
        <f t="shared" si="19"/>
        <v>22774</v>
      </c>
      <c r="M416" t="s">
        <v>49</v>
      </c>
      <c r="N416" t="s">
        <v>49</v>
      </c>
      <c r="O416" t="s">
        <v>49</v>
      </c>
      <c r="P416">
        <v>0</v>
      </c>
      <c r="Q416" t="s">
        <v>50</v>
      </c>
      <c r="R416" t="s">
        <v>51</v>
      </c>
      <c r="S416">
        <v>1915</v>
      </c>
      <c r="T416">
        <v>2011</v>
      </c>
      <c r="Z416">
        <v>0</v>
      </c>
      <c r="AA416">
        <v>1</v>
      </c>
      <c r="AB416">
        <v>0</v>
      </c>
      <c r="AC416">
        <v>0</v>
      </c>
      <c r="AF416">
        <v>1958</v>
      </c>
      <c r="AG416">
        <v>1962</v>
      </c>
      <c r="AO416" t="b">
        <v>1</v>
      </c>
      <c r="AP416" t="s">
        <v>45</v>
      </c>
      <c r="AQ416">
        <v>1920</v>
      </c>
      <c r="AR416">
        <v>1978</v>
      </c>
      <c r="AS416" t="s">
        <v>1775</v>
      </c>
      <c r="AT416">
        <v>4</v>
      </c>
      <c r="AU416">
        <f t="shared" si="20"/>
        <v>1.0999999999999999E-2</v>
      </c>
    </row>
    <row r="417" spans="1:47" x14ac:dyDescent="0.3">
      <c r="A417">
        <v>415</v>
      </c>
      <c r="B417" t="s">
        <v>1860</v>
      </c>
      <c r="C417" t="s">
        <v>1861</v>
      </c>
      <c r="D417">
        <v>94</v>
      </c>
      <c r="E417" t="s">
        <v>1740</v>
      </c>
      <c r="F417" t="str">
        <f>VLOOKUP(E417,country_continent!A:C,2,FALSE)</f>
        <v>Costa Rica</v>
      </c>
      <c r="G417" t="str">
        <f>VLOOKUP(E417,country_continent!A:C,3,FALSE)</f>
        <v>North America</v>
      </c>
      <c r="H417" t="s">
        <v>1862</v>
      </c>
      <c r="I417" s="1">
        <v>22774</v>
      </c>
      <c r="J417" s="3">
        <f t="shared" si="18"/>
        <v>22774</v>
      </c>
      <c r="K417" s="1">
        <v>24235</v>
      </c>
      <c r="L417" s="3">
        <f t="shared" si="19"/>
        <v>24235</v>
      </c>
      <c r="M417" t="s">
        <v>49</v>
      </c>
      <c r="N417" t="s">
        <v>49</v>
      </c>
      <c r="O417" t="s">
        <v>49</v>
      </c>
      <c r="P417">
        <v>0</v>
      </c>
      <c r="Q417" t="s">
        <v>50</v>
      </c>
      <c r="R417" t="s">
        <v>51</v>
      </c>
      <c r="S417">
        <v>1907</v>
      </c>
      <c r="T417">
        <v>1969</v>
      </c>
      <c r="U417" s="1">
        <v>2626</v>
      </c>
      <c r="V417" s="2">
        <v>2626</v>
      </c>
      <c r="Y417" t="s">
        <v>1863</v>
      </c>
      <c r="Z417">
        <v>0</v>
      </c>
      <c r="AA417">
        <v>1</v>
      </c>
      <c r="AB417">
        <v>0</v>
      </c>
      <c r="AC417">
        <v>0</v>
      </c>
      <c r="AF417">
        <v>1962</v>
      </c>
      <c r="AG417">
        <v>1966</v>
      </c>
      <c r="AO417" t="b">
        <v>1</v>
      </c>
      <c r="AP417" t="s">
        <v>45</v>
      </c>
      <c r="AQ417">
        <v>1920</v>
      </c>
      <c r="AR417">
        <v>1978</v>
      </c>
      <c r="AS417" t="s">
        <v>1775</v>
      </c>
      <c r="AT417">
        <v>4</v>
      </c>
      <c r="AU417">
        <f t="shared" si="20"/>
        <v>1.0999999999999999E-2</v>
      </c>
    </row>
    <row r="418" spans="1:47" x14ac:dyDescent="0.3">
      <c r="A418">
        <v>416</v>
      </c>
      <c r="B418" t="s">
        <v>1864</v>
      </c>
      <c r="C418" t="s">
        <v>1865</v>
      </c>
      <c r="D418">
        <v>94</v>
      </c>
      <c r="E418" t="s">
        <v>1740</v>
      </c>
      <c r="F418" t="str">
        <f>VLOOKUP(E418,country_continent!A:C,2,FALSE)</f>
        <v>Costa Rica</v>
      </c>
      <c r="G418" t="str">
        <f>VLOOKUP(E418,country_continent!A:C,3,FALSE)</f>
        <v>North America</v>
      </c>
      <c r="H418" t="s">
        <v>1866</v>
      </c>
      <c r="I418" s="1">
        <v>24235</v>
      </c>
      <c r="J418" s="3">
        <f t="shared" si="18"/>
        <v>24235</v>
      </c>
      <c r="K418" s="1">
        <v>25696</v>
      </c>
      <c r="L418" s="3">
        <f t="shared" si="19"/>
        <v>25696</v>
      </c>
      <c r="M418" t="s">
        <v>49</v>
      </c>
      <c r="N418" t="s">
        <v>49</v>
      </c>
      <c r="O418" t="s">
        <v>49</v>
      </c>
      <c r="P418">
        <v>0</v>
      </c>
      <c r="Q418" t="s">
        <v>50</v>
      </c>
      <c r="R418" t="s">
        <v>51</v>
      </c>
      <c r="S418">
        <v>1916</v>
      </c>
      <c r="T418">
        <v>2010</v>
      </c>
      <c r="U418" s="1">
        <v>5953</v>
      </c>
      <c r="V418" s="2">
        <v>5953</v>
      </c>
      <c r="Y418" t="s">
        <v>1867</v>
      </c>
      <c r="Z418">
        <v>0</v>
      </c>
      <c r="AA418">
        <v>1</v>
      </c>
      <c r="AB418">
        <v>0</v>
      </c>
      <c r="AC418">
        <v>0</v>
      </c>
      <c r="AF418">
        <v>1966</v>
      </c>
      <c r="AG418">
        <v>1970</v>
      </c>
      <c r="AO418" t="b">
        <v>1</v>
      </c>
      <c r="AP418" t="s">
        <v>45</v>
      </c>
      <c r="AQ418">
        <v>1920</v>
      </c>
      <c r="AR418">
        <v>1978</v>
      </c>
      <c r="AS418" t="s">
        <v>1775</v>
      </c>
      <c r="AT418">
        <v>4</v>
      </c>
      <c r="AU418">
        <f t="shared" si="20"/>
        <v>1.0999999999999999E-2</v>
      </c>
    </row>
    <row r="419" spans="1:47" x14ac:dyDescent="0.3">
      <c r="A419">
        <v>417</v>
      </c>
      <c r="B419" t="s">
        <v>1868</v>
      </c>
      <c r="C419" t="s">
        <v>1848</v>
      </c>
      <c r="D419">
        <v>94</v>
      </c>
      <c r="E419" t="s">
        <v>1740</v>
      </c>
      <c r="F419" t="str">
        <f>VLOOKUP(E419,country_continent!A:C,2,FALSE)</f>
        <v>Costa Rica</v>
      </c>
      <c r="G419" t="str">
        <f>VLOOKUP(E419,country_continent!A:C,3,FALSE)</f>
        <v>North America</v>
      </c>
      <c r="H419" t="s">
        <v>1849</v>
      </c>
      <c r="I419" s="1">
        <v>25696</v>
      </c>
      <c r="J419" s="3">
        <f t="shared" si="18"/>
        <v>25696</v>
      </c>
      <c r="K419" s="1">
        <v>27157</v>
      </c>
      <c r="L419" s="3">
        <f t="shared" si="19"/>
        <v>27157</v>
      </c>
      <c r="M419" t="s">
        <v>49</v>
      </c>
      <c r="N419" t="s">
        <v>49</v>
      </c>
      <c r="O419" t="s">
        <v>49</v>
      </c>
      <c r="P419">
        <v>2</v>
      </c>
      <c r="Q419" t="s">
        <v>50</v>
      </c>
      <c r="R419" t="s">
        <v>51</v>
      </c>
      <c r="S419">
        <v>1906</v>
      </c>
      <c r="T419">
        <v>1990</v>
      </c>
      <c r="U419" s="1">
        <v>2460</v>
      </c>
      <c r="V419" s="2">
        <v>2460</v>
      </c>
      <c r="W419" s="1">
        <v>33032</v>
      </c>
      <c r="X419" s="2">
        <v>33032</v>
      </c>
      <c r="Y419" t="s">
        <v>1850</v>
      </c>
      <c r="Z419">
        <v>0</v>
      </c>
      <c r="AA419">
        <v>1</v>
      </c>
      <c r="AB419">
        <v>0</v>
      </c>
      <c r="AC419">
        <v>0</v>
      </c>
      <c r="AD419" t="s">
        <v>1835</v>
      </c>
      <c r="AE419">
        <v>0</v>
      </c>
      <c r="AF419">
        <v>1970</v>
      </c>
      <c r="AG419">
        <v>1974</v>
      </c>
      <c r="AO419" t="b">
        <v>1</v>
      </c>
      <c r="AP419" t="s">
        <v>45</v>
      </c>
      <c r="AQ419">
        <v>1920</v>
      </c>
      <c r="AR419">
        <v>1978</v>
      </c>
      <c r="AS419" t="s">
        <v>1775</v>
      </c>
      <c r="AT419">
        <v>4</v>
      </c>
      <c r="AU419">
        <f t="shared" si="20"/>
        <v>1.0999999999999999E-2</v>
      </c>
    </row>
    <row r="420" spans="1:47" x14ac:dyDescent="0.3">
      <c r="A420">
        <v>418</v>
      </c>
      <c r="B420" t="s">
        <v>1869</v>
      </c>
      <c r="C420" t="s">
        <v>1870</v>
      </c>
      <c r="D420">
        <v>94</v>
      </c>
      <c r="E420" t="s">
        <v>1740</v>
      </c>
      <c r="F420" t="str">
        <f>VLOOKUP(E420,country_continent!A:C,2,FALSE)</f>
        <v>Costa Rica</v>
      </c>
      <c r="G420" t="str">
        <f>VLOOKUP(E420,country_continent!A:C,3,FALSE)</f>
        <v>North America</v>
      </c>
      <c r="H420" t="s">
        <v>1871</v>
      </c>
      <c r="I420" s="1">
        <v>27157</v>
      </c>
      <c r="J420" s="3">
        <f t="shared" si="18"/>
        <v>27157</v>
      </c>
      <c r="K420" s="1">
        <v>28618</v>
      </c>
      <c r="L420" s="3">
        <f t="shared" si="19"/>
        <v>28618</v>
      </c>
      <c r="M420" t="s">
        <v>49</v>
      </c>
      <c r="N420" t="s">
        <v>49</v>
      </c>
      <c r="O420" t="s">
        <v>49</v>
      </c>
      <c r="P420">
        <v>0</v>
      </c>
      <c r="Q420" t="s">
        <v>50</v>
      </c>
      <c r="R420" t="s">
        <v>51</v>
      </c>
      <c r="S420">
        <v>1921</v>
      </c>
      <c r="T420">
        <v>1991</v>
      </c>
      <c r="U420" s="1">
        <v>7908</v>
      </c>
      <c r="V420" s="2">
        <v>7908</v>
      </c>
      <c r="W420" s="1">
        <v>33524</v>
      </c>
      <c r="X420" s="2">
        <v>33524</v>
      </c>
      <c r="Y420" t="s">
        <v>1872</v>
      </c>
      <c r="Z420">
        <v>0</v>
      </c>
      <c r="AA420">
        <v>1</v>
      </c>
      <c r="AB420">
        <v>0</v>
      </c>
      <c r="AC420">
        <v>0</v>
      </c>
      <c r="AF420">
        <v>1974</v>
      </c>
      <c r="AG420">
        <v>1978</v>
      </c>
      <c r="AO420" t="b">
        <v>1</v>
      </c>
      <c r="AP420" t="s">
        <v>45</v>
      </c>
      <c r="AQ420">
        <v>1920</v>
      </c>
      <c r="AR420">
        <v>1978</v>
      </c>
      <c r="AS420" t="s">
        <v>1775</v>
      </c>
      <c r="AT420">
        <v>4</v>
      </c>
      <c r="AU420">
        <f t="shared" si="20"/>
        <v>1.0999999999999999E-2</v>
      </c>
    </row>
    <row r="421" spans="1:47" x14ac:dyDescent="0.3">
      <c r="A421">
        <v>419</v>
      </c>
      <c r="B421" t="s">
        <v>1873</v>
      </c>
      <c r="C421" t="s">
        <v>1874</v>
      </c>
      <c r="D421">
        <v>94</v>
      </c>
      <c r="E421" t="s">
        <v>1740</v>
      </c>
      <c r="F421" t="str">
        <f>VLOOKUP(E421,country_continent!A:C,2,FALSE)</f>
        <v>Costa Rica</v>
      </c>
      <c r="G421" t="str">
        <f>VLOOKUP(E421,country_continent!A:C,3,FALSE)</f>
        <v>North America</v>
      </c>
      <c r="H421" t="s">
        <v>1875</v>
      </c>
      <c r="I421" s="1">
        <v>28618</v>
      </c>
      <c r="J421" s="3">
        <f t="shared" si="18"/>
        <v>28618</v>
      </c>
      <c r="K421" s="1">
        <v>30079</v>
      </c>
      <c r="L421" s="3">
        <f t="shared" si="19"/>
        <v>30079</v>
      </c>
      <c r="M421" t="s">
        <v>49</v>
      </c>
      <c r="N421" t="s">
        <v>49</v>
      </c>
      <c r="O421" t="s">
        <v>49</v>
      </c>
      <c r="P421">
        <v>0</v>
      </c>
      <c r="Q421" t="s">
        <v>50</v>
      </c>
      <c r="R421" t="s">
        <v>51</v>
      </c>
      <c r="S421">
        <v>1926</v>
      </c>
      <c r="T421">
        <v>2009</v>
      </c>
      <c r="U421" s="1">
        <v>9858</v>
      </c>
      <c r="V421" s="2">
        <v>9858</v>
      </c>
      <c r="Y421" t="s">
        <v>1876</v>
      </c>
      <c r="Z421">
        <v>0</v>
      </c>
      <c r="AA421">
        <v>1</v>
      </c>
      <c r="AB421">
        <v>0</v>
      </c>
      <c r="AC421">
        <v>0</v>
      </c>
      <c r="AF421">
        <v>1978</v>
      </c>
      <c r="AG421">
        <v>1982</v>
      </c>
      <c r="AO421" t="b">
        <v>1</v>
      </c>
      <c r="AP421" t="s">
        <v>45</v>
      </c>
      <c r="AQ421">
        <v>1920</v>
      </c>
      <c r="AR421">
        <v>1978</v>
      </c>
      <c r="AS421" t="s">
        <v>1775</v>
      </c>
      <c r="AT421">
        <v>4</v>
      </c>
      <c r="AU421">
        <f t="shared" si="20"/>
        <v>1.0999999999999999E-2</v>
      </c>
    </row>
    <row r="422" spans="1:47" x14ac:dyDescent="0.3">
      <c r="A422">
        <v>420</v>
      </c>
      <c r="B422" t="s">
        <v>1877</v>
      </c>
      <c r="C422" t="s">
        <v>1878</v>
      </c>
      <c r="D422">
        <v>94</v>
      </c>
      <c r="E422" t="s">
        <v>1740</v>
      </c>
      <c r="F422" t="str">
        <f>VLOOKUP(E422,country_continent!A:C,2,FALSE)</f>
        <v>Costa Rica</v>
      </c>
      <c r="G422" t="str">
        <f>VLOOKUP(E422,country_continent!A:C,3,FALSE)</f>
        <v>North America</v>
      </c>
      <c r="H422" t="s">
        <v>1879</v>
      </c>
      <c r="I422" s="1">
        <v>30079</v>
      </c>
      <c r="J422" s="3">
        <f t="shared" si="18"/>
        <v>30079</v>
      </c>
      <c r="K422" s="1">
        <v>31540</v>
      </c>
      <c r="L422" s="3">
        <f t="shared" si="19"/>
        <v>31540</v>
      </c>
      <c r="M422" t="s">
        <v>49</v>
      </c>
      <c r="N422" t="s">
        <v>49</v>
      </c>
      <c r="O422" t="s">
        <v>49</v>
      </c>
      <c r="P422">
        <v>0</v>
      </c>
      <c r="Q422" t="s">
        <v>50</v>
      </c>
      <c r="R422" t="s">
        <v>51</v>
      </c>
      <c r="S422">
        <v>1925</v>
      </c>
      <c r="T422">
        <v>-777</v>
      </c>
      <c r="U422" s="1">
        <v>9494</v>
      </c>
      <c r="V422" s="2">
        <v>9494</v>
      </c>
      <c r="Z422">
        <v>0</v>
      </c>
      <c r="AA422">
        <v>1</v>
      </c>
      <c r="AB422">
        <v>0</v>
      </c>
      <c r="AC422">
        <v>0</v>
      </c>
      <c r="AF422">
        <v>1982</v>
      </c>
      <c r="AG422">
        <v>1986</v>
      </c>
      <c r="AO422" t="b">
        <v>1</v>
      </c>
      <c r="AP422" t="s">
        <v>45</v>
      </c>
      <c r="AQ422">
        <v>1920</v>
      </c>
      <c r="AR422">
        <v>1978</v>
      </c>
      <c r="AS422" t="s">
        <v>1775</v>
      </c>
      <c r="AT422">
        <v>4</v>
      </c>
      <c r="AU422">
        <f t="shared" si="20"/>
        <v>1.0999999999999999E-2</v>
      </c>
    </row>
    <row r="423" spans="1:47" x14ac:dyDescent="0.3">
      <c r="A423">
        <v>421</v>
      </c>
      <c r="B423" t="s">
        <v>1880</v>
      </c>
      <c r="C423" t="s">
        <v>1881</v>
      </c>
      <c r="D423">
        <v>94</v>
      </c>
      <c r="E423" t="s">
        <v>1740</v>
      </c>
      <c r="F423" t="str">
        <f>VLOOKUP(E423,country_continent!A:C,2,FALSE)</f>
        <v>Costa Rica</v>
      </c>
      <c r="G423" t="str">
        <f>VLOOKUP(E423,country_continent!A:C,3,FALSE)</f>
        <v>North America</v>
      </c>
      <c r="H423" t="s">
        <v>1882</v>
      </c>
      <c r="I423" s="1">
        <v>31540</v>
      </c>
      <c r="J423" s="3">
        <f t="shared" si="18"/>
        <v>31540</v>
      </c>
      <c r="K423" s="1">
        <v>33001</v>
      </c>
      <c r="L423" s="3">
        <f t="shared" si="19"/>
        <v>33001</v>
      </c>
      <c r="M423" t="s">
        <v>49</v>
      </c>
      <c r="N423" t="s">
        <v>49</v>
      </c>
      <c r="O423" t="s">
        <v>49</v>
      </c>
      <c r="P423">
        <v>0</v>
      </c>
      <c r="Q423" t="s">
        <v>50</v>
      </c>
      <c r="R423" t="s">
        <v>51</v>
      </c>
      <c r="S423">
        <v>1941</v>
      </c>
      <c r="T423">
        <v>-777</v>
      </c>
      <c r="U423" s="1">
        <v>15232</v>
      </c>
      <c r="V423" s="2">
        <v>15232</v>
      </c>
      <c r="Z423">
        <v>0</v>
      </c>
      <c r="AA423">
        <v>1</v>
      </c>
      <c r="AB423">
        <v>0</v>
      </c>
      <c r="AC423">
        <v>0</v>
      </c>
      <c r="AF423">
        <v>1986</v>
      </c>
      <c r="AG423">
        <v>1990</v>
      </c>
      <c r="AO423" t="b">
        <v>1</v>
      </c>
      <c r="AP423" t="s">
        <v>45</v>
      </c>
      <c r="AQ423">
        <v>1920</v>
      </c>
      <c r="AR423">
        <v>1978</v>
      </c>
      <c r="AS423" t="s">
        <v>1775</v>
      </c>
      <c r="AT423">
        <v>4</v>
      </c>
      <c r="AU423">
        <f t="shared" si="20"/>
        <v>1.0999999999999999E-2</v>
      </c>
    </row>
    <row r="424" spans="1:47" x14ac:dyDescent="0.3">
      <c r="A424">
        <v>422</v>
      </c>
      <c r="B424" t="s">
        <v>1883</v>
      </c>
      <c r="C424" t="s">
        <v>1884</v>
      </c>
      <c r="D424">
        <v>94</v>
      </c>
      <c r="E424" t="s">
        <v>1740</v>
      </c>
      <c r="F424" t="str">
        <f>VLOOKUP(E424,country_continent!A:C,2,FALSE)</f>
        <v>Costa Rica</v>
      </c>
      <c r="G424" t="str">
        <f>VLOOKUP(E424,country_continent!A:C,3,FALSE)</f>
        <v>North America</v>
      </c>
      <c r="H424" t="s">
        <v>1885</v>
      </c>
      <c r="I424" s="1">
        <v>33001</v>
      </c>
      <c r="J424" s="3">
        <f t="shared" si="18"/>
        <v>33001</v>
      </c>
      <c r="K424" s="1">
        <v>34462</v>
      </c>
      <c r="L424" s="3">
        <f t="shared" si="19"/>
        <v>34462</v>
      </c>
      <c r="M424" t="s">
        <v>49</v>
      </c>
      <c r="N424" t="s">
        <v>49</v>
      </c>
      <c r="O424" t="s">
        <v>49</v>
      </c>
      <c r="P424">
        <v>0</v>
      </c>
      <c r="Q424" t="s">
        <v>50</v>
      </c>
      <c r="R424" t="s">
        <v>51</v>
      </c>
      <c r="S424">
        <v>1949</v>
      </c>
      <c r="T424">
        <v>-777</v>
      </c>
      <c r="Z424">
        <v>0</v>
      </c>
      <c r="AA424">
        <v>1</v>
      </c>
      <c r="AB424">
        <v>0</v>
      </c>
      <c r="AC424">
        <v>0</v>
      </c>
      <c r="AD424" t="s">
        <v>1886</v>
      </c>
      <c r="AE424">
        <v>1</v>
      </c>
      <c r="AF424">
        <v>1990</v>
      </c>
      <c r="AG424">
        <v>1994</v>
      </c>
      <c r="AO424" t="b">
        <v>1</v>
      </c>
      <c r="AP424" t="s">
        <v>45</v>
      </c>
      <c r="AQ424">
        <v>1920</v>
      </c>
      <c r="AR424">
        <v>1978</v>
      </c>
      <c r="AS424" t="s">
        <v>1775</v>
      </c>
      <c r="AT424">
        <v>4</v>
      </c>
      <c r="AU424">
        <f t="shared" si="20"/>
        <v>1.0999999999999999E-2</v>
      </c>
    </row>
    <row r="425" spans="1:47" x14ac:dyDescent="0.3">
      <c r="A425">
        <v>423</v>
      </c>
      <c r="B425" t="s">
        <v>1887</v>
      </c>
      <c r="C425" t="s">
        <v>1888</v>
      </c>
      <c r="D425">
        <v>94</v>
      </c>
      <c r="E425" t="s">
        <v>1740</v>
      </c>
      <c r="F425" t="str">
        <f>VLOOKUP(E425,country_continent!A:C,2,FALSE)</f>
        <v>Costa Rica</v>
      </c>
      <c r="G425" t="str">
        <f>VLOOKUP(E425,country_continent!A:C,3,FALSE)</f>
        <v>North America</v>
      </c>
      <c r="H425" t="s">
        <v>1889</v>
      </c>
      <c r="I425" s="1">
        <v>34462</v>
      </c>
      <c r="J425" s="3">
        <f t="shared" si="18"/>
        <v>34462</v>
      </c>
      <c r="K425" s="1">
        <v>35923</v>
      </c>
      <c r="L425" s="3">
        <f t="shared" si="19"/>
        <v>35923</v>
      </c>
      <c r="M425" t="s">
        <v>49</v>
      </c>
      <c r="N425" t="s">
        <v>49</v>
      </c>
      <c r="O425" t="s">
        <v>49</v>
      </c>
      <c r="P425">
        <v>0</v>
      </c>
      <c r="Q425" t="s">
        <v>50</v>
      </c>
      <c r="R425" t="s">
        <v>51</v>
      </c>
      <c r="S425">
        <v>1954</v>
      </c>
      <c r="T425">
        <v>-777</v>
      </c>
      <c r="Z425">
        <v>0</v>
      </c>
      <c r="AA425">
        <v>1</v>
      </c>
      <c r="AB425">
        <v>0</v>
      </c>
      <c r="AC425">
        <v>0</v>
      </c>
      <c r="AF425">
        <v>1994</v>
      </c>
      <c r="AG425">
        <v>1998</v>
      </c>
      <c r="AO425" t="b">
        <v>1</v>
      </c>
      <c r="AP425" t="s">
        <v>45</v>
      </c>
      <c r="AQ425">
        <v>1920</v>
      </c>
      <c r="AR425">
        <v>1978</v>
      </c>
      <c r="AS425" t="s">
        <v>1775</v>
      </c>
      <c r="AT425">
        <v>4</v>
      </c>
      <c r="AU425">
        <f t="shared" si="20"/>
        <v>1.0999999999999999E-2</v>
      </c>
    </row>
    <row r="426" spans="1:47" x14ac:dyDescent="0.3">
      <c r="A426">
        <v>424</v>
      </c>
      <c r="B426" t="s">
        <v>1890</v>
      </c>
      <c r="C426" t="s">
        <v>1891</v>
      </c>
      <c r="D426">
        <v>94</v>
      </c>
      <c r="E426" t="s">
        <v>1740</v>
      </c>
      <c r="F426" t="str">
        <f>VLOOKUP(E426,country_continent!A:C,2,FALSE)</f>
        <v>Costa Rica</v>
      </c>
      <c r="G426" t="str">
        <f>VLOOKUP(E426,country_continent!A:C,3,FALSE)</f>
        <v>North America</v>
      </c>
      <c r="H426" t="s">
        <v>1892</v>
      </c>
      <c r="I426" s="1">
        <v>35923</v>
      </c>
      <c r="J426" s="3">
        <f t="shared" si="18"/>
        <v>35923</v>
      </c>
      <c r="K426" s="1">
        <v>37384</v>
      </c>
      <c r="L426" s="3">
        <f t="shared" si="19"/>
        <v>37384</v>
      </c>
      <c r="M426" t="s">
        <v>49</v>
      </c>
      <c r="N426" t="s">
        <v>49</v>
      </c>
      <c r="O426" t="s">
        <v>49</v>
      </c>
      <c r="P426">
        <v>0</v>
      </c>
      <c r="Q426" t="s">
        <v>50</v>
      </c>
      <c r="R426" t="s">
        <v>51</v>
      </c>
      <c r="S426">
        <v>1940</v>
      </c>
      <c r="T426">
        <v>-777</v>
      </c>
      <c r="Z426">
        <v>0</v>
      </c>
      <c r="AA426">
        <v>1</v>
      </c>
      <c r="AB426">
        <v>0</v>
      </c>
      <c r="AC426">
        <v>0</v>
      </c>
      <c r="AF426">
        <v>1998</v>
      </c>
      <c r="AG426">
        <v>2002</v>
      </c>
      <c r="AO426" t="b">
        <v>1</v>
      </c>
      <c r="AP426" t="s">
        <v>45</v>
      </c>
      <c r="AQ426">
        <v>1920</v>
      </c>
      <c r="AR426">
        <v>1978</v>
      </c>
      <c r="AS426" t="s">
        <v>1775</v>
      </c>
      <c r="AT426">
        <v>4</v>
      </c>
      <c r="AU426">
        <f t="shared" si="20"/>
        <v>1.0999999999999999E-2</v>
      </c>
    </row>
    <row r="427" spans="1:47" x14ac:dyDescent="0.3">
      <c r="A427">
        <v>425</v>
      </c>
      <c r="B427" t="s">
        <v>1893</v>
      </c>
      <c r="C427" t="s">
        <v>1894</v>
      </c>
      <c r="D427">
        <v>94</v>
      </c>
      <c r="E427" t="s">
        <v>1740</v>
      </c>
      <c r="F427" t="str">
        <f>VLOOKUP(E427,country_continent!A:C,2,FALSE)</f>
        <v>Costa Rica</v>
      </c>
      <c r="G427" t="str">
        <f>VLOOKUP(E427,country_continent!A:C,3,FALSE)</f>
        <v>North America</v>
      </c>
      <c r="H427" t="s">
        <v>1895</v>
      </c>
      <c r="I427" s="1">
        <v>37385</v>
      </c>
      <c r="J427" s="3">
        <f t="shared" si="18"/>
        <v>37385</v>
      </c>
      <c r="K427" s="1">
        <v>38845</v>
      </c>
      <c r="L427" s="3">
        <f t="shared" si="19"/>
        <v>38845</v>
      </c>
      <c r="M427" t="s">
        <v>49</v>
      </c>
      <c r="N427" t="s">
        <v>49</v>
      </c>
      <c r="O427" t="s">
        <v>49</v>
      </c>
      <c r="P427">
        <v>0</v>
      </c>
      <c r="Q427" t="s">
        <v>50</v>
      </c>
      <c r="R427" t="s">
        <v>51</v>
      </c>
      <c r="S427">
        <v>1933</v>
      </c>
      <c r="T427">
        <v>-777</v>
      </c>
      <c r="Z427">
        <v>0</v>
      </c>
      <c r="AA427">
        <v>1</v>
      </c>
      <c r="AB427">
        <v>0</v>
      </c>
      <c r="AC427">
        <v>0</v>
      </c>
      <c r="AF427">
        <v>2002</v>
      </c>
      <c r="AG427">
        <v>2006</v>
      </c>
      <c r="AO427" t="b">
        <v>1</v>
      </c>
      <c r="AP427" t="s">
        <v>45</v>
      </c>
      <c r="AQ427">
        <v>1920</v>
      </c>
      <c r="AR427">
        <v>1978</v>
      </c>
      <c r="AS427" t="s">
        <v>1896</v>
      </c>
      <c r="AT427">
        <v>3.9972621492128599</v>
      </c>
      <c r="AU427">
        <f t="shared" si="20"/>
        <v>1.0999999999999999E-2</v>
      </c>
    </row>
    <row r="428" spans="1:47" x14ac:dyDescent="0.3">
      <c r="A428">
        <v>426</v>
      </c>
      <c r="B428" t="s">
        <v>1897</v>
      </c>
      <c r="C428" t="s">
        <v>1881</v>
      </c>
      <c r="D428">
        <v>94</v>
      </c>
      <c r="E428" t="s">
        <v>1740</v>
      </c>
      <c r="F428" t="str">
        <f>VLOOKUP(E428,country_continent!A:C,2,FALSE)</f>
        <v>Costa Rica</v>
      </c>
      <c r="G428" t="str">
        <f>VLOOKUP(E428,country_continent!A:C,3,FALSE)</f>
        <v>North America</v>
      </c>
      <c r="H428" t="s">
        <v>1882</v>
      </c>
      <c r="I428" s="1">
        <v>38845</v>
      </c>
      <c r="J428" s="3">
        <f t="shared" si="18"/>
        <v>38845</v>
      </c>
      <c r="K428" s="1">
        <v>40306</v>
      </c>
      <c r="L428" s="3">
        <f t="shared" si="19"/>
        <v>40306</v>
      </c>
      <c r="M428" t="s">
        <v>49</v>
      </c>
      <c r="N428" t="s">
        <v>49</v>
      </c>
      <c r="O428" t="s">
        <v>49</v>
      </c>
      <c r="P428">
        <v>1</v>
      </c>
      <c r="Q428" t="s">
        <v>50</v>
      </c>
      <c r="R428" t="s">
        <v>51</v>
      </c>
      <c r="S428">
        <v>1941</v>
      </c>
      <c r="T428">
        <v>-777</v>
      </c>
      <c r="U428" s="1">
        <v>15232</v>
      </c>
      <c r="V428" s="2">
        <v>15232</v>
      </c>
      <c r="Z428">
        <v>0</v>
      </c>
      <c r="AA428">
        <v>1</v>
      </c>
      <c r="AB428">
        <v>0</v>
      </c>
      <c r="AC428">
        <v>0</v>
      </c>
      <c r="AF428">
        <v>2006</v>
      </c>
      <c r="AG428">
        <v>2010</v>
      </c>
      <c r="AO428" t="b">
        <v>1</v>
      </c>
      <c r="AP428" t="s">
        <v>45</v>
      </c>
      <c r="AQ428">
        <v>1920</v>
      </c>
      <c r="AR428">
        <v>1978</v>
      </c>
      <c r="AS428" t="s">
        <v>1775</v>
      </c>
      <c r="AT428">
        <v>4</v>
      </c>
      <c r="AU428">
        <f t="shared" si="20"/>
        <v>1.0999999999999999E-2</v>
      </c>
    </row>
    <row r="429" spans="1:47" x14ac:dyDescent="0.3">
      <c r="A429">
        <v>427</v>
      </c>
      <c r="B429" t="s">
        <v>1898</v>
      </c>
      <c r="C429" t="s">
        <v>1899</v>
      </c>
      <c r="D429">
        <v>94</v>
      </c>
      <c r="E429" t="s">
        <v>1740</v>
      </c>
      <c r="F429" t="str">
        <f>VLOOKUP(E429,country_continent!A:C,2,FALSE)</f>
        <v>Costa Rica</v>
      </c>
      <c r="G429" t="str">
        <f>VLOOKUP(E429,country_continent!A:C,3,FALSE)</f>
        <v>North America</v>
      </c>
      <c r="H429" t="s">
        <v>1900</v>
      </c>
      <c r="I429" s="1">
        <v>40306</v>
      </c>
      <c r="J429" s="3">
        <f t="shared" si="18"/>
        <v>40306</v>
      </c>
      <c r="K429" s="1">
        <v>41767</v>
      </c>
      <c r="L429" s="3">
        <f t="shared" si="19"/>
        <v>41767</v>
      </c>
      <c r="M429" t="s">
        <v>49</v>
      </c>
      <c r="N429" t="s">
        <v>49</v>
      </c>
      <c r="O429" t="s">
        <v>49</v>
      </c>
      <c r="P429">
        <v>0</v>
      </c>
      <c r="Q429" t="s">
        <v>50</v>
      </c>
      <c r="R429" t="s">
        <v>299</v>
      </c>
      <c r="S429">
        <v>1959</v>
      </c>
      <c r="T429">
        <v>-777</v>
      </c>
      <c r="U429" s="1">
        <v>21637</v>
      </c>
      <c r="V429" s="2">
        <v>21637</v>
      </c>
      <c r="Z429">
        <v>0</v>
      </c>
      <c r="AA429">
        <v>1</v>
      </c>
      <c r="AB429">
        <v>0</v>
      </c>
      <c r="AC429">
        <v>0</v>
      </c>
      <c r="AF429">
        <v>2010</v>
      </c>
      <c r="AG429">
        <v>2014</v>
      </c>
      <c r="AO429" t="b">
        <v>1</v>
      </c>
      <c r="AP429" t="s">
        <v>45</v>
      </c>
      <c r="AQ429">
        <v>1920</v>
      </c>
      <c r="AR429">
        <v>1978</v>
      </c>
      <c r="AS429" t="s">
        <v>1775</v>
      </c>
      <c r="AT429">
        <v>4</v>
      </c>
      <c r="AU429">
        <f t="shared" si="20"/>
        <v>1.0999999999999999E-2</v>
      </c>
    </row>
    <row r="430" spans="1:47" x14ac:dyDescent="0.3">
      <c r="A430">
        <v>428</v>
      </c>
      <c r="B430" t="s">
        <v>1901</v>
      </c>
      <c r="C430" t="s">
        <v>1902</v>
      </c>
      <c r="D430">
        <v>94</v>
      </c>
      <c r="E430" t="s">
        <v>1740</v>
      </c>
      <c r="F430" t="str">
        <f>VLOOKUP(E430,country_continent!A:C,2,FALSE)</f>
        <v>Costa Rica</v>
      </c>
      <c r="G430" t="str">
        <f>VLOOKUP(E430,country_continent!A:C,3,FALSE)</f>
        <v>North America</v>
      </c>
      <c r="H430" t="s">
        <v>1903</v>
      </c>
      <c r="I430" s="1">
        <v>41767</v>
      </c>
      <c r="J430" s="3">
        <f t="shared" si="18"/>
        <v>41767</v>
      </c>
      <c r="K430" s="1">
        <v>42369</v>
      </c>
      <c r="L430" s="3">
        <f t="shared" si="19"/>
        <v>42369</v>
      </c>
      <c r="M430" t="s">
        <v>49</v>
      </c>
      <c r="N430" t="s">
        <v>173</v>
      </c>
      <c r="O430" t="s">
        <v>173</v>
      </c>
      <c r="P430">
        <v>0</v>
      </c>
      <c r="Q430" t="s">
        <v>174</v>
      </c>
      <c r="R430" t="s">
        <v>51</v>
      </c>
      <c r="S430">
        <v>1958</v>
      </c>
      <c r="T430">
        <v>-777</v>
      </c>
      <c r="U430" s="1">
        <v>21300</v>
      </c>
      <c r="V430" s="2">
        <v>21300</v>
      </c>
      <c r="Z430">
        <v>0</v>
      </c>
      <c r="AA430">
        <v>-888</v>
      </c>
      <c r="AB430">
        <v>-888</v>
      </c>
      <c r="AC430">
        <v>-888</v>
      </c>
      <c r="AF430">
        <v>2014</v>
      </c>
      <c r="AG430">
        <v>2015</v>
      </c>
      <c r="AO430" t="b">
        <v>1</v>
      </c>
      <c r="AP430" t="s">
        <v>45</v>
      </c>
      <c r="AQ430">
        <v>1920</v>
      </c>
      <c r="AR430">
        <v>1978</v>
      </c>
      <c r="AS430" t="s">
        <v>1904</v>
      </c>
      <c r="AT430">
        <v>1.64818617385352</v>
      </c>
      <c r="AU430">
        <f t="shared" si="20"/>
        <v>5.0000000000000001E-3</v>
      </c>
    </row>
    <row r="431" spans="1:47" x14ac:dyDescent="0.3">
      <c r="A431">
        <v>429</v>
      </c>
      <c r="B431" t="s">
        <v>1905</v>
      </c>
      <c r="C431" t="s">
        <v>1906</v>
      </c>
      <c r="D431">
        <v>95</v>
      </c>
      <c r="E431" t="s">
        <v>1907</v>
      </c>
      <c r="F431" t="str">
        <f>VLOOKUP(E431,country_continent!A:C,2,FALSE)</f>
        <v>Panama</v>
      </c>
      <c r="G431" t="str">
        <f>VLOOKUP(E431,country_continent!A:C,3,FALSE)</f>
        <v>North America</v>
      </c>
      <c r="H431" t="s">
        <v>1908</v>
      </c>
      <c r="I431" s="1">
        <v>1403</v>
      </c>
      <c r="J431" s="3">
        <f t="shared" si="18"/>
        <v>1403</v>
      </c>
      <c r="K431" s="1">
        <v>1512</v>
      </c>
      <c r="L431" s="3">
        <f t="shared" si="19"/>
        <v>1512</v>
      </c>
      <c r="M431" t="s">
        <v>67</v>
      </c>
      <c r="N431" t="s">
        <v>49</v>
      </c>
      <c r="O431" t="s">
        <v>49</v>
      </c>
      <c r="P431">
        <v>0</v>
      </c>
      <c r="Q431" t="s">
        <v>50</v>
      </c>
      <c r="R431" t="s">
        <v>51</v>
      </c>
      <c r="S431">
        <v>1841</v>
      </c>
      <c r="T431">
        <v>1909</v>
      </c>
      <c r="Z431">
        <v>1</v>
      </c>
      <c r="AA431">
        <v>1</v>
      </c>
      <c r="AB431">
        <v>0</v>
      </c>
      <c r="AC431">
        <v>0</v>
      </c>
      <c r="AF431">
        <v>1903</v>
      </c>
      <c r="AG431">
        <v>1904</v>
      </c>
      <c r="AO431" t="b">
        <v>1</v>
      </c>
      <c r="AP431" t="s">
        <v>45</v>
      </c>
      <c r="AQ431">
        <v>1920</v>
      </c>
      <c r="AR431">
        <v>1978</v>
      </c>
      <c r="AS431" t="s">
        <v>1909</v>
      </c>
      <c r="AT431">
        <v>0.29842573579739901</v>
      </c>
      <c r="AU431">
        <f t="shared" si="20"/>
        <v>1E-3</v>
      </c>
    </row>
    <row r="432" spans="1:47" x14ac:dyDescent="0.3">
      <c r="A432">
        <v>430</v>
      </c>
      <c r="B432" t="s">
        <v>1910</v>
      </c>
      <c r="C432" t="s">
        <v>1911</v>
      </c>
      <c r="D432">
        <v>95</v>
      </c>
      <c r="E432" t="s">
        <v>1907</v>
      </c>
      <c r="F432" t="str">
        <f>VLOOKUP(E432,country_continent!A:C,2,FALSE)</f>
        <v>Panama</v>
      </c>
      <c r="G432" t="str">
        <f>VLOOKUP(E432,country_continent!A:C,3,FALSE)</f>
        <v>North America</v>
      </c>
      <c r="H432" t="s">
        <v>1912</v>
      </c>
      <c r="I432" s="1">
        <v>1512</v>
      </c>
      <c r="J432" s="3">
        <f t="shared" si="18"/>
        <v>1512</v>
      </c>
      <c r="K432" s="1">
        <v>3197</v>
      </c>
      <c r="L432" s="3">
        <f t="shared" si="19"/>
        <v>3197</v>
      </c>
      <c r="M432" t="s">
        <v>49</v>
      </c>
      <c r="N432" t="s">
        <v>49</v>
      </c>
      <c r="O432" t="s">
        <v>49</v>
      </c>
      <c r="P432">
        <v>0</v>
      </c>
      <c r="Q432" t="s">
        <v>50</v>
      </c>
      <c r="R432" t="s">
        <v>51</v>
      </c>
      <c r="S432">
        <v>1833</v>
      </c>
      <c r="T432">
        <v>1909</v>
      </c>
      <c r="U432" t="s">
        <v>1913</v>
      </c>
      <c r="V432" t="s">
        <v>1914</v>
      </c>
      <c r="Y432" t="s">
        <v>1915</v>
      </c>
      <c r="Z432">
        <v>0</v>
      </c>
      <c r="AA432">
        <v>1</v>
      </c>
      <c r="AB432">
        <v>0</v>
      </c>
      <c r="AC432">
        <v>0</v>
      </c>
      <c r="AF432">
        <v>1904</v>
      </c>
      <c r="AG432">
        <v>1908</v>
      </c>
      <c r="AO432" t="b">
        <v>1</v>
      </c>
      <c r="AP432" t="s">
        <v>45</v>
      </c>
      <c r="AQ432">
        <v>1920</v>
      </c>
      <c r="AR432">
        <v>1978</v>
      </c>
      <c r="AS432" t="s">
        <v>1916</v>
      </c>
      <c r="AT432">
        <v>4.6132785763175903</v>
      </c>
      <c r="AU432">
        <f t="shared" si="20"/>
        <v>1.2999999999999999E-2</v>
      </c>
    </row>
    <row r="433" spans="1:47" x14ac:dyDescent="0.3">
      <c r="A433">
        <v>431</v>
      </c>
      <c r="B433" t="s">
        <v>1917</v>
      </c>
      <c r="C433" t="s">
        <v>1918</v>
      </c>
      <c r="D433">
        <v>95</v>
      </c>
      <c r="E433" t="s">
        <v>1907</v>
      </c>
      <c r="F433" t="str">
        <f>VLOOKUP(E433,country_continent!A:C,2,FALSE)</f>
        <v>Panama</v>
      </c>
      <c r="G433" t="str">
        <f>VLOOKUP(E433,country_continent!A:C,3,FALSE)</f>
        <v>North America</v>
      </c>
      <c r="H433" t="s">
        <v>1919</v>
      </c>
      <c r="I433" s="1">
        <v>3197</v>
      </c>
      <c r="J433" s="3">
        <f t="shared" si="18"/>
        <v>3197</v>
      </c>
      <c r="K433" s="1">
        <v>3713</v>
      </c>
      <c r="L433" s="3">
        <f t="shared" si="19"/>
        <v>3713</v>
      </c>
      <c r="M433" t="s">
        <v>49</v>
      </c>
      <c r="N433" t="s">
        <v>110</v>
      </c>
      <c r="O433" t="s">
        <v>49</v>
      </c>
      <c r="P433">
        <v>0</v>
      </c>
      <c r="Q433" t="s">
        <v>111</v>
      </c>
      <c r="R433" t="s">
        <v>51</v>
      </c>
      <c r="S433">
        <v>1845</v>
      </c>
      <c r="T433">
        <v>1910</v>
      </c>
      <c r="Z433">
        <v>0</v>
      </c>
      <c r="AA433">
        <v>2</v>
      </c>
      <c r="AB433">
        <v>0</v>
      </c>
      <c r="AC433">
        <v>-777</v>
      </c>
      <c r="AF433">
        <v>1908</v>
      </c>
      <c r="AG433">
        <v>1910</v>
      </c>
      <c r="AO433" t="b">
        <v>1</v>
      </c>
      <c r="AP433" t="s">
        <v>45</v>
      </c>
      <c r="AQ433">
        <v>1920</v>
      </c>
      <c r="AR433">
        <v>1978</v>
      </c>
      <c r="AS433" t="s">
        <v>1920</v>
      </c>
      <c r="AT433">
        <v>1.4127310061601599</v>
      </c>
      <c r="AU433">
        <f t="shared" si="20"/>
        <v>4.0000000000000001E-3</v>
      </c>
    </row>
    <row r="434" spans="1:47" x14ac:dyDescent="0.3">
      <c r="A434">
        <v>432</v>
      </c>
      <c r="B434" t="s">
        <v>1921</v>
      </c>
      <c r="C434" t="s">
        <v>1922</v>
      </c>
      <c r="D434">
        <v>95</v>
      </c>
      <c r="E434" t="s">
        <v>1907</v>
      </c>
      <c r="F434" t="str">
        <f>VLOOKUP(E434,country_continent!A:C,2,FALSE)</f>
        <v>Panama</v>
      </c>
      <c r="G434" t="str">
        <f>VLOOKUP(E434,country_continent!A:C,3,FALSE)</f>
        <v>North America</v>
      </c>
      <c r="H434" t="s">
        <v>1923</v>
      </c>
      <c r="I434" s="1">
        <v>3713</v>
      </c>
      <c r="J434" s="3">
        <f t="shared" si="18"/>
        <v>3713</v>
      </c>
      <c r="K434" s="1">
        <v>3927</v>
      </c>
      <c r="L434" s="3">
        <f t="shared" si="19"/>
        <v>3927</v>
      </c>
      <c r="M434" t="s">
        <v>49</v>
      </c>
      <c r="N434" t="s">
        <v>49</v>
      </c>
      <c r="O434" t="s">
        <v>49</v>
      </c>
      <c r="P434">
        <v>0</v>
      </c>
      <c r="Q434" t="s">
        <v>50</v>
      </c>
      <c r="R434" t="s">
        <v>51</v>
      </c>
      <c r="S434">
        <v>1856</v>
      </c>
      <c r="T434">
        <v>1916</v>
      </c>
      <c r="Z434">
        <v>0</v>
      </c>
      <c r="AA434">
        <v>1</v>
      </c>
      <c r="AB434">
        <v>0</v>
      </c>
      <c r="AC434">
        <v>0</v>
      </c>
      <c r="AF434">
        <v>1910</v>
      </c>
      <c r="AG434">
        <v>1910</v>
      </c>
      <c r="AO434" t="b">
        <v>1</v>
      </c>
      <c r="AP434" t="s">
        <v>45</v>
      </c>
      <c r="AQ434">
        <v>1920</v>
      </c>
      <c r="AR434">
        <v>1978</v>
      </c>
      <c r="AS434" t="s">
        <v>1924</v>
      </c>
      <c r="AT434">
        <v>0.58590006844626896</v>
      </c>
      <c r="AU434">
        <f t="shared" si="20"/>
        <v>2E-3</v>
      </c>
    </row>
    <row r="435" spans="1:47" x14ac:dyDescent="0.3">
      <c r="A435">
        <v>433</v>
      </c>
      <c r="B435" t="s">
        <v>1925</v>
      </c>
      <c r="C435" t="s">
        <v>1926</v>
      </c>
      <c r="D435">
        <v>95</v>
      </c>
      <c r="E435" t="s">
        <v>1907</v>
      </c>
      <c r="F435" t="str">
        <f>VLOOKUP(E435,country_continent!A:C,2,FALSE)</f>
        <v>Panama</v>
      </c>
      <c r="G435" t="str">
        <f>VLOOKUP(E435,country_continent!A:C,3,FALSE)</f>
        <v>North America</v>
      </c>
      <c r="H435" t="s">
        <v>1927</v>
      </c>
      <c r="I435" s="1">
        <v>3927</v>
      </c>
      <c r="J435" s="3">
        <f t="shared" si="18"/>
        <v>3927</v>
      </c>
      <c r="K435" s="1">
        <v>4416</v>
      </c>
      <c r="L435" s="3">
        <f t="shared" si="19"/>
        <v>4416</v>
      </c>
      <c r="M435" t="s">
        <v>49</v>
      </c>
      <c r="N435" t="s">
        <v>49</v>
      </c>
      <c r="O435" t="s">
        <v>49</v>
      </c>
      <c r="P435">
        <v>0</v>
      </c>
      <c r="Q435" t="s">
        <v>50</v>
      </c>
      <c r="R435" t="s">
        <v>51</v>
      </c>
      <c r="S435">
        <v>1836</v>
      </c>
      <c r="T435">
        <v>1920</v>
      </c>
      <c r="U435" t="s">
        <v>1928</v>
      </c>
      <c r="V435" t="s">
        <v>1929</v>
      </c>
      <c r="Z435">
        <v>0</v>
      </c>
      <c r="AA435">
        <v>1</v>
      </c>
      <c r="AB435">
        <v>0</v>
      </c>
      <c r="AC435">
        <v>0</v>
      </c>
      <c r="AF435">
        <v>1910</v>
      </c>
      <c r="AG435">
        <v>1912</v>
      </c>
      <c r="AO435" t="b">
        <v>1</v>
      </c>
      <c r="AP435" t="s">
        <v>45</v>
      </c>
      <c r="AQ435">
        <v>1920</v>
      </c>
      <c r="AR435">
        <v>1978</v>
      </c>
      <c r="AS435" t="s">
        <v>1930</v>
      </c>
      <c r="AT435">
        <v>1.3388090349075901</v>
      </c>
      <c r="AU435">
        <f t="shared" si="20"/>
        <v>4.0000000000000001E-3</v>
      </c>
    </row>
    <row r="436" spans="1:47" x14ac:dyDescent="0.3">
      <c r="A436">
        <v>434</v>
      </c>
      <c r="B436" t="s">
        <v>1931</v>
      </c>
      <c r="C436" t="s">
        <v>1932</v>
      </c>
      <c r="D436">
        <v>95</v>
      </c>
      <c r="E436" t="s">
        <v>1907</v>
      </c>
      <c r="F436" t="str">
        <f>VLOOKUP(E436,country_continent!A:C,2,FALSE)</f>
        <v>Panama</v>
      </c>
      <c r="G436" t="str">
        <f>VLOOKUP(E436,country_continent!A:C,3,FALSE)</f>
        <v>North America</v>
      </c>
      <c r="H436" t="s">
        <v>1933</v>
      </c>
      <c r="I436" s="1">
        <v>4416</v>
      </c>
      <c r="J436" s="3">
        <f t="shared" si="18"/>
        <v>4416</v>
      </c>
      <c r="K436" s="1">
        <v>4451</v>
      </c>
      <c r="L436" s="3">
        <f t="shared" si="19"/>
        <v>4451</v>
      </c>
      <c r="M436" t="s">
        <v>49</v>
      </c>
      <c r="N436" t="s">
        <v>49</v>
      </c>
      <c r="O436" t="s">
        <v>49</v>
      </c>
      <c r="P436">
        <v>0</v>
      </c>
      <c r="Q436" t="s">
        <v>50</v>
      </c>
      <c r="R436" t="s">
        <v>51</v>
      </c>
      <c r="S436">
        <v>1870</v>
      </c>
      <c r="T436">
        <v>1937</v>
      </c>
      <c r="U436" t="s">
        <v>1934</v>
      </c>
      <c r="V436" t="s">
        <v>1935</v>
      </c>
      <c r="Z436">
        <v>0</v>
      </c>
      <c r="AA436">
        <v>1</v>
      </c>
      <c r="AB436">
        <v>0</v>
      </c>
      <c r="AC436">
        <v>0</v>
      </c>
      <c r="AD436" t="s">
        <v>1936</v>
      </c>
      <c r="AE436">
        <v>0</v>
      </c>
      <c r="AF436">
        <v>1912</v>
      </c>
      <c r="AG436">
        <v>1912</v>
      </c>
      <c r="AO436" t="b">
        <v>1</v>
      </c>
      <c r="AP436" t="s">
        <v>45</v>
      </c>
      <c r="AQ436">
        <v>1920</v>
      </c>
      <c r="AR436">
        <v>1978</v>
      </c>
      <c r="AS436" t="s">
        <v>1937</v>
      </c>
      <c r="AT436">
        <v>9.5824777549623499E-2</v>
      </c>
      <c r="AU436">
        <f t="shared" si="20"/>
        <v>0</v>
      </c>
    </row>
    <row r="437" spans="1:47" x14ac:dyDescent="0.3">
      <c r="A437">
        <v>435</v>
      </c>
      <c r="B437" t="s">
        <v>1938</v>
      </c>
      <c r="C437" t="s">
        <v>1926</v>
      </c>
      <c r="D437">
        <v>95</v>
      </c>
      <c r="E437" t="s">
        <v>1907</v>
      </c>
      <c r="F437" t="str">
        <f>VLOOKUP(E437,country_continent!A:C,2,FALSE)</f>
        <v>Panama</v>
      </c>
      <c r="G437" t="str">
        <f>VLOOKUP(E437,country_continent!A:C,3,FALSE)</f>
        <v>North America</v>
      </c>
      <c r="H437" t="s">
        <v>1927</v>
      </c>
      <c r="I437" s="1">
        <v>4451</v>
      </c>
      <c r="J437" s="3">
        <f t="shared" si="18"/>
        <v>4451</v>
      </c>
      <c r="K437" s="1">
        <v>4658</v>
      </c>
      <c r="L437" s="3">
        <f t="shared" si="19"/>
        <v>4658</v>
      </c>
      <c r="M437" t="s">
        <v>49</v>
      </c>
      <c r="N437" t="s">
        <v>49</v>
      </c>
      <c r="O437" t="s">
        <v>49</v>
      </c>
      <c r="P437">
        <v>1</v>
      </c>
      <c r="Q437" t="s">
        <v>50</v>
      </c>
      <c r="R437" t="s">
        <v>51</v>
      </c>
      <c r="S437">
        <v>1836</v>
      </c>
      <c r="T437">
        <v>1920</v>
      </c>
      <c r="U437" t="s">
        <v>1928</v>
      </c>
      <c r="V437" t="s">
        <v>1929</v>
      </c>
      <c r="Z437">
        <v>0</v>
      </c>
      <c r="AA437">
        <v>1</v>
      </c>
      <c r="AB437">
        <v>0</v>
      </c>
      <c r="AC437">
        <v>0</v>
      </c>
      <c r="AF437">
        <v>1912</v>
      </c>
      <c r="AG437">
        <v>1912</v>
      </c>
      <c r="AO437" t="b">
        <v>1</v>
      </c>
      <c r="AP437" t="s">
        <v>45</v>
      </c>
      <c r="AQ437">
        <v>1920</v>
      </c>
      <c r="AR437">
        <v>1978</v>
      </c>
      <c r="AS437" t="s">
        <v>1939</v>
      </c>
      <c r="AT437">
        <v>0.56673511293634404</v>
      </c>
      <c r="AU437">
        <f t="shared" si="20"/>
        <v>2E-3</v>
      </c>
    </row>
    <row r="438" spans="1:47" x14ac:dyDescent="0.3">
      <c r="A438">
        <v>436</v>
      </c>
      <c r="B438" t="s">
        <v>1940</v>
      </c>
      <c r="C438" t="s">
        <v>1941</v>
      </c>
      <c r="D438">
        <v>95</v>
      </c>
      <c r="E438" t="s">
        <v>1907</v>
      </c>
      <c r="F438" t="str">
        <f>VLOOKUP(E438,country_continent!A:C,2,FALSE)</f>
        <v>Panama</v>
      </c>
      <c r="G438" t="str">
        <f>VLOOKUP(E438,country_continent!A:C,3,FALSE)</f>
        <v>North America</v>
      </c>
      <c r="H438" t="s">
        <v>1942</v>
      </c>
      <c r="I438" s="1">
        <v>4658</v>
      </c>
      <c r="J438" s="3">
        <f t="shared" si="18"/>
        <v>4658</v>
      </c>
      <c r="K438" s="1">
        <v>6119</v>
      </c>
      <c r="L438" s="3">
        <f t="shared" si="19"/>
        <v>6119</v>
      </c>
      <c r="M438" t="s">
        <v>49</v>
      </c>
      <c r="N438" t="s">
        <v>49</v>
      </c>
      <c r="O438" t="s">
        <v>49</v>
      </c>
      <c r="P438">
        <v>0</v>
      </c>
      <c r="Q438" t="s">
        <v>50</v>
      </c>
      <c r="R438" t="s">
        <v>51</v>
      </c>
      <c r="S438">
        <v>1856</v>
      </c>
      <c r="T438">
        <v>1942</v>
      </c>
      <c r="U438" t="s">
        <v>1943</v>
      </c>
      <c r="V438" t="s">
        <v>1944</v>
      </c>
      <c r="Z438">
        <v>0</v>
      </c>
      <c r="AA438">
        <v>1</v>
      </c>
      <c r="AB438">
        <v>0</v>
      </c>
      <c r="AC438">
        <v>0</v>
      </c>
      <c r="AF438">
        <v>1912</v>
      </c>
      <c r="AG438">
        <v>1916</v>
      </c>
      <c r="AO438" t="b">
        <v>1</v>
      </c>
      <c r="AP438" t="s">
        <v>45</v>
      </c>
      <c r="AQ438">
        <v>1920</v>
      </c>
      <c r="AR438">
        <v>1978</v>
      </c>
      <c r="AS438" t="s">
        <v>1775</v>
      </c>
      <c r="AT438">
        <v>4</v>
      </c>
      <c r="AU438">
        <f t="shared" si="20"/>
        <v>1.0999999999999999E-2</v>
      </c>
    </row>
    <row r="439" spans="1:47" x14ac:dyDescent="0.3">
      <c r="A439">
        <v>437</v>
      </c>
      <c r="B439" t="s">
        <v>1945</v>
      </c>
      <c r="C439" t="s">
        <v>1946</v>
      </c>
      <c r="D439">
        <v>95</v>
      </c>
      <c r="E439" t="s">
        <v>1907</v>
      </c>
      <c r="F439" t="str">
        <f>VLOOKUP(E439,country_continent!A:C,2,FALSE)</f>
        <v>Panama</v>
      </c>
      <c r="G439" t="str">
        <f>VLOOKUP(E439,country_continent!A:C,3,FALSE)</f>
        <v>North America</v>
      </c>
      <c r="H439" t="s">
        <v>1947</v>
      </c>
      <c r="I439" s="1">
        <v>6119</v>
      </c>
      <c r="J439" s="3">
        <f t="shared" si="18"/>
        <v>6119</v>
      </c>
      <c r="K439" s="1">
        <v>6729</v>
      </c>
      <c r="L439" s="3">
        <f t="shared" si="19"/>
        <v>6729</v>
      </c>
      <c r="M439" t="s">
        <v>49</v>
      </c>
      <c r="N439" t="s">
        <v>110</v>
      </c>
      <c r="O439" t="s">
        <v>49</v>
      </c>
      <c r="P439">
        <v>0</v>
      </c>
      <c r="Q439" t="s">
        <v>111</v>
      </c>
      <c r="R439" t="s">
        <v>51</v>
      </c>
      <c r="S439">
        <v>1867</v>
      </c>
      <c r="T439">
        <v>1918</v>
      </c>
      <c r="Z439">
        <v>0</v>
      </c>
      <c r="AA439">
        <v>2</v>
      </c>
      <c r="AB439">
        <v>0</v>
      </c>
      <c r="AC439">
        <v>-777</v>
      </c>
      <c r="AF439">
        <v>1916</v>
      </c>
      <c r="AG439">
        <v>1918</v>
      </c>
      <c r="AO439" t="b">
        <v>1</v>
      </c>
      <c r="AP439" t="s">
        <v>45</v>
      </c>
      <c r="AQ439">
        <v>1920</v>
      </c>
      <c r="AR439">
        <v>1978</v>
      </c>
      <c r="AS439" t="s">
        <v>1948</v>
      </c>
      <c r="AT439">
        <v>1.67008898015058</v>
      </c>
      <c r="AU439">
        <f t="shared" si="20"/>
        <v>5.0000000000000001E-3</v>
      </c>
    </row>
    <row r="440" spans="1:47" x14ac:dyDescent="0.3">
      <c r="A440">
        <v>438</v>
      </c>
      <c r="B440" t="s">
        <v>1949</v>
      </c>
      <c r="C440" t="s">
        <v>1950</v>
      </c>
      <c r="D440">
        <v>95</v>
      </c>
      <c r="E440" t="s">
        <v>1907</v>
      </c>
      <c r="F440" t="str">
        <f>VLOOKUP(E440,country_continent!A:C,2,FALSE)</f>
        <v>Panama</v>
      </c>
      <c r="G440" t="str">
        <f>VLOOKUP(E440,country_continent!A:C,3,FALSE)</f>
        <v>North America</v>
      </c>
      <c r="H440" t="s">
        <v>1951</v>
      </c>
      <c r="I440" s="1">
        <v>6729</v>
      </c>
      <c r="J440" s="3">
        <f t="shared" si="18"/>
        <v>6729</v>
      </c>
      <c r="K440" s="1">
        <v>6849</v>
      </c>
      <c r="L440" s="3">
        <f t="shared" si="19"/>
        <v>6849</v>
      </c>
      <c r="M440" t="s">
        <v>49</v>
      </c>
      <c r="N440" t="s">
        <v>49</v>
      </c>
      <c r="O440" t="s">
        <v>49</v>
      </c>
      <c r="P440">
        <v>0</v>
      </c>
      <c r="Q440" t="s">
        <v>50</v>
      </c>
      <c r="R440" t="s">
        <v>51</v>
      </c>
      <c r="S440">
        <v>1863</v>
      </c>
      <c r="T440">
        <v>1922</v>
      </c>
      <c r="Z440">
        <v>0</v>
      </c>
      <c r="AA440">
        <v>1</v>
      </c>
      <c r="AB440">
        <v>0</v>
      </c>
      <c r="AC440">
        <v>0</v>
      </c>
      <c r="AF440">
        <v>1918</v>
      </c>
      <c r="AG440">
        <v>1918</v>
      </c>
      <c r="AO440" t="b">
        <v>1</v>
      </c>
      <c r="AP440" t="s">
        <v>45</v>
      </c>
      <c r="AQ440">
        <v>1920</v>
      </c>
      <c r="AR440">
        <v>1978</v>
      </c>
      <c r="AS440" t="s">
        <v>1952</v>
      </c>
      <c r="AT440">
        <v>0.32854209445585197</v>
      </c>
      <c r="AU440">
        <f t="shared" si="20"/>
        <v>1E-3</v>
      </c>
    </row>
    <row r="441" spans="1:47" x14ac:dyDescent="0.3">
      <c r="A441">
        <v>439</v>
      </c>
      <c r="B441" t="s">
        <v>1953</v>
      </c>
      <c r="C441" t="s">
        <v>1941</v>
      </c>
      <c r="D441">
        <v>95</v>
      </c>
      <c r="E441" t="s">
        <v>1907</v>
      </c>
      <c r="F441" t="str">
        <f>VLOOKUP(E441,country_continent!A:C,2,FALSE)</f>
        <v>Panama</v>
      </c>
      <c r="G441" t="str">
        <f>VLOOKUP(E441,country_continent!A:C,3,FALSE)</f>
        <v>North America</v>
      </c>
      <c r="H441" t="s">
        <v>1942</v>
      </c>
      <c r="I441" s="1">
        <v>6849</v>
      </c>
      <c r="J441" s="3">
        <f t="shared" si="18"/>
        <v>6849</v>
      </c>
      <c r="K441" s="1">
        <v>7335</v>
      </c>
      <c r="L441" s="3">
        <f t="shared" si="19"/>
        <v>7335</v>
      </c>
      <c r="M441" t="s">
        <v>49</v>
      </c>
      <c r="N441" t="s">
        <v>49</v>
      </c>
      <c r="O441" t="s">
        <v>49</v>
      </c>
      <c r="P441">
        <v>1</v>
      </c>
      <c r="Q441" t="s">
        <v>50</v>
      </c>
      <c r="R441" t="s">
        <v>51</v>
      </c>
      <c r="S441">
        <v>1856</v>
      </c>
      <c r="T441">
        <v>1942</v>
      </c>
      <c r="U441" t="s">
        <v>1943</v>
      </c>
      <c r="V441" t="s">
        <v>1944</v>
      </c>
      <c r="Z441">
        <v>0</v>
      </c>
      <c r="AA441">
        <v>1</v>
      </c>
      <c r="AB441">
        <v>0</v>
      </c>
      <c r="AC441">
        <v>0</v>
      </c>
      <c r="AF441">
        <v>1918</v>
      </c>
      <c r="AG441">
        <v>1920</v>
      </c>
      <c r="AO441" t="b">
        <v>1</v>
      </c>
      <c r="AP441" t="s">
        <v>45</v>
      </c>
      <c r="AQ441">
        <v>1920</v>
      </c>
      <c r="AR441">
        <v>1978</v>
      </c>
      <c r="AS441" t="s">
        <v>1954</v>
      </c>
      <c r="AT441">
        <v>1.3305954825462001</v>
      </c>
      <c r="AU441">
        <f t="shared" si="20"/>
        <v>4.0000000000000001E-3</v>
      </c>
    </row>
    <row r="442" spans="1:47" x14ac:dyDescent="0.3">
      <c r="A442">
        <v>440</v>
      </c>
      <c r="B442" t="s">
        <v>1955</v>
      </c>
      <c r="C442" t="s">
        <v>1956</v>
      </c>
      <c r="D442">
        <v>95</v>
      </c>
      <c r="E442" t="s">
        <v>1907</v>
      </c>
      <c r="F442" t="str">
        <f>VLOOKUP(E442,country_continent!A:C,2,FALSE)</f>
        <v>Panama</v>
      </c>
      <c r="G442" t="str">
        <f>VLOOKUP(E442,country_continent!A:C,3,FALSE)</f>
        <v>North America</v>
      </c>
      <c r="H442" t="s">
        <v>1957</v>
      </c>
      <c r="I442" s="1">
        <v>7335</v>
      </c>
      <c r="J442" s="3">
        <f t="shared" si="18"/>
        <v>7335</v>
      </c>
      <c r="K442" s="1">
        <v>7580</v>
      </c>
      <c r="L442" s="3">
        <f t="shared" si="19"/>
        <v>7580</v>
      </c>
      <c r="M442" t="s">
        <v>49</v>
      </c>
      <c r="N442" t="s">
        <v>49</v>
      </c>
      <c r="O442" t="s">
        <v>49</v>
      </c>
      <c r="P442">
        <v>0</v>
      </c>
      <c r="Q442" t="s">
        <v>50</v>
      </c>
      <c r="R442" t="s">
        <v>51</v>
      </c>
      <c r="S442">
        <v>1876</v>
      </c>
      <c r="T442">
        <v>1922</v>
      </c>
      <c r="Z442">
        <v>0</v>
      </c>
      <c r="AA442">
        <v>1</v>
      </c>
      <c r="AB442">
        <v>0</v>
      </c>
      <c r="AC442">
        <v>0</v>
      </c>
      <c r="AF442">
        <v>1920</v>
      </c>
      <c r="AG442">
        <v>1920</v>
      </c>
      <c r="AO442" t="b">
        <v>1</v>
      </c>
      <c r="AP442" t="s">
        <v>45</v>
      </c>
      <c r="AQ442">
        <v>1920</v>
      </c>
      <c r="AR442">
        <v>1978</v>
      </c>
      <c r="AS442" t="s">
        <v>1958</v>
      </c>
      <c r="AT442">
        <v>0.67077344284736395</v>
      </c>
      <c r="AU442">
        <f t="shared" si="20"/>
        <v>2E-3</v>
      </c>
    </row>
    <row r="443" spans="1:47" x14ac:dyDescent="0.3">
      <c r="A443">
        <v>441</v>
      </c>
      <c r="B443" t="s">
        <v>1959</v>
      </c>
      <c r="C443" t="s">
        <v>1941</v>
      </c>
      <c r="D443">
        <v>95</v>
      </c>
      <c r="E443" t="s">
        <v>1907</v>
      </c>
      <c r="F443" t="str">
        <f>VLOOKUP(E443,country_continent!A:C,2,FALSE)</f>
        <v>Panama</v>
      </c>
      <c r="G443" t="str">
        <f>VLOOKUP(E443,country_continent!A:C,3,FALSE)</f>
        <v>North America</v>
      </c>
      <c r="H443" t="s">
        <v>1942</v>
      </c>
      <c r="I443" s="1">
        <v>7580</v>
      </c>
      <c r="J443" s="3">
        <f t="shared" si="18"/>
        <v>7580</v>
      </c>
      <c r="K443" s="1">
        <v>9041</v>
      </c>
      <c r="L443" s="3">
        <f t="shared" si="19"/>
        <v>9041</v>
      </c>
      <c r="M443" t="s">
        <v>49</v>
      </c>
      <c r="N443" t="s">
        <v>49</v>
      </c>
      <c r="O443" t="s">
        <v>49</v>
      </c>
      <c r="P443">
        <v>2</v>
      </c>
      <c r="Q443" t="s">
        <v>50</v>
      </c>
      <c r="R443" t="s">
        <v>51</v>
      </c>
      <c r="S443">
        <v>1856</v>
      </c>
      <c r="T443">
        <v>1942</v>
      </c>
      <c r="U443" t="s">
        <v>1943</v>
      </c>
      <c r="V443" t="s">
        <v>1944</v>
      </c>
      <c r="Z443">
        <v>0</v>
      </c>
      <c r="AA443">
        <v>1</v>
      </c>
      <c r="AB443">
        <v>0</v>
      </c>
      <c r="AC443">
        <v>0</v>
      </c>
      <c r="AF443">
        <v>1920</v>
      </c>
      <c r="AG443">
        <v>1924</v>
      </c>
      <c r="AO443" t="b">
        <v>1</v>
      </c>
      <c r="AP443" t="s">
        <v>45</v>
      </c>
      <c r="AQ443">
        <v>1920</v>
      </c>
      <c r="AR443">
        <v>1978</v>
      </c>
      <c r="AS443" t="s">
        <v>1775</v>
      </c>
      <c r="AT443">
        <v>4</v>
      </c>
      <c r="AU443">
        <f t="shared" si="20"/>
        <v>1.0999999999999999E-2</v>
      </c>
    </row>
    <row r="444" spans="1:47" x14ac:dyDescent="0.3">
      <c r="A444">
        <v>442</v>
      </c>
      <c r="B444" t="s">
        <v>1960</v>
      </c>
      <c r="C444" t="s">
        <v>1932</v>
      </c>
      <c r="D444">
        <v>95</v>
      </c>
      <c r="E444" t="s">
        <v>1907</v>
      </c>
      <c r="F444" t="str">
        <f>VLOOKUP(E444,country_continent!A:C,2,FALSE)</f>
        <v>Panama</v>
      </c>
      <c r="G444" t="str">
        <f>VLOOKUP(E444,country_continent!A:C,3,FALSE)</f>
        <v>North America</v>
      </c>
      <c r="H444" t="s">
        <v>1933</v>
      </c>
      <c r="I444" s="1">
        <v>9041</v>
      </c>
      <c r="J444" s="3">
        <f t="shared" si="18"/>
        <v>9041</v>
      </c>
      <c r="K444" s="1">
        <v>10479</v>
      </c>
      <c r="L444" s="3">
        <f t="shared" si="19"/>
        <v>10479</v>
      </c>
      <c r="M444" t="s">
        <v>49</v>
      </c>
      <c r="N444" t="s">
        <v>49</v>
      </c>
      <c r="O444" t="s">
        <v>49</v>
      </c>
      <c r="P444">
        <v>1</v>
      </c>
      <c r="Q444" t="s">
        <v>50</v>
      </c>
      <c r="R444" t="s">
        <v>51</v>
      </c>
      <c r="S444">
        <v>1870</v>
      </c>
      <c r="T444">
        <v>1937</v>
      </c>
      <c r="U444" t="s">
        <v>1934</v>
      </c>
      <c r="V444" t="s">
        <v>1935</v>
      </c>
      <c r="Z444">
        <v>0</v>
      </c>
      <c r="AA444">
        <v>1</v>
      </c>
      <c r="AB444">
        <v>0</v>
      </c>
      <c r="AC444">
        <v>0</v>
      </c>
      <c r="AD444" t="s">
        <v>1936</v>
      </c>
      <c r="AE444">
        <v>0</v>
      </c>
      <c r="AF444">
        <v>1924</v>
      </c>
      <c r="AG444">
        <v>1928</v>
      </c>
      <c r="AO444" t="b">
        <v>1</v>
      </c>
      <c r="AP444" t="s">
        <v>45</v>
      </c>
      <c r="AQ444">
        <v>1920</v>
      </c>
      <c r="AR444">
        <v>1978</v>
      </c>
      <c r="AS444" t="s">
        <v>1961</v>
      </c>
      <c r="AT444">
        <v>3.9370294318959602</v>
      </c>
      <c r="AU444">
        <f t="shared" si="20"/>
        <v>1.0999999999999999E-2</v>
      </c>
    </row>
    <row r="445" spans="1:47" x14ac:dyDescent="0.3">
      <c r="A445">
        <v>443</v>
      </c>
      <c r="B445" t="s">
        <v>1962</v>
      </c>
      <c r="C445" t="s">
        <v>1963</v>
      </c>
      <c r="D445">
        <v>95</v>
      </c>
      <c r="E445" t="s">
        <v>1907</v>
      </c>
      <c r="F445" t="str">
        <f>VLOOKUP(E445,country_continent!A:C,2,FALSE)</f>
        <v>Panama</v>
      </c>
      <c r="G445" t="str">
        <f>VLOOKUP(E445,country_continent!A:C,3,FALSE)</f>
        <v>North America</v>
      </c>
      <c r="H445" t="s">
        <v>1964</v>
      </c>
      <c r="I445" s="1">
        <v>10479</v>
      </c>
      <c r="J445" s="3">
        <f t="shared" si="18"/>
        <v>10479</v>
      </c>
      <c r="K445" s="1">
        <v>10502</v>
      </c>
      <c r="L445" s="3">
        <f t="shared" si="19"/>
        <v>10502</v>
      </c>
      <c r="M445" t="s">
        <v>49</v>
      </c>
      <c r="N445" t="s">
        <v>49</v>
      </c>
      <c r="O445" t="s">
        <v>49</v>
      </c>
      <c r="P445">
        <v>0</v>
      </c>
      <c r="Q445" t="s">
        <v>50</v>
      </c>
      <c r="R445" t="s">
        <v>51</v>
      </c>
      <c r="S445">
        <v>1890</v>
      </c>
      <c r="T445">
        <v>-999</v>
      </c>
      <c r="Z445">
        <v>0</v>
      </c>
      <c r="AA445">
        <v>1</v>
      </c>
      <c r="AB445">
        <v>0</v>
      </c>
      <c r="AC445">
        <v>0</v>
      </c>
      <c r="AF445">
        <v>1928</v>
      </c>
      <c r="AG445">
        <v>1928</v>
      </c>
      <c r="AO445" t="b">
        <v>1</v>
      </c>
      <c r="AP445" t="s">
        <v>45</v>
      </c>
      <c r="AQ445">
        <v>1920</v>
      </c>
      <c r="AR445">
        <v>1978</v>
      </c>
      <c r="AS445" t="s">
        <v>1965</v>
      </c>
      <c r="AT445">
        <v>6.2970568104038296E-2</v>
      </c>
      <c r="AU445">
        <f t="shared" si="20"/>
        <v>0</v>
      </c>
    </row>
    <row r="446" spans="1:47" x14ac:dyDescent="0.3">
      <c r="A446">
        <v>444</v>
      </c>
      <c r="B446" t="s">
        <v>1966</v>
      </c>
      <c r="C446" t="s">
        <v>1967</v>
      </c>
      <c r="D446">
        <v>95</v>
      </c>
      <c r="E446" t="s">
        <v>1907</v>
      </c>
      <c r="F446" t="str">
        <f>VLOOKUP(E446,country_continent!A:C,2,FALSE)</f>
        <v>Panama</v>
      </c>
      <c r="G446" t="str">
        <f>VLOOKUP(E446,country_continent!A:C,3,FALSE)</f>
        <v>North America</v>
      </c>
      <c r="H446" t="s">
        <v>1968</v>
      </c>
      <c r="I446" s="1">
        <v>10502</v>
      </c>
      <c r="J446" s="3">
        <f t="shared" si="18"/>
        <v>10502</v>
      </c>
      <c r="K446" s="1">
        <v>11326</v>
      </c>
      <c r="L446" s="3">
        <f t="shared" si="19"/>
        <v>11326</v>
      </c>
      <c r="M446" t="s">
        <v>49</v>
      </c>
      <c r="N446" t="s">
        <v>67</v>
      </c>
      <c r="O446" t="s">
        <v>433</v>
      </c>
      <c r="P446">
        <v>0</v>
      </c>
      <c r="Q446" t="s">
        <v>362</v>
      </c>
      <c r="R446" t="s">
        <v>51</v>
      </c>
      <c r="S446">
        <v>1872</v>
      </c>
      <c r="T446">
        <v>1945</v>
      </c>
      <c r="U446" t="s">
        <v>1969</v>
      </c>
      <c r="V446" t="s">
        <v>1970</v>
      </c>
      <c r="W446" s="1">
        <v>16679</v>
      </c>
      <c r="X446" s="2">
        <v>16679</v>
      </c>
      <c r="Z446">
        <v>0</v>
      </c>
      <c r="AA446">
        <v>3</v>
      </c>
      <c r="AB446">
        <v>4</v>
      </c>
      <c r="AC446">
        <v>1</v>
      </c>
      <c r="AD446" t="s">
        <v>1971</v>
      </c>
      <c r="AE446">
        <v>0</v>
      </c>
      <c r="AF446">
        <v>1928</v>
      </c>
      <c r="AG446">
        <v>1931</v>
      </c>
      <c r="AO446" t="b">
        <v>1</v>
      </c>
      <c r="AP446" t="s">
        <v>45</v>
      </c>
      <c r="AQ446">
        <v>1920</v>
      </c>
      <c r="AR446">
        <v>1978</v>
      </c>
      <c r="AS446" t="s">
        <v>1972</v>
      </c>
      <c r="AT446">
        <v>2.2559890485968501</v>
      </c>
      <c r="AU446">
        <f t="shared" si="20"/>
        <v>6.0000000000000001E-3</v>
      </c>
    </row>
    <row r="447" spans="1:47" x14ac:dyDescent="0.3">
      <c r="A447">
        <v>445</v>
      </c>
      <c r="B447" t="s">
        <v>1973</v>
      </c>
      <c r="C447" t="s">
        <v>1974</v>
      </c>
      <c r="D447">
        <v>95</v>
      </c>
      <c r="E447" t="s">
        <v>1907</v>
      </c>
      <c r="F447" t="str">
        <f>VLOOKUP(E447,country_continent!A:C,2,FALSE)</f>
        <v>Panama</v>
      </c>
      <c r="G447" t="str">
        <f>VLOOKUP(E447,country_continent!A:C,3,FALSE)</f>
        <v>North America</v>
      </c>
      <c r="H447" t="s">
        <v>1975</v>
      </c>
      <c r="I447" s="1">
        <v>11326</v>
      </c>
      <c r="J447" s="3">
        <f t="shared" si="18"/>
        <v>11326</v>
      </c>
      <c r="K447" s="1">
        <v>11339</v>
      </c>
      <c r="L447" s="3">
        <f t="shared" si="19"/>
        <v>11339</v>
      </c>
      <c r="M447" t="s">
        <v>67</v>
      </c>
      <c r="N447" t="s">
        <v>49</v>
      </c>
      <c r="O447" t="s">
        <v>49</v>
      </c>
      <c r="P447">
        <v>0</v>
      </c>
      <c r="Q447" t="s">
        <v>50</v>
      </c>
      <c r="R447" t="s">
        <v>51</v>
      </c>
      <c r="S447">
        <v>1886</v>
      </c>
      <c r="T447">
        <v>1962</v>
      </c>
      <c r="U447" t="s">
        <v>1976</v>
      </c>
      <c r="V447" t="s">
        <v>1977</v>
      </c>
      <c r="W447" s="1">
        <v>23003</v>
      </c>
      <c r="X447" s="2">
        <v>23003</v>
      </c>
      <c r="Z447">
        <v>1</v>
      </c>
      <c r="AA447">
        <v>1</v>
      </c>
      <c r="AB447">
        <v>0</v>
      </c>
      <c r="AC447">
        <v>0</v>
      </c>
      <c r="AD447" t="s">
        <v>1978</v>
      </c>
      <c r="AE447">
        <v>0</v>
      </c>
      <c r="AF447">
        <v>1931</v>
      </c>
      <c r="AG447">
        <v>1931</v>
      </c>
      <c r="AO447" t="b">
        <v>1</v>
      </c>
      <c r="AP447" t="s">
        <v>45</v>
      </c>
      <c r="AQ447">
        <v>1920</v>
      </c>
      <c r="AR447">
        <v>1978</v>
      </c>
      <c r="AS447" t="s">
        <v>1979</v>
      </c>
      <c r="AT447">
        <v>3.5592060232717299E-2</v>
      </c>
      <c r="AU447">
        <f t="shared" si="20"/>
        <v>0</v>
      </c>
    </row>
    <row r="448" spans="1:47" x14ac:dyDescent="0.3">
      <c r="A448">
        <v>446</v>
      </c>
      <c r="B448" t="s">
        <v>1980</v>
      </c>
      <c r="C448" t="s">
        <v>1981</v>
      </c>
      <c r="D448">
        <v>95</v>
      </c>
      <c r="E448" t="s">
        <v>1907</v>
      </c>
      <c r="F448" t="str">
        <f>VLOOKUP(E448,country_continent!A:C,2,FALSE)</f>
        <v>Panama</v>
      </c>
      <c r="G448" t="str">
        <f>VLOOKUP(E448,country_continent!A:C,3,FALSE)</f>
        <v>North America</v>
      </c>
      <c r="H448" t="s">
        <v>1982</v>
      </c>
      <c r="I448" s="1">
        <v>11339</v>
      </c>
      <c r="J448" s="3">
        <f t="shared" si="18"/>
        <v>11339</v>
      </c>
      <c r="K448" s="1">
        <v>11963</v>
      </c>
      <c r="L448" s="3">
        <f t="shared" si="19"/>
        <v>11963</v>
      </c>
      <c r="M448" t="s">
        <v>49</v>
      </c>
      <c r="N448" t="s">
        <v>49</v>
      </c>
      <c r="O448" t="s">
        <v>49</v>
      </c>
      <c r="P448">
        <v>0</v>
      </c>
      <c r="Q448" t="s">
        <v>50</v>
      </c>
      <c r="R448" t="s">
        <v>51</v>
      </c>
      <c r="S448">
        <v>1882</v>
      </c>
      <c r="T448">
        <v>1971</v>
      </c>
      <c r="U448" t="s">
        <v>1983</v>
      </c>
      <c r="V448" t="s">
        <v>1984</v>
      </c>
      <c r="Z448">
        <v>0</v>
      </c>
      <c r="AA448">
        <v>1</v>
      </c>
      <c r="AB448">
        <v>0</v>
      </c>
      <c r="AC448">
        <v>0</v>
      </c>
      <c r="AF448">
        <v>1931</v>
      </c>
      <c r="AG448">
        <v>1932</v>
      </c>
      <c r="AO448" t="b">
        <v>1</v>
      </c>
      <c r="AP448" t="s">
        <v>45</v>
      </c>
      <c r="AQ448">
        <v>1920</v>
      </c>
      <c r="AR448">
        <v>1978</v>
      </c>
      <c r="AS448" t="s">
        <v>1985</v>
      </c>
      <c r="AT448">
        <v>1.7084188911704301</v>
      </c>
      <c r="AU448">
        <f t="shared" si="20"/>
        <v>5.0000000000000001E-3</v>
      </c>
    </row>
    <row r="449" spans="1:47" x14ac:dyDescent="0.3">
      <c r="A449">
        <v>447</v>
      </c>
      <c r="B449" t="s">
        <v>1986</v>
      </c>
      <c r="C449" t="s">
        <v>1974</v>
      </c>
      <c r="D449">
        <v>95</v>
      </c>
      <c r="E449" t="s">
        <v>1907</v>
      </c>
      <c r="F449" t="str">
        <f>VLOOKUP(E449,country_continent!A:C,2,FALSE)</f>
        <v>Panama</v>
      </c>
      <c r="G449" t="str">
        <f>VLOOKUP(E449,country_continent!A:C,3,FALSE)</f>
        <v>North America</v>
      </c>
      <c r="H449" t="s">
        <v>1975</v>
      </c>
      <c r="I449" s="1">
        <v>11963</v>
      </c>
      <c r="J449" s="3">
        <f t="shared" si="18"/>
        <v>11963</v>
      </c>
      <c r="K449" s="1">
        <v>13424</v>
      </c>
      <c r="L449" s="3">
        <f t="shared" si="19"/>
        <v>13424</v>
      </c>
      <c r="M449" t="s">
        <v>49</v>
      </c>
      <c r="N449" t="s">
        <v>49</v>
      </c>
      <c r="O449" t="s">
        <v>49</v>
      </c>
      <c r="P449">
        <v>1</v>
      </c>
      <c r="Q449" t="s">
        <v>50</v>
      </c>
      <c r="R449" t="s">
        <v>51</v>
      </c>
      <c r="S449">
        <v>1886</v>
      </c>
      <c r="T449">
        <v>1962</v>
      </c>
      <c r="U449" t="s">
        <v>1976</v>
      </c>
      <c r="V449" t="s">
        <v>1977</v>
      </c>
      <c r="W449" s="1">
        <v>23003</v>
      </c>
      <c r="X449" s="2">
        <v>23003</v>
      </c>
      <c r="Z449">
        <v>0</v>
      </c>
      <c r="AA449">
        <v>1</v>
      </c>
      <c r="AB449">
        <v>0</v>
      </c>
      <c r="AC449">
        <v>0</v>
      </c>
      <c r="AD449" t="s">
        <v>1978</v>
      </c>
      <c r="AE449">
        <v>0</v>
      </c>
      <c r="AF449">
        <v>1932</v>
      </c>
      <c r="AG449">
        <v>1936</v>
      </c>
      <c r="AO449" t="b">
        <v>1</v>
      </c>
      <c r="AP449" t="s">
        <v>45</v>
      </c>
      <c r="AQ449">
        <v>1920</v>
      </c>
      <c r="AR449">
        <v>1978</v>
      </c>
      <c r="AS449" t="s">
        <v>1775</v>
      </c>
      <c r="AT449">
        <v>4</v>
      </c>
      <c r="AU449">
        <f t="shared" si="20"/>
        <v>1.0999999999999999E-2</v>
      </c>
    </row>
    <row r="450" spans="1:47" x14ac:dyDescent="0.3">
      <c r="A450">
        <v>448</v>
      </c>
      <c r="B450" t="s">
        <v>1987</v>
      </c>
      <c r="C450" t="s">
        <v>1988</v>
      </c>
      <c r="D450">
        <v>95</v>
      </c>
      <c r="E450" t="s">
        <v>1907</v>
      </c>
      <c r="F450" t="str">
        <f>VLOOKUP(E450,country_continent!A:C,2,FALSE)</f>
        <v>Panama</v>
      </c>
      <c r="G450" t="str">
        <f>VLOOKUP(E450,country_continent!A:C,3,FALSE)</f>
        <v>North America</v>
      </c>
      <c r="H450" t="s">
        <v>1989</v>
      </c>
      <c r="I450" s="1">
        <v>13424</v>
      </c>
      <c r="J450" s="3">
        <f t="shared" si="18"/>
        <v>13424</v>
      </c>
      <c r="K450" s="1">
        <v>14595</v>
      </c>
      <c r="L450" s="3">
        <f t="shared" si="19"/>
        <v>14595</v>
      </c>
      <c r="M450" t="s">
        <v>49</v>
      </c>
      <c r="N450" t="s">
        <v>110</v>
      </c>
      <c r="O450" t="s">
        <v>49</v>
      </c>
      <c r="P450">
        <v>0</v>
      </c>
      <c r="Q450" t="s">
        <v>111</v>
      </c>
      <c r="R450" t="s">
        <v>51</v>
      </c>
      <c r="S450">
        <v>1879</v>
      </c>
      <c r="T450">
        <v>1939</v>
      </c>
      <c r="U450" t="s">
        <v>1990</v>
      </c>
      <c r="V450" t="s">
        <v>1991</v>
      </c>
      <c r="W450" s="1">
        <v>14595</v>
      </c>
      <c r="X450" s="2">
        <v>14595</v>
      </c>
      <c r="Z450">
        <v>0</v>
      </c>
      <c r="AA450">
        <v>2</v>
      </c>
      <c r="AB450">
        <v>0</v>
      </c>
      <c r="AC450">
        <v>-777</v>
      </c>
      <c r="AD450" t="s">
        <v>1992</v>
      </c>
      <c r="AE450">
        <v>1</v>
      </c>
      <c r="AF450">
        <v>1936</v>
      </c>
      <c r="AG450">
        <v>1939</v>
      </c>
      <c r="AO450" t="b">
        <v>1</v>
      </c>
      <c r="AP450" t="s">
        <v>45</v>
      </c>
      <c r="AQ450">
        <v>1920</v>
      </c>
      <c r="AR450">
        <v>1978</v>
      </c>
      <c r="AS450" t="s">
        <v>1993</v>
      </c>
      <c r="AT450">
        <v>3.2060232717316901</v>
      </c>
      <c r="AU450">
        <f t="shared" si="20"/>
        <v>8.9999999999999993E-3</v>
      </c>
    </row>
    <row r="451" spans="1:47" x14ac:dyDescent="0.3">
      <c r="A451">
        <v>449</v>
      </c>
      <c r="B451" t="s">
        <v>1994</v>
      </c>
      <c r="C451" t="s">
        <v>1995</v>
      </c>
      <c r="D451">
        <v>95</v>
      </c>
      <c r="E451" t="s">
        <v>1907</v>
      </c>
      <c r="F451" t="str">
        <f>VLOOKUP(E451,country_continent!A:C,2,FALSE)</f>
        <v>Panama</v>
      </c>
      <c r="G451" t="str">
        <f>VLOOKUP(E451,country_continent!A:C,3,FALSE)</f>
        <v>North America</v>
      </c>
      <c r="H451" t="s">
        <v>1996</v>
      </c>
      <c r="I451" s="1">
        <v>14597</v>
      </c>
      <c r="J451" s="3">
        <f t="shared" ref="J451:J514" si="21">IF(ISNUMBER(SEARCH("-", I451)), SUBSTITUTE(I451, "-", "/"), I451)</f>
        <v>14597</v>
      </c>
      <c r="K451" s="1">
        <v>14885</v>
      </c>
      <c r="L451" s="3">
        <f t="shared" ref="L451:L514" si="22">IF(ISNUMBER(SEARCH("-", K451)), SUBSTITUTE(K451, "-", "/"), K451)</f>
        <v>14885</v>
      </c>
      <c r="M451" t="s">
        <v>49</v>
      </c>
      <c r="N451" t="s">
        <v>49</v>
      </c>
      <c r="O451" t="s">
        <v>49</v>
      </c>
      <c r="P451">
        <v>0</v>
      </c>
      <c r="Q451" t="s">
        <v>50</v>
      </c>
      <c r="R451" t="s">
        <v>51</v>
      </c>
      <c r="S451">
        <v>1879</v>
      </c>
      <c r="T451">
        <v>1957</v>
      </c>
      <c r="Z451">
        <v>0</v>
      </c>
      <c r="AA451">
        <v>1</v>
      </c>
      <c r="AB451">
        <v>0</v>
      </c>
      <c r="AC451">
        <v>0</v>
      </c>
      <c r="AF451">
        <v>1939</v>
      </c>
      <c r="AG451">
        <v>1940</v>
      </c>
      <c r="AO451" t="b">
        <v>1</v>
      </c>
      <c r="AP451" t="s">
        <v>45</v>
      </c>
      <c r="AQ451">
        <v>1920</v>
      </c>
      <c r="AR451">
        <v>1978</v>
      </c>
      <c r="AS451" t="s">
        <v>1997</v>
      </c>
      <c r="AT451">
        <v>0.78850102669404498</v>
      </c>
      <c r="AU451">
        <f t="shared" ref="AU451:AU514" si="23">ROUND(AT451/365,3)</f>
        <v>2E-3</v>
      </c>
    </row>
    <row r="452" spans="1:47" x14ac:dyDescent="0.3">
      <c r="A452">
        <v>450</v>
      </c>
      <c r="B452" t="s">
        <v>1998</v>
      </c>
      <c r="C452" t="s">
        <v>1999</v>
      </c>
      <c r="D452">
        <v>95</v>
      </c>
      <c r="E452" t="s">
        <v>1907</v>
      </c>
      <c r="F452" t="str">
        <f>VLOOKUP(E452,country_continent!A:C,2,FALSE)</f>
        <v>Panama</v>
      </c>
      <c r="G452" t="str">
        <f>VLOOKUP(E452,country_continent!A:C,3,FALSE)</f>
        <v>North America</v>
      </c>
      <c r="H452" t="s">
        <v>2000</v>
      </c>
      <c r="I452" s="1">
        <v>14885</v>
      </c>
      <c r="J452" s="3">
        <f t="shared" si="21"/>
        <v>14885</v>
      </c>
      <c r="K452" s="1">
        <v>15258</v>
      </c>
      <c r="L452" s="3">
        <f t="shared" si="22"/>
        <v>15258</v>
      </c>
      <c r="M452" t="s">
        <v>49</v>
      </c>
      <c r="N452" t="s">
        <v>67</v>
      </c>
      <c r="O452" t="s">
        <v>2001</v>
      </c>
      <c r="P452">
        <v>0</v>
      </c>
      <c r="Q452" t="s">
        <v>362</v>
      </c>
      <c r="R452" t="s">
        <v>51</v>
      </c>
      <c r="S452">
        <v>1901</v>
      </c>
      <c r="T452">
        <v>1988</v>
      </c>
      <c r="U452" s="1">
        <v>593</v>
      </c>
      <c r="V452" s="2">
        <v>593</v>
      </c>
      <c r="W452" s="1">
        <v>32365</v>
      </c>
      <c r="X452" s="2">
        <v>32365</v>
      </c>
      <c r="Z452">
        <v>0</v>
      </c>
      <c r="AA452">
        <v>3</v>
      </c>
      <c r="AB452">
        <v>8</v>
      </c>
      <c r="AC452">
        <v>1</v>
      </c>
      <c r="AD452" t="s">
        <v>2002</v>
      </c>
      <c r="AE452">
        <v>1</v>
      </c>
      <c r="AF452">
        <v>1940</v>
      </c>
      <c r="AG452">
        <v>1941</v>
      </c>
      <c r="AO452" t="b">
        <v>1</v>
      </c>
      <c r="AP452" t="s">
        <v>45</v>
      </c>
      <c r="AQ452">
        <v>1920</v>
      </c>
      <c r="AR452">
        <v>1978</v>
      </c>
      <c r="AS452" t="s">
        <v>2003</v>
      </c>
      <c r="AT452">
        <v>1.02121834360027</v>
      </c>
      <c r="AU452">
        <f t="shared" si="23"/>
        <v>3.0000000000000001E-3</v>
      </c>
    </row>
    <row r="453" spans="1:47" x14ac:dyDescent="0.3">
      <c r="A453">
        <v>451</v>
      </c>
      <c r="B453" t="s">
        <v>2004</v>
      </c>
      <c r="C453" t="s">
        <v>2005</v>
      </c>
      <c r="D453">
        <v>95</v>
      </c>
      <c r="E453" t="s">
        <v>1907</v>
      </c>
      <c r="F453" t="str">
        <f>VLOOKUP(E453,country_continent!A:C,2,FALSE)</f>
        <v>Panama</v>
      </c>
      <c r="G453" t="str">
        <f>VLOOKUP(E453,country_continent!A:C,3,FALSE)</f>
        <v>North America</v>
      </c>
      <c r="H453" t="s">
        <v>2006</v>
      </c>
      <c r="I453" s="1">
        <v>15258</v>
      </c>
      <c r="J453" s="3">
        <f t="shared" si="21"/>
        <v>15258</v>
      </c>
      <c r="K453" s="1">
        <v>15258</v>
      </c>
      <c r="L453" s="3">
        <f t="shared" si="22"/>
        <v>15258</v>
      </c>
      <c r="M453" t="s">
        <v>49</v>
      </c>
      <c r="N453" t="s">
        <v>49</v>
      </c>
      <c r="O453" t="s">
        <v>49</v>
      </c>
      <c r="P453">
        <v>0</v>
      </c>
      <c r="Q453" t="s">
        <v>50</v>
      </c>
      <c r="R453" t="s">
        <v>51</v>
      </c>
      <c r="S453">
        <v>1895</v>
      </c>
      <c r="T453">
        <v>1961</v>
      </c>
      <c r="Z453">
        <v>0</v>
      </c>
      <c r="AA453">
        <v>1</v>
      </c>
      <c r="AB453">
        <v>0</v>
      </c>
      <c r="AC453">
        <v>0</v>
      </c>
      <c r="AF453">
        <v>1941</v>
      </c>
      <c r="AG453">
        <v>1941</v>
      </c>
      <c r="AO453" t="b">
        <v>1</v>
      </c>
      <c r="AP453" t="s">
        <v>45</v>
      </c>
      <c r="AQ453">
        <v>1920</v>
      </c>
      <c r="AR453">
        <v>1978</v>
      </c>
      <c r="AS453" t="s">
        <v>1816</v>
      </c>
      <c r="AT453">
        <v>0</v>
      </c>
      <c r="AU453">
        <f t="shared" si="23"/>
        <v>0</v>
      </c>
    </row>
    <row r="454" spans="1:47" x14ac:dyDescent="0.3">
      <c r="A454">
        <v>452</v>
      </c>
      <c r="B454" t="s">
        <v>2007</v>
      </c>
      <c r="C454" t="s">
        <v>2008</v>
      </c>
      <c r="D454">
        <v>95</v>
      </c>
      <c r="E454" t="s">
        <v>1907</v>
      </c>
      <c r="F454" t="str">
        <f>VLOOKUP(E454,country_continent!A:C,2,FALSE)</f>
        <v>Panama</v>
      </c>
      <c r="G454" t="str">
        <f>VLOOKUP(E454,country_continent!A:C,3,FALSE)</f>
        <v>North America</v>
      </c>
      <c r="H454" t="s">
        <v>2009</v>
      </c>
      <c r="I454" s="1">
        <v>15258</v>
      </c>
      <c r="J454" s="3">
        <f t="shared" si="21"/>
        <v>15258</v>
      </c>
      <c r="K454" s="1">
        <v>16603</v>
      </c>
      <c r="L454" s="3">
        <f t="shared" si="22"/>
        <v>16603</v>
      </c>
      <c r="M454" t="s">
        <v>67</v>
      </c>
      <c r="N454" t="s">
        <v>49</v>
      </c>
      <c r="O454" t="s">
        <v>49</v>
      </c>
      <c r="P454">
        <v>0</v>
      </c>
      <c r="Q454" t="s">
        <v>50</v>
      </c>
      <c r="R454" t="s">
        <v>51</v>
      </c>
      <c r="S454">
        <v>1899</v>
      </c>
      <c r="T454">
        <v>1969</v>
      </c>
      <c r="U454" t="s">
        <v>2010</v>
      </c>
      <c r="V454" t="s">
        <v>2011</v>
      </c>
      <c r="Z454">
        <v>1</v>
      </c>
      <c r="AA454">
        <v>1</v>
      </c>
      <c r="AB454">
        <v>0</v>
      </c>
      <c r="AC454">
        <v>0</v>
      </c>
      <c r="AF454">
        <v>1941</v>
      </c>
      <c r="AG454">
        <v>1945</v>
      </c>
      <c r="AO454" t="b">
        <v>1</v>
      </c>
      <c r="AP454" t="s">
        <v>45</v>
      </c>
      <c r="AQ454">
        <v>1920</v>
      </c>
      <c r="AR454">
        <v>1978</v>
      </c>
      <c r="AS454" t="s">
        <v>2012</v>
      </c>
      <c r="AT454">
        <v>3.6824093086926699</v>
      </c>
      <c r="AU454">
        <f t="shared" si="23"/>
        <v>0.01</v>
      </c>
    </row>
    <row r="455" spans="1:47" x14ac:dyDescent="0.3">
      <c r="A455">
        <v>453</v>
      </c>
      <c r="B455" t="s">
        <v>2013</v>
      </c>
      <c r="C455" t="s">
        <v>2014</v>
      </c>
      <c r="D455">
        <v>95</v>
      </c>
      <c r="E455" t="s">
        <v>1907</v>
      </c>
      <c r="F455" t="str">
        <f>VLOOKUP(E455,country_continent!A:C,2,FALSE)</f>
        <v>Panama</v>
      </c>
      <c r="G455" t="str">
        <f>VLOOKUP(E455,country_continent!A:C,3,FALSE)</f>
        <v>North America</v>
      </c>
      <c r="H455" t="s">
        <v>760</v>
      </c>
      <c r="I455" s="1">
        <v>16603</v>
      </c>
      <c r="J455" s="3">
        <f t="shared" si="21"/>
        <v>16603</v>
      </c>
      <c r="K455" s="1">
        <v>17807</v>
      </c>
      <c r="L455" s="3">
        <f t="shared" si="22"/>
        <v>17807</v>
      </c>
      <c r="M455" t="s">
        <v>49</v>
      </c>
      <c r="N455" t="s">
        <v>67</v>
      </c>
      <c r="O455" t="s">
        <v>2001</v>
      </c>
      <c r="P455">
        <v>0</v>
      </c>
      <c r="Q455" t="s">
        <v>362</v>
      </c>
      <c r="R455" t="s">
        <v>51</v>
      </c>
      <c r="S455">
        <v>1888</v>
      </c>
      <c r="T455">
        <v>1970</v>
      </c>
      <c r="Z455">
        <v>0</v>
      </c>
      <c r="AA455">
        <v>3</v>
      </c>
      <c r="AB455">
        <v>8</v>
      </c>
      <c r="AC455">
        <v>1</v>
      </c>
      <c r="AF455">
        <v>1945</v>
      </c>
      <c r="AG455">
        <v>1948</v>
      </c>
      <c r="AN455">
        <v>-3</v>
      </c>
      <c r="AO455" t="b">
        <v>1</v>
      </c>
      <c r="AP455" t="s">
        <v>45</v>
      </c>
      <c r="AQ455">
        <v>1920</v>
      </c>
      <c r="AR455">
        <v>1978</v>
      </c>
      <c r="AS455" t="s">
        <v>2015</v>
      </c>
      <c r="AT455">
        <v>3.2963723477070501</v>
      </c>
      <c r="AU455">
        <f t="shared" si="23"/>
        <v>8.9999999999999993E-3</v>
      </c>
    </row>
    <row r="456" spans="1:47" x14ac:dyDescent="0.3">
      <c r="A456">
        <v>454</v>
      </c>
      <c r="B456" t="s">
        <v>2016</v>
      </c>
      <c r="C456" t="s">
        <v>2017</v>
      </c>
      <c r="D456">
        <v>95</v>
      </c>
      <c r="E456" t="s">
        <v>1907</v>
      </c>
      <c r="F456" t="str">
        <f>VLOOKUP(E456,country_continent!A:C,2,FALSE)</f>
        <v>Panama</v>
      </c>
      <c r="G456" t="str">
        <f>VLOOKUP(E456,country_continent!A:C,3,FALSE)</f>
        <v>North America</v>
      </c>
      <c r="H456" t="s">
        <v>2018</v>
      </c>
      <c r="I456" s="1">
        <v>17807</v>
      </c>
      <c r="J456" s="3">
        <f t="shared" si="21"/>
        <v>17807</v>
      </c>
      <c r="K456" s="1">
        <v>18107</v>
      </c>
      <c r="L456" s="3">
        <f t="shared" si="22"/>
        <v>18107</v>
      </c>
      <c r="M456" t="s">
        <v>67</v>
      </c>
      <c r="N456" t="s">
        <v>228</v>
      </c>
      <c r="O456" t="s">
        <v>49</v>
      </c>
      <c r="P456">
        <v>0</v>
      </c>
      <c r="Q456" t="s">
        <v>111</v>
      </c>
      <c r="R456" t="s">
        <v>51</v>
      </c>
      <c r="S456">
        <v>1873</v>
      </c>
      <c r="T456">
        <v>1949</v>
      </c>
      <c r="U456" t="s">
        <v>2019</v>
      </c>
      <c r="V456" t="s">
        <v>2020</v>
      </c>
      <c r="W456" s="1">
        <v>18133</v>
      </c>
      <c r="X456" s="2">
        <v>18133</v>
      </c>
      <c r="Z456">
        <v>1</v>
      </c>
      <c r="AA456">
        <v>2.0999998999999998</v>
      </c>
      <c r="AB456">
        <v>0</v>
      </c>
      <c r="AC456">
        <v>-777</v>
      </c>
      <c r="AF456">
        <v>1948</v>
      </c>
      <c r="AG456">
        <v>1949</v>
      </c>
      <c r="AN456">
        <v>-2</v>
      </c>
      <c r="AO456" t="b">
        <v>1</v>
      </c>
      <c r="AP456" t="s">
        <v>45</v>
      </c>
      <c r="AQ456">
        <v>1920</v>
      </c>
      <c r="AR456">
        <v>1978</v>
      </c>
      <c r="AS456" t="s">
        <v>2021</v>
      </c>
      <c r="AT456">
        <v>0.82135523613963002</v>
      </c>
      <c r="AU456">
        <f t="shared" si="23"/>
        <v>2E-3</v>
      </c>
    </row>
    <row r="457" spans="1:47" x14ac:dyDescent="0.3">
      <c r="A457">
        <v>455</v>
      </c>
      <c r="B457" t="s">
        <v>2022</v>
      </c>
      <c r="C457" t="s">
        <v>2023</v>
      </c>
      <c r="D457">
        <v>95</v>
      </c>
      <c r="E457" t="s">
        <v>1907</v>
      </c>
      <c r="F457" t="str">
        <f>VLOOKUP(E457,country_continent!A:C,2,FALSE)</f>
        <v>Panama</v>
      </c>
      <c r="G457" t="str">
        <f>VLOOKUP(E457,country_continent!A:C,3,FALSE)</f>
        <v>North America</v>
      </c>
      <c r="H457" t="s">
        <v>2024</v>
      </c>
      <c r="I457" s="1">
        <v>18107</v>
      </c>
      <c r="J457" s="3">
        <f t="shared" si="21"/>
        <v>18107</v>
      </c>
      <c r="K457" s="1">
        <v>18222</v>
      </c>
      <c r="L457" s="3">
        <f t="shared" si="22"/>
        <v>18222</v>
      </c>
      <c r="M457" t="s">
        <v>49</v>
      </c>
      <c r="N457" t="s">
        <v>67</v>
      </c>
      <c r="O457" t="s">
        <v>376</v>
      </c>
      <c r="P457">
        <v>0</v>
      </c>
      <c r="Q457" t="s">
        <v>362</v>
      </c>
      <c r="R457" t="s">
        <v>51</v>
      </c>
      <c r="S457">
        <v>1892</v>
      </c>
      <c r="T457">
        <v>1961</v>
      </c>
      <c r="Y457" t="s">
        <v>2025</v>
      </c>
      <c r="Z457">
        <v>0</v>
      </c>
      <c r="AA457">
        <v>3</v>
      </c>
      <c r="AB457">
        <v>6</v>
      </c>
      <c r="AC457">
        <v>1</v>
      </c>
      <c r="AF457">
        <v>1949</v>
      </c>
      <c r="AG457">
        <v>1949</v>
      </c>
      <c r="AN457">
        <v>-1</v>
      </c>
      <c r="AO457" t="b">
        <v>1</v>
      </c>
      <c r="AP457" t="s">
        <v>45</v>
      </c>
      <c r="AQ457">
        <v>1920</v>
      </c>
      <c r="AR457">
        <v>1978</v>
      </c>
      <c r="AS457" t="s">
        <v>2026</v>
      </c>
      <c r="AT457">
        <v>0.31485284052019102</v>
      </c>
      <c r="AU457">
        <f t="shared" si="23"/>
        <v>1E-3</v>
      </c>
    </row>
    <row r="458" spans="1:47" x14ac:dyDescent="0.3">
      <c r="A458">
        <v>456</v>
      </c>
      <c r="B458" t="s">
        <v>2027</v>
      </c>
      <c r="C458" t="s">
        <v>2028</v>
      </c>
      <c r="D458">
        <v>95</v>
      </c>
      <c r="E458" t="s">
        <v>1907</v>
      </c>
      <c r="F458" t="str">
        <f>VLOOKUP(E458,country_continent!A:C,2,FALSE)</f>
        <v>Panama</v>
      </c>
      <c r="G458" t="str">
        <f>VLOOKUP(E458,country_continent!A:C,3,FALSE)</f>
        <v>North America</v>
      </c>
      <c r="H458" t="s">
        <v>2029</v>
      </c>
      <c r="I458" s="1">
        <v>18222</v>
      </c>
      <c r="J458" s="3">
        <f t="shared" si="21"/>
        <v>18222</v>
      </c>
      <c r="K458" s="1">
        <v>18227</v>
      </c>
      <c r="L458" s="3">
        <f t="shared" si="22"/>
        <v>18227</v>
      </c>
      <c r="M458" t="s">
        <v>49</v>
      </c>
      <c r="N458" t="s">
        <v>49</v>
      </c>
      <c r="O458" t="s">
        <v>49</v>
      </c>
      <c r="P458">
        <v>0</v>
      </c>
      <c r="Q458" t="s">
        <v>50</v>
      </c>
      <c r="R458" t="s">
        <v>51</v>
      </c>
      <c r="S458">
        <v>1905</v>
      </c>
      <c r="T458">
        <v>1981</v>
      </c>
      <c r="U458" s="1">
        <v>1888</v>
      </c>
      <c r="V458" s="2">
        <v>1888</v>
      </c>
      <c r="Z458">
        <v>0</v>
      </c>
      <c r="AA458">
        <v>1</v>
      </c>
      <c r="AB458">
        <v>0</v>
      </c>
      <c r="AC458">
        <v>0</v>
      </c>
      <c r="AD458" t="s">
        <v>2030</v>
      </c>
      <c r="AE458">
        <v>1</v>
      </c>
      <c r="AF458">
        <v>1949</v>
      </c>
      <c r="AG458">
        <v>1949</v>
      </c>
      <c r="AN458">
        <v>-1</v>
      </c>
      <c r="AO458" t="b">
        <v>1</v>
      </c>
      <c r="AP458" t="s">
        <v>45</v>
      </c>
      <c r="AQ458">
        <v>1920</v>
      </c>
      <c r="AR458">
        <v>1978</v>
      </c>
      <c r="AS458" t="s">
        <v>2031</v>
      </c>
      <c r="AT458">
        <v>1.3689253935660501E-2</v>
      </c>
      <c r="AU458">
        <f t="shared" si="23"/>
        <v>0</v>
      </c>
    </row>
    <row r="459" spans="1:47" x14ac:dyDescent="0.3">
      <c r="A459">
        <v>457</v>
      </c>
      <c r="B459" t="s">
        <v>2032</v>
      </c>
      <c r="C459" t="s">
        <v>1999</v>
      </c>
      <c r="D459">
        <v>95</v>
      </c>
      <c r="E459" t="s">
        <v>1907</v>
      </c>
      <c r="F459" t="str">
        <f>VLOOKUP(E459,country_continent!A:C,2,FALSE)</f>
        <v>Panama</v>
      </c>
      <c r="G459" t="str">
        <f>VLOOKUP(E459,country_continent!A:C,3,FALSE)</f>
        <v>North America</v>
      </c>
      <c r="H459" t="s">
        <v>2000</v>
      </c>
      <c r="I459" s="1">
        <v>18227</v>
      </c>
      <c r="J459" s="3">
        <f t="shared" si="21"/>
        <v>18227</v>
      </c>
      <c r="K459" s="1">
        <v>18758</v>
      </c>
      <c r="L459" s="3">
        <f t="shared" si="22"/>
        <v>18758</v>
      </c>
      <c r="M459" t="s">
        <v>67</v>
      </c>
      <c r="N459" t="s">
        <v>49</v>
      </c>
      <c r="O459" t="s">
        <v>49</v>
      </c>
      <c r="P459">
        <v>1</v>
      </c>
      <c r="Q459" t="s">
        <v>463</v>
      </c>
      <c r="R459" t="s">
        <v>51</v>
      </c>
      <c r="S459">
        <v>1901</v>
      </c>
      <c r="T459">
        <v>1988</v>
      </c>
      <c r="U459" s="1">
        <v>593</v>
      </c>
      <c r="V459" s="2">
        <v>593</v>
      </c>
      <c r="W459" s="1">
        <v>32365</v>
      </c>
      <c r="X459" s="2">
        <v>32365</v>
      </c>
      <c r="Z459">
        <v>1</v>
      </c>
      <c r="AA459">
        <v>1</v>
      </c>
      <c r="AB459">
        <v>0</v>
      </c>
      <c r="AC459">
        <v>2</v>
      </c>
      <c r="AD459" t="s">
        <v>2002</v>
      </c>
      <c r="AE459">
        <v>1</v>
      </c>
      <c r="AF459">
        <v>1949</v>
      </c>
      <c r="AG459">
        <v>1951</v>
      </c>
      <c r="AN459">
        <v>-1</v>
      </c>
      <c r="AO459" t="b">
        <v>1</v>
      </c>
      <c r="AP459" t="s">
        <v>45</v>
      </c>
      <c r="AQ459">
        <v>1920</v>
      </c>
      <c r="AR459">
        <v>1978</v>
      </c>
      <c r="AS459" t="s">
        <v>2033</v>
      </c>
      <c r="AT459">
        <v>1.45379876796714</v>
      </c>
      <c r="AU459">
        <f t="shared" si="23"/>
        <v>4.0000000000000001E-3</v>
      </c>
    </row>
    <row r="460" spans="1:47" x14ac:dyDescent="0.3">
      <c r="A460">
        <v>458</v>
      </c>
      <c r="B460" t="s">
        <v>2034</v>
      </c>
      <c r="C460" t="s">
        <v>2035</v>
      </c>
      <c r="D460">
        <v>95</v>
      </c>
      <c r="E460" t="s">
        <v>1907</v>
      </c>
      <c r="F460" t="str">
        <f>VLOOKUP(E460,country_continent!A:C,2,FALSE)</f>
        <v>Panama</v>
      </c>
      <c r="G460" t="str">
        <f>VLOOKUP(E460,country_continent!A:C,3,FALSE)</f>
        <v>North America</v>
      </c>
      <c r="H460" t="s">
        <v>2036</v>
      </c>
      <c r="I460" s="1">
        <v>18758</v>
      </c>
      <c r="J460" s="3">
        <f t="shared" si="21"/>
        <v>18758</v>
      </c>
      <c r="K460" s="1">
        <v>19268</v>
      </c>
      <c r="L460" s="3">
        <f t="shared" si="22"/>
        <v>19268</v>
      </c>
      <c r="M460" t="s">
        <v>49</v>
      </c>
      <c r="N460" t="s">
        <v>49</v>
      </c>
      <c r="O460" t="s">
        <v>49</v>
      </c>
      <c r="P460">
        <v>0</v>
      </c>
      <c r="Q460" t="s">
        <v>50</v>
      </c>
      <c r="R460" t="s">
        <v>51</v>
      </c>
      <c r="S460">
        <v>1883</v>
      </c>
      <c r="T460">
        <v>1958</v>
      </c>
      <c r="U460" t="s">
        <v>2037</v>
      </c>
      <c r="V460" t="s">
        <v>2038</v>
      </c>
      <c r="W460" s="1">
        <v>21283</v>
      </c>
      <c r="X460" s="2">
        <v>21283</v>
      </c>
      <c r="Z460">
        <v>0</v>
      </c>
      <c r="AA460">
        <v>1</v>
      </c>
      <c r="AB460">
        <v>0</v>
      </c>
      <c r="AC460">
        <v>0</v>
      </c>
      <c r="AF460">
        <v>1951</v>
      </c>
      <c r="AG460">
        <v>1952</v>
      </c>
      <c r="AN460">
        <v>-1</v>
      </c>
      <c r="AO460" t="b">
        <v>1</v>
      </c>
      <c r="AP460" t="s">
        <v>45</v>
      </c>
      <c r="AQ460">
        <v>1920</v>
      </c>
      <c r="AR460">
        <v>1978</v>
      </c>
      <c r="AS460" t="s">
        <v>2039</v>
      </c>
      <c r="AT460">
        <v>1.3963039014373699</v>
      </c>
      <c r="AU460">
        <f t="shared" si="23"/>
        <v>4.0000000000000001E-3</v>
      </c>
    </row>
    <row r="461" spans="1:47" x14ac:dyDescent="0.3">
      <c r="A461">
        <v>459</v>
      </c>
      <c r="B461" t="s">
        <v>2040</v>
      </c>
      <c r="C461" t="s">
        <v>2041</v>
      </c>
      <c r="D461">
        <v>95</v>
      </c>
      <c r="E461" t="s">
        <v>1907</v>
      </c>
      <c r="F461" t="str">
        <f>VLOOKUP(E461,country_continent!A:C,2,FALSE)</f>
        <v>Panama</v>
      </c>
      <c r="G461" t="str">
        <f>VLOOKUP(E461,country_continent!A:C,3,FALSE)</f>
        <v>North America</v>
      </c>
      <c r="H461" t="s">
        <v>2042</v>
      </c>
      <c r="I461" s="1">
        <v>19268</v>
      </c>
      <c r="J461" s="3">
        <f t="shared" si="21"/>
        <v>19268</v>
      </c>
      <c r="K461" s="1">
        <v>20091</v>
      </c>
      <c r="L461" s="3">
        <f t="shared" si="22"/>
        <v>20091</v>
      </c>
      <c r="M461" t="s">
        <v>49</v>
      </c>
      <c r="N461" t="s">
        <v>67</v>
      </c>
      <c r="O461" t="s">
        <v>68</v>
      </c>
      <c r="P461">
        <v>0</v>
      </c>
      <c r="Q461" t="s">
        <v>69</v>
      </c>
      <c r="R461" t="s">
        <v>51</v>
      </c>
      <c r="S461">
        <v>1908</v>
      </c>
      <c r="T461">
        <v>1955</v>
      </c>
      <c r="U461" s="1">
        <v>3105</v>
      </c>
      <c r="V461" s="2">
        <v>3105</v>
      </c>
      <c r="Z461">
        <v>0</v>
      </c>
      <c r="AA461">
        <v>3</v>
      </c>
      <c r="AB461">
        <v>11</v>
      </c>
      <c r="AC461">
        <v>3</v>
      </c>
      <c r="AF461">
        <v>1952</v>
      </c>
      <c r="AG461">
        <v>1955</v>
      </c>
      <c r="AN461">
        <v>0.25</v>
      </c>
      <c r="AO461" t="b">
        <v>1</v>
      </c>
      <c r="AP461" t="s">
        <v>45</v>
      </c>
      <c r="AQ461">
        <v>1920</v>
      </c>
      <c r="AR461">
        <v>1978</v>
      </c>
      <c r="AS461" t="s">
        <v>2043</v>
      </c>
      <c r="AT461">
        <v>2.2532511978097101</v>
      </c>
      <c r="AU461">
        <f t="shared" si="23"/>
        <v>6.0000000000000001E-3</v>
      </c>
    </row>
    <row r="462" spans="1:47" x14ac:dyDescent="0.3">
      <c r="A462">
        <v>460</v>
      </c>
      <c r="B462" t="s">
        <v>2044</v>
      </c>
      <c r="C462" t="s">
        <v>2045</v>
      </c>
      <c r="D462">
        <v>95</v>
      </c>
      <c r="E462" t="s">
        <v>1907</v>
      </c>
      <c r="F462" t="str">
        <f>VLOOKUP(E462,country_continent!A:C,2,FALSE)</f>
        <v>Panama</v>
      </c>
      <c r="G462" t="str">
        <f>VLOOKUP(E462,country_continent!A:C,3,FALSE)</f>
        <v>North America</v>
      </c>
      <c r="H462" t="s">
        <v>2046</v>
      </c>
      <c r="I462" s="1">
        <v>20092</v>
      </c>
      <c r="J462" s="3">
        <f t="shared" si="21"/>
        <v>20092</v>
      </c>
      <c r="K462" s="1">
        <v>20104</v>
      </c>
      <c r="L462" s="3">
        <f t="shared" si="22"/>
        <v>20104</v>
      </c>
      <c r="M462" t="s">
        <v>49</v>
      </c>
      <c r="N462" t="s">
        <v>49</v>
      </c>
      <c r="O462" t="s">
        <v>49</v>
      </c>
      <c r="P462">
        <v>0</v>
      </c>
      <c r="Q462" t="s">
        <v>463</v>
      </c>
      <c r="R462" t="s">
        <v>51</v>
      </c>
      <c r="S462">
        <v>1899</v>
      </c>
      <c r="T462">
        <v>1964</v>
      </c>
      <c r="Z462">
        <v>0</v>
      </c>
      <c r="AA462">
        <v>1</v>
      </c>
      <c r="AB462">
        <v>0</v>
      </c>
      <c r="AC462">
        <v>2</v>
      </c>
      <c r="AF462">
        <v>1955</v>
      </c>
      <c r="AG462">
        <v>1955</v>
      </c>
      <c r="AN462">
        <v>4</v>
      </c>
      <c r="AO462" t="b">
        <v>1</v>
      </c>
      <c r="AP462" t="s">
        <v>45</v>
      </c>
      <c r="AQ462">
        <v>1920</v>
      </c>
      <c r="AR462">
        <v>1978</v>
      </c>
      <c r="AS462" t="s">
        <v>2047</v>
      </c>
      <c r="AT462">
        <v>3.2854209445585203E-2</v>
      </c>
      <c r="AU462">
        <f t="shared" si="23"/>
        <v>0</v>
      </c>
    </row>
    <row r="463" spans="1:47" x14ac:dyDescent="0.3">
      <c r="A463">
        <v>461</v>
      </c>
      <c r="B463" t="s">
        <v>2048</v>
      </c>
      <c r="C463" t="s">
        <v>2049</v>
      </c>
      <c r="D463">
        <v>95</v>
      </c>
      <c r="E463" t="s">
        <v>1907</v>
      </c>
      <c r="F463" t="str">
        <f>VLOOKUP(E463,country_continent!A:C,2,FALSE)</f>
        <v>Panama</v>
      </c>
      <c r="G463" t="str">
        <f>VLOOKUP(E463,country_continent!A:C,3,FALSE)</f>
        <v>North America</v>
      </c>
      <c r="H463" t="s">
        <v>2050</v>
      </c>
      <c r="I463" s="1">
        <v>20104</v>
      </c>
      <c r="J463" s="3">
        <f t="shared" si="21"/>
        <v>20104</v>
      </c>
      <c r="K463" s="1">
        <v>20729</v>
      </c>
      <c r="L463" s="3">
        <f t="shared" si="22"/>
        <v>20729</v>
      </c>
      <c r="M463" t="s">
        <v>49</v>
      </c>
      <c r="N463" t="s">
        <v>49</v>
      </c>
      <c r="O463" t="s">
        <v>49</v>
      </c>
      <c r="P463">
        <v>0</v>
      </c>
      <c r="Q463" t="s">
        <v>50</v>
      </c>
      <c r="R463" t="s">
        <v>51</v>
      </c>
      <c r="S463">
        <v>1912</v>
      </c>
      <c r="T463">
        <v>1993</v>
      </c>
      <c r="Z463">
        <v>0</v>
      </c>
      <c r="AA463">
        <v>1</v>
      </c>
      <c r="AB463">
        <v>0</v>
      </c>
      <c r="AC463">
        <v>0</v>
      </c>
      <c r="AF463">
        <v>1955</v>
      </c>
      <c r="AG463">
        <v>1956</v>
      </c>
      <c r="AN463">
        <v>4</v>
      </c>
      <c r="AO463" t="b">
        <v>1</v>
      </c>
      <c r="AP463" t="s">
        <v>45</v>
      </c>
      <c r="AQ463">
        <v>1920</v>
      </c>
      <c r="AR463">
        <v>1978</v>
      </c>
      <c r="AS463" t="s">
        <v>2051</v>
      </c>
      <c r="AT463">
        <v>1.71115674195756</v>
      </c>
      <c r="AU463">
        <f t="shared" si="23"/>
        <v>5.0000000000000001E-3</v>
      </c>
    </row>
    <row r="464" spans="1:47" x14ac:dyDescent="0.3">
      <c r="A464">
        <v>462</v>
      </c>
      <c r="B464" t="s">
        <v>2052</v>
      </c>
      <c r="C464" t="s">
        <v>2053</v>
      </c>
      <c r="D464">
        <v>95</v>
      </c>
      <c r="E464" t="s">
        <v>1907</v>
      </c>
      <c r="F464" t="str">
        <f>VLOOKUP(E464,country_continent!A:C,2,FALSE)</f>
        <v>Panama</v>
      </c>
      <c r="G464" t="str">
        <f>VLOOKUP(E464,country_continent!A:C,3,FALSE)</f>
        <v>North America</v>
      </c>
      <c r="H464" t="s">
        <v>2054</v>
      </c>
      <c r="I464" s="1">
        <v>20729</v>
      </c>
      <c r="J464" s="3">
        <f t="shared" si="21"/>
        <v>20729</v>
      </c>
      <c r="K464" s="1">
        <v>22190</v>
      </c>
      <c r="L464" s="3">
        <f t="shared" si="22"/>
        <v>22190</v>
      </c>
      <c r="M464" t="s">
        <v>49</v>
      </c>
      <c r="N464" t="s">
        <v>49</v>
      </c>
      <c r="O464" t="s">
        <v>49</v>
      </c>
      <c r="P464">
        <v>0</v>
      </c>
      <c r="Q464" t="s">
        <v>50</v>
      </c>
      <c r="R464" t="s">
        <v>51</v>
      </c>
      <c r="S464">
        <v>1904</v>
      </c>
      <c r="T464">
        <v>1983</v>
      </c>
      <c r="U464" s="1">
        <v>1612</v>
      </c>
      <c r="V464" s="2">
        <v>1612</v>
      </c>
      <c r="W464" s="1">
        <v>30438</v>
      </c>
      <c r="X464" s="2">
        <v>30438</v>
      </c>
      <c r="Z464">
        <v>0</v>
      </c>
      <c r="AA464">
        <v>1</v>
      </c>
      <c r="AB464">
        <v>0</v>
      </c>
      <c r="AC464">
        <v>0</v>
      </c>
      <c r="AF464">
        <v>1956</v>
      </c>
      <c r="AG464">
        <v>1960</v>
      </c>
      <c r="AK464">
        <v>93.1</v>
      </c>
      <c r="AN464">
        <v>4</v>
      </c>
      <c r="AO464" t="b">
        <v>1</v>
      </c>
      <c r="AP464" t="s">
        <v>45</v>
      </c>
      <c r="AQ464">
        <v>1920</v>
      </c>
      <c r="AR464">
        <v>1978</v>
      </c>
      <c r="AS464" t="s">
        <v>1775</v>
      </c>
      <c r="AT464">
        <v>4</v>
      </c>
      <c r="AU464">
        <f t="shared" si="23"/>
        <v>1.0999999999999999E-2</v>
      </c>
    </row>
    <row r="465" spans="1:47" x14ac:dyDescent="0.3">
      <c r="A465">
        <v>463</v>
      </c>
      <c r="B465" t="s">
        <v>2055</v>
      </c>
      <c r="C465" t="s">
        <v>2028</v>
      </c>
      <c r="D465">
        <v>95</v>
      </c>
      <c r="E465" t="s">
        <v>1907</v>
      </c>
      <c r="F465" t="str">
        <f>VLOOKUP(E465,country_continent!A:C,2,FALSE)</f>
        <v>Panama</v>
      </c>
      <c r="G465" t="str">
        <f>VLOOKUP(E465,country_continent!A:C,3,FALSE)</f>
        <v>North America</v>
      </c>
      <c r="H465" t="s">
        <v>2029</v>
      </c>
      <c r="I465" s="1">
        <v>22190</v>
      </c>
      <c r="J465" s="3">
        <f t="shared" si="21"/>
        <v>22190</v>
      </c>
      <c r="K465" s="1">
        <v>23651</v>
      </c>
      <c r="L465" s="3">
        <f t="shared" si="22"/>
        <v>23651</v>
      </c>
      <c r="M465" t="s">
        <v>49</v>
      </c>
      <c r="N465" t="s">
        <v>49</v>
      </c>
      <c r="O465" t="s">
        <v>49</v>
      </c>
      <c r="P465">
        <v>1</v>
      </c>
      <c r="Q465" t="s">
        <v>50</v>
      </c>
      <c r="R465" t="s">
        <v>51</v>
      </c>
      <c r="S465">
        <v>1905</v>
      </c>
      <c r="T465">
        <v>1981</v>
      </c>
      <c r="U465" s="1">
        <v>1888</v>
      </c>
      <c r="V465" s="2">
        <v>1888</v>
      </c>
      <c r="Z465">
        <v>0</v>
      </c>
      <c r="AA465">
        <v>1</v>
      </c>
      <c r="AB465">
        <v>0</v>
      </c>
      <c r="AC465">
        <v>0</v>
      </c>
      <c r="AD465" t="s">
        <v>2030</v>
      </c>
      <c r="AE465">
        <v>1</v>
      </c>
      <c r="AF465">
        <v>1960</v>
      </c>
      <c r="AG465">
        <v>1964</v>
      </c>
      <c r="AH465">
        <v>4.8328557870847897</v>
      </c>
      <c r="AI465">
        <v>526.66666666666595</v>
      </c>
      <c r="AJ465">
        <v>1.5118224922780501</v>
      </c>
      <c r="AK465">
        <v>87.86</v>
      </c>
      <c r="AL465">
        <v>3.0098027514544601</v>
      </c>
      <c r="AN465">
        <v>4</v>
      </c>
      <c r="AO465" t="b">
        <v>1</v>
      </c>
      <c r="AP465" t="s">
        <v>45</v>
      </c>
      <c r="AQ465">
        <v>1920</v>
      </c>
      <c r="AR465">
        <v>1978</v>
      </c>
      <c r="AS465" t="s">
        <v>1775</v>
      </c>
      <c r="AT465">
        <v>4</v>
      </c>
      <c r="AU465">
        <f t="shared" si="23"/>
        <v>1.0999999999999999E-2</v>
      </c>
    </row>
    <row r="466" spans="1:47" x14ac:dyDescent="0.3">
      <c r="A466">
        <v>464</v>
      </c>
      <c r="B466" t="s">
        <v>2056</v>
      </c>
      <c r="C466" t="s">
        <v>2057</v>
      </c>
      <c r="D466">
        <v>95</v>
      </c>
      <c r="E466" t="s">
        <v>1907</v>
      </c>
      <c r="F466" t="str">
        <f>VLOOKUP(E466,country_continent!A:C,2,FALSE)</f>
        <v>Panama</v>
      </c>
      <c r="G466" t="str">
        <f>VLOOKUP(E466,country_continent!A:C,3,FALSE)</f>
        <v>North America</v>
      </c>
      <c r="H466" t="s">
        <v>2058</v>
      </c>
      <c r="I466" s="1">
        <v>23651</v>
      </c>
      <c r="J466" s="3">
        <f t="shared" si="21"/>
        <v>23651</v>
      </c>
      <c r="K466" s="1">
        <v>25112</v>
      </c>
      <c r="L466" s="3">
        <f t="shared" si="22"/>
        <v>25112</v>
      </c>
      <c r="M466" t="s">
        <v>49</v>
      </c>
      <c r="N466" t="s">
        <v>49</v>
      </c>
      <c r="O466" t="s">
        <v>49</v>
      </c>
      <c r="P466">
        <v>0</v>
      </c>
      <c r="Q466" t="s">
        <v>362</v>
      </c>
      <c r="R466" t="s">
        <v>51</v>
      </c>
      <c r="S466">
        <v>1905</v>
      </c>
      <c r="T466">
        <v>1990</v>
      </c>
      <c r="U466" s="1">
        <v>2139</v>
      </c>
      <c r="V466" s="2">
        <v>2139</v>
      </c>
      <c r="Z466">
        <v>0</v>
      </c>
      <c r="AA466">
        <v>1</v>
      </c>
      <c r="AB466">
        <v>0</v>
      </c>
      <c r="AC466">
        <v>1</v>
      </c>
      <c r="AF466">
        <v>1964</v>
      </c>
      <c r="AG466">
        <v>1968</v>
      </c>
      <c r="AH466">
        <v>4.1988808204147396</v>
      </c>
      <c r="AI466">
        <v>630</v>
      </c>
      <c r="AJ466">
        <v>1.57495303680715</v>
      </c>
      <c r="AK466">
        <v>78.319999999999993</v>
      </c>
      <c r="AL466">
        <v>2.9709629359013001</v>
      </c>
      <c r="AN466">
        <v>1.8</v>
      </c>
      <c r="AO466" t="b">
        <v>1</v>
      </c>
      <c r="AP466" t="s">
        <v>45</v>
      </c>
      <c r="AQ466">
        <v>1920</v>
      </c>
      <c r="AR466">
        <v>1978</v>
      </c>
      <c r="AS466" t="s">
        <v>1775</v>
      </c>
      <c r="AT466">
        <v>4</v>
      </c>
      <c r="AU466">
        <f t="shared" si="23"/>
        <v>1.0999999999999999E-2</v>
      </c>
    </row>
    <row r="467" spans="1:47" x14ac:dyDescent="0.3">
      <c r="A467">
        <v>465</v>
      </c>
      <c r="B467" t="s">
        <v>2059</v>
      </c>
      <c r="C467" t="s">
        <v>1999</v>
      </c>
      <c r="D467">
        <v>95</v>
      </c>
      <c r="E467" t="s">
        <v>1907</v>
      </c>
      <c r="F467" t="str">
        <f>VLOOKUP(E467,country_continent!A:C,2,FALSE)</f>
        <v>Panama</v>
      </c>
      <c r="G467" t="str">
        <f>VLOOKUP(E467,country_continent!A:C,3,FALSE)</f>
        <v>North America</v>
      </c>
      <c r="H467" t="s">
        <v>2000</v>
      </c>
      <c r="I467" s="1">
        <v>25112</v>
      </c>
      <c r="J467" s="3">
        <f t="shared" si="21"/>
        <v>25112</v>
      </c>
      <c r="K467" s="1">
        <v>25123</v>
      </c>
      <c r="L467" s="3">
        <f t="shared" si="22"/>
        <v>25123</v>
      </c>
      <c r="M467" t="s">
        <v>49</v>
      </c>
      <c r="N467" t="s">
        <v>67</v>
      </c>
      <c r="O467" t="s">
        <v>376</v>
      </c>
      <c r="P467">
        <v>2</v>
      </c>
      <c r="Q467" t="s">
        <v>362</v>
      </c>
      <c r="R467" t="s">
        <v>51</v>
      </c>
      <c r="S467">
        <v>1901</v>
      </c>
      <c r="T467">
        <v>1988</v>
      </c>
      <c r="U467" s="1">
        <v>593</v>
      </c>
      <c r="V467" s="2">
        <v>593</v>
      </c>
      <c r="W467" s="1">
        <v>32365</v>
      </c>
      <c r="X467" s="2">
        <v>32365</v>
      </c>
      <c r="Z467">
        <v>0</v>
      </c>
      <c r="AA467">
        <v>3</v>
      </c>
      <c r="AB467">
        <v>6</v>
      </c>
      <c r="AC467">
        <v>1</v>
      </c>
      <c r="AD467" t="s">
        <v>2002</v>
      </c>
      <c r="AE467">
        <v>1</v>
      </c>
      <c r="AF467">
        <v>1968</v>
      </c>
      <c r="AG467">
        <v>1968</v>
      </c>
      <c r="AH467">
        <v>3.9225639131656602</v>
      </c>
      <c r="AI467">
        <v>710</v>
      </c>
      <c r="AJ467">
        <v>0.56411776262575497</v>
      </c>
      <c r="AK467">
        <v>73.8</v>
      </c>
      <c r="AL467">
        <v>2.8971446864342898</v>
      </c>
      <c r="AN467">
        <v>-7</v>
      </c>
      <c r="AO467" t="b">
        <v>1</v>
      </c>
      <c r="AP467" t="s">
        <v>45</v>
      </c>
      <c r="AQ467">
        <v>1920</v>
      </c>
      <c r="AR467">
        <v>1978</v>
      </c>
      <c r="AS467" t="s">
        <v>2060</v>
      </c>
      <c r="AT467">
        <v>3.01163586584531E-2</v>
      </c>
      <c r="AU467">
        <f t="shared" si="23"/>
        <v>0</v>
      </c>
    </row>
    <row r="468" spans="1:47" x14ac:dyDescent="0.3">
      <c r="A468">
        <v>466</v>
      </c>
      <c r="B468" t="s">
        <v>2061</v>
      </c>
      <c r="C468" t="s">
        <v>2062</v>
      </c>
      <c r="D468">
        <v>95</v>
      </c>
      <c r="E468" t="s">
        <v>1907</v>
      </c>
      <c r="F468" t="str">
        <f>VLOOKUP(E468,country_continent!A:C,2,FALSE)</f>
        <v>Panama</v>
      </c>
      <c r="G468" t="str">
        <f>VLOOKUP(E468,country_continent!A:C,3,FALSE)</f>
        <v>North America</v>
      </c>
      <c r="H468" t="s">
        <v>2063</v>
      </c>
      <c r="I468" s="1">
        <v>25123</v>
      </c>
      <c r="J468" s="3">
        <f t="shared" si="21"/>
        <v>25123</v>
      </c>
      <c r="K468" s="1">
        <v>29798</v>
      </c>
      <c r="L468" s="3">
        <f t="shared" si="22"/>
        <v>29798</v>
      </c>
      <c r="M468" t="s">
        <v>67</v>
      </c>
      <c r="N468" t="s">
        <v>110</v>
      </c>
      <c r="O468" t="s">
        <v>49</v>
      </c>
      <c r="P468">
        <v>0</v>
      </c>
      <c r="Q468" t="s">
        <v>111</v>
      </c>
      <c r="R468" t="s">
        <v>51</v>
      </c>
      <c r="S468">
        <v>1929</v>
      </c>
      <c r="T468">
        <v>1981</v>
      </c>
      <c r="U468" s="1">
        <v>10637</v>
      </c>
      <c r="V468" s="2">
        <v>10637</v>
      </c>
      <c r="W468" s="1">
        <v>29798</v>
      </c>
      <c r="X468" s="2">
        <v>29798</v>
      </c>
      <c r="Z468">
        <v>1</v>
      </c>
      <c r="AA468">
        <v>2</v>
      </c>
      <c r="AB468">
        <v>0</v>
      </c>
      <c r="AC468">
        <v>-777</v>
      </c>
      <c r="AD468" t="s">
        <v>2064</v>
      </c>
      <c r="AE468">
        <v>0</v>
      </c>
      <c r="AF468">
        <v>1968</v>
      </c>
      <c r="AG468">
        <v>1981</v>
      </c>
      <c r="AH468">
        <v>3.3611424889288402</v>
      </c>
      <c r="AI468">
        <v>1387.8571428571399</v>
      </c>
      <c r="AJ468">
        <v>5.9123643060113302</v>
      </c>
      <c r="AK468">
        <v>55.242857142857098</v>
      </c>
      <c r="AL468">
        <v>2.62169667841914</v>
      </c>
      <c r="AM468">
        <v>0.38678780893158499</v>
      </c>
      <c r="AN468">
        <v>-6.71</v>
      </c>
      <c r="AO468" t="b">
        <v>1</v>
      </c>
      <c r="AP468" t="s">
        <v>45</v>
      </c>
      <c r="AQ468">
        <v>1920</v>
      </c>
      <c r="AR468">
        <v>1978</v>
      </c>
      <c r="AS468" t="s">
        <v>2065</v>
      </c>
      <c r="AT468">
        <v>12.7994524298425</v>
      </c>
      <c r="AU468">
        <f t="shared" si="23"/>
        <v>3.5000000000000003E-2</v>
      </c>
    </row>
    <row r="469" spans="1:47" x14ac:dyDescent="0.3">
      <c r="A469">
        <v>467</v>
      </c>
      <c r="B469" t="s">
        <v>2066</v>
      </c>
      <c r="C469" t="s">
        <v>2067</v>
      </c>
      <c r="D469">
        <v>95</v>
      </c>
      <c r="E469" t="s">
        <v>1907</v>
      </c>
      <c r="F469" t="str">
        <f>VLOOKUP(E469,country_continent!A:C,2,FALSE)</f>
        <v>Panama</v>
      </c>
      <c r="G469" t="str">
        <f>VLOOKUP(E469,country_continent!A:C,3,FALSE)</f>
        <v>North America</v>
      </c>
      <c r="H469" t="s">
        <v>2068</v>
      </c>
      <c r="I469" s="1">
        <v>29798</v>
      </c>
      <c r="J469" s="3">
        <f t="shared" si="21"/>
        <v>29798</v>
      </c>
      <c r="K469" s="1">
        <v>30013</v>
      </c>
      <c r="L469" s="3">
        <f t="shared" si="22"/>
        <v>30013</v>
      </c>
      <c r="M469" t="s">
        <v>67</v>
      </c>
      <c r="N469" t="s">
        <v>67</v>
      </c>
      <c r="O469" t="s">
        <v>389</v>
      </c>
      <c r="P469">
        <v>0</v>
      </c>
      <c r="Q469" t="s">
        <v>463</v>
      </c>
      <c r="R469" t="s">
        <v>51</v>
      </c>
      <c r="S469">
        <v>1931</v>
      </c>
      <c r="T469">
        <v>-777</v>
      </c>
      <c r="Z469">
        <v>1</v>
      </c>
      <c r="AA469">
        <v>3</v>
      </c>
      <c r="AB469">
        <v>16</v>
      </c>
      <c r="AC469">
        <v>2</v>
      </c>
      <c r="AF469">
        <v>1981</v>
      </c>
      <c r="AG469">
        <v>1982</v>
      </c>
      <c r="AH469">
        <v>4.7722312079547997</v>
      </c>
      <c r="AI469">
        <v>2580</v>
      </c>
      <c r="AJ469">
        <v>4.2569252848488599</v>
      </c>
      <c r="AK469">
        <v>41.2</v>
      </c>
      <c r="AL469">
        <v>2.3630733520065998</v>
      </c>
      <c r="AM469">
        <v>0.52997595576253098</v>
      </c>
      <c r="AN469">
        <v>-5.5</v>
      </c>
      <c r="AO469" t="b">
        <v>1</v>
      </c>
      <c r="AP469" t="s">
        <v>45</v>
      </c>
      <c r="AQ469">
        <v>1920</v>
      </c>
      <c r="AR469">
        <v>1978</v>
      </c>
      <c r="AS469" t="s">
        <v>2069</v>
      </c>
      <c r="AT469">
        <v>0.58863791923340103</v>
      </c>
      <c r="AU469">
        <f t="shared" si="23"/>
        <v>2E-3</v>
      </c>
    </row>
    <row r="470" spans="1:47" x14ac:dyDescent="0.3">
      <c r="A470">
        <v>468</v>
      </c>
      <c r="B470" t="s">
        <v>2070</v>
      </c>
      <c r="C470" t="s">
        <v>2071</v>
      </c>
      <c r="D470">
        <v>95</v>
      </c>
      <c r="E470" t="s">
        <v>1907</v>
      </c>
      <c r="F470" t="str">
        <f>VLOOKUP(E470,country_continent!A:C,2,FALSE)</f>
        <v>Panama</v>
      </c>
      <c r="G470" t="str">
        <f>VLOOKUP(E470,country_continent!A:C,3,FALSE)</f>
        <v>North America</v>
      </c>
      <c r="H470" t="s">
        <v>2072</v>
      </c>
      <c r="I470" s="1">
        <v>30013</v>
      </c>
      <c r="J470" s="3">
        <f t="shared" si="21"/>
        <v>30013</v>
      </c>
      <c r="K470" s="1">
        <v>30543</v>
      </c>
      <c r="L470" s="3">
        <f t="shared" si="22"/>
        <v>30543</v>
      </c>
      <c r="M470" t="s">
        <v>67</v>
      </c>
      <c r="N470" t="s">
        <v>49</v>
      </c>
      <c r="O470" t="s">
        <v>49</v>
      </c>
      <c r="P470">
        <v>0</v>
      </c>
      <c r="Q470" t="s">
        <v>50</v>
      </c>
      <c r="R470" t="s">
        <v>51</v>
      </c>
      <c r="S470">
        <v>1931</v>
      </c>
      <c r="T470">
        <v>-777</v>
      </c>
      <c r="Z470">
        <v>1</v>
      </c>
      <c r="AA470">
        <v>1</v>
      </c>
      <c r="AB470">
        <v>0</v>
      </c>
      <c r="AC470">
        <v>0</v>
      </c>
      <c r="AF470">
        <v>1982</v>
      </c>
      <c r="AG470">
        <v>1983</v>
      </c>
      <c r="AH470">
        <v>-1.90959471932338</v>
      </c>
      <c r="AI470">
        <v>2615</v>
      </c>
      <c r="AJ470">
        <v>6.1843208989671199</v>
      </c>
      <c r="AK470">
        <v>39.75</v>
      </c>
      <c r="AL470">
        <v>2.3555064224628</v>
      </c>
      <c r="AM470">
        <v>0.472961501822877</v>
      </c>
      <c r="AN470">
        <v>-5</v>
      </c>
      <c r="AO470" t="b">
        <v>1</v>
      </c>
      <c r="AP470" t="s">
        <v>45</v>
      </c>
      <c r="AQ470">
        <v>1920</v>
      </c>
      <c r="AR470">
        <v>1978</v>
      </c>
      <c r="AS470" t="s">
        <v>2073</v>
      </c>
      <c r="AT470">
        <v>1.45106091718001</v>
      </c>
      <c r="AU470">
        <f t="shared" si="23"/>
        <v>4.0000000000000001E-3</v>
      </c>
    </row>
    <row r="471" spans="1:47" x14ac:dyDescent="0.3">
      <c r="A471">
        <v>469</v>
      </c>
      <c r="B471" t="s">
        <v>2074</v>
      </c>
      <c r="C471" t="s">
        <v>2075</v>
      </c>
      <c r="D471">
        <v>95</v>
      </c>
      <c r="E471" t="s">
        <v>1907</v>
      </c>
      <c r="F471" t="str">
        <f>VLOOKUP(E471,country_continent!A:C,2,FALSE)</f>
        <v>Panama</v>
      </c>
      <c r="G471" t="str">
        <f>VLOOKUP(E471,country_continent!A:C,3,FALSE)</f>
        <v>North America</v>
      </c>
      <c r="H471" t="s">
        <v>2076</v>
      </c>
      <c r="I471" s="1">
        <v>30543</v>
      </c>
      <c r="J471" s="3">
        <f t="shared" si="21"/>
        <v>30543</v>
      </c>
      <c r="K471" s="1">
        <v>32876</v>
      </c>
      <c r="L471" s="3">
        <f t="shared" si="22"/>
        <v>32876</v>
      </c>
      <c r="M471" t="s">
        <v>67</v>
      </c>
      <c r="N471" t="s">
        <v>633</v>
      </c>
      <c r="O471" t="s">
        <v>634</v>
      </c>
      <c r="P471">
        <v>0</v>
      </c>
      <c r="Q471" t="s">
        <v>463</v>
      </c>
      <c r="R471" t="s">
        <v>51</v>
      </c>
      <c r="S471">
        <v>1940</v>
      </c>
      <c r="T471">
        <v>-777</v>
      </c>
      <c r="U471" s="1">
        <v>14652</v>
      </c>
      <c r="V471" s="2">
        <v>14652</v>
      </c>
      <c r="Z471">
        <v>1</v>
      </c>
      <c r="AA471">
        <v>4</v>
      </c>
      <c r="AB471">
        <v>9</v>
      </c>
      <c r="AC471">
        <v>2</v>
      </c>
      <c r="AF471">
        <v>1983</v>
      </c>
      <c r="AG471">
        <v>1990</v>
      </c>
      <c r="AH471">
        <v>-2.07083533633614</v>
      </c>
      <c r="AI471">
        <v>2780</v>
      </c>
      <c r="AJ471">
        <v>1.45753191901608</v>
      </c>
      <c r="AK471">
        <v>34.387500000000003</v>
      </c>
      <c r="AL471">
        <v>2.2427152841284501</v>
      </c>
      <c r="AM471">
        <v>0.17125996350167699</v>
      </c>
      <c r="AN471">
        <v>-2.88</v>
      </c>
      <c r="AO471" t="b">
        <v>1</v>
      </c>
      <c r="AP471" t="s">
        <v>45</v>
      </c>
      <c r="AQ471">
        <v>1920</v>
      </c>
      <c r="AR471">
        <v>1978</v>
      </c>
      <c r="AS471" t="s">
        <v>2077</v>
      </c>
      <c r="AT471">
        <v>6.3874058863791898</v>
      </c>
      <c r="AU471">
        <f t="shared" si="23"/>
        <v>1.7000000000000001E-2</v>
      </c>
    </row>
    <row r="472" spans="1:47" x14ac:dyDescent="0.3">
      <c r="A472">
        <v>470</v>
      </c>
      <c r="B472" t="s">
        <v>2078</v>
      </c>
      <c r="C472" t="s">
        <v>2079</v>
      </c>
      <c r="D472">
        <v>95</v>
      </c>
      <c r="E472" t="s">
        <v>1907</v>
      </c>
      <c r="F472" t="str">
        <f>VLOOKUP(E472,country_continent!A:C,2,FALSE)</f>
        <v>Panama</v>
      </c>
      <c r="G472" t="str">
        <f>VLOOKUP(E472,country_continent!A:C,3,FALSE)</f>
        <v>North America</v>
      </c>
      <c r="H472" t="s">
        <v>2080</v>
      </c>
      <c r="I472" s="1">
        <v>32877</v>
      </c>
      <c r="J472" s="3">
        <f t="shared" si="21"/>
        <v>32877</v>
      </c>
      <c r="K472" s="1">
        <v>34578</v>
      </c>
      <c r="L472" s="3">
        <f t="shared" si="22"/>
        <v>34578</v>
      </c>
      <c r="M472" t="s">
        <v>637</v>
      </c>
      <c r="N472" t="s">
        <v>49</v>
      </c>
      <c r="O472" t="s">
        <v>49</v>
      </c>
      <c r="P472">
        <v>0</v>
      </c>
      <c r="Q472" t="s">
        <v>50</v>
      </c>
      <c r="R472" t="s">
        <v>51</v>
      </c>
      <c r="S472">
        <v>1936</v>
      </c>
      <c r="T472">
        <v>2009</v>
      </c>
      <c r="Z472">
        <v>2</v>
      </c>
      <c r="AA472">
        <v>1</v>
      </c>
      <c r="AB472">
        <v>0</v>
      </c>
      <c r="AC472">
        <v>0</v>
      </c>
      <c r="AF472">
        <v>1990</v>
      </c>
      <c r="AG472">
        <v>1994</v>
      </c>
      <c r="AH472">
        <v>4.5882081559966901</v>
      </c>
      <c r="AI472">
        <v>3026</v>
      </c>
      <c r="AJ472">
        <v>2.6707022716048598</v>
      </c>
      <c r="AK472">
        <v>29.26</v>
      </c>
      <c r="AL472">
        <v>2.0969856367856399</v>
      </c>
      <c r="AM472">
        <v>0.23190971899520099</v>
      </c>
      <c r="AN472">
        <v>8.1999999999999993</v>
      </c>
      <c r="AO472" t="b">
        <v>1</v>
      </c>
      <c r="AP472" t="s">
        <v>45</v>
      </c>
      <c r="AQ472">
        <v>1920</v>
      </c>
      <c r="AR472">
        <v>1978</v>
      </c>
      <c r="AS472" t="s">
        <v>1762</v>
      </c>
      <c r="AT472">
        <v>4.6570841889116998</v>
      </c>
      <c r="AU472">
        <f t="shared" si="23"/>
        <v>1.2999999999999999E-2</v>
      </c>
    </row>
    <row r="473" spans="1:47" x14ac:dyDescent="0.3">
      <c r="A473">
        <v>471</v>
      </c>
      <c r="B473" t="s">
        <v>2081</v>
      </c>
      <c r="C473" t="s">
        <v>2082</v>
      </c>
      <c r="D473">
        <v>95</v>
      </c>
      <c r="E473" t="s">
        <v>1907</v>
      </c>
      <c r="F473" t="str">
        <f>VLOOKUP(E473,country_continent!A:C,2,FALSE)</f>
        <v>Panama</v>
      </c>
      <c r="G473" t="str">
        <f>VLOOKUP(E473,country_continent!A:C,3,FALSE)</f>
        <v>North America</v>
      </c>
      <c r="H473" t="s">
        <v>2083</v>
      </c>
      <c r="I473" s="1">
        <v>34578</v>
      </c>
      <c r="J473" s="3">
        <f t="shared" si="21"/>
        <v>34578</v>
      </c>
      <c r="K473" s="1">
        <v>36404</v>
      </c>
      <c r="L473" s="3">
        <f t="shared" si="22"/>
        <v>36404</v>
      </c>
      <c r="M473" t="s">
        <v>49</v>
      </c>
      <c r="N473" t="s">
        <v>49</v>
      </c>
      <c r="O473" t="s">
        <v>49</v>
      </c>
      <c r="P473">
        <v>0</v>
      </c>
      <c r="Q473" t="s">
        <v>50</v>
      </c>
      <c r="R473" t="s">
        <v>51</v>
      </c>
      <c r="S473">
        <v>1946</v>
      </c>
      <c r="T473">
        <v>-777</v>
      </c>
      <c r="Z473">
        <v>0</v>
      </c>
      <c r="AA473">
        <v>1</v>
      </c>
      <c r="AB473">
        <v>0</v>
      </c>
      <c r="AC473">
        <v>0</v>
      </c>
      <c r="AF473">
        <v>1994</v>
      </c>
      <c r="AG473">
        <v>1999</v>
      </c>
      <c r="AH473">
        <v>1.2924594680324499</v>
      </c>
      <c r="AI473">
        <v>3441.6666666666601</v>
      </c>
      <c r="AJ473">
        <v>1.54674220445983</v>
      </c>
      <c r="AK473">
        <v>27.4</v>
      </c>
      <c r="AL473">
        <v>2.01867752513943</v>
      </c>
      <c r="AM473">
        <v>0.18306811278553101</v>
      </c>
      <c r="AN473">
        <v>9</v>
      </c>
      <c r="AO473" t="b">
        <v>1</v>
      </c>
      <c r="AP473" t="s">
        <v>45</v>
      </c>
      <c r="AQ473">
        <v>1920</v>
      </c>
      <c r="AR473">
        <v>1978</v>
      </c>
      <c r="AS473" t="s">
        <v>2084</v>
      </c>
      <c r="AT473">
        <v>4.9993155373032101</v>
      </c>
      <c r="AU473">
        <f t="shared" si="23"/>
        <v>1.4E-2</v>
      </c>
    </row>
    <row r="474" spans="1:47" x14ac:dyDescent="0.3">
      <c r="A474">
        <v>472</v>
      </c>
      <c r="B474" t="s">
        <v>2085</v>
      </c>
      <c r="C474" t="s">
        <v>2086</v>
      </c>
      <c r="D474">
        <v>95</v>
      </c>
      <c r="E474" t="s">
        <v>1907</v>
      </c>
      <c r="F474" t="str">
        <f>VLOOKUP(E474,country_continent!A:C,2,FALSE)</f>
        <v>Panama</v>
      </c>
      <c r="G474" t="str">
        <f>VLOOKUP(E474,country_continent!A:C,3,FALSE)</f>
        <v>North America</v>
      </c>
      <c r="H474" t="s">
        <v>2087</v>
      </c>
      <c r="I474" s="1">
        <v>36404</v>
      </c>
      <c r="J474" s="3">
        <f t="shared" si="21"/>
        <v>36404</v>
      </c>
      <c r="K474" s="1">
        <v>38231</v>
      </c>
      <c r="L474" s="3">
        <f t="shared" si="22"/>
        <v>38231</v>
      </c>
      <c r="M474" t="s">
        <v>49</v>
      </c>
      <c r="N474" t="s">
        <v>49</v>
      </c>
      <c r="O474" t="s">
        <v>49</v>
      </c>
      <c r="P474">
        <v>0</v>
      </c>
      <c r="Q474" t="s">
        <v>50</v>
      </c>
      <c r="R474" t="s">
        <v>299</v>
      </c>
      <c r="S474">
        <v>1946</v>
      </c>
      <c r="T474">
        <v>-777</v>
      </c>
      <c r="U474" s="1">
        <v>16984</v>
      </c>
      <c r="V474" s="2">
        <v>16984</v>
      </c>
      <c r="Y474" t="s">
        <v>2088</v>
      </c>
      <c r="Z474">
        <v>0</v>
      </c>
      <c r="AA474">
        <v>1</v>
      </c>
      <c r="AB474">
        <v>0</v>
      </c>
      <c r="AC474">
        <v>0</v>
      </c>
      <c r="AF474">
        <v>1999</v>
      </c>
      <c r="AG474">
        <v>2004</v>
      </c>
      <c r="AH474">
        <v>2.3538065507748702</v>
      </c>
      <c r="AI474">
        <v>3935</v>
      </c>
      <c r="AJ474">
        <v>1.0214391848148701</v>
      </c>
      <c r="AK474">
        <v>24.45</v>
      </c>
      <c r="AL474">
        <v>1.94000677850467</v>
      </c>
      <c r="AM474">
        <v>0.13779161993948699</v>
      </c>
      <c r="AN474">
        <v>9</v>
      </c>
      <c r="AO474" t="b">
        <v>1</v>
      </c>
      <c r="AP474" t="s">
        <v>45</v>
      </c>
      <c r="AQ474">
        <v>1920</v>
      </c>
      <c r="AR474">
        <v>1978</v>
      </c>
      <c r="AS474" t="s">
        <v>2089</v>
      </c>
      <c r="AT474">
        <v>5.0020533880903404</v>
      </c>
      <c r="AU474">
        <f t="shared" si="23"/>
        <v>1.4E-2</v>
      </c>
    </row>
    <row r="475" spans="1:47" x14ac:dyDescent="0.3">
      <c r="A475">
        <v>473</v>
      </c>
      <c r="B475" t="s">
        <v>2090</v>
      </c>
      <c r="C475" t="s">
        <v>2091</v>
      </c>
      <c r="D475">
        <v>95</v>
      </c>
      <c r="E475" t="s">
        <v>1907</v>
      </c>
      <c r="F475" t="str">
        <f>VLOOKUP(E475,country_continent!A:C,2,FALSE)</f>
        <v>Panama</v>
      </c>
      <c r="G475" t="str">
        <f>VLOOKUP(E475,country_continent!A:C,3,FALSE)</f>
        <v>North America</v>
      </c>
      <c r="H475" t="s">
        <v>2092</v>
      </c>
      <c r="I475" s="1">
        <v>38231</v>
      </c>
      <c r="J475" s="3">
        <f t="shared" si="21"/>
        <v>38231</v>
      </c>
      <c r="K475" s="1">
        <v>39995</v>
      </c>
      <c r="L475" s="3">
        <f t="shared" si="22"/>
        <v>39995</v>
      </c>
      <c r="M475" t="s">
        <v>49</v>
      </c>
      <c r="N475" t="s">
        <v>49</v>
      </c>
      <c r="O475" t="s">
        <v>49</v>
      </c>
      <c r="P475">
        <v>0</v>
      </c>
      <c r="Q475" t="s">
        <v>50</v>
      </c>
      <c r="R475" t="s">
        <v>51</v>
      </c>
      <c r="S475">
        <v>1963</v>
      </c>
      <c r="T475">
        <v>-777</v>
      </c>
      <c r="Z475">
        <v>0</v>
      </c>
      <c r="AA475">
        <v>1</v>
      </c>
      <c r="AB475">
        <v>0</v>
      </c>
      <c r="AC475">
        <v>0</v>
      </c>
      <c r="AD475" t="s">
        <v>2093</v>
      </c>
      <c r="AE475">
        <v>1</v>
      </c>
      <c r="AF475">
        <v>2004</v>
      </c>
      <c r="AG475">
        <v>2009</v>
      </c>
      <c r="AH475">
        <v>6.5548087854679098</v>
      </c>
      <c r="AI475">
        <v>5753.3333333333303</v>
      </c>
      <c r="AJ475">
        <v>3.8552440789103102</v>
      </c>
      <c r="AK475">
        <v>20.716666666666601</v>
      </c>
      <c r="AL475">
        <v>1.8504998808792299</v>
      </c>
      <c r="AM475">
        <v>0.12634986730372399</v>
      </c>
      <c r="AN475">
        <v>9</v>
      </c>
      <c r="AO475" t="b">
        <v>1</v>
      </c>
      <c r="AP475" t="s">
        <v>45</v>
      </c>
      <c r="AQ475">
        <v>1920</v>
      </c>
      <c r="AR475">
        <v>1978</v>
      </c>
      <c r="AS475" t="s">
        <v>2094</v>
      </c>
      <c r="AT475">
        <v>4.8295687885010201</v>
      </c>
      <c r="AU475">
        <f t="shared" si="23"/>
        <v>1.2999999999999999E-2</v>
      </c>
    </row>
    <row r="476" spans="1:47" x14ac:dyDescent="0.3">
      <c r="A476">
        <v>474</v>
      </c>
      <c r="B476" t="s">
        <v>2095</v>
      </c>
      <c r="C476" t="s">
        <v>2096</v>
      </c>
      <c r="D476">
        <v>95</v>
      </c>
      <c r="E476" t="s">
        <v>1907</v>
      </c>
      <c r="F476" t="str">
        <f>VLOOKUP(E476,country_continent!A:C,2,FALSE)</f>
        <v>Panama</v>
      </c>
      <c r="G476" t="str">
        <f>VLOOKUP(E476,country_continent!A:C,3,FALSE)</f>
        <v>North America</v>
      </c>
      <c r="H476" t="s">
        <v>2097</v>
      </c>
      <c r="I476" s="1">
        <v>39995</v>
      </c>
      <c r="J476" s="3">
        <f t="shared" si="21"/>
        <v>39995</v>
      </c>
      <c r="K476" s="1">
        <v>41821</v>
      </c>
      <c r="L476" s="3">
        <f t="shared" si="22"/>
        <v>41821</v>
      </c>
      <c r="M476" t="s">
        <v>49</v>
      </c>
      <c r="N476" t="s">
        <v>49</v>
      </c>
      <c r="O476" t="s">
        <v>49</v>
      </c>
      <c r="P476">
        <v>0</v>
      </c>
      <c r="Q476" t="s">
        <v>50</v>
      </c>
      <c r="R476" t="s">
        <v>51</v>
      </c>
      <c r="S476">
        <v>1952</v>
      </c>
      <c r="T476">
        <v>-777</v>
      </c>
      <c r="Z476">
        <v>0</v>
      </c>
      <c r="AA476">
        <v>1</v>
      </c>
      <c r="AB476">
        <v>0</v>
      </c>
      <c r="AC476">
        <v>0</v>
      </c>
      <c r="AF476">
        <v>2009</v>
      </c>
      <c r="AG476">
        <v>2014</v>
      </c>
      <c r="AH476">
        <v>4.8269889215753699</v>
      </c>
      <c r="AI476">
        <v>9303.3333333333303</v>
      </c>
      <c r="AJ476">
        <v>5.2570276697748604</v>
      </c>
      <c r="AK476">
        <v>18.05</v>
      </c>
      <c r="AL476">
        <v>1.7666836739899201</v>
      </c>
      <c r="AM476">
        <v>0.22637194651387299</v>
      </c>
      <c r="AN476">
        <v>9</v>
      </c>
      <c r="AO476" t="b">
        <v>1</v>
      </c>
      <c r="AP476" t="s">
        <v>45</v>
      </c>
      <c r="AQ476">
        <v>1920</v>
      </c>
      <c r="AR476">
        <v>1978</v>
      </c>
      <c r="AS476" t="s">
        <v>2084</v>
      </c>
      <c r="AT476">
        <v>4.9993155373032101</v>
      </c>
      <c r="AU476">
        <f t="shared" si="23"/>
        <v>1.4E-2</v>
      </c>
    </row>
    <row r="477" spans="1:47" x14ac:dyDescent="0.3">
      <c r="A477">
        <v>475</v>
      </c>
      <c r="B477" t="s">
        <v>2098</v>
      </c>
      <c r="C477" t="s">
        <v>2099</v>
      </c>
      <c r="D477">
        <v>95</v>
      </c>
      <c r="E477" t="s">
        <v>1907</v>
      </c>
      <c r="F477" t="str">
        <f>VLOOKUP(E477,country_continent!A:C,2,FALSE)</f>
        <v>Panama</v>
      </c>
      <c r="G477" t="str">
        <f>VLOOKUP(E477,country_continent!A:C,3,FALSE)</f>
        <v>North America</v>
      </c>
      <c r="H477" t="s">
        <v>2100</v>
      </c>
      <c r="I477" s="1">
        <v>41821</v>
      </c>
      <c r="J477" s="3">
        <f t="shared" si="21"/>
        <v>41821</v>
      </c>
      <c r="K477" s="1">
        <v>42369</v>
      </c>
      <c r="L477" s="3">
        <f t="shared" si="22"/>
        <v>42369</v>
      </c>
      <c r="M477" t="s">
        <v>49</v>
      </c>
      <c r="N477" t="s">
        <v>173</v>
      </c>
      <c r="O477" t="s">
        <v>173</v>
      </c>
      <c r="P477">
        <v>0</v>
      </c>
      <c r="Q477" t="s">
        <v>174</v>
      </c>
      <c r="R477" t="s">
        <v>51</v>
      </c>
      <c r="S477">
        <v>1963</v>
      </c>
      <c r="T477">
        <v>-777</v>
      </c>
      <c r="U477" s="1">
        <v>23357</v>
      </c>
      <c r="V477" s="2">
        <v>23357</v>
      </c>
      <c r="Z477">
        <v>0</v>
      </c>
      <c r="AA477">
        <v>-888</v>
      </c>
      <c r="AB477">
        <v>-888</v>
      </c>
      <c r="AC477">
        <v>-888</v>
      </c>
      <c r="AF477">
        <v>2014</v>
      </c>
      <c r="AG477">
        <v>2015</v>
      </c>
      <c r="AH477">
        <v>3.14597547709212</v>
      </c>
      <c r="AI477">
        <v>12045</v>
      </c>
      <c r="AJ477">
        <v>3.85445438213684</v>
      </c>
      <c r="AK477">
        <v>17.25</v>
      </c>
      <c r="AL477">
        <v>1.7304193479843399</v>
      </c>
      <c r="AM477">
        <v>0.18514599537693799</v>
      </c>
      <c r="AN477">
        <v>9</v>
      </c>
      <c r="AO477" t="b">
        <v>1</v>
      </c>
      <c r="AP477" t="s">
        <v>45</v>
      </c>
      <c r="AQ477">
        <v>1920</v>
      </c>
      <c r="AR477">
        <v>1978</v>
      </c>
      <c r="AS477" t="s">
        <v>2101</v>
      </c>
      <c r="AT477">
        <v>1.5003422313483901</v>
      </c>
      <c r="AU477">
        <f t="shared" si="23"/>
        <v>4.0000000000000001E-3</v>
      </c>
    </row>
    <row r="478" spans="1:47" x14ac:dyDescent="0.3">
      <c r="A478">
        <v>476</v>
      </c>
      <c r="B478" t="s">
        <v>2102</v>
      </c>
      <c r="C478" t="s">
        <v>2103</v>
      </c>
      <c r="D478">
        <v>100</v>
      </c>
      <c r="E478" t="s">
        <v>2104</v>
      </c>
      <c r="F478" t="str">
        <f>VLOOKUP(E478,country_continent!A:C,2,FALSE)</f>
        <v>Colombia</v>
      </c>
      <c r="G478" t="str">
        <f>VLOOKUP(E478,country_continent!A:C,3,FALSE)</f>
        <v>South America</v>
      </c>
      <c r="H478" t="s">
        <v>2105</v>
      </c>
      <c r="I478" t="s">
        <v>2106</v>
      </c>
      <c r="J478" s="3" t="str">
        <f t="shared" si="21"/>
        <v>1874/04/01</v>
      </c>
      <c r="K478" t="s">
        <v>2107</v>
      </c>
      <c r="L478" s="3" t="str">
        <f t="shared" si="22"/>
        <v>1876/04/01</v>
      </c>
      <c r="M478" t="s">
        <v>49</v>
      </c>
      <c r="N478" t="s">
        <v>49</v>
      </c>
      <c r="O478" t="s">
        <v>49</v>
      </c>
      <c r="P478">
        <v>0</v>
      </c>
      <c r="Q478" t="s">
        <v>50</v>
      </c>
      <c r="R478" t="s">
        <v>51</v>
      </c>
      <c r="S478">
        <v>1830</v>
      </c>
      <c r="T478">
        <v>1900</v>
      </c>
      <c r="Y478" t="s">
        <v>2108</v>
      </c>
      <c r="Z478">
        <v>0</v>
      </c>
      <c r="AA478">
        <v>1</v>
      </c>
      <c r="AB478">
        <v>0</v>
      </c>
      <c r="AC478">
        <v>0</v>
      </c>
      <c r="AF478">
        <v>1874</v>
      </c>
      <c r="AG478">
        <v>1876</v>
      </c>
      <c r="AO478" t="b">
        <v>1</v>
      </c>
      <c r="AP478" t="s">
        <v>45</v>
      </c>
      <c r="AQ478">
        <v>1903</v>
      </c>
      <c r="AR478">
        <v>1978</v>
      </c>
      <c r="AS478" t="s">
        <v>2109</v>
      </c>
      <c r="AT478">
        <v>2.0013689253935598</v>
      </c>
      <c r="AU478">
        <f t="shared" si="23"/>
        <v>5.0000000000000001E-3</v>
      </c>
    </row>
    <row r="479" spans="1:47" x14ac:dyDescent="0.3">
      <c r="A479">
        <v>477</v>
      </c>
      <c r="B479" t="s">
        <v>2110</v>
      </c>
      <c r="C479" t="s">
        <v>2111</v>
      </c>
      <c r="D479">
        <v>100</v>
      </c>
      <c r="E479" t="s">
        <v>2104</v>
      </c>
      <c r="F479" t="str">
        <f>VLOOKUP(E479,country_continent!A:C,2,FALSE)</f>
        <v>Colombia</v>
      </c>
      <c r="G479" t="str">
        <f>VLOOKUP(E479,country_continent!A:C,3,FALSE)</f>
        <v>South America</v>
      </c>
      <c r="H479" t="s">
        <v>2112</v>
      </c>
      <c r="I479" t="s">
        <v>2107</v>
      </c>
      <c r="J479" s="3" t="str">
        <f t="shared" si="21"/>
        <v>1876/04/01</v>
      </c>
      <c r="K479" t="s">
        <v>2113</v>
      </c>
      <c r="L479" s="3" t="str">
        <f t="shared" si="22"/>
        <v>1877/05/14</v>
      </c>
      <c r="M479" t="s">
        <v>49</v>
      </c>
      <c r="N479" t="s">
        <v>228</v>
      </c>
      <c r="O479" t="s">
        <v>49</v>
      </c>
      <c r="P479">
        <v>0</v>
      </c>
      <c r="Q479" t="s">
        <v>50</v>
      </c>
      <c r="R479" t="s">
        <v>51</v>
      </c>
      <c r="S479">
        <v>1825</v>
      </c>
      <c r="T479">
        <v>1900</v>
      </c>
      <c r="Y479" t="s">
        <v>2114</v>
      </c>
      <c r="Z479">
        <v>0</v>
      </c>
      <c r="AA479">
        <v>2.0999998999999998</v>
      </c>
      <c r="AB479">
        <v>0</v>
      </c>
      <c r="AC479">
        <v>0</v>
      </c>
      <c r="AF479">
        <v>1876</v>
      </c>
      <c r="AG479">
        <v>1877</v>
      </c>
      <c r="AO479" t="b">
        <v>1</v>
      </c>
      <c r="AP479" t="s">
        <v>45</v>
      </c>
      <c r="AQ479">
        <v>1903</v>
      </c>
      <c r="AR479">
        <v>1978</v>
      </c>
      <c r="AS479" t="s">
        <v>2115</v>
      </c>
      <c r="AT479">
        <v>1.1170431211498899</v>
      </c>
      <c r="AU479">
        <f t="shared" si="23"/>
        <v>3.0000000000000001E-3</v>
      </c>
    </row>
    <row r="480" spans="1:47" x14ac:dyDescent="0.3">
      <c r="A480">
        <v>478</v>
      </c>
      <c r="B480" t="s">
        <v>2116</v>
      </c>
      <c r="C480" t="s">
        <v>2117</v>
      </c>
      <c r="D480">
        <v>100</v>
      </c>
      <c r="E480" t="s">
        <v>2104</v>
      </c>
      <c r="F480" t="str">
        <f>VLOOKUP(E480,country_continent!A:C,2,FALSE)</f>
        <v>Colombia</v>
      </c>
      <c r="G480" t="str">
        <f>VLOOKUP(E480,country_continent!A:C,3,FALSE)</f>
        <v>South America</v>
      </c>
      <c r="H480" t="s">
        <v>2118</v>
      </c>
      <c r="I480" t="s">
        <v>2113</v>
      </c>
      <c r="J480" s="3" t="str">
        <f t="shared" si="21"/>
        <v>1877/05/14</v>
      </c>
      <c r="K480" t="s">
        <v>2119</v>
      </c>
      <c r="L480" s="3" t="str">
        <f t="shared" si="22"/>
        <v>1877/08/15</v>
      </c>
      <c r="M480" t="s">
        <v>49</v>
      </c>
      <c r="N480" t="s">
        <v>49</v>
      </c>
      <c r="O480" t="s">
        <v>49</v>
      </c>
      <c r="P480">
        <v>0</v>
      </c>
      <c r="Q480" t="s">
        <v>50</v>
      </c>
      <c r="R480" t="s">
        <v>51</v>
      </c>
      <c r="S480">
        <v>1832</v>
      </c>
      <c r="T480">
        <v>1907</v>
      </c>
      <c r="U480" t="s">
        <v>2120</v>
      </c>
      <c r="V480" t="s">
        <v>2121</v>
      </c>
      <c r="W480" s="1">
        <v>2827</v>
      </c>
      <c r="X480" s="2">
        <v>2827</v>
      </c>
      <c r="Z480">
        <v>0</v>
      </c>
      <c r="AA480">
        <v>1</v>
      </c>
      <c r="AB480">
        <v>0</v>
      </c>
      <c r="AC480">
        <v>0</v>
      </c>
      <c r="AF480">
        <v>1877</v>
      </c>
      <c r="AG480">
        <v>1877</v>
      </c>
      <c r="AO480" t="b">
        <v>1</v>
      </c>
      <c r="AP480" t="s">
        <v>45</v>
      </c>
      <c r="AQ480">
        <v>1903</v>
      </c>
      <c r="AR480">
        <v>1978</v>
      </c>
      <c r="AS480" t="s">
        <v>2122</v>
      </c>
      <c r="AT480">
        <v>0.25462012320328498</v>
      </c>
      <c r="AU480">
        <f t="shared" si="23"/>
        <v>1E-3</v>
      </c>
    </row>
    <row r="481" spans="1:47" x14ac:dyDescent="0.3">
      <c r="A481">
        <v>479</v>
      </c>
      <c r="B481" t="s">
        <v>2123</v>
      </c>
      <c r="C481" t="s">
        <v>2111</v>
      </c>
      <c r="D481">
        <v>100</v>
      </c>
      <c r="E481" t="s">
        <v>2104</v>
      </c>
      <c r="F481" t="str">
        <f>VLOOKUP(E481,country_continent!A:C,2,FALSE)</f>
        <v>Colombia</v>
      </c>
      <c r="G481" t="str">
        <f>VLOOKUP(E481,country_continent!A:C,3,FALSE)</f>
        <v>South America</v>
      </c>
      <c r="H481" t="s">
        <v>2112</v>
      </c>
      <c r="I481" t="s">
        <v>2119</v>
      </c>
      <c r="J481" s="3" t="str">
        <f t="shared" si="21"/>
        <v>1877/08/15</v>
      </c>
      <c r="K481" t="s">
        <v>2124</v>
      </c>
      <c r="L481" s="3" t="str">
        <f t="shared" si="22"/>
        <v>1878/04/01</v>
      </c>
      <c r="M481" t="s">
        <v>49</v>
      </c>
      <c r="N481" t="s">
        <v>49</v>
      </c>
      <c r="O481" t="s">
        <v>49</v>
      </c>
      <c r="P481">
        <v>1</v>
      </c>
      <c r="Q481" t="s">
        <v>362</v>
      </c>
      <c r="R481" t="s">
        <v>51</v>
      </c>
      <c r="S481">
        <v>1825</v>
      </c>
      <c r="T481">
        <v>1900</v>
      </c>
      <c r="Y481" t="s">
        <v>2114</v>
      </c>
      <c r="Z481">
        <v>0</v>
      </c>
      <c r="AA481">
        <v>1</v>
      </c>
      <c r="AB481">
        <v>0</v>
      </c>
      <c r="AC481">
        <v>1</v>
      </c>
      <c r="AF481">
        <v>1877</v>
      </c>
      <c r="AG481">
        <v>1878</v>
      </c>
      <c r="AO481" t="b">
        <v>1</v>
      </c>
      <c r="AP481" t="s">
        <v>45</v>
      </c>
      <c r="AQ481">
        <v>1903</v>
      </c>
      <c r="AR481">
        <v>1978</v>
      </c>
      <c r="AS481" t="s">
        <v>2125</v>
      </c>
      <c r="AT481">
        <v>0.62696783025325098</v>
      </c>
      <c r="AU481">
        <f t="shared" si="23"/>
        <v>2E-3</v>
      </c>
    </row>
    <row r="482" spans="1:47" x14ac:dyDescent="0.3">
      <c r="A482">
        <v>480</v>
      </c>
      <c r="B482" t="s">
        <v>2126</v>
      </c>
      <c r="C482" t="s">
        <v>2127</v>
      </c>
      <c r="D482">
        <v>100</v>
      </c>
      <c r="E482" t="s">
        <v>2104</v>
      </c>
      <c r="F482" t="str">
        <f>VLOOKUP(E482,country_continent!A:C,2,FALSE)</f>
        <v>Colombia</v>
      </c>
      <c r="G482" t="str">
        <f>VLOOKUP(E482,country_continent!A:C,3,FALSE)</f>
        <v>South America</v>
      </c>
      <c r="H482" t="s">
        <v>2128</v>
      </c>
      <c r="I482" t="s">
        <v>2124</v>
      </c>
      <c r="J482" s="3" t="str">
        <f t="shared" si="21"/>
        <v>1878/04/01</v>
      </c>
      <c r="K482" t="s">
        <v>2129</v>
      </c>
      <c r="L482" s="3" t="str">
        <f t="shared" si="22"/>
        <v>1880/04/08</v>
      </c>
      <c r="M482" t="s">
        <v>49</v>
      </c>
      <c r="N482" t="s">
        <v>49</v>
      </c>
      <c r="O482" t="s">
        <v>49</v>
      </c>
      <c r="P482">
        <v>0</v>
      </c>
      <c r="Q482" t="s">
        <v>50</v>
      </c>
      <c r="R482" t="s">
        <v>51</v>
      </c>
      <c r="S482">
        <v>1828</v>
      </c>
      <c r="T482">
        <v>1883</v>
      </c>
      <c r="Z482">
        <v>0</v>
      </c>
      <c r="AA482">
        <v>1</v>
      </c>
      <c r="AB482">
        <v>0</v>
      </c>
      <c r="AC482">
        <v>0</v>
      </c>
      <c r="AF482">
        <v>1878</v>
      </c>
      <c r="AG482">
        <v>1880</v>
      </c>
      <c r="AO482" t="b">
        <v>1</v>
      </c>
      <c r="AP482" t="s">
        <v>45</v>
      </c>
      <c r="AQ482">
        <v>1903</v>
      </c>
      <c r="AR482">
        <v>1978</v>
      </c>
      <c r="AS482" t="s">
        <v>2130</v>
      </c>
      <c r="AT482">
        <v>2.0205338809034901</v>
      </c>
      <c r="AU482">
        <f t="shared" si="23"/>
        <v>6.0000000000000001E-3</v>
      </c>
    </row>
    <row r="483" spans="1:47" x14ac:dyDescent="0.3">
      <c r="A483">
        <v>481</v>
      </c>
      <c r="B483" t="s">
        <v>2131</v>
      </c>
      <c r="C483" t="s">
        <v>2132</v>
      </c>
      <c r="D483">
        <v>100</v>
      </c>
      <c r="E483" t="s">
        <v>2104</v>
      </c>
      <c r="F483" t="str">
        <f>VLOOKUP(E483,country_continent!A:C,2,FALSE)</f>
        <v>Colombia</v>
      </c>
      <c r="G483" t="str">
        <f>VLOOKUP(E483,country_continent!A:C,3,FALSE)</f>
        <v>South America</v>
      </c>
      <c r="H483" t="s">
        <v>2133</v>
      </c>
      <c r="I483" t="s">
        <v>2129</v>
      </c>
      <c r="J483" s="3" t="str">
        <f t="shared" si="21"/>
        <v>1880/04/08</v>
      </c>
      <c r="K483" t="s">
        <v>2134</v>
      </c>
      <c r="L483" s="3" t="str">
        <f t="shared" si="22"/>
        <v>1882/04/01</v>
      </c>
      <c r="M483" t="s">
        <v>49</v>
      </c>
      <c r="N483" t="s">
        <v>49</v>
      </c>
      <c r="O483" t="s">
        <v>49</v>
      </c>
      <c r="P483">
        <v>0</v>
      </c>
      <c r="Q483" t="s">
        <v>50</v>
      </c>
      <c r="R483" t="s">
        <v>51</v>
      </c>
      <c r="S483">
        <v>1825</v>
      </c>
      <c r="T483">
        <v>1894</v>
      </c>
      <c r="U483" t="s">
        <v>2135</v>
      </c>
      <c r="V483" t="s">
        <v>2136</v>
      </c>
      <c r="W483" t="s">
        <v>2137</v>
      </c>
      <c r="X483" t="s">
        <v>2138</v>
      </c>
      <c r="Y483" t="s">
        <v>2139</v>
      </c>
      <c r="Z483">
        <v>0</v>
      </c>
      <c r="AA483">
        <v>1</v>
      </c>
      <c r="AB483">
        <v>0</v>
      </c>
      <c r="AC483">
        <v>0</v>
      </c>
      <c r="AF483">
        <v>1880</v>
      </c>
      <c r="AG483">
        <v>1882</v>
      </c>
      <c r="AO483" t="b">
        <v>1</v>
      </c>
      <c r="AP483" t="s">
        <v>45</v>
      </c>
      <c r="AQ483">
        <v>1903</v>
      </c>
      <c r="AR483">
        <v>1978</v>
      </c>
      <c r="AS483" t="s">
        <v>2140</v>
      </c>
      <c r="AT483">
        <v>1.9794661190964999</v>
      </c>
      <c r="AU483">
        <f t="shared" si="23"/>
        <v>5.0000000000000001E-3</v>
      </c>
    </row>
    <row r="484" spans="1:47" x14ac:dyDescent="0.3">
      <c r="A484">
        <v>482</v>
      </c>
      <c r="B484" t="s">
        <v>2141</v>
      </c>
      <c r="C484" t="s">
        <v>2142</v>
      </c>
      <c r="D484">
        <v>100</v>
      </c>
      <c r="E484" t="s">
        <v>2104</v>
      </c>
      <c r="F484" t="str">
        <f>VLOOKUP(E484,country_continent!A:C,2,FALSE)</f>
        <v>Colombia</v>
      </c>
      <c r="G484" t="str">
        <f>VLOOKUP(E484,country_continent!A:C,3,FALSE)</f>
        <v>South America</v>
      </c>
      <c r="H484" t="s">
        <v>2143</v>
      </c>
      <c r="I484" t="s">
        <v>2134</v>
      </c>
      <c r="J484" s="3" t="str">
        <f t="shared" si="21"/>
        <v>1882/04/01</v>
      </c>
      <c r="K484" t="s">
        <v>2144</v>
      </c>
      <c r="L484" s="3" t="str">
        <f t="shared" si="22"/>
        <v>1882/12/21</v>
      </c>
      <c r="M484" t="s">
        <v>49</v>
      </c>
      <c r="N484" t="s">
        <v>110</v>
      </c>
      <c r="O484" t="s">
        <v>49</v>
      </c>
      <c r="P484">
        <v>0</v>
      </c>
      <c r="Q484" t="s">
        <v>111</v>
      </c>
      <c r="R484" t="s">
        <v>51</v>
      </c>
      <c r="S484">
        <v>1811</v>
      </c>
      <c r="T484">
        <v>1882</v>
      </c>
      <c r="Z484">
        <v>0</v>
      </c>
      <c r="AA484">
        <v>2</v>
      </c>
      <c r="AB484">
        <v>0</v>
      </c>
      <c r="AC484">
        <v>-777</v>
      </c>
      <c r="AF484">
        <v>1882</v>
      </c>
      <c r="AG484">
        <v>1882</v>
      </c>
      <c r="AO484" t="b">
        <v>1</v>
      </c>
      <c r="AP484" t="s">
        <v>45</v>
      </c>
      <c r="AQ484">
        <v>1903</v>
      </c>
      <c r="AR484">
        <v>1978</v>
      </c>
      <c r="AS484" t="s">
        <v>2145</v>
      </c>
      <c r="AT484">
        <v>0.72279260780287402</v>
      </c>
      <c r="AU484">
        <f t="shared" si="23"/>
        <v>2E-3</v>
      </c>
    </row>
    <row r="485" spans="1:47" x14ac:dyDescent="0.3">
      <c r="A485">
        <v>483</v>
      </c>
      <c r="B485" t="s">
        <v>2146</v>
      </c>
      <c r="C485" t="s">
        <v>2147</v>
      </c>
      <c r="D485">
        <v>100</v>
      </c>
      <c r="E485" t="s">
        <v>2104</v>
      </c>
      <c r="F485" t="str">
        <f>VLOOKUP(E485,country_continent!A:C,2,FALSE)</f>
        <v>Colombia</v>
      </c>
      <c r="G485" t="str">
        <f>VLOOKUP(E485,country_continent!A:C,3,FALSE)</f>
        <v>South America</v>
      </c>
      <c r="H485" t="s">
        <v>2148</v>
      </c>
      <c r="I485" t="s">
        <v>2149</v>
      </c>
      <c r="J485" s="3" t="str">
        <f t="shared" si="21"/>
        <v>1882/12/22</v>
      </c>
      <c r="K485" t="s">
        <v>2150</v>
      </c>
      <c r="L485" s="3" t="str">
        <f t="shared" si="22"/>
        <v>1884/04/01</v>
      </c>
      <c r="M485" t="s">
        <v>49</v>
      </c>
      <c r="N485" t="s">
        <v>110</v>
      </c>
      <c r="O485" t="s">
        <v>49</v>
      </c>
      <c r="P485">
        <v>0</v>
      </c>
      <c r="Q485" t="s">
        <v>111</v>
      </c>
      <c r="R485" t="s">
        <v>51</v>
      </c>
      <c r="S485">
        <v>1828</v>
      </c>
      <c r="T485">
        <v>1884</v>
      </c>
      <c r="Z485">
        <v>0</v>
      </c>
      <c r="AA485">
        <v>2</v>
      </c>
      <c r="AB485">
        <v>0</v>
      </c>
      <c r="AC485">
        <v>-777</v>
      </c>
      <c r="AF485">
        <v>1882</v>
      </c>
      <c r="AG485">
        <v>1884</v>
      </c>
      <c r="AO485" t="b">
        <v>1</v>
      </c>
      <c r="AP485" t="s">
        <v>45</v>
      </c>
      <c r="AQ485">
        <v>1903</v>
      </c>
      <c r="AR485">
        <v>1978</v>
      </c>
      <c r="AS485" t="s">
        <v>2151</v>
      </c>
      <c r="AT485">
        <v>1.2758384668035501</v>
      </c>
      <c r="AU485">
        <f t="shared" si="23"/>
        <v>3.0000000000000001E-3</v>
      </c>
    </row>
    <row r="486" spans="1:47" x14ac:dyDescent="0.3">
      <c r="A486">
        <v>484</v>
      </c>
      <c r="B486" t="s">
        <v>2152</v>
      </c>
      <c r="C486" t="s">
        <v>2132</v>
      </c>
      <c r="D486">
        <v>100</v>
      </c>
      <c r="E486" t="s">
        <v>2104</v>
      </c>
      <c r="F486" t="str">
        <f>VLOOKUP(E486,country_continent!A:C,2,FALSE)</f>
        <v>Colombia</v>
      </c>
      <c r="G486" t="str">
        <f>VLOOKUP(E486,country_continent!A:C,3,FALSE)</f>
        <v>South America</v>
      </c>
      <c r="H486" t="s">
        <v>2133</v>
      </c>
      <c r="I486" t="s">
        <v>2150</v>
      </c>
      <c r="J486" s="3" t="str">
        <f t="shared" si="21"/>
        <v>1884/04/01</v>
      </c>
      <c r="K486" t="s">
        <v>2153</v>
      </c>
      <c r="L486" s="3" t="str">
        <f t="shared" si="22"/>
        <v>1894/09/12</v>
      </c>
      <c r="M486" t="s">
        <v>49</v>
      </c>
      <c r="N486" t="s">
        <v>49</v>
      </c>
      <c r="O486" t="s">
        <v>49</v>
      </c>
      <c r="P486">
        <v>1</v>
      </c>
      <c r="Q486" t="s">
        <v>50</v>
      </c>
      <c r="R486" t="s">
        <v>51</v>
      </c>
      <c r="S486">
        <v>1825</v>
      </c>
      <c r="T486">
        <v>1894</v>
      </c>
      <c r="W486" t="s">
        <v>2137</v>
      </c>
      <c r="X486" t="s">
        <v>2138</v>
      </c>
      <c r="Y486" t="s">
        <v>2139</v>
      </c>
      <c r="Z486">
        <v>0</v>
      </c>
      <c r="AA486">
        <v>1</v>
      </c>
      <c r="AB486">
        <v>0</v>
      </c>
      <c r="AC486">
        <v>0</v>
      </c>
      <c r="AF486">
        <v>1884</v>
      </c>
      <c r="AG486">
        <v>1894</v>
      </c>
      <c r="AO486" t="b">
        <v>1</v>
      </c>
      <c r="AP486" t="s">
        <v>45</v>
      </c>
      <c r="AQ486">
        <v>1903</v>
      </c>
      <c r="AR486">
        <v>1978</v>
      </c>
      <c r="AS486" t="s">
        <v>2154</v>
      </c>
      <c r="AT486">
        <v>10.447638603695999</v>
      </c>
      <c r="AU486">
        <f t="shared" si="23"/>
        <v>2.9000000000000001E-2</v>
      </c>
    </row>
    <row r="487" spans="1:47" x14ac:dyDescent="0.3">
      <c r="A487">
        <v>485</v>
      </c>
      <c r="B487" t="s">
        <v>2155</v>
      </c>
      <c r="C487" t="s">
        <v>2156</v>
      </c>
      <c r="D487">
        <v>100</v>
      </c>
      <c r="E487" t="s">
        <v>2104</v>
      </c>
      <c r="F487" t="str">
        <f>VLOOKUP(E487,country_continent!A:C,2,FALSE)</f>
        <v>Colombia</v>
      </c>
      <c r="G487" t="str">
        <f>VLOOKUP(E487,country_continent!A:C,3,FALSE)</f>
        <v>South America</v>
      </c>
      <c r="H487" t="s">
        <v>2157</v>
      </c>
      <c r="I487" t="s">
        <v>2137</v>
      </c>
      <c r="J487" s="3" t="str">
        <f t="shared" si="21"/>
        <v>1894/09/18</v>
      </c>
      <c r="K487" t="s">
        <v>2158</v>
      </c>
      <c r="L487" s="3" t="str">
        <f t="shared" si="22"/>
        <v>1898/08/07</v>
      </c>
      <c r="M487" t="s">
        <v>49</v>
      </c>
      <c r="N487" t="s">
        <v>49</v>
      </c>
      <c r="O487" t="s">
        <v>49</v>
      </c>
      <c r="P487">
        <v>0</v>
      </c>
      <c r="Q487" t="s">
        <v>50</v>
      </c>
      <c r="R487" t="s">
        <v>51</v>
      </c>
      <c r="S487">
        <v>1843</v>
      </c>
      <c r="T487">
        <v>1909</v>
      </c>
      <c r="Z487">
        <v>0</v>
      </c>
      <c r="AA487">
        <v>1</v>
      </c>
      <c r="AB487">
        <v>0</v>
      </c>
      <c r="AC487">
        <v>0</v>
      </c>
      <c r="AF487">
        <v>1894</v>
      </c>
      <c r="AG487">
        <v>1898</v>
      </c>
      <c r="AO487" t="b">
        <v>1</v>
      </c>
      <c r="AP487" t="s">
        <v>45</v>
      </c>
      <c r="AQ487">
        <v>1903</v>
      </c>
      <c r="AR487">
        <v>1978</v>
      </c>
      <c r="AS487" t="s">
        <v>2159</v>
      </c>
      <c r="AT487">
        <v>3.88501026694045</v>
      </c>
      <c r="AU487">
        <f t="shared" si="23"/>
        <v>1.0999999999999999E-2</v>
      </c>
    </row>
    <row r="488" spans="1:47" x14ac:dyDescent="0.3">
      <c r="A488">
        <v>486</v>
      </c>
      <c r="B488" t="s">
        <v>2160</v>
      </c>
      <c r="C488" t="s">
        <v>2161</v>
      </c>
      <c r="D488">
        <v>100</v>
      </c>
      <c r="E488" t="s">
        <v>2104</v>
      </c>
      <c r="F488" t="str">
        <f>VLOOKUP(E488,country_continent!A:C,2,FALSE)</f>
        <v>Colombia</v>
      </c>
      <c r="G488" t="str">
        <f>VLOOKUP(E488,country_continent!A:C,3,FALSE)</f>
        <v>South America</v>
      </c>
      <c r="H488" t="s">
        <v>2162</v>
      </c>
      <c r="I488" t="s">
        <v>2158</v>
      </c>
      <c r="J488" s="3" t="str">
        <f t="shared" si="21"/>
        <v>1898/08/07</v>
      </c>
      <c r="K488" s="1">
        <v>213</v>
      </c>
      <c r="L488" s="3">
        <f t="shared" si="22"/>
        <v>213</v>
      </c>
      <c r="M488" t="s">
        <v>49</v>
      </c>
      <c r="N488" t="s">
        <v>67</v>
      </c>
      <c r="O488" t="s">
        <v>347</v>
      </c>
      <c r="P488">
        <v>0</v>
      </c>
      <c r="Q488" t="s">
        <v>463</v>
      </c>
      <c r="R488" t="s">
        <v>51</v>
      </c>
      <c r="S488">
        <v>1814</v>
      </c>
      <c r="T488">
        <v>1902</v>
      </c>
      <c r="Y488" t="s">
        <v>2163</v>
      </c>
      <c r="Z488">
        <v>0</v>
      </c>
      <c r="AA488">
        <v>3</v>
      </c>
      <c r="AB488">
        <v>-999</v>
      </c>
      <c r="AC488">
        <v>2</v>
      </c>
      <c r="AF488">
        <v>1898</v>
      </c>
      <c r="AG488">
        <v>1900</v>
      </c>
      <c r="AO488" t="b">
        <v>1</v>
      </c>
      <c r="AP488" t="s">
        <v>45</v>
      </c>
      <c r="AQ488">
        <v>1903</v>
      </c>
      <c r="AR488">
        <v>1978</v>
      </c>
      <c r="AS488" t="s">
        <v>2140</v>
      </c>
      <c r="AT488">
        <v>1.9794661190964999</v>
      </c>
      <c r="AU488">
        <f t="shared" si="23"/>
        <v>5.0000000000000001E-3</v>
      </c>
    </row>
    <row r="489" spans="1:47" x14ac:dyDescent="0.3">
      <c r="A489">
        <v>487</v>
      </c>
      <c r="B489" t="s">
        <v>2164</v>
      </c>
      <c r="C489" t="s">
        <v>2165</v>
      </c>
      <c r="D489">
        <v>100</v>
      </c>
      <c r="E489" t="s">
        <v>2104</v>
      </c>
      <c r="F489" t="str">
        <f>VLOOKUP(E489,country_continent!A:C,2,FALSE)</f>
        <v>Colombia</v>
      </c>
      <c r="G489" t="str">
        <f>VLOOKUP(E489,country_continent!A:C,3,FALSE)</f>
        <v>South America</v>
      </c>
      <c r="H489" t="s">
        <v>2166</v>
      </c>
      <c r="I489" s="1">
        <v>213</v>
      </c>
      <c r="J489" s="3">
        <f t="shared" si="21"/>
        <v>213</v>
      </c>
      <c r="K489" s="1">
        <v>1681</v>
      </c>
      <c r="L489" s="3">
        <f t="shared" si="22"/>
        <v>1681</v>
      </c>
      <c r="M489" t="s">
        <v>67</v>
      </c>
      <c r="N489" t="s">
        <v>49</v>
      </c>
      <c r="O489" t="s">
        <v>49</v>
      </c>
      <c r="P489">
        <v>0</v>
      </c>
      <c r="Q489" t="s">
        <v>50</v>
      </c>
      <c r="R489" t="s">
        <v>51</v>
      </c>
      <c r="S489">
        <v>1827</v>
      </c>
      <c r="T489">
        <v>1908</v>
      </c>
      <c r="U489" t="s">
        <v>2167</v>
      </c>
      <c r="V489" t="s">
        <v>2168</v>
      </c>
      <c r="Y489" t="s">
        <v>2169</v>
      </c>
      <c r="Z489">
        <v>1</v>
      </c>
      <c r="AA489">
        <v>1</v>
      </c>
      <c r="AB489">
        <v>0</v>
      </c>
      <c r="AC489">
        <v>0</v>
      </c>
      <c r="AF489">
        <v>1900</v>
      </c>
      <c r="AG489">
        <v>1904</v>
      </c>
      <c r="AO489" t="b">
        <v>1</v>
      </c>
      <c r="AP489" t="s">
        <v>45</v>
      </c>
      <c r="AQ489">
        <v>1903</v>
      </c>
      <c r="AR489">
        <v>1978</v>
      </c>
      <c r="AS489" t="s">
        <v>2170</v>
      </c>
      <c r="AT489">
        <v>4.01916495550992</v>
      </c>
      <c r="AU489">
        <f t="shared" si="23"/>
        <v>1.0999999999999999E-2</v>
      </c>
    </row>
    <row r="490" spans="1:47" x14ac:dyDescent="0.3">
      <c r="A490">
        <v>488</v>
      </c>
      <c r="B490" t="s">
        <v>2171</v>
      </c>
      <c r="C490" t="s">
        <v>2172</v>
      </c>
      <c r="D490">
        <v>100</v>
      </c>
      <c r="E490" t="s">
        <v>2104</v>
      </c>
      <c r="F490" t="str">
        <f>VLOOKUP(E490,country_continent!A:C,2,FALSE)</f>
        <v>Colombia</v>
      </c>
      <c r="G490" t="str">
        <f>VLOOKUP(E490,country_continent!A:C,3,FALSE)</f>
        <v>South America</v>
      </c>
      <c r="H490" t="s">
        <v>2173</v>
      </c>
      <c r="I490" s="1">
        <v>1681</v>
      </c>
      <c r="J490" s="3">
        <f t="shared" si="21"/>
        <v>1681</v>
      </c>
      <c r="K490" s="1">
        <v>3477</v>
      </c>
      <c r="L490" s="3">
        <f t="shared" si="22"/>
        <v>3477</v>
      </c>
      <c r="M490" t="s">
        <v>49</v>
      </c>
      <c r="N490" t="s">
        <v>49</v>
      </c>
      <c r="O490" t="s">
        <v>49</v>
      </c>
      <c r="P490">
        <v>0</v>
      </c>
      <c r="Q490" t="s">
        <v>362</v>
      </c>
      <c r="R490" t="s">
        <v>51</v>
      </c>
      <c r="S490">
        <v>1849</v>
      </c>
      <c r="T490">
        <v>1921</v>
      </c>
      <c r="U490" t="s">
        <v>2174</v>
      </c>
      <c r="V490" t="s">
        <v>2175</v>
      </c>
      <c r="W490" s="1">
        <v>7721</v>
      </c>
      <c r="X490" s="2">
        <v>7721</v>
      </c>
      <c r="Z490">
        <v>0</v>
      </c>
      <c r="AA490">
        <v>1</v>
      </c>
      <c r="AB490">
        <v>0</v>
      </c>
      <c r="AC490">
        <v>1</v>
      </c>
      <c r="AF490">
        <v>1904</v>
      </c>
      <c r="AG490">
        <v>1909</v>
      </c>
      <c r="AO490" t="b">
        <v>1</v>
      </c>
      <c r="AP490" t="s">
        <v>45</v>
      </c>
      <c r="AQ490">
        <v>1903</v>
      </c>
      <c r="AR490">
        <v>1978</v>
      </c>
      <c r="AS490" t="s">
        <v>2176</v>
      </c>
      <c r="AT490">
        <v>4.9171800136892498</v>
      </c>
      <c r="AU490">
        <f t="shared" si="23"/>
        <v>1.2999999999999999E-2</v>
      </c>
    </row>
    <row r="491" spans="1:47" x14ac:dyDescent="0.3">
      <c r="A491">
        <v>489</v>
      </c>
      <c r="B491" t="s">
        <v>2177</v>
      </c>
      <c r="C491" t="s">
        <v>2178</v>
      </c>
      <c r="D491">
        <v>100</v>
      </c>
      <c r="E491" t="s">
        <v>2104</v>
      </c>
      <c r="F491" t="str">
        <f>VLOOKUP(E491,country_continent!A:C,2,FALSE)</f>
        <v>Colombia</v>
      </c>
      <c r="G491" t="str">
        <f>VLOOKUP(E491,country_continent!A:C,3,FALSE)</f>
        <v>South America</v>
      </c>
      <c r="H491" t="s">
        <v>2179</v>
      </c>
      <c r="I491" s="1">
        <v>3477</v>
      </c>
      <c r="J491" s="3">
        <f t="shared" si="21"/>
        <v>3477</v>
      </c>
      <c r="K491" s="1">
        <v>3503</v>
      </c>
      <c r="L491" s="3">
        <f t="shared" si="22"/>
        <v>3503</v>
      </c>
      <c r="M491" t="s">
        <v>49</v>
      </c>
      <c r="N491" t="s">
        <v>49</v>
      </c>
      <c r="O491" t="s">
        <v>49</v>
      </c>
      <c r="P491">
        <v>0</v>
      </c>
      <c r="Q491" t="s">
        <v>50</v>
      </c>
      <c r="R491" t="s">
        <v>51</v>
      </c>
      <c r="S491">
        <v>1848</v>
      </c>
      <c r="T491">
        <v>1928</v>
      </c>
      <c r="U491" t="s">
        <v>2180</v>
      </c>
      <c r="V491" t="s">
        <v>2181</v>
      </c>
      <c r="Y491" t="s">
        <v>2182</v>
      </c>
      <c r="Z491">
        <v>0</v>
      </c>
      <c r="AA491">
        <v>1</v>
      </c>
      <c r="AB491">
        <v>0</v>
      </c>
      <c r="AC491">
        <v>0</v>
      </c>
      <c r="AF491">
        <v>1909</v>
      </c>
      <c r="AG491">
        <v>1909</v>
      </c>
      <c r="AO491" t="b">
        <v>1</v>
      </c>
      <c r="AP491" t="s">
        <v>45</v>
      </c>
      <c r="AQ491">
        <v>1903</v>
      </c>
      <c r="AR491">
        <v>1978</v>
      </c>
      <c r="AS491" t="s">
        <v>2183</v>
      </c>
      <c r="AT491">
        <v>7.1184120465434597E-2</v>
      </c>
      <c r="AU491">
        <f t="shared" si="23"/>
        <v>0</v>
      </c>
    </row>
    <row r="492" spans="1:47" x14ac:dyDescent="0.3">
      <c r="A492">
        <v>490</v>
      </c>
      <c r="B492" t="s">
        <v>2184</v>
      </c>
      <c r="C492" t="s">
        <v>2185</v>
      </c>
      <c r="D492">
        <v>100</v>
      </c>
      <c r="E492" t="s">
        <v>2104</v>
      </c>
      <c r="F492" t="str">
        <f>VLOOKUP(E492,country_continent!A:C,2,FALSE)</f>
        <v>Colombia</v>
      </c>
      <c r="G492" t="str">
        <f>VLOOKUP(E492,country_continent!A:C,3,FALSE)</f>
        <v>South America</v>
      </c>
      <c r="H492" t="s">
        <v>2186</v>
      </c>
      <c r="I492" s="1">
        <v>3503</v>
      </c>
      <c r="J492" s="3">
        <f t="shared" si="21"/>
        <v>3503</v>
      </c>
      <c r="K492" s="1">
        <v>3849</v>
      </c>
      <c r="L492" s="3">
        <f t="shared" si="22"/>
        <v>3849</v>
      </c>
      <c r="M492" t="s">
        <v>49</v>
      </c>
      <c r="N492" t="s">
        <v>49</v>
      </c>
      <c r="O492" t="s">
        <v>49</v>
      </c>
      <c r="P492">
        <v>0</v>
      </c>
      <c r="Q492" t="s">
        <v>50</v>
      </c>
      <c r="R492" t="s">
        <v>51</v>
      </c>
      <c r="S492">
        <v>1854</v>
      </c>
      <c r="T492">
        <v>1928</v>
      </c>
      <c r="Z492">
        <v>0</v>
      </c>
      <c r="AA492">
        <v>1</v>
      </c>
      <c r="AB492">
        <v>0</v>
      </c>
      <c r="AC492">
        <v>0</v>
      </c>
      <c r="AF492">
        <v>1909</v>
      </c>
      <c r="AG492">
        <v>1910</v>
      </c>
      <c r="AO492" t="b">
        <v>1</v>
      </c>
      <c r="AP492" t="s">
        <v>45</v>
      </c>
      <c r="AQ492">
        <v>1903</v>
      </c>
      <c r="AR492">
        <v>1978</v>
      </c>
      <c r="AS492" t="s">
        <v>2187</v>
      </c>
      <c r="AT492">
        <v>0.94729637234770703</v>
      </c>
      <c r="AU492">
        <f t="shared" si="23"/>
        <v>3.0000000000000001E-3</v>
      </c>
    </row>
    <row r="493" spans="1:47" x14ac:dyDescent="0.3">
      <c r="A493">
        <v>491</v>
      </c>
      <c r="B493" t="s">
        <v>2188</v>
      </c>
      <c r="C493" t="s">
        <v>2189</v>
      </c>
      <c r="D493">
        <v>100</v>
      </c>
      <c r="E493" t="s">
        <v>2104</v>
      </c>
      <c r="F493" t="str">
        <f>VLOOKUP(E493,country_continent!A:C,2,FALSE)</f>
        <v>Colombia</v>
      </c>
      <c r="G493" t="str">
        <f>VLOOKUP(E493,country_continent!A:C,3,FALSE)</f>
        <v>South America</v>
      </c>
      <c r="H493" t="s">
        <v>2190</v>
      </c>
      <c r="I493" s="1">
        <v>3849</v>
      </c>
      <c r="J493" s="3">
        <f t="shared" si="21"/>
        <v>3849</v>
      </c>
      <c r="K493" s="1">
        <v>5333</v>
      </c>
      <c r="L493" s="3">
        <f t="shared" si="22"/>
        <v>5333</v>
      </c>
      <c r="M493" t="s">
        <v>49</v>
      </c>
      <c r="N493" t="s">
        <v>49</v>
      </c>
      <c r="O493" t="s">
        <v>49</v>
      </c>
      <c r="P493">
        <v>0</v>
      </c>
      <c r="Q493" t="s">
        <v>50</v>
      </c>
      <c r="R493" t="s">
        <v>51</v>
      </c>
      <c r="S493">
        <v>1867</v>
      </c>
      <c r="T493">
        <v>1937</v>
      </c>
      <c r="U493" t="s">
        <v>2191</v>
      </c>
      <c r="V493" t="s">
        <v>2192</v>
      </c>
      <c r="Y493" t="s">
        <v>2193</v>
      </c>
      <c r="Z493">
        <v>0</v>
      </c>
      <c r="AA493">
        <v>1</v>
      </c>
      <c r="AB493">
        <v>0</v>
      </c>
      <c r="AC493">
        <v>0</v>
      </c>
      <c r="AF493">
        <v>1910</v>
      </c>
      <c r="AG493">
        <v>1914</v>
      </c>
      <c r="AO493" t="b">
        <v>1</v>
      </c>
      <c r="AP493" t="s">
        <v>45</v>
      </c>
      <c r="AQ493">
        <v>1903</v>
      </c>
      <c r="AR493">
        <v>1978</v>
      </c>
      <c r="AS493" t="s">
        <v>2194</v>
      </c>
      <c r="AT493">
        <v>4.0629705681040296</v>
      </c>
      <c r="AU493">
        <f t="shared" si="23"/>
        <v>1.0999999999999999E-2</v>
      </c>
    </row>
    <row r="494" spans="1:47" x14ac:dyDescent="0.3">
      <c r="A494">
        <v>492</v>
      </c>
      <c r="B494" t="s">
        <v>2195</v>
      </c>
      <c r="C494" t="s">
        <v>2196</v>
      </c>
      <c r="D494">
        <v>100</v>
      </c>
      <c r="E494" t="s">
        <v>2104</v>
      </c>
      <c r="F494" t="str">
        <f>VLOOKUP(E494,country_continent!A:C,2,FALSE)</f>
        <v>Colombia</v>
      </c>
      <c r="G494" t="str">
        <f>VLOOKUP(E494,country_continent!A:C,3,FALSE)</f>
        <v>South America</v>
      </c>
      <c r="H494" t="s">
        <v>2197</v>
      </c>
      <c r="I494" s="1">
        <v>5333</v>
      </c>
      <c r="J494" s="3">
        <f t="shared" si="21"/>
        <v>5333</v>
      </c>
      <c r="K494" s="1">
        <v>6794</v>
      </c>
      <c r="L494" s="3">
        <f t="shared" si="22"/>
        <v>6794</v>
      </c>
      <c r="M494" t="s">
        <v>49</v>
      </c>
      <c r="N494" t="s">
        <v>49</v>
      </c>
      <c r="O494" t="s">
        <v>49</v>
      </c>
      <c r="P494">
        <v>0</v>
      </c>
      <c r="Q494" t="s">
        <v>50</v>
      </c>
      <c r="R494" t="s">
        <v>51</v>
      </c>
      <c r="S494">
        <v>1867</v>
      </c>
      <c r="T494">
        <v>1929</v>
      </c>
      <c r="U494" t="s">
        <v>2198</v>
      </c>
      <c r="V494" t="s">
        <v>2199</v>
      </c>
      <c r="Z494">
        <v>0</v>
      </c>
      <c r="AA494">
        <v>1</v>
      </c>
      <c r="AB494">
        <v>0</v>
      </c>
      <c r="AC494">
        <v>0</v>
      </c>
      <c r="AF494">
        <v>1914</v>
      </c>
      <c r="AG494">
        <v>1918</v>
      </c>
      <c r="AO494" t="b">
        <v>1</v>
      </c>
      <c r="AP494" t="s">
        <v>45</v>
      </c>
      <c r="AQ494">
        <v>1903</v>
      </c>
      <c r="AR494">
        <v>1978</v>
      </c>
      <c r="AS494" t="s">
        <v>1597</v>
      </c>
      <c r="AT494">
        <v>4</v>
      </c>
      <c r="AU494">
        <f t="shared" si="23"/>
        <v>1.0999999999999999E-2</v>
      </c>
    </row>
    <row r="495" spans="1:47" x14ac:dyDescent="0.3">
      <c r="A495">
        <v>493</v>
      </c>
      <c r="B495" t="s">
        <v>2200</v>
      </c>
      <c r="C495" t="s">
        <v>2201</v>
      </c>
      <c r="D495">
        <v>100</v>
      </c>
      <c r="E495" t="s">
        <v>2104</v>
      </c>
      <c r="F495" t="str">
        <f>VLOOKUP(E495,country_continent!A:C,2,FALSE)</f>
        <v>Colombia</v>
      </c>
      <c r="G495" t="str">
        <f>VLOOKUP(E495,country_continent!A:C,3,FALSE)</f>
        <v>South America</v>
      </c>
      <c r="H495" t="s">
        <v>2202</v>
      </c>
      <c r="I495" s="1">
        <v>6794</v>
      </c>
      <c r="J495" s="3">
        <f t="shared" si="21"/>
        <v>6794</v>
      </c>
      <c r="K495" s="1">
        <v>7986</v>
      </c>
      <c r="L495" s="3">
        <f t="shared" si="22"/>
        <v>7986</v>
      </c>
      <c r="M495" t="s">
        <v>49</v>
      </c>
      <c r="N495" t="s">
        <v>49</v>
      </c>
      <c r="O495" t="s">
        <v>49</v>
      </c>
      <c r="P495">
        <v>0</v>
      </c>
      <c r="Q495" t="s">
        <v>50</v>
      </c>
      <c r="R495" t="s">
        <v>51</v>
      </c>
      <c r="S495">
        <v>1855</v>
      </c>
      <c r="T495">
        <v>1927</v>
      </c>
      <c r="U495" t="s">
        <v>2203</v>
      </c>
      <c r="V495" t="s">
        <v>2204</v>
      </c>
      <c r="Y495" t="s">
        <v>2205</v>
      </c>
      <c r="Z495">
        <v>0</v>
      </c>
      <c r="AA495">
        <v>1</v>
      </c>
      <c r="AB495">
        <v>0</v>
      </c>
      <c r="AC495">
        <v>0</v>
      </c>
      <c r="AF495">
        <v>1918</v>
      </c>
      <c r="AG495">
        <v>1921</v>
      </c>
      <c r="AO495" t="b">
        <v>1</v>
      </c>
      <c r="AP495" t="s">
        <v>45</v>
      </c>
      <c r="AQ495">
        <v>1903</v>
      </c>
      <c r="AR495">
        <v>1978</v>
      </c>
      <c r="AS495" t="s">
        <v>2206</v>
      </c>
      <c r="AT495">
        <v>3.26351813826146</v>
      </c>
      <c r="AU495">
        <f t="shared" si="23"/>
        <v>8.9999999999999993E-3</v>
      </c>
    </row>
    <row r="496" spans="1:47" x14ac:dyDescent="0.3">
      <c r="A496">
        <v>494</v>
      </c>
      <c r="B496" t="s">
        <v>2207</v>
      </c>
      <c r="C496" t="s">
        <v>2178</v>
      </c>
      <c r="D496">
        <v>100</v>
      </c>
      <c r="E496" t="s">
        <v>2104</v>
      </c>
      <c r="F496" t="str">
        <f>VLOOKUP(E496,country_continent!A:C,2,FALSE)</f>
        <v>Colombia</v>
      </c>
      <c r="G496" t="str">
        <f>VLOOKUP(E496,country_continent!A:C,3,FALSE)</f>
        <v>South America</v>
      </c>
      <c r="H496" t="s">
        <v>2179</v>
      </c>
      <c r="I496" s="1">
        <v>7986</v>
      </c>
      <c r="J496" s="3">
        <f t="shared" si="21"/>
        <v>7986</v>
      </c>
      <c r="K496" s="1">
        <v>8255</v>
      </c>
      <c r="L496" s="3">
        <f t="shared" si="22"/>
        <v>8255</v>
      </c>
      <c r="M496" t="s">
        <v>49</v>
      </c>
      <c r="N496" t="s">
        <v>49</v>
      </c>
      <c r="O496" t="s">
        <v>49</v>
      </c>
      <c r="P496">
        <v>1</v>
      </c>
      <c r="Q496" t="s">
        <v>50</v>
      </c>
      <c r="R496" t="s">
        <v>51</v>
      </c>
      <c r="S496">
        <v>1848</v>
      </c>
      <c r="T496">
        <v>1928</v>
      </c>
      <c r="U496" t="s">
        <v>2180</v>
      </c>
      <c r="V496" t="s">
        <v>2181</v>
      </c>
      <c r="Y496" t="s">
        <v>2182</v>
      </c>
      <c r="Z496">
        <v>0</v>
      </c>
      <c r="AA496">
        <v>1</v>
      </c>
      <c r="AB496">
        <v>0</v>
      </c>
      <c r="AC496">
        <v>0</v>
      </c>
      <c r="AF496">
        <v>1921</v>
      </c>
      <c r="AG496">
        <v>1922</v>
      </c>
      <c r="AO496" t="b">
        <v>1</v>
      </c>
      <c r="AP496" t="s">
        <v>45</v>
      </c>
      <c r="AQ496">
        <v>1903</v>
      </c>
      <c r="AR496">
        <v>1978</v>
      </c>
      <c r="AS496" t="s">
        <v>2208</v>
      </c>
      <c r="AT496">
        <v>0.73648186173853503</v>
      </c>
      <c r="AU496">
        <f t="shared" si="23"/>
        <v>2E-3</v>
      </c>
    </row>
    <row r="497" spans="1:47" x14ac:dyDescent="0.3">
      <c r="A497">
        <v>495</v>
      </c>
      <c r="B497" t="s">
        <v>2209</v>
      </c>
      <c r="C497" t="s">
        <v>2210</v>
      </c>
      <c r="D497">
        <v>100</v>
      </c>
      <c r="E497" t="s">
        <v>2104</v>
      </c>
      <c r="F497" t="str">
        <f>VLOOKUP(E497,country_continent!A:C,2,FALSE)</f>
        <v>Colombia</v>
      </c>
      <c r="G497" t="str">
        <f>VLOOKUP(E497,country_continent!A:C,3,FALSE)</f>
        <v>South America</v>
      </c>
      <c r="H497" t="s">
        <v>2211</v>
      </c>
      <c r="I497" s="1">
        <v>8255</v>
      </c>
      <c r="J497" s="3">
        <f t="shared" si="21"/>
        <v>8255</v>
      </c>
      <c r="K497" s="1">
        <v>9716</v>
      </c>
      <c r="L497" s="3">
        <f t="shared" si="22"/>
        <v>9716</v>
      </c>
      <c r="M497" t="s">
        <v>49</v>
      </c>
      <c r="N497" t="s">
        <v>49</v>
      </c>
      <c r="O497" t="s">
        <v>49</v>
      </c>
      <c r="P497">
        <v>0</v>
      </c>
      <c r="Q497" t="s">
        <v>50</v>
      </c>
      <c r="R497" t="s">
        <v>51</v>
      </c>
      <c r="S497">
        <v>1858</v>
      </c>
      <c r="T497">
        <v>1927</v>
      </c>
      <c r="U497" t="s">
        <v>2212</v>
      </c>
      <c r="V497" t="s">
        <v>2213</v>
      </c>
      <c r="Y497" t="s">
        <v>2214</v>
      </c>
      <c r="Z497">
        <v>0</v>
      </c>
      <c r="AA497">
        <v>1</v>
      </c>
      <c r="AB497">
        <v>0</v>
      </c>
      <c r="AC497">
        <v>0</v>
      </c>
      <c r="AF497">
        <v>1922</v>
      </c>
      <c r="AG497">
        <v>1926</v>
      </c>
      <c r="AO497" t="b">
        <v>1</v>
      </c>
      <c r="AP497" t="s">
        <v>45</v>
      </c>
      <c r="AQ497">
        <v>1903</v>
      </c>
      <c r="AR497">
        <v>1978</v>
      </c>
      <c r="AS497" t="s">
        <v>1597</v>
      </c>
      <c r="AT497">
        <v>4</v>
      </c>
      <c r="AU497">
        <f t="shared" si="23"/>
        <v>1.0999999999999999E-2</v>
      </c>
    </row>
    <row r="498" spans="1:47" x14ac:dyDescent="0.3">
      <c r="A498">
        <v>496</v>
      </c>
      <c r="B498" t="s">
        <v>2215</v>
      </c>
      <c r="C498" t="s">
        <v>2216</v>
      </c>
      <c r="D498">
        <v>100</v>
      </c>
      <c r="E498" t="s">
        <v>2104</v>
      </c>
      <c r="F498" t="str">
        <f>VLOOKUP(E498,country_continent!A:C,2,FALSE)</f>
        <v>Colombia</v>
      </c>
      <c r="G498" t="str">
        <f>VLOOKUP(E498,country_continent!A:C,3,FALSE)</f>
        <v>South America</v>
      </c>
      <c r="H498" t="s">
        <v>2217</v>
      </c>
      <c r="I498" s="1">
        <v>9716</v>
      </c>
      <c r="J498" s="3">
        <f t="shared" si="21"/>
        <v>9716</v>
      </c>
      <c r="K498" s="1">
        <v>11177</v>
      </c>
      <c r="L498" s="3">
        <f t="shared" si="22"/>
        <v>11177</v>
      </c>
      <c r="M498" t="s">
        <v>49</v>
      </c>
      <c r="N498" t="s">
        <v>49</v>
      </c>
      <c r="O498" t="s">
        <v>49</v>
      </c>
      <c r="P498">
        <v>0</v>
      </c>
      <c r="Q498" t="s">
        <v>50</v>
      </c>
      <c r="R498" t="s">
        <v>51</v>
      </c>
      <c r="S498">
        <v>1867</v>
      </c>
      <c r="T498">
        <v>1947</v>
      </c>
      <c r="U498" t="s">
        <v>2218</v>
      </c>
      <c r="V498" t="s">
        <v>2219</v>
      </c>
      <c r="Y498" t="s">
        <v>2220</v>
      </c>
      <c r="Z498">
        <v>0</v>
      </c>
      <c r="AA498">
        <v>1</v>
      </c>
      <c r="AB498">
        <v>0</v>
      </c>
      <c r="AC498">
        <v>0</v>
      </c>
      <c r="AF498">
        <v>1926</v>
      </c>
      <c r="AG498">
        <v>1930</v>
      </c>
      <c r="AO498" t="b">
        <v>1</v>
      </c>
      <c r="AP498" t="s">
        <v>45</v>
      </c>
      <c r="AQ498">
        <v>1903</v>
      </c>
      <c r="AR498">
        <v>1978</v>
      </c>
      <c r="AS498" t="s">
        <v>1597</v>
      </c>
      <c r="AT498">
        <v>4</v>
      </c>
      <c r="AU498">
        <f t="shared" si="23"/>
        <v>1.0999999999999999E-2</v>
      </c>
    </row>
    <row r="499" spans="1:47" x14ac:dyDescent="0.3">
      <c r="A499">
        <v>497</v>
      </c>
      <c r="B499" t="s">
        <v>2221</v>
      </c>
      <c r="C499" t="s">
        <v>2222</v>
      </c>
      <c r="D499">
        <v>100</v>
      </c>
      <c r="E499" t="s">
        <v>2104</v>
      </c>
      <c r="F499" t="str">
        <f>VLOOKUP(E499,country_continent!A:C,2,FALSE)</f>
        <v>Colombia</v>
      </c>
      <c r="G499" t="str">
        <f>VLOOKUP(E499,country_continent!A:C,3,FALSE)</f>
        <v>South America</v>
      </c>
      <c r="H499" t="s">
        <v>2223</v>
      </c>
      <c r="I499" s="1">
        <v>11177</v>
      </c>
      <c r="J499" s="3">
        <f t="shared" si="21"/>
        <v>11177</v>
      </c>
      <c r="K499" s="1">
        <v>12638</v>
      </c>
      <c r="L499" s="3">
        <f t="shared" si="22"/>
        <v>12638</v>
      </c>
      <c r="M499" t="s">
        <v>49</v>
      </c>
      <c r="N499" t="s">
        <v>49</v>
      </c>
      <c r="O499" t="s">
        <v>49</v>
      </c>
      <c r="P499">
        <v>0</v>
      </c>
      <c r="Q499" t="s">
        <v>50</v>
      </c>
      <c r="R499" t="s">
        <v>51</v>
      </c>
      <c r="S499">
        <v>1881</v>
      </c>
      <c r="T499">
        <v>1937</v>
      </c>
      <c r="Z499">
        <v>0</v>
      </c>
      <c r="AA499">
        <v>1</v>
      </c>
      <c r="AB499">
        <v>0</v>
      </c>
      <c r="AC499">
        <v>0</v>
      </c>
      <c r="AF499">
        <v>1930</v>
      </c>
      <c r="AG499">
        <v>1934</v>
      </c>
      <c r="AO499" t="b">
        <v>1</v>
      </c>
      <c r="AP499" t="s">
        <v>45</v>
      </c>
      <c r="AQ499">
        <v>1903</v>
      </c>
      <c r="AR499">
        <v>1978</v>
      </c>
      <c r="AS499" t="s">
        <v>1597</v>
      </c>
      <c r="AT499">
        <v>4</v>
      </c>
      <c r="AU499">
        <f t="shared" si="23"/>
        <v>1.0999999999999999E-2</v>
      </c>
    </row>
    <row r="500" spans="1:47" x14ac:dyDescent="0.3">
      <c r="A500">
        <v>498</v>
      </c>
      <c r="B500" t="s">
        <v>2224</v>
      </c>
      <c r="C500" t="s">
        <v>2225</v>
      </c>
      <c r="D500">
        <v>100</v>
      </c>
      <c r="E500" t="s">
        <v>2104</v>
      </c>
      <c r="F500" t="str">
        <f>VLOOKUP(E500,country_continent!A:C,2,FALSE)</f>
        <v>Colombia</v>
      </c>
      <c r="G500" t="str">
        <f>VLOOKUP(E500,country_continent!A:C,3,FALSE)</f>
        <v>South America</v>
      </c>
      <c r="H500" t="s">
        <v>2226</v>
      </c>
      <c r="I500" s="1">
        <v>12638</v>
      </c>
      <c r="J500" s="3">
        <f t="shared" si="21"/>
        <v>12638</v>
      </c>
      <c r="K500" s="1">
        <v>14099</v>
      </c>
      <c r="L500" s="3">
        <f t="shared" si="22"/>
        <v>14099</v>
      </c>
      <c r="M500" t="s">
        <v>49</v>
      </c>
      <c r="N500" t="s">
        <v>49</v>
      </c>
      <c r="O500" t="s">
        <v>49</v>
      </c>
      <c r="P500">
        <v>0</v>
      </c>
      <c r="Q500" t="s">
        <v>50</v>
      </c>
      <c r="R500" t="s">
        <v>51</v>
      </c>
      <c r="S500">
        <v>1886</v>
      </c>
      <c r="T500">
        <v>1959</v>
      </c>
      <c r="U500" t="s">
        <v>2227</v>
      </c>
      <c r="V500" t="s">
        <v>2228</v>
      </c>
      <c r="W500" s="1">
        <v>21874</v>
      </c>
      <c r="X500" s="2">
        <v>21874</v>
      </c>
      <c r="Y500" t="s">
        <v>2229</v>
      </c>
      <c r="Z500">
        <v>0</v>
      </c>
      <c r="AA500">
        <v>1</v>
      </c>
      <c r="AB500">
        <v>0</v>
      </c>
      <c r="AC500">
        <v>0</v>
      </c>
      <c r="AD500" t="s">
        <v>2230</v>
      </c>
      <c r="AE500">
        <v>0</v>
      </c>
      <c r="AF500">
        <v>1934</v>
      </c>
      <c r="AG500">
        <v>1938</v>
      </c>
      <c r="AO500" t="b">
        <v>1</v>
      </c>
      <c r="AP500" t="s">
        <v>45</v>
      </c>
      <c r="AQ500">
        <v>1903</v>
      </c>
      <c r="AR500">
        <v>1978</v>
      </c>
      <c r="AS500" t="s">
        <v>1597</v>
      </c>
      <c r="AT500">
        <v>4</v>
      </c>
      <c r="AU500">
        <f t="shared" si="23"/>
        <v>1.0999999999999999E-2</v>
      </c>
    </row>
    <row r="501" spans="1:47" x14ac:dyDescent="0.3">
      <c r="A501">
        <v>499</v>
      </c>
      <c r="B501" t="s">
        <v>2231</v>
      </c>
      <c r="C501" t="s">
        <v>2232</v>
      </c>
      <c r="D501">
        <v>100</v>
      </c>
      <c r="E501" t="s">
        <v>2104</v>
      </c>
      <c r="F501" t="str">
        <f>VLOOKUP(E501,country_continent!A:C,2,FALSE)</f>
        <v>Colombia</v>
      </c>
      <c r="G501" t="str">
        <f>VLOOKUP(E501,country_continent!A:C,3,FALSE)</f>
        <v>South America</v>
      </c>
      <c r="H501" t="s">
        <v>2233</v>
      </c>
      <c r="I501" s="1">
        <v>14099</v>
      </c>
      <c r="J501" s="3">
        <f t="shared" si="21"/>
        <v>14099</v>
      </c>
      <c r="K501" s="1">
        <v>15560</v>
      </c>
      <c r="L501" s="3">
        <f t="shared" si="22"/>
        <v>15560</v>
      </c>
      <c r="M501" t="s">
        <v>49</v>
      </c>
      <c r="N501" t="s">
        <v>49</v>
      </c>
      <c r="O501" t="s">
        <v>49</v>
      </c>
      <c r="P501">
        <v>0</v>
      </c>
      <c r="Q501" t="s">
        <v>50</v>
      </c>
      <c r="R501" t="s">
        <v>51</v>
      </c>
      <c r="S501">
        <v>1888</v>
      </c>
      <c r="T501">
        <v>1974</v>
      </c>
      <c r="Y501" t="s">
        <v>2234</v>
      </c>
      <c r="Z501">
        <v>0</v>
      </c>
      <c r="AA501">
        <v>1</v>
      </c>
      <c r="AB501">
        <v>0</v>
      </c>
      <c r="AC501">
        <v>0</v>
      </c>
      <c r="AF501">
        <v>1938</v>
      </c>
      <c r="AG501">
        <v>1942</v>
      </c>
      <c r="AO501" t="b">
        <v>1</v>
      </c>
      <c r="AP501" t="s">
        <v>45</v>
      </c>
      <c r="AQ501">
        <v>1903</v>
      </c>
      <c r="AR501">
        <v>1978</v>
      </c>
      <c r="AS501" t="s">
        <v>1597</v>
      </c>
      <c r="AT501">
        <v>4</v>
      </c>
      <c r="AU501">
        <f t="shared" si="23"/>
        <v>1.0999999999999999E-2</v>
      </c>
    </row>
    <row r="502" spans="1:47" x14ac:dyDescent="0.3">
      <c r="A502">
        <v>500</v>
      </c>
      <c r="B502" t="s">
        <v>2235</v>
      </c>
      <c r="C502" t="s">
        <v>2225</v>
      </c>
      <c r="D502">
        <v>100</v>
      </c>
      <c r="E502" t="s">
        <v>2104</v>
      </c>
      <c r="F502" t="str">
        <f>VLOOKUP(E502,country_continent!A:C,2,FALSE)</f>
        <v>Colombia</v>
      </c>
      <c r="G502" t="str">
        <f>VLOOKUP(E502,country_continent!A:C,3,FALSE)</f>
        <v>South America</v>
      </c>
      <c r="H502" t="s">
        <v>2226</v>
      </c>
      <c r="I502" s="1">
        <v>15560</v>
      </c>
      <c r="J502" s="3">
        <f t="shared" si="21"/>
        <v>15560</v>
      </c>
      <c r="K502" s="1">
        <v>16656</v>
      </c>
      <c r="L502" s="3">
        <f t="shared" si="22"/>
        <v>16656</v>
      </c>
      <c r="M502" t="s">
        <v>49</v>
      </c>
      <c r="N502" t="s">
        <v>49</v>
      </c>
      <c r="O502" t="s">
        <v>49</v>
      </c>
      <c r="P502">
        <v>1</v>
      </c>
      <c r="Q502" t="s">
        <v>50</v>
      </c>
      <c r="R502" t="s">
        <v>51</v>
      </c>
      <c r="S502">
        <v>1886</v>
      </c>
      <c r="T502">
        <v>1959</v>
      </c>
      <c r="U502" t="s">
        <v>2227</v>
      </c>
      <c r="V502" t="s">
        <v>2228</v>
      </c>
      <c r="W502" s="1">
        <v>21874</v>
      </c>
      <c r="X502" s="2">
        <v>21874</v>
      </c>
      <c r="Y502" t="s">
        <v>2229</v>
      </c>
      <c r="Z502">
        <v>0</v>
      </c>
      <c r="AA502">
        <v>1</v>
      </c>
      <c r="AB502">
        <v>0</v>
      </c>
      <c r="AC502">
        <v>0</v>
      </c>
      <c r="AD502" t="s">
        <v>2230</v>
      </c>
      <c r="AE502">
        <v>0</v>
      </c>
      <c r="AF502">
        <v>1942</v>
      </c>
      <c r="AG502">
        <v>1945</v>
      </c>
      <c r="AO502" t="b">
        <v>1</v>
      </c>
      <c r="AP502" t="s">
        <v>45</v>
      </c>
      <c r="AQ502">
        <v>1903</v>
      </c>
      <c r="AR502">
        <v>1978</v>
      </c>
      <c r="AS502" t="s">
        <v>2236</v>
      </c>
      <c r="AT502">
        <v>3.0006844626967801</v>
      </c>
      <c r="AU502">
        <f t="shared" si="23"/>
        <v>8.0000000000000002E-3</v>
      </c>
    </row>
    <row r="503" spans="1:47" x14ac:dyDescent="0.3">
      <c r="A503">
        <v>501</v>
      </c>
      <c r="B503" t="s">
        <v>2237</v>
      </c>
      <c r="C503" t="s">
        <v>2238</v>
      </c>
      <c r="D503">
        <v>100</v>
      </c>
      <c r="E503" t="s">
        <v>2104</v>
      </c>
      <c r="F503" t="str">
        <f>VLOOKUP(E503,country_continent!A:C,2,FALSE)</f>
        <v>Colombia</v>
      </c>
      <c r="G503" t="str">
        <f>VLOOKUP(E503,country_continent!A:C,3,FALSE)</f>
        <v>South America</v>
      </c>
      <c r="H503" t="s">
        <v>2239</v>
      </c>
      <c r="I503" s="1">
        <v>16656</v>
      </c>
      <c r="J503" s="3">
        <f t="shared" si="21"/>
        <v>16656</v>
      </c>
      <c r="K503" s="1">
        <v>17021</v>
      </c>
      <c r="L503" s="3">
        <f t="shared" si="22"/>
        <v>17021</v>
      </c>
      <c r="M503" t="s">
        <v>49</v>
      </c>
      <c r="N503" t="s">
        <v>49</v>
      </c>
      <c r="O503" t="s">
        <v>49</v>
      </c>
      <c r="P503">
        <v>0</v>
      </c>
      <c r="Q503" t="s">
        <v>50</v>
      </c>
      <c r="R503" t="s">
        <v>51</v>
      </c>
      <c r="S503">
        <v>1906</v>
      </c>
      <c r="T503">
        <v>1990</v>
      </c>
      <c r="U503" s="1">
        <v>2376</v>
      </c>
      <c r="V503" s="2">
        <v>2376</v>
      </c>
      <c r="W503" s="1">
        <v>32877</v>
      </c>
      <c r="X503" s="2">
        <v>32877</v>
      </c>
      <c r="Y503" t="s">
        <v>2240</v>
      </c>
      <c r="Z503">
        <v>0</v>
      </c>
      <c r="AA503">
        <v>1</v>
      </c>
      <c r="AB503">
        <v>0</v>
      </c>
      <c r="AC503">
        <v>0</v>
      </c>
      <c r="AD503" t="s">
        <v>2241</v>
      </c>
      <c r="AE503">
        <v>0</v>
      </c>
      <c r="AF503">
        <v>1945</v>
      </c>
      <c r="AG503">
        <v>1946</v>
      </c>
      <c r="AN503">
        <v>5</v>
      </c>
      <c r="AO503" t="b">
        <v>1</v>
      </c>
      <c r="AP503" t="s">
        <v>45</v>
      </c>
      <c r="AQ503">
        <v>1903</v>
      </c>
      <c r="AR503">
        <v>1978</v>
      </c>
      <c r="AS503" t="s">
        <v>2242</v>
      </c>
      <c r="AT503">
        <v>0.99931553730321698</v>
      </c>
      <c r="AU503">
        <f t="shared" si="23"/>
        <v>3.0000000000000001E-3</v>
      </c>
    </row>
    <row r="504" spans="1:47" x14ac:dyDescent="0.3">
      <c r="A504">
        <v>502</v>
      </c>
      <c r="B504" t="s">
        <v>2243</v>
      </c>
      <c r="C504" t="s">
        <v>2244</v>
      </c>
      <c r="D504">
        <v>100</v>
      </c>
      <c r="E504" t="s">
        <v>2104</v>
      </c>
      <c r="F504" t="str">
        <f>VLOOKUP(E504,country_continent!A:C,2,FALSE)</f>
        <v>Colombia</v>
      </c>
      <c r="G504" t="str">
        <f>VLOOKUP(E504,country_continent!A:C,3,FALSE)</f>
        <v>South America</v>
      </c>
      <c r="H504" t="s">
        <v>2245</v>
      </c>
      <c r="I504" s="1">
        <v>17021</v>
      </c>
      <c r="J504" s="3">
        <f t="shared" si="21"/>
        <v>17021</v>
      </c>
      <c r="K504" s="1">
        <v>18482</v>
      </c>
      <c r="L504" s="3">
        <f t="shared" si="22"/>
        <v>18482</v>
      </c>
      <c r="M504" t="s">
        <v>49</v>
      </c>
      <c r="N504" t="s">
        <v>49</v>
      </c>
      <c r="O504" t="s">
        <v>49</v>
      </c>
      <c r="P504">
        <v>0</v>
      </c>
      <c r="Q504" t="s">
        <v>50</v>
      </c>
      <c r="R504" t="s">
        <v>51</v>
      </c>
      <c r="S504">
        <v>1891</v>
      </c>
      <c r="T504">
        <v>1976</v>
      </c>
      <c r="U504" t="s">
        <v>2246</v>
      </c>
      <c r="V504" t="s">
        <v>2247</v>
      </c>
      <c r="W504" s="1">
        <v>27864</v>
      </c>
      <c r="X504" s="2">
        <v>27864</v>
      </c>
      <c r="Y504" t="s">
        <v>2248</v>
      </c>
      <c r="Z504">
        <v>0</v>
      </c>
      <c r="AA504">
        <v>1</v>
      </c>
      <c r="AB504">
        <v>0</v>
      </c>
      <c r="AC504">
        <v>0</v>
      </c>
      <c r="AF504">
        <v>1946</v>
      </c>
      <c r="AG504">
        <v>1950</v>
      </c>
      <c r="AN504">
        <v>-1</v>
      </c>
      <c r="AO504" t="b">
        <v>1</v>
      </c>
      <c r="AP504" t="s">
        <v>45</v>
      </c>
      <c r="AQ504">
        <v>1903</v>
      </c>
      <c r="AR504">
        <v>1978</v>
      </c>
      <c r="AS504" t="s">
        <v>1597</v>
      </c>
      <c r="AT504">
        <v>4</v>
      </c>
      <c r="AU504">
        <f t="shared" si="23"/>
        <v>1.0999999999999999E-2</v>
      </c>
    </row>
    <row r="505" spans="1:47" x14ac:dyDescent="0.3">
      <c r="A505">
        <v>503</v>
      </c>
      <c r="B505" t="s">
        <v>2249</v>
      </c>
      <c r="C505" t="s">
        <v>2250</v>
      </c>
      <c r="D505">
        <v>100</v>
      </c>
      <c r="E505" t="s">
        <v>2104</v>
      </c>
      <c r="F505" t="str">
        <f>VLOOKUP(E505,country_continent!A:C,2,FALSE)</f>
        <v>Colombia</v>
      </c>
      <c r="G505" t="str">
        <f>VLOOKUP(E505,country_continent!A:C,3,FALSE)</f>
        <v>South America</v>
      </c>
      <c r="H505" t="s">
        <v>2251</v>
      </c>
      <c r="I505" s="1">
        <v>18482</v>
      </c>
      <c r="J505" s="3">
        <f t="shared" si="21"/>
        <v>18482</v>
      </c>
      <c r="K505" s="1">
        <v>18937</v>
      </c>
      <c r="L505" s="3">
        <f t="shared" si="22"/>
        <v>18937</v>
      </c>
      <c r="M505" t="s">
        <v>49</v>
      </c>
      <c r="N505" t="s">
        <v>49</v>
      </c>
      <c r="O505" t="s">
        <v>49</v>
      </c>
      <c r="P505">
        <v>0</v>
      </c>
      <c r="Q505" t="s">
        <v>50</v>
      </c>
      <c r="R505" t="s">
        <v>51</v>
      </c>
      <c r="S505">
        <v>1889</v>
      </c>
      <c r="T505">
        <v>1965</v>
      </c>
      <c r="U505" t="s">
        <v>2252</v>
      </c>
      <c r="V505" t="s">
        <v>2253</v>
      </c>
      <c r="W505" s="1">
        <v>23936</v>
      </c>
      <c r="X505" s="2">
        <v>23936</v>
      </c>
      <c r="Z505">
        <v>0</v>
      </c>
      <c r="AA505">
        <v>1</v>
      </c>
      <c r="AB505">
        <v>0</v>
      </c>
      <c r="AC505">
        <v>0</v>
      </c>
      <c r="AF505">
        <v>1950</v>
      </c>
      <c r="AG505">
        <v>1951</v>
      </c>
      <c r="AN505">
        <v>-5</v>
      </c>
      <c r="AO505" t="b">
        <v>1</v>
      </c>
      <c r="AP505" t="s">
        <v>45</v>
      </c>
      <c r="AQ505">
        <v>1903</v>
      </c>
      <c r="AR505">
        <v>1978</v>
      </c>
      <c r="AS505" t="s">
        <v>2254</v>
      </c>
      <c r="AT505">
        <v>1.2457221081451</v>
      </c>
      <c r="AU505">
        <f t="shared" si="23"/>
        <v>3.0000000000000001E-3</v>
      </c>
    </row>
    <row r="506" spans="1:47" x14ac:dyDescent="0.3">
      <c r="A506">
        <v>504</v>
      </c>
      <c r="B506" t="s">
        <v>2255</v>
      </c>
      <c r="C506" t="s">
        <v>2256</v>
      </c>
      <c r="D506">
        <v>100</v>
      </c>
      <c r="E506" t="s">
        <v>2104</v>
      </c>
      <c r="F506" t="str">
        <f>VLOOKUP(E506,country_continent!A:C,2,FALSE)</f>
        <v>Colombia</v>
      </c>
      <c r="G506" t="str">
        <f>VLOOKUP(E506,country_continent!A:C,3,FALSE)</f>
        <v>South America</v>
      </c>
      <c r="H506" t="s">
        <v>2257</v>
      </c>
      <c r="I506" s="1">
        <v>18937</v>
      </c>
      <c r="J506" s="3">
        <f t="shared" si="21"/>
        <v>18937</v>
      </c>
      <c r="K506" s="1">
        <v>19523</v>
      </c>
      <c r="L506" s="3">
        <f t="shared" si="22"/>
        <v>19523</v>
      </c>
      <c r="M506" t="s">
        <v>49</v>
      </c>
      <c r="N506" t="s">
        <v>49</v>
      </c>
      <c r="O506" t="s">
        <v>49</v>
      </c>
      <c r="P506">
        <v>0</v>
      </c>
      <c r="Q506" t="s">
        <v>50</v>
      </c>
      <c r="R506" t="s">
        <v>51</v>
      </c>
      <c r="S506">
        <v>1890</v>
      </c>
      <c r="T506">
        <v>1972</v>
      </c>
      <c r="Y506" t="s">
        <v>2258</v>
      </c>
      <c r="Z506">
        <v>0</v>
      </c>
      <c r="AA506">
        <v>1</v>
      </c>
      <c r="AB506">
        <v>0</v>
      </c>
      <c r="AC506">
        <v>0</v>
      </c>
      <c r="AF506">
        <v>1951</v>
      </c>
      <c r="AG506">
        <v>1953</v>
      </c>
      <c r="AN506">
        <v>-5</v>
      </c>
      <c r="AO506" t="b">
        <v>1</v>
      </c>
      <c r="AP506" t="s">
        <v>45</v>
      </c>
      <c r="AQ506">
        <v>1903</v>
      </c>
      <c r="AR506">
        <v>1978</v>
      </c>
      <c r="AS506" t="s">
        <v>2259</v>
      </c>
      <c r="AT506">
        <v>1.60438056125941</v>
      </c>
      <c r="AU506">
        <f t="shared" si="23"/>
        <v>4.0000000000000001E-3</v>
      </c>
    </row>
    <row r="507" spans="1:47" x14ac:dyDescent="0.3">
      <c r="A507">
        <v>505</v>
      </c>
      <c r="B507" t="s">
        <v>2260</v>
      </c>
      <c r="C507" t="s">
        <v>2250</v>
      </c>
      <c r="D507">
        <v>100</v>
      </c>
      <c r="E507" t="s">
        <v>2104</v>
      </c>
      <c r="F507" t="str">
        <f>VLOOKUP(E507,country_continent!A:C,2,FALSE)</f>
        <v>Colombia</v>
      </c>
      <c r="G507" t="str">
        <f>VLOOKUP(E507,country_continent!A:C,3,FALSE)</f>
        <v>South America</v>
      </c>
      <c r="H507" t="s">
        <v>2251</v>
      </c>
      <c r="I507" s="1">
        <v>19523</v>
      </c>
      <c r="J507" s="3">
        <f t="shared" si="21"/>
        <v>19523</v>
      </c>
      <c r="K507" s="1">
        <v>19523</v>
      </c>
      <c r="L507" s="3">
        <f t="shared" si="22"/>
        <v>19523</v>
      </c>
      <c r="M507" t="s">
        <v>49</v>
      </c>
      <c r="N507" t="s">
        <v>67</v>
      </c>
      <c r="O507" t="s">
        <v>376</v>
      </c>
      <c r="P507">
        <v>1</v>
      </c>
      <c r="Q507" t="s">
        <v>362</v>
      </c>
      <c r="R507" t="s">
        <v>51</v>
      </c>
      <c r="S507">
        <v>1889</v>
      </c>
      <c r="T507">
        <v>1965</v>
      </c>
      <c r="U507" t="s">
        <v>2252</v>
      </c>
      <c r="V507" t="s">
        <v>2253</v>
      </c>
      <c r="W507" s="1">
        <v>23936</v>
      </c>
      <c r="X507" s="2">
        <v>23936</v>
      </c>
      <c r="Z507">
        <v>0</v>
      </c>
      <c r="AA507">
        <v>3</v>
      </c>
      <c r="AB507">
        <v>6</v>
      </c>
      <c r="AC507">
        <v>1</v>
      </c>
      <c r="AF507">
        <v>1953</v>
      </c>
      <c r="AG507">
        <v>1953</v>
      </c>
      <c r="AN507">
        <v>-5</v>
      </c>
      <c r="AO507" t="b">
        <v>1</v>
      </c>
      <c r="AP507" t="s">
        <v>45</v>
      </c>
      <c r="AQ507">
        <v>1903</v>
      </c>
      <c r="AR507">
        <v>1978</v>
      </c>
      <c r="AS507" t="s">
        <v>2261</v>
      </c>
      <c r="AT507">
        <v>0</v>
      </c>
      <c r="AU507">
        <f t="shared" si="23"/>
        <v>0</v>
      </c>
    </row>
    <row r="508" spans="1:47" x14ac:dyDescent="0.3">
      <c r="A508">
        <v>506</v>
      </c>
      <c r="B508" t="s">
        <v>2262</v>
      </c>
      <c r="C508" t="s">
        <v>2263</v>
      </c>
      <c r="D508">
        <v>100</v>
      </c>
      <c r="E508" t="s">
        <v>2104</v>
      </c>
      <c r="F508" t="str">
        <f>VLOOKUP(E508,country_continent!A:C,2,FALSE)</f>
        <v>Colombia</v>
      </c>
      <c r="G508" t="str">
        <f>VLOOKUP(E508,country_continent!A:C,3,FALSE)</f>
        <v>South America</v>
      </c>
      <c r="H508" t="s">
        <v>2264</v>
      </c>
      <c r="I508" s="1">
        <v>19523</v>
      </c>
      <c r="J508" s="3">
        <f t="shared" si="21"/>
        <v>19523</v>
      </c>
      <c r="K508" s="1">
        <v>20950</v>
      </c>
      <c r="L508" s="3">
        <f t="shared" si="22"/>
        <v>20950</v>
      </c>
      <c r="M508" t="s">
        <v>67</v>
      </c>
      <c r="N508" t="s">
        <v>67</v>
      </c>
      <c r="O508" t="s">
        <v>389</v>
      </c>
      <c r="P508">
        <v>0</v>
      </c>
      <c r="Q508" t="s">
        <v>362</v>
      </c>
      <c r="R508" t="s">
        <v>51</v>
      </c>
      <c r="S508">
        <v>1900</v>
      </c>
      <c r="T508">
        <v>1975</v>
      </c>
      <c r="U508" s="1">
        <v>72</v>
      </c>
      <c r="V508" s="2">
        <v>72</v>
      </c>
      <c r="Y508" t="s">
        <v>2265</v>
      </c>
      <c r="Z508">
        <v>1</v>
      </c>
      <c r="AA508">
        <v>3</v>
      </c>
      <c r="AB508">
        <v>16</v>
      </c>
      <c r="AC508">
        <v>1</v>
      </c>
      <c r="AF508">
        <v>1953</v>
      </c>
      <c r="AG508">
        <v>1957</v>
      </c>
      <c r="AN508">
        <v>-2.6</v>
      </c>
      <c r="AO508" t="b">
        <v>1</v>
      </c>
      <c r="AP508" t="s">
        <v>45</v>
      </c>
      <c r="AQ508">
        <v>1903</v>
      </c>
      <c r="AR508">
        <v>1978</v>
      </c>
      <c r="AS508" t="s">
        <v>2266</v>
      </c>
      <c r="AT508">
        <v>3.9069130732374999</v>
      </c>
      <c r="AU508">
        <f t="shared" si="23"/>
        <v>1.0999999999999999E-2</v>
      </c>
    </row>
    <row r="509" spans="1:47" x14ac:dyDescent="0.3">
      <c r="A509">
        <v>507</v>
      </c>
      <c r="B509" t="s">
        <v>2267</v>
      </c>
      <c r="C509" t="s">
        <v>2268</v>
      </c>
      <c r="D509">
        <v>100</v>
      </c>
      <c r="E509" t="s">
        <v>2104</v>
      </c>
      <c r="F509" t="str">
        <f>VLOOKUP(E509,country_continent!A:C,2,FALSE)</f>
        <v>Colombia</v>
      </c>
      <c r="G509" t="str">
        <f>VLOOKUP(E509,country_continent!A:C,3,FALSE)</f>
        <v>South America</v>
      </c>
      <c r="H509" t="s">
        <v>2269</v>
      </c>
      <c r="I509" s="1">
        <v>20950</v>
      </c>
      <c r="J509" s="3">
        <f t="shared" si="21"/>
        <v>20950</v>
      </c>
      <c r="K509" s="1">
        <v>21404</v>
      </c>
      <c r="L509" s="3">
        <f t="shared" si="22"/>
        <v>21404</v>
      </c>
      <c r="M509" t="s">
        <v>67</v>
      </c>
      <c r="N509" t="s">
        <v>49</v>
      </c>
      <c r="O509" t="s">
        <v>49</v>
      </c>
      <c r="P509">
        <v>0</v>
      </c>
      <c r="Q509" t="s">
        <v>50</v>
      </c>
      <c r="R509" t="s">
        <v>51</v>
      </c>
      <c r="S509">
        <v>1910</v>
      </c>
      <c r="T509">
        <v>2008</v>
      </c>
      <c r="Z509">
        <v>1</v>
      </c>
      <c r="AA509">
        <v>1</v>
      </c>
      <c r="AB509">
        <v>0</v>
      </c>
      <c r="AC509">
        <v>0</v>
      </c>
      <c r="AF509">
        <v>1957</v>
      </c>
      <c r="AG509">
        <v>1958</v>
      </c>
      <c r="AN509">
        <v>7</v>
      </c>
      <c r="AO509" t="b">
        <v>1</v>
      </c>
      <c r="AP509" t="s">
        <v>45</v>
      </c>
      <c r="AQ509">
        <v>1903</v>
      </c>
      <c r="AR509">
        <v>1978</v>
      </c>
      <c r="AS509" t="s">
        <v>2270</v>
      </c>
      <c r="AT509">
        <v>1.2429842573579699</v>
      </c>
      <c r="AU509">
        <f t="shared" si="23"/>
        <v>3.0000000000000001E-3</v>
      </c>
    </row>
    <row r="510" spans="1:47" x14ac:dyDescent="0.3">
      <c r="A510">
        <v>508</v>
      </c>
      <c r="B510" t="s">
        <v>2271</v>
      </c>
      <c r="C510" t="s">
        <v>2238</v>
      </c>
      <c r="D510">
        <v>100</v>
      </c>
      <c r="E510" t="s">
        <v>2104</v>
      </c>
      <c r="F510" t="str">
        <f>VLOOKUP(E510,country_continent!A:C,2,FALSE)</f>
        <v>Colombia</v>
      </c>
      <c r="G510" t="str">
        <f>VLOOKUP(E510,country_continent!A:C,3,FALSE)</f>
        <v>South America</v>
      </c>
      <c r="H510" t="s">
        <v>2239</v>
      </c>
      <c r="I510" s="1">
        <v>21404</v>
      </c>
      <c r="J510" s="3">
        <f t="shared" si="21"/>
        <v>21404</v>
      </c>
      <c r="K510" s="1">
        <v>22865</v>
      </c>
      <c r="L510" s="3">
        <f t="shared" si="22"/>
        <v>22865</v>
      </c>
      <c r="M510" t="s">
        <v>49</v>
      </c>
      <c r="N510" t="s">
        <v>49</v>
      </c>
      <c r="O510" t="s">
        <v>49</v>
      </c>
      <c r="P510">
        <v>1</v>
      </c>
      <c r="Q510" t="s">
        <v>50</v>
      </c>
      <c r="R510" t="s">
        <v>51</v>
      </c>
      <c r="S510">
        <v>1906</v>
      </c>
      <c r="T510">
        <v>1990</v>
      </c>
      <c r="U510" s="1">
        <v>2376</v>
      </c>
      <c r="V510" s="2">
        <v>2376</v>
      </c>
      <c r="W510" s="1">
        <v>32877</v>
      </c>
      <c r="X510" s="2">
        <v>32877</v>
      </c>
      <c r="Y510" t="s">
        <v>2240</v>
      </c>
      <c r="Z510">
        <v>0</v>
      </c>
      <c r="AA510">
        <v>1</v>
      </c>
      <c r="AB510">
        <v>0</v>
      </c>
      <c r="AC510">
        <v>0</v>
      </c>
      <c r="AD510" t="s">
        <v>2241</v>
      </c>
      <c r="AE510">
        <v>0</v>
      </c>
      <c r="AF510">
        <v>1958</v>
      </c>
      <c r="AG510">
        <v>1962</v>
      </c>
      <c r="AH510">
        <v>2.05440734084562</v>
      </c>
      <c r="AI510">
        <v>290</v>
      </c>
      <c r="AJ510">
        <v>7.43870216567647</v>
      </c>
      <c r="AK510">
        <v>130</v>
      </c>
      <c r="AL510">
        <v>3.0837675892920999</v>
      </c>
      <c r="AN510">
        <v>7</v>
      </c>
      <c r="AO510" t="b">
        <v>1</v>
      </c>
      <c r="AP510" t="s">
        <v>45</v>
      </c>
      <c r="AQ510">
        <v>1903</v>
      </c>
      <c r="AR510">
        <v>1978</v>
      </c>
      <c r="AS510" t="s">
        <v>1597</v>
      </c>
      <c r="AT510">
        <v>4</v>
      </c>
      <c r="AU510">
        <f t="shared" si="23"/>
        <v>1.0999999999999999E-2</v>
      </c>
    </row>
    <row r="511" spans="1:47" x14ac:dyDescent="0.3">
      <c r="A511">
        <v>509</v>
      </c>
      <c r="B511" t="s">
        <v>2272</v>
      </c>
      <c r="C511" t="s">
        <v>2273</v>
      </c>
      <c r="D511">
        <v>100</v>
      </c>
      <c r="E511" t="s">
        <v>2104</v>
      </c>
      <c r="F511" t="str">
        <f>VLOOKUP(E511,country_continent!A:C,2,FALSE)</f>
        <v>Colombia</v>
      </c>
      <c r="G511" t="str">
        <f>VLOOKUP(E511,country_continent!A:C,3,FALSE)</f>
        <v>South America</v>
      </c>
      <c r="H511" t="s">
        <v>2274</v>
      </c>
      <c r="I511" s="1">
        <v>22865</v>
      </c>
      <c r="J511" s="3">
        <f t="shared" si="21"/>
        <v>22865</v>
      </c>
      <c r="K511" s="1">
        <v>24326</v>
      </c>
      <c r="L511" s="3">
        <f t="shared" si="22"/>
        <v>24326</v>
      </c>
      <c r="M511" t="s">
        <v>49</v>
      </c>
      <c r="N511" t="s">
        <v>49</v>
      </c>
      <c r="O511" t="s">
        <v>49</v>
      </c>
      <c r="P511">
        <v>0</v>
      </c>
      <c r="Q511" t="s">
        <v>50</v>
      </c>
      <c r="R511" t="s">
        <v>51</v>
      </c>
      <c r="S511">
        <v>1909</v>
      </c>
      <c r="T511">
        <v>1971</v>
      </c>
      <c r="Y511" t="s">
        <v>2275</v>
      </c>
      <c r="Z511">
        <v>0</v>
      </c>
      <c r="AA511">
        <v>1</v>
      </c>
      <c r="AB511">
        <v>0</v>
      </c>
      <c r="AC511">
        <v>0</v>
      </c>
      <c r="AF511">
        <v>1962</v>
      </c>
      <c r="AG511">
        <v>1966</v>
      </c>
      <c r="AH511">
        <v>1.64200605284917</v>
      </c>
      <c r="AI511">
        <v>310</v>
      </c>
      <c r="AJ511">
        <v>13.9880723584254</v>
      </c>
      <c r="AK511">
        <v>118.34</v>
      </c>
      <c r="AL511">
        <v>3.00291959124245</v>
      </c>
      <c r="AN511">
        <v>7</v>
      </c>
      <c r="AO511" t="b">
        <v>1</v>
      </c>
      <c r="AP511" t="s">
        <v>45</v>
      </c>
      <c r="AQ511">
        <v>1903</v>
      </c>
      <c r="AR511">
        <v>1978</v>
      </c>
      <c r="AS511" t="s">
        <v>1597</v>
      </c>
      <c r="AT511">
        <v>4</v>
      </c>
      <c r="AU511">
        <f t="shared" si="23"/>
        <v>1.0999999999999999E-2</v>
      </c>
    </row>
    <row r="512" spans="1:47" x14ac:dyDescent="0.3">
      <c r="A512">
        <v>510</v>
      </c>
      <c r="B512" t="s">
        <v>2276</v>
      </c>
      <c r="C512" t="s">
        <v>2277</v>
      </c>
      <c r="D512">
        <v>100</v>
      </c>
      <c r="E512" t="s">
        <v>2104</v>
      </c>
      <c r="F512" t="str">
        <f>VLOOKUP(E512,country_continent!A:C,2,FALSE)</f>
        <v>Colombia</v>
      </c>
      <c r="G512" t="str">
        <f>VLOOKUP(E512,country_continent!A:C,3,FALSE)</f>
        <v>South America</v>
      </c>
      <c r="H512" t="s">
        <v>2278</v>
      </c>
      <c r="I512" s="1">
        <v>24326</v>
      </c>
      <c r="J512" s="3">
        <f t="shared" si="21"/>
        <v>24326</v>
      </c>
      <c r="K512" s="1">
        <v>25787</v>
      </c>
      <c r="L512" s="3">
        <f t="shared" si="22"/>
        <v>25787</v>
      </c>
      <c r="M512" t="s">
        <v>49</v>
      </c>
      <c r="N512" t="s">
        <v>49</v>
      </c>
      <c r="O512" t="s">
        <v>49</v>
      </c>
      <c r="P512">
        <v>0</v>
      </c>
      <c r="Q512" t="s">
        <v>50</v>
      </c>
      <c r="R512" t="s">
        <v>51</v>
      </c>
      <c r="S512">
        <v>1908</v>
      </c>
      <c r="T512">
        <v>1994</v>
      </c>
      <c r="U512" s="1">
        <v>3025</v>
      </c>
      <c r="V512" s="2">
        <v>3025</v>
      </c>
      <c r="W512" s="1">
        <v>34604</v>
      </c>
      <c r="X512" s="2">
        <v>34604</v>
      </c>
      <c r="Y512" t="s">
        <v>2279</v>
      </c>
      <c r="Z512">
        <v>0</v>
      </c>
      <c r="AA512">
        <v>1</v>
      </c>
      <c r="AB512">
        <v>0</v>
      </c>
      <c r="AC512">
        <v>0</v>
      </c>
      <c r="AD512" t="s">
        <v>2280</v>
      </c>
      <c r="AE512">
        <v>1</v>
      </c>
      <c r="AF512">
        <v>1966</v>
      </c>
      <c r="AG512">
        <v>1970</v>
      </c>
      <c r="AH512">
        <v>2.6963662166729199</v>
      </c>
      <c r="AI512">
        <v>322</v>
      </c>
      <c r="AJ512">
        <v>10.9320737277587</v>
      </c>
      <c r="AK512">
        <v>104.24</v>
      </c>
      <c r="AL512">
        <v>2.7159934318088399</v>
      </c>
      <c r="AM512">
        <v>0.97113053516159498</v>
      </c>
      <c r="AN512">
        <v>7</v>
      </c>
      <c r="AO512" t="b">
        <v>1</v>
      </c>
      <c r="AP512" t="s">
        <v>45</v>
      </c>
      <c r="AQ512">
        <v>1903</v>
      </c>
      <c r="AR512">
        <v>1978</v>
      </c>
      <c r="AS512" t="s">
        <v>1597</v>
      </c>
      <c r="AT512">
        <v>4</v>
      </c>
      <c r="AU512">
        <f t="shared" si="23"/>
        <v>1.0999999999999999E-2</v>
      </c>
    </row>
    <row r="513" spans="1:47" x14ac:dyDescent="0.3">
      <c r="A513">
        <v>511</v>
      </c>
      <c r="B513" t="s">
        <v>2281</v>
      </c>
      <c r="C513" t="s">
        <v>2282</v>
      </c>
      <c r="D513">
        <v>100</v>
      </c>
      <c r="E513" t="s">
        <v>2104</v>
      </c>
      <c r="F513" t="str">
        <f>VLOOKUP(E513,country_continent!A:C,2,FALSE)</f>
        <v>Colombia</v>
      </c>
      <c r="G513" t="str">
        <f>VLOOKUP(E513,country_continent!A:C,3,FALSE)</f>
        <v>South America</v>
      </c>
      <c r="H513" t="s">
        <v>2283</v>
      </c>
      <c r="I513" s="1">
        <v>25787</v>
      </c>
      <c r="J513" s="3">
        <f t="shared" si="21"/>
        <v>25787</v>
      </c>
      <c r="K513" s="1">
        <v>27248</v>
      </c>
      <c r="L513" s="3">
        <f t="shared" si="22"/>
        <v>27248</v>
      </c>
      <c r="M513" t="s">
        <v>49</v>
      </c>
      <c r="N513" t="s">
        <v>49</v>
      </c>
      <c r="O513" t="s">
        <v>49</v>
      </c>
      <c r="P513">
        <v>0</v>
      </c>
      <c r="Q513" t="s">
        <v>50</v>
      </c>
      <c r="R513" t="s">
        <v>51</v>
      </c>
      <c r="S513">
        <v>1923</v>
      </c>
      <c r="T513">
        <v>1997</v>
      </c>
      <c r="U513" s="1">
        <v>8717</v>
      </c>
      <c r="V513" s="2">
        <v>8717</v>
      </c>
      <c r="W513" s="1">
        <v>35663</v>
      </c>
      <c r="X513" s="2">
        <v>35663</v>
      </c>
      <c r="Y513" t="s">
        <v>2284</v>
      </c>
      <c r="Z513">
        <v>0</v>
      </c>
      <c r="AA513">
        <v>1</v>
      </c>
      <c r="AB513">
        <v>0</v>
      </c>
      <c r="AC513">
        <v>0</v>
      </c>
      <c r="AD513" t="s">
        <v>2285</v>
      </c>
      <c r="AE513">
        <v>0</v>
      </c>
      <c r="AF513">
        <v>1970</v>
      </c>
      <c r="AG513">
        <v>1974</v>
      </c>
      <c r="AH513">
        <v>3.9782902935984499</v>
      </c>
      <c r="AI513">
        <v>430</v>
      </c>
      <c r="AJ513">
        <v>16.240752999482201</v>
      </c>
      <c r="AK513">
        <v>89.74</v>
      </c>
      <c r="AL513">
        <v>2.3600707351433501</v>
      </c>
      <c r="AM513">
        <v>2.00402049151492</v>
      </c>
      <c r="AN513">
        <v>7.2</v>
      </c>
      <c r="AO513" t="b">
        <v>1</v>
      </c>
      <c r="AP513" t="s">
        <v>45</v>
      </c>
      <c r="AQ513">
        <v>1903</v>
      </c>
      <c r="AR513">
        <v>1978</v>
      </c>
      <c r="AS513" t="s">
        <v>1597</v>
      </c>
      <c r="AT513">
        <v>4</v>
      </c>
      <c r="AU513">
        <f t="shared" si="23"/>
        <v>1.0999999999999999E-2</v>
      </c>
    </row>
    <row r="514" spans="1:47" x14ac:dyDescent="0.3">
      <c r="A514">
        <v>512</v>
      </c>
      <c r="B514" t="s">
        <v>2286</v>
      </c>
      <c r="C514" t="s">
        <v>2287</v>
      </c>
      <c r="D514">
        <v>100</v>
      </c>
      <c r="E514" t="s">
        <v>2104</v>
      </c>
      <c r="F514" t="str">
        <f>VLOOKUP(E514,country_continent!A:C,2,FALSE)</f>
        <v>Colombia</v>
      </c>
      <c r="G514" t="str">
        <f>VLOOKUP(E514,country_continent!A:C,3,FALSE)</f>
        <v>South America</v>
      </c>
      <c r="H514" t="s">
        <v>2288</v>
      </c>
      <c r="I514" s="1">
        <v>27248</v>
      </c>
      <c r="J514" s="3">
        <f t="shared" si="21"/>
        <v>27248</v>
      </c>
      <c r="K514" s="1">
        <v>28709</v>
      </c>
      <c r="L514" s="3">
        <f t="shared" si="22"/>
        <v>28709</v>
      </c>
      <c r="M514" t="s">
        <v>49</v>
      </c>
      <c r="N514" t="s">
        <v>49</v>
      </c>
      <c r="O514" t="s">
        <v>49</v>
      </c>
      <c r="P514">
        <v>0</v>
      </c>
      <c r="Q514" t="s">
        <v>50</v>
      </c>
      <c r="R514" t="s">
        <v>51</v>
      </c>
      <c r="S514">
        <v>1913</v>
      </c>
      <c r="T514">
        <v>2007</v>
      </c>
      <c r="U514" s="1">
        <v>4930</v>
      </c>
      <c r="V514" s="2">
        <v>4930</v>
      </c>
      <c r="Y514" t="s">
        <v>2289</v>
      </c>
      <c r="Z514">
        <v>0</v>
      </c>
      <c r="AA514">
        <v>1</v>
      </c>
      <c r="AB514">
        <v>0</v>
      </c>
      <c r="AC514">
        <v>0</v>
      </c>
      <c r="AD514" t="s">
        <v>2290</v>
      </c>
      <c r="AE514">
        <v>1</v>
      </c>
      <c r="AF514">
        <v>1974</v>
      </c>
      <c r="AG514">
        <v>1978</v>
      </c>
      <c r="AH514">
        <v>2.77426322360356</v>
      </c>
      <c r="AI514">
        <v>680</v>
      </c>
      <c r="AJ514">
        <v>23.978883946752699</v>
      </c>
      <c r="AK514">
        <v>73.900000000000006</v>
      </c>
      <c r="AL514">
        <v>2.2232689995699801</v>
      </c>
      <c r="AM514">
        <v>3.7179962313049302</v>
      </c>
      <c r="AN514">
        <v>8</v>
      </c>
      <c r="AO514" t="b">
        <v>1</v>
      </c>
      <c r="AP514" t="s">
        <v>45</v>
      </c>
      <c r="AQ514">
        <v>1903</v>
      </c>
      <c r="AR514">
        <v>1978</v>
      </c>
      <c r="AS514" t="s">
        <v>1597</v>
      </c>
      <c r="AT514">
        <v>4</v>
      </c>
      <c r="AU514">
        <f t="shared" si="23"/>
        <v>1.0999999999999999E-2</v>
      </c>
    </row>
    <row r="515" spans="1:47" x14ac:dyDescent="0.3">
      <c r="A515">
        <v>513</v>
      </c>
      <c r="B515" t="s">
        <v>2291</v>
      </c>
      <c r="C515" t="s">
        <v>2292</v>
      </c>
      <c r="D515">
        <v>100</v>
      </c>
      <c r="E515" t="s">
        <v>2104</v>
      </c>
      <c r="F515" t="str">
        <f>VLOOKUP(E515,country_continent!A:C,2,FALSE)</f>
        <v>Colombia</v>
      </c>
      <c r="G515" t="str">
        <f>VLOOKUP(E515,country_continent!A:C,3,FALSE)</f>
        <v>South America</v>
      </c>
      <c r="H515" t="s">
        <v>2293</v>
      </c>
      <c r="I515" s="1">
        <v>28709</v>
      </c>
      <c r="J515" s="3">
        <f t="shared" ref="J515:J578" si="24">IF(ISNUMBER(SEARCH("-", I515)), SUBSTITUTE(I515, "-", "/"), I515)</f>
        <v>28709</v>
      </c>
      <c r="K515" s="1">
        <v>30170</v>
      </c>
      <c r="L515" s="3">
        <f t="shared" ref="L515:L578" si="25">IF(ISNUMBER(SEARCH("-", K515)), SUBSTITUTE(K515, "-", "/"), K515)</f>
        <v>30170</v>
      </c>
      <c r="M515" t="s">
        <v>49</v>
      </c>
      <c r="N515" t="s">
        <v>49</v>
      </c>
      <c r="O515" t="s">
        <v>49</v>
      </c>
      <c r="P515">
        <v>0</v>
      </c>
      <c r="Q515" t="s">
        <v>50</v>
      </c>
      <c r="R515" t="s">
        <v>51</v>
      </c>
      <c r="S515">
        <v>1916</v>
      </c>
      <c r="T515">
        <v>2005</v>
      </c>
      <c r="U515" s="1">
        <v>6014</v>
      </c>
      <c r="V515" s="2">
        <v>6014</v>
      </c>
      <c r="Y515" t="s">
        <v>2294</v>
      </c>
      <c r="Z515">
        <v>0</v>
      </c>
      <c r="AA515">
        <v>1</v>
      </c>
      <c r="AB515">
        <v>0</v>
      </c>
      <c r="AC515">
        <v>0</v>
      </c>
      <c r="AF515">
        <v>1978</v>
      </c>
      <c r="AG515">
        <v>1982</v>
      </c>
      <c r="AH515">
        <v>1.88385817530875</v>
      </c>
      <c r="AI515">
        <v>1204</v>
      </c>
      <c r="AJ515">
        <v>23.257765509989699</v>
      </c>
      <c r="AK515">
        <v>58.58</v>
      </c>
      <c r="AL515">
        <v>2.2794665189158301</v>
      </c>
      <c r="AM515">
        <v>3.68087923297215</v>
      </c>
      <c r="AN515">
        <v>8</v>
      </c>
      <c r="AO515" t="b">
        <v>1</v>
      </c>
      <c r="AP515" t="s">
        <v>45</v>
      </c>
      <c r="AQ515">
        <v>1903</v>
      </c>
      <c r="AR515">
        <v>1978</v>
      </c>
      <c r="AS515" t="s">
        <v>1597</v>
      </c>
      <c r="AT515">
        <v>4</v>
      </c>
      <c r="AU515">
        <f t="shared" ref="AU515:AU578" si="26">ROUND(AT515/365,3)</f>
        <v>1.0999999999999999E-2</v>
      </c>
    </row>
    <row r="516" spans="1:47" x14ac:dyDescent="0.3">
      <c r="A516">
        <v>514</v>
      </c>
      <c r="B516" t="s">
        <v>2295</v>
      </c>
      <c r="C516" t="s">
        <v>2296</v>
      </c>
      <c r="D516">
        <v>100</v>
      </c>
      <c r="E516" t="s">
        <v>2104</v>
      </c>
      <c r="F516" t="str">
        <f>VLOOKUP(E516,country_continent!A:C,2,FALSE)</f>
        <v>Colombia</v>
      </c>
      <c r="G516" t="str">
        <f>VLOOKUP(E516,country_continent!A:C,3,FALSE)</f>
        <v>South America</v>
      </c>
      <c r="H516" t="s">
        <v>2297</v>
      </c>
      <c r="I516" s="1">
        <v>30170</v>
      </c>
      <c r="J516" s="3">
        <f t="shared" si="24"/>
        <v>30170</v>
      </c>
      <c r="K516" s="1">
        <v>31631</v>
      </c>
      <c r="L516" s="3">
        <f t="shared" si="25"/>
        <v>31631</v>
      </c>
      <c r="M516" t="s">
        <v>49</v>
      </c>
      <c r="N516" t="s">
        <v>49</v>
      </c>
      <c r="O516" t="s">
        <v>49</v>
      </c>
      <c r="P516">
        <v>0</v>
      </c>
      <c r="Q516" t="s">
        <v>50</v>
      </c>
      <c r="R516" t="s">
        <v>51</v>
      </c>
      <c r="S516">
        <v>1923</v>
      </c>
      <c r="T516">
        <v>-777</v>
      </c>
      <c r="Z516">
        <v>0</v>
      </c>
      <c r="AA516">
        <v>1</v>
      </c>
      <c r="AB516">
        <v>0</v>
      </c>
      <c r="AC516">
        <v>0</v>
      </c>
      <c r="AF516">
        <v>1982</v>
      </c>
      <c r="AG516">
        <v>1986</v>
      </c>
      <c r="AH516">
        <v>0.68177067943467995</v>
      </c>
      <c r="AI516">
        <v>1296</v>
      </c>
      <c r="AJ516">
        <v>24.280338823795699</v>
      </c>
      <c r="AK516">
        <v>47.46</v>
      </c>
      <c r="AL516">
        <v>2.23998615130348</v>
      </c>
      <c r="AM516">
        <v>3.3782023859924499</v>
      </c>
      <c r="AN516">
        <v>8</v>
      </c>
      <c r="AO516" t="b">
        <v>1</v>
      </c>
      <c r="AP516" t="s">
        <v>45</v>
      </c>
      <c r="AQ516">
        <v>1903</v>
      </c>
      <c r="AR516">
        <v>1978</v>
      </c>
      <c r="AS516" t="s">
        <v>1597</v>
      </c>
      <c r="AT516">
        <v>4</v>
      </c>
      <c r="AU516">
        <f t="shared" si="26"/>
        <v>1.0999999999999999E-2</v>
      </c>
    </row>
    <row r="517" spans="1:47" x14ac:dyDescent="0.3">
      <c r="A517">
        <v>515</v>
      </c>
      <c r="B517" t="s">
        <v>2298</v>
      </c>
      <c r="C517" t="s">
        <v>2299</v>
      </c>
      <c r="D517">
        <v>100</v>
      </c>
      <c r="E517" t="s">
        <v>2104</v>
      </c>
      <c r="F517" t="str">
        <f>VLOOKUP(E517,country_continent!A:C,2,FALSE)</f>
        <v>Colombia</v>
      </c>
      <c r="G517" t="str">
        <f>VLOOKUP(E517,country_continent!A:C,3,FALSE)</f>
        <v>South America</v>
      </c>
      <c r="H517" t="s">
        <v>2300</v>
      </c>
      <c r="I517" s="1">
        <v>31631</v>
      </c>
      <c r="J517" s="3">
        <f t="shared" si="24"/>
        <v>31631</v>
      </c>
      <c r="K517" s="1">
        <v>33092</v>
      </c>
      <c r="L517" s="3">
        <f t="shared" si="25"/>
        <v>33092</v>
      </c>
      <c r="M517" t="s">
        <v>49</v>
      </c>
      <c r="N517" t="s">
        <v>49</v>
      </c>
      <c r="O517" t="s">
        <v>49</v>
      </c>
      <c r="P517">
        <v>0</v>
      </c>
      <c r="Q517" t="s">
        <v>50</v>
      </c>
      <c r="R517" t="s">
        <v>51</v>
      </c>
      <c r="S517">
        <v>1921</v>
      </c>
      <c r="T517">
        <v>1997</v>
      </c>
      <c r="U517" s="1">
        <v>7931</v>
      </c>
      <c r="V517" s="2">
        <v>7931</v>
      </c>
      <c r="Y517" t="s">
        <v>2301</v>
      </c>
      <c r="Z517">
        <v>0</v>
      </c>
      <c r="AA517">
        <v>1</v>
      </c>
      <c r="AB517">
        <v>0</v>
      </c>
      <c r="AC517">
        <v>0</v>
      </c>
      <c r="AF517">
        <v>1986</v>
      </c>
      <c r="AG517">
        <v>1990</v>
      </c>
      <c r="AH517">
        <v>2.4604872451158202</v>
      </c>
      <c r="AI517">
        <v>1294</v>
      </c>
      <c r="AJ517">
        <v>31.463567687436498</v>
      </c>
      <c r="AK517">
        <v>38.54</v>
      </c>
      <c r="AL517">
        <v>2.05767057723767</v>
      </c>
      <c r="AM517">
        <v>5.0124678471197104</v>
      </c>
      <c r="AN517">
        <v>8</v>
      </c>
      <c r="AO517" t="b">
        <v>1</v>
      </c>
      <c r="AP517" t="s">
        <v>45</v>
      </c>
      <c r="AQ517">
        <v>1903</v>
      </c>
      <c r="AR517">
        <v>1978</v>
      </c>
      <c r="AS517" t="s">
        <v>1597</v>
      </c>
      <c r="AT517">
        <v>4</v>
      </c>
      <c r="AU517">
        <f t="shared" si="26"/>
        <v>1.0999999999999999E-2</v>
      </c>
    </row>
    <row r="518" spans="1:47" x14ac:dyDescent="0.3">
      <c r="A518">
        <v>516</v>
      </c>
      <c r="B518" t="s">
        <v>2302</v>
      </c>
      <c r="C518" t="s">
        <v>2303</v>
      </c>
      <c r="D518">
        <v>100</v>
      </c>
      <c r="E518" t="s">
        <v>2104</v>
      </c>
      <c r="F518" t="str">
        <f>VLOOKUP(E518,country_continent!A:C,2,FALSE)</f>
        <v>Colombia</v>
      </c>
      <c r="G518" t="str">
        <f>VLOOKUP(E518,country_continent!A:C,3,FALSE)</f>
        <v>South America</v>
      </c>
      <c r="H518" t="s">
        <v>2304</v>
      </c>
      <c r="I518" s="1">
        <v>33092</v>
      </c>
      <c r="J518" s="3">
        <f t="shared" si="24"/>
        <v>33092</v>
      </c>
      <c r="K518" s="1">
        <v>34553</v>
      </c>
      <c r="L518" s="3">
        <f t="shared" si="25"/>
        <v>34553</v>
      </c>
      <c r="M518" t="s">
        <v>49</v>
      </c>
      <c r="N518" t="s">
        <v>49</v>
      </c>
      <c r="O518" t="s">
        <v>49</v>
      </c>
      <c r="P518">
        <v>0</v>
      </c>
      <c r="Q518" t="s">
        <v>50</v>
      </c>
      <c r="R518" t="s">
        <v>51</v>
      </c>
      <c r="S518">
        <v>1947</v>
      </c>
      <c r="T518">
        <v>-777</v>
      </c>
      <c r="U518" s="1">
        <v>17257</v>
      </c>
      <c r="V518" s="2">
        <v>17257</v>
      </c>
      <c r="Z518">
        <v>0</v>
      </c>
      <c r="AA518">
        <v>1</v>
      </c>
      <c r="AB518">
        <v>0</v>
      </c>
      <c r="AC518">
        <v>0</v>
      </c>
      <c r="AF518">
        <v>1990</v>
      </c>
      <c r="AG518">
        <v>1994</v>
      </c>
      <c r="AH518">
        <v>2.2351085380793299</v>
      </c>
      <c r="AI518">
        <v>1644</v>
      </c>
      <c r="AJ518">
        <v>29.788843739847199</v>
      </c>
      <c r="AK518">
        <v>33.32</v>
      </c>
      <c r="AL518">
        <v>2.0052333872830999</v>
      </c>
      <c r="AM518">
        <v>4.0304050690739297</v>
      </c>
      <c r="AN518">
        <v>8.8000000000000007</v>
      </c>
      <c r="AO518" t="b">
        <v>1</v>
      </c>
      <c r="AP518" t="s">
        <v>45</v>
      </c>
      <c r="AQ518">
        <v>1903</v>
      </c>
      <c r="AR518">
        <v>1978</v>
      </c>
      <c r="AS518" t="s">
        <v>1597</v>
      </c>
      <c r="AT518">
        <v>4</v>
      </c>
      <c r="AU518">
        <f t="shared" si="26"/>
        <v>1.0999999999999999E-2</v>
      </c>
    </row>
    <row r="519" spans="1:47" x14ac:dyDescent="0.3">
      <c r="A519">
        <v>517</v>
      </c>
      <c r="B519" t="s">
        <v>2305</v>
      </c>
      <c r="C519" t="s">
        <v>2306</v>
      </c>
      <c r="D519">
        <v>100</v>
      </c>
      <c r="E519" t="s">
        <v>2104</v>
      </c>
      <c r="F519" t="str">
        <f>VLOOKUP(E519,country_continent!A:C,2,FALSE)</f>
        <v>Colombia</v>
      </c>
      <c r="G519" t="str">
        <f>VLOOKUP(E519,country_continent!A:C,3,FALSE)</f>
        <v>South America</v>
      </c>
      <c r="H519" t="s">
        <v>2307</v>
      </c>
      <c r="I519" s="1">
        <v>34553</v>
      </c>
      <c r="J519" s="3">
        <f t="shared" si="24"/>
        <v>34553</v>
      </c>
      <c r="K519" s="1">
        <v>36014</v>
      </c>
      <c r="L519" s="3">
        <f t="shared" si="25"/>
        <v>36014</v>
      </c>
      <c r="M519" t="s">
        <v>49</v>
      </c>
      <c r="N519" t="s">
        <v>49</v>
      </c>
      <c r="O519" t="s">
        <v>49</v>
      </c>
      <c r="P519">
        <v>0</v>
      </c>
      <c r="Q519" t="s">
        <v>50</v>
      </c>
      <c r="R519" t="s">
        <v>51</v>
      </c>
      <c r="S519">
        <v>1950</v>
      </c>
      <c r="T519">
        <v>-777</v>
      </c>
      <c r="Z519">
        <v>0</v>
      </c>
      <c r="AA519">
        <v>1</v>
      </c>
      <c r="AB519">
        <v>0</v>
      </c>
      <c r="AC519">
        <v>0</v>
      </c>
      <c r="AF519">
        <v>1994</v>
      </c>
      <c r="AG519">
        <v>1998</v>
      </c>
      <c r="AH519">
        <v>1.5109550336014701</v>
      </c>
      <c r="AI519">
        <v>2470</v>
      </c>
      <c r="AJ519">
        <v>17.8857225300452</v>
      </c>
      <c r="AK519">
        <v>28.86</v>
      </c>
      <c r="AL519">
        <v>1.8568071465809299</v>
      </c>
      <c r="AM519">
        <v>2.8780407525506102</v>
      </c>
      <c r="AN519">
        <v>7.4</v>
      </c>
      <c r="AO519" t="b">
        <v>1</v>
      </c>
      <c r="AP519" t="s">
        <v>45</v>
      </c>
      <c r="AQ519">
        <v>1903</v>
      </c>
      <c r="AR519">
        <v>1978</v>
      </c>
      <c r="AS519" t="s">
        <v>1597</v>
      </c>
      <c r="AT519">
        <v>4</v>
      </c>
      <c r="AU519">
        <f t="shared" si="26"/>
        <v>1.0999999999999999E-2</v>
      </c>
    </row>
    <row r="520" spans="1:47" x14ac:dyDescent="0.3">
      <c r="A520">
        <v>518</v>
      </c>
      <c r="B520" t="s">
        <v>2308</v>
      </c>
      <c r="C520" t="s">
        <v>2309</v>
      </c>
      <c r="D520">
        <v>100</v>
      </c>
      <c r="E520" t="s">
        <v>2104</v>
      </c>
      <c r="F520" t="str">
        <f>VLOOKUP(E520,country_continent!A:C,2,FALSE)</f>
        <v>Colombia</v>
      </c>
      <c r="G520" t="str">
        <f>VLOOKUP(E520,country_continent!A:C,3,FALSE)</f>
        <v>South America</v>
      </c>
      <c r="H520" t="s">
        <v>2310</v>
      </c>
      <c r="I520" s="1">
        <v>36014</v>
      </c>
      <c r="J520" s="3">
        <f t="shared" si="24"/>
        <v>36014</v>
      </c>
      <c r="K520" s="1">
        <v>37475</v>
      </c>
      <c r="L520" s="3">
        <f t="shared" si="25"/>
        <v>37475</v>
      </c>
      <c r="M520" t="s">
        <v>49</v>
      </c>
      <c r="N520" t="s">
        <v>49</v>
      </c>
      <c r="O520" t="s">
        <v>49</v>
      </c>
      <c r="P520">
        <v>0</v>
      </c>
      <c r="Q520" t="s">
        <v>50</v>
      </c>
      <c r="R520" t="s">
        <v>51</v>
      </c>
      <c r="S520">
        <v>1954</v>
      </c>
      <c r="T520">
        <v>-777</v>
      </c>
      <c r="Z520">
        <v>0</v>
      </c>
      <c r="AA520">
        <v>1</v>
      </c>
      <c r="AB520">
        <v>0</v>
      </c>
      <c r="AC520">
        <v>0</v>
      </c>
      <c r="AD520" t="s">
        <v>2311</v>
      </c>
      <c r="AE520">
        <v>1</v>
      </c>
      <c r="AF520">
        <v>1998</v>
      </c>
      <c r="AG520">
        <v>2002</v>
      </c>
      <c r="AH520">
        <v>-0.95727452970046401</v>
      </c>
      <c r="AI520">
        <v>2422</v>
      </c>
      <c r="AJ520">
        <v>14.711599123258701</v>
      </c>
      <c r="AK520">
        <v>25.12</v>
      </c>
      <c r="AL520">
        <v>1.6555365470635901</v>
      </c>
      <c r="AM520">
        <v>4.0033749859135304</v>
      </c>
      <c r="AN520">
        <v>7</v>
      </c>
      <c r="AO520" t="b">
        <v>1</v>
      </c>
      <c r="AP520" t="s">
        <v>45</v>
      </c>
      <c r="AQ520">
        <v>1903</v>
      </c>
      <c r="AR520">
        <v>1978</v>
      </c>
      <c r="AS520" t="s">
        <v>1597</v>
      </c>
      <c r="AT520">
        <v>4</v>
      </c>
      <c r="AU520">
        <f t="shared" si="26"/>
        <v>1.0999999999999999E-2</v>
      </c>
    </row>
    <row r="521" spans="1:47" x14ac:dyDescent="0.3">
      <c r="A521">
        <v>519</v>
      </c>
      <c r="B521" t="s">
        <v>2312</v>
      </c>
      <c r="C521" t="s">
        <v>2313</v>
      </c>
      <c r="D521">
        <v>100</v>
      </c>
      <c r="E521" t="s">
        <v>2104</v>
      </c>
      <c r="F521" t="str">
        <f>VLOOKUP(E521,country_continent!A:C,2,FALSE)</f>
        <v>Colombia</v>
      </c>
      <c r="G521" t="str">
        <f>VLOOKUP(E521,country_continent!A:C,3,FALSE)</f>
        <v>South America</v>
      </c>
      <c r="H521" t="s">
        <v>2314</v>
      </c>
      <c r="I521" s="1">
        <v>37476</v>
      </c>
      <c r="J521" s="3">
        <f t="shared" si="24"/>
        <v>37476</v>
      </c>
      <c r="K521" s="1">
        <v>40397</v>
      </c>
      <c r="L521" s="3">
        <f t="shared" si="25"/>
        <v>40397</v>
      </c>
      <c r="M521" t="s">
        <v>49</v>
      </c>
      <c r="N521" t="s">
        <v>49</v>
      </c>
      <c r="O521" t="s">
        <v>49</v>
      </c>
      <c r="P521">
        <v>0</v>
      </c>
      <c r="Q521" t="s">
        <v>50</v>
      </c>
      <c r="R521" t="s">
        <v>51</v>
      </c>
      <c r="S521">
        <v>1952</v>
      </c>
      <c r="T521">
        <v>-777</v>
      </c>
      <c r="Z521">
        <v>0</v>
      </c>
      <c r="AA521">
        <v>1</v>
      </c>
      <c r="AB521">
        <v>0</v>
      </c>
      <c r="AC521">
        <v>0</v>
      </c>
      <c r="AF521">
        <v>2002</v>
      </c>
      <c r="AG521">
        <v>2010</v>
      </c>
      <c r="AH521">
        <v>2.9452837830937701</v>
      </c>
      <c r="AI521">
        <v>3763.3333333333298</v>
      </c>
      <c r="AJ521">
        <v>5.7099553653381303</v>
      </c>
      <c r="AK521">
        <v>20.877777777777698</v>
      </c>
      <c r="AL521">
        <v>1.3346364296589599</v>
      </c>
      <c r="AM521">
        <v>6.1154610094045001</v>
      </c>
      <c r="AN521">
        <v>7</v>
      </c>
      <c r="AO521" t="b">
        <v>1</v>
      </c>
      <c r="AP521" t="s">
        <v>45</v>
      </c>
      <c r="AQ521">
        <v>1903</v>
      </c>
      <c r="AR521">
        <v>1978</v>
      </c>
      <c r="AS521" t="s">
        <v>2315</v>
      </c>
      <c r="AT521">
        <v>7.9972621492128599</v>
      </c>
      <c r="AU521">
        <f t="shared" si="26"/>
        <v>2.1999999999999999E-2</v>
      </c>
    </row>
    <row r="522" spans="1:47" x14ac:dyDescent="0.3">
      <c r="A522">
        <v>520</v>
      </c>
      <c r="B522" t="s">
        <v>2316</v>
      </c>
      <c r="C522" t="s">
        <v>2317</v>
      </c>
      <c r="D522">
        <v>100</v>
      </c>
      <c r="E522" t="s">
        <v>2104</v>
      </c>
      <c r="F522" t="str">
        <f>VLOOKUP(E522,country_continent!A:C,2,FALSE)</f>
        <v>Colombia</v>
      </c>
      <c r="G522" t="str">
        <f>VLOOKUP(E522,country_continent!A:C,3,FALSE)</f>
        <v>South America</v>
      </c>
      <c r="H522" t="s">
        <v>2318</v>
      </c>
      <c r="I522" s="1">
        <v>40397</v>
      </c>
      <c r="J522" s="3">
        <f t="shared" si="24"/>
        <v>40397</v>
      </c>
      <c r="K522" s="1">
        <v>42369</v>
      </c>
      <c r="L522" s="3">
        <f t="shared" si="25"/>
        <v>42369</v>
      </c>
      <c r="M522" t="s">
        <v>49</v>
      </c>
      <c r="N522" t="s">
        <v>173</v>
      </c>
      <c r="O522" t="s">
        <v>173</v>
      </c>
      <c r="P522">
        <v>0</v>
      </c>
      <c r="Q522" t="s">
        <v>174</v>
      </c>
      <c r="R522" t="s">
        <v>51</v>
      </c>
      <c r="S522">
        <v>1951</v>
      </c>
      <c r="T522">
        <v>-777</v>
      </c>
      <c r="U522" s="1">
        <v>18850</v>
      </c>
      <c r="V522" s="2">
        <v>18850</v>
      </c>
      <c r="Z522">
        <v>0</v>
      </c>
      <c r="AA522">
        <v>-888</v>
      </c>
      <c r="AB522">
        <v>-888</v>
      </c>
      <c r="AC522">
        <v>-888</v>
      </c>
      <c r="AF522">
        <v>2010</v>
      </c>
      <c r="AG522">
        <v>2015</v>
      </c>
      <c r="AH522">
        <v>3.6298522467101599</v>
      </c>
      <c r="AI522">
        <v>7185</v>
      </c>
      <c r="AJ522">
        <v>3.4001593260273402</v>
      </c>
      <c r="AK522">
        <v>16.9166666666666</v>
      </c>
      <c r="AL522">
        <v>0.98609612271548996</v>
      </c>
      <c r="AM522">
        <v>7.0798680462628196</v>
      </c>
      <c r="AN522">
        <v>7</v>
      </c>
      <c r="AO522" t="b">
        <v>1</v>
      </c>
      <c r="AP522" t="s">
        <v>45</v>
      </c>
      <c r="AQ522">
        <v>1903</v>
      </c>
      <c r="AR522">
        <v>1978</v>
      </c>
      <c r="AS522" t="s">
        <v>2319</v>
      </c>
      <c r="AT522">
        <v>5.3990417522245</v>
      </c>
      <c r="AU522">
        <f t="shared" si="26"/>
        <v>1.4999999999999999E-2</v>
      </c>
    </row>
    <row r="523" spans="1:47" x14ac:dyDescent="0.3">
      <c r="A523">
        <v>521</v>
      </c>
      <c r="B523" t="s">
        <v>2320</v>
      </c>
      <c r="C523" t="s">
        <v>2321</v>
      </c>
      <c r="D523">
        <v>101</v>
      </c>
      <c r="E523" t="s">
        <v>2322</v>
      </c>
      <c r="F523" t="str">
        <f>VLOOKUP(E523,country_continent!A:C,2,FALSE)</f>
        <v>Venezuela</v>
      </c>
      <c r="G523" t="str">
        <f>VLOOKUP(E523,country_continent!A:C,3,FALSE)</f>
        <v>South America</v>
      </c>
      <c r="H523" t="s">
        <v>2323</v>
      </c>
      <c r="I523" t="s">
        <v>2324</v>
      </c>
      <c r="J523" s="3" t="str">
        <f t="shared" si="24"/>
        <v>1870/04/27</v>
      </c>
      <c r="K523" t="s">
        <v>2325</v>
      </c>
      <c r="L523" s="3" t="str">
        <f t="shared" si="25"/>
        <v>1877/02/20</v>
      </c>
      <c r="M523" t="s">
        <v>67</v>
      </c>
      <c r="N523" t="s">
        <v>49</v>
      </c>
      <c r="O523" t="s">
        <v>49</v>
      </c>
      <c r="P523">
        <v>0</v>
      </c>
      <c r="Q523" t="s">
        <v>50</v>
      </c>
      <c r="R523" t="s">
        <v>51</v>
      </c>
      <c r="S523">
        <v>1829</v>
      </c>
      <c r="T523">
        <v>1899</v>
      </c>
      <c r="U523" t="s">
        <v>2326</v>
      </c>
      <c r="V523" t="s">
        <v>2327</v>
      </c>
      <c r="Y523" t="s">
        <v>2328</v>
      </c>
      <c r="Z523">
        <v>1</v>
      </c>
      <c r="AA523">
        <v>1</v>
      </c>
      <c r="AB523">
        <v>0</v>
      </c>
      <c r="AC523">
        <v>0</v>
      </c>
      <c r="AF523">
        <v>1870</v>
      </c>
      <c r="AG523">
        <v>1877</v>
      </c>
      <c r="AO523" t="b">
        <v>1</v>
      </c>
      <c r="AP523" t="s">
        <v>45</v>
      </c>
      <c r="AQ523">
        <v>1917</v>
      </c>
      <c r="AR523">
        <v>2016</v>
      </c>
      <c r="AS523" t="s">
        <v>2329</v>
      </c>
      <c r="AT523">
        <v>6.8199863107460601</v>
      </c>
      <c r="AU523">
        <f t="shared" si="26"/>
        <v>1.9E-2</v>
      </c>
    </row>
    <row r="524" spans="1:47" x14ac:dyDescent="0.3">
      <c r="A524">
        <v>522</v>
      </c>
      <c r="B524" t="s">
        <v>2330</v>
      </c>
      <c r="C524" t="s">
        <v>2331</v>
      </c>
      <c r="D524">
        <v>101</v>
      </c>
      <c r="E524" t="s">
        <v>2322</v>
      </c>
      <c r="F524" t="str">
        <f>VLOOKUP(E524,country_continent!A:C,2,FALSE)</f>
        <v>Venezuela</v>
      </c>
      <c r="G524" t="str">
        <f>VLOOKUP(E524,country_continent!A:C,3,FALSE)</f>
        <v>South America</v>
      </c>
      <c r="H524" t="s">
        <v>2332</v>
      </c>
      <c r="I524" t="s">
        <v>2333</v>
      </c>
      <c r="J524" s="3" t="str">
        <f t="shared" si="24"/>
        <v>1877/02/21</v>
      </c>
      <c r="K524" t="s">
        <v>2334</v>
      </c>
      <c r="L524" s="3" t="str">
        <f t="shared" si="25"/>
        <v>1877/03/02</v>
      </c>
      <c r="M524" t="s">
        <v>49</v>
      </c>
      <c r="N524" t="s">
        <v>49</v>
      </c>
      <c r="O524" t="s">
        <v>49</v>
      </c>
      <c r="P524">
        <v>0</v>
      </c>
      <c r="Q524" t="s">
        <v>1453</v>
      </c>
      <c r="R524" t="s">
        <v>51</v>
      </c>
      <c r="S524">
        <v>1808</v>
      </c>
      <c r="T524">
        <v>1884</v>
      </c>
      <c r="Z524">
        <v>0</v>
      </c>
      <c r="AA524">
        <v>1</v>
      </c>
      <c r="AB524">
        <v>0</v>
      </c>
      <c r="AC524">
        <v>-666</v>
      </c>
      <c r="AF524">
        <v>1877</v>
      </c>
      <c r="AG524">
        <v>1877</v>
      </c>
      <c r="AO524" t="b">
        <v>1</v>
      </c>
      <c r="AP524" t="s">
        <v>45</v>
      </c>
      <c r="AQ524">
        <v>1917</v>
      </c>
      <c r="AR524">
        <v>2016</v>
      </c>
      <c r="AS524" t="s">
        <v>2335</v>
      </c>
      <c r="AT524">
        <v>2.4640657084188899E-2</v>
      </c>
      <c r="AU524">
        <f t="shared" si="26"/>
        <v>0</v>
      </c>
    </row>
    <row r="525" spans="1:47" x14ac:dyDescent="0.3">
      <c r="A525">
        <v>523</v>
      </c>
      <c r="B525" t="s">
        <v>2336</v>
      </c>
      <c r="C525" t="s">
        <v>2337</v>
      </c>
      <c r="D525">
        <v>101</v>
      </c>
      <c r="E525" t="s">
        <v>2322</v>
      </c>
      <c r="F525" t="str">
        <f>VLOOKUP(E525,country_continent!A:C,2,FALSE)</f>
        <v>Venezuela</v>
      </c>
      <c r="G525" t="str">
        <f>VLOOKUP(E525,country_continent!A:C,3,FALSE)</f>
        <v>South America</v>
      </c>
      <c r="H525" t="s">
        <v>2338</v>
      </c>
      <c r="I525" t="s">
        <v>2334</v>
      </c>
      <c r="J525" s="3" t="str">
        <f t="shared" si="24"/>
        <v>1877/03/02</v>
      </c>
      <c r="K525" t="s">
        <v>2339</v>
      </c>
      <c r="L525" s="3" t="str">
        <f t="shared" si="25"/>
        <v>1878/11/20</v>
      </c>
      <c r="M525" t="s">
        <v>49</v>
      </c>
      <c r="N525" t="s">
        <v>110</v>
      </c>
      <c r="O525" t="s">
        <v>49</v>
      </c>
      <c r="P525">
        <v>0</v>
      </c>
      <c r="Q525" t="s">
        <v>111</v>
      </c>
      <c r="R525" t="s">
        <v>51</v>
      </c>
      <c r="S525">
        <v>1825</v>
      </c>
      <c r="T525">
        <v>1878</v>
      </c>
      <c r="W525" t="s">
        <v>2340</v>
      </c>
      <c r="X525" t="s">
        <v>2341</v>
      </c>
      <c r="Y525" t="s">
        <v>2342</v>
      </c>
      <c r="Z525">
        <v>0</v>
      </c>
      <c r="AA525">
        <v>2</v>
      </c>
      <c r="AB525">
        <v>0</v>
      </c>
      <c r="AC525">
        <v>-777</v>
      </c>
      <c r="AF525">
        <v>1877</v>
      </c>
      <c r="AG525">
        <v>1878</v>
      </c>
      <c r="AO525" t="b">
        <v>1</v>
      </c>
      <c r="AP525" t="s">
        <v>45</v>
      </c>
      <c r="AQ525">
        <v>1917</v>
      </c>
      <c r="AR525">
        <v>2016</v>
      </c>
      <c r="AS525" t="s">
        <v>2343</v>
      </c>
      <c r="AT525">
        <v>1.7193702943189499</v>
      </c>
      <c r="AU525">
        <f t="shared" si="26"/>
        <v>5.0000000000000001E-3</v>
      </c>
    </row>
    <row r="526" spans="1:47" x14ac:dyDescent="0.3">
      <c r="A526">
        <v>524</v>
      </c>
      <c r="B526" t="s">
        <v>2344</v>
      </c>
      <c r="C526" t="s">
        <v>2331</v>
      </c>
      <c r="D526">
        <v>101</v>
      </c>
      <c r="E526" t="s">
        <v>2322</v>
      </c>
      <c r="F526" t="str">
        <f>VLOOKUP(E526,country_continent!A:C,2,FALSE)</f>
        <v>Venezuela</v>
      </c>
      <c r="G526" t="str">
        <f>VLOOKUP(E526,country_continent!A:C,3,FALSE)</f>
        <v>South America</v>
      </c>
      <c r="H526" t="s">
        <v>2332</v>
      </c>
      <c r="I526" t="s">
        <v>2339</v>
      </c>
      <c r="J526" s="3" t="str">
        <f t="shared" si="24"/>
        <v>1878/11/20</v>
      </c>
      <c r="K526" t="s">
        <v>2345</v>
      </c>
      <c r="L526" s="3" t="str">
        <f t="shared" si="25"/>
        <v>1879/01/01</v>
      </c>
      <c r="M526" t="s">
        <v>49</v>
      </c>
      <c r="N526" t="s">
        <v>67</v>
      </c>
      <c r="O526" t="s">
        <v>347</v>
      </c>
      <c r="P526">
        <v>1</v>
      </c>
      <c r="Q526" t="s">
        <v>362</v>
      </c>
      <c r="R526" t="s">
        <v>51</v>
      </c>
      <c r="S526">
        <v>1808</v>
      </c>
      <c r="T526">
        <v>1884</v>
      </c>
      <c r="Z526">
        <v>0</v>
      </c>
      <c r="AA526">
        <v>3</v>
      </c>
      <c r="AB526">
        <v>-999</v>
      </c>
      <c r="AC526">
        <v>1</v>
      </c>
      <c r="AF526">
        <v>1878</v>
      </c>
      <c r="AG526">
        <v>1879</v>
      </c>
      <c r="AO526" t="b">
        <v>1</v>
      </c>
      <c r="AP526" t="s">
        <v>45</v>
      </c>
      <c r="AQ526">
        <v>1917</v>
      </c>
      <c r="AR526">
        <v>2016</v>
      </c>
      <c r="AS526" t="s">
        <v>2346</v>
      </c>
      <c r="AT526">
        <v>0.114989733059548</v>
      </c>
      <c r="AU526">
        <f t="shared" si="26"/>
        <v>0</v>
      </c>
    </row>
    <row r="527" spans="1:47" x14ac:dyDescent="0.3">
      <c r="A527">
        <v>525</v>
      </c>
      <c r="B527" t="s">
        <v>2347</v>
      </c>
      <c r="C527" t="s">
        <v>2321</v>
      </c>
      <c r="D527">
        <v>101</v>
      </c>
      <c r="E527" t="s">
        <v>2322</v>
      </c>
      <c r="F527" t="str">
        <f>VLOOKUP(E527,country_continent!A:C,2,FALSE)</f>
        <v>Venezuela</v>
      </c>
      <c r="G527" t="str">
        <f>VLOOKUP(E527,country_continent!A:C,3,FALSE)</f>
        <v>South America</v>
      </c>
      <c r="H527" t="s">
        <v>2323</v>
      </c>
      <c r="I527" t="s">
        <v>2348</v>
      </c>
      <c r="J527" s="3" t="str">
        <f t="shared" si="24"/>
        <v>1879/02/26</v>
      </c>
      <c r="K527" t="s">
        <v>2349</v>
      </c>
      <c r="L527" s="3" t="str">
        <f t="shared" si="25"/>
        <v>1884/04/27</v>
      </c>
      <c r="M527" t="s">
        <v>49</v>
      </c>
      <c r="N527" t="s">
        <v>49</v>
      </c>
      <c r="O527" t="s">
        <v>49</v>
      </c>
      <c r="P527">
        <v>1</v>
      </c>
      <c r="Q527" t="s">
        <v>50</v>
      </c>
      <c r="R527" t="s">
        <v>51</v>
      </c>
      <c r="S527">
        <v>1829</v>
      </c>
      <c r="T527">
        <v>1899</v>
      </c>
      <c r="U527" t="s">
        <v>2326</v>
      </c>
      <c r="V527" t="s">
        <v>2327</v>
      </c>
      <c r="Y527" t="s">
        <v>2328</v>
      </c>
      <c r="Z527">
        <v>0</v>
      </c>
      <c r="AA527">
        <v>1</v>
      </c>
      <c r="AB527">
        <v>0</v>
      </c>
      <c r="AC527">
        <v>0</v>
      </c>
      <c r="AF527">
        <v>1879</v>
      </c>
      <c r="AG527">
        <v>1884</v>
      </c>
      <c r="AO527" t="b">
        <v>1</v>
      </c>
      <c r="AP527" t="s">
        <v>45</v>
      </c>
      <c r="AQ527">
        <v>1917</v>
      </c>
      <c r="AR527">
        <v>2016</v>
      </c>
      <c r="AS527" t="s">
        <v>2350</v>
      </c>
      <c r="AT527">
        <v>5.1663244353182698</v>
      </c>
      <c r="AU527">
        <f t="shared" si="26"/>
        <v>1.4E-2</v>
      </c>
    </row>
    <row r="528" spans="1:47" x14ac:dyDescent="0.3">
      <c r="A528">
        <v>526</v>
      </c>
      <c r="B528" t="s">
        <v>2351</v>
      </c>
      <c r="C528" t="s">
        <v>2352</v>
      </c>
      <c r="D528">
        <v>101</v>
      </c>
      <c r="E528" t="s">
        <v>2322</v>
      </c>
      <c r="F528" t="str">
        <f>VLOOKUP(E528,country_continent!A:C,2,FALSE)</f>
        <v>Venezuela</v>
      </c>
      <c r="G528" t="str">
        <f>VLOOKUP(E528,country_continent!A:C,3,FALSE)</f>
        <v>South America</v>
      </c>
      <c r="H528" t="s">
        <v>2353</v>
      </c>
      <c r="I528" t="s">
        <v>2349</v>
      </c>
      <c r="J528" s="3" t="str">
        <f t="shared" si="24"/>
        <v>1884/04/27</v>
      </c>
      <c r="K528" t="s">
        <v>2354</v>
      </c>
      <c r="L528" s="3" t="str">
        <f t="shared" si="25"/>
        <v>1886/04/27</v>
      </c>
      <c r="M528" t="s">
        <v>49</v>
      </c>
      <c r="N528" t="s">
        <v>49</v>
      </c>
      <c r="O528" t="s">
        <v>49</v>
      </c>
      <c r="P528">
        <v>0</v>
      </c>
      <c r="Q528" t="s">
        <v>50</v>
      </c>
      <c r="R528" t="s">
        <v>51</v>
      </c>
      <c r="S528">
        <v>1841</v>
      </c>
      <c r="T528">
        <v>1898</v>
      </c>
      <c r="U528" t="s">
        <v>2355</v>
      </c>
      <c r="V528" t="s">
        <v>2356</v>
      </c>
      <c r="W528" t="s">
        <v>2357</v>
      </c>
      <c r="X528" t="s">
        <v>2358</v>
      </c>
      <c r="Y528" t="s">
        <v>2359</v>
      </c>
      <c r="Z528">
        <v>0</v>
      </c>
      <c r="AA528">
        <v>1</v>
      </c>
      <c r="AB528">
        <v>0</v>
      </c>
      <c r="AC528">
        <v>0</v>
      </c>
      <c r="AF528">
        <v>1884</v>
      </c>
      <c r="AG528">
        <v>1886</v>
      </c>
      <c r="AO528" t="b">
        <v>1</v>
      </c>
      <c r="AP528" t="s">
        <v>45</v>
      </c>
      <c r="AQ528">
        <v>1917</v>
      </c>
      <c r="AR528">
        <v>2016</v>
      </c>
      <c r="AS528" t="s">
        <v>2360</v>
      </c>
      <c r="AT528">
        <v>1.99863107460643</v>
      </c>
      <c r="AU528">
        <f t="shared" si="26"/>
        <v>5.0000000000000001E-3</v>
      </c>
    </row>
    <row r="529" spans="1:47" x14ac:dyDescent="0.3">
      <c r="A529">
        <v>527</v>
      </c>
      <c r="B529" t="s">
        <v>2361</v>
      </c>
      <c r="C529" t="s">
        <v>2362</v>
      </c>
      <c r="D529">
        <v>101</v>
      </c>
      <c r="E529" t="s">
        <v>2322</v>
      </c>
      <c r="F529" t="str">
        <f>VLOOKUP(E529,country_continent!A:C,2,FALSE)</f>
        <v>Venezuela</v>
      </c>
      <c r="G529" t="str">
        <f>VLOOKUP(E529,country_continent!A:C,3,FALSE)</f>
        <v>South America</v>
      </c>
      <c r="H529" t="s">
        <v>2363</v>
      </c>
      <c r="I529" t="s">
        <v>2354</v>
      </c>
      <c r="J529" s="3" t="str">
        <f t="shared" si="24"/>
        <v>1886/04/27</v>
      </c>
      <c r="K529" t="s">
        <v>2364</v>
      </c>
      <c r="L529" s="3" t="str">
        <f t="shared" si="25"/>
        <v>1886/09/15</v>
      </c>
      <c r="M529" t="s">
        <v>49</v>
      </c>
      <c r="N529" t="s">
        <v>49</v>
      </c>
      <c r="O529" t="s">
        <v>49</v>
      </c>
      <c r="P529">
        <v>0</v>
      </c>
      <c r="Q529" t="s">
        <v>1453</v>
      </c>
      <c r="R529" t="s">
        <v>51</v>
      </c>
      <c r="S529">
        <v>1838</v>
      </c>
      <c r="T529">
        <v>1916</v>
      </c>
      <c r="Z529">
        <v>0</v>
      </c>
      <c r="AA529">
        <v>1</v>
      </c>
      <c r="AB529">
        <v>0</v>
      </c>
      <c r="AC529">
        <v>-666</v>
      </c>
      <c r="AF529">
        <v>1886</v>
      </c>
      <c r="AG529">
        <v>1886</v>
      </c>
      <c r="AO529" t="b">
        <v>1</v>
      </c>
      <c r="AP529" t="s">
        <v>45</v>
      </c>
      <c r="AQ529">
        <v>1917</v>
      </c>
      <c r="AR529">
        <v>2016</v>
      </c>
      <c r="AS529" t="s">
        <v>2365</v>
      </c>
      <c r="AT529">
        <v>0.38603696098562601</v>
      </c>
      <c r="AU529">
        <f t="shared" si="26"/>
        <v>1E-3</v>
      </c>
    </row>
    <row r="530" spans="1:47" x14ac:dyDescent="0.3">
      <c r="A530">
        <v>528</v>
      </c>
      <c r="B530" t="s">
        <v>2366</v>
      </c>
      <c r="C530" t="s">
        <v>2321</v>
      </c>
      <c r="D530">
        <v>101</v>
      </c>
      <c r="E530" t="s">
        <v>2322</v>
      </c>
      <c r="F530" t="str">
        <f>VLOOKUP(E530,country_continent!A:C,2,FALSE)</f>
        <v>Venezuela</v>
      </c>
      <c r="G530" t="str">
        <f>VLOOKUP(E530,country_continent!A:C,3,FALSE)</f>
        <v>South America</v>
      </c>
      <c r="H530" t="s">
        <v>2323</v>
      </c>
      <c r="I530" t="s">
        <v>2364</v>
      </c>
      <c r="J530" s="3" t="str">
        <f t="shared" si="24"/>
        <v>1886/09/15</v>
      </c>
      <c r="K530" t="s">
        <v>2367</v>
      </c>
      <c r="L530" s="3" t="str">
        <f t="shared" si="25"/>
        <v>1887/08/08</v>
      </c>
      <c r="M530" t="s">
        <v>49</v>
      </c>
      <c r="N530" t="s">
        <v>49</v>
      </c>
      <c r="O530" t="s">
        <v>49</v>
      </c>
      <c r="P530">
        <v>2</v>
      </c>
      <c r="Q530" t="s">
        <v>50</v>
      </c>
      <c r="R530" t="s">
        <v>51</v>
      </c>
      <c r="S530">
        <v>1829</v>
      </c>
      <c r="T530">
        <v>1899</v>
      </c>
      <c r="U530" t="s">
        <v>2326</v>
      </c>
      <c r="V530" t="s">
        <v>2327</v>
      </c>
      <c r="Y530" t="s">
        <v>2328</v>
      </c>
      <c r="Z530">
        <v>0</v>
      </c>
      <c r="AA530">
        <v>1</v>
      </c>
      <c r="AB530">
        <v>0</v>
      </c>
      <c r="AC530">
        <v>0</v>
      </c>
      <c r="AF530">
        <v>1886</v>
      </c>
      <c r="AG530">
        <v>1887</v>
      </c>
      <c r="AO530" t="b">
        <v>1</v>
      </c>
      <c r="AP530" t="s">
        <v>45</v>
      </c>
      <c r="AQ530">
        <v>1917</v>
      </c>
      <c r="AR530">
        <v>2016</v>
      </c>
      <c r="AS530" t="s">
        <v>2368</v>
      </c>
      <c r="AT530">
        <v>0.89527720739219696</v>
      </c>
      <c r="AU530">
        <f t="shared" si="26"/>
        <v>2E-3</v>
      </c>
    </row>
    <row r="531" spans="1:47" x14ac:dyDescent="0.3">
      <c r="A531">
        <v>529</v>
      </c>
      <c r="B531" t="s">
        <v>2369</v>
      </c>
      <c r="C531" t="s">
        <v>2370</v>
      </c>
      <c r="D531">
        <v>101</v>
      </c>
      <c r="E531" t="s">
        <v>2322</v>
      </c>
      <c r="F531" t="str">
        <f>VLOOKUP(E531,country_continent!A:C,2,FALSE)</f>
        <v>Venezuela</v>
      </c>
      <c r="G531" t="str">
        <f>VLOOKUP(E531,country_continent!A:C,3,FALSE)</f>
        <v>South America</v>
      </c>
      <c r="H531" t="s">
        <v>2371</v>
      </c>
      <c r="I531" t="s">
        <v>2367</v>
      </c>
      <c r="J531" s="3" t="str">
        <f t="shared" si="24"/>
        <v>1887/08/08</v>
      </c>
      <c r="K531" t="s">
        <v>2372</v>
      </c>
      <c r="L531" s="3" t="str">
        <f t="shared" si="25"/>
        <v>1888/07/05</v>
      </c>
      <c r="M531" t="s">
        <v>49</v>
      </c>
      <c r="N531" t="s">
        <v>49</v>
      </c>
      <c r="O531" t="s">
        <v>49</v>
      </c>
      <c r="P531">
        <v>0</v>
      </c>
      <c r="Q531" t="s">
        <v>50</v>
      </c>
      <c r="R531" t="s">
        <v>51</v>
      </c>
      <c r="S531">
        <v>1830</v>
      </c>
      <c r="T531">
        <v>1898</v>
      </c>
      <c r="U531" t="s">
        <v>2373</v>
      </c>
      <c r="V531" t="s">
        <v>2374</v>
      </c>
      <c r="W531" t="s">
        <v>2375</v>
      </c>
      <c r="X531" t="s">
        <v>2376</v>
      </c>
      <c r="Z531">
        <v>0</v>
      </c>
      <c r="AA531">
        <v>1</v>
      </c>
      <c r="AB531">
        <v>0</v>
      </c>
      <c r="AC531">
        <v>0</v>
      </c>
      <c r="AF531">
        <v>1887</v>
      </c>
      <c r="AG531">
        <v>1888</v>
      </c>
      <c r="AO531" t="b">
        <v>1</v>
      </c>
      <c r="AP531" t="s">
        <v>45</v>
      </c>
      <c r="AQ531">
        <v>1917</v>
      </c>
      <c r="AR531">
        <v>2016</v>
      </c>
      <c r="AS531" t="s">
        <v>2377</v>
      </c>
      <c r="AT531">
        <v>0.90896646132785697</v>
      </c>
      <c r="AU531">
        <f t="shared" si="26"/>
        <v>2E-3</v>
      </c>
    </row>
    <row r="532" spans="1:47" x14ac:dyDescent="0.3">
      <c r="A532">
        <v>530</v>
      </c>
      <c r="B532" t="s">
        <v>2378</v>
      </c>
      <c r="C532" t="s">
        <v>2379</v>
      </c>
      <c r="D532">
        <v>101</v>
      </c>
      <c r="E532" t="s">
        <v>2322</v>
      </c>
      <c r="F532" t="str">
        <f>VLOOKUP(E532,country_continent!A:C,2,FALSE)</f>
        <v>Venezuela</v>
      </c>
      <c r="G532" t="str">
        <f>VLOOKUP(E532,country_continent!A:C,3,FALSE)</f>
        <v>South America</v>
      </c>
      <c r="H532" t="s">
        <v>2380</v>
      </c>
      <c r="I532" t="s">
        <v>2372</v>
      </c>
      <c r="J532" s="3" t="str">
        <f t="shared" si="24"/>
        <v>1888/07/05</v>
      </c>
      <c r="K532" t="s">
        <v>2381</v>
      </c>
      <c r="L532" s="3" t="str">
        <f t="shared" si="25"/>
        <v>1890/03/19</v>
      </c>
      <c r="M532" t="s">
        <v>49</v>
      </c>
      <c r="N532" t="s">
        <v>49</v>
      </c>
      <c r="O532" t="s">
        <v>49</v>
      </c>
      <c r="P532">
        <v>0</v>
      </c>
      <c r="Q532" t="s">
        <v>50</v>
      </c>
      <c r="R532" t="s">
        <v>51</v>
      </c>
      <c r="S532">
        <v>1826</v>
      </c>
      <c r="T532">
        <v>1905</v>
      </c>
      <c r="U532" t="s">
        <v>2382</v>
      </c>
      <c r="V532" t="s">
        <v>2383</v>
      </c>
      <c r="Y532" t="s">
        <v>2384</v>
      </c>
      <c r="Z532">
        <v>0</v>
      </c>
      <c r="AA532">
        <v>1</v>
      </c>
      <c r="AB532">
        <v>0</v>
      </c>
      <c r="AC532">
        <v>0</v>
      </c>
      <c r="AF532">
        <v>1888</v>
      </c>
      <c r="AG532">
        <v>1890</v>
      </c>
      <c r="AO532" t="b">
        <v>1</v>
      </c>
      <c r="AP532" t="s">
        <v>45</v>
      </c>
      <c r="AQ532">
        <v>1917</v>
      </c>
      <c r="AR532">
        <v>2016</v>
      </c>
      <c r="AS532" t="s">
        <v>2385</v>
      </c>
      <c r="AT532">
        <v>1.70294318959616</v>
      </c>
      <c r="AU532">
        <f t="shared" si="26"/>
        <v>5.0000000000000001E-3</v>
      </c>
    </row>
    <row r="533" spans="1:47" x14ac:dyDescent="0.3">
      <c r="A533">
        <v>531</v>
      </c>
      <c r="B533" t="s">
        <v>2386</v>
      </c>
      <c r="C533" t="s">
        <v>2387</v>
      </c>
      <c r="D533">
        <v>101</v>
      </c>
      <c r="E533" t="s">
        <v>2322</v>
      </c>
      <c r="F533" t="str">
        <f>VLOOKUP(E533,country_continent!A:C,2,FALSE)</f>
        <v>Venezuela</v>
      </c>
      <c r="G533" t="str">
        <f>VLOOKUP(E533,country_continent!A:C,3,FALSE)</f>
        <v>South America</v>
      </c>
      <c r="H533" t="s">
        <v>2388</v>
      </c>
      <c r="I533" t="s">
        <v>2381</v>
      </c>
      <c r="J533" s="3" t="str">
        <f t="shared" si="24"/>
        <v>1890/03/19</v>
      </c>
      <c r="K533" t="s">
        <v>2389</v>
      </c>
      <c r="L533" s="3" t="str">
        <f t="shared" si="25"/>
        <v>1892/06/17</v>
      </c>
      <c r="M533" t="s">
        <v>49</v>
      </c>
      <c r="N533" t="s">
        <v>67</v>
      </c>
      <c r="O533" t="s">
        <v>347</v>
      </c>
      <c r="P533">
        <v>0</v>
      </c>
      <c r="Q533" t="s">
        <v>362</v>
      </c>
      <c r="R533" t="s">
        <v>51</v>
      </c>
      <c r="S533">
        <v>1843</v>
      </c>
      <c r="T533">
        <v>1900</v>
      </c>
      <c r="U533" t="s">
        <v>2390</v>
      </c>
      <c r="V533" t="s">
        <v>2391</v>
      </c>
      <c r="Z533">
        <v>0</v>
      </c>
      <c r="AA533">
        <v>3</v>
      </c>
      <c r="AB533">
        <v>-999</v>
      </c>
      <c r="AC533">
        <v>1</v>
      </c>
      <c r="AF533">
        <v>1890</v>
      </c>
      <c r="AG533">
        <v>1892</v>
      </c>
      <c r="AO533" t="b">
        <v>1</v>
      </c>
      <c r="AP533" t="s">
        <v>45</v>
      </c>
      <c r="AQ533">
        <v>1917</v>
      </c>
      <c r="AR533">
        <v>2016</v>
      </c>
      <c r="AS533" t="s">
        <v>2392</v>
      </c>
      <c r="AT533">
        <v>2.2477754962354499</v>
      </c>
      <c r="AU533">
        <f t="shared" si="26"/>
        <v>6.0000000000000001E-3</v>
      </c>
    </row>
    <row r="534" spans="1:47" x14ac:dyDescent="0.3">
      <c r="A534">
        <v>532</v>
      </c>
      <c r="B534" t="s">
        <v>2393</v>
      </c>
      <c r="C534" t="s">
        <v>2394</v>
      </c>
      <c r="D534">
        <v>101</v>
      </c>
      <c r="E534" t="s">
        <v>2322</v>
      </c>
      <c r="F534" t="str">
        <f>VLOOKUP(E534,country_continent!A:C,2,FALSE)</f>
        <v>Venezuela</v>
      </c>
      <c r="G534" t="str">
        <f>VLOOKUP(E534,country_continent!A:C,3,FALSE)</f>
        <v>South America</v>
      </c>
      <c r="H534" t="s">
        <v>2395</v>
      </c>
      <c r="I534" t="s">
        <v>2389</v>
      </c>
      <c r="J534" s="3" t="str">
        <f t="shared" si="24"/>
        <v>1892/06/17</v>
      </c>
      <c r="K534" t="s">
        <v>2396</v>
      </c>
      <c r="L534" s="3" t="str">
        <f t="shared" si="25"/>
        <v>1892/09/02</v>
      </c>
      <c r="M534" t="s">
        <v>67</v>
      </c>
      <c r="N534" t="s">
        <v>67</v>
      </c>
      <c r="O534" t="s">
        <v>347</v>
      </c>
      <c r="P534">
        <v>0</v>
      </c>
      <c r="Q534" t="s">
        <v>362</v>
      </c>
      <c r="R534" t="s">
        <v>51</v>
      </c>
      <c r="S534">
        <v>1823</v>
      </c>
      <c r="T534">
        <v>1907</v>
      </c>
      <c r="Z534">
        <v>1</v>
      </c>
      <c r="AA534">
        <v>3</v>
      </c>
      <c r="AB534">
        <v>-999</v>
      </c>
      <c r="AC534">
        <v>1</v>
      </c>
      <c r="AF534">
        <v>1892</v>
      </c>
      <c r="AG534">
        <v>1892</v>
      </c>
      <c r="AO534" t="b">
        <v>1</v>
      </c>
      <c r="AP534" t="s">
        <v>45</v>
      </c>
      <c r="AQ534">
        <v>1917</v>
      </c>
      <c r="AR534">
        <v>2016</v>
      </c>
      <c r="AS534" t="s">
        <v>2397</v>
      </c>
      <c r="AT534">
        <v>0.210814510609171</v>
      </c>
      <c r="AU534">
        <f t="shared" si="26"/>
        <v>1E-3</v>
      </c>
    </row>
    <row r="535" spans="1:47" x14ac:dyDescent="0.3">
      <c r="A535">
        <v>533</v>
      </c>
      <c r="B535" t="s">
        <v>2398</v>
      </c>
      <c r="C535" t="s">
        <v>2399</v>
      </c>
      <c r="D535">
        <v>101</v>
      </c>
      <c r="E535" t="s">
        <v>2322</v>
      </c>
      <c r="F535" t="str">
        <f>VLOOKUP(E535,country_continent!A:C,2,FALSE)</f>
        <v>Venezuela</v>
      </c>
      <c r="G535" t="str">
        <f>VLOOKUP(E535,country_continent!A:C,3,FALSE)</f>
        <v>South America</v>
      </c>
      <c r="H535" t="s">
        <v>2400</v>
      </c>
      <c r="I535" t="s">
        <v>2396</v>
      </c>
      <c r="J535" s="3" t="str">
        <f t="shared" si="24"/>
        <v>1892/09/02</v>
      </c>
      <c r="K535" t="s">
        <v>2401</v>
      </c>
      <c r="L535" s="3" t="str">
        <f t="shared" si="25"/>
        <v>1892/10/06</v>
      </c>
      <c r="M535" t="s">
        <v>49</v>
      </c>
      <c r="N535" t="s">
        <v>67</v>
      </c>
      <c r="O535" t="s">
        <v>347</v>
      </c>
      <c r="P535">
        <v>0</v>
      </c>
      <c r="Q535" t="s">
        <v>362</v>
      </c>
      <c r="R535" t="s">
        <v>51</v>
      </c>
      <c r="S535">
        <v>1854</v>
      </c>
      <c r="T535">
        <v>1949</v>
      </c>
      <c r="Z535">
        <v>0</v>
      </c>
      <c r="AA535">
        <v>3</v>
      </c>
      <c r="AB535">
        <v>-999</v>
      </c>
      <c r="AC535">
        <v>1</v>
      </c>
      <c r="AF535">
        <v>1892</v>
      </c>
      <c r="AG535">
        <v>1892</v>
      </c>
      <c r="AO535" t="b">
        <v>1</v>
      </c>
      <c r="AP535" t="s">
        <v>45</v>
      </c>
      <c r="AQ535">
        <v>1917</v>
      </c>
      <c r="AR535">
        <v>2016</v>
      </c>
      <c r="AS535" t="s">
        <v>2402</v>
      </c>
      <c r="AT535">
        <v>9.3086926762491404E-2</v>
      </c>
      <c r="AU535">
        <f t="shared" si="26"/>
        <v>0</v>
      </c>
    </row>
    <row r="536" spans="1:47" x14ac:dyDescent="0.3">
      <c r="A536">
        <v>534</v>
      </c>
      <c r="B536" t="s">
        <v>2403</v>
      </c>
      <c r="C536" t="s">
        <v>2352</v>
      </c>
      <c r="D536">
        <v>101</v>
      </c>
      <c r="E536" t="s">
        <v>2322</v>
      </c>
      <c r="F536" t="str">
        <f>VLOOKUP(E536,country_continent!A:C,2,FALSE)</f>
        <v>Venezuela</v>
      </c>
      <c r="G536" t="str">
        <f>VLOOKUP(E536,country_continent!A:C,3,FALSE)</f>
        <v>South America</v>
      </c>
      <c r="H536" t="s">
        <v>2353</v>
      </c>
      <c r="I536" t="s">
        <v>2404</v>
      </c>
      <c r="J536" s="3" t="str">
        <f t="shared" si="24"/>
        <v>1892/10/07</v>
      </c>
      <c r="K536" t="s">
        <v>2405</v>
      </c>
      <c r="L536" s="3" t="str">
        <f t="shared" si="25"/>
        <v>1894/02/28</v>
      </c>
      <c r="M536" t="s">
        <v>67</v>
      </c>
      <c r="N536" t="s">
        <v>49</v>
      </c>
      <c r="O536" t="s">
        <v>49</v>
      </c>
      <c r="P536">
        <v>1</v>
      </c>
      <c r="Q536" t="s">
        <v>50</v>
      </c>
      <c r="R536" t="s">
        <v>51</v>
      </c>
      <c r="S536">
        <v>1841</v>
      </c>
      <c r="T536">
        <v>1898</v>
      </c>
      <c r="U536" t="s">
        <v>2355</v>
      </c>
      <c r="V536" t="s">
        <v>2356</v>
      </c>
      <c r="W536" t="s">
        <v>2357</v>
      </c>
      <c r="X536" t="s">
        <v>2358</v>
      </c>
      <c r="Y536" t="s">
        <v>2359</v>
      </c>
      <c r="Z536">
        <v>1</v>
      </c>
      <c r="AA536">
        <v>1</v>
      </c>
      <c r="AB536">
        <v>0</v>
      </c>
      <c r="AC536">
        <v>0</v>
      </c>
      <c r="AF536">
        <v>1892</v>
      </c>
      <c r="AG536">
        <v>1894</v>
      </c>
      <c r="AO536" t="b">
        <v>1</v>
      </c>
      <c r="AP536" t="s">
        <v>45</v>
      </c>
      <c r="AQ536">
        <v>1917</v>
      </c>
      <c r="AR536">
        <v>2016</v>
      </c>
      <c r="AS536" t="s">
        <v>2406</v>
      </c>
      <c r="AT536">
        <v>1.3935660506502301</v>
      </c>
      <c r="AU536">
        <f t="shared" si="26"/>
        <v>4.0000000000000001E-3</v>
      </c>
    </row>
    <row r="537" spans="1:47" x14ac:dyDescent="0.3">
      <c r="A537">
        <v>535</v>
      </c>
      <c r="B537" t="s">
        <v>2407</v>
      </c>
      <c r="C537" t="s">
        <v>2408</v>
      </c>
      <c r="D537">
        <v>101</v>
      </c>
      <c r="E537" t="s">
        <v>2322</v>
      </c>
      <c r="F537" t="str">
        <f>VLOOKUP(E537,country_continent!A:C,2,FALSE)</f>
        <v>Venezuela</v>
      </c>
      <c r="G537" t="str">
        <f>VLOOKUP(E537,country_continent!A:C,3,FALSE)</f>
        <v>South America</v>
      </c>
      <c r="H537" t="s">
        <v>2409</v>
      </c>
      <c r="I537" t="s">
        <v>2405</v>
      </c>
      <c r="J537" s="3" t="str">
        <f t="shared" si="24"/>
        <v>1894/02/28</v>
      </c>
      <c r="K537" t="s">
        <v>2410</v>
      </c>
      <c r="L537" s="3" t="str">
        <f t="shared" si="25"/>
        <v>1894/03/14</v>
      </c>
      <c r="M537" t="s">
        <v>49</v>
      </c>
      <c r="N537" t="s">
        <v>49</v>
      </c>
      <c r="O537" t="s">
        <v>49</v>
      </c>
      <c r="P537">
        <v>0</v>
      </c>
      <c r="Q537" t="s">
        <v>50</v>
      </c>
      <c r="R537" t="s">
        <v>51</v>
      </c>
      <c r="S537">
        <v>1830</v>
      </c>
      <c r="T537">
        <v>1912</v>
      </c>
      <c r="Z537">
        <v>0</v>
      </c>
      <c r="AA537">
        <v>1</v>
      </c>
      <c r="AB537">
        <v>0</v>
      </c>
      <c r="AC537">
        <v>0</v>
      </c>
      <c r="AF537">
        <v>1894</v>
      </c>
      <c r="AG537">
        <v>1894</v>
      </c>
      <c r="AO537" t="b">
        <v>1</v>
      </c>
      <c r="AP537" t="s">
        <v>45</v>
      </c>
      <c r="AQ537">
        <v>1917</v>
      </c>
      <c r="AR537">
        <v>2016</v>
      </c>
      <c r="AS537" t="s">
        <v>2411</v>
      </c>
      <c r="AT537">
        <v>3.8329911019849401E-2</v>
      </c>
      <c r="AU537">
        <f t="shared" si="26"/>
        <v>0</v>
      </c>
    </row>
    <row r="538" spans="1:47" x14ac:dyDescent="0.3">
      <c r="A538">
        <v>536</v>
      </c>
      <c r="B538" t="s">
        <v>2412</v>
      </c>
      <c r="C538" t="s">
        <v>2352</v>
      </c>
      <c r="D538">
        <v>101</v>
      </c>
      <c r="E538" t="s">
        <v>2322</v>
      </c>
      <c r="F538" t="str">
        <f>VLOOKUP(E538,country_continent!A:C,2,FALSE)</f>
        <v>Venezuela</v>
      </c>
      <c r="G538" t="str">
        <f>VLOOKUP(E538,country_continent!A:C,3,FALSE)</f>
        <v>South America</v>
      </c>
      <c r="H538" t="s">
        <v>2353</v>
      </c>
      <c r="I538" t="s">
        <v>2413</v>
      </c>
      <c r="J538" s="3" t="str">
        <f t="shared" si="24"/>
        <v>1894/04/14</v>
      </c>
      <c r="K538" t="s">
        <v>2414</v>
      </c>
      <c r="L538" s="3" t="str">
        <f t="shared" si="25"/>
        <v>1898/02/20</v>
      </c>
      <c r="M538" t="s">
        <v>49</v>
      </c>
      <c r="N538" t="s">
        <v>49</v>
      </c>
      <c r="O538" t="s">
        <v>49</v>
      </c>
      <c r="P538">
        <v>2</v>
      </c>
      <c r="Q538" t="s">
        <v>69</v>
      </c>
      <c r="R538" t="s">
        <v>51</v>
      </c>
      <c r="S538">
        <v>1841</v>
      </c>
      <c r="T538">
        <v>1898</v>
      </c>
      <c r="U538" t="s">
        <v>2355</v>
      </c>
      <c r="V538" t="s">
        <v>2356</v>
      </c>
      <c r="W538" t="s">
        <v>2357</v>
      </c>
      <c r="X538" t="s">
        <v>2358</v>
      </c>
      <c r="Y538" t="s">
        <v>2359</v>
      </c>
      <c r="Z538">
        <v>0</v>
      </c>
      <c r="AA538">
        <v>1</v>
      </c>
      <c r="AB538">
        <v>0</v>
      </c>
      <c r="AC538">
        <v>3</v>
      </c>
      <c r="AF538">
        <v>1894</v>
      </c>
      <c r="AG538">
        <v>1898</v>
      </c>
      <c r="AO538" t="b">
        <v>1</v>
      </c>
      <c r="AP538" t="s">
        <v>45</v>
      </c>
      <c r="AQ538">
        <v>1917</v>
      </c>
      <c r="AR538">
        <v>2016</v>
      </c>
      <c r="AS538" t="s">
        <v>2415</v>
      </c>
      <c r="AT538">
        <v>3.8548939082819902</v>
      </c>
      <c r="AU538">
        <f t="shared" si="26"/>
        <v>1.0999999999999999E-2</v>
      </c>
    </row>
    <row r="539" spans="1:47" x14ac:dyDescent="0.3">
      <c r="A539">
        <v>537</v>
      </c>
      <c r="B539" t="s">
        <v>2416</v>
      </c>
      <c r="C539" t="s">
        <v>2408</v>
      </c>
      <c r="D539">
        <v>101</v>
      </c>
      <c r="E539" t="s">
        <v>2322</v>
      </c>
      <c r="F539" t="str">
        <f>VLOOKUP(E539,country_continent!A:C,2,FALSE)</f>
        <v>Venezuela</v>
      </c>
      <c r="G539" t="str">
        <f>VLOOKUP(E539,country_continent!A:C,3,FALSE)</f>
        <v>South America</v>
      </c>
      <c r="H539" t="s">
        <v>2409</v>
      </c>
      <c r="I539" t="s">
        <v>2414</v>
      </c>
      <c r="J539" s="3" t="str">
        <f t="shared" si="24"/>
        <v>1898/02/20</v>
      </c>
      <c r="K539" t="s">
        <v>2417</v>
      </c>
      <c r="L539" s="3" t="str">
        <f t="shared" si="25"/>
        <v>1898/02/28</v>
      </c>
      <c r="M539" t="s">
        <v>49</v>
      </c>
      <c r="N539" t="s">
        <v>49</v>
      </c>
      <c r="O539" t="s">
        <v>49</v>
      </c>
      <c r="P539">
        <v>1</v>
      </c>
      <c r="Q539" t="s">
        <v>50</v>
      </c>
      <c r="R539" t="s">
        <v>51</v>
      </c>
      <c r="S539">
        <v>1830</v>
      </c>
      <c r="T539">
        <v>1912</v>
      </c>
      <c r="Z539">
        <v>0</v>
      </c>
      <c r="AA539">
        <v>1</v>
      </c>
      <c r="AB539">
        <v>0</v>
      </c>
      <c r="AC539">
        <v>0</v>
      </c>
      <c r="AF539">
        <v>1898</v>
      </c>
      <c r="AG539">
        <v>1898</v>
      </c>
      <c r="AO539" t="b">
        <v>1</v>
      </c>
      <c r="AP539" t="s">
        <v>45</v>
      </c>
      <c r="AQ539">
        <v>1917</v>
      </c>
      <c r="AR539">
        <v>2016</v>
      </c>
      <c r="AS539" t="s">
        <v>2418</v>
      </c>
      <c r="AT539">
        <v>2.19028062970568E-2</v>
      </c>
      <c r="AU539">
        <f t="shared" si="26"/>
        <v>0</v>
      </c>
    </row>
    <row r="540" spans="1:47" x14ac:dyDescent="0.3">
      <c r="A540">
        <v>538</v>
      </c>
      <c r="B540" t="s">
        <v>2419</v>
      </c>
      <c r="C540" t="s">
        <v>2420</v>
      </c>
      <c r="D540">
        <v>101</v>
      </c>
      <c r="E540" t="s">
        <v>2322</v>
      </c>
      <c r="F540" t="str">
        <f>VLOOKUP(E540,country_continent!A:C,2,FALSE)</f>
        <v>Venezuela</v>
      </c>
      <c r="G540" t="str">
        <f>VLOOKUP(E540,country_continent!A:C,3,FALSE)</f>
        <v>South America</v>
      </c>
      <c r="H540" t="s">
        <v>2421</v>
      </c>
      <c r="I540" t="s">
        <v>2417</v>
      </c>
      <c r="J540" s="3" t="str">
        <f t="shared" si="24"/>
        <v>1898/02/28</v>
      </c>
      <c r="K540" t="s">
        <v>2422</v>
      </c>
      <c r="L540" s="3" t="str">
        <f t="shared" si="25"/>
        <v>1899/10/20</v>
      </c>
      <c r="M540" t="s">
        <v>67</v>
      </c>
      <c r="N540" t="s">
        <v>67</v>
      </c>
      <c r="O540" t="s">
        <v>347</v>
      </c>
      <c r="P540">
        <v>0</v>
      </c>
      <c r="Q540" t="s">
        <v>362</v>
      </c>
      <c r="R540" t="s">
        <v>51</v>
      </c>
      <c r="S540">
        <v>1839</v>
      </c>
      <c r="T540">
        <v>1925</v>
      </c>
      <c r="Y540" t="s">
        <v>2423</v>
      </c>
      <c r="Z540">
        <v>1</v>
      </c>
      <c r="AA540">
        <v>3</v>
      </c>
      <c r="AB540">
        <v>-999</v>
      </c>
      <c r="AC540">
        <v>1</v>
      </c>
      <c r="AF540">
        <v>1898</v>
      </c>
      <c r="AG540">
        <v>1899</v>
      </c>
      <c r="AO540" t="b">
        <v>1</v>
      </c>
      <c r="AP540" t="s">
        <v>45</v>
      </c>
      <c r="AQ540">
        <v>1917</v>
      </c>
      <c r="AR540">
        <v>2016</v>
      </c>
      <c r="AS540" t="s">
        <v>2424</v>
      </c>
      <c r="AT540">
        <v>1.63997262149212</v>
      </c>
      <c r="AU540">
        <f t="shared" si="26"/>
        <v>4.0000000000000001E-3</v>
      </c>
    </row>
    <row r="541" spans="1:47" x14ac:dyDescent="0.3">
      <c r="A541">
        <v>539</v>
      </c>
      <c r="B541" t="s">
        <v>2425</v>
      </c>
      <c r="C541" t="s">
        <v>2426</v>
      </c>
      <c r="D541">
        <v>101</v>
      </c>
      <c r="E541" t="s">
        <v>2322</v>
      </c>
      <c r="F541" t="str">
        <f>VLOOKUP(E541,country_continent!A:C,2,FALSE)</f>
        <v>Venezuela</v>
      </c>
      <c r="G541" t="str">
        <f>VLOOKUP(E541,country_continent!A:C,3,FALSE)</f>
        <v>South America</v>
      </c>
      <c r="H541" t="s">
        <v>2427</v>
      </c>
      <c r="I541" t="s">
        <v>2428</v>
      </c>
      <c r="J541" s="3" t="str">
        <f t="shared" si="24"/>
        <v>1899/10/21</v>
      </c>
      <c r="K541" s="1">
        <v>3267</v>
      </c>
      <c r="L541" s="3">
        <f t="shared" si="25"/>
        <v>3267</v>
      </c>
      <c r="M541" t="s">
        <v>67</v>
      </c>
      <c r="N541" t="s">
        <v>67</v>
      </c>
      <c r="O541" t="s">
        <v>347</v>
      </c>
      <c r="P541">
        <v>0</v>
      </c>
      <c r="Q541" t="s">
        <v>362</v>
      </c>
      <c r="R541" t="s">
        <v>51</v>
      </c>
      <c r="S541">
        <v>1858</v>
      </c>
      <c r="T541">
        <v>1924</v>
      </c>
      <c r="U541" t="s">
        <v>2429</v>
      </c>
      <c r="V541" t="s">
        <v>2430</v>
      </c>
      <c r="Y541" t="s">
        <v>2431</v>
      </c>
      <c r="Z541">
        <v>1</v>
      </c>
      <c r="AA541">
        <v>3</v>
      </c>
      <c r="AB541">
        <v>-999</v>
      </c>
      <c r="AC541">
        <v>1</v>
      </c>
      <c r="AF541">
        <v>1899</v>
      </c>
      <c r="AG541">
        <v>1908</v>
      </c>
      <c r="AO541" t="b">
        <v>1</v>
      </c>
      <c r="AP541" t="s">
        <v>45</v>
      </c>
      <c r="AQ541">
        <v>1917</v>
      </c>
      <c r="AR541">
        <v>2016</v>
      </c>
      <c r="AS541" t="s">
        <v>2432</v>
      </c>
      <c r="AT541">
        <v>9.1362080766598197</v>
      </c>
      <c r="AU541">
        <f t="shared" si="26"/>
        <v>2.5000000000000001E-2</v>
      </c>
    </row>
    <row r="542" spans="1:47" x14ac:dyDescent="0.3">
      <c r="A542">
        <v>540</v>
      </c>
      <c r="B542" t="s">
        <v>2433</v>
      </c>
      <c r="C542" t="s">
        <v>2434</v>
      </c>
      <c r="D542">
        <v>101</v>
      </c>
      <c r="E542" t="s">
        <v>2322</v>
      </c>
      <c r="F542" t="str">
        <f>VLOOKUP(E542,country_continent!A:C,2,FALSE)</f>
        <v>Venezuela</v>
      </c>
      <c r="G542" t="str">
        <f>VLOOKUP(E542,country_continent!A:C,3,FALSE)</f>
        <v>South America</v>
      </c>
      <c r="H542" t="s">
        <v>353</v>
      </c>
      <c r="I542" s="1">
        <v>3276</v>
      </c>
      <c r="J542" s="3">
        <f t="shared" si="24"/>
        <v>3276</v>
      </c>
      <c r="K542" s="1">
        <v>13136</v>
      </c>
      <c r="L542" s="3">
        <f t="shared" si="25"/>
        <v>13136</v>
      </c>
      <c r="M542" t="s">
        <v>67</v>
      </c>
      <c r="N542" t="s">
        <v>110</v>
      </c>
      <c r="O542" t="s">
        <v>49</v>
      </c>
      <c r="P542">
        <v>0</v>
      </c>
      <c r="Q542" t="s">
        <v>111</v>
      </c>
      <c r="R542" t="s">
        <v>51</v>
      </c>
      <c r="S542">
        <v>1857</v>
      </c>
      <c r="T542">
        <v>1935</v>
      </c>
      <c r="U542" t="s">
        <v>2435</v>
      </c>
      <c r="V542" t="s">
        <v>2436</v>
      </c>
      <c r="Y542" t="s">
        <v>2437</v>
      </c>
      <c r="Z542">
        <v>1</v>
      </c>
      <c r="AA542">
        <v>2</v>
      </c>
      <c r="AB542">
        <v>0</v>
      </c>
      <c r="AC542">
        <v>-777</v>
      </c>
      <c r="AF542">
        <v>1908</v>
      </c>
      <c r="AG542">
        <v>1935</v>
      </c>
      <c r="AO542" t="b">
        <v>1</v>
      </c>
      <c r="AP542" t="s">
        <v>45</v>
      </c>
      <c r="AQ542">
        <v>1917</v>
      </c>
      <c r="AR542">
        <v>2016</v>
      </c>
      <c r="AS542" t="s">
        <v>2438</v>
      </c>
      <c r="AT542">
        <v>26.995208761122498</v>
      </c>
      <c r="AU542">
        <f t="shared" si="26"/>
        <v>7.3999999999999996E-2</v>
      </c>
    </row>
    <row r="543" spans="1:47" x14ac:dyDescent="0.3">
      <c r="A543">
        <v>541</v>
      </c>
      <c r="B543" t="s">
        <v>2439</v>
      </c>
      <c r="C543" t="s">
        <v>2440</v>
      </c>
      <c r="D543">
        <v>101</v>
      </c>
      <c r="E543" t="s">
        <v>2322</v>
      </c>
      <c r="F543" t="str">
        <f>VLOOKUP(E543,country_continent!A:C,2,FALSE)</f>
        <v>Venezuela</v>
      </c>
      <c r="G543" t="str">
        <f>VLOOKUP(E543,country_continent!A:C,3,FALSE)</f>
        <v>South America</v>
      </c>
      <c r="H543" t="s">
        <v>2441</v>
      </c>
      <c r="I543" s="1">
        <v>13136</v>
      </c>
      <c r="J543" s="3">
        <f t="shared" si="24"/>
        <v>13136</v>
      </c>
      <c r="K543" s="1">
        <v>15081</v>
      </c>
      <c r="L543" s="3">
        <f t="shared" si="25"/>
        <v>15081</v>
      </c>
      <c r="M543" t="s">
        <v>49</v>
      </c>
      <c r="N543" t="s">
        <v>49</v>
      </c>
      <c r="O543" t="s">
        <v>49</v>
      </c>
      <c r="P543">
        <v>0</v>
      </c>
      <c r="Q543" t="s">
        <v>50</v>
      </c>
      <c r="R543" t="s">
        <v>51</v>
      </c>
      <c r="S543">
        <v>1883</v>
      </c>
      <c r="T543">
        <v>1973</v>
      </c>
      <c r="U543" t="s">
        <v>2442</v>
      </c>
      <c r="V543" t="s">
        <v>2443</v>
      </c>
      <c r="Y543" t="s">
        <v>2444</v>
      </c>
      <c r="Z543">
        <v>0</v>
      </c>
      <c r="AA543">
        <v>1</v>
      </c>
      <c r="AB543">
        <v>0</v>
      </c>
      <c r="AC543">
        <v>0</v>
      </c>
      <c r="AF543">
        <v>1935</v>
      </c>
      <c r="AG543">
        <v>1941</v>
      </c>
      <c r="AO543" t="b">
        <v>1</v>
      </c>
      <c r="AP543" t="s">
        <v>45</v>
      </c>
      <c r="AQ543">
        <v>1917</v>
      </c>
      <c r="AR543">
        <v>2016</v>
      </c>
      <c r="AS543" t="s">
        <v>2445</v>
      </c>
      <c r="AT543">
        <v>5.3251197809719297</v>
      </c>
      <c r="AU543">
        <f t="shared" si="26"/>
        <v>1.4999999999999999E-2</v>
      </c>
    </row>
    <row r="544" spans="1:47" x14ac:dyDescent="0.3">
      <c r="A544">
        <v>542</v>
      </c>
      <c r="B544" t="s">
        <v>2446</v>
      </c>
      <c r="C544" t="s">
        <v>2447</v>
      </c>
      <c r="D544">
        <v>101</v>
      </c>
      <c r="E544" t="s">
        <v>2322</v>
      </c>
      <c r="F544" t="str">
        <f>VLOOKUP(E544,country_continent!A:C,2,FALSE)</f>
        <v>Venezuela</v>
      </c>
      <c r="G544" t="str">
        <f>VLOOKUP(E544,country_continent!A:C,3,FALSE)</f>
        <v>South America</v>
      </c>
      <c r="H544" t="s">
        <v>2448</v>
      </c>
      <c r="I544" s="1">
        <v>15101</v>
      </c>
      <c r="J544" s="3">
        <f t="shared" si="24"/>
        <v>15101</v>
      </c>
      <c r="K544" s="1">
        <v>16728</v>
      </c>
      <c r="L544" s="3">
        <f t="shared" si="25"/>
        <v>16728</v>
      </c>
      <c r="M544" t="s">
        <v>49</v>
      </c>
      <c r="N544" t="s">
        <v>67</v>
      </c>
      <c r="O544" t="s">
        <v>376</v>
      </c>
      <c r="P544">
        <v>0</v>
      </c>
      <c r="Q544" t="s">
        <v>362</v>
      </c>
      <c r="R544" t="s">
        <v>51</v>
      </c>
      <c r="S544">
        <v>1897</v>
      </c>
      <c r="T544">
        <v>1953</v>
      </c>
      <c r="U544" t="s">
        <v>2449</v>
      </c>
      <c r="V544" t="s">
        <v>2450</v>
      </c>
      <c r="Y544" t="s">
        <v>2451</v>
      </c>
      <c r="Z544">
        <v>0</v>
      </c>
      <c r="AA544">
        <v>3</v>
      </c>
      <c r="AB544">
        <v>6</v>
      </c>
      <c r="AC544">
        <v>1</v>
      </c>
      <c r="AF544">
        <v>1941</v>
      </c>
      <c r="AG544">
        <v>1945</v>
      </c>
      <c r="AO544" t="b">
        <v>1</v>
      </c>
      <c r="AP544" t="s">
        <v>45</v>
      </c>
      <c r="AQ544">
        <v>1917</v>
      </c>
      <c r="AR544">
        <v>2016</v>
      </c>
      <c r="AS544" t="s">
        <v>2452</v>
      </c>
      <c r="AT544">
        <v>4.4544832306639197</v>
      </c>
      <c r="AU544">
        <f t="shared" si="26"/>
        <v>1.2E-2</v>
      </c>
    </row>
    <row r="545" spans="1:47" x14ac:dyDescent="0.3">
      <c r="A545">
        <v>543</v>
      </c>
      <c r="B545" t="s">
        <v>2453</v>
      </c>
      <c r="C545" t="s">
        <v>2454</v>
      </c>
      <c r="D545">
        <v>101</v>
      </c>
      <c r="E545" t="s">
        <v>2322</v>
      </c>
      <c r="F545" t="str">
        <f>VLOOKUP(E545,country_continent!A:C,2,FALSE)</f>
        <v>Venezuela</v>
      </c>
      <c r="G545" t="str">
        <f>VLOOKUP(E545,country_continent!A:C,3,FALSE)</f>
        <v>South America</v>
      </c>
      <c r="H545" t="s">
        <v>2455</v>
      </c>
      <c r="I545" s="1">
        <v>16728</v>
      </c>
      <c r="J545" s="3">
        <f t="shared" si="24"/>
        <v>16728</v>
      </c>
      <c r="K545" s="1">
        <v>17578</v>
      </c>
      <c r="L545" s="3">
        <f t="shared" si="25"/>
        <v>17578</v>
      </c>
      <c r="M545" t="s">
        <v>67</v>
      </c>
      <c r="N545" t="s">
        <v>49</v>
      </c>
      <c r="O545" t="s">
        <v>49</v>
      </c>
      <c r="P545">
        <v>0</v>
      </c>
      <c r="Q545" t="s">
        <v>362</v>
      </c>
      <c r="R545" t="s">
        <v>51</v>
      </c>
      <c r="S545">
        <v>1908</v>
      </c>
      <c r="T545">
        <v>1981</v>
      </c>
      <c r="U545" s="1">
        <v>2975</v>
      </c>
      <c r="V545" s="2">
        <v>2975</v>
      </c>
      <c r="W545" s="1">
        <v>29857</v>
      </c>
      <c r="X545" s="2">
        <v>29857</v>
      </c>
      <c r="Y545" t="s">
        <v>2456</v>
      </c>
      <c r="Z545">
        <v>1</v>
      </c>
      <c r="AA545">
        <v>1</v>
      </c>
      <c r="AB545">
        <v>0</v>
      </c>
      <c r="AC545">
        <v>1</v>
      </c>
      <c r="AF545">
        <v>1945</v>
      </c>
      <c r="AG545">
        <v>1948</v>
      </c>
      <c r="AN545">
        <v>-3</v>
      </c>
      <c r="AO545" t="b">
        <v>1</v>
      </c>
      <c r="AP545" t="s">
        <v>45</v>
      </c>
      <c r="AQ545">
        <v>1917</v>
      </c>
      <c r="AR545">
        <v>2016</v>
      </c>
      <c r="AS545" t="s">
        <v>2457</v>
      </c>
      <c r="AT545">
        <v>2.3271731690622799</v>
      </c>
      <c r="AU545">
        <f t="shared" si="26"/>
        <v>6.0000000000000001E-3</v>
      </c>
    </row>
    <row r="546" spans="1:47" x14ac:dyDescent="0.3">
      <c r="A546">
        <v>544</v>
      </c>
      <c r="B546" t="s">
        <v>2458</v>
      </c>
      <c r="C546" t="s">
        <v>2459</v>
      </c>
      <c r="D546">
        <v>101</v>
      </c>
      <c r="E546" t="s">
        <v>2322</v>
      </c>
      <c r="F546" t="str">
        <f>VLOOKUP(E546,country_continent!A:C,2,FALSE)</f>
        <v>Venezuela</v>
      </c>
      <c r="G546" t="str">
        <f>VLOOKUP(E546,country_continent!A:C,3,FALSE)</f>
        <v>South America</v>
      </c>
      <c r="H546" t="s">
        <v>2460</v>
      </c>
      <c r="I546" s="1">
        <v>17578</v>
      </c>
      <c r="J546" s="3">
        <f t="shared" si="24"/>
        <v>17578</v>
      </c>
      <c r="K546" s="1">
        <v>17861</v>
      </c>
      <c r="L546" s="3">
        <f t="shared" si="25"/>
        <v>17861</v>
      </c>
      <c r="M546" t="s">
        <v>49</v>
      </c>
      <c r="N546" t="s">
        <v>67</v>
      </c>
      <c r="O546" t="s">
        <v>376</v>
      </c>
      <c r="P546">
        <v>0</v>
      </c>
      <c r="Q546" t="s">
        <v>362</v>
      </c>
      <c r="R546" t="s">
        <v>51</v>
      </c>
      <c r="S546">
        <v>1884</v>
      </c>
      <c r="T546">
        <v>1969</v>
      </c>
      <c r="U546" t="s">
        <v>2461</v>
      </c>
      <c r="V546" t="s">
        <v>2462</v>
      </c>
      <c r="Y546" t="s">
        <v>2463</v>
      </c>
      <c r="Z546">
        <v>0</v>
      </c>
      <c r="AA546">
        <v>3</v>
      </c>
      <c r="AB546">
        <v>6</v>
      </c>
      <c r="AC546">
        <v>1</v>
      </c>
      <c r="AF546">
        <v>1948</v>
      </c>
      <c r="AG546">
        <v>1948</v>
      </c>
      <c r="AN546">
        <v>-3</v>
      </c>
      <c r="AO546" t="b">
        <v>1</v>
      </c>
      <c r="AP546" t="s">
        <v>45</v>
      </c>
      <c r="AQ546">
        <v>1917</v>
      </c>
      <c r="AR546">
        <v>2016</v>
      </c>
      <c r="AS546" t="s">
        <v>2464</v>
      </c>
      <c r="AT546">
        <v>0.77481177275838398</v>
      </c>
      <c r="AU546">
        <f t="shared" si="26"/>
        <v>2E-3</v>
      </c>
    </row>
    <row r="547" spans="1:47" x14ac:dyDescent="0.3">
      <c r="A547">
        <v>545</v>
      </c>
      <c r="B547" t="s">
        <v>2465</v>
      </c>
      <c r="C547" t="s">
        <v>2466</v>
      </c>
      <c r="D547">
        <v>101</v>
      </c>
      <c r="E547" t="s">
        <v>2322</v>
      </c>
      <c r="F547" t="str">
        <f>VLOOKUP(E547,country_continent!A:C,2,FALSE)</f>
        <v>Venezuela</v>
      </c>
      <c r="G547" t="str">
        <f>VLOOKUP(E547,country_continent!A:C,3,FALSE)</f>
        <v>South America</v>
      </c>
      <c r="H547" t="s">
        <v>2467</v>
      </c>
      <c r="I547" s="1">
        <v>17861</v>
      </c>
      <c r="J547" s="3">
        <f t="shared" si="24"/>
        <v>17861</v>
      </c>
      <c r="K547" s="1">
        <v>18580</v>
      </c>
      <c r="L547" s="3">
        <f t="shared" si="25"/>
        <v>18580</v>
      </c>
      <c r="M547" t="s">
        <v>67</v>
      </c>
      <c r="N547" t="s">
        <v>67</v>
      </c>
      <c r="O547" t="s">
        <v>433</v>
      </c>
      <c r="P547">
        <v>0</v>
      </c>
      <c r="Q547" t="s">
        <v>69</v>
      </c>
      <c r="R547" t="s">
        <v>51</v>
      </c>
      <c r="S547">
        <v>1909</v>
      </c>
      <c r="T547">
        <v>1950</v>
      </c>
      <c r="Y547" t="s">
        <v>2468</v>
      </c>
      <c r="Z547">
        <v>1</v>
      </c>
      <c r="AA547">
        <v>3</v>
      </c>
      <c r="AB547">
        <v>4</v>
      </c>
      <c r="AC547">
        <v>3</v>
      </c>
      <c r="AF547">
        <v>1948</v>
      </c>
      <c r="AG547">
        <v>1950</v>
      </c>
      <c r="AN547">
        <v>-3</v>
      </c>
      <c r="AO547" t="b">
        <v>1</v>
      </c>
      <c r="AP547" t="s">
        <v>45</v>
      </c>
      <c r="AQ547">
        <v>1917</v>
      </c>
      <c r="AR547">
        <v>2016</v>
      </c>
      <c r="AS547" t="s">
        <v>2469</v>
      </c>
      <c r="AT547">
        <v>1.9685147159479801</v>
      </c>
      <c r="AU547">
        <f t="shared" si="26"/>
        <v>5.0000000000000001E-3</v>
      </c>
    </row>
    <row r="548" spans="1:47" x14ac:dyDescent="0.3">
      <c r="A548">
        <v>546</v>
      </c>
      <c r="B548" t="s">
        <v>2470</v>
      </c>
      <c r="C548" t="s">
        <v>2471</v>
      </c>
      <c r="D548">
        <v>101</v>
      </c>
      <c r="E548" t="s">
        <v>2322</v>
      </c>
      <c r="F548" t="str">
        <f>VLOOKUP(E548,country_continent!A:C,2,FALSE)</f>
        <v>Venezuela</v>
      </c>
      <c r="G548" t="str">
        <f>VLOOKUP(E548,country_continent!A:C,3,FALSE)</f>
        <v>South America</v>
      </c>
      <c r="H548" t="s">
        <v>2472</v>
      </c>
      <c r="I548" s="1">
        <v>18580</v>
      </c>
      <c r="J548" s="3">
        <f t="shared" si="24"/>
        <v>18580</v>
      </c>
      <c r="K548" s="1">
        <v>21208</v>
      </c>
      <c r="L548" s="3">
        <f t="shared" si="25"/>
        <v>21208</v>
      </c>
      <c r="M548" t="s">
        <v>49</v>
      </c>
      <c r="N548" t="s">
        <v>67</v>
      </c>
      <c r="O548" t="s">
        <v>613</v>
      </c>
      <c r="P548">
        <v>0</v>
      </c>
      <c r="Q548" t="s">
        <v>362</v>
      </c>
      <c r="R548" t="s">
        <v>51</v>
      </c>
      <c r="S548">
        <v>1914</v>
      </c>
      <c r="T548">
        <v>2001</v>
      </c>
      <c r="U548" s="1">
        <v>5229</v>
      </c>
      <c r="V548" s="2">
        <v>5229</v>
      </c>
      <c r="W548" s="1">
        <v>37154</v>
      </c>
      <c r="X548" s="2">
        <v>37154</v>
      </c>
      <c r="Y548" t="s">
        <v>2473</v>
      </c>
      <c r="Z548">
        <v>0</v>
      </c>
      <c r="AA548">
        <v>3</v>
      </c>
      <c r="AB548">
        <v>2</v>
      </c>
      <c r="AC548">
        <v>1</v>
      </c>
      <c r="AF548">
        <v>1950</v>
      </c>
      <c r="AG548">
        <v>1958</v>
      </c>
      <c r="AN548">
        <v>-2</v>
      </c>
      <c r="AO548" t="b">
        <v>1</v>
      </c>
      <c r="AP548" t="s">
        <v>45</v>
      </c>
      <c r="AQ548">
        <v>1917</v>
      </c>
      <c r="AR548">
        <v>2016</v>
      </c>
      <c r="AS548" t="s">
        <v>2474</v>
      </c>
      <c r="AT548">
        <v>7.1950718685831596</v>
      </c>
      <c r="AU548">
        <f t="shared" si="26"/>
        <v>0.02</v>
      </c>
    </row>
    <row r="549" spans="1:47" x14ac:dyDescent="0.3">
      <c r="A549">
        <v>547</v>
      </c>
      <c r="B549" t="s">
        <v>2475</v>
      </c>
      <c r="C549" t="s">
        <v>2476</v>
      </c>
      <c r="D549">
        <v>101</v>
      </c>
      <c r="E549" t="s">
        <v>2322</v>
      </c>
      <c r="F549" t="str">
        <f>VLOOKUP(E549,country_continent!A:C,2,FALSE)</f>
        <v>Venezuela</v>
      </c>
      <c r="G549" t="str">
        <f>VLOOKUP(E549,country_continent!A:C,3,FALSE)</f>
        <v>South America</v>
      </c>
      <c r="H549" t="s">
        <v>2477</v>
      </c>
      <c r="I549" s="1">
        <v>21208</v>
      </c>
      <c r="J549" s="3">
        <f t="shared" si="24"/>
        <v>21208</v>
      </c>
      <c r="K549" s="1">
        <v>21503</v>
      </c>
      <c r="L549" s="3">
        <f t="shared" si="25"/>
        <v>21503</v>
      </c>
      <c r="M549" t="s">
        <v>67</v>
      </c>
      <c r="N549" t="s">
        <v>49</v>
      </c>
      <c r="O549" t="s">
        <v>49</v>
      </c>
      <c r="P549">
        <v>0</v>
      </c>
      <c r="Q549" t="s">
        <v>50</v>
      </c>
      <c r="R549" t="s">
        <v>51</v>
      </c>
      <c r="S549">
        <v>1911</v>
      </c>
      <c r="T549">
        <v>2003</v>
      </c>
      <c r="U549" s="1">
        <v>4082</v>
      </c>
      <c r="V549" s="2">
        <v>4082</v>
      </c>
      <c r="Y549" t="s">
        <v>2478</v>
      </c>
      <c r="Z549">
        <v>1</v>
      </c>
      <c r="AA549">
        <v>1</v>
      </c>
      <c r="AB549">
        <v>0</v>
      </c>
      <c r="AC549">
        <v>0</v>
      </c>
      <c r="AF549">
        <v>1958</v>
      </c>
      <c r="AG549">
        <v>1958</v>
      </c>
      <c r="AN549">
        <v>6</v>
      </c>
      <c r="AO549" t="b">
        <v>1</v>
      </c>
      <c r="AP549" t="s">
        <v>45</v>
      </c>
      <c r="AQ549">
        <v>1917</v>
      </c>
      <c r="AR549">
        <v>2016</v>
      </c>
      <c r="AS549" t="s">
        <v>2479</v>
      </c>
      <c r="AT549">
        <v>0.80766598220396901</v>
      </c>
      <c r="AU549">
        <f t="shared" si="26"/>
        <v>2E-3</v>
      </c>
    </row>
    <row r="550" spans="1:47" x14ac:dyDescent="0.3">
      <c r="A550">
        <v>548</v>
      </c>
      <c r="B550" t="s">
        <v>2480</v>
      </c>
      <c r="C550" t="s">
        <v>2481</v>
      </c>
      <c r="D550">
        <v>101</v>
      </c>
      <c r="E550" t="s">
        <v>2322</v>
      </c>
      <c r="F550" t="str">
        <f>VLOOKUP(E550,country_continent!A:C,2,FALSE)</f>
        <v>Venezuela</v>
      </c>
      <c r="G550" t="str">
        <f>VLOOKUP(E550,country_continent!A:C,3,FALSE)</f>
        <v>South America</v>
      </c>
      <c r="H550" t="s">
        <v>2482</v>
      </c>
      <c r="I550" s="1">
        <v>21503</v>
      </c>
      <c r="J550" s="3">
        <f t="shared" si="24"/>
        <v>21503</v>
      </c>
      <c r="K550" s="1">
        <v>21594</v>
      </c>
      <c r="L550" s="3">
        <f t="shared" si="25"/>
        <v>21594</v>
      </c>
      <c r="M550" t="s">
        <v>49</v>
      </c>
      <c r="N550" t="s">
        <v>49</v>
      </c>
      <c r="O550" t="s">
        <v>49</v>
      </c>
      <c r="P550">
        <v>0</v>
      </c>
      <c r="Q550" t="s">
        <v>50</v>
      </c>
      <c r="R550" t="s">
        <v>51</v>
      </c>
      <c r="S550">
        <v>1911</v>
      </c>
      <c r="T550">
        <v>1989</v>
      </c>
      <c r="Y550" t="s">
        <v>2483</v>
      </c>
      <c r="Z550">
        <v>0</v>
      </c>
      <c r="AA550">
        <v>1</v>
      </c>
      <c r="AB550">
        <v>0</v>
      </c>
      <c r="AC550">
        <v>0</v>
      </c>
      <c r="AF550">
        <v>1958</v>
      </c>
      <c r="AG550">
        <v>1959</v>
      </c>
      <c r="AN550">
        <v>6</v>
      </c>
      <c r="AO550" t="b">
        <v>1</v>
      </c>
      <c r="AP550" t="s">
        <v>45</v>
      </c>
      <c r="AQ550">
        <v>1917</v>
      </c>
      <c r="AR550">
        <v>2016</v>
      </c>
      <c r="AS550" t="s">
        <v>2484</v>
      </c>
      <c r="AT550">
        <v>0.24914442162902101</v>
      </c>
      <c r="AU550">
        <f t="shared" si="26"/>
        <v>1E-3</v>
      </c>
    </row>
    <row r="551" spans="1:47" x14ac:dyDescent="0.3">
      <c r="A551">
        <v>549</v>
      </c>
      <c r="B551" t="s">
        <v>2485</v>
      </c>
      <c r="C551" t="s">
        <v>2454</v>
      </c>
      <c r="D551">
        <v>101</v>
      </c>
      <c r="E551" t="s">
        <v>2322</v>
      </c>
      <c r="F551" t="str">
        <f>VLOOKUP(E551,country_continent!A:C,2,FALSE)</f>
        <v>Venezuela</v>
      </c>
      <c r="G551" t="str">
        <f>VLOOKUP(E551,country_continent!A:C,3,FALSE)</f>
        <v>South America</v>
      </c>
      <c r="H551" t="s">
        <v>2455</v>
      </c>
      <c r="I551" s="1">
        <v>21594</v>
      </c>
      <c r="J551" s="3">
        <f t="shared" si="24"/>
        <v>21594</v>
      </c>
      <c r="K551" s="1">
        <v>23447</v>
      </c>
      <c r="L551" s="3">
        <f t="shared" si="25"/>
        <v>23447</v>
      </c>
      <c r="M551" t="s">
        <v>49</v>
      </c>
      <c r="N551" t="s">
        <v>49</v>
      </c>
      <c r="O551" t="s">
        <v>49</v>
      </c>
      <c r="P551">
        <v>1</v>
      </c>
      <c r="Q551" t="s">
        <v>362</v>
      </c>
      <c r="R551" t="s">
        <v>51</v>
      </c>
      <c r="S551">
        <v>1908</v>
      </c>
      <c r="T551">
        <v>1981</v>
      </c>
      <c r="U551" s="1">
        <v>2975</v>
      </c>
      <c r="V551" s="2">
        <v>2975</v>
      </c>
      <c r="W551" s="1">
        <v>29857</v>
      </c>
      <c r="X551" s="2">
        <v>29857</v>
      </c>
      <c r="Y551" t="s">
        <v>2456</v>
      </c>
      <c r="Z551">
        <v>0</v>
      </c>
      <c r="AA551">
        <v>1</v>
      </c>
      <c r="AB551">
        <v>0</v>
      </c>
      <c r="AC551">
        <v>1</v>
      </c>
      <c r="AF551">
        <v>1959</v>
      </c>
      <c r="AG551">
        <v>1964</v>
      </c>
      <c r="AH551">
        <v>3.04433698193822</v>
      </c>
      <c r="AI551">
        <v>953.33333333333303</v>
      </c>
      <c r="AJ551">
        <v>1.8080279054794299</v>
      </c>
      <c r="AK551">
        <v>75.239999999999995</v>
      </c>
      <c r="AL551">
        <v>3.4770152924031499</v>
      </c>
      <c r="AN551">
        <v>6</v>
      </c>
      <c r="AO551" t="b">
        <v>1</v>
      </c>
      <c r="AP551" t="s">
        <v>45</v>
      </c>
      <c r="AQ551">
        <v>1917</v>
      </c>
      <c r="AR551">
        <v>2016</v>
      </c>
      <c r="AS551" t="s">
        <v>2486</v>
      </c>
      <c r="AT551">
        <v>5.0732375085557804</v>
      </c>
      <c r="AU551">
        <f t="shared" si="26"/>
        <v>1.4E-2</v>
      </c>
    </row>
    <row r="552" spans="1:47" x14ac:dyDescent="0.3">
      <c r="A552">
        <v>550</v>
      </c>
      <c r="B552" t="s">
        <v>2487</v>
      </c>
      <c r="C552" t="s">
        <v>2488</v>
      </c>
      <c r="D552">
        <v>101</v>
      </c>
      <c r="E552" t="s">
        <v>2322</v>
      </c>
      <c r="F552" t="str">
        <f>VLOOKUP(E552,country_continent!A:C,2,FALSE)</f>
        <v>Venezuela</v>
      </c>
      <c r="G552" t="str">
        <f>VLOOKUP(E552,country_continent!A:C,3,FALSE)</f>
        <v>South America</v>
      </c>
      <c r="H552" t="s">
        <v>2489</v>
      </c>
      <c r="I552" s="1">
        <v>23447</v>
      </c>
      <c r="J552" s="3">
        <f t="shared" si="24"/>
        <v>23447</v>
      </c>
      <c r="K552" s="1">
        <v>25273</v>
      </c>
      <c r="L552" s="3">
        <f t="shared" si="25"/>
        <v>25273</v>
      </c>
      <c r="M552" t="s">
        <v>49</v>
      </c>
      <c r="N552" t="s">
        <v>49</v>
      </c>
      <c r="O552" t="s">
        <v>49</v>
      </c>
      <c r="P552">
        <v>0</v>
      </c>
      <c r="Q552" t="s">
        <v>50</v>
      </c>
      <c r="R552" t="s">
        <v>51</v>
      </c>
      <c r="S552">
        <v>1905</v>
      </c>
      <c r="T552">
        <v>1972</v>
      </c>
      <c r="U552" s="1">
        <v>1943</v>
      </c>
      <c r="V552" s="2">
        <v>1943</v>
      </c>
      <c r="Y552" t="s">
        <v>2490</v>
      </c>
      <c r="Z552">
        <v>0</v>
      </c>
      <c r="AA552">
        <v>1</v>
      </c>
      <c r="AB552">
        <v>0</v>
      </c>
      <c r="AC552">
        <v>0</v>
      </c>
      <c r="AF552">
        <v>1964</v>
      </c>
      <c r="AG552">
        <v>1969</v>
      </c>
      <c r="AH552">
        <v>1.22867167575536</v>
      </c>
      <c r="AI552">
        <v>885</v>
      </c>
      <c r="AJ552">
        <v>1.6207367393483301</v>
      </c>
      <c r="AK552">
        <v>68.066666666666606</v>
      </c>
      <c r="AL552">
        <v>3.2872927044208402</v>
      </c>
      <c r="AN552">
        <v>6.67</v>
      </c>
      <c r="AO552" t="b">
        <v>1</v>
      </c>
      <c r="AP552" t="s">
        <v>45</v>
      </c>
      <c r="AQ552">
        <v>1917</v>
      </c>
      <c r="AR552">
        <v>2016</v>
      </c>
      <c r="AS552" t="s">
        <v>2491</v>
      </c>
      <c r="AT552">
        <v>4.9993155373032101</v>
      </c>
      <c r="AU552">
        <f t="shared" si="26"/>
        <v>1.4E-2</v>
      </c>
    </row>
    <row r="553" spans="1:47" x14ac:dyDescent="0.3">
      <c r="A553">
        <v>551</v>
      </c>
      <c r="B553" t="s">
        <v>2492</v>
      </c>
      <c r="C553" t="s">
        <v>2493</v>
      </c>
      <c r="D553">
        <v>101</v>
      </c>
      <c r="E553" t="s">
        <v>2322</v>
      </c>
      <c r="F553" t="str">
        <f>VLOOKUP(E553,country_continent!A:C,2,FALSE)</f>
        <v>Venezuela</v>
      </c>
      <c r="G553" t="str">
        <f>VLOOKUP(E553,country_continent!A:C,3,FALSE)</f>
        <v>South America</v>
      </c>
      <c r="H553" t="s">
        <v>2494</v>
      </c>
      <c r="I553" s="1">
        <v>25273</v>
      </c>
      <c r="J553" s="3">
        <f t="shared" si="24"/>
        <v>25273</v>
      </c>
      <c r="K553" s="1">
        <v>27100</v>
      </c>
      <c r="L553" s="3">
        <f t="shared" si="25"/>
        <v>27100</v>
      </c>
      <c r="M553" t="s">
        <v>49</v>
      </c>
      <c r="N553" t="s">
        <v>49</v>
      </c>
      <c r="O553" t="s">
        <v>49</v>
      </c>
      <c r="P553">
        <v>0</v>
      </c>
      <c r="Q553" t="s">
        <v>50</v>
      </c>
      <c r="R553" t="s">
        <v>51</v>
      </c>
      <c r="S553">
        <v>1916</v>
      </c>
      <c r="T553">
        <v>2009</v>
      </c>
      <c r="U553" s="1">
        <v>5868</v>
      </c>
      <c r="V553" s="2">
        <v>5868</v>
      </c>
      <c r="Z553">
        <v>0</v>
      </c>
      <c r="AA553">
        <v>1</v>
      </c>
      <c r="AB553">
        <v>0</v>
      </c>
      <c r="AC553">
        <v>0</v>
      </c>
      <c r="AF553">
        <v>1969</v>
      </c>
      <c r="AG553">
        <v>1974</v>
      </c>
      <c r="AH553">
        <v>0.30112886755742502</v>
      </c>
      <c r="AI553">
        <v>1180</v>
      </c>
      <c r="AJ553">
        <v>13.657920442126599</v>
      </c>
      <c r="AK553">
        <v>60.25</v>
      </c>
      <c r="AL553">
        <v>3.0365047891417598</v>
      </c>
      <c r="AM553">
        <v>12.9543416786269</v>
      </c>
      <c r="AN553">
        <v>9</v>
      </c>
      <c r="AO553" t="b">
        <v>1</v>
      </c>
      <c r="AP553" t="s">
        <v>45</v>
      </c>
      <c r="AQ553">
        <v>1917</v>
      </c>
      <c r="AR553">
        <v>2016</v>
      </c>
      <c r="AS553" t="s">
        <v>2495</v>
      </c>
      <c r="AT553">
        <v>5.0020533880903404</v>
      </c>
      <c r="AU553">
        <f t="shared" si="26"/>
        <v>1.4E-2</v>
      </c>
    </row>
    <row r="554" spans="1:47" x14ac:dyDescent="0.3">
      <c r="A554">
        <v>552</v>
      </c>
      <c r="B554" t="s">
        <v>2496</v>
      </c>
      <c r="C554" t="s">
        <v>2497</v>
      </c>
      <c r="D554">
        <v>101</v>
      </c>
      <c r="E554" t="s">
        <v>2322</v>
      </c>
      <c r="F554" t="str">
        <f>VLOOKUP(E554,country_continent!A:C,2,FALSE)</f>
        <v>Venezuela</v>
      </c>
      <c r="G554" t="str">
        <f>VLOOKUP(E554,country_continent!A:C,3,FALSE)</f>
        <v>South America</v>
      </c>
      <c r="H554" t="s">
        <v>2498</v>
      </c>
      <c r="I554" s="1">
        <v>27100</v>
      </c>
      <c r="J554" s="3">
        <f t="shared" si="24"/>
        <v>27100</v>
      </c>
      <c r="K554" s="1">
        <v>28926</v>
      </c>
      <c r="L554" s="3">
        <f t="shared" si="25"/>
        <v>28926</v>
      </c>
      <c r="M554" t="s">
        <v>49</v>
      </c>
      <c r="N554" t="s">
        <v>49</v>
      </c>
      <c r="O554" t="s">
        <v>49</v>
      </c>
      <c r="P554">
        <v>0</v>
      </c>
      <c r="Q554" t="s">
        <v>50</v>
      </c>
      <c r="R554" t="s">
        <v>51</v>
      </c>
      <c r="S554">
        <v>1922</v>
      </c>
      <c r="T554">
        <v>-777</v>
      </c>
      <c r="U554" s="1">
        <v>8336</v>
      </c>
      <c r="V554" s="2">
        <v>8336</v>
      </c>
      <c r="Y554" t="s">
        <v>2499</v>
      </c>
      <c r="Z554">
        <v>0</v>
      </c>
      <c r="AA554">
        <v>1</v>
      </c>
      <c r="AB554">
        <v>0</v>
      </c>
      <c r="AC554">
        <v>0</v>
      </c>
      <c r="AF554">
        <v>1974</v>
      </c>
      <c r="AG554">
        <v>1979</v>
      </c>
      <c r="AH554">
        <v>0.71298243580062803</v>
      </c>
      <c r="AI554">
        <v>2475</v>
      </c>
      <c r="AJ554">
        <v>15.8408655203399</v>
      </c>
      <c r="AK554">
        <v>51</v>
      </c>
      <c r="AL554">
        <v>2.90252854962691</v>
      </c>
      <c r="AM554">
        <v>25.056475302319001</v>
      </c>
      <c r="AN554">
        <v>9</v>
      </c>
      <c r="AO554" t="b">
        <v>1</v>
      </c>
      <c r="AP554" t="s">
        <v>45</v>
      </c>
      <c r="AQ554">
        <v>1917</v>
      </c>
      <c r="AR554">
        <v>2016</v>
      </c>
      <c r="AS554" t="s">
        <v>2491</v>
      </c>
      <c r="AT554">
        <v>4.9993155373032101</v>
      </c>
      <c r="AU554">
        <f t="shared" si="26"/>
        <v>1.4E-2</v>
      </c>
    </row>
    <row r="555" spans="1:47" x14ac:dyDescent="0.3">
      <c r="A555">
        <v>553</v>
      </c>
      <c r="B555" t="s">
        <v>2500</v>
      </c>
      <c r="C555" t="s">
        <v>2501</v>
      </c>
      <c r="D555">
        <v>101</v>
      </c>
      <c r="E555" t="s">
        <v>2322</v>
      </c>
      <c r="F555" t="str">
        <f>VLOOKUP(E555,country_continent!A:C,2,FALSE)</f>
        <v>Venezuela</v>
      </c>
      <c r="G555" t="str">
        <f>VLOOKUP(E555,country_continent!A:C,3,FALSE)</f>
        <v>South America</v>
      </c>
      <c r="H555" t="s">
        <v>2502</v>
      </c>
      <c r="I555" s="1">
        <v>28926</v>
      </c>
      <c r="J555" s="3">
        <f t="shared" si="24"/>
        <v>28926</v>
      </c>
      <c r="K555" s="1">
        <v>30714</v>
      </c>
      <c r="L555" s="3">
        <f t="shared" si="25"/>
        <v>30714</v>
      </c>
      <c r="M555" t="s">
        <v>49</v>
      </c>
      <c r="N555" t="s">
        <v>49</v>
      </c>
      <c r="O555" t="s">
        <v>49</v>
      </c>
      <c r="P555">
        <v>0</v>
      </c>
      <c r="Q555" t="s">
        <v>50</v>
      </c>
      <c r="R555" t="s">
        <v>51</v>
      </c>
      <c r="S555">
        <v>1925</v>
      </c>
      <c r="T555">
        <v>2007</v>
      </c>
      <c r="U555" s="1">
        <v>9256</v>
      </c>
      <c r="V555" s="2">
        <v>9256</v>
      </c>
      <c r="Y555" t="s">
        <v>2503</v>
      </c>
      <c r="Z555">
        <v>0</v>
      </c>
      <c r="AA555">
        <v>1</v>
      </c>
      <c r="AB555">
        <v>0</v>
      </c>
      <c r="AC555">
        <v>0</v>
      </c>
      <c r="AF555">
        <v>1979</v>
      </c>
      <c r="AG555">
        <v>1984</v>
      </c>
      <c r="AH555">
        <v>-4.0821761581795899</v>
      </c>
      <c r="AI555">
        <v>3703.3333333333298</v>
      </c>
      <c r="AJ555">
        <v>18.841701894115999</v>
      </c>
      <c r="AK555">
        <v>41.716666666666598</v>
      </c>
      <c r="AL555">
        <v>2.7557853445804499</v>
      </c>
      <c r="AM555">
        <v>24.149622745995899</v>
      </c>
      <c r="AN555">
        <v>9</v>
      </c>
      <c r="AO555" t="b">
        <v>1</v>
      </c>
      <c r="AP555" t="s">
        <v>45</v>
      </c>
      <c r="AQ555">
        <v>1917</v>
      </c>
      <c r="AR555">
        <v>2016</v>
      </c>
      <c r="AS555" t="s">
        <v>2504</v>
      </c>
      <c r="AT555">
        <v>4.8952772073921897</v>
      </c>
      <c r="AU555">
        <f t="shared" si="26"/>
        <v>1.2999999999999999E-2</v>
      </c>
    </row>
    <row r="556" spans="1:47" x14ac:dyDescent="0.3">
      <c r="A556">
        <v>554</v>
      </c>
      <c r="B556" t="s">
        <v>2505</v>
      </c>
      <c r="C556" t="s">
        <v>2506</v>
      </c>
      <c r="D556">
        <v>101</v>
      </c>
      <c r="E556" t="s">
        <v>2322</v>
      </c>
      <c r="F556" t="str">
        <f>VLOOKUP(E556,country_continent!A:C,2,FALSE)</f>
        <v>Venezuela</v>
      </c>
      <c r="G556" t="str">
        <f>VLOOKUP(E556,country_continent!A:C,3,FALSE)</f>
        <v>South America</v>
      </c>
      <c r="H556" t="s">
        <v>2507</v>
      </c>
      <c r="I556" s="1">
        <v>30714</v>
      </c>
      <c r="J556" s="3">
        <f t="shared" si="24"/>
        <v>30714</v>
      </c>
      <c r="K556" s="1">
        <v>32541</v>
      </c>
      <c r="L556" s="3">
        <f t="shared" si="25"/>
        <v>32541</v>
      </c>
      <c r="M556" t="s">
        <v>49</v>
      </c>
      <c r="N556" t="s">
        <v>49</v>
      </c>
      <c r="O556" t="s">
        <v>49</v>
      </c>
      <c r="P556">
        <v>0</v>
      </c>
      <c r="Q556" t="s">
        <v>50</v>
      </c>
      <c r="R556" t="s">
        <v>51</v>
      </c>
      <c r="S556">
        <v>1924</v>
      </c>
      <c r="T556">
        <v>-777</v>
      </c>
      <c r="U556" s="1">
        <v>8884</v>
      </c>
      <c r="V556" s="2">
        <v>8884</v>
      </c>
      <c r="Z556">
        <v>0</v>
      </c>
      <c r="AA556">
        <v>1</v>
      </c>
      <c r="AB556">
        <v>0</v>
      </c>
      <c r="AC556">
        <v>0</v>
      </c>
      <c r="AF556">
        <v>1984</v>
      </c>
      <c r="AG556">
        <v>1989</v>
      </c>
      <c r="AH556">
        <v>-1.10170193723349</v>
      </c>
      <c r="AI556">
        <v>3318.3333333333298</v>
      </c>
      <c r="AJ556">
        <v>32.816658733990103</v>
      </c>
      <c r="AK556">
        <v>34.3333333333333</v>
      </c>
      <c r="AL556">
        <v>2.5918893896675401</v>
      </c>
      <c r="AM556">
        <v>15.038360040680701</v>
      </c>
      <c r="AN556">
        <v>9</v>
      </c>
      <c r="AO556" t="b">
        <v>1</v>
      </c>
      <c r="AP556" t="s">
        <v>45</v>
      </c>
      <c r="AQ556">
        <v>1917</v>
      </c>
      <c r="AR556">
        <v>2016</v>
      </c>
      <c r="AS556" t="s">
        <v>2495</v>
      </c>
      <c r="AT556">
        <v>5.0020533880903404</v>
      </c>
      <c r="AU556">
        <f t="shared" si="26"/>
        <v>1.4E-2</v>
      </c>
    </row>
    <row r="557" spans="1:47" x14ac:dyDescent="0.3">
      <c r="A557">
        <v>555</v>
      </c>
      <c r="B557" t="s">
        <v>2508</v>
      </c>
      <c r="C557" t="s">
        <v>2497</v>
      </c>
      <c r="D557">
        <v>101</v>
      </c>
      <c r="E557" t="s">
        <v>2322</v>
      </c>
      <c r="F557" t="str">
        <f>VLOOKUP(E557,country_continent!A:C,2,FALSE)</f>
        <v>Venezuela</v>
      </c>
      <c r="G557" t="str">
        <f>VLOOKUP(E557,country_continent!A:C,3,FALSE)</f>
        <v>South America</v>
      </c>
      <c r="H557" t="s">
        <v>2498</v>
      </c>
      <c r="I557" s="1">
        <v>32541</v>
      </c>
      <c r="J557" s="3">
        <f t="shared" si="24"/>
        <v>32541</v>
      </c>
      <c r="K557" s="1">
        <v>34212</v>
      </c>
      <c r="L557" s="3">
        <f t="shared" si="25"/>
        <v>34212</v>
      </c>
      <c r="M557" t="s">
        <v>49</v>
      </c>
      <c r="N557" t="s">
        <v>49</v>
      </c>
      <c r="O557" t="s">
        <v>49</v>
      </c>
      <c r="P557">
        <v>1</v>
      </c>
      <c r="Q557" t="s">
        <v>463</v>
      </c>
      <c r="R557" t="s">
        <v>51</v>
      </c>
      <c r="S557">
        <v>1922</v>
      </c>
      <c r="T557">
        <v>2010</v>
      </c>
      <c r="U557" s="1">
        <v>8336</v>
      </c>
      <c r="V557" s="2">
        <v>8336</v>
      </c>
      <c r="Y557" t="s">
        <v>2499</v>
      </c>
      <c r="Z557">
        <v>0</v>
      </c>
      <c r="AA557">
        <v>1</v>
      </c>
      <c r="AB557">
        <v>0</v>
      </c>
      <c r="AC557">
        <v>2</v>
      </c>
      <c r="AF557">
        <v>1989</v>
      </c>
      <c r="AG557">
        <v>1993</v>
      </c>
      <c r="AH557">
        <v>0.37837498016993099</v>
      </c>
      <c r="AI557">
        <v>2702</v>
      </c>
      <c r="AJ557">
        <v>42.448656730642597</v>
      </c>
      <c r="AK557">
        <v>28.8399999999999</v>
      </c>
      <c r="AL557">
        <v>2.3788433332088901</v>
      </c>
      <c r="AM557">
        <v>19.686377353695601</v>
      </c>
      <c r="AN557">
        <v>8.6</v>
      </c>
      <c r="AO557" t="b">
        <v>1</v>
      </c>
      <c r="AP557" t="s">
        <v>45</v>
      </c>
      <c r="AQ557">
        <v>1917</v>
      </c>
      <c r="AR557">
        <v>2016</v>
      </c>
      <c r="AS557" t="s">
        <v>2509</v>
      </c>
      <c r="AT557">
        <v>4.5749486652977396</v>
      </c>
      <c r="AU557">
        <f t="shared" si="26"/>
        <v>1.2999999999999999E-2</v>
      </c>
    </row>
    <row r="558" spans="1:47" x14ac:dyDescent="0.3">
      <c r="A558">
        <v>556</v>
      </c>
      <c r="B558" t="s">
        <v>2510</v>
      </c>
      <c r="C558" t="s">
        <v>2511</v>
      </c>
      <c r="D558">
        <v>101</v>
      </c>
      <c r="E558" t="s">
        <v>2322</v>
      </c>
      <c r="F558" t="str">
        <f>VLOOKUP(E558,country_continent!A:C,2,FALSE)</f>
        <v>Venezuela</v>
      </c>
      <c r="G558" t="str">
        <f>VLOOKUP(E558,country_continent!A:C,3,FALSE)</f>
        <v>South America</v>
      </c>
      <c r="H558" t="s">
        <v>2512</v>
      </c>
      <c r="I558" s="1">
        <v>34212</v>
      </c>
      <c r="J558" s="3">
        <f t="shared" si="24"/>
        <v>34212</v>
      </c>
      <c r="K558" s="1">
        <v>34367</v>
      </c>
      <c r="L558" s="3">
        <f t="shared" si="25"/>
        <v>34367</v>
      </c>
      <c r="M558" t="s">
        <v>49</v>
      </c>
      <c r="N558" t="s">
        <v>49</v>
      </c>
      <c r="O558" t="s">
        <v>49</v>
      </c>
      <c r="P558">
        <v>0</v>
      </c>
      <c r="Q558" t="s">
        <v>50</v>
      </c>
      <c r="R558" t="s">
        <v>51</v>
      </c>
      <c r="S558">
        <v>1916</v>
      </c>
      <c r="T558">
        <v>-777</v>
      </c>
      <c r="U558" s="1">
        <v>6177</v>
      </c>
      <c r="V558" s="2">
        <v>6177</v>
      </c>
      <c r="W558" s="1">
        <v>41814</v>
      </c>
      <c r="X558" s="2">
        <v>41814</v>
      </c>
      <c r="Z558">
        <v>0</v>
      </c>
      <c r="AA558">
        <v>1</v>
      </c>
      <c r="AB558">
        <v>0</v>
      </c>
      <c r="AC558">
        <v>0</v>
      </c>
      <c r="AF558">
        <v>1993</v>
      </c>
      <c r="AG558">
        <v>1994</v>
      </c>
      <c r="AH558">
        <v>-3.2119584722945902</v>
      </c>
      <c r="AI558">
        <v>2765</v>
      </c>
      <c r="AJ558">
        <v>47.268254368536098</v>
      </c>
      <c r="AK558">
        <v>27.05</v>
      </c>
      <c r="AL558">
        <v>2.22178596595821</v>
      </c>
      <c r="AM558">
        <v>16.006522386196298</v>
      </c>
      <c r="AN558">
        <v>8</v>
      </c>
      <c r="AO558" t="b">
        <v>1</v>
      </c>
      <c r="AP558" t="s">
        <v>45</v>
      </c>
      <c r="AQ558">
        <v>1917</v>
      </c>
      <c r="AR558">
        <v>2016</v>
      </c>
      <c r="AS558" t="s">
        <v>2513</v>
      </c>
      <c r="AT558">
        <v>0.42436687200547502</v>
      </c>
      <c r="AU558">
        <f t="shared" si="26"/>
        <v>1E-3</v>
      </c>
    </row>
    <row r="559" spans="1:47" x14ac:dyDescent="0.3">
      <c r="A559">
        <v>557</v>
      </c>
      <c r="B559" t="s">
        <v>2514</v>
      </c>
      <c r="C559" t="s">
        <v>2493</v>
      </c>
      <c r="D559">
        <v>101</v>
      </c>
      <c r="E559" t="s">
        <v>2322</v>
      </c>
      <c r="F559" t="str">
        <f>VLOOKUP(E559,country_continent!A:C,2,FALSE)</f>
        <v>Venezuela</v>
      </c>
      <c r="G559" t="str">
        <f>VLOOKUP(E559,country_continent!A:C,3,FALSE)</f>
        <v>South America</v>
      </c>
      <c r="H559" t="s">
        <v>2494</v>
      </c>
      <c r="I559" s="1">
        <v>34367</v>
      </c>
      <c r="J559" s="3">
        <f t="shared" si="24"/>
        <v>34367</v>
      </c>
      <c r="K559" s="1">
        <v>36193</v>
      </c>
      <c r="L559" s="3">
        <f t="shared" si="25"/>
        <v>36193</v>
      </c>
      <c r="M559" t="s">
        <v>49</v>
      </c>
      <c r="N559" t="s">
        <v>49</v>
      </c>
      <c r="O559" t="s">
        <v>49</v>
      </c>
      <c r="P559">
        <v>1</v>
      </c>
      <c r="Q559" t="s">
        <v>50</v>
      </c>
      <c r="R559" t="s">
        <v>51</v>
      </c>
      <c r="S559">
        <v>1916</v>
      </c>
      <c r="T559">
        <v>-777</v>
      </c>
      <c r="U559" s="1">
        <v>5868</v>
      </c>
      <c r="V559" s="2">
        <v>5868</v>
      </c>
      <c r="W559" s="1">
        <v>40171</v>
      </c>
      <c r="X559" s="2">
        <v>40171</v>
      </c>
      <c r="Z559">
        <v>0</v>
      </c>
      <c r="AA559">
        <v>1</v>
      </c>
      <c r="AB559">
        <v>0</v>
      </c>
      <c r="AC559">
        <v>0</v>
      </c>
      <c r="AF559">
        <v>1994</v>
      </c>
      <c r="AG559">
        <v>1999</v>
      </c>
      <c r="AH559">
        <v>-1.70782002725709</v>
      </c>
      <c r="AI559">
        <v>3185</v>
      </c>
      <c r="AJ559">
        <v>51.534293506709197</v>
      </c>
      <c r="AK559">
        <v>24.816666666666599</v>
      </c>
      <c r="AL559">
        <v>2.07091862750113</v>
      </c>
      <c r="AM559">
        <v>15.9370460758453</v>
      </c>
      <c r="AN559">
        <v>7.83</v>
      </c>
      <c r="AO559" t="b">
        <v>1</v>
      </c>
      <c r="AP559" t="s">
        <v>45</v>
      </c>
      <c r="AQ559">
        <v>1917</v>
      </c>
      <c r="AR559">
        <v>2016</v>
      </c>
      <c r="AS559" t="s">
        <v>2491</v>
      </c>
      <c r="AT559">
        <v>4.9993155373032101</v>
      </c>
      <c r="AU559">
        <f t="shared" si="26"/>
        <v>1.4E-2</v>
      </c>
    </row>
    <row r="560" spans="1:47" x14ac:dyDescent="0.3">
      <c r="A560">
        <v>558</v>
      </c>
      <c r="B560" t="s">
        <v>2515</v>
      </c>
      <c r="C560" t="s">
        <v>2516</v>
      </c>
      <c r="D560">
        <v>101</v>
      </c>
      <c r="E560" t="s">
        <v>2322</v>
      </c>
      <c r="F560" t="str">
        <f>VLOOKUP(E560,country_continent!A:C,2,FALSE)</f>
        <v>Venezuela</v>
      </c>
      <c r="G560" t="str">
        <f>VLOOKUP(E560,country_continent!A:C,3,FALSE)</f>
        <v>South America</v>
      </c>
      <c r="H560" t="s">
        <v>2517</v>
      </c>
      <c r="I560" s="1">
        <v>36193</v>
      </c>
      <c r="J560" s="3">
        <f t="shared" si="24"/>
        <v>36193</v>
      </c>
      <c r="K560" s="1">
        <v>40973</v>
      </c>
      <c r="L560" s="3">
        <f t="shared" si="25"/>
        <v>40973</v>
      </c>
      <c r="M560" t="s">
        <v>49</v>
      </c>
      <c r="N560" t="s">
        <v>110</v>
      </c>
      <c r="O560" t="s">
        <v>49</v>
      </c>
      <c r="P560">
        <v>0</v>
      </c>
      <c r="Q560" t="s">
        <v>111</v>
      </c>
      <c r="R560" t="s">
        <v>51</v>
      </c>
      <c r="S560">
        <v>1954</v>
      </c>
      <c r="T560">
        <v>-777</v>
      </c>
      <c r="U560" s="1">
        <v>19933</v>
      </c>
      <c r="V560" s="2">
        <v>19933</v>
      </c>
      <c r="Y560" t="s">
        <v>2518</v>
      </c>
      <c r="Z560">
        <v>0</v>
      </c>
      <c r="AA560">
        <v>2</v>
      </c>
      <c r="AB560">
        <v>0</v>
      </c>
      <c r="AC560">
        <v>-777</v>
      </c>
      <c r="AF560">
        <v>1999</v>
      </c>
      <c r="AG560">
        <v>2012</v>
      </c>
      <c r="AH560">
        <v>1.3699180073514801</v>
      </c>
      <c r="AI560">
        <v>6977.8571428571404</v>
      </c>
      <c r="AJ560">
        <v>25.330404069407699</v>
      </c>
      <c r="AK560">
        <v>18.871428571428499</v>
      </c>
      <c r="AL560">
        <v>1.6064989140496599</v>
      </c>
      <c r="AM560">
        <v>20.349316216750601</v>
      </c>
      <c r="AN560">
        <v>3.36</v>
      </c>
      <c r="AO560" t="b">
        <v>1</v>
      </c>
      <c r="AP560" t="s">
        <v>45</v>
      </c>
      <c r="AQ560">
        <v>1917</v>
      </c>
      <c r="AR560">
        <v>2016</v>
      </c>
      <c r="AS560" t="s">
        <v>2519</v>
      </c>
      <c r="AT560">
        <v>13.0869267624914</v>
      </c>
      <c r="AU560">
        <f t="shared" si="26"/>
        <v>3.5999999999999997E-2</v>
      </c>
    </row>
    <row r="561" spans="1:47" x14ac:dyDescent="0.3">
      <c r="A561">
        <v>559</v>
      </c>
      <c r="B561" t="s">
        <v>2520</v>
      </c>
      <c r="C561" t="s">
        <v>2521</v>
      </c>
      <c r="D561">
        <v>101</v>
      </c>
      <c r="E561" t="s">
        <v>2322</v>
      </c>
      <c r="F561" t="str">
        <f>VLOOKUP(E561,country_continent!A:C,2,FALSE)</f>
        <v>Venezuela</v>
      </c>
      <c r="G561" t="str">
        <f>VLOOKUP(E561,country_continent!A:C,3,FALSE)</f>
        <v>South America</v>
      </c>
      <c r="H561" t="s">
        <v>2522</v>
      </c>
      <c r="I561" s="1">
        <v>40973</v>
      </c>
      <c r="J561" s="3">
        <f t="shared" si="24"/>
        <v>40973</v>
      </c>
      <c r="K561" s="1">
        <v>42369</v>
      </c>
      <c r="L561" s="3">
        <f t="shared" si="25"/>
        <v>42369</v>
      </c>
      <c r="M561" t="s">
        <v>49</v>
      </c>
      <c r="N561" t="s">
        <v>173</v>
      </c>
      <c r="O561" t="s">
        <v>173</v>
      </c>
      <c r="P561">
        <v>0</v>
      </c>
      <c r="Q561" t="s">
        <v>174</v>
      </c>
      <c r="R561" t="s">
        <v>51</v>
      </c>
      <c r="S561">
        <v>1962</v>
      </c>
      <c r="T561">
        <v>-777</v>
      </c>
      <c r="U561" s="1">
        <v>22973</v>
      </c>
      <c r="V561" s="2">
        <v>22973</v>
      </c>
      <c r="Z561">
        <v>0</v>
      </c>
      <c r="AA561">
        <v>-888</v>
      </c>
      <c r="AB561">
        <v>-888</v>
      </c>
      <c r="AC561">
        <v>-888</v>
      </c>
      <c r="AF561">
        <v>2012</v>
      </c>
      <c r="AG561">
        <v>2015</v>
      </c>
      <c r="AH561">
        <v>-0.18098840173963901</v>
      </c>
      <c r="AI561">
        <v>12510</v>
      </c>
      <c r="AJ561">
        <v>30.000864935224801</v>
      </c>
      <c r="AK561">
        <v>18.25</v>
      </c>
      <c r="AL561">
        <v>1.16217290331873</v>
      </c>
      <c r="AM561">
        <v>16.084363032679299</v>
      </c>
      <c r="AN561">
        <v>2.25</v>
      </c>
      <c r="AO561" t="b">
        <v>1</v>
      </c>
      <c r="AP561" t="s">
        <v>45</v>
      </c>
      <c r="AQ561">
        <v>1917</v>
      </c>
      <c r="AR561">
        <v>2016</v>
      </c>
      <c r="AS561" t="s">
        <v>2523</v>
      </c>
      <c r="AT561">
        <v>3.8220396988364098</v>
      </c>
      <c r="AU561">
        <f t="shared" si="26"/>
        <v>0.01</v>
      </c>
    </row>
    <row r="562" spans="1:47" x14ac:dyDescent="0.3">
      <c r="A562">
        <v>560</v>
      </c>
      <c r="B562" t="s">
        <v>2524</v>
      </c>
      <c r="C562" t="s">
        <v>2525</v>
      </c>
      <c r="D562">
        <v>110</v>
      </c>
      <c r="E562" t="s">
        <v>2526</v>
      </c>
      <c r="F562" t="str">
        <f>VLOOKUP(E562,country_continent!A:C,2,FALSE)</f>
        <v>Guyana</v>
      </c>
      <c r="G562" t="str">
        <f>VLOOKUP(E562,country_continent!A:C,3,FALSE)</f>
        <v>South America</v>
      </c>
      <c r="H562" t="s">
        <v>2527</v>
      </c>
      <c r="I562" s="1">
        <v>24253</v>
      </c>
      <c r="J562" s="3">
        <f t="shared" si="24"/>
        <v>24253</v>
      </c>
      <c r="K562" s="1">
        <v>31265</v>
      </c>
      <c r="L562" s="3">
        <f t="shared" si="25"/>
        <v>31265</v>
      </c>
      <c r="M562" t="s">
        <v>49</v>
      </c>
      <c r="N562" t="s">
        <v>110</v>
      </c>
      <c r="O562" t="s">
        <v>49</v>
      </c>
      <c r="P562">
        <v>0</v>
      </c>
      <c r="Q562" t="s">
        <v>111</v>
      </c>
      <c r="R562" t="s">
        <v>51</v>
      </c>
      <c r="S562">
        <v>1923</v>
      </c>
      <c r="T562">
        <v>1985</v>
      </c>
      <c r="U562" s="1">
        <v>8452</v>
      </c>
      <c r="V562" s="2">
        <v>8452</v>
      </c>
      <c r="W562" s="1">
        <v>31265</v>
      </c>
      <c r="X562" s="2">
        <v>31265</v>
      </c>
      <c r="Y562" t="s">
        <v>2528</v>
      </c>
      <c r="Z562">
        <v>0</v>
      </c>
      <c r="AA562">
        <v>2</v>
      </c>
      <c r="AB562">
        <v>0</v>
      </c>
      <c r="AC562">
        <v>-777</v>
      </c>
      <c r="AF562">
        <v>1966</v>
      </c>
      <c r="AG562">
        <v>1985</v>
      </c>
      <c r="AH562">
        <v>-0.24886734217530801</v>
      </c>
      <c r="AI562">
        <v>515</v>
      </c>
      <c r="AJ562">
        <v>8.4498663018797995</v>
      </c>
      <c r="AK562">
        <v>71.944999999999993</v>
      </c>
      <c r="AL562">
        <v>0.97240152961008597</v>
      </c>
      <c r="AM562">
        <v>22.7791661905746</v>
      </c>
      <c r="AN562">
        <v>-1.4</v>
      </c>
      <c r="AO562" t="b">
        <v>0</v>
      </c>
      <c r="AT562">
        <v>7012</v>
      </c>
      <c r="AU562">
        <f t="shared" si="26"/>
        <v>19.210999999999999</v>
      </c>
    </row>
    <row r="563" spans="1:47" x14ac:dyDescent="0.3">
      <c r="A563">
        <v>561</v>
      </c>
      <c r="B563" t="s">
        <v>2529</v>
      </c>
      <c r="C563" t="s">
        <v>2530</v>
      </c>
      <c r="D563">
        <v>110</v>
      </c>
      <c r="E563" t="s">
        <v>2526</v>
      </c>
      <c r="F563" t="str">
        <f>VLOOKUP(E563,country_continent!A:C,2,FALSE)</f>
        <v>Guyana</v>
      </c>
      <c r="G563" t="str">
        <f>VLOOKUP(E563,country_continent!A:C,3,FALSE)</f>
        <v>South America</v>
      </c>
      <c r="H563" t="s">
        <v>2531</v>
      </c>
      <c r="I563" s="1">
        <v>31265</v>
      </c>
      <c r="J563" s="3">
        <f t="shared" si="24"/>
        <v>31265</v>
      </c>
      <c r="K563" s="1">
        <v>33886</v>
      </c>
      <c r="L563" s="3">
        <f t="shared" si="25"/>
        <v>33886</v>
      </c>
      <c r="M563" t="s">
        <v>49</v>
      </c>
      <c r="N563" t="s">
        <v>49</v>
      </c>
      <c r="O563" t="s">
        <v>49</v>
      </c>
      <c r="P563">
        <v>0</v>
      </c>
      <c r="Q563" t="s">
        <v>50</v>
      </c>
      <c r="R563" t="s">
        <v>51</v>
      </c>
      <c r="S563">
        <v>1929</v>
      </c>
      <c r="T563">
        <v>2002</v>
      </c>
      <c r="U563" s="1">
        <v>10661</v>
      </c>
      <c r="V563" s="2">
        <v>10661</v>
      </c>
      <c r="W563" s="1">
        <v>37612</v>
      </c>
      <c r="X563" s="2">
        <v>37612</v>
      </c>
      <c r="Y563" t="s">
        <v>2532</v>
      </c>
      <c r="Z563">
        <v>0</v>
      </c>
      <c r="AA563">
        <v>1</v>
      </c>
      <c r="AB563">
        <v>0</v>
      </c>
      <c r="AC563">
        <v>0</v>
      </c>
      <c r="AF563">
        <v>1985</v>
      </c>
      <c r="AG563">
        <v>1992</v>
      </c>
      <c r="AH563">
        <v>0.95663441441519304</v>
      </c>
      <c r="AI563">
        <v>423.75</v>
      </c>
      <c r="AJ563">
        <v>59.2486659377143</v>
      </c>
      <c r="AK563">
        <v>62.55</v>
      </c>
      <c r="AL563">
        <v>-0.39700926672304399</v>
      </c>
      <c r="AM563">
        <v>23.3294592651276</v>
      </c>
      <c r="AN563">
        <v>-5.38</v>
      </c>
      <c r="AO563" t="b">
        <v>0</v>
      </c>
      <c r="AT563">
        <v>2621</v>
      </c>
      <c r="AU563">
        <f t="shared" si="26"/>
        <v>7.181</v>
      </c>
    </row>
    <row r="564" spans="1:47" x14ac:dyDescent="0.3">
      <c r="A564">
        <v>562</v>
      </c>
      <c r="B564" t="s">
        <v>2533</v>
      </c>
      <c r="C564" t="s">
        <v>2534</v>
      </c>
      <c r="D564">
        <v>110</v>
      </c>
      <c r="E564" t="s">
        <v>2526</v>
      </c>
      <c r="F564" t="str">
        <f>VLOOKUP(E564,country_continent!A:C,2,FALSE)</f>
        <v>Guyana</v>
      </c>
      <c r="G564" t="str">
        <f>VLOOKUP(E564,country_continent!A:C,3,FALSE)</f>
        <v>South America</v>
      </c>
      <c r="H564" t="s">
        <v>2535</v>
      </c>
      <c r="I564" s="1">
        <v>33886</v>
      </c>
      <c r="J564" s="3">
        <f t="shared" si="24"/>
        <v>33886</v>
      </c>
      <c r="K564" s="1">
        <v>35495</v>
      </c>
      <c r="L564" s="3">
        <f t="shared" si="25"/>
        <v>35495</v>
      </c>
      <c r="M564" t="s">
        <v>49</v>
      </c>
      <c r="N564" t="s">
        <v>110</v>
      </c>
      <c r="O564" t="s">
        <v>49</v>
      </c>
      <c r="P564">
        <v>0</v>
      </c>
      <c r="Q564" t="s">
        <v>111</v>
      </c>
      <c r="R564" t="s">
        <v>51</v>
      </c>
      <c r="S564">
        <v>1918</v>
      </c>
      <c r="T564">
        <v>1997</v>
      </c>
      <c r="U564" s="1">
        <v>6656</v>
      </c>
      <c r="V564" s="2">
        <v>6656</v>
      </c>
      <c r="W564" s="1">
        <v>35495</v>
      </c>
      <c r="X564" s="2">
        <v>35495</v>
      </c>
      <c r="Y564" t="s">
        <v>2536</v>
      </c>
      <c r="Z564">
        <v>0</v>
      </c>
      <c r="AA564">
        <v>2</v>
      </c>
      <c r="AB564">
        <v>0</v>
      </c>
      <c r="AC564">
        <v>-777</v>
      </c>
      <c r="AD564" t="s">
        <v>2537</v>
      </c>
      <c r="AE564">
        <v>0</v>
      </c>
      <c r="AF564">
        <v>1992</v>
      </c>
      <c r="AG564">
        <v>1997</v>
      </c>
      <c r="AH564">
        <v>6.9318582371770203</v>
      </c>
      <c r="AI564">
        <v>635</v>
      </c>
      <c r="AJ564">
        <v>10.4249286598056</v>
      </c>
      <c r="AK564">
        <v>53.8333333333333</v>
      </c>
      <c r="AL564">
        <v>0.31751490816649303</v>
      </c>
      <c r="AM564">
        <v>29.911668129528099</v>
      </c>
      <c r="AN564">
        <v>6</v>
      </c>
      <c r="AO564" t="b">
        <v>0</v>
      </c>
      <c r="AT564">
        <v>1609</v>
      </c>
      <c r="AU564">
        <f t="shared" si="26"/>
        <v>4.4080000000000004</v>
      </c>
    </row>
    <row r="565" spans="1:47" x14ac:dyDescent="0.3">
      <c r="A565">
        <v>563</v>
      </c>
      <c r="B565" t="s">
        <v>2538</v>
      </c>
      <c r="C565" t="s">
        <v>2539</v>
      </c>
      <c r="D565">
        <v>110</v>
      </c>
      <c r="E565" t="s">
        <v>2526</v>
      </c>
      <c r="F565" t="str">
        <f>VLOOKUP(E565,country_continent!A:C,2,FALSE)</f>
        <v>Guyana</v>
      </c>
      <c r="G565" t="str">
        <f>VLOOKUP(E565,country_continent!A:C,3,FALSE)</f>
        <v>South America</v>
      </c>
      <c r="H565" t="s">
        <v>2540</v>
      </c>
      <c r="I565" s="1">
        <v>35495</v>
      </c>
      <c r="J565" s="3">
        <f t="shared" si="24"/>
        <v>35495</v>
      </c>
      <c r="K565" s="1">
        <v>35783</v>
      </c>
      <c r="L565" s="3">
        <f t="shared" si="25"/>
        <v>35783</v>
      </c>
      <c r="M565" t="s">
        <v>49</v>
      </c>
      <c r="N565" t="s">
        <v>49</v>
      </c>
      <c r="O565" t="s">
        <v>49</v>
      </c>
      <c r="P565">
        <v>0</v>
      </c>
      <c r="Q565" t="s">
        <v>50</v>
      </c>
      <c r="R565" t="s">
        <v>51</v>
      </c>
      <c r="S565">
        <v>1943</v>
      </c>
      <c r="T565">
        <v>-777</v>
      </c>
      <c r="U565" s="1">
        <v>16067</v>
      </c>
      <c r="V565" s="2">
        <v>16067</v>
      </c>
      <c r="Y565" t="s">
        <v>2541</v>
      </c>
      <c r="Z565">
        <v>0</v>
      </c>
      <c r="AA565">
        <v>1</v>
      </c>
      <c r="AB565">
        <v>0</v>
      </c>
      <c r="AC565">
        <v>0</v>
      </c>
      <c r="AF565">
        <v>1997</v>
      </c>
      <c r="AG565">
        <v>1997</v>
      </c>
      <c r="AH565">
        <v>5.94120905202724</v>
      </c>
      <c r="AI565">
        <v>880</v>
      </c>
      <c r="AJ565">
        <v>1.4432537062100099</v>
      </c>
      <c r="AK565">
        <v>50.2</v>
      </c>
      <c r="AL565">
        <v>0.22577271699982701</v>
      </c>
      <c r="AM565">
        <v>25.986055322039899</v>
      </c>
      <c r="AN565">
        <v>6</v>
      </c>
      <c r="AO565" t="b">
        <v>0</v>
      </c>
      <c r="AT565">
        <v>288</v>
      </c>
      <c r="AU565">
        <f t="shared" si="26"/>
        <v>0.78900000000000003</v>
      </c>
    </row>
    <row r="566" spans="1:47" x14ac:dyDescent="0.3">
      <c r="A566">
        <v>564</v>
      </c>
      <c r="B566" t="s">
        <v>2542</v>
      </c>
      <c r="C566" t="s">
        <v>2543</v>
      </c>
      <c r="D566">
        <v>110</v>
      </c>
      <c r="E566" t="s">
        <v>2526</v>
      </c>
      <c r="F566" t="str">
        <f>VLOOKUP(E566,country_continent!A:C,2,FALSE)</f>
        <v>Guyana</v>
      </c>
      <c r="G566" t="str">
        <f>VLOOKUP(E566,country_continent!A:C,3,FALSE)</f>
        <v>South America</v>
      </c>
      <c r="H566" t="s">
        <v>2544</v>
      </c>
      <c r="I566" s="1">
        <v>35783</v>
      </c>
      <c r="J566" s="3">
        <f t="shared" si="24"/>
        <v>35783</v>
      </c>
      <c r="K566" s="1">
        <v>36383</v>
      </c>
      <c r="L566" s="3">
        <f t="shared" si="25"/>
        <v>36383</v>
      </c>
      <c r="M566" t="s">
        <v>49</v>
      </c>
      <c r="N566" t="s">
        <v>228</v>
      </c>
      <c r="O566" t="s">
        <v>49</v>
      </c>
      <c r="P566">
        <v>0</v>
      </c>
      <c r="Q566" t="s">
        <v>50</v>
      </c>
      <c r="R566" t="s">
        <v>299</v>
      </c>
      <c r="S566">
        <v>1920</v>
      </c>
      <c r="T566">
        <v>2009</v>
      </c>
      <c r="U566" s="1">
        <v>7599</v>
      </c>
      <c r="V566" s="2">
        <v>7599</v>
      </c>
      <c r="Y566" t="s">
        <v>2545</v>
      </c>
      <c r="Z566">
        <v>0</v>
      </c>
      <c r="AA566">
        <v>2.0999998999999998</v>
      </c>
      <c r="AB566">
        <v>0</v>
      </c>
      <c r="AC566">
        <v>0</v>
      </c>
      <c r="AD566" t="s">
        <v>2546</v>
      </c>
      <c r="AE566">
        <v>1</v>
      </c>
      <c r="AF566">
        <v>1997</v>
      </c>
      <c r="AG566">
        <v>1999</v>
      </c>
      <c r="AH566">
        <v>2.3095929970072802</v>
      </c>
      <c r="AI566">
        <v>863.33333333333303</v>
      </c>
      <c r="AJ566">
        <v>5.2079511573024098</v>
      </c>
      <c r="AK566">
        <v>48.933333333333302</v>
      </c>
      <c r="AL566">
        <v>0.17298297388962999</v>
      </c>
      <c r="AM566">
        <v>20.497368442344602</v>
      </c>
      <c r="AN566">
        <v>6</v>
      </c>
      <c r="AO566" t="b">
        <v>0</v>
      </c>
      <c r="AT566">
        <v>600</v>
      </c>
      <c r="AU566">
        <f t="shared" si="26"/>
        <v>1.6439999999999999</v>
      </c>
    </row>
    <row r="567" spans="1:47" x14ac:dyDescent="0.3">
      <c r="A567">
        <v>565</v>
      </c>
      <c r="B567" t="s">
        <v>2547</v>
      </c>
      <c r="C567" t="s">
        <v>2548</v>
      </c>
      <c r="D567">
        <v>110</v>
      </c>
      <c r="E567" t="s">
        <v>2526</v>
      </c>
      <c r="F567" t="str">
        <f>VLOOKUP(E567,country_continent!A:C,2,FALSE)</f>
        <v>Guyana</v>
      </c>
      <c r="G567" t="str">
        <f>VLOOKUP(E567,country_continent!A:C,3,FALSE)</f>
        <v>South America</v>
      </c>
      <c r="H567" t="s">
        <v>2549</v>
      </c>
      <c r="I567" s="1">
        <v>36383</v>
      </c>
      <c r="J567" s="3">
        <f t="shared" si="24"/>
        <v>36383</v>
      </c>
      <c r="K567" s="1">
        <v>40880</v>
      </c>
      <c r="L567" s="3">
        <f t="shared" si="25"/>
        <v>40880</v>
      </c>
      <c r="M567" t="s">
        <v>49</v>
      </c>
      <c r="N567" t="s">
        <v>49</v>
      </c>
      <c r="O567" t="s">
        <v>49</v>
      </c>
      <c r="P567">
        <v>0</v>
      </c>
      <c r="Q567" t="s">
        <v>50</v>
      </c>
      <c r="R567" t="s">
        <v>51</v>
      </c>
      <c r="S567">
        <v>1964</v>
      </c>
      <c r="T567">
        <v>-777</v>
      </c>
      <c r="U567" s="1">
        <v>23399</v>
      </c>
      <c r="V567" s="2">
        <v>23399</v>
      </c>
      <c r="Y567" t="s">
        <v>2550</v>
      </c>
      <c r="Z567">
        <v>0</v>
      </c>
      <c r="AA567">
        <v>1</v>
      </c>
      <c r="AB567">
        <v>0</v>
      </c>
      <c r="AC567">
        <v>0</v>
      </c>
      <c r="AF567">
        <v>1999</v>
      </c>
      <c r="AG567">
        <v>2011</v>
      </c>
      <c r="AH567">
        <v>2.56987901695534</v>
      </c>
      <c r="AI567">
        <v>2115.3846153846098</v>
      </c>
      <c r="AJ567">
        <v>18.463204401584001</v>
      </c>
      <c r="AK567">
        <v>41.661538461538399</v>
      </c>
      <c r="AL567">
        <v>-0.177654495911171</v>
      </c>
      <c r="AM567">
        <v>14.6742953737687</v>
      </c>
      <c r="AN567">
        <v>6</v>
      </c>
      <c r="AO567" t="b">
        <v>0</v>
      </c>
      <c r="AT567">
        <v>4497</v>
      </c>
      <c r="AU567">
        <f t="shared" si="26"/>
        <v>12.321</v>
      </c>
    </row>
    <row r="568" spans="1:47" x14ac:dyDescent="0.3">
      <c r="A568">
        <v>566</v>
      </c>
      <c r="B568" t="s">
        <v>2551</v>
      </c>
      <c r="C568" t="s">
        <v>2552</v>
      </c>
      <c r="D568">
        <v>110</v>
      </c>
      <c r="E568" t="s">
        <v>2526</v>
      </c>
      <c r="F568" t="str">
        <f>VLOOKUP(E568,country_continent!A:C,2,FALSE)</f>
        <v>Guyana</v>
      </c>
      <c r="G568" t="str">
        <f>VLOOKUP(E568,country_continent!A:C,3,FALSE)</f>
        <v>South America</v>
      </c>
      <c r="H568" t="s">
        <v>2553</v>
      </c>
      <c r="I568" s="1">
        <v>40880</v>
      </c>
      <c r="J568" s="3">
        <f t="shared" si="24"/>
        <v>40880</v>
      </c>
      <c r="K568" s="1">
        <v>42140</v>
      </c>
      <c r="L568" s="3">
        <f t="shared" si="25"/>
        <v>42140</v>
      </c>
      <c r="M568" t="s">
        <v>49</v>
      </c>
      <c r="N568" t="s">
        <v>49</v>
      </c>
      <c r="O568" t="s">
        <v>49</v>
      </c>
      <c r="P568">
        <v>0</v>
      </c>
      <c r="Q568" t="s">
        <v>312</v>
      </c>
      <c r="R568" t="s">
        <v>51</v>
      </c>
      <c r="S568">
        <v>1950</v>
      </c>
      <c r="T568">
        <v>-777</v>
      </c>
      <c r="U568" s="1">
        <v>18558</v>
      </c>
      <c r="V568" s="2">
        <v>18558</v>
      </c>
      <c r="Z568">
        <v>0</v>
      </c>
      <c r="AA568">
        <v>1</v>
      </c>
      <c r="AB568">
        <v>0</v>
      </c>
      <c r="AC568">
        <v>-999</v>
      </c>
      <c r="AF568">
        <v>2011</v>
      </c>
      <c r="AG568">
        <v>2015</v>
      </c>
      <c r="AH568">
        <v>3.04620620821396</v>
      </c>
      <c r="AI568">
        <v>5398</v>
      </c>
      <c r="AJ568">
        <v>1.4998319997053799</v>
      </c>
      <c r="AK568">
        <v>34.86</v>
      </c>
      <c r="AL568">
        <v>0.25264968077076699</v>
      </c>
      <c r="AM568">
        <v>13.273613116146899</v>
      </c>
      <c r="AN568">
        <v>6.2</v>
      </c>
      <c r="AO568" t="b">
        <v>0</v>
      </c>
      <c r="AT568">
        <v>1260</v>
      </c>
      <c r="AU568">
        <f t="shared" si="26"/>
        <v>3.452</v>
      </c>
    </row>
    <row r="569" spans="1:47" x14ac:dyDescent="0.3">
      <c r="A569">
        <v>567</v>
      </c>
      <c r="B569" t="s">
        <v>2554</v>
      </c>
      <c r="C569" t="s">
        <v>2555</v>
      </c>
      <c r="D569">
        <v>110</v>
      </c>
      <c r="E569" t="s">
        <v>2526</v>
      </c>
      <c r="F569" t="str">
        <f>VLOOKUP(E569,country_continent!A:C,2,FALSE)</f>
        <v>Guyana</v>
      </c>
      <c r="G569" t="str">
        <f>VLOOKUP(E569,country_continent!A:C,3,FALSE)</f>
        <v>South America</v>
      </c>
      <c r="H569" t="s">
        <v>2556</v>
      </c>
      <c r="I569" s="1">
        <v>42140</v>
      </c>
      <c r="J569" s="3">
        <f t="shared" si="24"/>
        <v>42140</v>
      </c>
      <c r="K569" s="1">
        <v>42369</v>
      </c>
      <c r="L569" s="3">
        <f t="shared" si="25"/>
        <v>42369</v>
      </c>
      <c r="M569" t="s">
        <v>49</v>
      </c>
      <c r="N569" t="s">
        <v>173</v>
      </c>
      <c r="O569" t="s">
        <v>173</v>
      </c>
      <c r="P569">
        <v>0</v>
      </c>
      <c r="Q569" t="s">
        <v>174</v>
      </c>
      <c r="R569" t="s">
        <v>51</v>
      </c>
      <c r="S569">
        <v>1945</v>
      </c>
      <c r="T569">
        <v>-777</v>
      </c>
      <c r="U569" s="1">
        <v>18558</v>
      </c>
      <c r="V569" s="2">
        <v>18558</v>
      </c>
      <c r="Z569">
        <v>0</v>
      </c>
      <c r="AA569">
        <v>-888</v>
      </c>
      <c r="AB569">
        <v>-888</v>
      </c>
      <c r="AC569">
        <v>-888</v>
      </c>
      <c r="AF569">
        <v>2015</v>
      </c>
      <c r="AG569">
        <v>2015</v>
      </c>
      <c r="AH569">
        <v>8.3371192713485698E-2</v>
      </c>
      <c r="AI569">
        <v>5530</v>
      </c>
      <c r="AJ569">
        <v>3.0043095168452201</v>
      </c>
      <c r="AK569">
        <v>33.1</v>
      </c>
      <c r="AL569">
        <v>0.60171627870647804</v>
      </c>
      <c r="AM569">
        <v>8.5644328379862795</v>
      </c>
      <c r="AN569">
        <v>7</v>
      </c>
      <c r="AO569" t="b">
        <v>0</v>
      </c>
      <c r="AT569">
        <v>229</v>
      </c>
      <c r="AU569">
        <f t="shared" si="26"/>
        <v>0.627</v>
      </c>
    </row>
    <row r="570" spans="1:47" x14ac:dyDescent="0.3">
      <c r="A570">
        <v>568</v>
      </c>
      <c r="B570" t="s">
        <v>2557</v>
      </c>
      <c r="C570" t="s">
        <v>2558</v>
      </c>
      <c r="D570">
        <v>115</v>
      </c>
      <c r="E570" t="s">
        <v>2559</v>
      </c>
      <c r="F570" t="str">
        <f>VLOOKUP(E570,country_continent!A:C,2,FALSE)</f>
        <v>Suriname</v>
      </c>
      <c r="G570" t="str">
        <f>VLOOKUP(E570,country_continent!A:C,3,FALSE)</f>
        <v>South America</v>
      </c>
      <c r="H570" t="s">
        <v>2560</v>
      </c>
      <c r="I570" s="1">
        <v>27723</v>
      </c>
      <c r="J570" s="3">
        <f t="shared" si="24"/>
        <v>27723</v>
      </c>
      <c r="K570" s="1">
        <v>29446</v>
      </c>
      <c r="L570" s="3">
        <f t="shared" si="25"/>
        <v>29446</v>
      </c>
      <c r="M570" t="s">
        <v>49</v>
      </c>
      <c r="N570" t="s">
        <v>67</v>
      </c>
      <c r="O570" t="s">
        <v>376</v>
      </c>
      <c r="P570">
        <v>0</v>
      </c>
      <c r="Q570" t="s">
        <v>362</v>
      </c>
      <c r="R570" t="s">
        <v>51</v>
      </c>
      <c r="S570">
        <v>1910</v>
      </c>
      <c r="T570">
        <v>-777</v>
      </c>
      <c r="U570" s="1">
        <v>3785</v>
      </c>
      <c r="V570" s="2">
        <v>3785</v>
      </c>
      <c r="W570" s="1">
        <v>40182</v>
      </c>
      <c r="X570" s="2">
        <v>40182</v>
      </c>
      <c r="Y570" t="s">
        <v>2561</v>
      </c>
      <c r="Z570">
        <v>0</v>
      </c>
      <c r="AA570">
        <v>3</v>
      </c>
      <c r="AB570">
        <v>6</v>
      </c>
      <c r="AC570">
        <v>1</v>
      </c>
      <c r="AF570">
        <v>1975</v>
      </c>
      <c r="AG570">
        <v>1980</v>
      </c>
      <c r="AH570">
        <v>3.9918806064538299</v>
      </c>
      <c r="AI570">
        <v>1688.3333333333301</v>
      </c>
      <c r="AJ570">
        <v>8.5733072429305004</v>
      </c>
      <c r="AL570">
        <v>-0.79328969458332099</v>
      </c>
      <c r="AM570">
        <v>16.166572216105099</v>
      </c>
      <c r="AN570">
        <v>3.8</v>
      </c>
      <c r="AO570" t="b">
        <v>0</v>
      </c>
      <c r="AT570">
        <v>1723</v>
      </c>
      <c r="AU570">
        <f t="shared" si="26"/>
        <v>4.7210000000000001</v>
      </c>
    </row>
    <row r="571" spans="1:47" x14ac:dyDescent="0.3">
      <c r="A571">
        <v>569</v>
      </c>
      <c r="B571" t="s">
        <v>2562</v>
      </c>
      <c r="C571" t="s">
        <v>2563</v>
      </c>
      <c r="D571">
        <v>115</v>
      </c>
      <c r="E571" t="s">
        <v>2559</v>
      </c>
      <c r="F571" t="str">
        <f>VLOOKUP(E571,country_continent!A:C,2,FALSE)</f>
        <v>Suriname</v>
      </c>
      <c r="G571" t="str">
        <f>VLOOKUP(E571,country_continent!A:C,3,FALSE)</f>
        <v>South America</v>
      </c>
      <c r="H571" t="s">
        <v>2564</v>
      </c>
      <c r="I571" s="1">
        <v>29446</v>
      </c>
      <c r="J571" s="3">
        <f t="shared" si="24"/>
        <v>29446</v>
      </c>
      <c r="K571" s="1">
        <v>32167</v>
      </c>
      <c r="L571" s="3">
        <f t="shared" si="25"/>
        <v>32167</v>
      </c>
      <c r="M571" t="s">
        <v>67</v>
      </c>
      <c r="N571" t="s">
        <v>49</v>
      </c>
      <c r="O571" t="s">
        <v>49</v>
      </c>
      <c r="P571">
        <v>0</v>
      </c>
      <c r="Q571" t="s">
        <v>50</v>
      </c>
      <c r="R571" t="s">
        <v>51</v>
      </c>
      <c r="S571">
        <v>1946</v>
      </c>
      <c r="T571">
        <v>-777</v>
      </c>
      <c r="Z571">
        <v>1</v>
      </c>
      <c r="AA571">
        <v>1</v>
      </c>
      <c r="AB571">
        <v>0</v>
      </c>
      <c r="AC571">
        <v>0</v>
      </c>
      <c r="AF571">
        <v>1980</v>
      </c>
      <c r="AG571">
        <v>1988</v>
      </c>
      <c r="AH571">
        <v>-1.5162178053897799</v>
      </c>
      <c r="AI571">
        <v>2387.7777777777701</v>
      </c>
      <c r="AJ571">
        <v>5.6533115604214803</v>
      </c>
      <c r="AK571">
        <v>52.3</v>
      </c>
      <c r="AL571">
        <v>0.70195416665110799</v>
      </c>
      <c r="AM571">
        <v>10.2897060137248</v>
      </c>
      <c r="AN571">
        <v>-3.78</v>
      </c>
      <c r="AO571" t="b">
        <v>0</v>
      </c>
      <c r="AT571">
        <v>2721</v>
      </c>
      <c r="AU571">
        <f t="shared" si="26"/>
        <v>7.4550000000000001</v>
      </c>
    </row>
    <row r="572" spans="1:47" x14ac:dyDescent="0.3">
      <c r="A572">
        <v>570</v>
      </c>
      <c r="B572" t="s">
        <v>2565</v>
      </c>
      <c r="C572" t="s">
        <v>2566</v>
      </c>
      <c r="D572">
        <v>115</v>
      </c>
      <c r="E572" t="s">
        <v>2559</v>
      </c>
      <c r="F572" t="str">
        <f>VLOOKUP(E572,country_continent!A:C,2,FALSE)</f>
        <v>Suriname</v>
      </c>
      <c r="G572" t="str">
        <f>VLOOKUP(E572,country_continent!A:C,3,FALSE)</f>
        <v>South America</v>
      </c>
      <c r="H572" t="s">
        <v>2567</v>
      </c>
      <c r="I572" s="1">
        <v>32167</v>
      </c>
      <c r="J572" s="3">
        <f t="shared" si="24"/>
        <v>32167</v>
      </c>
      <c r="K572" s="1">
        <v>33231</v>
      </c>
      <c r="L572" s="3">
        <f t="shared" si="25"/>
        <v>33231</v>
      </c>
      <c r="M572" t="s">
        <v>49</v>
      </c>
      <c r="N572" t="s">
        <v>67</v>
      </c>
      <c r="O572" t="s">
        <v>376</v>
      </c>
      <c r="P572">
        <v>0</v>
      </c>
      <c r="Q572" t="s">
        <v>50</v>
      </c>
      <c r="R572" t="s">
        <v>51</v>
      </c>
      <c r="S572">
        <v>1937</v>
      </c>
      <c r="T572">
        <v>-777</v>
      </c>
      <c r="Z572">
        <v>0</v>
      </c>
      <c r="AA572">
        <v>3</v>
      </c>
      <c r="AB572">
        <v>6</v>
      </c>
      <c r="AC572">
        <v>0</v>
      </c>
      <c r="AF572">
        <v>1988</v>
      </c>
      <c r="AG572">
        <v>1990</v>
      </c>
      <c r="AH572">
        <v>1.1841643519504801</v>
      </c>
      <c r="AI572">
        <v>2153.3333333333298</v>
      </c>
      <c r="AJ572">
        <v>23.9784381729507</v>
      </c>
      <c r="AK572">
        <v>46.5</v>
      </c>
      <c r="AL572">
        <v>1.28357205797291</v>
      </c>
      <c r="AM572">
        <v>16.3802193649008</v>
      </c>
      <c r="AN572">
        <v>0</v>
      </c>
      <c r="AO572" t="b">
        <v>0</v>
      </c>
      <c r="AT572">
        <v>1064</v>
      </c>
      <c r="AU572">
        <f t="shared" si="26"/>
        <v>2.915</v>
      </c>
    </row>
    <row r="573" spans="1:47" x14ac:dyDescent="0.3">
      <c r="A573">
        <v>571</v>
      </c>
      <c r="B573" t="s">
        <v>2568</v>
      </c>
      <c r="C573" t="s">
        <v>2569</v>
      </c>
      <c r="D573">
        <v>115</v>
      </c>
      <c r="E573" t="s">
        <v>2559</v>
      </c>
      <c r="F573" t="str">
        <f>VLOOKUP(E573,country_continent!A:C,2,FALSE)</f>
        <v>Suriname</v>
      </c>
      <c r="G573" t="str">
        <f>VLOOKUP(E573,country_continent!A:C,3,FALSE)</f>
        <v>South America</v>
      </c>
      <c r="H573" t="s">
        <v>2570</v>
      </c>
      <c r="I573" s="1">
        <v>33231</v>
      </c>
      <c r="J573" s="3">
        <f t="shared" si="24"/>
        <v>33231</v>
      </c>
      <c r="K573" s="1">
        <v>33236</v>
      </c>
      <c r="L573" s="3">
        <f t="shared" si="25"/>
        <v>33236</v>
      </c>
      <c r="M573" t="s">
        <v>67</v>
      </c>
      <c r="N573" t="s">
        <v>49</v>
      </c>
      <c r="O573" t="s">
        <v>49</v>
      </c>
      <c r="P573">
        <v>0</v>
      </c>
      <c r="Q573" t="s">
        <v>50</v>
      </c>
      <c r="R573" t="s">
        <v>51</v>
      </c>
      <c r="S573">
        <v>1937</v>
      </c>
      <c r="T573">
        <v>-777</v>
      </c>
      <c r="Z573">
        <v>1</v>
      </c>
      <c r="AA573">
        <v>1</v>
      </c>
      <c r="AB573">
        <v>0</v>
      </c>
      <c r="AC573">
        <v>0</v>
      </c>
      <c r="AF573">
        <v>1990</v>
      </c>
      <c r="AG573">
        <v>1990</v>
      </c>
      <c r="AH573">
        <v>-5.44552392165917</v>
      </c>
      <c r="AI573">
        <v>1400</v>
      </c>
      <c r="AJ573">
        <v>49.9084300296268</v>
      </c>
      <c r="AK573">
        <v>44.9</v>
      </c>
      <c r="AL573">
        <v>0.99501126676710805</v>
      </c>
      <c r="AM573">
        <v>24.925155063294898</v>
      </c>
      <c r="AN573">
        <v>2</v>
      </c>
      <c r="AO573" t="b">
        <v>0</v>
      </c>
      <c r="AT573">
        <v>5</v>
      </c>
      <c r="AU573">
        <f t="shared" si="26"/>
        <v>1.4E-2</v>
      </c>
    </row>
    <row r="574" spans="1:47" x14ac:dyDescent="0.3">
      <c r="A574">
        <v>572</v>
      </c>
      <c r="B574" t="s">
        <v>2571</v>
      </c>
      <c r="C574" t="s">
        <v>2572</v>
      </c>
      <c r="D574">
        <v>115</v>
      </c>
      <c r="E574" t="s">
        <v>2559</v>
      </c>
      <c r="F574" t="str">
        <f>VLOOKUP(E574,country_continent!A:C,2,FALSE)</f>
        <v>Suriname</v>
      </c>
      <c r="G574" t="str">
        <f>VLOOKUP(E574,country_continent!A:C,3,FALSE)</f>
        <v>South America</v>
      </c>
      <c r="H574" t="s">
        <v>2573</v>
      </c>
      <c r="I574" s="1">
        <v>33236</v>
      </c>
      <c r="J574" s="3">
        <f t="shared" si="24"/>
        <v>33236</v>
      </c>
      <c r="K574" s="1">
        <v>33497</v>
      </c>
      <c r="L574" s="3">
        <f t="shared" si="25"/>
        <v>33497</v>
      </c>
      <c r="M574" t="s">
        <v>49</v>
      </c>
      <c r="N574" t="s">
        <v>49</v>
      </c>
      <c r="O574" t="s">
        <v>49</v>
      </c>
      <c r="P574">
        <v>0</v>
      </c>
      <c r="Q574" t="s">
        <v>50</v>
      </c>
      <c r="R574" t="s">
        <v>51</v>
      </c>
      <c r="S574">
        <v>1913</v>
      </c>
      <c r="T574">
        <v>1996</v>
      </c>
      <c r="Z574">
        <v>0</v>
      </c>
      <c r="AA574">
        <v>1</v>
      </c>
      <c r="AB574">
        <v>0</v>
      </c>
      <c r="AC574">
        <v>0</v>
      </c>
      <c r="AF574">
        <v>1990</v>
      </c>
      <c r="AG574">
        <v>1991</v>
      </c>
      <c r="AH574">
        <v>-1.68456467139724</v>
      </c>
      <c r="AI574">
        <v>1265</v>
      </c>
      <c r="AJ574">
        <v>31.123033307674799</v>
      </c>
      <c r="AK574">
        <v>44.15</v>
      </c>
      <c r="AL574">
        <v>0.80203608875840404</v>
      </c>
      <c r="AM574">
        <v>22.435583723427001</v>
      </c>
      <c r="AN574">
        <v>3.5</v>
      </c>
      <c r="AO574" t="b">
        <v>0</v>
      </c>
      <c r="AT574">
        <v>261</v>
      </c>
      <c r="AU574">
        <f t="shared" si="26"/>
        <v>0.71499999999999997</v>
      </c>
    </row>
    <row r="575" spans="1:47" x14ac:dyDescent="0.3">
      <c r="A575">
        <v>573</v>
      </c>
      <c r="B575" t="s">
        <v>2574</v>
      </c>
      <c r="C575" t="s">
        <v>2575</v>
      </c>
      <c r="D575">
        <v>115</v>
      </c>
      <c r="E575" t="s">
        <v>2559</v>
      </c>
      <c r="F575" t="str">
        <f>VLOOKUP(E575,country_continent!A:C,2,FALSE)</f>
        <v>Suriname</v>
      </c>
      <c r="G575" t="str">
        <f>VLOOKUP(E575,country_continent!A:C,3,FALSE)</f>
        <v>South America</v>
      </c>
      <c r="H575" t="s">
        <v>2576</v>
      </c>
      <c r="I575" s="1">
        <v>33497</v>
      </c>
      <c r="J575" s="3">
        <f t="shared" si="24"/>
        <v>33497</v>
      </c>
      <c r="K575" s="1">
        <v>35323</v>
      </c>
      <c r="L575" s="3">
        <f t="shared" si="25"/>
        <v>35323</v>
      </c>
      <c r="M575" t="s">
        <v>49</v>
      </c>
      <c r="N575" t="s">
        <v>49</v>
      </c>
      <c r="O575" t="s">
        <v>49</v>
      </c>
      <c r="P575">
        <v>0</v>
      </c>
      <c r="Q575" t="s">
        <v>50</v>
      </c>
      <c r="R575" t="s">
        <v>51</v>
      </c>
      <c r="S575">
        <v>1936</v>
      </c>
      <c r="T575">
        <v>-777</v>
      </c>
      <c r="Z575">
        <v>0</v>
      </c>
      <c r="AA575">
        <v>1</v>
      </c>
      <c r="AB575">
        <v>0</v>
      </c>
      <c r="AC575">
        <v>0</v>
      </c>
      <c r="AF575">
        <v>1991</v>
      </c>
      <c r="AG575">
        <v>1996</v>
      </c>
      <c r="AH575">
        <v>-0.89689668384792498</v>
      </c>
      <c r="AI575">
        <v>1220</v>
      </c>
      <c r="AJ575">
        <v>155.26506524982099</v>
      </c>
      <c r="AK575">
        <v>39.633333333333297</v>
      </c>
      <c r="AL575">
        <v>1.03154764012352</v>
      </c>
      <c r="AM575">
        <v>15.523584168265099</v>
      </c>
      <c r="AN575">
        <v>5</v>
      </c>
      <c r="AO575" t="b">
        <v>0</v>
      </c>
      <c r="AT575">
        <v>1826</v>
      </c>
      <c r="AU575">
        <f t="shared" si="26"/>
        <v>5.0030000000000001</v>
      </c>
    </row>
    <row r="576" spans="1:47" x14ac:dyDescent="0.3">
      <c r="A576">
        <v>574</v>
      </c>
      <c r="B576" t="s">
        <v>2577</v>
      </c>
      <c r="C576" t="s">
        <v>2578</v>
      </c>
      <c r="D576">
        <v>115</v>
      </c>
      <c r="E576" t="s">
        <v>2559</v>
      </c>
      <c r="F576" t="str">
        <f>VLOOKUP(E576,country_continent!A:C,2,FALSE)</f>
        <v>Suriname</v>
      </c>
      <c r="G576" t="str">
        <f>VLOOKUP(E576,country_continent!A:C,3,FALSE)</f>
        <v>South America</v>
      </c>
      <c r="H576" t="s">
        <v>2579</v>
      </c>
      <c r="I576" s="1">
        <v>35323</v>
      </c>
      <c r="J576" s="3">
        <f t="shared" si="24"/>
        <v>35323</v>
      </c>
      <c r="K576" s="1">
        <v>36750</v>
      </c>
      <c r="L576" s="3">
        <f t="shared" si="25"/>
        <v>36750</v>
      </c>
      <c r="M576" t="s">
        <v>49</v>
      </c>
      <c r="N576" t="s">
        <v>49</v>
      </c>
      <c r="O576" t="s">
        <v>49</v>
      </c>
      <c r="P576">
        <v>0</v>
      </c>
      <c r="Q576" t="s">
        <v>50</v>
      </c>
      <c r="R576" t="s">
        <v>51</v>
      </c>
      <c r="S576">
        <v>1941</v>
      </c>
      <c r="T576">
        <v>-777</v>
      </c>
      <c r="Z576">
        <v>0</v>
      </c>
      <c r="AA576">
        <v>1</v>
      </c>
      <c r="AB576">
        <v>0</v>
      </c>
      <c r="AC576">
        <v>0</v>
      </c>
      <c r="AF576">
        <v>1996</v>
      </c>
      <c r="AG576">
        <v>2000</v>
      </c>
      <c r="AH576">
        <v>-0.15650665408709</v>
      </c>
      <c r="AI576">
        <v>1898</v>
      </c>
      <c r="AJ576">
        <v>33.060776519259498</v>
      </c>
      <c r="AK576">
        <v>33.479999999999997</v>
      </c>
      <c r="AL576">
        <v>2.0779854685200299</v>
      </c>
      <c r="AM576">
        <v>8.9535370083899402</v>
      </c>
      <c r="AN576">
        <v>5</v>
      </c>
      <c r="AO576" t="b">
        <v>0</v>
      </c>
      <c r="AT576">
        <v>1427</v>
      </c>
      <c r="AU576">
        <f t="shared" si="26"/>
        <v>3.91</v>
      </c>
    </row>
    <row r="577" spans="1:47" x14ac:dyDescent="0.3">
      <c r="A577">
        <v>575</v>
      </c>
      <c r="B577" t="s">
        <v>2580</v>
      </c>
      <c r="C577" t="s">
        <v>2575</v>
      </c>
      <c r="D577">
        <v>115</v>
      </c>
      <c r="E577" t="s">
        <v>2559</v>
      </c>
      <c r="F577" t="str">
        <f>VLOOKUP(E577,country_continent!A:C,2,FALSE)</f>
        <v>Suriname</v>
      </c>
      <c r="G577" t="str">
        <f>VLOOKUP(E577,country_continent!A:C,3,FALSE)</f>
        <v>South America</v>
      </c>
      <c r="H577" t="s">
        <v>2576</v>
      </c>
      <c r="I577" s="1">
        <v>36750</v>
      </c>
      <c r="J577" s="3">
        <f t="shared" si="24"/>
        <v>36750</v>
      </c>
      <c r="K577" s="1">
        <v>40402</v>
      </c>
      <c r="L577" s="3">
        <f t="shared" si="25"/>
        <v>40402</v>
      </c>
      <c r="M577" t="s">
        <v>49</v>
      </c>
      <c r="N577" t="s">
        <v>49</v>
      </c>
      <c r="O577" t="s">
        <v>49</v>
      </c>
      <c r="P577">
        <v>1</v>
      </c>
      <c r="Q577" t="s">
        <v>50</v>
      </c>
      <c r="R577" t="s">
        <v>51</v>
      </c>
      <c r="S577">
        <v>1936</v>
      </c>
      <c r="T577">
        <v>-777</v>
      </c>
      <c r="Z577">
        <v>0</v>
      </c>
      <c r="AA577">
        <v>1</v>
      </c>
      <c r="AB577">
        <v>0</v>
      </c>
      <c r="AC577">
        <v>0</v>
      </c>
      <c r="AF577">
        <v>2000</v>
      </c>
      <c r="AG577">
        <v>2010</v>
      </c>
      <c r="AH577">
        <v>3.15063512225497</v>
      </c>
      <c r="AI577">
        <v>3849.0909090908999</v>
      </c>
      <c r="AJ577">
        <v>23.825881588974202</v>
      </c>
      <c r="AK577">
        <v>26.718181818181801</v>
      </c>
      <c r="AL577">
        <v>1.4875354405079</v>
      </c>
      <c r="AM577">
        <v>12.729255249742399</v>
      </c>
      <c r="AN577">
        <v>5</v>
      </c>
      <c r="AO577" t="b">
        <v>0</v>
      </c>
      <c r="AT577">
        <v>3652</v>
      </c>
      <c r="AU577">
        <f t="shared" si="26"/>
        <v>10.005000000000001</v>
      </c>
    </row>
    <row r="578" spans="1:47" x14ac:dyDescent="0.3">
      <c r="A578">
        <v>576</v>
      </c>
      <c r="B578" t="s">
        <v>2581</v>
      </c>
      <c r="C578" t="s">
        <v>2563</v>
      </c>
      <c r="D578">
        <v>115</v>
      </c>
      <c r="E578" t="s">
        <v>2559</v>
      </c>
      <c r="F578" t="str">
        <f>VLOOKUP(E578,country_continent!A:C,2,FALSE)</f>
        <v>Suriname</v>
      </c>
      <c r="G578" t="str">
        <f>VLOOKUP(E578,country_continent!A:C,3,FALSE)</f>
        <v>South America</v>
      </c>
      <c r="H578" t="s">
        <v>2564</v>
      </c>
      <c r="I578" s="1">
        <v>40402</v>
      </c>
      <c r="J578" s="3">
        <f t="shared" si="24"/>
        <v>40402</v>
      </c>
      <c r="K578" s="1">
        <v>42369</v>
      </c>
      <c r="L578" s="3">
        <f t="shared" si="25"/>
        <v>42369</v>
      </c>
      <c r="M578" t="s">
        <v>49</v>
      </c>
      <c r="N578" t="s">
        <v>173</v>
      </c>
      <c r="O578" t="s">
        <v>173</v>
      </c>
      <c r="P578">
        <v>1</v>
      </c>
      <c r="Q578" t="s">
        <v>174</v>
      </c>
      <c r="R578" t="s">
        <v>51</v>
      </c>
      <c r="S578">
        <v>1945</v>
      </c>
      <c r="T578">
        <v>-777</v>
      </c>
      <c r="U578" s="1">
        <v>16723</v>
      </c>
      <c r="V578" s="2">
        <v>16723</v>
      </c>
      <c r="Z578">
        <v>0</v>
      </c>
      <c r="AA578">
        <v>-888</v>
      </c>
      <c r="AB578">
        <v>-888</v>
      </c>
      <c r="AC578">
        <v>-888</v>
      </c>
      <c r="AF578">
        <v>2010</v>
      </c>
      <c r="AG578">
        <v>2015</v>
      </c>
      <c r="AH578">
        <v>1.0998486941018799</v>
      </c>
      <c r="AI578">
        <v>8205</v>
      </c>
      <c r="AJ578">
        <v>6.4330409295341102</v>
      </c>
      <c r="AK578">
        <v>21.85</v>
      </c>
      <c r="AL578">
        <v>1.1279089178366799</v>
      </c>
      <c r="AM578">
        <v>20.407937631007499</v>
      </c>
      <c r="AN578">
        <v>5</v>
      </c>
      <c r="AO578" t="b">
        <v>0</v>
      </c>
      <c r="AT578">
        <v>1967</v>
      </c>
      <c r="AU578">
        <f t="shared" si="26"/>
        <v>5.3890000000000002</v>
      </c>
    </row>
    <row r="579" spans="1:47" x14ac:dyDescent="0.3">
      <c r="A579">
        <v>577</v>
      </c>
      <c r="B579" t="s">
        <v>2582</v>
      </c>
      <c r="C579" t="s">
        <v>2583</v>
      </c>
      <c r="D579">
        <v>130</v>
      </c>
      <c r="E579" t="s">
        <v>2584</v>
      </c>
      <c r="F579" t="str">
        <f>VLOOKUP(E579,country_continent!A:C,2,FALSE)</f>
        <v>Ecuador</v>
      </c>
      <c r="G579" t="str">
        <f>VLOOKUP(E579,country_continent!A:C,3,FALSE)</f>
        <v>South America</v>
      </c>
      <c r="H579" t="s">
        <v>2585</v>
      </c>
      <c r="I579" t="s">
        <v>2586</v>
      </c>
      <c r="J579" s="3" t="str">
        <f t="shared" ref="J579:J642" si="27">IF(ISNUMBER(SEARCH("-", I579)), SUBSTITUTE(I579, "-", "/"), I579)</f>
        <v>1869/01/19</v>
      </c>
      <c r="K579" t="s">
        <v>2587</v>
      </c>
      <c r="L579" s="3" t="str">
        <f t="shared" ref="L579:L642" si="28">IF(ISNUMBER(SEARCH("-", K579)), SUBSTITUTE(K579, "-", "/"), K579)</f>
        <v>1875/08/06</v>
      </c>
      <c r="M579" t="s">
        <v>67</v>
      </c>
      <c r="N579" t="s">
        <v>67</v>
      </c>
      <c r="O579" t="s">
        <v>347</v>
      </c>
      <c r="P579">
        <v>0</v>
      </c>
      <c r="Q579" t="s">
        <v>69</v>
      </c>
      <c r="R579" t="s">
        <v>51</v>
      </c>
      <c r="S579">
        <v>1821</v>
      </c>
      <c r="T579">
        <v>1875</v>
      </c>
      <c r="U579" t="s">
        <v>2589</v>
      </c>
      <c r="V579" t="s">
        <v>2590</v>
      </c>
      <c r="W579" t="s">
        <v>2587</v>
      </c>
      <c r="X579" t="s">
        <v>2588</v>
      </c>
      <c r="Y579" t="s">
        <v>2591</v>
      </c>
      <c r="Z579">
        <v>1</v>
      </c>
      <c r="AA579">
        <v>3</v>
      </c>
      <c r="AB579">
        <v>-999</v>
      </c>
      <c r="AC579">
        <v>3</v>
      </c>
      <c r="AF579">
        <v>1869</v>
      </c>
      <c r="AG579">
        <v>1875</v>
      </c>
      <c r="AO579" t="b">
        <v>0</v>
      </c>
      <c r="AT579">
        <v>2390</v>
      </c>
      <c r="AU579">
        <f t="shared" ref="AU579:AU642" si="29">ROUND(AT579/365,3)</f>
        <v>6.548</v>
      </c>
    </row>
    <row r="580" spans="1:47" x14ac:dyDescent="0.3">
      <c r="A580">
        <v>578</v>
      </c>
      <c r="B580" t="s">
        <v>2592</v>
      </c>
      <c r="C580" t="s">
        <v>2593</v>
      </c>
      <c r="D580">
        <v>130</v>
      </c>
      <c r="E580" t="s">
        <v>2584</v>
      </c>
      <c r="F580" t="str">
        <f>VLOOKUP(E580,country_continent!A:C,2,FALSE)</f>
        <v>Ecuador</v>
      </c>
      <c r="G580" t="str">
        <f>VLOOKUP(E580,country_continent!A:C,3,FALSE)</f>
        <v>South America</v>
      </c>
      <c r="H580" t="s">
        <v>2594</v>
      </c>
      <c r="I580" t="s">
        <v>2595</v>
      </c>
      <c r="J580" s="3" t="str">
        <f t="shared" si="27"/>
        <v>1875/10/09</v>
      </c>
      <c r="K580" t="s">
        <v>2596</v>
      </c>
      <c r="L580" s="3" t="str">
        <f t="shared" si="28"/>
        <v>1876/09/08</v>
      </c>
      <c r="M580" t="s">
        <v>49</v>
      </c>
      <c r="N580" t="s">
        <v>67</v>
      </c>
      <c r="O580" t="s">
        <v>347</v>
      </c>
      <c r="P580">
        <v>0</v>
      </c>
      <c r="Q580" t="s">
        <v>362</v>
      </c>
      <c r="R580" t="s">
        <v>51</v>
      </c>
      <c r="S580">
        <v>1827</v>
      </c>
      <c r="T580">
        <v>1911</v>
      </c>
      <c r="U580" t="s">
        <v>2597</v>
      </c>
      <c r="V580" t="s">
        <v>2598</v>
      </c>
      <c r="Z580">
        <v>0</v>
      </c>
      <c r="AA580">
        <v>3</v>
      </c>
      <c r="AB580">
        <v>-999</v>
      </c>
      <c r="AC580">
        <v>1</v>
      </c>
      <c r="AF580">
        <v>1875</v>
      </c>
      <c r="AG580">
        <v>1876</v>
      </c>
      <c r="AO580" t="b">
        <v>0</v>
      </c>
      <c r="AT580">
        <v>335</v>
      </c>
      <c r="AU580">
        <f t="shared" si="29"/>
        <v>0.91800000000000004</v>
      </c>
    </row>
    <row r="581" spans="1:47" x14ac:dyDescent="0.3">
      <c r="A581">
        <v>579</v>
      </c>
      <c r="B581" t="s">
        <v>2599</v>
      </c>
      <c r="C581" t="s">
        <v>2600</v>
      </c>
      <c r="D581">
        <v>130</v>
      </c>
      <c r="E581" t="s">
        <v>2584</v>
      </c>
      <c r="F581" t="str">
        <f>VLOOKUP(E581,country_continent!A:C,2,FALSE)</f>
        <v>Ecuador</v>
      </c>
      <c r="G581" t="str">
        <f>VLOOKUP(E581,country_continent!A:C,3,FALSE)</f>
        <v>South America</v>
      </c>
      <c r="H581" t="s">
        <v>2601</v>
      </c>
      <c r="I581" t="s">
        <v>2596</v>
      </c>
      <c r="J581" s="3" t="str">
        <f t="shared" si="27"/>
        <v>1876/09/08</v>
      </c>
      <c r="K581" t="s">
        <v>2602</v>
      </c>
      <c r="L581" s="3" t="str">
        <f t="shared" si="28"/>
        <v>1883/07/09</v>
      </c>
      <c r="M581" t="s">
        <v>67</v>
      </c>
      <c r="N581" t="s">
        <v>67</v>
      </c>
      <c r="O581" t="s">
        <v>347</v>
      </c>
      <c r="P581">
        <v>0</v>
      </c>
      <c r="Q581" t="s">
        <v>362</v>
      </c>
      <c r="R581" t="s">
        <v>51</v>
      </c>
      <c r="S581">
        <v>1823</v>
      </c>
      <c r="T581">
        <v>1908</v>
      </c>
      <c r="Y581" t="s">
        <v>2603</v>
      </c>
      <c r="Z581">
        <v>1</v>
      </c>
      <c r="AA581">
        <v>3</v>
      </c>
      <c r="AB581">
        <v>-999</v>
      </c>
      <c r="AC581">
        <v>1</v>
      </c>
      <c r="AF581">
        <v>1876</v>
      </c>
      <c r="AG581">
        <v>1883</v>
      </c>
      <c r="AO581" t="b">
        <v>0</v>
      </c>
      <c r="AT581">
        <v>2495</v>
      </c>
      <c r="AU581">
        <f t="shared" si="29"/>
        <v>6.8360000000000003</v>
      </c>
    </row>
    <row r="582" spans="1:47" x14ac:dyDescent="0.3">
      <c r="A582">
        <v>580</v>
      </c>
      <c r="B582" t="s">
        <v>2604</v>
      </c>
      <c r="C582" t="s">
        <v>2605</v>
      </c>
      <c r="D582">
        <v>130</v>
      </c>
      <c r="E582" t="s">
        <v>2584</v>
      </c>
      <c r="F582" t="str">
        <f>VLOOKUP(E582,country_continent!A:C,2,FALSE)</f>
        <v>Ecuador</v>
      </c>
      <c r="G582" t="str">
        <f>VLOOKUP(E582,country_continent!A:C,3,FALSE)</f>
        <v>South America</v>
      </c>
      <c r="H582" t="s">
        <v>2606</v>
      </c>
      <c r="I582" t="s">
        <v>2602</v>
      </c>
      <c r="J582" s="3" t="str">
        <f t="shared" si="27"/>
        <v>1883/07/09</v>
      </c>
      <c r="K582" t="s">
        <v>2607</v>
      </c>
      <c r="L582" s="3" t="str">
        <f t="shared" si="28"/>
        <v>1883/10/11</v>
      </c>
      <c r="M582" t="s">
        <v>67</v>
      </c>
      <c r="N582" t="s">
        <v>49</v>
      </c>
      <c r="O582" t="s">
        <v>49</v>
      </c>
      <c r="P582">
        <v>0</v>
      </c>
      <c r="Q582" t="s">
        <v>362</v>
      </c>
      <c r="R582" t="s">
        <v>51</v>
      </c>
      <c r="S582">
        <v>1842</v>
      </c>
      <c r="T582">
        <v>1912</v>
      </c>
      <c r="U582" t="s">
        <v>2608</v>
      </c>
      <c r="V582" t="s">
        <v>2609</v>
      </c>
      <c r="Z582">
        <v>1</v>
      </c>
      <c r="AA582">
        <v>1</v>
      </c>
      <c r="AB582">
        <v>0</v>
      </c>
      <c r="AC582">
        <v>1</v>
      </c>
      <c r="AF582">
        <v>1883</v>
      </c>
      <c r="AG582">
        <v>1883</v>
      </c>
      <c r="AO582" t="b">
        <v>0</v>
      </c>
      <c r="AT582">
        <v>94</v>
      </c>
      <c r="AU582">
        <f t="shared" si="29"/>
        <v>0.25800000000000001</v>
      </c>
    </row>
    <row r="583" spans="1:47" x14ac:dyDescent="0.3">
      <c r="A583">
        <v>581</v>
      </c>
      <c r="B583" t="s">
        <v>2610</v>
      </c>
      <c r="C583" t="s">
        <v>2593</v>
      </c>
      <c r="D583">
        <v>130</v>
      </c>
      <c r="E583" t="s">
        <v>2584</v>
      </c>
      <c r="F583" t="str">
        <f>VLOOKUP(E583,country_continent!A:C,2,FALSE)</f>
        <v>Ecuador</v>
      </c>
      <c r="G583" t="str">
        <f>VLOOKUP(E583,country_continent!A:C,3,FALSE)</f>
        <v>South America</v>
      </c>
      <c r="H583" t="s">
        <v>2594</v>
      </c>
      <c r="I583" t="s">
        <v>2607</v>
      </c>
      <c r="J583" s="3" t="str">
        <f t="shared" si="27"/>
        <v>1883/10/11</v>
      </c>
      <c r="K583" t="s">
        <v>2611</v>
      </c>
      <c r="L583" s="3" t="str">
        <f t="shared" si="28"/>
        <v>1883/10/15</v>
      </c>
      <c r="M583" t="s">
        <v>49</v>
      </c>
      <c r="N583" t="s">
        <v>49</v>
      </c>
      <c r="O583" t="s">
        <v>49</v>
      </c>
      <c r="P583">
        <v>1</v>
      </c>
      <c r="Q583" t="s">
        <v>50</v>
      </c>
      <c r="R583" t="s">
        <v>51</v>
      </c>
      <c r="S583">
        <v>1827</v>
      </c>
      <c r="T583">
        <v>1911</v>
      </c>
      <c r="Z583">
        <v>0</v>
      </c>
      <c r="AA583">
        <v>1</v>
      </c>
      <c r="AB583">
        <v>0</v>
      </c>
      <c r="AC583">
        <v>0</v>
      </c>
      <c r="AF583">
        <v>1883</v>
      </c>
      <c r="AG583">
        <v>1883</v>
      </c>
      <c r="AO583" t="b">
        <v>0</v>
      </c>
      <c r="AT583">
        <v>4</v>
      </c>
      <c r="AU583">
        <f t="shared" si="29"/>
        <v>1.0999999999999999E-2</v>
      </c>
    </row>
    <row r="584" spans="1:47" x14ac:dyDescent="0.3">
      <c r="A584">
        <v>582</v>
      </c>
      <c r="B584" t="s">
        <v>2612</v>
      </c>
      <c r="C584" t="s">
        <v>2613</v>
      </c>
      <c r="D584">
        <v>130</v>
      </c>
      <c r="E584" t="s">
        <v>2584</v>
      </c>
      <c r="F584" t="str">
        <f>VLOOKUP(E584,country_continent!A:C,2,FALSE)</f>
        <v>Ecuador</v>
      </c>
      <c r="G584" t="str">
        <f>VLOOKUP(E584,country_continent!A:C,3,FALSE)</f>
        <v>South America</v>
      </c>
      <c r="H584" t="s">
        <v>2614</v>
      </c>
      <c r="I584" t="s">
        <v>2611</v>
      </c>
      <c r="J584" s="3" t="str">
        <f t="shared" si="27"/>
        <v>1883/10/15</v>
      </c>
      <c r="K584" t="s">
        <v>2615</v>
      </c>
      <c r="L584" s="3" t="str">
        <f t="shared" si="28"/>
        <v>1883/11/23</v>
      </c>
      <c r="M584" t="s">
        <v>49</v>
      </c>
      <c r="N584" t="s">
        <v>49</v>
      </c>
      <c r="O584" t="s">
        <v>49</v>
      </c>
      <c r="P584">
        <v>0</v>
      </c>
      <c r="Q584" t="s">
        <v>1453</v>
      </c>
      <c r="R584" t="s">
        <v>51</v>
      </c>
      <c r="S584">
        <v>1836</v>
      </c>
      <c r="T584">
        <v>1897</v>
      </c>
      <c r="Z584">
        <v>0</v>
      </c>
      <c r="AA584">
        <v>1</v>
      </c>
      <c r="AB584">
        <v>0</v>
      </c>
      <c r="AC584">
        <v>-666</v>
      </c>
      <c r="AF584">
        <v>1883</v>
      </c>
      <c r="AG584">
        <v>1883</v>
      </c>
      <c r="AO584" t="b">
        <v>0</v>
      </c>
      <c r="AT584">
        <v>39</v>
      </c>
      <c r="AU584">
        <f t="shared" si="29"/>
        <v>0.107</v>
      </c>
    </row>
    <row r="585" spans="1:47" x14ac:dyDescent="0.3">
      <c r="A585">
        <v>583</v>
      </c>
      <c r="B585" t="s">
        <v>2616</v>
      </c>
      <c r="C585" t="s">
        <v>2617</v>
      </c>
      <c r="D585">
        <v>130</v>
      </c>
      <c r="E585" t="s">
        <v>2584</v>
      </c>
      <c r="F585" t="str">
        <f>VLOOKUP(E585,country_continent!A:C,2,FALSE)</f>
        <v>Ecuador</v>
      </c>
      <c r="G585" t="str">
        <f>VLOOKUP(E585,country_continent!A:C,3,FALSE)</f>
        <v>South America</v>
      </c>
      <c r="H585" t="s">
        <v>2618</v>
      </c>
      <c r="I585" t="s">
        <v>2615</v>
      </c>
      <c r="J585" s="3" t="str">
        <f t="shared" si="27"/>
        <v>1883/11/23</v>
      </c>
      <c r="K585" t="s">
        <v>2619</v>
      </c>
      <c r="L585" s="3" t="str">
        <f t="shared" si="28"/>
        <v>1888/06/30</v>
      </c>
      <c r="M585" t="s">
        <v>49</v>
      </c>
      <c r="N585" t="s">
        <v>49</v>
      </c>
      <c r="O585" t="s">
        <v>49</v>
      </c>
      <c r="P585">
        <v>0</v>
      </c>
      <c r="Q585" t="s">
        <v>50</v>
      </c>
      <c r="R585" t="s">
        <v>51</v>
      </c>
      <c r="S585">
        <v>1837</v>
      </c>
      <c r="T585">
        <v>1907</v>
      </c>
      <c r="Z585">
        <v>0</v>
      </c>
      <c r="AA585">
        <v>1</v>
      </c>
      <c r="AB585">
        <v>0</v>
      </c>
      <c r="AC585">
        <v>0</v>
      </c>
      <c r="AF585">
        <v>1883</v>
      </c>
      <c r="AG585">
        <v>1888</v>
      </c>
      <c r="AO585" t="b">
        <v>0</v>
      </c>
      <c r="AT585">
        <v>1681</v>
      </c>
      <c r="AU585">
        <f t="shared" si="29"/>
        <v>4.6050000000000004</v>
      </c>
    </row>
    <row r="586" spans="1:47" x14ac:dyDescent="0.3">
      <c r="A586">
        <v>584</v>
      </c>
      <c r="B586" t="s">
        <v>2620</v>
      </c>
      <c r="C586" t="s">
        <v>2621</v>
      </c>
      <c r="D586">
        <v>130</v>
      </c>
      <c r="E586" t="s">
        <v>2584</v>
      </c>
      <c r="F586" t="str">
        <f>VLOOKUP(E586,country_continent!A:C,2,FALSE)</f>
        <v>Ecuador</v>
      </c>
      <c r="G586" t="str">
        <f>VLOOKUP(E586,country_continent!A:C,3,FALSE)</f>
        <v>South America</v>
      </c>
      <c r="H586" t="s">
        <v>1580</v>
      </c>
      <c r="I586" t="s">
        <v>2622</v>
      </c>
      <c r="J586" s="3" t="str">
        <f t="shared" si="27"/>
        <v>1888/08/03</v>
      </c>
      <c r="K586" t="s">
        <v>2623</v>
      </c>
      <c r="L586" s="3" t="str">
        <f t="shared" si="28"/>
        <v>1892/07/01</v>
      </c>
      <c r="M586" t="s">
        <v>49</v>
      </c>
      <c r="N586" t="s">
        <v>49</v>
      </c>
      <c r="O586" t="s">
        <v>49</v>
      </c>
      <c r="P586">
        <v>0</v>
      </c>
      <c r="Q586" t="s">
        <v>362</v>
      </c>
      <c r="R586" t="s">
        <v>51</v>
      </c>
      <c r="S586">
        <v>1833</v>
      </c>
      <c r="T586">
        <v>1915</v>
      </c>
      <c r="Z586">
        <v>0</v>
      </c>
      <c r="AA586">
        <v>1</v>
      </c>
      <c r="AB586">
        <v>0</v>
      </c>
      <c r="AC586">
        <v>1</v>
      </c>
      <c r="AF586">
        <v>1888</v>
      </c>
      <c r="AG586">
        <v>1892</v>
      </c>
      <c r="AO586" t="b">
        <v>0</v>
      </c>
      <c r="AT586">
        <v>1428</v>
      </c>
      <c r="AU586">
        <f t="shared" si="29"/>
        <v>3.9119999999999999</v>
      </c>
    </row>
    <row r="587" spans="1:47" x14ac:dyDescent="0.3">
      <c r="A587">
        <v>585</v>
      </c>
      <c r="B587" t="s">
        <v>2624</v>
      </c>
      <c r="C587" t="s">
        <v>2625</v>
      </c>
      <c r="D587">
        <v>130</v>
      </c>
      <c r="E587" t="s">
        <v>2584</v>
      </c>
      <c r="F587" t="str">
        <f>VLOOKUP(E587,country_continent!A:C,2,FALSE)</f>
        <v>Ecuador</v>
      </c>
      <c r="G587" t="str">
        <f>VLOOKUP(E587,country_continent!A:C,3,FALSE)</f>
        <v>South America</v>
      </c>
      <c r="H587" t="s">
        <v>2626</v>
      </c>
      <c r="I587" t="s">
        <v>2623</v>
      </c>
      <c r="J587" s="3" t="str">
        <f t="shared" si="27"/>
        <v>1892/07/01</v>
      </c>
      <c r="K587" t="s">
        <v>2627</v>
      </c>
      <c r="L587" s="3" t="str">
        <f t="shared" si="28"/>
        <v>1895/04/16</v>
      </c>
      <c r="M587" t="s">
        <v>49</v>
      </c>
      <c r="N587" t="s">
        <v>67</v>
      </c>
      <c r="O587" t="s">
        <v>347</v>
      </c>
      <c r="P587">
        <v>0</v>
      </c>
      <c r="Q587" t="s">
        <v>362</v>
      </c>
      <c r="R587" t="s">
        <v>51</v>
      </c>
      <c r="S587">
        <v>1833</v>
      </c>
      <c r="T587">
        <v>1912</v>
      </c>
      <c r="U587" t="s">
        <v>2628</v>
      </c>
      <c r="V587" t="s">
        <v>2629</v>
      </c>
      <c r="Z587">
        <v>0</v>
      </c>
      <c r="AA587">
        <v>3</v>
      </c>
      <c r="AB587">
        <v>-999</v>
      </c>
      <c r="AC587">
        <v>1</v>
      </c>
      <c r="AF587">
        <v>1892</v>
      </c>
      <c r="AG587">
        <v>1895</v>
      </c>
      <c r="AO587" t="b">
        <v>0</v>
      </c>
      <c r="AT587">
        <v>1019</v>
      </c>
      <c r="AU587">
        <f t="shared" si="29"/>
        <v>2.7919999999999998</v>
      </c>
    </row>
    <row r="588" spans="1:47" x14ac:dyDescent="0.3">
      <c r="A588">
        <v>586</v>
      </c>
      <c r="B588" t="s">
        <v>2630</v>
      </c>
      <c r="C588" t="s">
        <v>2605</v>
      </c>
      <c r="D588">
        <v>130</v>
      </c>
      <c r="E588" t="s">
        <v>2584</v>
      </c>
      <c r="F588" t="str">
        <f>VLOOKUP(E588,country_continent!A:C,2,FALSE)</f>
        <v>Ecuador</v>
      </c>
      <c r="G588" t="str">
        <f>VLOOKUP(E588,country_continent!A:C,3,FALSE)</f>
        <v>South America</v>
      </c>
      <c r="H588" t="s">
        <v>2606</v>
      </c>
      <c r="I588" t="s">
        <v>2627</v>
      </c>
      <c r="J588" s="3" t="str">
        <f t="shared" si="27"/>
        <v>1895/04/16</v>
      </c>
      <c r="K588" s="1">
        <v>609</v>
      </c>
      <c r="L588" s="3">
        <f t="shared" si="28"/>
        <v>609</v>
      </c>
      <c r="M588" t="s">
        <v>67</v>
      </c>
      <c r="N588" t="s">
        <v>49</v>
      </c>
      <c r="O588" t="s">
        <v>49</v>
      </c>
      <c r="P588">
        <v>1</v>
      </c>
      <c r="Q588" t="s">
        <v>50</v>
      </c>
      <c r="R588" t="s">
        <v>51</v>
      </c>
      <c r="S588">
        <v>1842</v>
      </c>
      <c r="T588">
        <v>1912</v>
      </c>
      <c r="U588" t="s">
        <v>2608</v>
      </c>
      <c r="V588" t="s">
        <v>2609</v>
      </c>
      <c r="Z588">
        <v>1</v>
      </c>
      <c r="AA588">
        <v>1</v>
      </c>
      <c r="AB588">
        <v>0</v>
      </c>
      <c r="AC588">
        <v>0</v>
      </c>
      <c r="AF588">
        <v>1895</v>
      </c>
      <c r="AG588">
        <v>1901</v>
      </c>
      <c r="AO588" t="b">
        <v>0</v>
      </c>
      <c r="AT588">
        <v>2328</v>
      </c>
      <c r="AU588">
        <f t="shared" si="29"/>
        <v>6.3780000000000001</v>
      </c>
    </row>
    <row r="589" spans="1:47" x14ac:dyDescent="0.3">
      <c r="A589">
        <v>587</v>
      </c>
      <c r="B589" t="s">
        <v>2631</v>
      </c>
      <c r="C589" t="s">
        <v>2632</v>
      </c>
      <c r="D589">
        <v>130</v>
      </c>
      <c r="E589" t="s">
        <v>2584</v>
      </c>
      <c r="F589" t="str">
        <f>VLOOKUP(E589,country_continent!A:C,2,FALSE)</f>
        <v>Ecuador</v>
      </c>
      <c r="G589" t="str">
        <f>VLOOKUP(E589,country_continent!A:C,3,FALSE)</f>
        <v>South America</v>
      </c>
      <c r="H589" t="s">
        <v>2633</v>
      </c>
      <c r="I589" s="1">
        <v>610</v>
      </c>
      <c r="J589" s="3">
        <f t="shared" si="27"/>
        <v>610</v>
      </c>
      <c r="K589" s="1">
        <v>2070</v>
      </c>
      <c r="L589" s="3">
        <f t="shared" si="28"/>
        <v>2070</v>
      </c>
      <c r="M589" t="s">
        <v>49</v>
      </c>
      <c r="N589" t="s">
        <v>49</v>
      </c>
      <c r="O589" t="s">
        <v>49</v>
      </c>
      <c r="P589">
        <v>0</v>
      </c>
      <c r="Q589" t="s">
        <v>362</v>
      </c>
      <c r="R589" t="s">
        <v>51</v>
      </c>
      <c r="S589">
        <v>1865</v>
      </c>
      <c r="T589">
        <v>1932</v>
      </c>
      <c r="U589" t="s">
        <v>2634</v>
      </c>
      <c r="V589" t="s">
        <v>2635</v>
      </c>
      <c r="Z589">
        <v>0</v>
      </c>
      <c r="AA589">
        <v>1</v>
      </c>
      <c r="AB589">
        <v>0</v>
      </c>
      <c r="AC589">
        <v>1</v>
      </c>
      <c r="AF589">
        <v>1901</v>
      </c>
      <c r="AG589">
        <v>1905</v>
      </c>
      <c r="AO589" t="b">
        <v>0</v>
      </c>
      <c r="AT589">
        <v>1460</v>
      </c>
      <c r="AU589">
        <f t="shared" si="29"/>
        <v>4</v>
      </c>
    </row>
    <row r="590" spans="1:47" x14ac:dyDescent="0.3">
      <c r="A590">
        <v>588</v>
      </c>
      <c r="B590" t="s">
        <v>2636</v>
      </c>
      <c r="C590" t="s">
        <v>2637</v>
      </c>
      <c r="D590">
        <v>130</v>
      </c>
      <c r="E590" t="s">
        <v>2584</v>
      </c>
      <c r="F590" t="str">
        <f>VLOOKUP(E590,country_continent!A:C,2,FALSE)</f>
        <v>Ecuador</v>
      </c>
      <c r="G590" t="str">
        <f>VLOOKUP(E590,country_continent!A:C,3,FALSE)</f>
        <v>South America</v>
      </c>
      <c r="H590" t="s">
        <v>2638</v>
      </c>
      <c r="I590" s="1">
        <v>2071</v>
      </c>
      <c r="J590" s="3">
        <f t="shared" si="27"/>
        <v>2071</v>
      </c>
      <c r="K590" s="1">
        <v>2207</v>
      </c>
      <c r="L590" s="3">
        <f t="shared" si="28"/>
        <v>2207</v>
      </c>
      <c r="M590" t="s">
        <v>49</v>
      </c>
      <c r="N590" t="s">
        <v>67</v>
      </c>
      <c r="O590" t="s">
        <v>347</v>
      </c>
      <c r="P590">
        <v>0</v>
      </c>
      <c r="Q590" t="s">
        <v>362</v>
      </c>
      <c r="R590" t="s">
        <v>51</v>
      </c>
      <c r="S590">
        <v>1842</v>
      </c>
      <c r="T590">
        <v>1927</v>
      </c>
      <c r="Z590">
        <v>0</v>
      </c>
      <c r="AA590">
        <v>3</v>
      </c>
      <c r="AB590">
        <v>-999</v>
      </c>
      <c r="AC590">
        <v>1</v>
      </c>
      <c r="AF590">
        <v>1905</v>
      </c>
      <c r="AG590">
        <v>1906</v>
      </c>
      <c r="AO590" t="b">
        <v>0</v>
      </c>
      <c r="AT590">
        <v>136</v>
      </c>
      <c r="AU590">
        <f t="shared" si="29"/>
        <v>0.373</v>
      </c>
    </row>
    <row r="591" spans="1:47" x14ac:dyDescent="0.3">
      <c r="A591">
        <v>589</v>
      </c>
      <c r="B591" t="s">
        <v>2639</v>
      </c>
      <c r="C591" t="s">
        <v>2605</v>
      </c>
      <c r="D591">
        <v>130</v>
      </c>
      <c r="E591" t="s">
        <v>2584</v>
      </c>
      <c r="F591" t="str">
        <f>VLOOKUP(E591,country_continent!A:C,2,FALSE)</f>
        <v>Ecuador</v>
      </c>
      <c r="G591" t="str">
        <f>VLOOKUP(E591,country_continent!A:C,3,FALSE)</f>
        <v>South America</v>
      </c>
      <c r="H591" t="s">
        <v>2606</v>
      </c>
      <c r="I591" s="1">
        <v>2209</v>
      </c>
      <c r="J591" s="3">
        <f t="shared" si="27"/>
        <v>2209</v>
      </c>
      <c r="K591" s="1">
        <v>4241</v>
      </c>
      <c r="L591" s="3">
        <f t="shared" si="28"/>
        <v>4241</v>
      </c>
      <c r="M591" t="s">
        <v>67</v>
      </c>
      <c r="N591" t="s">
        <v>67</v>
      </c>
      <c r="O591" t="s">
        <v>347</v>
      </c>
      <c r="P591">
        <v>2</v>
      </c>
      <c r="Q591" t="s">
        <v>69</v>
      </c>
      <c r="R591" t="s">
        <v>51</v>
      </c>
      <c r="S591">
        <v>1842</v>
      </c>
      <c r="T591">
        <v>1932</v>
      </c>
      <c r="U591" t="s">
        <v>2608</v>
      </c>
      <c r="V591" t="s">
        <v>2609</v>
      </c>
      <c r="Z591">
        <v>1</v>
      </c>
      <c r="AA591">
        <v>3</v>
      </c>
      <c r="AB591">
        <v>-999</v>
      </c>
      <c r="AC591">
        <v>3</v>
      </c>
      <c r="AF591">
        <v>1906</v>
      </c>
      <c r="AG591">
        <v>1911</v>
      </c>
      <c r="AO591" t="b">
        <v>0</v>
      </c>
      <c r="AT591">
        <v>2032</v>
      </c>
      <c r="AU591">
        <f t="shared" si="29"/>
        <v>5.5670000000000002</v>
      </c>
    </row>
    <row r="592" spans="1:47" x14ac:dyDescent="0.3">
      <c r="A592">
        <v>590</v>
      </c>
      <c r="B592" t="s">
        <v>2640</v>
      </c>
      <c r="C592" t="s">
        <v>2641</v>
      </c>
      <c r="D592">
        <v>130</v>
      </c>
      <c r="E592" t="s">
        <v>2584</v>
      </c>
      <c r="F592" t="str">
        <f>VLOOKUP(E592,country_continent!A:C,2,FALSE)</f>
        <v>Ecuador</v>
      </c>
      <c r="G592" t="str">
        <f>VLOOKUP(E592,country_continent!A:C,3,FALSE)</f>
        <v>South America</v>
      </c>
      <c r="H592" t="s">
        <v>2642</v>
      </c>
      <c r="I592" s="1">
        <v>4241</v>
      </c>
      <c r="J592" s="3">
        <f t="shared" si="27"/>
        <v>4241</v>
      </c>
      <c r="K592" s="1">
        <v>4261</v>
      </c>
      <c r="L592" s="3">
        <f t="shared" si="28"/>
        <v>4261</v>
      </c>
      <c r="M592" t="s">
        <v>49</v>
      </c>
      <c r="N592" t="s">
        <v>49</v>
      </c>
      <c r="O592" t="s">
        <v>49</v>
      </c>
      <c r="P592">
        <v>0</v>
      </c>
      <c r="Q592" t="s">
        <v>362</v>
      </c>
      <c r="R592" t="s">
        <v>51</v>
      </c>
      <c r="S592">
        <v>1851</v>
      </c>
      <c r="T592">
        <v>1926</v>
      </c>
      <c r="Z592">
        <v>0</v>
      </c>
      <c r="AA592">
        <v>1</v>
      </c>
      <c r="AB592">
        <v>0</v>
      </c>
      <c r="AC592">
        <v>1</v>
      </c>
      <c r="AF592">
        <v>1911</v>
      </c>
      <c r="AG592">
        <v>1911</v>
      </c>
      <c r="AO592" t="b">
        <v>0</v>
      </c>
      <c r="AT592">
        <v>20</v>
      </c>
      <c r="AU592">
        <f t="shared" si="29"/>
        <v>5.5E-2</v>
      </c>
    </row>
    <row r="593" spans="1:47" x14ac:dyDescent="0.3">
      <c r="A593">
        <v>591</v>
      </c>
      <c r="B593" t="s">
        <v>2643</v>
      </c>
      <c r="C593" t="s">
        <v>2644</v>
      </c>
      <c r="D593">
        <v>130</v>
      </c>
      <c r="E593" t="s">
        <v>2584</v>
      </c>
      <c r="F593" t="str">
        <f>VLOOKUP(E593,country_continent!A:C,2,FALSE)</f>
        <v>Ecuador</v>
      </c>
      <c r="G593" t="str">
        <f>VLOOKUP(E593,country_continent!A:C,3,FALSE)</f>
        <v>South America</v>
      </c>
      <c r="H593" t="s">
        <v>2645</v>
      </c>
      <c r="I593" s="1">
        <v>4262</v>
      </c>
      <c r="J593" s="3">
        <f t="shared" si="27"/>
        <v>4262</v>
      </c>
      <c r="K593" s="1">
        <v>4374</v>
      </c>
      <c r="L593" s="3">
        <f t="shared" si="28"/>
        <v>4374</v>
      </c>
      <c r="M593" t="s">
        <v>49</v>
      </c>
      <c r="N593" t="s">
        <v>110</v>
      </c>
      <c r="O593" t="s">
        <v>49</v>
      </c>
      <c r="P593">
        <v>0</v>
      </c>
      <c r="Q593" t="s">
        <v>111</v>
      </c>
      <c r="R593" t="s">
        <v>51</v>
      </c>
      <c r="S593">
        <v>1855</v>
      </c>
      <c r="T593">
        <v>1911</v>
      </c>
      <c r="U593" t="s">
        <v>2646</v>
      </c>
      <c r="V593" t="s">
        <v>2647</v>
      </c>
      <c r="W593" s="1">
        <v>4374</v>
      </c>
      <c r="X593" s="2">
        <v>4374</v>
      </c>
      <c r="Z593">
        <v>0</v>
      </c>
      <c r="AA593">
        <v>2</v>
      </c>
      <c r="AB593">
        <v>0</v>
      </c>
      <c r="AC593">
        <v>-777</v>
      </c>
      <c r="AF593">
        <v>1911</v>
      </c>
      <c r="AG593">
        <v>1911</v>
      </c>
      <c r="AO593" t="b">
        <v>0</v>
      </c>
      <c r="AT593">
        <v>112</v>
      </c>
      <c r="AU593">
        <f t="shared" si="29"/>
        <v>0.307</v>
      </c>
    </row>
    <row r="594" spans="1:47" x14ac:dyDescent="0.3">
      <c r="A594">
        <v>592</v>
      </c>
      <c r="B594" t="s">
        <v>2648</v>
      </c>
      <c r="C594" t="s">
        <v>2641</v>
      </c>
      <c r="D594">
        <v>130</v>
      </c>
      <c r="E594" t="s">
        <v>2584</v>
      </c>
      <c r="F594" t="str">
        <f>VLOOKUP(E594,country_continent!A:C,2,FALSE)</f>
        <v>Ecuador</v>
      </c>
      <c r="G594" t="str">
        <f>VLOOKUP(E594,country_continent!A:C,3,FALSE)</f>
        <v>South America</v>
      </c>
      <c r="H594" t="s">
        <v>2642</v>
      </c>
      <c r="I594" s="1">
        <v>4374</v>
      </c>
      <c r="J594" s="3">
        <f t="shared" si="27"/>
        <v>4374</v>
      </c>
      <c r="K594" s="1">
        <v>4449</v>
      </c>
      <c r="L594" s="3">
        <f t="shared" si="28"/>
        <v>4449</v>
      </c>
      <c r="M594" t="s">
        <v>49</v>
      </c>
      <c r="N594" t="s">
        <v>49</v>
      </c>
      <c r="O594" t="s">
        <v>49</v>
      </c>
      <c r="P594">
        <v>1</v>
      </c>
      <c r="Q594" t="s">
        <v>362</v>
      </c>
      <c r="R594" t="s">
        <v>51</v>
      </c>
      <c r="S594">
        <v>1851</v>
      </c>
      <c r="T594">
        <v>1926</v>
      </c>
      <c r="Z594">
        <v>0</v>
      </c>
      <c r="AA594">
        <v>1</v>
      </c>
      <c r="AB594">
        <v>0</v>
      </c>
      <c r="AC594">
        <v>1</v>
      </c>
      <c r="AF594">
        <v>1911</v>
      </c>
      <c r="AG594">
        <v>1912</v>
      </c>
      <c r="AO594" t="b">
        <v>0</v>
      </c>
      <c r="AT594">
        <v>75</v>
      </c>
      <c r="AU594">
        <f t="shared" si="29"/>
        <v>0.20499999999999999</v>
      </c>
    </row>
    <row r="595" spans="1:47" x14ac:dyDescent="0.3">
      <c r="A595">
        <v>593</v>
      </c>
      <c r="B595" t="s">
        <v>2649</v>
      </c>
      <c r="C595" t="s">
        <v>2650</v>
      </c>
      <c r="D595">
        <v>130</v>
      </c>
      <c r="E595" t="s">
        <v>2584</v>
      </c>
      <c r="F595" t="str">
        <f>VLOOKUP(E595,country_continent!A:C,2,FALSE)</f>
        <v>Ecuador</v>
      </c>
      <c r="G595" t="str">
        <f>VLOOKUP(E595,country_continent!A:C,3,FALSE)</f>
        <v>South America</v>
      </c>
      <c r="H595" t="s">
        <v>2651</v>
      </c>
      <c r="I595" s="1">
        <v>4449</v>
      </c>
      <c r="J595" s="3">
        <f t="shared" si="27"/>
        <v>4449</v>
      </c>
      <c r="K595" s="1">
        <v>4606</v>
      </c>
      <c r="L595" s="3">
        <f t="shared" si="28"/>
        <v>4606</v>
      </c>
      <c r="M595" t="s">
        <v>49</v>
      </c>
      <c r="N595" t="s">
        <v>49</v>
      </c>
      <c r="O595" t="s">
        <v>49</v>
      </c>
      <c r="P595">
        <v>0</v>
      </c>
      <c r="Q595" t="s">
        <v>1453</v>
      </c>
      <c r="R595" t="s">
        <v>51</v>
      </c>
      <c r="S595">
        <v>1841</v>
      </c>
      <c r="T595">
        <v>1935</v>
      </c>
      <c r="Z595">
        <v>0</v>
      </c>
      <c r="AA595">
        <v>1</v>
      </c>
      <c r="AB595">
        <v>0</v>
      </c>
      <c r="AC595">
        <v>-666</v>
      </c>
      <c r="AF595">
        <v>1912</v>
      </c>
      <c r="AG595">
        <v>1912</v>
      </c>
      <c r="AO595" t="b">
        <v>0</v>
      </c>
      <c r="AT595">
        <v>157</v>
      </c>
      <c r="AU595">
        <f t="shared" si="29"/>
        <v>0.43</v>
      </c>
    </row>
    <row r="596" spans="1:47" x14ac:dyDescent="0.3">
      <c r="A596">
        <v>594</v>
      </c>
      <c r="B596" t="s">
        <v>2652</v>
      </c>
      <c r="C596" t="s">
        <v>2653</v>
      </c>
      <c r="D596">
        <v>130</v>
      </c>
      <c r="E596" t="s">
        <v>2584</v>
      </c>
      <c r="F596" t="str">
        <f>VLOOKUP(E596,country_continent!A:C,2,FALSE)</f>
        <v>Ecuador</v>
      </c>
      <c r="G596" t="str">
        <f>VLOOKUP(E596,country_continent!A:C,3,FALSE)</f>
        <v>South America</v>
      </c>
      <c r="H596" t="s">
        <v>2654</v>
      </c>
      <c r="I596" s="1">
        <v>4606</v>
      </c>
      <c r="J596" s="3">
        <f t="shared" si="27"/>
        <v>4606</v>
      </c>
      <c r="K596" s="1">
        <v>4628</v>
      </c>
      <c r="L596" s="3">
        <f t="shared" si="28"/>
        <v>4628</v>
      </c>
      <c r="M596" t="s">
        <v>49</v>
      </c>
      <c r="N596" t="s">
        <v>49</v>
      </c>
      <c r="O596" t="s">
        <v>49</v>
      </c>
      <c r="P596">
        <v>0</v>
      </c>
      <c r="Q596" t="s">
        <v>50</v>
      </c>
      <c r="R596" t="s">
        <v>51</v>
      </c>
      <c r="S596">
        <v>1859</v>
      </c>
      <c r="T596">
        <v>1951</v>
      </c>
      <c r="U596" t="s">
        <v>2655</v>
      </c>
      <c r="V596" t="s">
        <v>2656</v>
      </c>
      <c r="Z596">
        <v>0</v>
      </c>
      <c r="AA596">
        <v>1</v>
      </c>
      <c r="AB596">
        <v>0</v>
      </c>
      <c r="AC596">
        <v>0</v>
      </c>
      <c r="AF596">
        <v>1912</v>
      </c>
      <c r="AG596">
        <v>1912</v>
      </c>
      <c r="AO596" t="b">
        <v>0</v>
      </c>
      <c r="AT596">
        <v>22</v>
      </c>
      <c r="AU596">
        <f t="shared" si="29"/>
        <v>0.06</v>
      </c>
    </row>
    <row r="597" spans="1:47" x14ac:dyDescent="0.3">
      <c r="A597">
        <v>595</v>
      </c>
      <c r="B597" t="s">
        <v>2657</v>
      </c>
      <c r="C597" t="s">
        <v>2632</v>
      </c>
      <c r="D597">
        <v>130</v>
      </c>
      <c r="E597" t="s">
        <v>2584</v>
      </c>
      <c r="F597" t="str">
        <f>VLOOKUP(E597,country_continent!A:C,2,FALSE)</f>
        <v>Ecuador</v>
      </c>
      <c r="G597" t="str">
        <f>VLOOKUP(E597,country_continent!A:C,3,FALSE)</f>
        <v>South America</v>
      </c>
      <c r="H597" t="s">
        <v>2633</v>
      </c>
      <c r="I597" s="1">
        <v>4628</v>
      </c>
      <c r="J597" s="3">
        <f t="shared" si="27"/>
        <v>4628</v>
      </c>
      <c r="K597" s="1">
        <v>6089</v>
      </c>
      <c r="L597" s="3">
        <f t="shared" si="28"/>
        <v>6089</v>
      </c>
      <c r="M597" t="s">
        <v>49</v>
      </c>
      <c r="N597" t="s">
        <v>49</v>
      </c>
      <c r="O597" t="s">
        <v>49</v>
      </c>
      <c r="P597">
        <v>1</v>
      </c>
      <c r="Q597" t="s">
        <v>50</v>
      </c>
      <c r="R597" t="s">
        <v>51</v>
      </c>
      <c r="S597">
        <v>1865</v>
      </c>
      <c r="T597">
        <v>1932</v>
      </c>
      <c r="U597" t="s">
        <v>2634</v>
      </c>
      <c r="V597" t="s">
        <v>2635</v>
      </c>
      <c r="Z597">
        <v>0</v>
      </c>
      <c r="AA597">
        <v>1</v>
      </c>
      <c r="AB597">
        <v>0</v>
      </c>
      <c r="AC597">
        <v>0</v>
      </c>
      <c r="AF597">
        <v>1912</v>
      </c>
      <c r="AG597">
        <v>1916</v>
      </c>
      <c r="AO597" t="b">
        <v>0</v>
      </c>
      <c r="AT597">
        <v>1461</v>
      </c>
      <c r="AU597">
        <f t="shared" si="29"/>
        <v>4.0030000000000001</v>
      </c>
    </row>
    <row r="598" spans="1:47" x14ac:dyDescent="0.3">
      <c r="A598">
        <v>596</v>
      </c>
      <c r="B598" t="s">
        <v>2658</v>
      </c>
      <c r="C598" t="s">
        <v>2653</v>
      </c>
      <c r="D598">
        <v>130</v>
      </c>
      <c r="E598" t="s">
        <v>2584</v>
      </c>
      <c r="F598" t="str">
        <f>VLOOKUP(E598,country_continent!A:C,2,FALSE)</f>
        <v>Ecuador</v>
      </c>
      <c r="G598" t="str">
        <f>VLOOKUP(E598,country_continent!A:C,3,FALSE)</f>
        <v>South America</v>
      </c>
      <c r="H598" t="s">
        <v>2654</v>
      </c>
      <c r="I598" s="1">
        <v>6089</v>
      </c>
      <c r="J598" s="3">
        <f t="shared" si="27"/>
        <v>6089</v>
      </c>
      <c r="K598" s="1">
        <v>7550</v>
      </c>
      <c r="L598" s="3">
        <f t="shared" si="28"/>
        <v>7550</v>
      </c>
      <c r="M598" t="s">
        <v>49</v>
      </c>
      <c r="N598" t="s">
        <v>49</v>
      </c>
      <c r="O598" t="s">
        <v>49</v>
      </c>
      <c r="P598">
        <v>1</v>
      </c>
      <c r="Q598" t="s">
        <v>50</v>
      </c>
      <c r="R598" t="s">
        <v>51</v>
      </c>
      <c r="S598">
        <v>1859</v>
      </c>
      <c r="T598">
        <v>1951</v>
      </c>
      <c r="U598" t="s">
        <v>2655</v>
      </c>
      <c r="V598" t="s">
        <v>2656</v>
      </c>
      <c r="Z598">
        <v>0</v>
      </c>
      <c r="AA598">
        <v>1</v>
      </c>
      <c r="AB598">
        <v>0</v>
      </c>
      <c r="AC598">
        <v>0</v>
      </c>
      <c r="AF598">
        <v>1916</v>
      </c>
      <c r="AG598">
        <v>1920</v>
      </c>
      <c r="AO598" t="b">
        <v>0</v>
      </c>
      <c r="AT598">
        <v>1461</v>
      </c>
      <c r="AU598">
        <f t="shared" si="29"/>
        <v>4.0030000000000001</v>
      </c>
    </row>
    <row r="599" spans="1:47" x14ac:dyDescent="0.3">
      <c r="A599">
        <v>597</v>
      </c>
      <c r="B599" t="s">
        <v>2659</v>
      </c>
      <c r="C599" t="s">
        <v>2660</v>
      </c>
      <c r="D599">
        <v>130</v>
      </c>
      <c r="E599" t="s">
        <v>2584</v>
      </c>
      <c r="F599" t="str">
        <f>VLOOKUP(E599,country_continent!A:C,2,FALSE)</f>
        <v>Ecuador</v>
      </c>
      <c r="G599" t="str">
        <f>VLOOKUP(E599,country_continent!A:C,3,FALSE)</f>
        <v>South America</v>
      </c>
      <c r="H599" t="s">
        <v>2661</v>
      </c>
      <c r="I599" s="1">
        <v>7550</v>
      </c>
      <c r="J599" s="3">
        <f t="shared" si="27"/>
        <v>7550</v>
      </c>
      <c r="K599" s="1">
        <v>9011</v>
      </c>
      <c r="L599" s="3">
        <f t="shared" si="28"/>
        <v>9011</v>
      </c>
      <c r="M599" t="s">
        <v>49</v>
      </c>
      <c r="N599" t="s">
        <v>49</v>
      </c>
      <c r="O599" t="s">
        <v>49</v>
      </c>
      <c r="P599">
        <v>0</v>
      </c>
      <c r="Q599" t="s">
        <v>50</v>
      </c>
      <c r="R599" t="s">
        <v>51</v>
      </c>
      <c r="S599">
        <v>1858</v>
      </c>
      <c r="T599">
        <v>1947</v>
      </c>
      <c r="U599" t="s">
        <v>2662</v>
      </c>
      <c r="V599" t="s">
        <v>2663</v>
      </c>
      <c r="Z599">
        <v>0</v>
      </c>
      <c r="AA599">
        <v>1</v>
      </c>
      <c r="AB599">
        <v>0</v>
      </c>
      <c r="AC599">
        <v>0</v>
      </c>
      <c r="AF599">
        <v>1920</v>
      </c>
      <c r="AG599">
        <v>1924</v>
      </c>
      <c r="AO599" t="b">
        <v>0</v>
      </c>
      <c r="AT599">
        <v>1461</v>
      </c>
      <c r="AU599">
        <f t="shared" si="29"/>
        <v>4.0030000000000001</v>
      </c>
    </row>
    <row r="600" spans="1:47" x14ac:dyDescent="0.3">
      <c r="A600">
        <v>598</v>
      </c>
      <c r="B600" t="s">
        <v>2664</v>
      </c>
      <c r="C600" t="s">
        <v>2665</v>
      </c>
      <c r="D600">
        <v>130</v>
      </c>
      <c r="E600" t="s">
        <v>2584</v>
      </c>
      <c r="F600" t="str">
        <f>VLOOKUP(E600,country_continent!A:C,2,FALSE)</f>
        <v>Ecuador</v>
      </c>
      <c r="G600" t="str">
        <f>VLOOKUP(E600,country_continent!A:C,3,FALSE)</f>
        <v>South America</v>
      </c>
      <c r="H600" t="s">
        <v>1530</v>
      </c>
      <c r="I600" s="1">
        <v>9011</v>
      </c>
      <c r="J600" s="3">
        <f t="shared" si="27"/>
        <v>9011</v>
      </c>
      <c r="K600" s="1">
        <v>9322</v>
      </c>
      <c r="L600" s="3">
        <f t="shared" si="28"/>
        <v>9322</v>
      </c>
      <c r="M600" t="s">
        <v>49</v>
      </c>
      <c r="N600" t="s">
        <v>67</v>
      </c>
      <c r="O600" t="s">
        <v>376</v>
      </c>
      <c r="P600">
        <v>0</v>
      </c>
      <c r="Q600" t="s">
        <v>362</v>
      </c>
      <c r="R600" t="s">
        <v>51</v>
      </c>
      <c r="S600">
        <v>1863</v>
      </c>
      <c r="T600">
        <v>1928</v>
      </c>
      <c r="U600" t="s">
        <v>2666</v>
      </c>
      <c r="V600" t="s">
        <v>2667</v>
      </c>
      <c r="Z600">
        <v>0</v>
      </c>
      <c r="AA600">
        <v>3</v>
      </c>
      <c r="AB600">
        <v>6</v>
      </c>
      <c r="AC600">
        <v>1</v>
      </c>
      <c r="AF600">
        <v>1924</v>
      </c>
      <c r="AG600">
        <v>1925</v>
      </c>
      <c r="AO600" t="b">
        <v>0</v>
      </c>
      <c r="AT600">
        <v>311</v>
      </c>
      <c r="AU600">
        <f t="shared" si="29"/>
        <v>0.85199999999999998</v>
      </c>
    </row>
    <row r="601" spans="1:47" x14ac:dyDescent="0.3">
      <c r="A601">
        <v>599</v>
      </c>
      <c r="B601" t="s">
        <v>2668</v>
      </c>
      <c r="C601" t="s">
        <v>2669</v>
      </c>
      <c r="D601">
        <v>130</v>
      </c>
      <c r="E601" t="s">
        <v>2584</v>
      </c>
      <c r="F601" t="str">
        <f>VLOOKUP(E601,country_continent!A:C,2,FALSE)</f>
        <v>Ecuador</v>
      </c>
      <c r="G601" t="str">
        <f>VLOOKUP(E601,country_continent!A:C,3,FALSE)</f>
        <v>South America</v>
      </c>
      <c r="H601" t="s">
        <v>2670</v>
      </c>
      <c r="I601" s="1">
        <v>9322</v>
      </c>
      <c r="J601" s="3">
        <f t="shared" si="27"/>
        <v>9322</v>
      </c>
      <c r="K601" s="1">
        <v>11559</v>
      </c>
      <c r="L601" s="3">
        <f t="shared" si="28"/>
        <v>11559</v>
      </c>
      <c r="M601" t="s">
        <v>67</v>
      </c>
      <c r="N601" t="s">
        <v>67</v>
      </c>
      <c r="O601" t="s">
        <v>376</v>
      </c>
      <c r="P601">
        <v>0</v>
      </c>
      <c r="Q601" t="s">
        <v>362</v>
      </c>
      <c r="R601" t="s">
        <v>51</v>
      </c>
      <c r="S601">
        <v>1879</v>
      </c>
      <c r="T601">
        <v>1978</v>
      </c>
      <c r="U601" t="s">
        <v>2671</v>
      </c>
      <c r="V601" t="s">
        <v>2672</v>
      </c>
      <c r="Z601">
        <v>1</v>
      </c>
      <c r="AA601">
        <v>3</v>
      </c>
      <c r="AB601">
        <v>6</v>
      </c>
      <c r="AC601">
        <v>1</v>
      </c>
      <c r="AF601">
        <v>1925</v>
      </c>
      <c r="AG601">
        <v>1931</v>
      </c>
      <c r="AO601" t="b">
        <v>0</v>
      </c>
      <c r="AT601">
        <v>2237</v>
      </c>
      <c r="AU601">
        <f t="shared" si="29"/>
        <v>6.1289999999999996</v>
      </c>
    </row>
    <row r="602" spans="1:47" x14ac:dyDescent="0.3">
      <c r="A602">
        <v>600</v>
      </c>
      <c r="B602" t="s">
        <v>2673</v>
      </c>
      <c r="C602" t="s">
        <v>2674</v>
      </c>
      <c r="D602">
        <v>130</v>
      </c>
      <c r="E602" t="s">
        <v>2584</v>
      </c>
      <c r="F602" t="str">
        <f>VLOOKUP(E602,country_continent!A:C,2,FALSE)</f>
        <v>Ecuador</v>
      </c>
      <c r="G602" t="str">
        <f>VLOOKUP(E602,country_continent!A:C,3,FALSE)</f>
        <v>South America</v>
      </c>
      <c r="H602" t="s">
        <v>2675</v>
      </c>
      <c r="I602" s="1">
        <v>11559</v>
      </c>
      <c r="J602" s="3">
        <f t="shared" si="27"/>
        <v>11559</v>
      </c>
      <c r="K602" s="1">
        <v>11611</v>
      </c>
      <c r="L602" s="3">
        <f t="shared" si="28"/>
        <v>11611</v>
      </c>
      <c r="M602" t="s">
        <v>67</v>
      </c>
      <c r="N602" t="s">
        <v>67</v>
      </c>
      <c r="O602" t="s">
        <v>376</v>
      </c>
      <c r="P602">
        <v>0</v>
      </c>
      <c r="Q602" t="s">
        <v>362</v>
      </c>
      <c r="R602" t="s">
        <v>51</v>
      </c>
      <c r="S602">
        <v>1895</v>
      </c>
      <c r="T602">
        <v>1980</v>
      </c>
      <c r="U602" t="s">
        <v>2676</v>
      </c>
      <c r="V602" t="s">
        <v>2677</v>
      </c>
      <c r="Z602">
        <v>1</v>
      </c>
      <c r="AA602">
        <v>3</v>
      </c>
      <c r="AB602">
        <v>6</v>
      </c>
      <c r="AC602">
        <v>1</v>
      </c>
      <c r="AF602">
        <v>1931</v>
      </c>
      <c r="AG602">
        <v>1931</v>
      </c>
      <c r="AO602" t="b">
        <v>0</v>
      </c>
      <c r="AT602">
        <v>52</v>
      </c>
      <c r="AU602">
        <f t="shared" si="29"/>
        <v>0.14199999999999999</v>
      </c>
    </row>
    <row r="603" spans="1:47" x14ac:dyDescent="0.3">
      <c r="A603">
        <v>601</v>
      </c>
      <c r="B603" t="s">
        <v>2678</v>
      </c>
      <c r="C603" t="s">
        <v>2653</v>
      </c>
      <c r="D603">
        <v>130</v>
      </c>
      <c r="E603" t="s">
        <v>2584</v>
      </c>
      <c r="F603" t="str">
        <f>VLOOKUP(E603,country_continent!A:C,2,FALSE)</f>
        <v>Ecuador</v>
      </c>
      <c r="G603" t="str">
        <f>VLOOKUP(E603,country_continent!A:C,3,FALSE)</f>
        <v>South America</v>
      </c>
      <c r="H603" t="s">
        <v>2654</v>
      </c>
      <c r="I603" s="1">
        <v>11611</v>
      </c>
      <c r="J603" s="3">
        <f t="shared" si="27"/>
        <v>11611</v>
      </c>
      <c r="K603" s="1">
        <v>11928</v>
      </c>
      <c r="L603" s="3">
        <f t="shared" si="28"/>
        <v>11928</v>
      </c>
      <c r="M603" t="s">
        <v>67</v>
      </c>
      <c r="N603" t="s">
        <v>67</v>
      </c>
      <c r="O603" t="s">
        <v>376</v>
      </c>
      <c r="P603">
        <v>2</v>
      </c>
      <c r="Q603" t="s">
        <v>463</v>
      </c>
      <c r="R603" t="s">
        <v>51</v>
      </c>
      <c r="S603">
        <v>1859</v>
      </c>
      <c r="T603">
        <v>1951</v>
      </c>
      <c r="U603" t="s">
        <v>2655</v>
      </c>
      <c r="V603" t="s">
        <v>2656</v>
      </c>
      <c r="Z603">
        <v>1</v>
      </c>
      <c r="AA603">
        <v>3</v>
      </c>
      <c r="AB603">
        <v>6</v>
      </c>
      <c r="AC603">
        <v>2</v>
      </c>
      <c r="AF603">
        <v>1931</v>
      </c>
      <c r="AG603">
        <v>1932</v>
      </c>
      <c r="AO603" t="b">
        <v>0</v>
      </c>
      <c r="AT603">
        <v>317</v>
      </c>
      <c r="AU603">
        <f t="shared" si="29"/>
        <v>0.86799999999999999</v>
      </c>
    </row>
    <row r="604" spans="1:47" x14ac:dyDescent="0.3">
      <c r="A604">
        <v>602</v>
      </c>
      <c r="B604" t="s">
        <v>2679</v>
      </c>
      <c r="C604" t="s">
        <v>2680</v>
      </c>
      <c r="D604">
        <v>130</v>
      </c>
      <c r="E604" t="s">
        <v>2584</v>
      </c>
      <c r="F604" t="str">
        <f>VLOOKUP(E604,country_continent!A:C,2,FALSE)</f>
        <v>Ecuador</v>
      </c>
      <c r="G604" t="str">
        <f>VLOOKUP(E604,country_continent!A:C,3,FALSE)</f>
        <v>South America</v>
      </c>
      <c r="H604" t="s">
        <v>2681</v>
      </c>
      <c r="I604" s="1">
        <v>11928</v>
      </c>
      <c r="J604" s="3">
        <f t="shared" si="27"/>
        <v>11928</v>
      </c>
      <c r="K604" s="1">
        <v>11934</v>
      </c>
      <c r="L604" s="3">
        <f t="shared" si="28"/>
        <v>11934</v>
      </c>
      <c r="M604" t="s">
        <v>49</v>
      </c>
      <c r="N604" t="s">
        <v>49</v>
      </c>
      <c r="O604" t="s">
        <v>49</v>
      </c>
      <c r="P604">
        <v>0</v>
      </c>
      <c r="Q604" t="s">
        <v>50</v>
      </c>
      <c r="R604" t="s">
        <v>51</v>
      </c>
      <c r="S604">
        <v>1892</v>
      </c>
      <c r="T604">
        <v>1942</v>
      </c>
      <c r="Z604">
        <v>0</v>
      </c>
      <c r="AA604">
        <v>1</v>
      </c>
      <c r="AB604">
        <v>0</v>
      </c>
      <c r="AC604">
        <v>0</v>
      </c>
      <c r="AF604">
        <v>1932</v>
      </c>
      <c r="AG604">
        <v>1932</v>
      </c>
      <c r="AO604" t="b">
        <v>0</v>
      </c>
      <c r="AT604">
        <v>6</v>
      </c>
      <c r="AU604">
        <f t="shared" si="29"/>
        <v>1.6E-2</v>
      </c>
    </row>
    <row r="605" spans="1:47" x14ac:dyDescent="0.3">
      <c r="A605">
        <v>603</v>
      </c>
      <c r="B605" t="s">
        <v>2682</v>
      </c>
      <c r="C605" t="s">
        <v>2683</v>
      </c>
      <c r="D605">
        <v>130</v>
      </c>
      <c r="E605" t="s">
        <v>2584</v>
      </c>
      <c r="F605" t="str">
        <f>VLOOKUP(E605,country_continent!A:C,2,FALSE)</f>
        <v>Ecuador</v>
      </c>
      <c r="G605" t="str">
        <f>VLOOKUP(E605,country_continent!A:C,3,FALSE)</f>
        <v>South America</v>
      </c>
      <c r="H605" t="s">
        <v>2684</v>
      </c>
      <c r="I605" s="1">
        <v>11934</v>
      </c>
      <c r="J605" s="3">
        <f t="shared" si="27"/>
        <v>11934</v>
      </c>
      <c r="K605" s="1">
        <v>12029</v>
      </c>
      <c r="L605" s="3">
        <f t="shared" si="28"/>
        <v>12029</v>
      </c>
      <c r="M605" t="s">
        <v>49</v>
      </c>
      <c r="N605" t="s">
        <v>49</v>
      </c>
      <c r="O605" t="s">
        <v>49</v>
      </c>
      <c r="P605">
        <v>0</v>
      </c>
      <c r="Q605" t="s">
        <v>1453</v>
      </c>
      <c r="R605" t="s">
        <v>51</v>
      </c>
      <c r="S605">
        <v>1878</v>
      </c>
      <c r="T605">
        <v>1941</v>
      </c>
      <c r="Z605">
        <v>0</v>
      </c>
      <c r="AA605">
        <v>1</v>
      </c>
      <c r="AB605">
        <v>0</v>
      </c>
      <c r="AC605">
        <v>-666</v>
      </c>
      <c r="AF605">
        <v>1932</v>
      </c>
      <c r="AG605">
        <v>1932</v>
      </c>
      <c r="AO605" t="b">
        <v>0</v>
      </c>
      <c r="AT605">
        <v>95</v>
      </c>
      <c r="AU605">
        <f t="shared" si="29"/>
        <v>0.26</v>
      </c>
    </row>
    <row r="606" spans="1:47" x14ac:dyDescent="0.3">
      <c r="A606">
        <v>604</v>
      </c>
      <c r="B606" t="s">
        <v>2685</v>
      </c>
      <c r="C606" t="s">
        <v>2686</v>
      </c>
      <c r="D606">
        <v>130</v>
      </c>
      <c r="E606" t="s">
        <v>2584</v>
      </c>
      <c r="F606" t="str">
        <f>VLOOKUP(E606,country_continent!A:C,2,FALSE)</f>
        <v>Ecuador</v>
      </c>
      <c r="G606" t="str">
        <f>VLOOKUP(E606,country_continent!A:C,3,FALSE)</f>
        <v>South America</v>
      </c>
      <c r="H606" t="s">
        <v>2687</v>
      </c>
      <c r="I606" s="1">
        <v>12029</v>
      </c>
      <c r="J606" s="3">
        <f t="shared" si="27"/>
        <v>12029</v>
      </c>
      <c r="K606" s="1">
        <v>12345</v>
      </c>
      <c r="L606" s="3">
        <f t="shared" si="28"/>
        <v>12345</v>
      </c>
      <c r="M606" t="s">
        <v>49</v>
      </c>
      <c r="N606" t="s">
        <v>49</v>
      </c>
      <c r="O606" t="s">
        <v>49</v>
      </c>
      <c r="P606">
        <v>0</v>
      </c>
      <c r="Q606" t="s">
        <v>1453</v>
      </c>
      <c r="R606" t="s">
        <v>51</v>
      </c>
      <c r="S606">
        <v>1875</v>
      </c>
      <c r="T606">
        <v>1955</v>
      </c>
      <c r="U606" t="s">
        <v>2688</v>
      </c>
      <c r="V606" t="s">
        <v>2689</v>
      </c>
      <c r="Z606">
        <v>0</v>
      </c>
      <c r="AA606">
        <v>1</v>
      </c>
      <c r="AB606">
        <v>0</v>
      </c>
      <c r="AC606">
        <v>-666</v>
      </c>
      <c r="AF606">
        <v>1932</v>
      </c>
      <c r="AG606">
        <v>1933</v>
      </c>
      <c r="AO606" t="b">
        <v>0</v>
      </c>
      <c r="AT606">
        <v>316</v>
      </c>
      <c r="AU606">
        <f t="shared" si="29"/>
        <v>0.86599999999999999</v>
      </c>
    </row>
    <row r="607" spans="1:47" x14ac:dyDescent="0.3">
      <c r="A607">
        <v>605</v>
      </c>
      <c r="B607" t="s">
        <v>2690</v>
      </c>
      <c r="C607" t="s">
        <v>2691</v>
      </c>
      <c r="D607">
        <v>130</v>
      </c>
      <c r="E607" t="s">
        <v>2584</v>
      </c>
      <c r="F607" t="str">
        <f>VLOOKUP(E607,country_continent!A:C,2,FALSE)</f>
        <v>Ecuador</v>
      </c>
      <c r="G607" t="str">
        <f>VLOOKUP(E607,country_continent!A:C,3,FALSE)</f>
        <v>South America</v>
      </c>
      <c r="H607" t="s">
        <v>2692</v>
      </c>
      <c r="I607" s="1">
        <v>12347</v>
      </c>
      <c r="J607" s="3">
        <f t="shared" si="27"/>
        <v>12347</v>
      </c>
      <c r="K607" s="1">
        <v>12662</v>
      </c>
      <c r="L607" s="3">
        <f t="shared" si="28"/>
        <v>12662</v>
      </c>
      <c r="M607" t="s">
        <v>67</v>
      </c>
      <c r="N607" t="s">
        <v>49</v>
      </c>
      <c r="O607" t="s">
        <v>49</v>
      </c>
      <c r="P607">
        <v>0</v>
      </c>
      <c r="Q607" t="s">
        <v>50</v>
      </c>
      <c r="R607" t="s">
        <v>51</v>
      </c>
      <c r="S607">
        <v>1876</v>
      </c>
      <c r="T607">
        <v>1950</v>
      </c>
      <c r="U607" t="s">
        <v>2693</v>
      </c>
      <c r="V607" t="s">
        <v>2694</v>
      </c>
      <c r="Z607">
        <v>1</v>
      </c>
      <c r="AA607">
        <v>1</v>
      </c>
      <c r="AB607">
        <v>0</v>
      </c>
      <c r="AC607">
        <v>0</v>
      </c>
      <c r="AF607">
        <v>1933</v>
      </c>
      <c r="AG607">
        <v>1934</v>
      </c>
      <c r="AO607" t="b">
        <v>0</v>
      </c>
      <c r="AT607">
        <v>315</v>
      </c>
      <c r="AU607">
        <f t="shared" si="29"/>
        <v>0.86299999999999999</v>
      </c>
    </row>
    <row r="608" spans="1:47" x14ac:dyDescent="0.3">
      <c r="A608">
        <v>606</v>
      </c>
      <c r="B608" t="s">
        <v>2695</v>
      </c>
      <c r="C608" t="s">
        <v>2696</v>
      </c>
      <c r="D608">
        <v>130</v>
      </c>
      <c r="E608" t="s">
        <v>2584</v>
      </c>
      <c r="F608" t="str">
        <f>VLOOKUP(E608,country_continent!A:C,2,FALSE)</f>
        <v>Ecuador</v>
      </c>
      <c r="G608" t="str">
        <f>VLOOKUP(E608,country_continent!A:C,3,FALSE)</f>
        <v>South America</v>
      </c>
      <c r="H608" t="s">
        <v>2697</v>
      </c>
      <c r="I608" s="1">
        <v>12663</v>
      </c>
      <c r="J608" s="3">
        <f t="shared" si="27"/>
        <v>12663</v>
      </c>
      <c r="K608" s="1">
        <v>13017</v>
      </c>
      <c r="L608" s="3">
        <f t="shared" si="28"/>
        <v>13017</v>
      </c>
      <c r="M608" t="s">
        <v>49</v>
      </c>
      <c r="N608" t="s">
        <v>67</v>
      </c>
      <c r="O608" t="s">
        <v>376</v>
      </c>
      <c r="P608">
        <v>0</v>
      </c>
      <c r="Q608" t="s">
        <v>463</v>
      </c>
      <c r="R608" t="s">
        <v>51</v>
      </c>
      <c r="S608">
        <v>1893</v>
      </c>
      <c r="T608">
        <v>1979</v>
      </c>
      <c r="U608" t="s">
        <v>2698</v>
      </c>
      <c r="V608" t="s">
        <v>2699</v>
      </c>
      <c r="W608" s="1">
        <v>28944</v>
      </c>
      <c r="X608" s="2">
        <v>28944</v>
      </c>
      <c r="Y608" t="s">
        <v>2700</v>
      </c>
      <c r="Z608">
        <v>0</v>
      </c>
      <c r="AA608">
        <v>3</v>
      </c>
      <c r="AB608">
        <v>6</v>
      </c>
      <c r="AC608">
        <v>2</v>
      </c>
      <c r="AF608">
        <v>1934</v>
      </c>
      <c r="AG608">
        <v>1935</v>
      </c>
      <c r="AO608" t="b">
        <v>0</v>
      </c>
      <c r="AT608">
        <v>354</v>
      </c>
      <c r="AU608">
        <f t="shared" si="29"/>
        <v>0.97</v>
      </c>
    </row>
    <row r="609" spans="1:47" x14ac:dyDescent="0.3">
      <c r="A609">
        <v>607</v>
      </c>
      <c r="B609" t="s">
        <v>2701</v>
      </c>
      <c r="C609" t="s">
        <v>2702</v>
      </c>
      <c r="D609">
        <v>130</v>
      </c>
      <c r="E609" t="s">
        <v>2584</v>
      </c>
      <c r="F609" t="str">
        <f>VLOOKUP(E609,country_continent!A:C,2,FALSE)</f>
        <v>Ecuador</v>
      </c>
      <c r="G609" t="str">
        <f>VLOOKUP(E609,country_continent!A:C,3,FALSE)</f>
        <v>South America</v>
      </c>
      <c r="H609" t="s">
        <v>2703</v>
      </c>
      <c r="I609" s="1">
        <v>13017</v>
      </c>
      <c r="J609" s="3">
        <f t="shared" si="27"/>
        <v>13017</v>
      </c>
      <c r="K609" s="1">
        <v>13053</v>
      </c>
      <c r="L609" s="3">
        <f t="shared" si="28"/>
        <v>13053</v>
      </c>
      <c r="M609" t="s">
        <v>67</v>
      </c>
      <c r="N609" t="s">
        <v>67</v>
      </c>
      <c r="O609" t="s">
        <v>389</v>
      </c>
      <c r="P609">
        <v>0</v>
      </c>
      <c r="Q609" t="s">
        <v>1453</v>
      </c>
      <c r="R609" t="s">
        <v>51</v>
      </c>
      <c r="S609">
        <v>1897</v>
      </c>
      <c r="T609">
        <v>1980</v>
      </c>
      <c r="U609" t="s">
        <v>2704</v>
      </c>
      <c r="V609" t="s">
        <v>2705</v>
      </c>
      <c r="Z609">
        <v>1</v>
      </c>
      <c r="AA609">
        <v>3</v>
      </c>
      <c r="AB609">
        <v>16</v>
      </c>
      <c r="AC609">
        <v>-666</v>
      </c>
      <c r="AF609">
        <v>1935</v>
      </c>
      <c r="AG609">
        <v>1935</v>
      </c>
      <c r="AO609" t="b">
        <v>0</v>
      </c>
      <c r="AT609">
        <v>36</v>
      </c>
      <c r="AU609">
        <f t="shared" si="29"/>
        <v>9.9000000000000005E-2</v>
      </c>
    </row>
    <row r="610" spans="1:47" x14ac:dyDescent="0.3">
      <c r="A610">
        <v>608</v>
      </c>
      <c r="B610" t="s">
        <v>2706</v>
      </c>
      <c r="C610" t="s">
        <v>2707</v>
      </c>
      <c r="D610">
        <v>130</v>
      </c>
      <c r="E610" t="s">
        <v>2584</v>
      </c>
      <c r="F610" t="str">
        <f>VLOOKUP(E610,country_continent!A:C,2,FALSE)</f>
        <v>Ecuador</v>
      </c>
      <c r="G610" t="str">
        <f>VLOOKUP(E610,country_continent!A:C,3,FALSE)</f>
        <v>South America</v>
      </c>
      <c r="H610" t="s">
        <v>2708</v>
      </c>
      <c r="I610" s="1">
        <v>13053</v>
      </c>
      <c r="J610" s="3">
        <f t="shared" si="27"/>
        <v>13053</v>
      </c>
      <c r="K610" s="1">
        <v>13811</v>
      </c>
      <c r="L610" s="3">
        <f t="shared" si="28"/>
        <v>13811</v>
      </c>
      <c r="M610" t="s">
        <v>67</v>
      </c>
      <c r="N610" t="s">
        <v>67</v>
      </c>
      <c r="O610" t="s">
        <v>389</v>
      </c>
      <c r="P610">
        <v>0</v>
      </c>
      <c r="Q610" t="s">
        <v>362</v>
      </c>
      <c r="R610" t="s">
        <v>51</v>
      </c>
      <c r="S610">
        <v>1876</v>
      </c>
      <c r="T610">
        <v>1974</v>
      </c>
      <c r="U610" t="s">
        <v>2709</v>
      </c>
      <c r="V610" t="s">
        <v>2710</v>
      </c>
      <c r="Z610">
        <v>1</v>
      </c>
      <c r="AA610">
        <v>3</v>
      </c>
      <c r="AB610">
        <v>16</v>
      </c>
      <c r="AC610">
        <v>1</v>
      </c>
      <c r="AF610">
        <v>1935</v>
      </c>
      <c r="AG610">
        <v>1937</v>
      </c>
      <c r="AO610" t="b">
        <v>0</v>
      </c>
      <c r="AT610">
        <v>758</v>
      </c>
      <c r="AU610">
        <f t="shared" si="29"/>
        <v>2.077</v>
      </c>
    </row>
    <row r="611" spans="1:47" x14ac:dyDescent="0.3">
      <c r="A611">
        <v>609</v>
      </c>
      <c r="B611" t="s">
        <v>2711</v>
      </c>
      <c r="C611" t="s">
        <v>2712</v>
      </c>
      <c r="D611">
        <v>130</v>
      </c>
      <c r="E611" t="s">
        <v>2584</v>
      </c>
      <c r="F611" t="str">
        <f>VLOOKUP(E611,country_continent!A:C,2,FALSE)</f>
        <v>Ecuador</v>
      </c>
      <c r="G611" t="str">
        <f>VLOOKUP(E611,country_continent!A:C,3,FALSE)</f>
        <v>South America</v>
      </c>
      <c r="H611" t="s">
        <v>2713</v>
      </c>
      <c r="I611" s="1">
        <v>13811</v>
      </c>
      <c r="J611" s="3">
        <f t="shared" si="27"/>
        <v>13811</v>
      </c>
      <c r="K611" s="1">
        <v>14102</v>
      </c>
      <c r="L611" s="3">
        <f t="shared" si="28"/>
        <v>14102</v>
      </c>
      <c r="M611" t="s">
        <v>67</v>
      </c>
      <c r="N611" t="s">
        <v>49</v>
      </c>
      <c r="O611" t="s">
        <v>49</v>
      </c>
      <c r="P611">
        <v>0</v>
      </c>
      <c r="Q611" t="s">
        <v>50</v>
      </c>
      <c r="R611" t="s">
        <v>51</v>
      </c>
      <c r="S611">
        <v>1895</v>
      </c>
      <c r="T611">
        <v>1962</v>
      </c>
      <c r="U611" t="s">
        <v>2714</v>
      </c>
      <c r="V611" t="s">
        <v>2715</v>
      </c>
      <c r="Z611">
        <v>1</v>
      </c>
      <c r="AA611">
        <v>1</v>
      </c>
      <c r="AB611">
        <v>0</v>
      </c>
      <c r="AC611">
        <v>0</v>
      </c>
      <c r="AF611">
        <v>1937</v>
      </c>
      <c r="AG611">
        <v>1938</v>
      </c>
      <c r="AO611" t="b">
        <v>0</v>
      </c>
      <c r="AT611">
        <v>291</v>
      </c>
      <c r="AU611">
        <f t="shared" si="29"/>
        <v>0.79700000000000004</v>
      </c>
    </row>
    <row r="612" spans="1:47" x14ac:dyDescent="0.3">
      <c r="A612">
        <v>610</v>
      </c>
      <c r="B612" t="s">
        <v>2716</v>
      </c>
      <c r="C612" t="s">
        <v>2717</v>
      </c>
      <c r="D612">
        <v>130</v>
      </c>
      <c r="E612" t="s">
        <v>2584</v>
      </c>
      <c r="F612" t="str">
        <f>VLOOKUP(E612,country_continent!A:C,2,FALSE)</f>
        <v>Ecuador</v>
      </c>
      <c r="G612" t="str">
        <f>VLOOKUP(E612,country_continent!A:C,3,FALSE)</f>
        <v>South America</v>
      </c>
      <c r="H612" t="s">
        <v>2718</v>
      </c>
      <c r="I612" s="1">
        <v>14102</v>
      </c>
      <c r="J612" s="3">
        <f t="shared" si="27"/>
        <v>14102</v>
      </c>
      <c r="K612" s="1">
        <v>14216</v>
      </c>
      <c r="L612" s="3">
        <f t="shared" si="28"/>
        <v>14216</v>
      </c>
      <c r="M612" t="s">
        <v>49</v>
      </c>
      <c r="N612" t="s">
        <v>49</v>
      </c>
      <c r="O612" t="s">
        <v>49</v>
      </c>
      <c r="P612">
        <v>0</v>
      </c>
      <c r="Q612" t="s">
        <v>50</v>
      </c>
      <c r="R612" t="s">
        <v>51</v>
      </c>
      <c r="S612">
        <v>1883</v>
      </c>
      <c r="T612">
        <v>1975</v>
      </c>
      <c r="Z612">
        <v>0</v>
      </c>
      <c r="AA612">
        <v>1</v>
      </c>
      <c r="AB612">
        <v>0</v>
      </c>
      <c r="AC612">
        <v>0</v>
      </c>
      <c r="AF612">
        <v>1938</v>
      </c>
      <c r="AG612">
        <v>1938</v>
      </c>
      <c r="AO612" t="b">
        <v>0</v>
      </c>
      <c r="AT612">
        <v>114</v>
      </c>
      <c r="AU612">
        <f t="shared" si="29"/>
        <v>0.312</v>
      </c>
    </row>
    <row r="613" spans="1:47" x14ac:dyDescent="0.3">
      <c r="A613">
        <v>611</v>
      </c>
      <c r="B613" t="s">
        <v>2719</v>
      </c>
      <c r="C613" t="s">
        <v>2720</v>
      </c>
      <c r="D613">
        <v>130</v>
      </c>
      <c r="E613" t="s">
        <v>2584</v>
      </c>
      <c r="F613" t="str">
        <f>VLOOKUP(E613,country_continent!A:C,2,FALSE)</f>
        <v>Ecuador</v>
      </c>
      <c r="G613" t="str">
        <f>VLOOKUP(E613,country_continent!A:C,3,FALSE)</f>
        <v>South America</v>
      </c>
      <c r="H613" t="s">
        <v>2721</v>
      </c>
      <c r="I613" s="1">
        <v>14217</v>
      </c>
      <c r="J613" s="3">
        <f t="shared" si="27"/>
        <v>14217</v>
      </c>
      <c r="K613" s="1">
        <v>14568</v>
      </c>
      <c r="L613" s="3">
        <f t="shared" si="28"/>
        <v>14568</v>
      </c>
      <c r="M613" t="s">
        <v>49</v>
      </c>
      <c r="N613" t="s">
        <v>110</v>
      </c>
      <c r="O613" t="s">
        <v>49</v>
      </c>
      <c r="P613">
        <v>0</v>
      </c>
      <c r="Q613" t="s">
        <v>111</v>
      </c>
      <c r="R613" t="s">
        <v>51</v>
      </c>
      <c r="S613">
        <v>1883</v>
      </c>
      <c r="T613">
        <v>1939</v>
      </c>
      <c r="U613" t="s">
        <v>2722</v>
      </c>
      <c r="V613" t="s">
        <v>2723</v>
      </c>
      <c r="W613" s="1">
        <v>14568</v>
      </c>
      <c r="X613" s="2">
        <v>14568</v>
      </c>
      <c r="Z613">
        <v>0</v>
      </c>
      <c r="AA613">
        <v>2</v>
      </c>
      <c r="AB613">
        <v>0</v>
      </c>
      <c r="AC613">
        <v>-777</v>
      </c>
      <c r="AF613">
        <v>1938</v>
      </c>
      <c r="AG613">
        <v>1939</v>
      </c>
      <c r="AO613" t="b">
        <v>0</v>
      </c>
      <c r="AT613">
        <v>351</v>
      </c>
      <c r="AU613">
        <f t="shared" si="29"/>
        <v>0.96199999999999997</v>
      </c>
    </row>
    <row r="614" spans="1:47" x14ac:dyDescent="0.3">
      <c r="A614">
        <v>612</v>
      </c>
      <c r="B614" t="s">
        <v>2724</v>
      </c>
      <c r="C614" t="s">
        <v>2725</v>
      </c>
      <c r="D614">
        <v>130</v>
      </c>
      <c r="E614" t="s">
        <v>2584</v>
      </c>
      <c r="F614" t="str">
        <f>VLOOKUP(E614,country_continent!A:C,2,FALSE)</f>
        <v>Ecuador</v>
      </c>
      <c r="G614" t="str">
        <f>VLOOKUP(E614,country_continent!A:C,3,FALSE)</f>
        <v>South America</v>
      </c>
      <c r="H614" t="s">
        <v>2726</v>
      </c>
      <c r="I614" s="1">
        <v>14568</v>
      </c>
      <c r="J614" s="3">
        <f t="shared" si="27"/>
        <v>14568</v>
      </c>
      <c r="K614" s="1">
        <v>14589</v>
      </c>
      <c r="L614" s="3">
        <f t="shared" si="28"/>
        <v>14589</v>
      </c>
      <c r="M614" t="s">
        <v>49</v>
      </c>
      <c r="N614" t="s">
        <v>49</v>
      </c>
      <c r="O614" t="s">
        <v>49</v>
      </c>
      <c r="P614">
        <v>0</v>
      </c>
      <c r="Q614" t="s">
        <v>50</v>
      </c>
      <c r="R614" t="s">
        <v>51</v>
      </c>
      <c r="S614">
        <v>1893</v>
      </c>
      <c r="T614">
        <v>1969</v>
      </c>
      <c r="U614" t="s">
        <v>2727</v>
      </c>
      <c r="V614" t="s">
        <v>2728</v>
      </c>
      <c r="Z614">
        <v>0</v>
      </c>
      <c r="AA614">
        <v>1</v>
      </c>
      <c r="AB614">
        <v>0</v>
      </c>
      <c r="AC614">
        <v>0</v>
      </c>
      <c r="AF614">
        <v>1939</v>
      </c>
      <c r="AG614">
        <v>1939</v>
      </c>
      <c r="AO614" t="b">
        <v>0</v>
      </c>
      <c r="AT614">
        <v>21</v>
      </c>
      <c r="AU614">
        <f t="shared" si="29"/>
        <v>5.8000000000000003E-2</v>
      </c>
    </row>
    <row r="615" spans="1:47" x14ac:dyDescent="0.3">
      <c r="A615">
        <v>613</v>
      </c>
      <c r="B615" t="s">
        <v>2729</v>
      </c>
      <c r="C615" t="s">
        <v>2730</v>
      </c>
      <c r="D615">
        <v>130</v>
      </c>
      <c r="E615" t="s">
        <v>2584</v>
      </c>
      <c r="F615" t="str">
        <f>VLOOKUP(E615,country_continent!A:C,2,FALSE)</f>
        <v>Ecuador</v>
      </c>
      <c r="G615" t="str">
        <f>VLOOKUP(E615,country_continent!A:C,3,FALSE)</f>
        <v>South America</v>
      </c>
      <c r="H615" t="s">
        <v>2731</v>
      </c>
      <c r="I615" s="1">
        <v>14590</v>
      </c>
      <c r="J615" s="3">
        <f t="shared" si="27"/>
        <v>14590</v>
      </c>
      <c r="K615" s="1">
        <v>14833</v>
      </c>
      <c r="L615" s="3">
        <f t="shared" si="28"/>
        <v>14833</v>
      </c>
      <c r="M615" t="s">
        <v>49</v>
      </c>
      <c r="N615" t="s">
        <v>49</v>
      </c>
      <c r="O615" t="s">
        <v>49</v>
      </c>
      <c r="P615">
        <v>0</v>
      </c>
      <c r="Q615" t="s">
        <v>50</v>
      </c>
      <c r="R615" t="s">
        <v>51</v>
      </c>
      <c r="S615">
        <v>1892</v>
      </c>
      <c r="T615">
        <v>1983</v>
      </c>
      <c r="U615" t="s">
        <v>2732</v>
      </c>
      <c r="V615" t="s">
        <v>2733</v>
      </c>
      <c r="Z615">
        <v>0</v>
      </c>
      <c r="AA615">
        <v>1</v>
      </c>
      <c r="AB615">
        <v>0</v>
      </c>
      <c r="AC615">
        <v>0</v>
      </c>
      <c r="AF615">
        <v>1939</v>
      </c>
      <c r="AG615">
        <v>1940</v>
      </c>
      <c r="AO615" t="b">
        <v>0</v>
      </c>
      <c r="AT615">
        <v>243</v>
      </c>
      <c r="AU615">
        <f t="shared" si="29"/>
        <v>0.66600000000000004</v>
      </c>
    </row>
    <row r="616" spans="1:47" x14ac:dyDescent="0.3">
      <c r="A616">
        <v>614</v>
      </c>
      <c r="B616" t="s">
        <v>2734</v>
      </c>
      <c r="C616" t="s">
        <v>2735</v>
      </c>
      <c r="D616">
        <v>130</v>
      </c>
      <c r="E616" t="s">
        <v>2584</v>
      </c>
      <c r="F616" t="str">
        <f>VLOOKUP(E616,country_continent!A:C,2,FALSE)</f>
        <v>Ecuador</v>
      </c>
      <c r="G616" t="str">
        <f>VLOOKUP(E616,country_continent!A:C,3,FALSE)</f>
        <v>South America</v>
      </c>
      <c r="H616" t="s">
        <v>2736</v>
      </c>
      <c r="I616" s="1">
        <v>14833</v>
      </c>
      <c r="J616" s="3">
        <f t="shared" si="27"/>
        <v>14833</v>
      </c>
      <c r="K616" s="1">
        <v>14854</v>
      </c>
      <c r="L616" s="3">
        <f t="shared" si="28"/>
        <v>14854</v>
      </c>
      <c r="M616" t="s">
        <v>49</v>
      </c>
      <c r="N616" t="s">
        <v>49</v>
      </c>
      <c r="O616" t="s">
        <v>49</v>
      </c>
      <c r="P616">
        <v>0</v>
      </c>
      <c r="Q616" t="s">
        <v>50</v>
      </c>
      <c r="R616" t="s">
        <v>51</v>
      </c>
      <c r="S616">
        <v>1880</v>
      </c>
      <c r="T616">
        <v>1952</v>
      </c>
      <c r="U616" t="s">
        <v>2737</v>
      </c>
      <c r="V616" t="s">
        <v>2738</v>
      </c>
      <c r="Z616">
        <v>0</v>
      </c>
      <c r="AA616">
        <v>1</v>
      </c>
      <c r="AB616">
        <v>0</v>
      </c>
      <c r="AC616">
        <v>0</v>
      </c>
      <c r="AF616">
        <v>1940</v>
      </c>
      <c r="AG616">
        <v>1940</v>
      </c>
      <c r="AO616" t="b">
        <v>0</v>
      </c>
      <c r="AT616">
        <v>21</v>
      </c>
      <c r="AU616">
        <f t="shared" si="29"/>
        <v>5.8000000000000003E-2</v>
      </c>
    </row>
    <row r="617" spans="1:47" x14ac:dyDescent="0.3">
      <c r="A617">
        <v>615</v>
      </c>
      <c r="B617" t="s">
        <v>2739</v>
      </c>
      <c r="C617" t="s">
        <v>2725</v>
      </c>
      <c r="D617">
        <v>130</v>
      </c>
      <c r="E617" t="s">
        <v>2584</v>
      </c>
      <c r="F617" t="str">
        <f>VLOOKUP(E617,country_continent!A:C,2,FALSE)</f>
        <v>Ecuador</v>
      </c>
      <c r="G617" t="str">
        <f>VLOOKUP(E617,country_continent!A:C,3,FALSE)</f>
        <v>South America</v>
      </c>
      <c r="H617" t="s">
        <v>2726</v>
      </c>
      <c r="I617" s="1">
        <v>14855</v>
      </c>
      <c r="J617" s="3">
        <f t="shared" si="27"/>
        <v>14855</v>
      </c>
      <c r="K617" s="1">
        <v>16221</v>
      </c>
      <c r="L617" s="3">
        <f t="shared" si="28"/>
        <v>16221</v>
      </c>
      <c r="M617" t="s">
        <v>49</v>
      </c>
      <c r="N617" t="s">
        <v>67</v>
      </c>
      <c r="O617" t="s">
        <v>376</v>
      </c>
      <c r="P617">
        <v>1</v>
      </c>
      <c r="Q617" t="s">
        <v>362</v>
      </c>
      <c r="R617" t="s">
        <v>51</v>
      </c>
      <c r="S617">
        <v>1893</v>
      </c>
      <c r="T617">
        <v>1952</v>
      </c>
      <c r="U617" t="s">
        <v>2727</v>
      </c>
      <c r="V617" t="s">
        <v>2728</v>
      </c>
      <c r="Z617">
        <v>0</v>
      </c>
      <c r="AA617">
        <v>3</v>
      </c>
      <c r="AB617">
        <v>6</v>
      </c>
      <c r="AC617">
        <v>1</v>
      </c>
      <c r="AF617">
        <v>1940</v>
      </c>
      <c r="AG617">
        <v>1944</v>
      </c>
      <c r="AO617" t="b">
        <v>0</v>
      </c>
      <c r="AT617">
        <v>1366</v>
      </c>
      <c r="AU617">
        <f t="shared" si="29"/>
        <v>3.742</v>
      </c>
    </row>
    <row r="618" spans="1:47" x14ac:dyDescent="0.3">
      <c r="A618">
        <v>616</v>
      </c>
      <c r="B618" t="s">
        <v>2740</v>
      </c>
      <c r="C618" t="s">
        <v>2741</v>
      </c>
      <c r="D618">
        <v>130</v>
      </c>
      <c r="E618" t="s">
        <v>2584</v>
      </c>
      <c r="F618" t="str">
        <f>VLOOKUP(E618,country_continent!A:C,2,FALSE)</f>
        <v>Ecuador</v>
      </c>
      <c r="G618" t="str">
        <f>VLOOKUP(E618,country_continent!A:C,3,FALSE)</f>
        <v>South America</v>
      </c>
      <c r="H618" t="s">
        <v>2742</v>
      </c>
      <c r="I618" s="1">
        <v>16221</v>
      </c>
      <c r="J618" s="3">
        <f t="shared" si="27"/>
        <v>16221</v>
      </c>
      <c r="K618" s="1">
        <v>16222</v>
      </c>
      <c r="L618" s="3">
        <f t="shared" si="28"/>
        <v>16222</v>
      </c>
      <c r="M618" t="s">
        <v>49</v>
      </c>
      <c r="N618" t="s">
        <v>67</v>
      </c>
      <c r="O618" t="s">
        <v>376</v>
      </c>
      <c r="P618">
        <v>1</v>
      </c>
      <c r="Q618" t="s">
        <v>463</v>
      </c>
      <c r="R618" t="s">
        <v>51</v>
      </c>
      <c r="S618">
        <v>-999</v>
      </c>
      <c r="T618">
        <v>-999</v>
      </c>
      <c r="Z618">
        <v>0</v>
      </c>
      <c r="AA618">
        <v>3</v>
      </c>
      <c r="AB618">
        <v>6</v>
      </c>
      <c r="AC618">
        <v>2</v>
      </c>
      <c r="AF618">
        <v>1944</v>
      </c>
      <c r="AG618">
        <v>1944</v>
      </c>
      <c r="AO618" t="b">
        <v>0</v>
      </c>
      <c r="AT618">
        <v>1</v>
      </c>
      <c r="AU618">
        <f t="shared" si="29"/>
        <v>3.0000000000000001E-3</v>
      </c>
    </row>
    <row r="619" spans="1:47" x14ac:dyDescent="0.3">
      <c r="A619">
        <v>617</v>
      </c>
      <c r="B619" t="s">
        <v>2743</v>
      </c>
      <c r="C619" t="s">
        <v>2674</v>
      </c>
      <c r="D619">
        <v>130</v>
      </c>
      <c r="E619" t="s">
        <v>2584</v>
      </c>
      <c r="F619" t="str">
        <f>VLOOKUP(E619,country_continent!A:C,2,FALSE)</f>
        <v>Ecuador</v>
      </c>
      <c r="G619" t="str">
        <f>VLOOKUP(E619,country_continent!A:C,3,FALSE)</f>
        <v>South America</v>
      </c>
      <c r="H619" t="s">
        <v>2675</v>
      </c>
      <c r="I619" s="1">
        <v>16222</v>
      </c>
      <c r="J619" s="3">
        <f t="shared" si="27"/>
        <v>16222</v>
      </c>
      <c r="K619" s="1">
        <v>16223</v>
      </c>
      <c r="L619" s="3">
        <f t="shared" si="28"/>
        <v>16223</v>
      </c>
      <c r="M619" t="s">
        <v>67</v>
      </c>
      <c r="N619" t="s">
        <v>49</v>
      </c>
      <c r="O619" t="s">
        <v>49</v>
      </c>
      <c r="P619">
        <v>1</v>
      </c>
      <c r="Q619" t="s">
        <v>362</v>
      </c>
      <c r="R619" t="s">
        <v>51</v>
      </c>
      <c r="S619">
        <v>1895</v>
      </c>
      <c r="T619">
        <v>1980</v>
      </c>
      <c r="U619" t="s">
        <v>2676</v>
      </c>
      <c r="V619" t="s">
        <v>2677</v>
      </c>
      <c r="Z619">
        <v>1</v>
      </c>
      <c r="AA619">
        <v>1</v>
      </c>
      <c r="AB619">
        <v>0</v>
      </c>
      <c r="AC619">
        <v>1</v>
      </c>
      <c r="AF619">
        <v>1944</v>
      </c>
      <c r="AG619">
        <v>1944</v>
      </c>
      <c r="AO619" t="b">
        <v>0</v>
      </c>
      <c r="AT619">
        <v>1</v>
      </c>
      <c r="AU619">
        <f t="shared" si="29"/>
        <v>3.0000000000000001E-3</v>
      </c>
    </row>
    <row r="620" spans="1:47" x14ac:dyDescent="0.3">
      <c r="A620">
        <v>618</v>
      </c>
      <c r="B620" t="s">
        <v>2744</v>
      </c>
      <c r="C620" t="s">
        <v>2696</v>
      </c>
      <c r="D620">
        <v>130</v>
      </c>
      <c r="E620" t="s">
        <v>2584</v>
      </c>
      <c r="F620" t="str">
        <f>VLOOKUP(E620,country_continent!A:C,2,FALSE)</f>
        <v>Ecuador</v>
      </c>
      <c r="G620" t="str">
        <f>VLOOKUP(E620,country_continent!A:C,3,FALSE)</f>
        <v>South America</v>
      </c>
      <c r="H620" t="s">
        <v>2697</v>
      </c>
      <c r="I620" s="1">
        <v>16223</v>
      </c>
      <c r="J620" s="3">
        <f t="shared" si="27"/>
        <v>16223</v>
      </c>
      <c r="K620" s="1">
        <v>17402</v>
      </c>
      <c r="L620" s="3">
        <f t="shared" si="28"/>
        <v>17402</v>
      </c>
      <c r="M620" t="s">
        <v>67</v>
      </c>
      <c r="N620" t="s">
        <v>67</v>
      </c>
      <c r="O620" t="s">
        <v>376</v>
      </c>
      <c r="P620">
        <v>1</v>
      </c>
      <c r="Q620" t="s">
        <v>362</v>
      </c>
      <c r="R620" t="s">
        <v>51</v>
      </c>
      <c r="S620">
        <v>1893</v>
      </c>
      <c r="T620">
        <v>1979</v>
      </c>
      <c r="U620" t="s">
        <v>2698</v>
      </c>
      <c r="V620" t="s">
        <v>2699</v>
      </c>
      <c r="W620" s="1">
        <v>28944</v>
      </c>
      <c r="X620" s="2">
        <v>28944</v>
      </c>
      <c r="Y620" t="s">
        <v>2700</v>
      </c>
      <c r="Z620">
        <v>1</v>
      </c>
      <c r="AA620">
        <v>3</v>
      </c>
      <c r="AB620">
        <v>6</v>
      </c>
      <c r="AC620">
        <v>1</v>
      </c>
      <c r="AF620">
        <v>1944</v>
      </c>
      <c r="AG620">
        <v>1947</v>
      </c>
      <c r="AN620">
        <v>-1</v>
      </c>
      <c r="AO620" t="b">
        <v>0</v>
      </c>
      <c r="AT620">
        <v>1179</v>
      </c>
      <c r="AU620">
        <f t="shared" si="29"/>
        <v>3.23</v>
      </c>
    </row>
    <row r="621" spans="1:47" x14ac:dyDescent="0.3">
      <c r="A621">
        <v>619</v>
      </c>
      <c r="B621" t="s">
        <v>2745</v>
      </c>
      <c r="C621" t="s">
        <v>2746</v>
      </c>
      <c r="D621">
        <v>130</v>
      </c>
      <c r="E621" t="s">
        <v>2584</v>
      </c>
      <c r="F621" t="str">
        <f>VLOOKUP(E621,country_continent!A:C,2,FALSE)</f>
        <v>Ecuador</v>
      </c>
      <c r="G621" t="str">
        <f>VLOOKUP(E621,country_continent!A:C,3,FALSE)</f>
        <v>South America</v>
      </c>
      <c r="H621" t="s">
        <v>2747</v>
      </c>
      <c r="I621" s="1">
        <v>17403</v>
      </c>
      <c r="J621" s="3">
        <f t="shared" si="27"/>
        <v>17403</v>
      </c>
      <c r="K621" s="1">
        <v>17413</v>
      </c>
      <c r="L621" s="3">
        <f t="shared" si="28"/>
        <v>17413</v>
      </c>
      <c r="M621" t="s">
        <v>67</v>
      </c>
      <c r="N621" t="s">
        <v>67</v>
      </c>
      <c r="O621" t="s">
        <v>376</v>
      </c>
      <c r="P621">
        <v>0</v>
      </c>
      <c r="Q621" t="s">
        <v>362</v>
      </c>
      <c r="R621" t="s">
        <v>51</v>
      </c>
      <c r="S621">
        <v>1902</v>
      </c>
      <c r="T621">
        <v>1996</v>
      </c>
      <c r="Z621">
        <v>1</v>
      </c>
      <c r="AA621">
        <v>3</v>
      </c>
      <c r="AB621">
        <v>6</v>
      </c>
      <c r="AC621">
        <v>1</v>
      </c>
      <c r="AF621">
        <v>1947</v>
      </c>
      <c r="AG621">
        <v>1947</v>
      </c>
      <c r="AN621">
        <v>-1</v>
      </c>
      <c r="AO621" t="b">
        <v>0</v>
      </c>
      <c r="AT621">
        <v>10</v>
      </c>
      <c r="AU621">
        <f t="shared" si="29"/>
        <v>2.7E-2</v>
      </c>
    </row>
    <row r="622" spans="1:47" x14ac:dyDescent="0.3">
      <c r="A622">
        <v>620</v>
      </c>
      <c r="B622" t="s">
        <v>2748</v>
      </c>
      <c r="C622" t="s">
        <v>2749</v>
      </c>
      <c r="D622">
        <v>130</v>
      </c>
      <c r="E622" t="s">
        <v>2584</v>
      </c>
      <c r="F622" t="str">
        <f>VLOOKUP(E622,country_continent!A:C,2,FALSE)</f>
        <v>Ecuador</v>
      </c>
      <c r="G622" t="str">
        <f>VLOOKUP(E622,country_continent!A:C,3,FALSE)</f>
        <v>South America</v>
      </c>
      <c r="H622" t="s">
        <v>2202</v>
      </c>
      <c r="I622" s="1">
        <v>17413</v>
      </c>
      <c r="J622" s="3">
        <f t="shared" si="27"/>
        <v>17413</v>
      </c>
      <c r="K622" s="1">
        <v>17427</v>
      </c>
      <c r="L622" s="3">
        <f t="shared" si="28"/>
        <v>17427</v>
      </c>
      <c r="M622" t="s">
        <v>67</v>
      </c>
      <c r="N622" t="s">
        <v>49</v>
      </c>
      <c r="O622" t="s">
        <v>49</v>
      </c>
      <c r="P622">
        <v>0</v>
      </c>
      <c r="Q622" t="s">
        <v>50</v>
      </c>
      <c r="R622" t="s">
        <v>51</v>
      </c>
      <c r="S622">
        <v>1897</v>
      </c>
      <c r="T622">
        <v>1980</v>
      </c>
      <c r="Z622">
        <v>1</v>
      </c>
      <c r="AA622">
        <v>1</v>
      </c>
      <c r="AB622">
        <v>0</v>
      </c>
      <c r="AC622">
        <v>0</v>
      </c>
      <c r="AF622">
        <v>1947</v>
      </c>
      <c r="AG622">
        <v>1947</v>
      </c>
      <c r="AN622">
        <v>-1</v>
      </c>
      <c r="AO622" t="b">
        <v>0</v>
      </c>
      <c r="AT622">
        <v>14</v>
      </c>
      <c r="AU622">
        <f t="shared" si="29"/>
        <v>3.7999999999999999E-2</v>
      </c>
    </row>
    <row r="623" spans="1:47" x14ac:dyDescent="0.3">
      <c r="A623">
        <v>621</v>
      </c>
      <c r="B623" t="s">
        <v>2750</v>
      </c>
      <c r="C623" t="s">
        <v>2751</v>
      </c>
      <c r="D623">
        <v>130</v>
      </c>
      <c r="E623" t="s">
        <v>2584</v>
      </c>
      <c r="F623" t="str">
        <f>VLOOKUP(E623,country_continent!A:C,2,FALSE)</f>
        <v>Ecuador</v>
      </c>
      <c r="G623" t="str">
        <f>VLOOKUP(E623,country_continent!A:C,3,FALSE)</f>
        <v>South America</v>
      </c>
      <c r="H623" t="s">
        <v>2752</v>
      </c>
      <c r="I623" s="1">
        <v>17427</v>
      </c>
      <c r="J623" s="3">
        <f t="shared" si="27"/>
        <v>17427</v>
      </c>
      <c r="K623" s="1">
        <v>17766</v>
      </c>
      <c r="L623" s="3">
        <f t="shared" si="28"/>
        <v>17766</v>
      </c>
      <c r="M623" t="s">
        <v>49</v>
      </c>
      <c r="N623" t="s">
        <v>49</v>
      </c>
      <c r="O623" t="s">
        <v>49</v>
      </c>
      <c r="P623">
        <v>0</v>
      </c>
      <c r="Q623" t="s">
        <v>50</v>
      </c>
      <c r="R623" t="s">
        <v>51</v>
      </c>
      <c r="S623">
        <v>1894</v>
      </c>
      <c r="T623">
        <v>1952</v>
      </c>
      <c r="Z623">
        <v>0</v>
      </c>
      <c r="AA623">
        <v>1</v>
      </c>
      <c r="AB623">
        <v>0</v>
      </c>
      <c r="AC623">
        <v>0</v>
      </c>
      <c r="AD623" t="s">
        <v>2753</v>
      </c>
      <c r="AE623">
        <v>0</v>
      </c>
      <c r="AF623">
        <v>1947</v>
      </c>
      <c r="AG623">
        <v>1948</v>
      </c>
      <c r="AN623">
        <v>0</v>
      </c>
      <c r="AO623" t="b">
        <v>0</v>
      </c>
      <c r="AT623">
        <v>339</v>
      </c>
      <c r="AU623">
        <f t="shared" si="29"/>
        <v>0.92900000000000005</v>
      </c>
    </row>
    <row r="624" spans="1:47" x14ac:dyDescent="0.3">
      <c r="A624">
        <v>622</v>
      </c>
      <c r="B624" t="s">
        <v>2754</v>
      </c>
      <c r="C624" t="s">
        <v>2755</v>
      </c>
      <c r="D624">
        <v>130</v>
      </c>
      <c r="E624" t="s">
        <v>2584</v>
      </c>
      <c r="F624" t="str">
        <f>VLOOKUP(E624,country_continent!A:C,2,FALSE)</f>
        <v>Ecuador</v>
      </c>
      <c r="G624" t="str">
        <f>VLOOKUP(E624,country_continent!A:C,3,FALSE)</f>
        <v>South America</v>
      </c>
      <c r="H624" t="s">
        <v>2756</v>
      </c>
      <c r="I624" s="1">
        <v>17777</v>
      </c>
      <c r="J624" s="3">
        <f t="shared" si="27"/>
        <v>17777</v>
      </c>
      <c r="K624" s="1">
        <v>19238</v>
      </c>
      <c r="L624" s="3">
        <f t="shared" si="28"/>
        <v>19238</v>
      </c>
      <c r="M624" t="s">
        <v>49</v>
      </c>
      <c r="N624" t="s">
        <v>49</v>
      </c>
      <c r="O624" t="s">
        <v>49</v>
      </c>
      <c r="P624">
        <v>0</v>
      </c>
      <c r="Q624" t="s">
        <v>50</v>
      </c>
      <c r="R624" t="s">
        <v>51</v>
      </c>
      <c r="S624">
        <v>1906</v>
      </c>
      <c r="T624">
        <v>1987</v>
      </c>
      <c r="U624" s="1">
        <v>2240</v>
      </c>
      <c r="V624" s="2">
        <v>2240</v>
      </c>
      <c r="W624" s="1">
        <v>31805</v>
      </c>
      <c r="X624" s="2">
        <v>31805</v>
      </c>
      <c r="Z624">
        <v>0</v>
      </c>
      <c r="AA624">
        <v>1</v>
      </c>
      <c r="AB624">
        <v>0</v>
      </c>
      <c r="AC624">
        <v>0</v>
      </c>
      <c r="AF624">
        <v>1948</v>
      </c>
      <c r="AG624">
        <v>1952</v>
      </c>
      <c r="AN624">
        <v>1</v>
      </c>
      <c r="AO624" t="b">
        <v>0</v>
      </c>
      <c r="AT624">
        <v>1461</v>
      </c>
      <c r="AU624">
        <f t="shared" si="29"/>
        <v>4.0030000000000001</v>
      </c>
    </row>
    <row r="625" spans="1:47" x14ac:dyDescent="0.3">
      <c r="A625">
        <v>623</v>
      </c>
      <c r="B625" t="s">
        <v>2757</v>
      </c>
      <c r="C625" t="s">
        <v>2696</v>
      </c>
      <c r="D625">
        <v>130</v>
      </c>
      <c r="E625" t="s">
        <v>2584</v>
      </c>
      <c r="F625" t="str">
        <f>VLOOKUP(E625,country_continent!A:C,2,FALSE)</f>
        <v>Ecuador</v>
      </c>
      <c r="G625" t="str">
        <f>VLOOKUP(E625,country_continent!A:C,3,FALSE)</f>
        <v>South America</v>
      </c>
      <c r="H625" t="s">
        <v>2697</v>
      </c>
      <c r="I625" s="1">
        <v>19238</v>
      </c>
      <c r="J625" s="3">
        <f t="shared" si="27"/>
        <v>19238</v>
      </c>
      <c r="K625" s="1">
        <v>20699</v>
      </c>
      <c r="L625" s="3">
        <f t="shared" si="28"/>
        <v>20699</v>
      </c>
      <c r="M625" t="s">
        <v>49</v>
      </c>
      <c r="N625" t="s">
        <v>49</v>
      </c>
      <c r="O625" t="s">
        <v>49</v>
      </c>
      <c r="P625">
        <v>2</v>
      </c>
      <c r="Q625" t="s">
        <v>362</v>
      </c>
      <c r="R625" t="s">
        <v>51</v>
      </c>
      <c r="S625">
        <v>1893</v>
      </c>
      <c r="T625">
        <v>1979</v>
      </c>
      <c r="U625" t="s">
        <v>2698</v>
      </c>
      <c r="V625" t="s">
        <v>2699</v>
      </c>
      <c r="W625" s="1">
        <v>28944</v>
      </c>
      <c r="X625" s="2">
        <v>28944</v>
      </c>
      <c r="Y625" t="s">
        <v>2700</v>
      </c>
      <c r="Z625">
        <v>0</v>
      </c>
      <c r="AA625">
        <v>1</v>
      </c>
      <c r="AB625">
        <v>0</v>
      </c>
      <c r="AC625">
        <v>1</v>
      </c>
      <c r="AF625">
        <v>1952</v>
      </c>
      <c r="AG625">
        <v>1956</v>
      </c>
      <c r="AN625">
        <v>1</v>
      </c>
      <c r="AO625" t="b">
        <v>0</v>
      </c>
      <c r="AT625">
        <v>1461</v>
      </c>
      <c r="AU625">
        <f t="shared" si="29"/>
        <v>4.0030000000000001</v>
      </c>
    </row>
    <row r="626" spans="1:47" x14ac:dyDescent="0.3">
      <c r="A626">
        <v>624</v>
      </c>
      <c r="B626" t="s">
        <v>2758</v>
      </c>
      <c r="C626" t="s">
        <v>2759</v>
      </c>
      <c r="D626">
        <v>130</v>
      </c>
      <c r="E626" t="s">
        <v>2584</v>
      </c>
      <c r="F626" t="str">
        <f>VLOOKUP(E626,country_continent!A:C,2,FALSE)</f>
        <v>Ecuador</v>
      </c>
      <c r="G626" t="str">
        <f>VLOOKUP(E626,country_continent!A:C,3,FALSE)</f>
        <v>South America</v>
      </c>
      <c r="H626" t="s">
        <v>2760</v>
      </c>
      <c r="I626" s="1">
        <v>20699</v>
      </c>
      <c r="J626" s="3">
        <f t="shared" si="27"/>
        <v>20699</v>
      </c>
      <c r="K626" s="1">
        <v>22160</v>
      </c>
      <c r="L626" s="3">
        <f t="shared" si="28"/>
        <v>22160</v>
      </c>
      <c r="M626" t="s">
        <v>49</v>
      </c>
      <c r="N626" t="s">
        <v>49</v>
      </c>
      <c r="O626" t="s">
        <v>49</v>
      </c>
      <c r="P626">
        <v>0</v>
      </c>
      <c r="Q626" t="s">
        <v>362</v>
      </c>
      <c r="R626" t="s">
        <v>51</v>
      </c>
      <c r="S626">
        <v>1912</v>
      </c>
      <c r="T626">
        <v>1976</v>
      </c>
      <c r="U626" s="1">
        <v>4414</v>
      </c>
      <c r="V626" s="2">
        <v>4414</v>
      </c>
      <c r="Z626">
        <v>0</v>
      </c>
      <c r="AA626">
        <v>1</v>
      </c>
      <c r="AB626">
        <v>0</v>
      </c>
      <c r="AC626">
        <v>1</v>
      </c>
      <c r="AF626">
        <v>1956</v>
      </c>
      <c r="AG626">
        <v>1960</v>
      </c>
      <c r="AK626">
        <v>176.3</v>
      </c>
      <c r="AN626">
        <v>1</v>
      </c>
      <c r="AO626" t="b">
        <v>0</v>
      </c>
      <c r="AT626">
        <v>1461</v>
      </c>
      <c r="AU626">
        <f t="shared" si="29"/>
        <v>4.0030000000000001</v>
      </c>
    </row>
    <row r="627" spans="1:47" x14ac:dyDescent="0.3">
      <c r="A627">
        <v>625</v>
      </c>
      <c r="B627" t="s">
        <v>2761</v>
      </c>
      <c r="C627" t="s">
        <v>2696</v>
      </c>
      <c r="D627">
        <v>130</v>
      </c>
      <c r="E627" t="s">
        <v>2584</v>
      </c>
      <c r="F627" t="str">
        <f>VLOOKUP(E627,country_continent!A:C,2,FALSE)</f>
        <v>Ecuador</v>
      </c>
      <c r="G627" t="str">
        <f>VLOOKUP(E627,country_continent!A:C,3,FALSE)</f>
        <v>South America</v>
      </c>
      <c r="H627" t="s">
        <v>2697</v>
      </c>
      <c r="I627" s="1">
        <v>22160</v>
      </c>
      <c r="J627" s="3">
        <f t="shared" si="27"/>
        <v>22160</v>
      </c>
      <c r="K627" s="1">
        <v>22592</v>
      </c>
      <c r="L627" s="3">
        <f t="shared" si="28"/>
        <v>22592</v>
      </c>
      <c r="M627" t="s">
        <v>49</v>
      </c>
      <c r="N627" t="s">
        <v>67</v>
      </c>
      <c r="O627" t="s">
        <v>376</v>
      </c>
      <c r="P627">
        <v>3</v>
      </c>
      <c r="Q627" t="s">
        <v>362</v>
      </c>
      <c r="R627" t="s">
        <v>51</v>
      </c>
      <c r="S627">
        <v>1893</v>
      </c>
      <c r="T627">
        <v>1979</v>
      </c>
      <c r="U627" t="s">
        <v>2698</v>
      </c>
      <c r="V627" t="s">
        <v>2699</v>
      </c>
      <c r="W627" s="1">
        <v>28944</v>
      </c>
      <c r="X627" s="2">
        <v>28944</v>
      </c>
      <c r="Y627" t="s">
        <v>2700</v>
      </c>
      <c r="Z627">
        <v>0</v>
      </c>
      <c r="AA627">
        <v>3</v>
      </c>
      <c r="AB627">
        <v>6</v>
      </c>
      <c r="AC627">
        <v>1</v>
      </c>
      <c r="AF627">
        <v>1960</v>
      </c>
      <c r="AG627">
        <v>1961</v>
      </c>
      <c r="AH627">
        <v>2.1984122137331998</v>
      </c>
      <c r="AJ627">
        <v>-11.3204429779194</v>
      </c>
      <c r="AK627">
        <v>173.65</v>
      </c>
      <c r="AL627">
        <v>2.8228410741841099</v>
      </c>
      <c r="AN627">
        <v>1</v>
      </c>
      <c r="AO627" t="b">
        <v>0</v>
      </c>
      <c r="AT627">
        <v>432</v>
      </c>
      <c r="AU627">
        <f t="shared" si="29"/>
        <v>1.1839999999999999</v>
      </c>
    </row>
    <row r="628" spans="1:47" x14ac:dyDescent="0.3">
      <c r="A628">
        <v>626</v>
      </c>
      <c r="B628" t="s">
        <v>2762</v>
      </c>
      <c r="C628" t="s">
        <v>2763</v>
      </c>
      <c r="D628">
        <v>130</v>
      </c>
      <c r="E628" t="s">
        <v>2584</v>
      </c>
      <c r="F628" t="str">
        <f>VLOOKUP(E628,country_continent!A:C,2,FALSE)</f>
        <v>Ecuador</v>
      </c>
      <c r="G628" t="str">
        <f>VLOOKUP(E628,country_continent!A:C,3,FALSE)</f>
        <v>South America</v>
      </c>
      <c r="H628" t="s">
        <v>2764</v>
      </c>
      <c r="I628" s="1">
        <v>22592</v>
      </c>
      <c r="J628" s="3">
        <f t="shared" si="27"/>
        <v>22592</v>
      </c>
      <c r="K628" s="1">
        <v>23203</v>
      </c>
      <c r="L628" s="3">
        <f t="shared" si="28"/>
        <v>23203</v>
      </c>
      <c r="M628" t="s">
        <v>67</v>
      </c>
      <c r="N628" t="s">
        <v>67</v>
      </c>
      <c r="O628" t="s">
        <v>376</v>
      </c>
      <c r="P628">
        <v>0</v>
      </c>
      <c r="Q628" t="s">
        <v>362</v>
      </c>
      <c r="R628" t="s">
        <v>51</v>
      </c>
      <c r="S628">
        <v>1919</v>
      </c>
      <c r="T628">
        <v>2004</v>
      </c>
      <c r="Z628">
        <v>1</v>
      </c>
      <c r="AA628">
        <v>3</v>
      </c>
      <c r="AB628">
        <v>6</v>
      </c>
      <c r="AC628">
        <v>1</v>
      </c>
      <c r="AD628" t="s">
        <v>2765</v>
      </c>
      <c r="AE628">
        <v>1</v>
      </c>
      <c r="AF628">
        <v>1961</v>
      </c>
      <c r="AG628">
        <v>1963</v>
      </c>
      <c r="AH628">
        <v>1.1197575488377201</v>
      </c>
      <c r="AI628">
        <v>365</v>
      </c>
      <c r="AJ628">
        <v>-1.2095942808304001</v>
      </c>
      <c r="AK628">
        <v>165.9</v>
      </c>
      <c r="AL628">
        <v>2.85689768911105</v>
      </c>
      <c r="AN628">
        <v>-1.33</v>
      </c>
      <c r="AO628" t="b">
        <v>0</v>
      </c>
      <c r="AT628">
        <v>611</v>
      </c>
      <c r="AU628">
        <f t="shared" si="29"/>
        <v>1.6739999999999999</v>
      </c>
    </row>
    <row r="629" spans="1:47" x14ac:dyDescent="0.3">
      <c r="A629">
        <v>627</v>
      </c>
      <c r="B629" t="s">
        <v>2766</v>
      </c>
      <c r="C629" t="s">
        <v>2767</v>
      </c>
      <c r="D629">
        <v>130</v>
      </c>
      <c r="E629" t="s">
        <v>2584</v>
      </c>
      <c r="F629" t="str">
        <f>VLOOKUP(E629,country_continent!A:C,2,FALSE)</f>
        <v>Ecuador</v>
      </c>
      <c r="G629" t="str">
        <f>VLOOKUP(E629,country_continent!A:C,3,FALSE)</f>
        <v>South America</v>
      </c>
      <c r="H629" t="s">
        <v>437</v>
      </c>
      <c r="I629" s="1">
        <v>23203</v>
      </c>
      <c r="J629" s="3">
        <f t="shared" si="27"/>
        <v>23203</v>
      </c>
      <c r="K629" s="1">
        <v>24195</v>
      </c>
      <c r="L629" s="3">
        <f t="shared" si="28"/>
        <v>24195</v>
      </c>
      <c r="M629" t="s">
        <v>67</v>
      </c>
      <c r="N629" t="s">
        <v>67</v>
      </c>
      <c r="O629" t="s">
        <v>613</v>
      </c>
      <c r="P629">
        <v>0</v>
      </c>
      <c r="Q629" t="s">
        <v>362</v>
      </c>
      <c r="R629" t="s">
        <v>51</v>
      </c>
      <c r="S629">
        <v>1915</v>
      </c>
      <c r="T629">
        <v>1984</v>
      </c>
      <c r="Z629">
        <v>1</v>
      </c>
      <c r="AA629">
        <v>3</v>
      </c>
      <c r="AB629">
        <v>2</v>
      </c>
      <c r="AC629">
        <v>1</v>
      </c>
      <c r="AF629">
        <v>1963</v>
      </c>
      <c r="AG629">
        <v>1966</v>
      </c>
      <c r="AH629">
        <v>0.13407918811403899</v>
      </c>
      <c r="AI629">
        <v>400</v>
      </c>
      <c r="AJ629">
        <v>9.3312347665857391</v>
      </c>
      <c r="AK629">
        <v>154.77500000000001</v>
      </c>
      <c r="AL629">
        <v>2.9311746517385</v>
      </c>
      <c r="AN629">
        <v>-5</v>
      </c>
      <c r="AO629" t="b">
        <v>0</v>
      </c>
      <c r="AT629">
        <v>992</v>
      </c>
      <c r="AU629">
        <f t="shared" si="29"/>
        <v>2.718</v>
      </c>
    </row>
    <row r="630" spans="1:47" x14ac:dyDescent="0.3">
      <c r="A630">
        <v>628</v>
      </c>
      <c r="B630" t="s">
        <v>2768</v>
      </c>
      <c r="C630" t="s">
        <v>2769</v>
      </c>
      <c r="D630">
        <v>130</v>
      </c>
      <c r="E630" t="s">
        <v>2584</v>
      </c>
      <c r="F630" t="str">
        <f>VLOOKUP(E630,country_continent!A:C,2,FALSE)</f>
        <v>Ecuador</v>
      </c>
      <c r="G630" t="str">
        <f>VLOOKUP(E630,country_continent!A:C,3,FALSE)</f>
        <v>South America</v>
      </c>
      <c r="H630" t="s">
        <v>2770</v>
      </c>
      <c r="I630" s="1">
        <v>24195</v>
      </c>
      <c r="J630" s="3">
        <f t="shared" si="27"/>
        <v>24195</v>
      </c>
      <c r="K630" s="1">
        <v>24427</v>
      </c>
      <c r="L630" s="3">
        <f t="shared" si="28"/>
        <v>24427</v>
      </c>
      <c r="M630" t="s">
        <v>67</v>
      </c>
      <c r="N630" t="s">
        <v>49</v>
      </c>
      <c r="O630" t="s">
        <v>49</v>
      </c>
      <c r="P630">
        <v>0</v>
      </c>
      <c r="Q630" t="s">
        <v>50</v>
      </c>
      <c r="R630" t="s">
        <v>51</v>
      </c>
      <c r="S630">
        <v>1904</v>
      </c>
      <c r="T630">
        <v>1981</v>
      </c>
      <c r="Z630">
        <v>1</v>
      </c>
      <c r="AA630">
        <v>1</v>
      </c>
      <c r="AB630">
        <v>0</v>
      </c>
      <c r="AC630">
        <v>0</v>
      </c>
      <c r="AF630">
        <v>1966</v>
      </c>
      <c r="AG630">
        <v>1966</v>
      </c>
      <c r="AH630">
        <v>-3.2540540720920101</v>
      </c>
      <c r="AI630">
        <v>440</v>
      </c>
      <c r="AJ630">
        <v>2.11715397106753</v>
      </c>
      <c r="AK630">
        <v>149.1</v>
      </c>
      <c r="AL630">
        <v>2.9680724154401301</v>
      </c>
      <c r="AN630">
        <v>-2</v>
      </c>
      <c r="AO630" t="b">
        <v>0</v>
      </c>
      <c r="AT630">
        <v>232</v>
      </c>
      <c r="AU630">
        <f t="shared" si="29"/>
        <v>0.63600000000000001</v>
      </c>
    </row>
    <row r="631" spans="1:47" x14ac:dyDescent="0.3">
      <c r="A631">
        <v>629</v>
      </c>
      <c r="B631" t="s">
        <v>2771</v>
      </c>
      <c r="C631" t="s">
        <v>2772</v>
      </c>
      <c r="D631">
        <v>130</v>
      </c>
      <c r="E631" t="s">
        <v>2584</v>
      </c>
      <c r="F631" t="str">
        <f>VLOOKUP(E631,country_continent!A:C,2,FALSE)</f>
        <v>Ecuador</v>
      </c>
      <c r="G631" t="str">
        <f>VLOOKUP(E631,country_continent!A:C,3,FALSE)</f>
        <v>South America</v>
      </c>
      <c r="H631" t="s">
        <v>2773</v>
      </c>
      <c r="I631" s="1">
        <v>24427</v>
      </c>
      <c r="J631" s="3">
        <f t="shared" si="27"/>
        <v>24427</v>
      </c>
      <c r="K631" s="1">
        <v>25082</v>
      </c>
      <c r="L631" s="3">
        <f t="shared" si="28"/>
        <v>25082</v>
      </c>
      <c r="M631" t="s">
        <v>49</v>
      </c>
      <c r="N631" t="s">
        <v>49</v>
      </c>
      <c r="O631" t="s">
        <v>49</v>
      </c>
      <c r="P631">
        <v>0</v>
      </c>
      <c r="Q631" t="s">
        <v>50</v>
      </c>
      <c r="R631" t="s">
        <v>51</v>
      </c>
      <c r="S631">
        <v>1925</v>
      </c>
      <c r="T631">
        <v>1984</v>
      </c>
      <c r="U631" s="1">
        <v>9332</v>
      </c>
      <c r="V631" s="2">
        <v>9332</v>
      </c>
      <c r="W631" s="1">
        <v>30792</v>
      </c>
      <c r="X631" s="2">
        <v>30792</v>
      </c>
      <c r="Y631" t="s">
        <v>2774</v>
      </c>
      <c r="Z631">
        <v>0</v>
      </c>
      <c r="AA631">
        <v>1</v>
      </c>
      <c r="AB631">
        <v>0</v>
      </c>
      <c r="AC631">
        <v>0</v>
      </c>
      <c r="AF631">
        <v>1966</v>
      </c>
      <c r="AG631">
        <v>1968</v>
      </c>
      <c r="AH631">
        <v>-0.93135682043424595</v>
      </c>
      <c r="AI631">
        <v>453.33333333333297</v>
      </c>
      <c r="AJ631">
        <v>0.60503199530999496</v>
      </c>
      <c r="AK631">
        <v>145.96666666666599</v>
      </c>
      <c r="AL631">
        <v>2.9782822208188899</v>
      </c>
      <c r="AN631">
        <v>1.67</v>
      </c>
      <c r="AO631" t="b">
        <v>0</v>
      </c>
      <c r="AT631">
        <v>655</v>
      </c>
      <c r="AU631">
        <f t="shared" si="29"/>
        <v>1.7949999999999999</v>
      </c>
    </row>
    <row r="632" spans="1:47" x14ac:dyDescent="0.3">
      <c r="A632">
        <v>630</v>
      </c>
      <c r="B632" t="s">
        <v>2775</v>
      </c>
      <c r="C632" t="s">
        <v>2696</v>
      </c>
      <c r="D632">
        <v>130</v>
      </c>
      <c r="E632" t="s">
        <v>2584</v>
      </c>
      <c r="F632" t="str">
        <f>VLOOKUP(E632,country_continent!A:C,2,FALSE)</f>
        <v>Ecuador</v>
      </c>
      <c r="G632" t="str">
        <f>VLOOKUP(E632,country_continent!A:C,3,FALSE)</f>
        <v>South America</v>
      </c>
      <c r="H632" t="s">
        <v>2697</v>
      </c>
      <c r="I632" s="1">
        <v>25082</v>
      </c>
      <c r="J632" s="3">
        <f t="shared" si="27"/>
        <v>25082</v>
      </c>
      <c r="K632" s="1">
        <v>26344</v>
      </c>
      <c r="L632" s="3">
        <f t="shared" si="28"/>
        <v>26344</v>
      </c>
      <c r="M632" t="s">
        <v>49</v>
      </c>
      <c r="N632" t="s">
        <v>67</v>
      </c>
      <c r="O632" t="s">
        <v>376</v>
      </c>
      <c r="P632">
        <v>4</v>
      </c>
      <c r="Q632" t="s">
        <v>362</v>
      </c>
      <c r="R632" t="s">
        <v>51</v>
      </c>
      <c r="S632">
        <v>1893</v>
      </c>
      <c r="T632">
        <v>1979</v>
      </c>
      <c r="U632" t="s">
        <v>2698</v>
      </c>
      <c r="V632" t="s">
        <v>2699</v>
      </c>
      <c r="W632" s="1">
        <v>28944</v>
      </c>
      <c r="X632" s="2">
        <v>28944</v>
      </c>
      <c r="Y632" t="s">
        <v>2700</v>
      </c>
      <c r="Z632">
        <v>0</v>
      </c>
      <c r="AA632">
        <v>3</v>
      </c>
      <c r="AB632">
        <v>6</v>
      </c>
      <c r="AC632">
        <v>1</v>
      </c>
      <c r="AF632">
        <v>1968</v>
      </c>
      <c r="AG632">
        <v>1972</v>
      </c>
      <c r="AH632">
        <v>1.8847948963564001</v>
      </c>
      <c r="AI632">
        <v>492</v>
      </c>
      <c r="AJ632">
        <v>0.22145039577305201</v>
      </c>
      <c r="AK632">
        <v>136.719999999999</v>
      </c>
      <c r="AL632">
        <v>2.9663413432679699</v>
      </c>
      <c r="AM632">
        <v>0.92629334083734105</v>
      </c>
      <c r="AN632">
        <v>1</v>
      </c>
      <c r="AO632" t="b">
        <v>0</v>
      </c>
      <c r="AT632">
        <v>1262</v>
      </c>
      <c r="AU632">
        <f t="shared" si="29"/>
        <v>3.4580000000000002</v>
      </c>
    </row>
    <row r="633" spans="1:47" x14ac:dyDescent="0.3">
      <c r="A633">
        <v>631</v>
      </c>
      <c r="B633" t="s">
        <v>2776</v>
      </c>
      <c r="C633" t="s">
        <v>2777</v>
      </c>
      <c r="D633">
        <v>130</v>
      </c>
      <c r="E633" t="s">
        <v>2584</v>
      </c>
      <c r="F633" t="str">
        <f>VLOOKUP(E633,country_continent!A:C,2,FALSE)</f>
        <v>Ecuador</v>
      </c>
      <c r="G633" t="str">
        <f>VLOOKUP(E633,country_continent!A:C,3,FALSE)</f>
        <v>South America</v>
      </c>
      <c r="H633" t="s">
        <v>2778</v>
      </c>
      <c r="I633" s="1">
        <v>26344</v>
      </c>
      <c r="J633" s="3">
        <f t="shared" si="27"/>
        <v>26344</v>
      </c>
      <c r="K633" s="1">
        <v>27770</v>
      </c>
      <c r="L633" s="3">
        <f t="shared" si="28"/>
        <v>27770</v>
      </c>
      <c r="M633" t="s">
        <v>67</v>
      </c>
      <c r="N633" t="s">
        <v>67</v>
      </c>
      <c r="O633" t="s">
        <v>376</v>
      </c>
      <c r="P633">
        <v>0</v>
      </c>
      <c r="Q633" t="s">
        <v>50</v>
      </c>
      <c r="R633" t="s">
        <v>51</v>
      </c>
      <c r="S633">
        <v>1923</v>
      </c>
      <c r="T633">
        <v>-777</v>
      </c>
      <c r="U633" s="1">
        <v>8709</v>
      </c>
      <c r="V633" s="2">
        <v>8709</v>
      </c>
      <c r="Z633">
        <v>1</v>
      </c>
      <c r="AA633">
        <v>3</v>
      </c>
      <c r="AB633">
        <v>6</v>
      </c>
      <c r="AC633">
        <v>0</v>
      </c>
      <c r="AF633">
        <v>1972</v>
      </c>
      <c r="AG633">
        <v>1976</v>
      </c>
      <c r="AH633">
        <v>6.5979281956358502</v>
      </c>
      <c r="AI633">
        <v>846</v>
      </c>
      <c r="AJ633">
        <v>16.9792462751968</v>
      </c>
      <c r="AK633">
        <v>119.96</v>
      </c>
      <c r="AL633">
        <v>2.8769588013640099</v>
      </c>
      <c r="AM633">
        <v>5.39770771250077</v>
      </c>
      <c r="AN633">
        <v>-5</v>
      </c>
      <c r="AO633" t="b">
        <v>0</v>
      </c>
      <c r="AT633">
        <v>1426</v>
      </c>
      <c r="AU633">
        <f t="shared" si="29"/>
        <v>3.907</v>
      </c>
    </row>
    <row r="634" spans="1:47" x14ac:dyDescent="0.3">
      <c r="A634">
        <v>632</v>
      </c>
      <c r="B634" t="s">
        <v>2779</v>
      </c>
      <c r="C634" t="s">
        <v>2780</v>
      </c>
      <c r="D634">
        <v>130</v>
      </c>
      <c r="E634" t="s">
        <v>2584</v>
      </c>
      <c r="F634" t="str">
        <f>VLOOKUP(E634,country_continent!A:C,2,FALSE)</f>
        <v>Ecuador</v>
      </c>
      <c r="G634" t="str">
        <f>VLOOKUP(E634,country_continent!A:C,3,FALSE)</f>
        <v>South America</v>
      </c>
      <c r="H634" t="s">
        <v>2781</v>
      </c>
      <c r="I634" s="1">
        <v>27770</v>
      </c>
      <c r="J634" s="3">
        <f t="shared" si="27"/>
        <v>27770</v>
      </c>
      <c r="K634" s="1">
        <v>29077</v>
      </c>
      <c r="L634" s="3">
        <f t="shared" si="28"/>
        <v>29077</v>
      </c>
      <c r="M634" t="s">
        <v>67</v>
      </c>
      <c r="N634" t="s">
        <v>49</v>
      </c>
      <c r="O634" t="s">
        <v>49</v>
      </c>
      <c r="P634">
        <v>0</v>
      </c>
      <c r="Q634" t="s">
        <v>50</v>
      </c>
      <c r="R634" t="s">
        <v>51</v>
      </c>
      <c r="S634">
        <v>1926</v>
      </c>
      <c r="T634">
        <v>1990</v>
      </c>
      <c r="W634" s="1">
        <v>33031</v>
      </c>
      <c r="X634" s="2">
        <v>33031</v>
      </c>
      <c r="Z634">
        <v>1</v>
      </c>
      <c r="AA634">
        <v>1</v>
      </c>
      <c r="AB634">
        <v>0</v>
      </c>
      <c r="AC634">
        <v>0</v>
      </c>
      <c r="AF634">
        <v>1976</v>
      </c>
      <c r="AG634">
        <v>1979</v>
      </c>
      <c r="AH634">
        <v>1.7635031556472001</v>
      </c>
      <c r="AI634">
        <v>1472.5</v>
      </c>
      <c r="AJ634">
        <v>11.439697464402199</v>
      </c>
      <c r="AK634">
        <v>102.575</v>
      </c>
      <c r="AL634">
        <v>2.7591901303565298</v>
      </c>
      <c r="AM634">
        <v>7.2899153491920998</v>
      </c>
      <c r="AN634">
        <v>-1.5</v>
      </c>
      <c r="AO634" t="b">
        <v>0</v>
      </c>
      <c r="AT634">
        <v>1307</v>
      </c>
      <c r="AU634">
        <f t="shared" si="29"/>
        <v>3.581</v>
      </c>
    </row>
    <row r="635" spans="1:47" x14ac:dyDescent="0.3">
      <c r="A635">
        <v>633</v>
      </c>
      <c r="B635" t="s">
        <v>2782</v>
      </c>
      <c r="C635" t="s">
        <v>2783</v>
      </c>
      <c r="D635">
        <v>130</v>
      </c>
      <c r="E635" t="s">
        <v>2584</v>
      </c>
      <c r="F635" t="str">
        <f>VLOOKUP(E635,country_continent!A:C,2,FALSE)</f>
        <v>Ecuador</v>
      </c>
      <c r="G635" t="str">
        <f>VLOOKUP(E635,country_continent!A:C,3,FALSE)</f>
        <v>South America</v>
      </c>
      <c r="H635" t="s">
        <v>2784</v>
      </c>
      <c r="I635" s="1">
        <v>29077</v>
      </c>
      <c r="J635" s="3">
        <f t="shared" si="27"/>
        <v>29077</v>
      </c>
      <c r="K635" s="1">
        <v>29730</v>
      </c>
      <c r="L635" s="3">
        <f t="shared" si="28"/>
        <v>29730</v>
      </c>
      <c r="M635" t="s">
        <v>49</v>
      </c>
      <c r="N635" t="s">
        <v>110</v>
      </c>
      <c r="O635" t="s">
        <v>49</v>
      </c>
      <c r="P635">
        <v>0</v>
      </c>
      <c r="Q635" t="s">
        <v>111</v>
      </c>
      <c r="R635" t="s">
        <v>51</v>
      </c>
      <c r="S635">
        <v>1940</v>
      </c>
      <c r="T635">
        <v>1981</v>
      </c>
      <c r="U635" s="1">
        <v>14920</v>
      </c>
      <c r="V635" s="2">
        <v>14920</v>
      </c>
      <c r="Y635" t="s">
        <v>2785</v>
      </c>
      <c r="Z635">
        <v>0</v>
      </c>
      <c r="AA635">
        <v>2</v>
      </c>
      <c r="AB635">
        <v>0</v>
      </c>
      <c r="AC635">
        <v>-777</v>
      </c>
      <c r="AF635">
        <v>1979</v>
      </c>
      <c r="AG635">
        <v>1981</v>
      </c>
      <c r="AH635">
        <v>1.5801223148860399</v>
      </c>
      <c r="AI635">
        <v>2080</v>
      </c>
      <c r="AJ635">
        <v>17.24719966572</v>
      </c>
      <c r="AK635">
        <v>91.233333333333306</v>
      </c>
      <c r="AL635">
        <v>2.6921937249999801</v>
      </c>
      <c r="AM635">
        <v>10.424011090589699</v>
      </c>
      <c r="AN635">
        <v>9</v>
      </c>
      <c r="AO635" t="b">
        <v>0</v>
      </c>
      <c r="AT635">
        <v>653</v>
      </c>
      <c r="AU635">
        <f t="shared" si="29"/>
        <v>1.7889999999999999</v>
      </c>
    </row>
    <row r="636" spans="1:47" x14ac:dyDescent="0.3">
      <c r="A636">
        <v>634</v>
      </c>
      <c r="B636" t="s">
        <v>2786</v>
      </c>
      <c r="C636" t="s">
        <v>2787</v>
      </c>
      <c r="D636">
        <v>130</v>
      </c>
      <c r="E636" t="s">
        <v>2584</v>
      </c>
      <c r="F636" t="str">
        <f>VLOOKUP(E636,country_continent!A:C,2,FALSE)</f>
        <v>Ecuador</v>
      </c>
      <c r="G636" t="str">
        <f>VLOOKUP(E636,country_continent!A:C,3,FALSE)</f>
        <v>South America</v>
      </c>
      <c r="H636" t="s">
        <v>2788</v>
      </c>
      <c r="I636" s="1">
        <v>29730</v>
      </c>
      <c r="J636" s="3">
        <f t="shared" si="27"/>
        <v>29730</v>
      </c>
      <c r="K636" s="1">
        <v>30904</v>
      </c>
      <c r="L636" s="3">
        <f t="shared" si="28"/>
        <v>30904</v>
      </c>
      <c r="M636" t="s">
        <v>49</v>
      </c>
      <c r="N636" t="s">
        <v>49</v>
      </c>
      <c r="O636" t="s">
        <v>49</v>
      </c>
      <c r="P636">
        <v>0</v>
      </c>
      <c r="Q636" t="s">
        <v>50</v>
      </c>
      <c r="R636" t="s">
        <v>51</v>
      </c>
      <c r="S636">
        <v>1940</v>
      </c>
      <c r="T636">
        <v>-777</v>
      </c>
      <c r="Z636">
        <v>0</v>
      </c>
      <c r="AA636">
        <v>1</v>
      </c>
      <c r="AB636">
        <v>0</v>
      </c>
      <c r="AC636">
        <v>0</v>
      </c>
      <c r="AF636">
        <v>1981</v>
      </c>
      <c r="AG636">
        <v>1984</v>
      </c>
      <c r="AH636">
        <v>-0.53060274927562601</v>
      </c>
      <c r="AI636">
        <v>2162.5</v>
      </c>
      <c r="AJ636">
        <v>-2.8142270847304101</v>
      </c>
      <c r="AK636">
        <v>80.099999999999994</v>
      </c>
      <c r="AL636">
        <v>2.6383806873486799</v>
      </c>
      <c r="AM636">
        <v>8.1967524602116999</v>
      </c>
      <c r="AN636">
        <v>9</v>
      </c>
      <c r="AO636" t="b">
        <v>0</v>
      </c>
      <c r="AT636">
        <v>1174</v>
      </c>
      <c r="AU636">
        <f t="shared" si="29"/>
        <v>3.2160000000000002</v>
      </c>
    </row>
    <row r="637" spans="1:47" x14ac:dyDescent="0.3">
      <c r="A637">
        <v>635</v>
      </c>
      <c r="B637" t="s">
        <v>2789</v>
      </c>
      <c r="C637" t="s">
        <v>2790</v>
      </c>
      <c r="D637">
        <v>130</v>
      </c>
      <c r="E637" t="s">
        <v>2584</v>
      </c>
      <c r="F637" t="str">
        <f>VLOOKUP(E637,country_continent!A:C,2,FALSE)</f>
        <v>Ecuador</v>
      </c>
      <c r="G637" t="str">
        <f>VLOOKUP(E637,country_continent!A:C,3,FALSE)</f>
        <v>South America</v>
      </c>
      <c r="H637" t="s">
        <v>2791</v>
      </c>
      <c r="I637" s="1">
        <v>30904</v>
      </c>
      <c r="J637" s="3">
        <f t="shared" si="27"/>
        <v>30904</v>
      </c>
      <c r="K637" s="1">
        <v>32365</v>
      </c>
      <c r="L637" s="3">
        <f t="shared" si="28"/>
        <v>32365</v>
      </c>
      <c r="M637" t="s">
        <v>49</v>
      </c>
      <c r="N637" t="s">
        <v>49</v>
      </c>
      <c r="O637" t="s">
        <v>49</v>
      </c>
      <c r="P637">
        <v>0</v>
      </c>
      <c r="Q637" t="s">
        <v>50</v>
      </c>
      <c r="R637" t="s">
        <v>51</v>
      </c>
      <c r="S637">
        <v>1931</v>
      </c>
      <c r="T637">
        <v>2008</v>
      </c>
      <c r="U637" s="1">
        <v>11391</v>
      </c>
      <c r="V637" s="2">
        <v>11391</v>
      </c>
      <c r="Y637" t="s">
        <v>2792</v>
      </c>
      <c r="Z637">
        <v>0</v>
      </c>
      <c r="AA637">
        <v>1</v>
      </c>
      <c r="AB637">
        <v>0</v>
      </c>
      <c r="AC637">
        <v>0</v>
      </c>
      <c r="AF637">
        <v>1984</v>
      </c>
      <c r="AG637">
        <v>1988</v>
      </c>
      <c r="AH637">
        <v>0.59877562275133001</v>
      </c>
      <c r="AI637">
        <v>1680</v>
      </c>
      <c r="AJ637">
        <v>-8.0733468274726903</v>
      </c>
      <c r="AK637">
        <v>66.14</v>
      </c>
      <c r="AL637">
        <v>2.4866252373506099</v>
      </c>
      <c r="AM637">
        <v>7.87111371168539</v>
      </c>
      <c r="AN637">
        <v>9</v>
      </c>
      <c r="AO637" t="b">
        <v>0</v>
      </c>
      <c r="AT637">
        <v>1461</v>
      </c>
      <c r="AU637">
        <f t="shared" si="29"/>
        <v>4.0030000000000001</v>
      </c>
    </row>
    <row r="638" spans="1:47" x14ac:dyDescent="0.3">
      <c r="A638">
        <v>636</v>
      </c>
      <c r="B638" t="s">
        <v>2793</v>
      </c>
      <c r="C638" t="s">
        <v>2794</v>
      </c>
      <c r="D638">
        <v>130</v>
      </c>
      <c r="E638" t="s">
        <v>2584</v>
      </c>
      <c r="F638" t="str">
        <f>VLOOKUP(E638,country_continent!A:C,2,FALSE)</f>
        <v>Ecuador</v>
      </c>
      <c r="G638" t="str">
        <f>VLOOKUP(E638,country_continent!A:C,3,FALSE)</f>
        <v>South America</v>
      </c>
      <c r="H638" t="s">
        <v>2795</v>
      </c>
      <c r="I638" s="1">
        <v>32365</v>
      </c>
      <c r="J638" s="3">
        <f t="shared" si="27"/>
        <v>32365</v>
      </c>
      <c r="K638" s="1">
        <v>33826</v>
      </c>
      <c r="L638" s="3">
        <f t="shared" si="28"/>
        <v>33826</v>
      </c>
      <c r="M638" t="s">
        <v>49</v>
      </c>
      <c r="N638" t="s">
        <v>49</v>
      </c>
      <c r="O638" t="s">
        <v>49</v>
      </c>
      <c r="P638">
        <v>0</v>
      </c>
      <c r="Q638" t="s">
        <v>50</v>
      </c>
      <c r="R638" t="s">
        <v>51</v>
      </c>
      <c r="S638">
        <v>1935</v>
      </c>
      <c r="T638">
        <v>-777</v>
      </c>
      <c r="U638" s="1">
        <v>12954</v>
      </c>
      <c r="V638" s="2">
        <v>12954</v>
      </c>
      <c r="Y638" t="s">
        <v>2796</v>
      </c>
      <c r="Z638">
        <v>0</v>
      </c>
      <c r="AA638">
        <v>1</v>
      </c>
      <c r="AB638">
        <v>0</v>
      </c>
      <c r="AC638">
        <v>0</v>
      </c>
      <c r="AF638">
        <v>1988</v>
      </c>
      <c r="AG638">
        <v>1992</v>
      </c>
      <c r="AH638">
        <v>1.12062200402703</v>
      </c>
      <c r="AI638">
        <v>1432</v>
      </c>
      <c r="AJ638">
        <v>2.1520712372175801</v>
      </c>
      <c r="AK638">
        <v>53.94</v>
      </c>
      <c r="AL638">
        <v>2.2251225746585801</v>
      </c>
      <c r="AM638">
        <v>9.1581066572634295</v>
      </c>
      <c r="AN638">
        <v>9</v>
      </c>
      <c r="AO638" t="b">
        <v>0</v>
      </c>
      <c r="AT638">
        <v>1461</v>
      </c>
      <c r="AU638">
        <f t="shared" si="29"/>
        <v>4.0030000000000001</v>
      </c>
    </row>
    <row r="639" spans="1:47" x14ac:dyDescent="0.3">
      <c r="A639">
        <v>637</v>
      </c>
      <c r="B639" t="s">
        <v>2797</v>
      </c>
      <c r="C639" t="s">
        <v>2798</v>
      </c>
      <c r="D639">
        <v>130</v>
      </c>
      <c r="E639" t="s">
        <v>2584</v>
      </c>
      <c r="F639" t="str">
        <f>VLOOKUP(E639,country_continent!A:C,2,FALSE)</f>
        <v>Ecuador</v>
      </c>
      <c r="G639" t="str">
        <f>VLOOKUP(E639,country_continent!A:C,3,FALSE)</f>
        <v>South America</v>
      </c>
      <c r="H639" t="s">
        <v>2799</v>
      </c>
      <c r="I639" s="1">
        <v>33826</v>
      </c>
      <c r="J639" s="3">
        <f t="shared" si="27"/>
        <v>33826</v>
      </c>
      <c r="K639" s="1">
        <v>35287</v>
      </c>
      <c r="L639" s="3">
        <f t="shared" si="28"/>
        <v>35287</v>
      </c>
      <c r="M639" t="s">
        <v>49</v>
      </c>
      <c r="N639" t="s">
        <v>49</v>
      </c>
      <c r="O639" t="s">
        <v>49</v>
      </c>
      <c r="P639">
        <v>0</v>
      </c>
      <c r="Q639" t="s">
        <v>50</v>
      </c>
      <c r="R639" t="s">
        <v>51</v>
      </c>
      <c r="S639">
        <v>1921</v>
      </c>
      <c r="T639">
        <v>-777</v>
      </c>
      <c r="U639" s="1">
        <v>7866</v>
      </c>
      <c r="V639" s="2">
        <v>7866</v>
      </c>
      <c r="Y639" t="s">
        <v>2800</v>
      </c>
      <c r="Z639">
        <v>0</v>
      </c>
      <c r="AA639">
        <v>1</v>
      </c>
      <c r="AB639">
        <v>0</v>
      </c>
      <c r="AC639">
        <v>0</v>
      </c>
      <c r="AF639">
        <v>1992</v>
      </c>
      <c r="AG639">
        <v>1996</v>
      </c>
      <c r="AH639">
        <v>0.46612144998989602</v>
      </c>
      <c r="AI639">
        <v>1802</v>
      </c>
      <c r="AJ639">
        <v>5.7332855470721</v>
      </c>
      <c r="AK639">
        <v>43.4</v>
      </c>
      <c r="AL639">
        <v>1.97121841276822</v>
      </c>
      <c r="AM639">
        <v>7.6186462786999503</v>
      </c>
      <c r="AN639">
        <v>9</v>
      </c>
      <c r="AO639" t="b">
        <v>0</v>
      </c>
      <c r="AT639">
        <v>1461</v>
      </c>
      <c r="AU639">
        <f t="shared" si="29"/>
        <v>4.0030000000000001</v>
      </c>
    </row>
    <row r="640" spans="1:47" x14ac:dyDescent="0.3">
      <c r="A640">
        <v>638</v>
      </c>
      <c r="B640" t="s">
        <v>2801</v>
      </c>
      <c r="C640" t="s">
        <v>2802</v>
      </c>
      <c r="D640">
        <v>130</v>
      </c>
      <c r="E640" t="s">
        <v>2584</v>
      </c>
      <c r="F640" t="str">
        <f>VLOOKUP(E640,country_continent!A:C,2,FALSE)</f>
        <v>Ecuador</v>
      </c>
      <c r="G640" t="str">
        <f>VLOOKUP(E640,country_continent!A:C,3,FALSE)</f>
        <v>South America</v>
      </c>
      <c r="H640" t="s">
        <v>2803</v>
      </c>
      <c r="I640" s="1">
        <v>35287</v>
      </c>
      <c r="J640" s="3">
        <f t="shared" si="27"/>
        <v>35287</v>
      </c>
      <c r="K640" s="1">
        <v>35467</v>
      </c>
      <c r="L640" s="3">
        <f t="shared" si="28"/>
        <v>35467</v>
      </c>
      <c r="M640" t="s">
        <v>49</v>
      </c>
      <c r="N640" t="s">
        <v>49</v>
      </c>
      <c r="O640" t="s">
        <v>49</v>
      </c>
      <c r="P640">
        <v>0</v>
      </c>
      <c r="Q640" t="s">
        <v>362</v>
      </c>
      <c r="R640" t="s">
        <v>51</v>
      </c>
      <c r="S640">
        <v>1952</v>
      </c>
      <c r="T640">
        <v>-777</v>
      </c>
      <c r="U640" s="1">
        <v>19044</v>
      </c>
      <c r="V640" s="2">
        <v>19044</v>
      </c>
      <c r="Z640">
        <v>0</v>
      </c>
      <c r="AA640">
        <v>1</v>
      </c>
      <c r="AB640">
        <v>0</v>
      </c>
      <c r="AC640">
        <v>1</v>
      </c>
      <c r="AF640">
        <v>1996</v>
      </c>
      <c r="AG640">
        <v>1997</v>
      </c>
      <c r="AH640">
        <v>1.12582895871591</v>
      </c>
      <c r="AI640">
        <v>2115</v>
      </c>
      <c r="AJ640">
        <v>4.2481638760105502</v>
      </c>
      <c r="AK640">
        <v>36.950000000000003</v>
      </c>
      <c r="AL640">
        <v>1.8655101557262499</v>
      </c>
      <c r="AM640">
        <v>8.10808416601588</v>
      </c>
      <c r="AN640">
        <v>9</v>
      </c>
      <c r="AO640" t="b">
        <v>0</v>
      </c>
      <c r="AT640">
        <v>180</v>
      </c>
      <c r="AU640">
        <f t="shared" si="29"/>
        <v>0.49299999999999999</v>
      </c>
    </row>
    <row r="641" spans="1:47" x14ac:dyDescent="0.3">
      <c r="A641">
        <v>639</v>
      </c>
      <c r="B641" t="s">
        <v>2804</v>
      </c>
      <c r="C641" t="s">
        <v>2805</v>
      </c>
      <c r="D641">
        <v>130</v>
      </c>
      <c r="E641" t="s">
        <v>2584</v>
      </c>
      <c r="F641" t="str">
        <f>VLOOKUP(E641,country_continent!A:C,2,FALSE)</f>
        <v>Ecuador</v>
      </c>
      <c r="G641" t="str">
        <f>VLOOKUP(E641,country_continent!A:C,3,FALSE)</f>
        <v>South America</v>
      </c>
      <c r="H641" t="s">
        <v>2806</v>
      </c>
      <c r="I641" s="1">
        <v>35467</v>
      </c>
      <c r="J641" s="3">
        <f t="shared" si="27"/>
        <v>35467</v>
      </c>
      <c r="K641" s="1">
        <v>35470</v>
      </c>
      <c r="L641" s="3">
        <f t="shared" si="28"/>
        <v>35470</v>
      </c>
      <c r="M641" t="s">
        <v>49</v>
      </c>
      <c r="N641" t="s">
        <v>49</v>
      </c>
      <c r="O641" t="s">
        <v>49</v>
      </c>
      <c r="P641">
        <v>0</v>
      </c>
      <c r="Q641" t="s">
        <v>50</v>
      </c>
      <c r="R641" t="s">
        <v>51</v>
      </c>
      <c r="S641">
        <v>1947</v>
      </c>
      <c r="T641">
        <v>-777</v>
      </c>
      <c r="U641" s="1">
        <v>17271</v>
      </c>
      <c r="V641" s="2">
        <v>17271</v>
      </c>
      <c r="Y641" t="s">
        <v>2807</v>
      </c>
      <c r="Z641">
        <v>0</v>
      </c>
      <c r="AA641">
        <v>1</v>
      </c>
      <c r="AB641">
        <v>0</v>
      </c>
      <c r="AC641">
        <v>0</v>
      </c>
      <c r="AF641">
        <v>1997</v>
      </c>
      <c r="AG641">
        <v>1997</v>
      </c>
      <c r="AH641">
        <v>2.41860087252594</v>
      </c>
      <c r="AI641">
        <v>2170</v>
      </c>
      <c r="AJ641">
        <v>7.0061730488434302</v>
      </c>
      <c r="AK641">
        <v>35.700000000000003</v>
      </c>
      <c r="AL641">
        <v>1.8470140780225699</v>
      </c>
      <c r="AM641">
        <v>7.1523250270314103</v>
      </c>
      <c r="AN641">
        <v>9</v>
      </c>
      <c r="AO641" t="b">
        <v>0</v>
      </c>
      <c r="AT641">
        <v>3</v>
      </c>
      <c r="AU641">
        <f t="shared" si="29"/>
        <v>8.0000000000000002E-3</v>
      </c>
    </row>
    <row r="642" spans="1:47" x14ac:dyDescent="0.3">
      <c r="A642">
        <v>640</v>
      </c>
      <c r="B642" t="s">
        <v>2808</v>
      </c>
      <c r="C642" t="s">
        <v>2809</v>
      </c>
      <c r="D642">
        <v>130</v>
      </c>
      <c r="E642" t="s">
        <v>2584</v>
      </c>
      <c r="F642" t="str">
        <f>VLOOKUP(E642,country_continent!A:C,2,FALSE)</f>
        <v>Ecuador</v>
      </c>
      <c r="G642" t="str">
        <f>VLOOKUP(E642,country_continent!A:C,3,FALSE)</f>
        <v>South America</v>
      </c>
      <c r="H642" t="s">
        <v>2810</v>
      </c>
      <c r="I642" s="1">
        <v>35470</v>
      </c>
      <c r="J642" s="3">
        <f t="shared" si="27"/>
        <v>35470</v>
      </c>
      <c r="K642" s="1">
        <v>35472</v>
      </c>
      <c r="L642" s="3">
        <f t="shared" si="28"/>
        <v>35472</v>
      </c>
      <c r="M642" t="s">
        <v>49</v>
      </c>
      <c r="N642" t="s">
        <v>49</v>
      </c>
      <c r="O642" t="s">
        <v>49</v>
      </c>
      <c r="P642">
        <v>0</v>
      </c>
      <c r="Q642" t="s">
        <v>50</v>
      </c>
      <c r="R642" t="s">
        <v>299</v>
      </c>
      <c r="S642">
        <v>1956</v>
      </c>
      <c r="T642">
        <v>-777</v>
      </c>
      <c r="Z642">
        <v>0</v>
      </c>
      <c r="AA642">
        <v>1</v>
      </c>
      <c r="AB642">
        <v>0</v>
      </c>
      <c r="AC642">
        <v>0</v>
      </c>
      <c r="AF642">
        <v>1997</v>
      </c>
      <c r="AG642">
        <v>1997</v>
      </c>
      <c r="AH642">
        <v>2.41860087252594</v>
      </c>
      <c r="AI642">
        <v>2170</v>
      </c>
      <c r="AJ642">
        <v>7.0061730488434302</v>
      </c>
      <c r="AK642">
        <v>35.700000000000003</v>
      </c>
      <c r="AL642">
        <v>1.8470140780225699</v>
      </c>
      <c r="AM642">
        <v>7.1523250270314103</v>
      </c>
      <c r="AN642">
        <v>9</v>
      </c>
      <c r="AO642" t="b">
        <v>0</v>
      </c>
      <c r="AT642">
        <v>2</v>
      </c>
      <c r="AU642">
        <f t="shared" si="29"/>
        <v>5.0000000000000001E-3</v>
      </c>
    </row>
    <row r="643" spans="1:47" x14ac:dyDescent="0.3">
      <c r="A643">
        <v>641</v>
      </c>
      <c r="B643" t="s">
        <v>2811</v>
      </c>
      <c r="C643" t="s">
        <v>2805</v>
      </c>
      <c r="D643">
        <v>130</v>
      </c>
      <c r="E643" t="s">
        <v>2584</v>
      </c>
      <c r="F643" t="str">
        <f>VLOOKUP(E643,country_continent!A:C,2,FALSE)</f>
        <v>Ecuador</v>
      </c>
      <c r="G643" t="str">
        <f>VLOOKUP(E643,country_continent!A:C,3,FALSE)</f>
        <v>South America</v>
      </c>
      <c r="H643" t="s">
        <v>2806</v>
      </c>
      <c r="I643" s="1">
        <v>35472</v>
      </c>
      <c r="J643" s="3">
        <f t="shared" ref="J643:J706" si="30">IF(ISNUMBER(SEARCH("-", I643)), SUBSTITUTE(I643, "-", "/"), I643)</f>
        <v>35472</v>
      </c>
      <c r="K643" s="1">
        <v>36017</v>
      </c>
      <c r="L643" s="3">
        <f t="shared" ref="L643:L706" si="31">IF(ISNUMBER(SEARCH("-", K643)), SUBSTITUTE(K643, "-", "/"), K643)</f>
        <v>36017</v>
      </c>
      <c r="M643" t="s">
        <v>49</v>
      </c>
      <c r="N643" t="s">
        <v>49</v>
      </c>
      <c r="O643" t="s">
        <v>49</v>
      </c>
      <c r="P643">
        <v>1</v>
      </c>
      <c r="Q643" t="s">
        <v>50</v>
      </c>
      <c r="R643" t="s">
        <v>51</v>
      </c>
      <c r="S643">
        <v>1947</v>
      </c>
      <c r="T643">
        <v>-777</v>
      </c>
      <c r="U643" s="1">
        <v>17271</v>
      </c>
      <c r="V643" s="2">
        <v>17271</v>
      </c>
      <c r="Y643" t="s">
        <v>2807</v>
      </c>
      <c r="Z643">
        <v>0</v>
      </c>
      <c r="AA643">
        <v>1</v>
      </c>
      <c r="AB643">
        <v>0</v>
      </c>
      <c r="AC643">
        <v>0</v>
      </c>
      <c r="AF643">
        <v>1997</v>
      </c>
      <c r="AG643">
        <v>1998</v>
      </c>
      <c r="AH643">
        <v>1.9151232125539199</v>
      </c>
      <c r="AI643">
        <v>2160</v>
      </c>
      <c r="AJ643">
        <v>1.6117469337500401</v>
      </c>
      <c r="AK643">
        <v>34.549999999999997</v>
      </c>
      <c r="AL643">
        <v>1.82977590512024</v>
      </c>
      <c r="AM643">
        <v>5.6082716503442702</v>
      </c>
      <c r="AN643">
        <v>9</v>
      </c>
      <c r="AO643" t="b">
        <v>0</v>
      </c>
      <c r="AT643">
        <v>545</v>
      </c>
      <c r="AU643">
        <f t="shared" ref="AU643:AU706" si="32">ROUND(AT643/365,3)</f>
        <v>1.4930000000000001</v>
      </c>
    </row>
    <row r="644" spans="1:47" x14ac:dyDescent="0.3">
      <c r="A644">
        <v>642</v>
      </c>
      <c r="B644" t="s">
        <v>2812</v>
      </c>
      <c r="C644" t="s">
        <v>2813</v>
      </c>
      <c r="D644">
        <v>130</v>
      </c>
      <c r="E644" t="s">
        <v>2584</v>
      </c>
      <c r="F644" t="str">
        <f>VLOOKUP(E644,country_continent!A:C,2,FALSE)</f>
        <v>Ecuador</v>
      </c>
      <c r="G644" t="str">
        <f>VLOOKUP(E644,country_continent!A:C,3,FALSE)</f>
        <v>South America</v>
      </c>
      <c r="H644" t="s">
        <v>2814</v>
      </c>
      <c r="I644" s="1">
        <v>36017</v>
      </c>
      <c r="J644" s="3">
        <f t="shared" si="30"/>
        <v>36017</v>
      </c>
      <c r="K644" s="1">
        <v>36546</v>
      </c>
      <c r="L644" s="3">
        <f t="shared" si="31"/>
        <v>36546</v>
      </c>
      <c r="M644" t="s">
        <v>49</v>
      </c>
      <c r="N644" t="s">
        <v>67</v>
      </c>
      <c r="O644" t="s">
        <v>613</v>
      </c>
      <c r="P644">
        <v>0</v>
      </c>
      <c r="Q644" t="s">
        <v>362</v>
      </c>
      <c r="R644" t="s">
        <v>51</v>
      </c>
      <c r="S644">
        <v>1949</v>
      </c>
      <c r="T644">
        <v>-777</v>
      </c>
      <c r="U644" s="1">
        <v>18108</v>
      </c>
      <c r="V644" s="2">
        <v>18108</v>
      </c>
      <c r="Y644" t="s">
        <v>2815</v>
      </c>
      <c r="Z644">
        <v>0</v>
      </c>
      <c r="AA644">
        <v>3</v>
      </c>
      <c r="AB644">
        <v>2</v>
      </c>
      <c r="AC644">
        <v>1</v>
      </c>
      <c r="AF644">
        <v>1998</v>
      </c>
      <c r="AG644">
        <v>2000</v>
      </c>
      <c r="AH644">
        <v>-1.8845024652372699</v>
      </c>
      <c r="AI644">
        <v>1810</v>
      </c>
      <c r="AJ644">
        <v>-13.922040963844999</v>
      </c>
      <c r="AK644">
        <v>31.466666666666601</v>
      </c>
      <c r="AL644">
        <v>1.7751500919223899</v>
      </c>
      <c r="AM644">
        <v>9.6765722883772707</v>
      </c>
      <c r="AN644">
        <v>8</v>
      </c>
      <c r="AO644" t="b">
        <v>0</v>
      </c>
      <c r="AT644">
        <v>529</v>
      </c>
      <c r="AU644">
        <f t="shared" si="32"/>
        <v>1.4490000000000001</v>
      </c>
    </row>
    <row r="645" spans="1:47" x14ac:dyDescent="0.3">
      <c r="A645">
        <v>643</v>
      </c>
      <c r="B645" t="s">
        <v>2816</v>
      </c>
      <c r="C645" t="s">
        <v>2817</v>
      </c>
      <c r="D645">
        <v>130</v>
      </c>
      <c r="E645" t="s">
        <v>2584</v>
      </c>
      <c r="F645" t="str">
        <f>VLOOKUP(E645,country_continent!A:C,2,FALSE)</f>
        <v>Ecuador</v>
      </c>
      <c r="G645" t="str">
        <f>VLOOKUP(E645,country_continent!A:C,3,FALSE)</f>
        <v>South America</v>
      </c>
      <c r="H645" t="s">
        <v>2818</v>
      </c>
      <c r="I645" s="1">
        <v>36547</v>
      </c>
      <c r="J645" s="3">
        <f t="shared" si="30"/>
        <v>36547</v>
      </c>
      <c r="K645" s="1">
        <v>37636</v>
      </c>
      <c r="L645" s="3">
        <f t="shared" si="31"/>
        <v>37636</v>
      </c>
      <c r="M645" t="s">
        <v>67</v>
      </c>
      <c r="N645" t="s">
        <v>49</v>
      </c>
      <c r="O645" t="s">
        <v>49</v>
      </c>
      <c r="P645">
        <v>0</v>
      </c>
      <c r="Q645" t="s">
        <v>362</v>
      </c>
      <c r="R645" t="s">
        <v>51</v>
      </c>
      <c r="S645">
        <v>1937</v>
      </c>
      <c r="T645">
        <v>-777</v>
      </c>
      <c r="Z645">
        <v>1</v>
      </c>
      <c r="AA645">
        <v>1</v>
      </c>
      <c r="AB645">
        <v>0</v>
      </c>
      <c r="AC645">
        <v>1</v>
      </c>
      <c r="AF645">
        <v>2000</v>
      </c>
      <c r="AG645">
        <v>2003</v>
      </c>
      <c r="AH645">
        <v>1.4911882788698601</v>
      </c>
      <c r="AI645">
        <v>1662.5</v>
      </c>
      <c r="AJ645">
        <v>9.4121520302211703</v>
      </c>
      <c r="AK645">
        <v>27.55</v>
      </c>
      <c r="AL645">
        <v>1.74490853166128</v>
      </c>
      <c r="AM645">
        <v>10.8170072877307</v>
      </c>
      <c r="AN645">
        <v>6</v>
      </c>
      <c r="AO645" t="b">
        <v>0</v>
      </c>
      <c r="AT645">
        <v>1089</v>
      </c>
      <c r="AU645">
        <f t="shared" si="32"/>
        <v>2.984</v>
      </c>
    </row>
    <row r="646" spans="1:47" x14ac:dyDescent="0.3">
      <c r="A646">
        <v>644</v>
      </c>
      <c r="B646" t="s">
        <v>2819</v>
      </c>
      <c r="C646" t="s">
        <v>2820</v>
      </c>
      <c r="D646">
        <v>130</v>
      </c>
      <c r="E646" t="s">
        <v>2584</v>
      </c>
      <c r="F646" t="str">
        <f>VLOOKUP(E646,country_continent!A:C,2,FALSE)</f>
        <v>Ecuador</v>
      </c>
      <c r="G646" t="str">
        <f>VLOOKUP(E646,country_continent!A:C,3,FALSE)</f>
        <v>South America</v>
      </c>
      <c r="H646" t="s">
        <v>2821</v>
      </c>
      <c r="I646" s="1">
        <v>37636</v>
      </c>
      <c r="J646" s="3">
        <f t="shared" si="30"/>
        <v>37636</v>
      </c>
      <c r="K646" s="1">
        <v>38462</v>
      </c>
      <c r="L646" s="3">
        <f t="shared" si="31"/>
        <v>38462</v>
      </c>
      <c r="M646" t="s">
        <v>49</v>
      </c>
      <c r="N646" t="s">
        <v>49</v>
      </c>
      <c r="O646" t="s">
        <v>49</v>
      </c>
      <c r="P646">
        <v>0</v>
      </c>
      <c r="Q646" t="s">
        <v>463</v>
      </c>
      <c r="R646" t="s">
        <v>51</v>
      </c>
      <c r="S646">
        <v>1957</v>
      </c>
      <c r="T646">
        <v>-777</v>
      </c>
      <c r="Z646">
        <v>0</v>
      </c>
      <c r="AA646">
        <v>1</v>
      </c>
      <c r="AB646">
        <v>0</v>
      </c>
      <c r="AC646">
        <v>2</v>
      </c>
      <c r="AF646">
        <v>2003</v>
      </c>
      <c r="AG646">
        <v>2005</v>
      </c>
      <c r="AH646">
        <v>3.2176920548837802</v>
      </c>
      <c r="AI646">
        <v>2390</v>
      </c>
      <c r="AJ646">
        <v>8.7402970268364406</v>
      </c>
      <c r="AK646">
        <v>24.6666666666666</v>
      </c>
      <c r="AL646">
        <v>1.7487811464674301</v>
      </c>
      <c r="AM646">
        <v>12.720860809630601</v>
      </c>
      <c r="AN646">
        <v>6</v>
      </c>
      <c r="AO646" t="b">
        <v>0</v>
      </c>
      <c r="AT646">
        <v>826</v>
      </c>
      <c r="AU646">
        <f t="shared" si="32"/>
        <v>2.2629999999999999</v>
      </c>
    </row>
    <row r="647" spans="1:47" x14ac:dyDescent="0.3">
      <c r="A647">
        <v>645</v>
      </c>
      <c r="B647" t="s">
        <v>2822</v>
      </c>
      <c r="C647" t="s">
        <v>2823</v>
      </c>
      <c r="D647">
        <v>130</v>
      </c>
      <c r="E647" t="s">
        <v>2584</v>
      </c>
      <c r="F647" t="str">
        <f>VLOOKUP(E647,country_continent!A:C,2,FALSE)</f>
        <v>Ecuador</v>
      </c>
      <c r="G647" t="str">
        <f>VLOOKUP(E647,country_continent!A:C,3,FALSE)</f>
        <v>South America</v>
      </c>
      <c r="H647" t="s">
        <v>2824</v>
      </c>
      <c r="I647" s="1">
        <v>38462</v>
      </c>
      <c r="J647" s="3">
        <f t="shared" si="30"/>
        <v>38462</v>
      </c>
      <c r="K647" s="1">
        <v>39097</v>
      </c>
      <c r="L647" s="3">
        <f t="shared" si="31"/>
        <v>39097</v>
      </c>
      <c r="M647" t="s">
        <v>49</v>
      </c>
      <c r="N647" t="s">
        <v>49</v>
      </c>
      <c r="O647" t="s">
        <v>49</v>
      </c>
      <c r="P647">
        <v>0</v>
      </c>
      <c r="Q647" t="s">
        <v>50</v>
      </c>
      <c r="R647" t="s">
        <v>51</v>
      </c>
      <c r="S647">
        <v>1939</v>
      </c>
      <c r="T647">
        <v>-777</v>
      </c>
      <c r="Z647">
        <v>0</v>
      </c>
      <c r="AA647">
        <v>1</v>
      </c>
      <c r="AB647">
        <v>0</v>
      </c>
      <c r="AC647">
        <v>0</v>
      </c>
      <c r="AF647">
        <v>2005</v>
      </c>
      <c r="AG647">
        <v>2007</v>
      </c>
      <c r="AH647">
        <v>2.1104859946140699</v>
      </c>
      <c r="AI647">
        <v>2986.6666666666601</v>
      </c>
      <c r="AJ647">
        <v>8.1209996050287891</v>
      </c>
      <c r="AK647">
        <v>22.8</v>
      </c>
      <c r="AL647">
        <v>1.71867486760212</v>
      </c>
      <c r="AM647">
        <v>17.379813870122401</v>
      </c>
      <c r="AN647">
        <v>6</v>
      </c>
      <c r="AO647" t="b">
        <v>0</v>
      </c>
      <c r="AT647">
        <v>635</v>
      </c>
      <c r="AU647">
        <f t="shared" si="32"/>
        <v>1.74</v>
      </c>
    </row>
    <row r="648" spans="1:47" x14ac:dyDescent="0.3">
      <c r="A648">
        <v>646</v>
      </c>
      <c r="B648" t="s">
        <v>2825</v>
      </c>
      <c r="C648" t="s">
        <v>2826</v>
      </c>
      <c r="D648">
        <v>130</v>
      </c>
      <c r="E648" t="s">
        <v>2584</v>
      </c>
      <c r="F648" t="str">
        <f>VLOOKUP(E648,country_continent!A:C,2,FALSE)</f>
        <v>Ecuador</v>
      </c>
      <c r="G648" t="str">
        <f>VLOOKUP(E648,country_continent!A:C,3,FALSE)</f>
        <v>South America</v>
      </c>
      <c r="H648" t="s">
        <v>2827</v>
      </c>
      <c r="I648" s="1">
        <v>39097</v>
      </c>
      <c r="J648" s="3">
        <f t="shared" si="30"/>
        <v>39097</v>
      </c>
      <c r="K648" s="1">
        <v>42369</v>
      </c>
      <c r="L648" s="3">
        <f t="shared" si="31"/>
        <v>42369</v>
      </c>
      <c r="M648" t="s">
        <v>49</v>
      </c>
      <c r="N648" t="s">
        <v>173</v>
      </c>
      <c r="O648" t="s">
        <v>173</v>
      </c>
      <c r="P648">
        <v>0</v>
      </c>
      <c r="Q648" t="s">
        <v>174</v>
      </c>
      <c r="R648" t="s">
        <v>51</v>
      </c>
      <c r="S648">
        <v>1963</v>
      </c>
      <c r="T648">
        <v>-777</v>
      </c>
      <c r="U648" s="1">
        <v>23107</v>
      </c>
      <c r="V648" s="2">
        <v>23107</v>
      </c>
      <c r="Z648">
        <v>0</v>
      </c>
      <c r="AA648">
        <v>-888</v>
      </c>
      <c r="AB648">
        <v>-888</v>
      </c>
      <c r="AC648">
        <v>-888</v>
      </c>
      <c r="AF648">
        <v>2007</v>
      </c>
      <c r="AG648">
        <v>2015</v>
      </c>
      <c r="AH648">
        <v>2.7230060984017599</v>
      </c>
      <c r="AI648">
        <v>4818.8888888888796</v>
      </c>
      <c r="AJ648">
        <v>4.3874524932049699</v>
      </c>
      <c r="AK648">
        <v>18.399999999999999</v>
      </c>
      <c r="AL648">
        <v>1.5988908432095801</v>
      </c>
      <c r="AM648">
        <v>13.013831146798999</v>
      </c>
      <c r="AN648">
        <v>5</v>
      </c>
      <c r="AO648" t="b">
        <v>0</v>
      </c>
      <c r="AT648">
        <v>3272</v>
      </c>
      <c r="AU648">
        <f t="shared" si="32"/>
        <v>8.9640000000000004</v>
      </c>
    </row>
    <row r="649" spans="1:47" x14ac:dyDescent="0.3">
      <c r="A649">
        <v>647</v>
      </c>
      <c r="B649" t="s">
        <v>2828</v>
      </c>
      <c r="C649" t="s">
        <v>2829</v>
      </c>
      <c r="D649">
        <v>135</v>
      </c>
      <c r="E649" t="s">
        <v>2830</v>
      </c>
      <c r="F649" t="str">
        <f>VLOOKUP(E649,country_continent!A:C,2,FALSE)</f>
        <v>Peru</v>
      </c>
      <c r="G649" t="str">
        <f>VLOOKUP(E649,country_continent!A:C,3,FALSE)</f>
        <v>South America</v>
      </c>
      <c r="H649" t="s">
        <v>2831</v>
      </c>
      <c r="I649" t="s">
        <v>2832</v>
      </c>
      <c r="J649" s="3" t="str">
        <f t="shared" si="30"/>
        <v>1872/08/02</v>
      </c>
      <c r="K649" t="s">
        <v>2833</v>
      </c>
      <c r="L649" s="3" t="str">
        <f t="shared" si="31"/>
        <v>1876/08/02</v>
      </c>
      <c r="M649" t="s">
        <v>49</v>
      </c>
      <c r="N649" t="s">
        <v>49</v>
      </c>
      <c r="O649" t="s">
        <v>49</v>
      </c>
      <c r="P649">
        <v>0</v>
      </c>
      <c r="Q649" t="s">
        <v>362</v>
      </c>
      <c r="R649" t="s">
        <v>51</v>
      </c>
      <c r="S649">
        <v>1834</v>
      </c>
      <c r="T649">
        <v>1878</v>
      </c>
      <c r="Y649" t="s">
        <v>2834</v>
      </c>
      <c r="Z649">
        <v>0</v>
      </c>
      <c r="AA649">
        <v>1</v>
      </c>
      <c r="AB649">
        <v>0</v>
      </c>
      <c r="AC649">
        <v>1</v>
      </c>
      <c r="AD649" t="s">
        <v>2835</v>
      </c>
      <c r="AE649">
        <v>0</v>
      </c>
      <c r="AF649">
        <v>1872</v>
      </c>
      <c r="AG649">
        <v>1876</v>
      </c>
      <c r="AO649" t="b">
        <v>0</v>
      </c>
      <c r="AT649">
        <v>1461</v>
      </c>
      <c r="AU649">
        <f t="shared" si="32"/>
        <v>4.0030000000000001</v>
      </c>
    </row>
    <row r="650" spans="1:47" x14ac:dyDescent="0.3">
      <c r="A650">
        <v>648</v>
      </c>
      <c r="B650" t="s">
        <v>2836</v>
      </c>
      <c r="C650" t="s">
        <v>2837</v>
      </c>
      <c r="D650">
        <v>135</v>
      </c>
      <c r="E650" t="s">
        <v>2830</v>
      </c>
      <c r="F650" t="str">
        <f>VLOOKUP(E650,country_continent!A:C,2,FALSE)</f>
        <v>Peru</v>
      </c>
      <c r="G650" t="str">
        <f>VLOOKUP(E650,country_continent!A:C,3,FALSE)</f>
        <v>South America</v>
      </c>
      <c r="H650" t="s">
        <v>2838</v>
      </c>
      <c r="I650" t="s">
        <v>2833</v>
      </c>
      <c r="J650" s="3" t="str">
        <f t="shared" si="30"/>
        <v>1876/08/02</v>
      </c>
      <c r="K650" t="s">
        <v>2839</v>
      </c>
      <c r="L650" s="3" t="str">
        <f t="shared" si="31"/>
        <v>1879/12/17</v>
      </c>
      <c r="M650" t="s">
        <v>49</v>
      </c>
      <c r="N650" t="s">
        <v>49</v>
      </c>
      <c r="O650" t="s">
        <v>49</v>
      </c>
      <c r="P650">
        <v>0</v>
      </c>
      <c r="Q650" t="s">
        <v>362</v>
      </c>
      <c r="R650" t="s">
        <v>51</v>
      </c>
      <c r="S650">
        <v>1826</v>
      </c>
      <c r="T650">
        <v>1901</v>
      </c>
      <c r="Z650">
        <v>0</v>
      </c>
      <c r="AA650">
        <v>1</v>
      </c>
      <c r="AB650">
        <v>0</v>
      </c>
      <c r="AC650">
        <v>1</v>
      </c>
      <c r="AD650" t="s">
        <v>2840</v>
      </c>
      <c r="AE650">
        <v>0</v>
      </c>
      <c r="AF650">
        <v>1876</v>
      </c>
      <c r="AG650">
        <v>1879</v>
      </c>
      <c r="AO650" t="b">
        <v>0</v>
      </c>
      <c r="AT650">
        <v>1232</v>
      </c>
      <c r="AU650">
        <f t="shared" si="32"/>
        <v>3.375</v>
      </c>
    </row>
    <row r="651" spans="1:47" x14ac:dyDescent="0.3">
      <c r="A651">
        <v>649</v>
      </c>
      <c r="B651" t="s">
        <v>2841</v>
      </c>
      <c r="C651" t="s">
        <v>2842</v>
      </c>
      <c r="D651">
        <v>135</v>
      </c>
      <c r="E651" t="s">
        <v>2830</v>
      </c>
      <c r="F651" t="str">
        <f>VLOOKUP(E651,country_continent!A:C,2,FALSE)</f>
        <v>Peru</v>
      </c>
      <c r="G651" t="str">
        <f>VLOOKUP(E651,country_continent!A:C,3,FALSE)</f>
        <v>South America</v>
      </c>
      <c r="H651" t="s">
        <v>2843</v>
      </c>
      <c r="I651" t="s">
        <v>2839</v>
      </c>
      <c r="J651" s="3" t="str">
        <f t="shared" si="30"/>
        <v>1879/12/17</v>
      </c>
      <c r="K651" t="s">
        <v>2844</v>
      </c>
      <c r="L651" s="3" t="str">
        <f t="shared" si="31"/>
        <v>1879/12/22</v>
      </c>
      <c r="M651" t="s">
        <v>49</v>
      </c>
      <c r="N651" t="s">
        <v>67</v>
      </c>
      <c r="O651" t="s">
        <v>347</v>
      </c>
      <c r="P651">
        <v>0</v>
      </c>
      <c r="Q651" t="s">
        <v>1453</v>
      </c>
      <c r="R651" t="s">
        <v>51</v>
      </c>
      <c r="S651">
        <v>1811</v>
      </c>
      <c r="T651">
        <v>1896</v>
      </c>
      <c r="U651" t="s">
        <v>2845</v>
      </c>
      <c r="V651" t="s">
        <v>2846</v>
      </c>
      <c r="W651" t="s">
        <v>2847</v>
      </c>
      <c r="X651" t="s">
        <v>2848</v>
      </c>
      <c r="Z651">
        <v>0</v>
      </c>
      <c r="AA651">
        <v>3</v>
      </c>
      <c r="AB651">
        <v>-999</v>
      </c>
      <c r="AC651">
        <v>-666</v>
      </c>
      <c r="AF651">
        <v>1879</v>
      </c>
      <c r="AG651">
        <v>1879</v>
      </c>
      <c r="AO651" t="b">
        <v>0</v>
      </c>
      <c r="AT651">
        <v>5</v>
      </c>
      <c r="AU651">
        <f t="shared" si="32"/>
        <v>1.4E-2</v>
      </c>
    </row>
    <row r="652" spans="1:47" x14ac:dyDescent="0.3">
      <c r="A652">
        <v>650</v>
      </c>
      <c r="B652" t="s">
        <v>2849</v>
      </c>
      <c r="C652" t="s">
        <v>2850</v>
      </c>
      <c r="D652">
        <v>135</v>
      </c>
      <c r="E652" t="s">
        <v>2830</v>
      </c>
      <c r="F652" t="str">
        <f>VLOOKUP(E652,country_continent!A:C,2,FALSE)</f>
        <v>Peru</v>
      </c>
      <c r="G652" t="str">
        <f>VLOOKUP(E652,country_continent!A:C,3,FALSE)</f>
        <v>South America</v>
      </c>
      <c r="H652" t="s">
        <v>2851</v>
      </c>
      <c r="I652" t="s">
        <v>2844</v>
      </c>
      <c r="J652" s="3" t="str">
        <f t="shared" si="30"/>
        <v>1879/12/22</v>
      </c>
      <c r="K652" t="s">
        <v>2852</v>
      </c>
      <c r="L652" s="3" t="str">
        <f t="shared" si="31"/>
        <v>1881/01/16</v>
      </c>
      <c r="M652" t="s">
        <v>67</v>
      </c>
      <c r="N652" t="s">
        <v>633</v>
      </c>
      <c r="O652" t="s">
        <v>347</v>
      </c>
      <c r="P652">
        <v>0</v>
      </c>
      <c r="Q652" t="s">
        <v>362</v>
      </c>
      <c r="R652" t="s">
        <v>51</v>
      </c>
      <c r="S652">
        <v>1839</v>
      </c>
      <c r="T652">
        <v>1913</v>
      </c>
      <c r="Y652" t="s">
        <v>2853</v>
      </c>
      <c r="Z652">
        <v>1</v>
      </c>
      <c r="AA652">
        <v>4</v>
      </c>
      <c r="AB652">
        <v>-999</v>
      </c>
      <c r="AC652">
        <v>1</v>
      </c>
      <c r="AF652">
        <v>1879</v>
      </c>
      <c r="AG652">
        <v>1881</v>
      </c>
      <c r="AO652" t="b">
        <v>0</v>
      </c>
      <c r="AT652">
        <v>391</v>
      </c>
      <c r="AU652">
        <f t="shared" si="32"/>
        <v>1.071</v>
      </c>
    </row>
    <row r="653" spans="1:47" x14ac:dyDescent="0.3">
      <c r="A653">
        <v>651</v>
      </c>
      <c r="B653" t="s">
        <v>2854</v>
      </c>
      <c r="C653" t="s">
        <v>2855</v>
      </c>
      <c r="D653">
        <v>135</v>
      </c>
      <c r="E653" t="s">
        <v>2830</v>
      </c>
      <c r="F653" t="str">
        <f>VLOOKUP(E653,country_continent!A:C,2,FALSE)</f>
        <v>Peru</v>
      </c>
      <c r="G653" t="str">
        <f>VLOOKUP(E653,country_continent!A:C,3,FALSE)</f>
        <v>South America</v>
      </c>
      <c r="H653" t="s">
        <v>2856</v>
      </c>
      <c r="I653" t="s">
        <v>2857</v>
      </c>
      <c r="J653" s="3" t="str">
        <f t="shared" si="30"/>
        <v>1881/02/22</v>
      </c>
      <c r="K653" t="s">
        <v>2858</v>
      </c>
      <c r="L653" s="3" t="str">
        <f t="shared" si="31"/>
        <v>1881/09/28</v>
      </c>
      <c r="M653" t="s">
        <v>637</v>
      </c>
      <c r="N653" t="s">
        <v>633</v>
      </c>
      <c r="O653" t="s">
        <v>347</v>
      </c>
      <c r="P653">
        <v>0</v>
      </c>
      <c r="Q653" t="s">
        <v>463</v>
      </c>
      <c r="R653" t="s">
        <v>51</v>
      </c>
      <c r="S653">
        <v>1834</v>
      </c>
      <c r="T653">
        <v>1905</v>
      </c>
      <c r="Y653" t="s">
        <v>2859</v>
      </c>
      <c r="Z653">
        <v>2</v>
      </c>
      <c r="AA653">
        <v>4</v>
      </c>
      <c r="AB653">
        <v>-999</v>
      </c>
      <c r="AC653">
        <v>2</v>
      </c>
      <c r="AF653">
        <v>1881</v>
      </c>
      <c r="AG653">
        <v>1881</v>
      </c>
      <c r="AO653" t="b">
        <v>0</v>
      </c>
      <c r="AT653">
        <v>218</v>
      </c>
      <c r="AU653">
        <f t="shared" si="32"/>
        <v>0.59699999999999998</v>
      </c>
    </row>
    <row r="654" spans="1:47" x14ac:dyDescent="0.3">
      <c r="A654">
        <v>652</v>
      </c>
      <c r="B654" t="s">
        <v>2860</v>
      </c>
      <c r="C654" t="s">
        <v>2861</v>
      </c>
      <c r="D654">
        <v>135</v>
      </c>
      <c r="E654" t="s">
        <v>2830</v>
      </c>
      <c r="F654" t="str">
        <f>VLOOKUP(E654,country_continent!A:C,2,FALSE)</f>
        <v>Peru</v>
      </c>
      <c r="G654" t="str">
        <f>VLOOKUP(E654,country_continent!A:C,3,FALSE)</f>
        <v>South America</v>
      </c>
      <c r="H654" t="s">
        <v>2862</v>
      </c>
      <c r="I654" t="s">
        <v>2858</v>
      </c>
      <c r="J654" s="3" t="str">
        <f t="shared" si="30"/>
        <v>1881/09/28</v>
      </c>
      <c r="K654" t="s">
        <v>2863</v>
      </c>
      <c r="L654" s="3" t="str">
        <f t="shared" si="31"/>
        <v>1882/12/30</v>
      </c>
      <c r="M654" t="s">
        <v>67</v>
      </c>
      <c r="N654" t="s">
        <v>633</v>
      </c>
      <c r="O654" t="s">
        <v>347</v>
      </c>
      <c r="P654">
        <v>0</v>
      </c>
      <c r="Q654" t="s">
        <v>362</v>
      </c>
      <c r="R654" t="s">
        <v>51</v>
      </c>
      <c r="S654">
        <v>1832</v>
      </c>
      <c r="T654">
        <v>1905</v>
      </c>
      <c r="Z654">
        <v>1</v>
      </c>
      <c r="AA654">
        <v>4</v>
      </c>
      <c r="AB654">
        <v>-999</v>
      </c>
      <c r="AC654">
        <v>1</v>
      </c>
      <c r="AF654">
        <v>1881</v>
      </c>
      <c r="AG654">
        <v>1882</v>
      </c>
      <c r="AO654" t="b">
        <v>0</v>
      </c>
      <c r="AT654">
        <v>458</v>
      </c>
      <c r="AU654">
        <f t="shared" si="32"/>
        <v>1.2549999999999999</v>
      </c>
    </row>
    <row r="655" spans="1:47" x14ac:dyDescent="0.3">
      <c r="A655">
        <v>653</v>
      </c>
      <c r="B655" t="s">
        <v>2864</v>
      </c>
      <c r="C655" t="s">
        <v>2865</v>
      </c>
      <c r="D655">
        <v>135</v>
      </c>
      <c r="E655" t="s">
        <v>2830</v>
      </c>
      <c r="F655" t="str">
        <f>VLOOKUP(E655,country_continent!A:C,2,FALSE)</f>
        <v>Peru</v>
      </c>
      <c r="G655" t="str">
        <f>VLOOKUP(E655,country_continent!A:C,3,FALSE)</f>
        <v>South America</v>
      </c>
      <c r="H655" t="s">
        <v>2866</v>
      </c>
      <c r="I655" t="s">
        <v>2863</v>
      </c>
      <c r="J655" s="3" t="str">
        <f t="shared" si="30"/>
        <v>1882/12/30</v>
      </c>
      <c r="K655" t="s">
        <v>2867</v>
      </c>
      <c r="L655" s="3" t="str">
        <f t="shared" si="31"/>
        <v>1885/11/30</v>
      </c>
      <c r="M655" t="s">
        <v>637</v>
      </c>
      <c r="N655" t="s">
        <v>67</v>
      </c>
      <c r="O655" t="s">
        <v>347</v>
      </c>
      <c r="P655">
        <v>0</v>
      </c>
      <c r="Q655" t="s">
        <v>50</v>
      </c>
      <c r="R655" t="s">
        <v>51</v>
      </c>
      <c r="S655">
        <v>1830</v>
      </c>
      <c r="T655">
        <v>1909</v>
      </c>
      <c r="Z655">
        <v>2</v>
      </c>
      <c r="AA655">
        <v>3</v>
      </c>
      <c r="AB655">
        <v>-999</v>
      </c>
      <c r="AC655">
        <v>0</v>
      </c>
      <c r="AF655">
        <v>1882</v>
      </c>
      <c r="AG655">
        <v>1885</v>
      </c>
      <c r="AO655" t="b">
        <v>0</v>
      </c>
      <c r="AT655">
        <v>1066</v>
      </c>
      <c r="AU655">
        <f t="shared" si="32"/>
        <v>2.9209999999999998</v>
      </c>
    </row>
    <row r="656" spans="1:47" x14ac:dyDescent="0.3">
      <c r="A656">
        <v>654</v>
      </c>
      <c r="B656" t="s">
        <v>2868</v>
      </c>
      <c r="C656" t="s">
        <v>2869</v>
      </c>
      <c r="D656">
        <v>135</v>
      </c>
      <c r="E656" t="s">
        <v>2830</v>
      </c>
      <c r="F656" t="str">
        <f>VLOOKUP(E656,country_continent!A:C,2,FALSE)</f>
        <v>Peru</v>
      </c>
      <c r="G656" t="str">
        <f>VLOOKUP(E656,country_continent!A:C,3,FALSE)</f>
        <v>South America</v>
      </c>
      <c r="H656" t="s">
        <v>772</v>
      </c>
      <c r="I656" t="s">
        <v>2867</v>
      </c>
      <c r="J656" s="3" t="str">
        <f t="shared" si="30"/>
        <v>1885/11/30</v>
      </c>
      <c r="K656" t="s">
        <v>2870</v>
      </c>
      <c r="L656" s="3" t="str">
        <f t="shared" si="31"/>
        <v>1890/08/10</v>
      </c>
      <c r="M656" t="s">
        <v>67</v>
      </c>
      <c r="N656" t="s">
        <v>49</v>
      </c>
      <c r="O656" t="s">
        <v>49</v>
      </c>
      <c r="P656">
        <v>0</v>
      </c>
      <c r="Q656" t="s">
        <v>50</v>
      </c>
      <c r="R656" t="s">
        <v>51</v>
      </c>
      <c r="S656">
        <v>1833</v>
      </c>
      <c r="T656">
        <v>1923</v>
      </c>
      <c r="Y656" t="s">
        <v>2872</v>
      </c>
      <c r="Z656">
        <v>1</v>
      </c>
      <c r="AA656">
        <v>1</v>
      </c>
      <c r="AB656">
        <v>0</v>
      </c>
      <c r="AC656">
        <v>0</v>
      </c>
      <c r="AF656">
        <v>1885</v>
      </c>
      <c r="AG656">
        <v>1890</v>
      </c>
      <c r="AO656" t="b">
        <v>0</v>
      </c>
      <c r="AT656">
        <v>1714</v>
      </c>
      <c r="AU656">
        <f t="shared" si="32"/>
        <v>4.6959999999999997</v>
      </c>
    </row>
    <row r="657" spans="1:47" x14ac:dyDescent="0.3">
      <c r="A657">
        <v>655</v>
      </c>
      <c r="B657" t="s">
        <v>2873</v>
      </c>
      <c r="C657" t="s">
        <v>2874</v>
      </c>
      <c r="D657">
        <v>135</v>
      </c>
      <c r="E657" t="s">
        <v>2830</v>
      </c>
      <c r="F657" t="str">
        <f>VLOOKUP(E657,country_continent!A:C,2,FALSE)</f>
        <v>Peru</v>
      </c>
      <c r="G657" t="str">
        <f>VLOOKUP(E657,country_continent!A:C,3,FALSE)</f>
        <v>South America</v>
      </c>
      <c r="H657" t="s">
        <v>2875</v>
      </c>
      <c r="I657" t="s">
        <v>2870</v>
      </c>
      <c r="J657" s="3" t="str">
        <f t="shared" si="30"/>
        <v>1890/08/10</v>
      </c>
      <c r="K657" t="s">
        <v>2876</v>
      </c>
      <c r="L657" s="3" t="str">
        <f t="shared" si="31"/>
        <v>1894/04/01</v>
      </c>
      <c r="M657" t="s">
        <v>49</v>
      </c>
      <c r="N657" t="s">
        <v>110</v>
      </c>
      <c r="O657" t="s">
        <v>49</v>
      </c>
      <c r="P657">
        <v>0</v>
      </c>
      <c r="Q657" t="s">
        <v>111</v>
      </c>
      <c r="R657" t="s">
        <v>51</v>
      </c>
      <c r="S657">
        <v>1836</v>
      </c>
      <c r="T657">
        <v>1894</v>
      </c>
      <c r="Y657" t="s">
        <v>2877</v>
      </c>
      <c r="Z657">
        <v>0</v>
      </c>
      <c r="AA657">
        <v>2</v>
      </c>
      <c r="AB657">
        <v>0</v>
      </c>
      <c r="AC657">
        <v>-777</v>
      </c>
      <c r="AD657" t="s">
        <v>2878</v>
      </c>
      <c r="AE657">
        <v>0</v>
      </c>
      <c r="AF657">
        <v>1890</v>
      </c>
      <c r="AG657">
        <v>1894</v>
      </c>
      <c r="AO657" t="b">
        <v>0</v>
      </c>
      <c r="AT657">
        <v>1330</v>
      </c>
      <c r="AU657">
        <f t="shared" si="32"/>
        <v>3.6440000000000001</v>
      </c>
    </row>
    <row r="658" spans="1:47" x14ac:dyDescent="0.3">
      <c r="A658">
        <v>656</v>
      </c>
      <c r="B658" t="s">
        <v>2879</v>
      </c>
      <c r="C658" t="s">
        <v>2880</v>
      </c>
      <c r="D658">
        <v>135</v>
      </c>
      <c r="E658" t="s">
        <v>2830</v>
      </c>
      <c r="F658" t="str">
        <f>VLOOKUP(E658,country_continent!A:C,2,FALSE)</f>
        <v>Peru</v>
      </c>
      <c r="G658" t="str">
        <f>VLOOKUP(E658,country_continent!A:C,3,FALSE)</f>
        <v>South America</v>
      </c>
      <c r="H658" t="s">
        <v>2881</v>
      </c>
      <c r="I658" t="s">
        <v>2876</v>
      </c>
      <c r="J658" s="3" t="str">
        <f t="shared" si="30"/>
        <v>1894/04/01</v>
      </c>
      <c r="K658" t="s">
        <v>2882</v>
      </c>
      <c r="L658" s="3" t="str">
        <f t="shared" si="31"/>
        <v>1894/08/10</v>
      </c>
      <c r="M658" t="s">
        <v>67</v>
      </c>
      <c r="N658" t="s">
        <v>49</v>
      </c>
      <c r="O658" t="s">
        <v>49</v>
      </c>
      <c r="P658">
        <v>0</v>
      </c>
      <c r="Q658" t="s">
        <v>50</v>
      </c>
      <c r="R658" t="s">
        <v>51</v>
      </c>
      <c r="S658">
        <v>1836</v>
      </c>
      <c r="T658">
        <v>1921</v>
      </c>
      <c r="Z658">
        <v>1</v>
      </c>
      <c r="AA658">
        <v>1</v>
      </c>
      <c r="AB658">
        <v>0</v>
      </c>
      <c r="AC658">
        <v>0</v>
      </c>
      <c r="AF658">
        <v>1894</v>
      </c>
      <c r="AG658">
        <v>1894</v>
      </c>
      <c r="AO658" t="b">
        <v>0</v>
      </c>
      <c r="AT658">
        <v>131</v>
      </c>
      <c r="AU658">
        <f t="shared" si="32"/>
        <v>0.35899999999999999</v>
      </c>
    </row>
    <row r="659" spans="1:47" x14ac:dyDescent="0.3">
      <c r="A659">
        <v>657</v>
      </c>
      <c r="B659" t="s">
        <v>2883</v>
      </c>
      <c r="C659" t="s">
        <v>2869</v>
      </c>
      <c r="D659">
        <v>135</v>
      </c>
      <c r="E659" t="s">
        <v>2830</v>
      </c>
      <c r="F659" t="str">
        <f>VLOOKUP(E659,country_continent!A:C,2,FALSE)</f>
        <v>Peru</v>
      </c>
      <c r="G659" t="str">
        <f>VLOOKUP(E659,country_continent!A:C,3,FALSE)</f>
        <v>South America</v>
      </c>
      <c r="H659" t="s">
        <v>772</v>
      </c>
      <c r="I659" t="s">
        <v>2882</v>
      </c>
      <c r="J659" s="3" t="str">
        <f t="shared" si="30"/>
        <v>1894/08/10</v>
      </c>
      <c r="K659" t="s">
        <v>2884</v>
      </c>
      <c r="L659" s="3" t="str">
        <f t="shared" si="31"/>
        <v>1895/03/19</v>
      </c>
      <c r="M659" t="s">
        <v>49</v>
      </c>
      <c r="N659" t="s">
        <v>67</v>
      </c>
      <c r="O659" t="s">
        <v>347</v>
      </c>
      <c r="P659">
        <v>1</v>
      </c>
      <c r="Q659" t="s">
        <v>362</v>
      </c>
      <c r="R659" t="s">
        <v>51</v>
      </c>
      <c r="S659">
        <v>1833</v>
      </c>
      <c r="T659">
        <v>1923</v>
      </c>
      <c r="Y659" t="s">
        <v>2872</v>
      </c>
      <c r="Z659">
        <v>0</v>
      </c>
      <c r="AA659">
        <v>3</v>
      </c>
      <c r="AB659">
        <v>-999</v>
      </c>
      <c r="AC659">
        <v>1</v>
      </c>
      <c r="AF659">
        <v>1894</v>
      </c>
      <c r="AG659">
        <v>1895</v>
      </c>
      <c r="AO659" t="b">
        <v>0</v>
      </c>
      <c r="AT659">
        <v>221</v>
      </c>
      <c r="AU659">
        <f t="shared" si="32"/>
        <v>0.60499999999999998</v>
      </c>
    </row>
    <row r="660" spans="1:47" x14ac:dyDescent="0.3">
      <c r="A660">
        <v>658</v>
      </c>
      <c r="B660" t="s">
        <v>2885</v>
      </c>
      <c r="C660" t="s">
        <v>2886</v>
      </c>
      <c r="D660">
        <v>135</v>
      </c>
      <c r="E660" t="s">
        <v>2830</v>
      </c>
      <c r="F660" t="str">
        <f>VLOOKUP(E660,country_continent!A:C,2,FALSE)</f>
        <v>Peru</v>
      </c>
      <c r="G660" t="str">
        <f>VLOOKUP(E660,country_continent!A:C,3,FALSE)</f>
        <v>South America</v>
      </c>
      <c r="H660" t="s">
        <v>2887</v>
      </c>
      <c r="I660" t="s">
        <v>2888</v>
      </c>
      <c r="J660" s="3" t="str">
        <f t="shared" si="30"/>
        <v>1895/03/21</v>
      </c>
      <c r="K660" t="s">
        <v>2889</v>
      </c>
      <c r="L660" s="3" t="str">
        <f t="shared" si="31"/>
        <v>1895/09/08</v>
      </c>
      <c r="M660" t="s">
        <v>49</v>
      </c>
      <c r="N660" t="s">
        <v>67</v>
      </c>
      <c r="O660" t="s">
        <v>347</v>
      </c>
      <c r="P660">
        <v>0</v>
      </c>
      <c r="Q660" t="s">
        <v>50</v>
      </c>
      <c r="R660" t="s">
        <v>51</v>
      </c>
      <c r="S660">
        <v>1841</v>
      </c>
      <c r="T660">
        <v>1904</v>
      </c>
      <c r="Z660">
        <v>0</v>
      </c>
      <c r="AA660">
        <v>3</v>
      </c>
      <c r="AB660">
        <v>-999</v>
      </c>
      <c r="AC660">
        <v>0</v>
      </c>
      <c r="AF660">
        <v>1895</v>
      </c>
      <c r="AG660">
        <v>1895</v>
      </c>
      <c r="AO660" t="b">
        <v>0</v>
      </c>
      <c r="AT660">
        <v>171</v>
      </c>
      <c r="AU660">
        <f t="shared" si="32"/>
        <v>0.46800000000000003</v>
      </c>
    </row>
    <row r="661" spans="1:47" x14ac:dyDescent="0.3">
      <c r="A661">
        <v>659</v>
      </c>
      <c r="B661" t="s">
        <v>2890</v>
      </c>
      <c r="C661" t="s">
        <v>2850</v>
      </c>
      <c r="D661">
        <v>135</v>
      </c>
      <c r="E661" t="s">
        <v>2830</v>
      </c>
      <c r="F661" t="str">
        <f>VLOOKUP(E661,country_continent!A:C,2,FALSE)</f>
        <v>Peru</v>
      </c>
      <c r="G661" t="str">
        <f>VLOOKUP(E661,country_continent!A:C,3,FALSE)</f>
        <v>South America</v>
      </c>
      <c r="H661" t="s">
        <v>2851</v>
      </c>
      <c r="I661" t="s">
        <v>2889</v>
      </c>
      <c r="J661" s="3" t="str">
        <f t="shared" si="30"/>
        <v>1895/09/08</v>
      </c>
      <c r="K661" t="s">
        <v>2891</v>
      </c>
      <c r="L661" s="3" t="str">
        <f t="shared" si="31"/>
        <v>1899/09/08</v>
      </c>
      <c r="M661" t="s">
        <v>67</v>
      </c>
      <c r="N661" t="s">
        <v>49</v>
      </c>
      <c r="O661" t="s">
        <v>49</v>
      </c>
      <c r="P661">
        <v>1</v>
      </c>
      <c r="Q661" t="s">
        <v>50</v>
      </c>
      <c r="R661" t="s">
        <v>51</v>
      </c>
      <c r="S661">
        <v>1839</v>
      </c>
      <c r="T661">
        <v>1913</v>
      </c>
      <c r="Y661" t="s">
        <v>2853</v>
      </c>
      <c r="Z661">
        <v>1</v>
      </c>
      <c r="AA661">
        <v>1</v>
      </c>
      <c r="AB661">
        <v>0</v>
      </c>
      <c r="AC661">
        <v>0</v>
      </c>
      <c r="AF661">
        <v>1895</v>
      </c>
      <c r="AG661">
        <v>1899</v>
      </c>
      <c r="AO661" t="b">
        <v>0</v>
      </c>
      <c r="AT661">
        <v>1461</v>
      </c>
      <c r="AU661">
        <f t="shared" si="32"/>
        <v>4.0030000000000001</v>
      </c>
    </row>
    <row r="662" spans="1:47" x14ac:dyDescent="0.3">
      <c r="A662">
        <v>660</v>
      </c>
      <c r="B662" t="s">
        <v>2892</v>
      </c>
      <c r="C662" t="s">
        <v>2893</v>
      </c>
      <c r="D662">
        <v>135</v>
      </c>
      <c r="E662" t="s">
        <v>2830</v>
      </c>
      <c r="F662" t="str">
        <f>VLOOKUP(E662,country_continent!A:C,2,FALSE)</f>
        <v>Peru</v>
      </c>
      <c r="G662" t="str">
        <f>VLOOKUP(E662,country_continent!A:C,3,FALSE)</f>
        <v>South America</v>
      </c>
      <c r="H662" t="s">
        <v>2894</v>
      </c>
      <c r="I662" t="s">
        <v>2891</v>
      </c>
      <c r="J662" s="3" t="str">
        <f t="shared" si="30"/>
        <v>1899/09/08</v>
      </c>
      <c r="K662" s="1">
        <v>1347</v>
      </c>
      <c r="L662" s="3">
        <f t="shared" si="31"/>
        <v>1347</v>
      </c>
      <c r="M662" t="s">
        <v>49</v>
      </c>
      <c r="N662" t="s">
        <v>49</v>
      </c>
      <c r="O662" t="s">
        <v>49</v>
      </c>
      <c r="P662">
        <v>0</v>
      </c>
      <c r="Q662" t="s">
        <v>50</v>
      </c>
      <c r="R662" t="s">
        <v>51</v>
      </c>
      <c r="S662">
        <v>1847</v>
      </c>
      <c r="T662">
        <v>1912</v>
      </c>
      <c r="U662" t="s">
        <v>2895</v>
      </c>
      <c r="V662" t="s">
        <v>2896</v>
      </c>
      <c r="Z662">
        <v>0</v>
      </c>
      <c r="AA662">
        <v>1</v>
      </c>
      <c r="AB662">
        <v>0</v>
      </c>
      <c r="AC662">
        <v>0</v>
      </c>
      <c r="AF662">
        <v>1899</v>
      </c>
      <c r="AG662">
        <v>1903</v>
      </c>
      <c r="AO662" t="b">
        <v>0</v>
      </c>
      <c r="AT662">
        <v>1460</v>
      </c>
      <c r="AU662">
        <f t="shared" si="32"/>
        <v>4</v>
      </c>
    </row>
    <row r="663" spans="1:47" x14ac:dyDescent="0.3">
      <c r="A663">
        <v>661</v>
      </c>
      <c r="B663" t="s">
        <v>2897</v>
      </c>
      <c r="C663" t="s">
        <v>2886</v>
      </c>
      <c r="D663">
        <v>135</v>
      </c>
      <c r="E663" t="s">
        <v>2830</v>
      </c>
      <c r="F663" t="str">
        <f>VLOOKUP(E663,country_continent!A:C,2,FALSE)</f>
        <v>Peru</v>
      </c>
      <c r="G663" t="str">
        <f>VLOOKUP(E663,country_continent!A:C,3,FALSE)</f>
        <v>South America</v>
      </c>
      <c r="H663" t="s">
        <v>2887</v>
      </c>
      <c r="I663" s="1">
        <v>1369</v>
      </c>
      <c r="J663" s="3">
        <f t="shared" si="30"/>
        <v>1369</v>
      </c>
      <c r="K663" s="1">
        <v>1589</v>
      </c>
      <c r="L663" s="3">
        <f t="shared" si="31"/>
        <v>1589</v>
      </c>
      <c r="M663" t="s">
        <v>49</v>
      </c>
      <c r="N663" t="s">
        <v>110</v>
      </c>
      <c r="O663" t="s">
        <v>49</v>
      </c>
      <c r="P663">
        <v>1</v>
      </c>
      <c r="Q663" t="s">
        <v>111</v>
      </c>
      <c r="R663" t="s">
        <v>51</v>
      </c>
      <c r="S663">
        <v>1841</v>
      </c>
      <c r="T663">
        <v>1904</v>
      </c>
      <c r="W663" s="1">
        <v>1589</v>
      </c>
      <c r="X663" s="2">
        <v>1589</v>
      </c>
      <c r="Z663">
        <v>0</v>
      </c>
      <c r="AA663">
        <v>2</v>
      </c>
      <c r="AB663">
        <v>0</v>
      </c>
      <c r="AC663">
        <v>-777</v>
      </c>
      <c r="AF663">
        <v>1903</v>
      </c>
      <c r="AG663">
        <v>1904</v>
      </c>
      <c r="AO663" t="b">
        <v>0</v>
      </c>
      <c r="AT663">
        <v>220</v>
      </c>
      <c r="AU663">
        <f t="shared" si="32"/>
        <v>0.60299999999999998</v>
      </c>
    </row>
    <row r="664" spans="1:47" x14ac:dyDescent="0.3">
      <c r="A664">
        <v>662</v>
      </c>
      <c r="B664" t="s">
        <v>2898</v>
      </c>
      <c r="C664" t="s">
        <v>2899</v>
      </c>
      <c r="D664">
        <v>135</v>
      </c>
      <c r="E664" t="s">
        <v>2830</v>
      </c>
      <c r="F664" t="str">
        <f>VLOOKUP(E664,country_continent!A:C,2,FALSE)</f>
        <v>Peru</v>
      </c>
      <c r="G664" t="str">
        <f>VLOOKUP(E664,country_continent!A:C,3,FALSE)</f>
        <v>South America</v>
      </c>
      <c r="H664" t="s">
        <v>2900</v>
      </c>
      <c r="I664" s="1">
        <v>1589</v>
      </c>
      <c r="J664" s="3">
        <f t="shared" si="30"/>
        <v>1589</v>
      </c>
      <c r="K664" s="1">
        <v>1729</v>
      </c>
      <c r="L664" s="3">
        <f t="shared" si="31"/>
        <v>1729</v>
      </c>
      <c r="M664" t="s">
        <v>49</v>
      </c>
      <c r="N664" t="s">
        <v>49</v>
      </c>
      <c r="O664" t="s">
        <v>49</v>
      </c>
      <c r="P664">
        <v>0</v>
      </c>
      <c r="Q664" t="s">
        <v>50</v>
      </c>
      <c r="R664" t="s">
        <v>51</v>
      </c>
      <c r="S664">
        <v>1843</v>
      </c>
      <c r="T664">
        <v>1922</v>
      </c>
      <c r="Z664">
        <v>0</v>
      </c>
      <c r="AA664">
        <v>1</v>
      </c>
      <c r="AB664">
        <v>0</v>
      </c>
      <c r="AC664">
        <v>0</v>
      </c>
      <c r="AF664">
        <v>1904</v>
      </c>
      <c r="AG664">
        <v>1904</v>
      </c>
      <c r="AO664" t="b">
        <v>0</v>
      </c>
      <c r="AT664">
        <v>140</v>
      </c>
      <c r="AU664">
        <f t="shared" si="32"/>
        <v>0.38400000000000001</v>
      </c>
    </row>
    <row r="665" spans="1:47" x14ac:dyDescent="0.3">
      <c r="A665">
        <v>663</v>
      </c>
      <c r="B665" t="s">
        <v>2901</v>
      </c>
      <c r="C665" t="s">
        <v>2902</v>
      </c>
      <c r="D665">
        <v>135</v>
      </c>
      <c r="E665" t="s">
        <v>2830</v>
      </c>
      <c r="F665" t="str">
        <f>VLOOKUP(E665,country_continent!A:C,2,FALSE)</f>
        <v>Peru</v>
      </c>
      <c r="G665" t="str">
        <f>VLOOKUP(E665,country_continent!A:C,3,FALSE)</f>
        <v>South America</v>
      </c>
      <c r="H665" t="s">
        <v>2903</v>
      </c>
      <c r="I665" s="1">
        <v>1729</v>
      </c>
      <c r="J665" s="3">
        <f t="shared" si="30"/>
        <v>1729</v>
      </c>
      <c r="K665" s="1">
        <v>3190</v>
      </c>
      <c r="L665" s="3">
        <f t="shared" si="31"/>
        <v>3190</v>
      </c>
      <c r="M665" t="s">
        <v>49</v>
      </c>
      <c r="N665" t="s">
        <v>49</v>
      </c>
      <c r="O665" t="s">
        <v>49</v>
      </c>
      <c r="P665">
        <v>0</v>
      </c>
      <c r="Q665" t="s">
        <v>362</v>
      </c>
      <c r="R665" t="s">
        <v>51</v>
      </c>
      <c r="S665">
        <v>1864</v>
      </c>
      <c r="T665">
        <v>1947</v>
      </c>
      <c r="U665" t="s">
        <v>2904</v>
      </c>
      <c r="V665" t="s">
        <v>2905</v>
      </c>
      <c r="Y665" t="s">
        <v>2906</v>
      </c>
      <c r="Z665">
        <v>0</v>
      </c>
      <c r="AA665">
        <v>1</v>
      </c>
      <c r="AB665">
        <v>0</v>
      </c>
      <c r="AC665">
        <v>1</v>
      </c>
      <c r="AD665" t="s">
        <v>2907</v>
      </c>
      <c r="AE665">
        <v>1</v>
      </c>
      <c r="AF665">
        <v>1904</v>
      </c>
      <c r="AG665">
        <v>1908</v>
      </c>
      <c r="AO665" t="b">
        <v>0</v>
      </c>
      <c r="AT665">
        <v>1461</v>
      </c>
      <c r="AU665">
        <f t="shared" si="32"/>
        <v>4.0030000000000001</v>
      </c>
    </row>
    <row r="666" spans="1:47" x14ac:dyDescent="0.3">
      <c r="A666">
        <v>664</v>
      </c>
      <c r="B666" t="s">
        <v>2908</v>
      </c>
      <c r="C666" t="s">
        <v>2909</v>
      </c>
      <c r="D666">
        <v>135</v>
      </c>
      <c r="E666" t="s">
        <v>2830</v>
      </c>
      <c r="F666" t="str">
        <f>VLOOKUP(E666,country_continent!A:C,2,FALSE)</f>
        <v>Peru</v>
      </c>
      <c r="G666" t="str">
        <f>VLOOKUP(E666,country_continent!A:C,3,FALSE)</f>
        <v>South America</v>
      </c>
      <c r="H666" t="s">
        <v>2910</v>
      </c>
      <c r="I666" s="1">
        <v>3190</v>
      </c>
      <c r="J666" s="3">
        <f t="shared" si="30"/>
        <v>3190</v>
      </c>
      <c r="K666" s="1">
        <v>4651</v>
      </c>
      <c r="L666" s="3">
        <f t="shared" si="31"/>
        <v>4651</v>
      </c>
      <c r="M666" t="s">
        <v>49</v>
      </c>
      <c r="N666" t="s">
        <v>49</v>
      </c>
      <c r="O666" t="s">
        <v>49</v>
      </c>
      <c r="P666">
        <v>0</v>
      </c>
      <c r="Q666" t="s">
        <v>463</v>
      </c>
      <c r="R666" t="s">
        <v>51</v>
      </c>
      <c r="S666">
        <v>1863</v>
      </c>
      <c r="T666">
        <v>1932</v>
      </c>
      <c r="U666" t="s">
        <v>2911</v>
      </c>
      <c r="V666" t="s">
        <v>2912</v>
      </c>
      <c r="W666" s="1">
        <v>11725</v>
      </c>
      <c r="X666" s="2">
        <v>11725</v>
      </c>
      <c r="Y666" t="s">
        <v>2913</v>
      </c>
      <c r="Z666">
        <v>0</v>
      </c>
      <c r="AA666">
        <v>1</v>
      </c>
      <c r="AB666">
        <v>0</v>
      </c>
      <c r="AC666">
        <v>2</v>
      </c>
      <c r="AF666">
        <v>1908</v>
      </c>
      <c r="AG666">
        <v>1912</v>
      </c>
      <c r="AO666" t="b">
        <v>0</v>
      </c>
      <c r="AT666">
        <v>1461</v>
      </c>
      <c r="AU666">
        <f t="shared" si="32"/>
        <v>4.0030000000000001</v>
      </c>
    </row>
    <row r="667" spans="1:47" x14ac:dyDescent="0.3">
      <c r="A667">
        <v>665</v>
      </c>
      <c r="B667" t="s">
        <v>2914</v>
      </c>
      <c r="C667" t="s">
        <v>2915</v>
      </c>
      <c r="D667">
        <v>135</v>
      </c>
      <c r="E667" t="s">
        <v>2830</v>
      </c>
      <c r="F667" t="str">
        <f>VLOOKUP(E667,country_continent!A:C,2,FALSE)</f>
        <v>Peru</v>
      </c>
      <c r="G667" t="str">
        <f>VLOOKUP(E667,country_continent!A:C,3,FALSE)</f>
        <v>South America</v>
      </c>
      <c r="H667" t="s">
        <v>2916</v>
      </c>
      <c r="I667" s="1">
        <v>4651</v>
      </c>
      <c r="J667" s="3">
        <f t="shared" si="30"/>
        <v>4651</v>
      </c>
      <c r="K667" s="1">
        <v>5149</v>
      </c>
      <c r="L667" s="3">
        <f t="shared" si="31"/>
        <v>5149</v>
      </c>
      <c r="M667" t="s">
        <v>49</v>
      </c>
      <c r="N667" t="s">
        <v>67</v>
      </c>
      <c r="O667" t="s">
        <v>347</v>
      </c>
      <c r="P667">
        <v>0</v>
      </c>
      <c r="Q667" t="s">
        <v>362</v>
      </c>
      <c r="R667" t="s">
        <v>51</v>
      </c>
      <c r="S667">
        <v>1851</v>
      </c>
      <c r="T667">
        <v>1915</v>
      </c>
      <c r="Y667" t="s">
        <v>2917</v>
      </c>
      <c r="Z667">
        <v>0</v>
      </c>
      <c r="AA667">
        <v>3</v>
      </c>
      <c r="AB667">
        <v>-999</v>
      </c>
      <c r="AC667">
        <v>1</v>
      </c>
      <c r="AF667">
        <v>1912</v>
      </c>
      <c r="AG667">
        <v>1914</v>
      </c>
      <c r="AO667" t="b">
        <v>0</v>
      </c>
      <c r="AT667">
        <v>498</v>
      </c>
      <c r="AU667">
        <f t="shared" si="32"/>
        <v>1.3640000000000001</v>
      </c>
    </row>
    <row r="668" spans="1:47" x14ac:dyDescent="0.3">
      <c r="A668">
        <v>666</v>
      </c>
      <c r="B668" t="s">
        <v>2918</v>
      </c>
      <c r="C668" t="s">
        <v>2919</v>
      </c>
      <c r="D668">
        <v>135</v>
      </c>
      <c r="E668" t="s">
        <v>2830</v>
      </c>
      <c r="F668" t="str">
        <f>VLOOKUP(E668,country_continent!A:C,2,FALSE)</f>
        <v>Peru</v>
      </c>
      <c r="G668" t="str">
        <f>VLOOKUP(E668,country_continent!A:C,3,FALSE)</f>
        <v>South America</v>
      </c>
      <c r="H668" t="s">
        <v>2920</v>
      </c>
      <c r="I668" s="1">
        <v>5149</v>
      </c>
      <c r="J668" s="3">
        <f t="shared" si="30"/>
        <v>5149</v>
      </c>
      <c r="K668" s="1">
        <v>5709</v>
      </c>
      <c r="L668" s="3">
        <f t="shared" si="31"/>
        <v>5709</v>
      </c>
      <c r="M668" t="s">
        <v>67</v>
      </c>
      <c r="N668" t="s">
        <v>49</v>
      </c>
      <c r="O668" t="s">
        <v>49</v>
      </c>
      <c r="P668">
        <v>0</v>
      </c>
      <c r="Q668" t="s">
        <v>50</v>
      </c>
      <c r="R668" t="s">
        <v>51</v>
      </c>
      <c r="S668">
        <v>1876</v>
      </c>
      <c r="T668">
        <v>1945</v>
      </c>
      <c r="U668" t="s">
        <v>2921</v>
      </c>
      <c r="V668" t="s">
        <v>2922</v>
      </c>
      <c r="Y668" t="s">
        <v>2923</v>
      </c>
      <c r="Z668">
        <v>1</v>
      </c>
      <c r="AA668">
        <v>1</v>
      </c>
      <c r="AB668">
        <v>0</v>
      </c>
      <c r="AC668">
        <v>0</v>
      </c>
      <c r="AF668">
        <v>1914</v>
      </c>
      <c r="AG668">
        <v>1915</v>
      </c>
      <c r="AO668" t="b">
        <v>0</v>
      </c>
      <c r="AT668">
        <v>560</v>
      </c>
      <c r="AU668">
        <f t="shared" si="32"/>
        <v>1.534</v>
      </c>
    </row>
    <row r="669" spans="1:47" x14ac:dyDescent="0.3">
      <c r="A669">
        <v>667</v>
      </c>
      <c r="B669" t="s">
        <v>2924</v>
      </c>
      <c r="C669" t="s">
        <v>2902</v>
      </c>
      <c r="D669">
        <v>135</v>
      </c>
      <c r="E669" t="s">
        <v>2830</v>
      </c>
      <c r="F669" t="str">
        <f>VLOOKUP(E669,country_continent!A:C,2,FALSE)</f>
        <v>Peru</v>
      </c>
      <c r="G669" t="str">
        <f>VLOOKUP(E669,country_continent!A:C,3,FALSE)</f>
        <v>South America</v>
      </c>
      <c r="H669" t="s">
        <v>2903</v>
      </c>
      <c r="I669" s="1">
        <v>5709</v>
      </c>
      <c r="J669" s="3">
        <f t="shared" si="30"/>
        <v>5709</v>
      </c>
      <c r="K669" s="1">
        <v>7125</v>
      </c>
      <c r="L669" s="3">
        <f t="shared" si="31"/>
        <v>7125</v>
      </c>
      <c r="M669" t="s">
        <v>49</v>
      </c>
      <c r="N669" t="s">
        <v>67</v>
      </c>
      <c r="O669" t="s">
        <v>376</v>
      </c>
      <c r="P669">
        <v>1</v>
      </c>
      <c r="Q669" t="s">
        <v>463</v>
      </c>
      <c r="R669" t="s">
        <v>51</v>
      </c>
      <c r="S669">
        <v>1864</v>
      </c>
      <c r="T669">
        <v>1947</v>
      </c>
      <c r="U669" t="s">
        <v>2904</v>
      </c>
      <c r="V669" t="s">
        <v>2905</v>
      </c>
      <c r="Y669" t="s">
        <v>2906</v>
      </c>
      <c r="Z669">
        <v>0</v>
      </c>
      <c r="AA669">
        <v>3</v>
      </c>
      <c r="AB669">
        <v>6</v>
      </c>
      <c r="AC669">
        <v>2</v>
      </c>
      <c r="AD669" t="s">
        <v>2907</v>
      </c>
      <c r="AE669">
        <v>1</v>
      </c>
      <c r="AF669">
        <v>1915</v>
      </c>
      <c r="AG669">
        <v>1919</v>
      </c>
      <c r="AO669" t="b">
        <v>0</v>
      </c>
      <c r="AT669">
        <v>1416</v>
      </c>
      <c r="AU669">
        <f t="shared" si="32"/>
        <v>3.879</v>
      </c>
    </row>
    <row r="670" spans="1:47" x14ac:dyDescent="0.3">
      <c r="A670">
        <v>668</v>
      </c>
      <c r="B670" t="s">
        <v>2925</v>
      </c>
      <c r="C670" t="s">
        <v>2909</v>
      </c>
      <c r="D670">
        <v>135</v>
      </c>
      <c r="E670" t="s">
        <v>2830</v>
      </c>
      <c r="F670" t="str">
        <f>VLOOKUP(E670,country_continent!A:C,2,FALSE)</f>
        <v>Peru</v>
      </c>
      <c r="G670" t="str">
        <f>VLOOKUP(E670,country_continent!A:C,3,FALSE)</f>
        <v>South America</v>
      </c>
      <c r="H670" t="s">
        <v>2910</v>
      </c>
      <c r="I670" s="1">
        <v>7141</v>
      </c>
      <c r="J670" s="3">
        <f t="shared" si="30"/>
        <v>7141</v>
      </c>
      <c r="K670" s="1">
        <v>11195</v>
      </c>
      <c r="L670" s="3">
        <f t="shared" si="31"/>
        <v>11195</v>
      </c>
      <c r="M670" t="s">
        <v>67</v>
      </c>
      <c r="N670" t="s">
        <v>67</v>
      </c>
      <c r="O670" t="s">
        <v>376</v>
      </c>
      <c r="P670">
        <v>1</v>
      </c>
      <c r="Q670" t="s">
        <v>463</v>
      </c>
      <c r="R670" t="s">
        <v>51</v>
      </c>
      <c r="S670">
        <v>1863</v>
      </c>
      <c r="T670">
        <v>1932</v>
      </c>
      <c r="U670" t="s">
        <v>2911</v>
      </c>
      <c r="V670" t="s">
        <v>2912</v>
      </c>
      <c r="W670" s="1">
        <v>11725</v>
      </c>
      <c r="X670" s="2">
        <v>11725</v>
      </c>
      <c r="Y670" t="s">
        <v>2913</v>
      </c>
      <c r="Z670">
        <v>1</v>
      </c>
      <c r="AA670">
        <v>3</v>
      </c>
      <c r="AB670">
        <v>6</v>
      </c>
      <c r="AC670">
        <v>2</v>
      </c>
      <c r="AF670">
        <v>1919</v>
      </c>
      <c r="AG670">
        <v>1930</v>
      </c>
      <c r="AO670" t="b">
        <v>0</v>
      </c>
      <c r="AT670">
        <v>4054</v>
      </c>
      <c r="AU670">
        <f t="shared" si="32"/>
        <v>11.106999999999999</v>
      </c>
    </row>
    <row r="671" spans="1:47" x14ac:dyDescent="0.3">
      <c r="A671">
        <v>669</v>
      </c>
      <c r="B671" t="s">
        <v>2926</v>
      </c>
      <c r="C671" t="s">
        <v>2927</v>
      </c>
      <c r="D671">
        <v>135</v>
      </c>
      <c r="E671" t="s">
        <v>2830</v>
      </c>
      <c r="F671" t="str">
        <f>VLOOKUP(E671,country_continent!A:C,2,FALSE)</f>
        <v>Peru</v>
      </c>
      <c r="G671" t="str">
        <f>VLOOKUP(E671,country_continent!A:C,3,FALSE)</f>
        <v>South America</v>
      </c>
      <c r="H671" t="s">
        <v>2928</v>
      </c>
      <c r="I671" s="1">
        <v>11195</v>
      </c>
      <c r="J671" s="3">
        <f t="shared" si="30"/>
        <v>11195</v>
      </c>
      <c r="K671" s="1">
        <v>11197</v>
      </c>
      <c r="L671" s="3">
        <f t="shared" si="31"/>
        <v>11197</v>
      </c>
      <c r="M671" t="s">
        <v>67</v>
      </c>
      <c r="N671" t="s">
        <v>67</v>
      </c>
      <c r="O671" t="s">
        <v>376</v>
      </c>
      <c r="P671">
        <v>0</v>
      </c>
      <c r="Q671" t="s">
        <v>1453</v>
      </c>
      <c r="R671" t="s">
        <v>51</v>
      </c>
      <c r="S671">
        <v>1874</v>
      </c>
      <c r="T671">
        <v>1966</v>
      </c>
      <c r="Z671">
        <v>1</v>
      </c>
      <c r="AA671">
        <v>3</v>
      </c>
      <c r="AB671">
        <v>6</v>
      </c>
      <c r="AC671">
        <v>-666</v>
      </c>
      <c r="AF671">
        <v>1930</v>
      </c>
      <c r="AG671">
        <v>1930</v>
      </c>
      <c r="AO671" t="b">
        <v>0</v>
      </c>
      <c r="AT671">
        <v>2</v>
      </c>
      <c r="AU671">
        <f t="shared" si="32"/>
        <v>5.0000000000000001E-3</v>
      </c>
    </row>
    <row r="672" spans="1:47" x14ac:dyDescent="0.3">
      <c r="A672">
        <v>670</v>
      </c>
      <c r="B672" t="s">
        <v>2929</v>
      </c>
      <c r="C672" t="s">
        <v>2930</v>
      </c>
      <c r="D672">
        <v>135</v>
      </c>
      <c r="E672" t="s">
        <v>2830</v>
      </c>
      <c r="F672" t="str">
        <f>VLOOKUP(E672,country_continent!A:C,2,FALSE)</f>
        <v>Peru</v>
      </c>
      <c r="G672" t="str">
        <f>VLOOKUP(E672,country_continent!A:C,3,FALSE)</f>
        <v>South America</v>
      </c>
      <c r="H672" t="s">
        <v>2931</v>
      </c>
      <c r="I672" s="1">
        <v>11197</v>
      </c>
      <c r="J672" s="3">
        <f t="shared" si="30"/>
        <v>11197</v>
      </c>
      <c r="K672" s="1">
        <v>11383</v>
      </c>
      <c r="L672" s="3">
        <f t="shared" si="31"/>
        <v>11383</v>
      </c>
      <c r="M672" t="s">
        <v>67</v>
      </c>
      <c r="N672" t="s">
        <v>67</v>
      </c>
      <c r="O672" t="s">
        <v>376</v>
      </c>
      <c r="P672">
        <v>0</v>
      </c>
      <c r="Q672" t="s">
        <v>362</v>
      </c>
      <c r="R672" t="s">
        <v>51</v>
      </c>
      <c r="S672">
        <v>1889</v>
      </c>
      <c r="T672">
        <v>1933</v>
      </c>
      <c r="Y672" t="s">
        <v>2932</v>
      </c>
      <c r="Z672">
        <v>1</v>
      </c>
      <c r="AA672">
        <v>3</v>
      </c>
      <c r="AB672">
        <v>6</v>
      </c>
      <c r="AC672">
        <v>1</v>
      </c>
      <c r="AF672">
        <v>1930</v>
      </c>
      <c r="AG672">
        <v>1931</v>
      </c>
      <c r="AO672" t="b">
        <v>0</v>
      </c>
      <c r="AT672">
        <v>186</v>
      </c>
      <c r="AU672">
        <f t="shared" si="32"/>
        <v>0.51</v>
      </c>
    </row>
    <row r="673" spans="1:47" x14ac:dyDescent="0.3">
      <c r="A673">
        <v>671</v>
      </c>
      <c r="B673" t="s">
        <v>2933</v>
      </c>
      <c r="C673" t="s">
        <v>2934</v>
      </c>
      <c r="D673">
        <v>135</v>
      </c>
      <c r="E673" t="s">
        <v>2830</v>
      </c>
      <c r="F673" t="str">
        <f>VLOOKUP(E673,country_continent!A:C,2,FALSE)</f>
        <v>Peru</v>
      </c>
      <c r="G673" t="str">
        <f>VLOOKUP(E673,country_continent!A:C,3,FALSE)</f>
        <v>South America</v>
      </c>
      <c r="H673" t="s">
        <v>2935</v>
      </c>
      <c r="I673" s="1">
        <v>11383</v>
      </c>
      <c r="J673" s="3">
        <f t="shared" si="30"/>
        <v>11383</v>
      </c>
      <c r="K673" s="1">
        <v>11387</v>
      </c>
      <c r="L673" s="3">
        <f t="shared" si="31"/>
        <v>11387</v>
      </c>
      <c r="M673" t="s">
        <v>67</v>
      </c>
      <c r="N673" t="s">
        <v>67</v>
      </c>
      <c r="O673" t="s">
        <v>376</v>
      </c>
      <c r="P673">
        <v>0</v>
      </c>
      <c r="Q673" t="s">
        <v>50</v>
      </c>
      <c r="R673" t="s">
        <v>51</v>
      </c>
      <c r="S673">
        <v>1874</v>
      </c>
      <c r="T673">
        <v>1951</v>
      </c>
      <c r="Z673">
        <v>1</v>
      </c>
      <c r="AA673">
        <v>3</v>
      </c>
      <c r="AB673">
        <v>6</v>
      </c>
      <c r="AC673">
        <v>0</v>
      </c>
      <c r="AF673">
        <v>1931</v>
      </c>
      <c r="AG673">
        <v>1931</v>
      </c>
      <c r="AO673" t="b">
        <v>0</v>
      </c>
      <c r="AT673">
        <v>4</v>
      </c>
      <c r="AU673">
        <f t="shared" si="32"/>
        <v>1.0999999999999999E-2</v>
      </c>
    </row>
    <row r="674" spans="1:47" x14ac:dyDescent="0.3">
      <c r="A674">
        <v>672</v>
      </c>
      <c r="B674" t="s">
        <v>2936</v>
      </c>
      <c r="C674" t="s">
        <v>2937</v>
      </c>
      <c r="D674">
        <v>135</v>
      </c>
      <c r="E674" t="s">
        <v>2830</v>
      </c>
      <c r="F674" t="str">
        <f>VLOOKUP(E674,country_continent!A:C,2,FALSE)</f>
        <v>Peru</v>
      </c>
      <c r="G674" t="str">
        <f>VLOOKUP(E674,country_continent!A:C,3,FALSE)</f>
        <v>South America</v>
      </c>
      <c r="H674" t="s">
        <v>2938</v>
      </c>
      <c r="I674" s="1">
        <v>11387</v>
      </c>
      <c r="J674" s="3">
        <f t="shared" si="30"/>
        <v>11387</v>
      </c>
      <c r="K674" s="1">
        <v>11392</v>
      </c>
      <c r="L674" s="3">
        <f t="shared" si="31"/>
        <v>11392</v>
      </c>
      <c r="M674" t="s">
        <v>67</v>
      </c>
      <c r="N674" t="s">
        <v>67</v>
      </c>
      <c r="O674" t="s">
        <v>376</v>
      </c>
      <c r="P674">
        <v>0</v>
      </c>
      <c r="Q674" t="s">
        <v>50</v>
      </c>
      <c r="R674" t="s">
        <v>51</v>
      </c>
      <c r="S674">
        <v>1886</v>
      </c>
      <c r="T674">
        <v>1933</v>
      </c>
      <c r="Z674">
        <v>1</v>
      </c>
      <c r="AA674">
        <v>3</v>
      </c>
      <c r="AB674">
        <v>6</v>
      </c>
      <c r="AC674">
        <v>0</v>
      </c>
      <c r="AF674">
        <v>1931</v>
      </c>
      <c r="AG674">
        <v>1931</v>
      </c>
      <c r="AO674" t="b">
        <v>0</v>
      </c>
      <c r="AT674">
        <v>5</v>
      </c>
      <c r="AU674">
        <f t="shared" si="32"/>
        <v>1.4E-2</v>
      </c>
    </row>
    <row r="675" spans="1:47" x14ac:dyDescent="0.3">
      <c r="A675">
        <v>673</v>
      </c>
      <c r="B675" t="s">
        <v>2939</v>
      </c>
      <c r="C675" t="s">
        <v>2940</v>
      </c>
      <c r="D675">
        <v>135</v>
      </c>
      <c r="E675" t="s">
        <v>2830</v>
      </c>
      <c r="F675" t="str">
        <f>VLOOKUP(E675,country_continent!A:C,2,FALSE)</f>
        <v>Peru</v>
      </c>
      <c r="G675" t="str">
        <f>VLOOKUP(E675,country_continent!A:C,3,FALSE)</f>
        <v>South America</v>
      </c>
      <c r="H675" t="s">
        <v>2941</v>
      </c>
      <c r="I675" s="1">
        <v>11392</v>
      </c>
      <c r="J675" s="3">
        <f t="shared" si="30"/>
        <v>11392</v>
      </c>
      <c r="K675" s="1">
        <v>11665</v>
      </c>
      <c r="L675" s="3">
        <f t="shared" si="31"/>
        <v>11665</v>
      </c>
      <c r="M675" t="s">
        <v>67</v>
      </c>
      <c r="N675" t="s">
        <v>49</v>
      </c>
      <c r="O675" t="s">
        <v>49</v>
      </c>
      <c r="P675">
        <v>0</v>
      </c>
      <c r="Q675" t="s">
        <v>50</v>
      </c>
      <c r="R675" t="s">
        <v>51</v>
      </c>
      <c r="S675">
        <v>1866</v>
      </c>
      <c r="T675">
        <v>1947</v>
      </c>
      <c r="Z675">
        <v>1</v>
      </c>
      <c r="AA675">
        <v>1</v>
      </c>
      <c r="AB675">
        <v>0</v>
      </c>
      <c r="AC675">
        <v>0</v>
      </c>
      <c r="AF675">
        <v>1931</v>
      </c>
      <c r="AG675">
        <v>1931</v>
      </c>
      <c r="AO675" t="b">
        <v>0</v>
      </c>
      <c r="AT675">
        <v>273</v>
      </c>
      <c r="AU675">
        <f t="shared" si="32"/>
        <v>0.748</v>
      </c>
    </row>
    <row r="676" spans="1:47" x14ac:dyDescent="0.3">
      <c r="A676">
        <v>674</v>
      </c>
      <c r="B676" t="s">
        <v>2942</v>
      </c>
      <c r="C676" t="s">
        <v>2930</v>
      </c>
      <c r="D676">
        <v>135</v>
      </c>
      <c r="E676" t="s">
        <v>2830</v>
      </c>
      <c r="F676" t="str">
        <f>VLOOKUP(E676,country_continent!A:C,2,FALSE)</f>
        <v>Peru</v>
      </c>
      <c r="G676" t="str">
        <f>VLOOKUP(E676,country_continent!A:C,3,FALSE)</f>
        <v>South America</v>
      </c>
      <c r="H676" t="s">
        <v>2931</v>
      </c>
      <c r="I676" s="1">
        <v>11665</v>
      </c>
      <c r="J676" s="3">
        <f t="shared" si="30"/>
        <v>11665</v>
      </c>
      <c r="K676" s="1">
        <v>12174</v>
      </c>
      <c r="L676" s="3">
        <f t="shared" si="31"/>
        <v>12174</v>
      </c>
      <c r="M676" t="s">
        <v>49</v>
      </c>
      <c r="N676" t="s">
        <v>67</v>
      </c>
      <c r="O676" t="s">
        <v>68</v>
      </c>
      <c r="P676">
        <v>1</v>
      </c>
      <c r="Q676" t="s">
        <v>69</v>
      </c>
      <c r="R676" t="s">
        <v>51</v>
      </c>
      <c r="S676">
        <v>1889</v>
      </c>
      <c r="T676">
        <v>1933</v>
      </c>
      <c r="Y676" t="s">
        <v>2932</v>
      </c>
      <c r="Z676">
        <v>0</v>
      </c>
      <c r="AA676">
        <v>3</v>
      </c>
      <c r="AB676">
        <v>11</v>
      </c>
      <c r="AC676">
        <v>3</v>
      </c>
      <c r="AF676">
        <v>1931</v>
      </c>
      <c r="AG676">
        <v>1933</v>
      </c>
      <c r="AO676" t="b">
        <v>0</v>
      </c>
      <c r="AT676">
        <v>509</v>
      </c>
      <c r="AU676">
        <f t="shared" si="32"/>
        <v>1.395</v>
      </c>
    </row>
    <row r="677" spans="1:47" x14ac:dyDescent="0.3">
      <c r="A677">
        <v>675</v>
      </c>
      <c r="B677" t="s">
        <v>2943</v>
      </c>
      <c r="C677" t="s">
        <v>2944</v>
      </c>
      <c r="D677">
        <v>135</v>
      </c>
      <c r="E677" t="s">
        <v>2830</v>
      </c>
      <c r="F677" t="str">
        <f>VLOOKUP(E677,country_continent!A:C,2,FALSE)</f>
        <v>Peru</v>
      </c>
      <c r="G677" t="str">
        <f>VLOOKUP(E677,country_continent!A:C,3,FALSE)</f>
        <v>South America</v>
      </c>
      <c r="H677" t="s">
        <v>2945</v>
      </c>
      <c r="I677" s="1">
        <v>12174</v>
      </c>
      <c r="J677" s="3">
        <f t="shared" si="30"/>
        <v>12174</v>
      </c>
      <c r="K677" s="1">
        <v>14587</v>
      </c>
      <c r="L677" s="3">
        <f t="shared" si="31"/>
        <v>14587</v>
      </c>
      <c r="M677" t="s">
        <v>49</v>
      </c>
      <c r="N677" t="s">
        <v>49</v>
      </c>
      <c r="O677" t="s">
        <v>49</v>
      </c>
      <c r="P677">
        <v>1</v>
      </c>
      <c r="Q677" t="s">
        <v>50</v>
      </c>
      <c r="R677" t="s">
        <v>51</v>
      </c>
      <c r="S677">
        <v>1876</v>
      </c>
      <c r="T677">
        <v>1945</v>
      </c>
      <c r="U677" t="s">
        <v>2921</v>
      </c>
      <c r="V677" t="s">
        <v>2922</v>
      </c>
      <c r="Y677" t="s">
        <v>2923</v>
      </c>
      <c r="Z677">
        <v>0</v>
      </c>
      <c r="AA677">
        <v>1</v>
      </c>
      <c r="AB677">
        <v>0</v>
      </c>
      <c r="AC677">
        <v>0</v>
      </c>
      <c r="AF677">
        <v>1933</v>
      </c>
      <c r="AG677">
        <v>1939</v>
      </c>
      <c r="AO677" t="b">
        <v>0</v>
      </c>
      <c r="AT677">
        <v>2413</v>
      </c>
      <c r="AU677">
        <f t="shared" si="32"/>
        <v>6.6109999999999998</v>
      </c>
    </row>
    <row r="678" spans="1:47" x14ac:dyDescent="0.3">
      <c r="A678">
        <v>676</v>
      </c>
      <c r="B678" t="s">
        <v>2946</v>
      </c>
      <c r="C678" t="s">
        <v>2947</v>
      </c>
      <c r="D678">
        <v>135</v>
      </c>
      <c r="E678" t="s">
        <v>2830</v>
      </c>
      <c r="F678" t="str">
        <f>VLOOKUP(E678,country_continent!A:C,2,FALSE)</f>
        <v>Peru</v>
      </c>
      <c r="G678" t="str">
        <f>VLOOKUP(E678,country_continent!A:C,3,FALSE)</f>
        <v>South America</v>
      </c>
      <c r="H678" t="s">
        <v>2948</v>
      </c>
      <c r="I678" s="1">
        <v>14587</v>
      </c>
      <c r="J678" s="3">
        <f t="shared" si="30"/>
        <v>14587</v>
      </c>
      <c r="K678" s="1">
        <v>16646</v>
      </c>
      <c r="L678" s="3">
        <f t="shared" si="31"/>
        <v>16646</v>
      </c>
      <c r="M678" t="s">
        <v>49</v>
      </c>
      <c r="N678" t="s">
        <v>49</v>
      </c>
      <c r="O678" t="s">
        <v>49</v>
      </c>
      <c r="P678">
        <v>0</v>
      </c>
      <c r="Q678" t="s">
        <v>50</v>
      </c>
      <c r="R678" t="s">
        <v>51</v>
      </c>
      <c r="S678">
        <v>1889</v>
      </c>
      <c r="T678">
        <v>1967</v>
      </c>
      <c r="U678" t="s">
        <v>988</v>
      </c>
      <c r="V678" t="s">
        <v>989</v>
      </c>
      <c r="Y678" t="s">
        <v>2949</v>
      </c>
      <c r="Z678">
        <v>0</v>
      </c>
      <c r="AA678">
        <v>1</v>
      </c>
      <c r="AB678">
        <v>0</v>
      </c>
      <c r="AC678">
        <v>0</v>
      </c>
      <c r="AD678" t="s">
        <v>2950</v>
      </c>
      <c r="AE678">
        <v>1</v>
      </c>
      <c r="AF678">
        <v>1939</v>
      </c>
      <c r="AG678">
        <v>1945</v>
      </c>
      <c r="AO678" t="b">
        <v>0</v>
      </c>
      <c r="AT678">
        <v>2059</v>
      </c>
      <c r="AU678">
        <f t="shared" si="32"/>
        <v>5.641</v>
      </c>
    </row>
    <row r="679" spans="1:47" x14ac:dyDescent="0.3">
      <c r="A679">
        <v>677</v>
      </c>
      <c r="B679" t="s">
        <v>2951</v>
      </c>
      <c r="C679" t="s">
        <v>2952</v>
      </c>
      <c r="D679">
        <v>135</v>
      </c>
      <c r="E679" t="s">
        <v>2830</v>
      </c>
      <c r="F679" t="str">
        <f>VLOOKUP(E679,country_continent!A:C,2,FALSE)</f>
        <v>Peru</v>
      </c>
      <c r="G679" t="str">
        <f>VLOOKUP(E679,country_continent!A:C,3,FALSE)</f>
        <v>South America</v>
      </c>
      <c r="H679" t="s">
        <v>887</v>
      </c>
      <c r="I679" s="1">
        <v>16646</v>
      </c>
      <c r="J679" s="3">
        <f t="shared" si="30"/>
        <v>16646</v>
      </c>
      <c r="K679" s="1">
        <v>17834</v>
      </c>
      <c r="L679" s="3">
        <f t="shared" si="31"/>
        <v>17834</v>
      </c>
      <c r="M679" t="s">
        <v>49</v>
      </c>
      <c r="N679" t="s">
        <v>67</v>
      </c>
      <c r="O679" t="s">
        <v>376</v>
      </c>
      <c r="P679">
        <v>0</v>
      </c>
      <c r="Q679" t="s">
        <v>362</v>
      </c>
      <c r="R679" t="s">
        <v>51</v>
      </c>
      <c r="S679">
        <v>1894</v>
      </c>
      <c r="T679">
        <v>1989</v>
      </c>
      <c r="U679" t="s">
        <v>2953</v>
      </c>
      <c r="V679" t="s">
        <v>2954</v>
      </c>
      <c r="W679" s="1">
        <v>32519</v>
      </c>
      <c r="X679" s="2">
        <v>32519</v>
      </c>
      <c r="Y679" t="s">
        <v>2955</v>
      </c>
      <c r="Z679">
        <v>0</v>
      </c>
      <c r="AA679">
        <v>3</v>
      </c>
      <c r="AB679">
        <v>6</v>
      </c>
      <c r="AC679">
        <v>1</v>
      </c>
      <c r="AF679">
        <v>1945</v>
      </c>
      <c r="AG679">
        <v>1948</v>
      </c>
      <c r="AN679">
        <v>-0.67</v>
      </c>
      <c r="AO679" t="b">
        <v>0</v>
      </c>
      <c r="AT679">
        <v>1188</v>
      </c>
      <c r="AU679">
        <f t="shared" si="32"/>
        <v>3.2549999999999999</v>
      </c>
    </row>
    <row r="680" spans="1:47" x14ac:dyDescent="0.3">
      <c r="A680">
        <v>678</v>
      </c>
      <c r="B680" t="s">
        <v>2956</v>
      </c>
      <c r="C680" t="s">
        <v>2957</v>
      </c>
      <c r="D680">
        <v>135</v>
      </c>
      <c r="E680" t="s">
        <v>2830</v>
      </c>
      <c r="F680" t="str">
        <f>VLOOKUP(E680,country_continent!A:C,2,FALSE)</f>
        <v>Peru</v>
      </c>
      <c r="G680" t="str">
        <f>VLOOKUP(E680,country_continent!A:C,3,FALSE)</f>
        <v>South America</v>
      </c>
      <c r="H680" t="s">
        <v>2958</v>
      </c>
      <c r="I680" s="1">
        <v>17835</v>
      </c>
      <c r="J680" s="3">
        <f t="shared" si="30"/>
        <v>17835</v>
      </c>
      <c r="K680" s="1">
        <v>18415</v>
      </c>
      <c r="L680" s="3">
        <f t="shared" si="31"/>
        <v>18415</v>
      </c>
      <c r="M680" t="s">
        <v>67</v>
      </c>
      <c r="N680" t="s">
        <v>49</v>
      </c>
      <c r="O680" t="s">
        <v>49</v>
      </c>
      <c r="P680">
        <v>0</v>
      </c>
      <c r="Q680" t="s">
        <v>50</v>
      </c>
      <c r="R680" t="s">
        <v>51</v>
      </c>
      <c r="S680">
        <v>1897</v>
      </c>
      <c r="T680">
        <v>1974</v>
      </c>
      <c r="U680" t="s">
        <v>2959</v>
      </c>
      <c r="V680" t="s">
        <v>2960</v>
      </c>
      <c r="W680" s="1">
        <v>27078</v>
      </c>
      <c r="X680" s="2">
        <v>27078</v>
      </c>
      <c r="Y680" t="s">
        <v>2961</v>
      </c>
      <c r="Z680">
        <v>1</v>
      </c>
      <c r="AA680">
        <v>1</v>
      </c>
      <c r="AB680">
        <v>0</v>
      </c>
      <c r="AC680">
        <v>0</v>
      </c>
      <c r="AF680">
        <v>1948</v>
      </c>
      <c r="AG680">
        <v>1950</v>
      </c>
      <c r="AN680">
        <v>-4.67</v>
      </c>
      <c r="AO680" t="b">
        <v>0</v>
      </c>
      <c r="AT680">
        <v>580</v>
      </c>
      <c r="AU680">
        <f t="shared" si="32"/>
        <v>1.589</v>
      </c>
    </row>
    <row r="681" spans="1:47" x14ac:dyDescent="0.3">
      <c r="A681">
        <v>679</v>
      </c>
      <c r="B681" t="s">
        <v>2962</v>
      </c>
      <c r="C681" t="s">
        <v>2963</v>
      </c>
      <c r="D681">
        <v>135</v>
      </c>
      <c r="E681" t="s">
        <v>2830</v>
      </c>
      <c r="F681" t="str">
        <f>VLOOKUP(E681,country_continent!A:C,2,FALSE)</f>
        <v>Peru</v>
      </c>
      <c r="G681" t="str">
        <f>VLOOKUP(E681,country_continent!A:C,3,FALSE)</f>
        <v>South America</v>
      </c>
      <c r="H681" t="s">
        <v>2076</v>
      </c>
      <c r="I681" s="1">
        <v>18415</v>
      </c>
      <c r="J681" s="3">
        <f t="shared" si="30"/>
        <v>18415</v>
      </c>
      <c r="K681" s="1">
        <v>18472</v>
      </c>
      <c r="L681" s="3">
        <f t="shared" si="31"/>
        <v>18472</v>
      </c>
      <c r="M681" t="s">
        <v>49</v>
      </c>
      <c r="N681" t="s">
        <v>49</v>
      </c>
      <c r="O681" t="s">
        <v>49</v>
      </c>
      <c r="P681">
        <v>0</v>
      </c>
      <c r="Q681" t="s">
        <v>50</v>
      </c>
      <c r="R681" t="s">
        <v>51</v>
      </c>
      <c r="S681">
        <v>1900</v>
      </c>
      <c r="T681">
        <v>1957</v>
      </c>
      <c r="Y681" t="s">
        <v>2964</v>
      </c>
      <c r="Z681">
        <v>0</v>
      </c>
      <c r="AA681">
        <v>1</v>
      </c>
      <c r="AB681">
        <v>0</v>
      </c>
      <c r="AC681">
        <v>0</v>
      </c>
      <c r="AF681">
        <v>1950</v>
      </c>
      <c r="AG681">
        <v>1950</v>
      </c>
      <c r="AN681">
        <v>-2</v>
      </c>
      <c r="AO681" t="b">
        <v>0</v>
      </c>
      <c r="AT681">
        <v>57</v>
      </c>
      <c r="AU681">
        <f t="shared" si="32"/>
        <v>0.156</v>
      </c>
    </row>
    <row r="682" spans="1:47" x14ac:dyDescent="0.3">
      <c r="A682">
        <v>680</v>
      </c>
      <c r="B682" t="s">
        <v>2965</v>
      </c>
      <c r="C682" t="s">
        <v>2957</v>
      </c>
      <c r="D682">
        <v>135</v>
      </c>
      <c r="E682" t="s">
        <v>2830</v>
      </c>
      <c r="F682" t="str">
        <f>VLOOKUP(E682,country_continent!A:C,2,FALSE)</f>
        <v>Peru</v>
      </c>
      <c r="G682" t="str">
        <f>VLOOKUP(E682,country_continent!A:C,3,FALSE)</f>
        <v>South America</v>
      </c>
      <c r="H682" t="s">
        <v>2958</v>
      </c>
      <c r="I682" s="1">
        <v>18472</v>
      </c>
      <c r="J682" s="3">
        <f t="shared" si="30"/>
        <v>18472</v>
      </c>
      <c r="K682" s="1">
        <v>20664</v>
      </c>
      <c r="L682" s="3">
        <f t="shared" si="31"/>
        <v>20664</v>
      </c>
      <c r="M682" t="s">
        <v>49</v>
      </c>
      <c r="N682" t="s">
        <v>49</v>
      </c>
      <c r="O682" t="s">
        <v>49</v>
      </c>
      <c r="P682">
        <v>1</v>
      </c>
      <c r="Q682" t="s">
        <v>362</v>
      </c>
      <c r="R682" t="s">
        <v>51</v>
      </c>
      <c r="S682">
        <v>1897</v>
      </c>
      <c r="T682">
        <v>1974</v>
      </c>
      <c r="U682" t="s">
        <v>2959</v>
      </c>
      <c r="V682" t="s">
        <v>2960</v>
      </c>
      <c r="W682" s="1">
        <v>27078</v>
      </c>
      <c r="X682" s="2">
        <v>27078</v>
      </c>
      <c r="Y682" t="s">
        <v>2961</v>
      </c>
      <c r="Z682">
        <v>0</v>
      </c>
      <c r="AA682">
        <v>1</v>
      </c>
      <c r="AB682">
        <v>0</v>
      </c>
      <c r="AC682">
        <v>1</v>
      </c>
      <c r="AF682">
        <v>1950</v>
      </c>
      <c r="AG682">
        <v>1956</v>
      </c>
      <c r="AN682">
        <v>-1</v>
      </c>
      <c r="AO682" t="b">
        <v>0</v>
      </c>
      <c r="AT682">
        <v>2192</v>
      </c>
      <c r="AU682">
        <f t="shared" si="32"/>
        <v>6.0049999999999999</v>
      </c>
    </row>
    <row r="683" spans="1:47" x14ac:dyDescent="0.3">
      <c r="A683">
        <v>681</v>
      </c>
      <c r="B683" t="s">
        <v>2966</v>
      </c>
      <c r="C683" t="s">
        <v>2947</v>
      </c>
      <c r="D683">
        <v>135</v>
      </c>
      <c r="E683" t="s">
        <v>2830</v>
      </c>
      <c r="F683" t="str">
        <f>VLOOKUP(E683,country_continent!A:C,2,FALSE)</f>
        <v>Peru</v>
      </c>
      <c r="G683" t="str">
        <f>VLOOKUP(E683,country_continent!A:C,3,FALSE)</f>
        <v>South America</v>
      </c>
      <c r="H683" t="s">
        <v>2948</v>
      </c>
      <c r="I683" s="1">
        <v>20664</v>
      </c>
      <c r="J683" s="3">
        <f t="shared" si="30"/>
        <v>20664</v>
      </c>
      <c r="K683" s="1">
        <v>22846</v>
      </c>
      <c r="L683" s="3">
        <f t="shared" si="31"/>
        <v>22846</v>
      </c>
      <c r="M683" t="s">
        <v>49</v>
      </c>
      <c r="N683" t="s">
        <v>67</v>
      </c>
      <c r="O683" t="s">
        <v>376</v>
      </c>
      <c r="P683">
        <v>1</v>
      </c>
      <c r="Q683" t="s">
        <v>463</v>
      </c>
      <c r="R683" t="s">
        <v>51</v>
      </c>
      <c r="S683">
        <v>1889</v>
      </c>
      <c r="T683">
        <v>1967</v>
      </c>
      <c r="U683" t="s">
        <v>988</v>
      </c>
      <c r="V683" t="s">
        <v>989</v>
      </c>
      <c r="Y683" t="s">
        <v>2949</v>
      </c>
      <c r="Z683">
        <v>0</v>
      </c>
      <c r="AA683">
        <v>3</v>
      </c>
      <c r="AB683">
        <v>6</v>
      </c>
      <c r="AC683">
        <v>2</v>
      </c>
      <c r="AD683" t="s">
        <v>2950</v>
      </c>
      <c r="AE683">
        <v>1</v>
      </c>
      <c r="AF683">
        <v>1956</v>
      </c>
      <c r="AG683">
        <v>1962</v>
      </c>
      <c r="AH683">
        <v>5.5700628914635599</v>
      </c>
      <c r="AI683">
        <v>290</v>
      </c>
      <c r="AJ683">
        <v>3.0580948236407699</v>
      </c>
      <c r="AK683">
        <v>222.266666666666</v>
      </c>
      <c r="AL683">
        <v>2.9136187089786199</v>
      </c>
      <c r="AN683">
        <v>3.43</v>
      </c>
      <c r="AO683" t="b">
        <v>0</v>
      </c>
      <c r="AT683">
        <v>2182</v>
      </c>
      <c r="AU683">
        <f t="shared" si="32"/>
        <v>5.9779999999999998</v>
      </c>
    </row>
    <row r="684" spans="1:47" x14ac:dyDescent="0.3">
      <c r="A684">
        <v>682</v>
      </c>
      <c r="B684" t="s">
        <v>2967</v>
      </c>
      <c r="C684" t="s">
        <v>2968</v>
      </c>
      <c r="D684">
        <v>135</v>
      </c>
      <c r="E684" t="s">
        <v>2830</v>
      </c>
      <c r="F684" t="str">
        <f>VLOOKUP(E684,country_continent!A:C,2,FALSE)</f>
        <v>Peru</v>
      </c>
      <c r="G684" t="str">
        <f>VLOOKUP(E684,country_continent!A:C,3,FALSE)</f>
        <v>South America</v>
      </c>
      <c r="H684" t="s">
        <v>2969</v>
      </c>
      <c r="I684" s="1">
        <v>22846</v>
      </c>
      <c r="J684" s="3">
        <f t="shared" si="30"/>
        <v>22846</v>
      </c>
      <c r="K684" s="1">
        <v>23073</v>
      </c>
      <c r="L684" s="3">
        <f t="shared" si="31"/>
        <v>23073</v>
      </c>
      <c r="M684" t="s">
        <v>67</v>
      </c>
      <c r="N684" t="s">
        <v>67</v>
      </c>
      <c r="O684" t="s">
        <v>389</v>
      </c>
      <c r="P684">
        <v>0</v>
      </c>
      <c r="Q684" t="s">
        <v>463</v>
      </c>
      <c r="R684" t="s">
        <v>51</v>
      </c>
      <c r="S684">
        <v>1905</v>
      </c>
      <c r="T684">
        <v>1982</v>
      </c>
      <c r="U684" s="1">
        <v>1987</v>
      </c>
      <c r="V684" s="2">
        <v>1987</v>
      </c>
      <c r="Y684" t="s">
        <v>2970</v>
      </c>
      <c r="Z684">
        <v>1</v>
      </c>
      <c r="AA684">
        <v>3</v>
      </c>
      <c r="AB684">
        <v>16</v>
      </c>
      <c r="AC684">
        <v>2</v>
      </c>
      <c r="AF684">
        <v>1962</v>
      </c>
      <c r="AG684">
        <v>1963</v>
      </c>
      <c r="AH684">
        <v>4.1111761476787798</v>
      </c>
      <c r="AI684">
        <v>295</v>
      </c>
      <c r="AJ684">
        <v>4.0133272943029104</v>
      </c>
      <c r="AK684">
        <v>212.45</v>
      </c>
      <c r="AL684">
        <v>2.9065490778853902</v>
      </c>
      <c r="AN684">
        <v>-0.5</v>
      </c>
      <c r="AO684" t="b">
        <v>0</v>
      </c>
      <c r="AT684">
        <v>227</v>
      </c>
      <c r="AU684">
        <f t="shared" si="32"/>
        <v>0.622</v>
      </c>
    </row>
    <row r="685" spans="1:47" x14ac:dyDescent="0.3">
      <c r="A685">
        <v>683</v>
      </c>
      <c r="B685" t="s">
        <v>2971</v>
      </c>
      <c r="C685" t="s">
        <v>2972</v>
      </c>
      <c r="D685">
        <v>135</v>
      </c>
      <c r="E685" t="s">
        <v>2830</v>
      </c>
      <c r="F685" t="str">
        <f>VLOOKUP(E685,country_continent!A:C,2,FALSE)</f>
        <v>Peru</v>
      </c>
      <c r="G685" t="str">
        <f>VLOOKUP(E685,country_continent!A:C,3,FALSE)</f>
        <v>South America</v>
      </c>
      <c r="H685" t="s">
        <v>2973</v>
      </c>
      <c r="I685" s="1">
        <v>23073</v>
      </c>
      <c r="J685" s="3">
        <f t="shared" si="30"/>
        <v>23073</v>
      </c>
      <c r="K685" s="1">
        <v>23220</v>
      </c>
      <c r="L685" s="3">
        <f t="shared" si="31"/>
        <v>23220</v>
      </c>
      <c r="M685" t="s">
        <v>67</v>
      </c>
      <c r="N685" t="s">
        <v>49</v>
      </c>
      <c r="O685" t="s">
        <v>49</v>
      </c>
      <c r="P685">
        <v>0</v>
      </c>
      <c r="Q685" t="s">
        <v>50</v>
      </c>
      <c r="R685" t="s">
        <v>51</v>
      </c>
      <c r="S685">
        <v>1908</v>
      </c>
      <c r="T685">
        <v>1995</v>
      </c>
      <c r="Y685" t="s">
        <v>2974</v>
      </c>
      <c r="Z685">
        <v>1</v>
      </c>
      <c r="AA685">
        <v>1</v>
      </c>
      <c r="AB685">
        <v>0</v>
      </c>
      <c r="AC685">
        <v>0</v>
      </c>
      <c r="AF685">
        <v>1963</v>
      </c>
      <c r="AG685">
        <v>1963</v>
      </c>
      <c r="AH685">
        <v>1.34477227513549</v>
      </c>
      <c r="AI685">
        <v>300</v>
      </c>
      <c r="AJ685">
        <v>5.01379927326985</v>
      </c>
      <c r="AK685">
        <v>209</v>
      </c>
      <c r="AL685">
        <v>2.9013886238877999</v>
      </c>
      <c r="AN685">
        <v>5</v>
      </c>
      <c r="AO685" t="b">
        <v>0</v>
      </c>
      <c r="AT685">
        <v>147</v>
      </c>
      <c r="AU685">
        <f t="shared" si="32"/>
        <v>0.40300000000000002</v>
      </c>
    </row>
    <row r="686" spans="1:47" x14ac:dyDescent="0.3">
      <c r="A686">
        <v>684</v>
      </c>
      <c r="B686" t="s">
        <v>2975</v>
      </c>
      <c r="C686" t="s">
        <v>2976</v>
      </c>
      <c r="D686">
        <v>135</v>
      </c>
      <c r="E686" t="s">
        <v>2830</v>
      </c>
      <c r="F686" t="str">
        <f>VLOOKUP(E686,country_continent!A:C,2,FALSE)</f>
        <v>Peru</v>
      </c>
      <c r="G686" t="str">
        <f>VLOOKUP(E686,country_continent!A:C,3,FALSE)</f>
        <v>South America</v>
      </c>
      <c r="H686" t="s">
        <v>2977</v>
      </c>
      <c r="I686" s="1">
        <v>23220</v>
      </c>
      <c r="J686" s="3">
        <f t="shared" si="30"/>
        <v>23220</v>
      </c>
      <c r="K686" s="1">
        <v>25114</v>
      </c>
      <c r="L686" s="3">
        <f t="shared" si="31"/>
        <v>25114</v>
      </c>
      <c r="M686" t="s">
        <v>49</v>
      </c>
      <c r="N686" t="s">
        <v>67</v>
      </c>
      <c r="O686" t="s">
        <v>376</v>
      </c>
      <c r="P686">
        <v>0</v>
      </c>
      <c r="Q686" t="s">
        <v>362</v>
      </c>
      <c r="R686" t="s">
        <v>51</v>
      </c>
      <c r="S686">
        <v>1913</v>
      </c>
      <c r="T686">
        <v>2002</v>
      </c>
      <c r="U686" s="1">
        <v>5029</v>
      </c>
      <c r="V686" s="2">
        <v>5029</v>
      </c>
      <c r="W686" s="1">
        <v>37411</v>
      </c>
      <c r="X686" s="2">
        <v>37411</v>
      </c>
      <c r="Y686" t="s">
        <v>2978</v>
      </c>
      <c r="Z686">
        <v>0</v>
      </c>
      <c r="AA686">
        <v>3</v>
      </c>
      <c r="AB686">
        <v>6</v>
      </c>
      <c r="AC686">
        <v>1</v>
      </c>
      <c r="AF686">
        <v>1963</v>
      </c>
      <c r="AG686">
        <v>1968</v>
      </c>
      <c r="AH686">
        <v>1.8346636165561601</v>
      </c>
      <c r="AI686">
        <v>401.666666666666</v>
      </c>
      <c r="AJ686">
        <v>11.4295271145199</v>
      </c>
      <c r="AK686">
        <v>191.46666666666599</v>
      </c>
      <c r="AL686">
        <v>2.8606128683630598</v>
      </c>
      <c r="AN686">
        <v>3</v>
      </c>
      <c r="AO686" t="b">
        <v>0</v>
      </c>
      <c r="AT686">
        <v>1894</v>
      </c>
      <c r="AU686">
        <f t="shared" si="32"/>
        <v>5.1890000000000001</v>
      </c>
    </row>
    <row r="687" spans="1:47" x14ac:dyDescent="0.3">
      <c r="A687">
        <v>685</v>
      </c>
      <c r="B687" t="s">
        <v>2979</v>
      </c>
      <c r="C687" t="s">
        <v>2980</v>
      </c>
      <c r="D687">
        <v>135</v>
      </c>
      <c r="E687" t="s">
        <v>2830</v>
      </c>
      <c r="F687" t="str">
        <f>VLOOKUP(E687,country_continent!A:C,2,FALSE)</f>
        <v>Peru</v>
      </c>
      <c r="G687" t="str">
        <f>VLOOKUP(E687,country_continent!A:C,3,FALSE)</f>
        <v>South America</v>
      </c>
      <c r="H687" t="s">
        <v>2981</v>
      </c>
      <c r="I687" s="1">
        <v>25114</v>
      </c>
      <c r="J687" s="3">
        <f t="shared" si="30"/>
        <v>25114</v>
      </c>
      <c r="K687" s="1">
        <v>27635</v>
      </c>
      <c r="L687" s="3">
        <f t="shared" si="31"/>
        <v>27635</v>
      </c>
      <c r="M687" t="s">
        <v>67</v>
      </c>
      <c r="N687" t="s">
        <v>67</v>
      </c>
      <c r="O687" t="s">
        <v>376</v>
      </c>
      <c r="P687">
        <v>0</v>
      </c>
      <c r="Q687" t="s">
        <v>50</v>
      </c>
      <c r="R687" t="s">
        <v>51</v>
      </c>
      <c r="S687">
        <v>1910</v>
      </c>
      <c r="T687">
        <v>1977</v>
      </c>
      <c r="U687" s="1">
        <v>3820</v>
      </c>
      <c r="V687" s="2">
        <v>3820</v>
      </c>
      <c r="Y687" t="s">
        <v>2982</v>
      </c>
      <c r="Z687">
        <v>1</v>
      </c>
      <c r="AA687">
        <v>3</v>
      </c>
      <c r="AB687">
        <v>6</v>
      </c>
      <c r="AC687">
        <v>0</v>
      </c>
      <c r="AF687">
        <v>1968</v>
      </c>
      <c r="AG687">
        <v>1975</v>
      </c>
      <c r="AH687">
        <v>1.7003380569387301</v>
      </c>
      <c r="AI687">
        <v>673.75</v>
      </c>
      <c r="AJ687">
        <v>12.773210194152099</v>
      </c>
      <c r="AK687">
        <v>162.39999999999901</v>
      </c>
      <c r="AL687">
        <v>2.6055552947243599</v>
      </c>
      <c r="AM687">
        <v>3.8861093670557398</v>
      </c>
      <c r="AN687">
        <v>-7</v>
      </c>
      <c r="AO687" t="b">
        <v>0</v>
      </c>
      <c r="AT687">
        <v>2521</v>
      </c>
      <c r="AU687">
        <f t="shared" si="32"/>
        <v>6.907</v>
      </c>
    </row>
    <row r="688" spans="1:47" x14ac:dyDescent="0.3">
      <c r="A688">
        <v>686</v>
      </c>
      <c r="B688" t="s">
        <v>2983</v>
      </c>
      <c r="C688" t="s">
        <v>2984</v>
      </c>
      <c r="D688">
        <v>135</v>
      </c>
      <c r="E688" t="s">
        <v>2830</v>
      </c>
      <c r="F688" t="str">
        <f>VLOOKUP(E688,country_continent!A:C,2,FALSE)</f>
        <v>Peru</v>
      </c>
      <c r="G688" t="str">
        <f>VLOOKUP(E688,country_continent!A:C,3,FALSE)</f>
        <v>South America</v>
      </c>
      <c r="H688" t="s">
        <v>2985</v>
      </c>
      <c r="I688" s="1">
        <v>27636</v>
      </c>
      <c r="J688" s="3">
        <f t="shared" si="30"/>
        <v>27636</v>
      </c>
      <c r="K688" s="1">
        <v>29430</v>
      </c>
      <c r="L688" s="3">
        <f t="shared" si="31"/>
        <v>29430</v>
      </c>
      <c r="M688" t="s">
        <v>67</v>
      </c>
      <c r="N688" t="s">
        <v>49</v>
      </c>
      <c r="O688" t="s">
        <v>49</v>
      </c>
      <c r="P688">
        <v>0</v>
      </c>
      <c r="Q688" t="s">
        <v>50</v>
      </c>
      <c r="R688" t="s">
        <v>51</v>
      </c>
      <c r="S688">
        <v>1921</v>
      </c>
      <c r="T688">
        <v>-777</v>
      </c>
      <c r="U688" s="1">
        <v>7948</v>
      </c>
      <c r="V688" s="2">
        <v>7948</v>
      </c>
      <c r="Y688" t="s">
        <v>2986</v>
      </c>
      <c r="Z688">
        <v>1</v>
      </c>
      <c r="AA688">
        <v>1</v>
      </c>
      <c r="AB688">
        <v>0</v>
      </c>
      <c r="AC688">
        <v>0</v>
      </c>
      <c r="AD688" t="s">
        <v>2987</v>
      </c>
      <c r="AE688">
        <v>1</v>
      </c>
      <c r="AF688">
        <v>1975</v>
      </c>
      <c r="AG688">
        <v>1980</v>
      </c>
      <c r="AH688">
        <v>-0.261155894082991</v>
      </c>
      <c r="AI688">
        <v>1003.33333333333</v>
      </c>
      <c r="AJ688">
        <v>44.277311248605599</v>
      </c>
      <c r="AK688">
        <v>133.86666666666599</v>
      </c>
      <c r="AL688">
        <v>2.4845651489780001</v>
      </c>
      <c r="AM688">
        <v>7.4064963610552796</v>
      </c>
      <c r="AN688">
        <v>-2.17</v>
      </c>
      <c r="AO688" t="b">
        <v>0</v>
      </c>
      <c r="AT688">
        <v>1794</v>
      </c>
      <c r="AU688">
        <f t="shared" si="32"/>
        <v>4.915</v>
      </c>
    </row>
    <row r="689" spans="1:47" x14ac:dyDescent="0.3">
      <c r="A689">
        <v>687</v>
      </c>
      <c r="B689" t="s">
        <v>2988</v>
      </c>
      <c r="C689" t="s">
        <v>2976</v>
      </c>
      <c r="D689">
        <v>135</v>
      </c>
      <c r="E689" t="s">
        <v>2830</v>
      </c>
      <c r="F689" t="str">
        <f>VLOOKUP(E689,country_continent!A:C,2,FALSE)</f>
        <v>Peru</v>
      </c>
      <c r="G689" t="str">
        <f>VLOOKUP(E689,country_continent!A:C,3,FALSE)</f>
        <v>South America</v>
      </c>
      <c r="H689" t="s">
        <v>2977</v>
      </c>
      <c r="I689" s="1">
        <v>29430</v>
      </c>
      <c r="J689" s="3">
        <f t="shared" si="30"/>
        <v>29430</v>
      </c>
      <c r="K689" s="1">
        <v>31256</v>
      </c>
      <c r="L689" s="3">
        <f t="shared" si="31"/>
        <v>31256</v>
      </c>
      <c r="M689" t="s">
        <v>49</v>
      </c>
      <c r="N689" t="s">
        <v>49</v>
      </c>
      <c r="O689" t="s">
        <v>49</v>
      </c>
      <c r="P689">
        <v>1</v>
      </c>
      <c r="Q689" t="s">
        <v>50</v>
      </c>
      <c r="R689" t="s">
        <v>51</v>
      </c>
      <c r="S689">
        <v>1913</v>
      </c>
      <c r="T689">
        <v>2002</v>
      </c>
      <c r="U689" s="1">
        <v>5029</v>
      </c>
      <c r="V689" s="2">
        <v>5029</v>
      </c>
      <c r="W689" s="1">
        <v>37411</v>
      </c>
      <c r="X689" s="2">
        <v>37411</v>
      </c>
      <c r="Y689" t="s">
        <v>2978</v>
      </c>
      <c r="Z689">
        <v>0</v>
      </c>
      <c r="AA689">
        <v>1</v>
      </c>
      <c r="AB689">
        <v>0</v>
      </c>
      <c r="AC689">
        <v>0</v>
      </c>
      <c r="AF689">
        <v>1980</v>
      </c>
      <c r="AG689">
        <v>1985</v>
      </c>
      <c r="AH689">
        <v>-1.38572755491342</v>
      </c>
      <c r="AI689">
        <v>998.33333333333303</v>
      </c>
      <c r="AJ689">
        <v>91.922207691587005</v>
      </c>
      <c r="AK689">
        <v>117.016666666666</v>
      </c>
      <c r="AL689">
        <v>2.4785557529078099</v>
      </c>
      <c r="AM689">
        <v>10.305085854144</v>
      </c>
      <c r="AN689">
        <v>7</v>
      </c>
      <c r="AO689" t="b">
        <v>0</v>
      </c>
      <c r="AT689">
        <v>1826</v>
      </c>
      <c r="AU689">
        <f t="shared" si="32"/>
        <v>5.0030000000000001</v>
      </c>
    </row>
    <row r="690" spans="1:47" x14ac:dyDescent="0.3">
      <c r="A690">
        <v>688</v>
      </c>
      <c r="B690" t="s">
        <v>2989</v>
      </c>
      <c r="C690" t="s">
        <v>2990</v>
      </c>
      <c r="D690">
        <v>135</v>
      </c>
      <c r="E690" t="s">
        <v>2830</v>
      </c>
      <c r="F690" t="str">
        <f>VLOOKUP(E690,country_continent!A:C,2,FALSE)</f>
        <v>Peru</v>
      </c>
      <c r="G690" t="str">
        <f>VLOOKUP(E690,country_continent!A:C,3,FALSE)</f>
        <v>South America</v>
      </c>
      <c r="H690" t="s">
        <v>2991</v>
      </c>
      <c r="I690" s="1">
        <v>31256</v>
      </c>
      <c r="J690" s="3">
        <f t="shared" si="30"/>
        <v>31256</v>
      </c>
      <c r="K690" s="1">
        <v>33082</v>
      </c>
      <c r="L690" s="3">
        <f t="shared" si="31"/>
        <v>33082</v>
      </c>
      <c r="M690" t="s">
        <v>49</v>
      </c>
      <c r="N690" t="s">
        <v>49</v>
      </c>
      <c r="O690" t="s">
        <v>49</v>
      </c>
      <c r="P690">
        <v>0</v>
      </c>
      <c r="Q690" t="s">
        <v>50</v>
      </c>
      <c r="R690" t="s">
        <v>51</v>
      </c>
      <c r="S690">
        <v>1949</v>
      </c>
      <c r="T690">
        <v>-777</v>
      </c>
      <c r="U690" s="1">
        <v>18041</v>
      </c>
      <c r="V690" s="2">
        <v>18041</v>
      </c>
      <c r="Z690">
        <v>0</v>
      </c>
      <c r="AA690">
        <v>1</v>
      </c>
      <c r="AB690">
        <v>0</v>
      </c>
      <c r="AC690">
        <v>0</v>
      </c>
      <c r="AF690">
        <v>1985</v>
      </c>
      <c r="AG690">
        <v>1990</v>
      </c>
      <c r="AH690">
        <v>-3.17863692288195</v>
      </c>
      <c r="AI690">
        <v>956.66666666666595</v>
      </c>
      <c r="AJ690">
        <v>1623.26539094858</v>
      </c>
      <c r="AK690">
        <v>92.25</v>
      </c>
      <c r="AL690">
        <v>2.3020183493850301</v>
      </c>
      <c r="AM690">
        <v>10.028931391370399</v>
      </c>
      <c r="AN690">
        <v>7.17</v>
      </c>
      <c r="AO690" t="b">
        <v>0</v>
      </c>
      <c r="AT690">
        <v>1826</v>
      </c>
      <c r="AU690">
        <f t="shared" si="32"/>
        <v>5.0030000000000001</v>
      </c>
    </row>
    <row r="691" spans="1:47" x14ac:dyDescent="0.3">
      <c r="A691">
        <v>689</v>
      </c>
      <c r="B691" t="s">
        <v>2992</v>
      </c>
      <c r="C691" t="s">
        <v>2993</v>
      </c>
      <c r="D691">
        <v>135</v>
      </c>
      <c r="E691" t="s">
        <v>2830</v>
      </c>
      <c r="F691" t="str">
        <f>VLOOKUP(E691,country_continent!A:C,2,FALSE)</f>
        <v>Peru</v>
      </c>
      <c r="G691" t="str">
        <f>VLOOKUP(E691,country_continent!A:C,3,FALSE)</f>
        <v>South America</v>
      </c>
      <c r="H691" t="s">
        <v>2994</v>
      </c>
      <c r="I691" s="1">
        <v>33082</v>
      </c>
      <c r="J691" s="3">
        <f t="shared" si="30"/>
        <v>33082</v>
      </c>
      <c r="K691" s="1">
        <v>36852</v>
      </c>
      <c r="L691" s="3">
        <f t="shared" si="31"/>
        <v>36852</v>
      </c>
      <c r="M691" t="s">
        <v>49</v>
      </c>
      <c r="N691" t="s">
        <v>49</v>
      </c>
      <c r="O691" t="s">
        <v>49</v>
      </c>
      <c r="P691">
        <v>0</v>
      </c>
      <c r="Q691" t="s">
        <v>362</v>
      </c>
      <c r="R691" t="s">
        <v>51</v>
      </c>
      <c r="S691">
        <v>1938</v>
      </c>
      <c r="T691">
        <v>-777</v>
      </c>
      <c r="U691" s="1">
        <v>14089</v>
      </c>
      <c r="V691" s="2">
        <v>14089</v>
      </c>
      <c r="Z691">
        <v>0</v>
      </c>
      <c r="AA691">
        <v>1</v>
      </c>
      <c r="AB691">
        <v>0</v>
      </c>
      <c r="AC691">
        <v>1</v>
      </c>
      <c r="AF691">
        <v>1990</v>
      </c>
      <c r="AG691">
        <v>2000</v>
      </c>
      <c r="AH691">
        <v>1.1966261664084901</v>
      </c>
      <c r="AI691">
        <v>1754.54545454545</v>
      </c>
      <c r="AJ691">
        <v>620.36306416537195</v>
      </c>
      <c r="AK691">
        <v>58.5818181818181</v>
      </c>
      <c r="AL691">
        <v>1.9207355863518101</v>
      </c>
      <c r="AM691">
        <v>3.2623927210069898</v>
      </c>
      <c r="AN691">
        <v>0.82</v>
      </c>
      <c r="AO691" t="b">
        <v>0</v>
      </c>
      <c r="AT691">
        <v>3770</v>
      </c>
      <c r="AU691">
        <f t="shared" si="32"/>
        <v>10.329000000000001</v>
      </c>
    </row>
    <row r="692" spans="1:47" x14ac:dyDescent="0.3">
      <c r="A692">
        <v>690</v>
      </c>
      <c r="B692" t="s">
        <v>2995</v>
      </c>
      <c r="C692" t="s">
        <v>2996</v>
      </c>
      <c r="D692">
        <v>135</v>
      </c>
      <c r="E692" t="s">
        <v>2830</v>
      </c>
      <c r="F692" t="str">
        <f>VLOOKUP(E692,country_continent!A:C,2,FALSE)</f>
        <v>Peru</v>
      </c>
      <c r="G692" t="str">
        <f>VLOOKUP(E692,country_continent!A:C,3,FALSE)</f>
        <v>South America</v>
      </c>
      <c r="H692" t="s">
        <v>2997</v>
      </c>
      <c r="I692" s="1">
        <v>36853</v>
      </c>
      <c r="J692" s="3">
        <f t="shared" si="30"/>
        <v>36853</v>
      </c>
      <c r="K692" s="1">
        <v>37100</v>
      </c>
      <c r="L692" s="3">
        <f t="shared" si="31"/>
        <v>37100</v>
      </c>
      <c r="M692" t="s">
        <v>49</v>
      </c>
      <c r="N692" t="s">
        <v>49</v>
      </c>
      <c r="O692" t="s">
        <v>49</v>
      </c>
      <c r="P692">
        <v>0</v>
      </c>
      <c r="Q692" t="s">
        <v>50</v>
      </c>
      <c r="R692" t="s">
        <v>51</v>
      </c>
      <c r="S692">
        <v>1936</v>
      </c>
      <c r="T692">
        <v>2006</v>
      </c>
      <c r="Y692" t="s">
        <v>2998</v>
      </c>
      <c r="Z692">
        <v>0</v>
      </c>
      <c r="AA692">
        <v>1</v>
      </c>
      <c r="AB692">
        <v>0</v>
      </c>
      <c r="AC692">
        <v>0</v>
      </c>
      <c r="AF692">
        <v>2000</v>
      </c>
      <c r="AG692">
        <v>2001</v>
      </c>
      <c r="AH692">
        <v>0.17774890802740301</v>
      </c>
      <c r="AI692">
        <v>1925</v>
      </c>
      <c r="AJ692">
        <v>1.9899841708534201</v>
      </c>
      <c r="AK692">
        <v>36.4</v>
      </c>
      <c r="AL692">
        <v>1.4640384087256599</v>
      </c>
      <c r="AM692">
        <v>2.4385062550467298</v>
      </c>
      <c r="AN692">
        <v>6.5</v>
      </c>
      <c r="AO692" t="b">
        <v>0</v>
      </c>
      <c r="AT692">
        <v>247</v>
      </c>
      <c r="AU692">
        <f t="shared" si="32"/>
        <v>0.67700000000000005</v>
      </c>
    </row>
    <row r="693" spans="1:47" x14ac:dyDescent="0.3">
      <c r="A693">
        <v>691</v>
      </c>
      <c r="B693" t="s">
        <v>2999</v>
      </c>
      <c r="C693" t="s">
        <v>3000</v>
      </c>
      <c r="D693">
        <v>135</v>
      </c>
      <c r="E693" t="s">
        <v>2830</v>
      </c>
      <c r="F693" t="str">
        <f>VLOOKUP(E693,country_continent!A:C,2,FALSE)</f>
        <v>Peru</v>
      </c>
      <c r="G693" t="str">
        <f>VLOOKUP(E693,country_continent!A:C,3,FALSE)</f>
        <v>South America</v>
      </c>
      <c r="H693" t="s">
        <v>3001</v>
      </c>
      <c r="I693" s="1">
        <v>37100</v>
      </c>
      <c r="J693" s="3">
        <f t="shared" si="30"/>
        <v>37100</v>
      </c>
      <c r="K693" s="1">
        <v>38926</v>
      </c>
      <c r="L693" s="3">
        <f t="shared" si="31"/>
        <v>38926</v>
      </c>
      <c r="M693" t="s">
        <v>49</v>
      </c>
      <c r="N693" t="s">
        <v>49</v>
      </c>
      <c r="O693" t="s">
        <v>49</v>
      </c>
      <c r="P693">
        <v>0</v>
      </c>
      <c r="Q693" t="s">
        <v>50</v>
      </c>
      <c r="R693" t="s">
        <v>51</v>
      </c>
      <c r="S693">
        <v>1946</v>
      </c>
      <c r="T693">
        <v>-777</v>
      </c>
      <c r="Z693">
        <v>0</v>
      </c>
      <c r="AA693">
        <v>1</v>
      </c>
      <c r="AB693">
        <v>0</v>
      </c>
      <c r="AC693">
        <v>0</v>
      </c>
      <c r="AF693">
        <v>2001</v>
      </c>
      <c r="AG693">
        <v>2006</v>
      </c>
      <c r="AH693">
        <v>3.7456777438763198</v>
      </c>
      <c r="AI693">
        <v>2245</v>
      </c>
      <c r="AJ693">
        <v>3.3011665080882202</v>
      </c>
      <c r="AK693">
        <v>29.516666666666602</v>
      </c>
      <c r="AL693">
        <v>1.04797278838654</v>
      </c>
      <c r="AM693">
        <v>5.7279171612676398</v>
      </c>
      <c r="AN693">
        <v>9</v>
      </c>
      <c r="AO693" t="b">
        <v>0</v>
      </c>
      <c r="AT693">
        <v>1826</v>
      </c>
      <c r="AU693">
        <f t="shared" si="32"/>
        <v>5.0030000000000001</v>
      </c>
    </row>
    <row r="694" spans="1:47" x14ac:dyDescent="0.3">
      <c r="A694">
        <v>692</v>
      </c>
      <c r="B694" t="s">
        <v>3002</v>
      </c>
      <c r="C694" t="s">
        <v>2990</v>
      </c>
      <c r="D694">
        <v>135</v>
      </c>
      <c r="E694" t="s">
        <v>2830</v>
      </c>
      <c r="F694" t="str">
        <f>VLOOKUP(E694,country_continent!A:C,2,FALSE)</f>
        <v>Peru</v>
      </c>
      <c r="G694" t="str">
        <f>VLOOKUP(E694,country_continent!A:C,3,FALSE)</f>
        <v>South America</v>
      </c>
      <c r="H694" t="s">
        <v>2991</v>
      </c>
      <c r="I694" s="1">
        <v>38926</v>
      </c>
      <c r="J694" s="3">
        <f t="shared" si="30"/>
        <v>38926</v>
      </c>
      <c r="K694" s="1">
        <v>40752</v>
      </c>
      <c r="L694" s="3">
        <f t="shared" si="31"/>
        <v>40752</v>
      </c>
      <c r="M694" t="s">
        <v>49</v>
      </c>
      <c r="N694" t="s">
        <v>49</v>
      </c>
      <c r="O694" t="s">
        <v>49</v>
      </c>
      <c r="P694">
        <v>1</v>
      </c>
      <c r="Q694" t="s">
        <v>50</v>
      </c>
      <c r="R694" t="s">
        <v>51</v>
      </c>
      <c r="S694">
        <v>1949</v>
      </c>
      <c r="T694">
        <v>-777</v>
      </c>
      <c r="Z694">
        <v>0</v>
      </c>
      <c r="AA694">
        <v>1</v>
      </c>
      <c r="AB694">
        <v>0</v>
      </c>
      <c r="AC694">
        <v>0</v>
      </c>
      <c r="AF694">
        <v>2006</v>
      </c>
      <c r="AG694">
        <v>2011</v>
      </c>
      <c r="AH694">
        <v>6.0772834030877201</v>
      </c>
      <c r="AI694">
        <v>3843.3333333333298</v>
      </c>
      <c r="AJ694">
        <v>4.1284023964504497</v>
      </c>
      <c r="AK694">
        <v>22.1</v>
      </c>
      <c r="AL694">
        <v>0.69858986474259299</v>
      </c>
      <c r="AM694">
        <v>12.095301020733199</v>
      </c>
      <c r="AN694">
        <v>9</v>
      </c>
      <c r="AO694" t="b">
        <v>0</v>
      </c>
      <c r="AT694">
        <v>1826</v>
      </c>
      <c r="AU694">
        <f t="shared" si="32"/>
        <v>5.0030000000000001</v>
      </c>
    </row>
    <row r="695" spans="1:47" x14ac:dyDescent="0.3">
      <c r="A695">
        <v>693</v>
      </c>
      <c r="B695" t="s">
        <v>3003</v>
      </c>
      <c r="C695" t="s">
        <v>3004</v>
      </c>
      <c r="D695">
        <v>135</v>
      </c>
      <c r="E695" t="s">
        <v>2830</v>
      </c>
      <c r="F695" t="str">
        <f>VLOOKUP(E695,country_continent!A:C,2,FALSE)</f>
        <v>Peru</v>
      </c>
      <c r="G695" t="str">
        <f>VLOOKUP(E695,country_continent!A:C,3,FALSE)</f>
        <v>South America</v>
      </c>
      <c r="H695" t="s">
        <v>3005</v>
      </c>
      <c r="I695" s="1">
        <v>40752</v>
      </c>
      <c r="J695" s="3">
        <f t="shared" si="30"/>
        <v>40752</v>
      </c>
      <c r="K695" s="1">
        <v>42369</v>
      </c>
      <c r="L695" s="3">
        <f t="shared" si="31"/>
        <v>42369</v>
      </c>
      <c r="M695" t="s">
        <v>49</v>
      </c>
      <c r="N695" t="s">
        <v>173</v>
      </c>
      <c r="O695" t="s">
        <v>173</v>
      </c>
      <c r="P695">
        <v>0</v>
      </c>
      <c r="Q695" t="s">
        <v>174</v>
      </c>
      <c r="R695" t="s">
        <v>51</v>
      </c>
      <c r="S695">
        <v>1962</v>
      </c>
      <c r="T695">
        <v>-777</v>
      </c>
      <c r="U695" s="1">
        <v>22824</v>
      </c>
      <c r="V695" s="2">
        <v>22824</v>
      </c>
      <c r="Z695">
        <v>0</v>
      </c>
      <c r="AA695">
        <v>-888</v>
      </c>
      <c r="AB695">
        <v>-888</v>
      </c>
      <c r="AC695">
        <v>-888</v>
      </c>
      <c r="AF695">
        <v>2011</v>
      </c>
      <c r="AG695">
        <v>2015</v>
      </c>
      <c r="AH695">
        <v>3.83136201456916</v>
      </c>
      <c r="AI695">
        <v>6002</v>
      </c>
      <c r="AJ695">
        <v>2.8257136804482199</v>
      </c>
      <c r="AK695">
        <v>18.48</v>
      </c>
      <c r="AL695">
        <v>0.92155881028122</v>
      </c>
      <c r="AM695">
        <v>7.9988987514817396</v>
      </c>
      <c r="AN695">
        <v>9</v>
      </c>
      <c r="AO695" t="b">
        <v>0</v>
      </c>
      <c r="AT695">
        <v>1617</v>
      </c>
      <c r="AU695">
        <f t="shared" si="32"/>
        <v>4.43</v>
      </c>
    </row>
    <row r="696" spans="1:47" x14ac:dyDescent="0.3">
      <c r="A696">
        <v>694</v>
      </c>
      <c r="B696" t="s">
        <v>3006</v>
      </c>
      <c r="C696" t="s">
        <v>3007</v>
      </c>
      <c r="D696">
        <v>140</v>
      </c>
      <c r="E696" t="s">
        <v>3008</v>
      </c>
      <c r="F696" t="str">
        <f>VLOOKUP(E696,country_continent!A:C,2,FALSE)</f>
        <v>Brazil</v>
      </c>
      <c r="G696" t="str">
        <f>VLOOKUP(E696,country_continent!A:C,3,FALSE)</f>
        <v>South America</v>
      </c>
      <c r="H696" t="s">
        <v>3009</v>
      </c>
      <c r="I696" t="s">
        <v>3010</v>
      </c>
      <c r="J696" s="3" t="str">
        <f t="shared" si="30"/>
        <v>1840/07/23</v>
      </c>
      <c r="K696" t="s">
        <v>3011</v>
      </c>
      <c r="L696" s="3" t="str">
        <f t="shared" si="31"/>
        <v>1889/11/15</v>
      </c>
      <c r="M696" t="s">
        <v>49</v>
      </c>
      <c r="N696" t="s">
        <v>67</v>
      </c>
      <c r="O696" t="s">
        <v>347</v>
      </c>
      <c r="P696">
        <v>0</v>
      </c>
      <c r="Q696" t="s">
        <v>362</v>
      </c>
      <c r="R696" t="s">
        <v>51</v>
      </c>
      <c r="S696">
        <v>1825</v>
      </c>
      <c r="T696">
        <v>1891</v>
      </c>
      <c r="U696" t="s">
        <v>3013</v>
      </c>
      <c r="V696" t="s">
        <v>3014</v>
      </c>
      <c r="W696" t="s">
        <v>3015</v>
      </c>
      <c r="X696" t="s">
        <v>3016</v>
      </c>
      <c r="Y696" t="s">
        <v>3017</v>
      </c>
      <c r="Z696">
        <v>0</v>
      </c>
      <c r="AA696">
        <v>3</v>
      </c>
      <c r="AB696">
        <v>-999</v>
      </c>
      <c r="AC696">
        <v>1</v>
      </c>
      <c r="AF696">
        <v>1840</v>
      </c>
      <c r="AG696">
        <v>1889</v>
      </c>
      <c r="AO696" t="b">
        <v>0</v>
      </c>
      <c r="AT696">
        <v>18012</v>
      </c>
      <c r="AU696">
        <f t="shared" si="32"/>
        <v>49.347999999999999</v>
      </c>
    </row>
    <row r="697" spans="1:47" x14ac:dyDescent="0.3">
      <c r="A697">
        <v>695</v>
      </c>
      <c r="B697" t="s">
        <v>3018</v>
      </c>
      <c r="C697" t="s">
        <v>3019</v>
      </c>
      <c r="D697">
        <v>140</v>
      </c>
      <c r="E697" t="s">
        <v>3008</v>
      </c>
      <c r="F697" t="str">
        <f>VLOOKUP(E697,country_continent!A:C,2,FALSE)</f>
        <v>Brazil</v>
      </c>
      <c r="G697" t="str">
        <f>VLOOKUP(E697,country_continent!A:C,3,FALSE)</f>
        <v>South America</v>
      </c>
      <c r="H697" t="s">
        <v>3020</v>
      </c>
      <c r="I697" t="s">
        <v>3011</v>
      </c>
      <c r="J697" s="3" t="str">
        <f t="shared" si="30"/>
        <v>1889/11/15</v>
      </c>
      <c r="K697" t="s">
        <v>3021</v>
      </c>
      <c r="L697" s="3" t="str">
        <f t="shared" si="31"/>
        <v>1891/11/23</v>
      </c>
      <c r="M697" t="s">
        <v>67</v>
      </c>
      <c r="N697" t="s">
        <v>67</v>
      </c>
      <c r="O697" t="s">
        <v>347</v>
      </c>
      <c r="P697">
        <v>0</v>
      </c>
      <c r="Q697" t="s">
        <v>50</v>
      </c>
      <c r="R697" t="s">
        <v>51</v>
      </c>
      <c r="S697">
        <v>1823</v>
      </c>
      <c r="T697">
        <v>1892</v>
      </c>
      <c r="Z697">
        <v>1</v>
      </c>
      <c r="AA697">
        <v>3</v>
      </c>
      <c r="AB697">
        <v>-999</v>
      </c>
      <c r="AC697">
        <v>0</v>
      </c>
      <c r="AD697" t="s">
        <v>3022</v>
      </c>
      <c r="AE697">
        <v>0</v>
      </c>
      <c r="AF697">
        <v>1889</v>
      </c>
      <c r="AG697">
        <v>1891</v>
      </c>
      <c r="AO697" t="b">
        <v>0</v>
      </c>
      <c r="AT697">
        <v>738</v>
      </c>
      <c r="AU697">
        <f t="shared" si="32"/>
        <v>2.0219999999999998</v>
      </c>
    </row>
    <row r="698" spans="1:47" x14ac:dyDescent="0.3">
      <c r="A698">
        <v>696</v>
      </c>
      <c r="B698" t="s">
        <v>3023</v>
      </c>
      <c r="C698" t="s">
        <v>3024</v>
      </c>
      <c r="D698">
        <v>140</v>
      </c>
      <c r="E698" t="s">
        <v>3008</v>
      </c>
      <c r="F698" t="str">
        <f>VLOOKUP(E698,country_continent!A:C,2,FALSE)</f>
        <v>Brazil</v>
      </c>
      <c r="G698" t="str">
        <f>VLOOKUP(E698,country_continent!A:C,3,FALSE)</f>
        <v>South America</v>
      </c>
      <c r="H698" t="s">
        <v>3025</v>
      </c>
      <c r="I698" t="s">
        <v>3021</v>
      </c>
      <c r="J698" s="3" t="str">
        <f t="shared" si="30"/>
        <v>1891/11/23</v>
      </c>
      <c r="K698" t="s">
        <v>3026</v>
      </c>
      <c r="L698" s="3" t="str">
        <f t="shared" si="31"/>
        <v>1894/11/15</v>
      </c>
      <c r="M698" t="s">
        <v>49</v>
      </c>
      <c r="N698" t="s">
        <v>49</v>
      </c>
      <c r="O698" t="s">
        <v>49</v>
      </c>
      <c r="P698">
        <v>0</v>
      </c>
      <c r="Q698" t="s">
        <v>50</v>
      </c>
      <c r="R698" t="s">
        <v>51</v>
      </c>
      <c r="S698">
        <v>1839</v>
      </c>
      <c r="T698">
        <v>1895</v>
      </c>
      <c r="U698" t="s">
        <v>3027</v>
      </c>
      <c r="V698" t="s">
        <v>3028</v>
      </c>
      <c r="Y698" t="s">
        <v>3029</v>
      </c>
      <c r="Z698">
        <v>0</v>
      </c>
      <c r="AA698">
        <v>1</v>
      </c>
      <c r="AB698">
        <v>0</v>
      </c>
      <c r="AC698">
        <v>0</v>
      </c>
      <c r="AF698">
        <v>1891</v>
      </c>
      <c r="AG698">
        <v>1894</v>
      </c>
      <c r="AO698" t="b">
        <v>0</v>
      </c>
      <c r="AT698">
        <v>1088</v>
      </c>
      <c r="AU698">
        <f t="shared" si="32"/>
        <v>2.9809999999999999</v>
      </c>
    </row>
    <row r="699" spans="1:47" x14ac:dyDescent="0.3">
      <c r="A699">
        <v>697</v>
      </c>
      <c r="B699" t="s">
        <v>3030</v>
      </c>
      <c r="C699" t="s">
        <v>3031</v>
      </c>
      <c r="D699">
        <v>140</v>
      </c>
      <c r="E699" t="s">
        <v>3008</v>
      </c>
      <c r="F699" t="str">
        <f>VLOOKUP(E699,country_continent!A:C,2,FALSE)</f>
        <v>Brazil</v>
      </c>
      <c r="G699" t="str">
        <f>VLOOKUP(E699,country_continent!A:C,3,FALSE)</f>
        <v>South America</v>
      </c>
      <c r="H699" t="s">
        <v>3032</v>
      </c>
      <c r="I699" t="s">
        <v>3026</v>
      </c>
      <c r="J699" s="3" t="str">
        <f t="shared" si="30"/>
        <v>1894/11/15</v>
      </c>
      <c r="K699" t="s">
        <v>3033</v>
      </c>
      <c r="L699" s="3" t="str">
        <f t="shared" si="31"/>
        <v>1898/11/15</v>
      </c>
      <c r="M699" t="s">
        <v>49</v>
      </c>
      <c r="N699" t="s">
        <v>49</v>
      </c>
      <c r="O699" t="s">
        <v>49</v>
      </c>
      <c r="P699">
        <v>0</v>
      </c>
      <c r="Q699" t="s">
        <v>50</v>
      </c>
      <c r="R699" t="s">
        <v>51</v>
      </c>
      <c r="S699">
        <v>1841</v>
      </c>
      <c r="T699">
        <v>1902</v>
      </c>
      <c r="U699" t="s">
        <v>3034</v>
      </c>
      <c r="V699" t="s">
        <v>3035</v>
      </c>
      <c r="Z699">
        <v>0</v>
      </c>
      <c r="AA699">
        <v>1</v>
      </c>
      <c r="AB699">
        <v>0</v>
      </c>
      <c r="AC699">
        <v>0</v>
      </c>
      <c r="AF699">
        <v>1894</v>
      </c>
      <c r="AG699">
        <v>1898</v>
      </c>
      <c r="AO699" t="b">
        <v>0</v>
      </c>
      <c r="AT699">
        <v>1461</v>
      </c>
      <c r="AU699">
        <f t="shared" si="32"/>
        <v>4.0030000000000001</v>
      </c>
    </row>
    <row r="700" spans="1:47" x14ac:dyDescent="0.3">
      <c r="A700">
        <v>698</v>
      </c>
      <c r="B700" t="s">
        <v>3036</v>
      </c>
      <c r="C700" t="s">
        <v>3037</v>
      </c>
      <c r="D700">
        <v>140</v>
      </c>
      <c r="E700" t="s">
        <v>3008</v>
      </c>
      <c r="F700" t="str">
        <f>VLOOKUP(E700,country_continent!A:C,2,FALSE)</f>
        <v>Brazil</v>
      </c>
      <c r="G700" t="str">
        <f>VLOOKUP(E700,country_continent!A:C,3,FALSE)</f>
        <v>South America</v>
      </c>
      <c r="H700" t="s">
        <v>3038</v>
      </c>
      <c r="I700" t="s">
        <v>3033</v>
      </c>
      <c r="J700" s="3" t="str">
        <f t="shared" si="30"/>
        <v>1898/11/15</v>
      </c>
      <c r="K700" s="1">
        <v>1050</v>
      </c>
      <c r="L700" s="3">
        <f t="shared" si="31"/>
        <v>1050</v>
      </c>
      <c r="M700" t="s">
        <v>49</v>
      </c>
      <c r="N700" t="s">
        <v>49</v>
      </c>
      <c r="O700" t="s">
        <v>49</v>
      </c>
      <c r="P700">
        <v>0</v>
      </c>
      <c r="Q700" t="s">
        <v>50</v>
      </c>
      <c r="R700" t="s">
        <v>51</v>
      </c>
      <c r="S700">
        <v>1841</v>
      </c>
      <c r="T700">
        <v>1913</v>
      </c>
      <c r="Y700" t="s">
        <v>3039</v>
      </c>
      <c r="Z700">
        <v>0</v>
      </c>
      <c r="AA700">
        <v>1</v>
      </c>
      <c r="AB700">
        <v>0</v>
      </c>
      <c r="AC700">
        <v>0</v>
      </c>
      <c r="AF700">
        <v>1898</v>
      </c>
      <c r="AG700">
        <v>1902</v>
      </c>
      <c r="AO700" t="b">
        <v>0</v>
      </c>
      <c r="AT700">
        <v>1460</v>
      </c>
      <c r="AU700">
        <f t="shared" si="32"/>
        <v>4</v>
      </c>
    </row>
    <row r="701" spans="1:47" x14ac:dyDescent="0.3">
      <c r="A701">
        <v>699</v>
      </c>
      <c r="B701" t="s">
        <v>3040</v>
      </c>
      <c r="C701" t="s">
        <v>3041</v>
      </c>
      <c r="D701">
        <v>140</v>
      </c>
      <c r="E701" t="s">
        <v>3008</v>
      </c>
      <c r="F701" t="str">
        <f>VLOOKUP(E701,country_continent!A:C,2,FALSE)</f>
        <v>Brazil</v>
      </c>
      <c r="G701" t="str">
        <f>VLOOKUP(E701,country_continent!A:C,3,FALSE)</f>
        <v>South America</v>
      </c>
      <c r="H701" t="s">
        <v>3042</v>
      </c>
      <c r="I701" s="1">
        <v>1050</v>
      </c>
      <c r="J701" s="3">
        <f t="shared" si="30"/>
        <v>1050</v>
      </c>
      <c r="K701" s="1">
        <v>2511</v>
      </c>
      <c r="L701" s="3">
        <f t="shared" si="31"/>
        <v>2511</v>
      </c>
      <c r="M701" t="s">
        <v>49</v>
      </c>
      <c r="N701" t="s">
        <v>49</v>
      </c>
      <c r="O701" t="s">
        <v>49</v>
      </c>
      <c r="P701">
        <v>0</v>
      </c>
      <c r="Q701" t="s">
        <v>50</v>
      </c>
      <c r="R701" t="s">
        <v>51</v>
      </c>
      <c r="S701">
        <v>1848</v>
      </c>
      <c r="T701">
        <v>1919</v>
      </c>
      <c r="U701" t="s">
        <v>3043</v>
      </c>
      <c r="V701" t="s">
        <v>3044</v>
      </c>
      <c r="Y701" t="s">
        <v>3045</v>
      </c>
      <c r="Z701">
        <v>0</v>
      </c>
      <c r="AA701">
        <v>1</v>
      </c>
      <c r="AB701">
        <v>0</v>
      </c>
      <c r="AC701">
        <v>0</v>
      </c>
      <c r="AF701">
        <v>1902</v>
      </c>
      <c r="AG701">
        <v>1906</v>
      </c>
      <c r="AO701" t="b">
        <v>0</v>
      </c>
      <c r="AT701">
        <v>1461</v>
      </c>
      <c r="AU701">
        <f t="shared" si="32"/>
        <v>4.0030000000000001</v>
      </c>
    </row>
    <row r="702" spans="1:47" x14ac:dyDescent="0.3">
      <c r="A702">
        <v>700</v>
      </c>
      <c r="B702" t="s">
        <v>3046</v>
      </c>
      <c r="C702" t="s">
        <v>3047</v>
      </c>
      <c r="D702">
        <v>140</v>
      </c>
      <c r="E702" t="s">
        <v>3008</v>
      </c>
      <c r="F702" t="str">
        <f>VLOOKUP(E702,country_continent!A:C,2,FALSE)</f>
        <v>Brazil</v>
      </c>
      <c r="G702" t="str">
        <f>VLOOKUP(E702,country_continent!A:C,3,FALSE)</f>
        <v>South America</v>
      </c>
      <c r="H702" t="s">
        <v>3048</v>
      </c>
      <c r="I702" s="1">
        <v>2511</v>
      </c>
      <c r="J702" s="3">
        <f t="shared" si="30"/>
        <v>2511</v>
      </c>
      <c r="K702" s="1">
        <v>3453</v>
      </c>
      <c r="L702" s="3">
        <f t="shared" si="31"/>
        <v>3453</v>
      </c>
      <c r="M702" t="s">
        <v>49</v>
      </c>
      <c r="N702" t="s">
        <v>110</v>
      </c>
      <c r="O702" t="s">
        <v>49</v>
      </c>
      <c r="P702">
        <v>0</v>
      </c>
      <c r="Q702" t="s">
        <v>111</v>
      </c>
      <c r="R702" t="s">
        <v>51</v>
      </c>
      <c r="S702">
        <v>1847</v>
      </c>
      <c r="T702">
        <v>1909</v>
      </c>
      <c r="U702" t="s">
        <v>3049</v>
      </c>
      <c r="V702" t="s">
        <v>3050</v>
      </c>
      <c r="Y702" t="s">
        <v>3051</v>
      </c>
      <c r="Z702">
        <v>0</v>
      </c>
      <c r="AA702">
        <v>2</v>
      </c>
      <c r="AB702">
        <v>0</v>
      </c>
      <c r="AC702">
        <v>-777</v>
      </c>
      <c r="AF702">
        <v>1906</v>
      </c>
      <c r="AG702">
        <v>1909</v>
      </c>
      <c r="AO702" t="b">
        <v>0</v>
      </c>
      <c r="AT702">
        <v>942</v>
      </c>
      <c r="AU702">
        <f t="shared" si="32"/>
        <v>2.581</v>
      </c>
    </row>
    <row r="703" spans="1:47" x14ac:dyDescent="0.3">
      <c r="A703">
        <v>701</v>
      </c>
      <c r="B703" t="s">
        <v>3052</v>
      </c>
      <c r="C703" t="s">
        <v>3053</v>
      </c>
      <c r="D703">
        <v>140</v>
      </c>
      <c r="E703" t="s">
        <v>3008</v>
      </c>
      <c r="F703" t="str">
        <f>VLOOKUP(E703,country_continent!A:C,2,FALSE)</f>
        <v>Brazil</v>
      </c>
      <c r="G703" t="str">
        <f>VLOOKUP(E703,country_continent!A:C,3,FALSE)</f>
        <v>South America</v>
      </c>
      <c r="H703" t="s">
        <v>3054</v>
      </c>
      <c r="I703" s="1">
        <v>3453</v>
      </c>
      <c r="J703" s="3">
        <f t="shared" si="30"/>
        <v>3453</v>
      </c>
      <c r="K703" s="1">
        <v>3972</v>
      </c>
      <c r="L703" s="3">
        <f t="shared" si="31"/>
        <v>3972</v>
      </c>
      <c r="M703" t="s">
        <v>49</v>
      </c>
      <c r="N703" t="s">
        <v>49</v>
      </c>
      <c r="O703" t="s">
        <v>49</v>
      </c>
      <c r="P703">
        <v>0</v>
      </c>
      <c r="Q703" t="s">
        <v>50</v>
      </c>
      <c r="R703" t="s">
        <v>51</v>
      </c>
      <c r="S703">
        <v>1867</v>
      </c>
      <c r="T703">
        <v>1924</v>
      </c>
      <c r="U703" t="s">
        <v>3055</v>
      </c>
      <c r="V703" t="s">
        <v>3056</v>
      </c>
      <c r="Y703" t="s">
        <v>3057</v>
      </c>
      <c r="Z703">
        <v>0</v>
      </c>
      <c r="AA703">
        <v>1</v>
      </c>
      <c r="AB703">
        <v>0</v>
      </c>
      <c r="AC703">
        <v>0</v>
      </c>
      <c r="AF703">
        <v>1909</v>
      </c>
      <c r="AG703">
        <v>1910</v>
      </c>
      <c r="AO703" t="b">
        <v>0</v>
      </c>
      <c r="AT703">
        <v>519</v>
      </c>
      <c r="AU703">
        <f t="shared" si="32"/>
        <v>1.4219999999999999</v>
      </c>
    </row>
    <row r="704" spans="1:47" x14ac:dyDescent="0.3">
      <c r="A704">
        <v>702</v>
      </c>
      <c r="B704" t="s">
        <v>3058</v>
      </c>
      <c r="C704" t="s">
        <v>3059</v>
      </c>
      <c r="D704">
        <v>140</v>
      </c>
      <c r="E704" t="s">
        <v>3008</v>
      </c>
      <c r="F704" t="str">
        <f>VLOOKUP(E704,country_continent!A:C,2,FALSE)</f>
        <v>Brazil</v>
      </c>
      <c r="G704" t="str">
        <f>VLOOKUP(E704,country_continent!A:C,3,FALSE)</f>
        <v>South America</v>
      </c>
      <c r="H704" t="s">
        <v>3060</v>
      </c>
      <c r="I704" s="1">
        <v>3972</v>
      </c>
      <c r="J704" s="3">
        <f t="shared" si="30"/>
        <v>3972</v>
      </c>
      <c r="K704" s="1">
        <v>5433</v>
      </c>
      <c r="L704" s="3">
        <f t="shared" si="31"/>
        <v>5433</v>
      </c>
      <c r="M704" t="s">
        <v>49</v>
      </c>
      <c r="N704" t="s">
        <v>49</v>
      </c>
      <c r="O704" t="s">
        <v>49</v>
      </c>
      <c r="P704">
        <v>0</v>
      </c>
      <c r="Q704" t="s">
        <v>50</v>
      </c>
      <c r="R704" t="s">
        <v>51</v>
      </c>
      <c r="S704">
        <v>1885</v>
      </c>
      <c r="T704">
        <v>1923</v>
      </c>
      <c r="U704" t="s">
        <v>3061</v>
      </c>
      <c r="V704" t="s">
        <v>3062</v>
      </c>
      <c r="Z704">
        <v>0</v>
      </c>
      <c r="AA704">
        <v>1</v>
      </c>
      <c r="AB704">
        <v>0</v>
      </c>
      <c r="AC704">
        <v>0</v>
      </c>
      <c r="AD704" t="s">
        <v>3063</v>
      </c>
      <c r="AE704">
        <v>1</v>
      </c>
      <c r="AF704">
        <v>1910</v>
      </c>
      <c r="AG704">
        <v>1914</v>
      </c>
      <c r="AO704" t="b">
        <v>0</v>
      </c>
      <c r="AT704">
        <v>1461</v>
      </c>
      <c r="AU704">
        <f t="shared" si="32"/>
        <v>4.0030000000000001</v>
      </c>
    </row>
    <row r="705" spans="1:47" x14ac:dyDescent="0.3">
      <c r="A705">
        <v>703</v>
      </c>
      <c r="B705" t="s">
        <v>3064</v>
      </c>
      <c r="C705" t="s">
        <v>3065</v>
      </c>
      <c r="D705">
        <v>140</v>
      </c>
      <c r="E705" t="s">
        <v>3008</v>
      </c>
      <c r="F705" t="str">
        <f>VLOOKUP(E705,country_continent!A:C,2,FALSE)</f>
        <v>Brazil</v>
      </c>
      <c r="G705" t="str">
        <f>VLOOKUP(E705,country_continent!A:C,3,FALSE)</f>
        <v>South America</v>
      </c>
      <c r="H705" t="s">
        <v>3066</v>
      </c>
      <c r="I705" s="1">
        <v>5433</v>
      </c>
      <c r="J705" s="3">
        <f t="shared" si="30"/>
        <v>5433</v>
      </c>
      <c r="K705" s="1">
        <v>6894</v>
      </c>
      <c r="L705" s="3">
        <f t="shared" si="31"/>
        <v>6894</v>
      </c>
      <c r="M705" t="s">
        <v>49</v>
      </c>
      <c r="N705" t="s">
        <v>49</v>
      </c>
      <c r="O705" t="s">
        <v>49</v>
      </c>
      <c r="P705">
        <v>0</v>
      </c>
      <c r="Q705" t="s">
        <v>50</v>
      </c>
      <c r="R705" t="s">
        <v>51</v>
      </c>
      <c r="S705">
        <v>1868</v>
      </c>
      <c r="T705">
        <v>1966</v>
      </c>
      <c r="U705" t="s">
        <v>3067</v>
      </c>
      <c r="V705" t="s">
        <v>3068</v>
      </c>
      <c r="Z705">
        <v>0</v>
      </c>
      <c r="AA705">
        <v>1</v>
      </c>
      <c r="AB705">
        <v>0</v>
      </c>
      <c r="AC705">
        <v>0</v>
      </c>
      <c r="AF705">
        <v>1914</v>
      </c>
      <c r="AG705">
        <v>1918</v>
      </c>
      <c r="AO705" t="b">
        <v>0</v>
      </c>
      <c r="AT705">
        <v>1461</v>
      </c>
      <c r="AU705">
        <f t="shared" si="32"/>
        <v>4.0030000000000001</v>
      </c>
    </row>
    <row r="706" spans="1:47" x14ac:dyDescent="0.3">
      <c r="A706">
        <v>704</v>
      </c>
      <c r="B706" t="s">
        <v>3069</v>
      </c>
      <c r="C706" t="s">
        <v>3070</v>
      </c>
      <c r="D706">
        <v>140</v>
      </c>
      <c r="E706" t="s">
        <v>3008</v>
      </c>
      <c r="F706" t="str">
        <f>VLOOKUP(E706,country_continent!A:C,2,FALSE)</f>
        <v>Brazil</v>
      </c>
      <c r="G706" t="str">
        <f>VLOOKUP(E706,country_continent!A:C,3,FALSE)</f>
        <v>South America</v>
      </c>
      <c r="H706" t="s">
        <v>3071</v>
      </c>
      <c r="I706" s="1">
        <v>6894</v>
      </c>
      <c r="J706" s="3">
        <f t="shared" si="30"/>
        <v>6894</v>
      </c>
      <c r="K706" s="1">
        <v>7149</v>
      </c>
      <c r="L706" s="3">
        <f t="shared" si="31"/>
        <v>7149</v>
      </c>
      <c r="M706" t="s">
        <v>49</v>
      </c>
      <c r="N706" t="s">
        <v>49</v>
      </c>
      <c r="O706" t="s">
        <v>49</v>
      </c>
      <c r="P706">
        <v>0</v>
      </c>
      <c r="Q706" t="s">
        <v>50</v>
      </c>
      <c r="R706" t="s">
        <v>51</v>
      </c>
      <c r="S706">
        <v>1868</v>
      </c>
      <c r="T706">
        <v>1920</v>
      </c>
      <c r="U706" t="s">
        <v>3072</v>
      </c>
      <c r="V706" t="s">
        <v>3073</v>
      </c>
      <c r="W706" s="1">
        <v>7488</v>
      </c>
      <c r="X706" s="2">
        <v>7488</v>
      </c>
      <c r="Y706" t="s">
        <v>3074</v>
      </c>
      <c r="Z706">
        <v>0</v>
      </c>
      <c r="AA706">
        <v>1</v>
      </c>
      <c r="AB706">
        <v>0</v>
      </c>
      <c r="AC706">
        <v>0</v>
      </c>
      <c r="AF706">
        <v>1918</v>
      </c>
      <c r="AG706">
        <v>1919</v>
      </c>
      <c r="AO706" t="b">
        <v>0</v>
      </c>
      <c r="AT706">
        <v>255</v>
      </c>
      <c r="AU706">
        <f t="shared" si="32"/>
        <v>0.69899999999999995</v>
      </c>
    </row>
    <row r="707" spans="1:47" x14ac:dyDescent="0.3">
      <c r="A707">
        <v>705</v>
      </c>
      <c r="B707" t="s">
        <v>3075</v>
      </c>
      <c r="C707" t="s">
        <v>3076</v>
      </c>
      <c r="D707">
        <v>140</v>
      </c>
      <c r="E707" t="s">
        <v>3008</v>
      </c>
      <c r="F707" t="str">
        <f>VLOOKUP(E707,country_continent!A:C,2,FALSE)</f>
        <v>Brazil</v>
      </c>
      <c r="G707" t="str">
        <f>VLOOKUP(E707,country_continent!A:C,3,FALSE)</f>
        <v>South America</v>
      </c>
      <c r="H707" t="s">
        <v>3077</v>
      </c>
      <c r="I707" s="1">
        <v>7149</v>
      </c>
      <c r="J707" s="3">
        <f t="shared" ref="J707:J770" si="33">IF(ISNUMBER(SEARCH("-", I707)), SUBSTITUTE(I707, "-", "/"), I707)</f>
        <v>7149</v>
      </c>
      <c r="K707" s="1">
        <v>8355</v>
      </c>
      <c r="L707" s="3">
        <f t="shared" ref="L707:L770" si="34">IF(ISNUMBER(SEARCH("-", K707)), SUBSTITUTE(K707, "-", "/"), K707)</f>
        <v>8355</v>
      </c>
      <c r="M707" t="s">
        <v>49</v>
      </c>
      <c r="N707" t="s">
        <v>49</v>
      </c>
      <c r="O707" t="s">
        <v>49</v>
      </c>
      <c r="P707">
        <v>0</v>
      </c>
      <c r="Q707" t="s">
        <v>50</v>
      </c>
      <c r="R707" t="s">
        <v>51</v>
      </c>
      <c r="S707">
        <v>1865</v>
      </c>
      <c r="T707">
        <v>1942</v>
      </c>
      <c r="U707" t="s">
        <v>3078</v>
      </c>
      <c r="V707" t="s">
        <v>3079</v>
      </c>
      <c r="Y707" t="s">
        <v>3080</v>
      </c>
      <c r="Z707">
        <v>0</v>
      </c>
      <c r="AA707">
        <v>1</v>
      </c>
      <c r="AB707">
        <v>0</v>
      </c>
      <c r="AC707">
        <v>0</v>
      </c>
      <c r="AF707">
        <v>1919</v>
      </c>
      <c r="AG707">
        <v>1922</v>
      </c>
      <c r="AO707" t="b">
        <v>0</v>
      </c>
      <c r="AT707">
        <v>1206</v>
      </c>
      <c r="AU707">
        <f t="shared" ref="AU707:AU770" si="35">ROUND(AT707/365,3)</f>
        <v>3.3039999999999998</v>
      </c>
    </row>
    <row r="708" spans="1:47" x14ac:dyDescent="0.3">
      <c r="A708">
        <v>706</v>
      </c>
      <c r="B708" t="s">
        <v>3081</v>
      </c>
      <c r="C708" t="s">
        <v>3082</v>
      </c>
      <c r="D708">
        <v>140</v>
      </c>
      <c r="E708" t="s">
        <v>3008</v>
      </c>
      <c r="F708" t="str">
        <f>VLOOKUP(E708,country_continent!A:C,2,FALSE)</f>
        <v>Brazil</v>
      </c>
      <c r="G708" t="str">
        <f>VLOOKUP(E708,country_continent!A:C,3,FALSE)</f>
        <v>South America</v>
      </c>
      <c r="H708" t="s">
        <v>3083</v>
      </c>
      <c r="I708" s="1">
        <v>8355</v>
      </c>
      <c r="J708" s="3">
        <f t="shared" si="33"/>
        <v>8355</v>
      </c>
      <c r="K708" s="1">
        <v>9816</v>
      </c>
      <c r="L708" s="3">
        <f t="shared" si="34"/>
        <v>9816</v>
      </c>
      <c r="M708" t="s">
        <v>49</v>
      </c>
      <c r="N708" t="s">
        <v>49</v>
      </c>
      <c r="O708" t="s">
        <v>49</v>
      </c>
      <c r="P708">
        <v>0</v>
      </c>
      <c r="Q708" t="s">
        <v>362</v>
      </c>
      <c r="R708" t="s">
        <v>51</v>
      </c>
      <c r="S708">
        <v>1875</v>
      </c>
      <c r="T708">
        <v>1955</v>
      </c>
      <c r="U708" t="s">
        <v>3084</v>
      </c>
      <c r="V708" t="s">
        <v>3085</v>
      </c>
      <c r="Y708" t="s">
        <v>3086</v>
      </c>
      <c r="Z708">
        <v>0</v>
      </c>
      <c r="AA708">
        <v>1</v>
      </c>
      <c r="AB708">
        <v>0</v>
      </c>
      <c r="AC708">
        <v>1</v>
      </c>
      <c r="AF708">
        <v>1922</v>
      </c>
      <c r="AG708">
        <v>1926</v>
      </c>
      <c r="AO708" t="b">
        <v>0</v>
      </c>
      <c r="AT708">
        <v>1461</v>
      </c>
      <c r="AU708">
        <f t="shared" si="35"/>
        <v>4.0030000000000001</v>
      </c>
    </row>
    <row r="709" spans="1:47" x14ac:dyDescent="0.3">
      <c r="A709">
        <v>707</v>
      </c>
      <c r="B709" t="s">
        <v>3087</v>
      </c>
      <c r="C709" t="s">
        <v>3088</v>
      </c>
      <c r="D709">
        <v>140</v>
      </c>
      <c r="E709" t="s">
        <v>3008</v>
      </c>
      <c r="F709" t="str">
        <f>VLOOKUP(E709,country_continent!A:C,2,FALSE)</f>
        <v>Brazil</v>
      </c>
      <c r="G709" t="str">
        <f>VLOOKUP(E709,country_continent!A:C,3,FALSE)</f>
        <v>South America</v>
      </c>
      <c r="H709" t="s">
        <v>3089</v>
      </c>
      <c r="I709" s="1">
        <v>9816</v>
      </c>
      <c r="J709" s="3">
        <f t="shared" si="33"/>
        <v>9816</v>
      </c>
      <c r="K709" s="1">
        <v>11255</v>
      </c>
      <c r="L709" s="3">
        <f t="shared" si="34"/>
        <v>11255</v>
      </c>
      <c r="M709" t="s">
        <v>49</v>
      </c>
      <c r="N709" t="s">
        <v>67</v>
      </c>
      <c r="O709" t="s">
        <v>376</v>
      </c>
      <c r="P709">
        <v>0</v>
      </c>
      <c r="Q709" t="s">
        <v>463</v>
      </c>
      <c r="R709" t="s">
        <v>51</v>
      </c>
      <c r="S709">
        <v>1870</v>
      </c>
      <c r="T709">
        <v>1957</v>
      </c>
      <c r="U709" t="s">
        <v>3090</v>
      </c>
      <c r="V709" t="s">
        <v>3091</v>
      </c>
      <c r="W709" s="1">
        <v>21036</v>
      </c>
      <c r="X709" s="2">
        <v>21036</v>
      </c>
      <c r="Y709" t="s">
        <v>3092</v>
      </c>
      <c r="Z709">
        <v>0</v>
      </c>
      <c r="AA709">
        <v>3</v>
      </c>
      <c r="AB709">
        <v>6</v>
      </c>
      <c r="AC709">
        <v>2</v>
      </c>
      <c r="AF709">
        <v>1926</v>
      </c>
      <c r="AG709">
        <v>1930</v>
      </c>
      <c r="AO709" t="b">
        <v>0</v>
      </c>
      <c r="AT709">
        <v>1439</v>
      </c>
      <c r="AU709">
        <f t="shared" si="35"/>
        <v>3.9420000000000002</v>
      </c>
    </row>
    <row r="710" spans="1:47" x14ac:dyDescent="0.3">
      <c r="A710">
        <v>708</v>
      </c>
      <c r="B710" t="s">
        <v>3093</v>
      </c>
      <c r="C710" t="s">
        <v>3094</v>
      </c>
      <c r="D710">
        <v>140</v>
      </c>
      <c r="E710" t="s">
        <v>3008</v>
      </c>
      <c r="F710" t="str">
        <f>VLOOKUP(E710,country_continent!A:C,2,FALSE)</f>
        <v>Brazil</v>
      </c>
      <c r="G710" t="str">
        <f>VLOOKUP(E710,country_continent!A:C,3,FALSE)</f>
        <v>South America</v>
      </c>
      <c r="H710" t="s">
        <v>2300</v>
      </c>
      <c r="I710" s="1">
        <v>11256</v>
      </c>
      <c r="J710" s="3">
        <f t="shared" si="33"/>
        <v>11256</v>
      </c>
      <c r="K710" s="1">
        <v>16740</v>
      </c>
      <c r="L710" s="3">
        <f t="shared" si="34"/>
        <v>16740</v>
      </c>
      <c r="M710" t="s">
        <v>67</v>
      </c>
      <c r="N710" t="s">
        <v>67</v>
      </c>
      <c r="O710" t="s">
        <v>376</v>
      </c>
      <c r="P710">
        <v>0</v>
      </c>
      <c r="Q710" t="s">
        <v>50</v>
      </c>
      <c r="R710" t="s">
        <v>51</v>
      </c>
      <c r="S710">
        <v>1883</v>
      </c>
      <c r="T710">
        <v>1954</v>
      </c>
      <c r="U710" t="s">
        <v>3095</v>
      </c>
      <c r="V710" t="s">
        <v>3096</v>
      </c>
      <c r="W710" s="1">
        <v>19960</v>
      </c>
      <c r="X710" s="2">
        <v>19960</v>
      </c>
      <c r="Y710" t="s">
        <v>3097</v>
      </c>
      <c r="Z710">
        <v>1</v>
      </c>
      <c r="AA710">
        <v>3</v>
      </c>
      <c r="AB710">
        <v>6</v>
      </c>
      <c r="AC710">
        <v>0</v>
      </c>
      <c r="AF710">
        <v>1930</v>
      </c>
      <c r="AG710">
        <v>1945</v>
      </c>
      <c r="AO710" t="b">
        <v>0</v>
      </c>
      <c r="AT710">
        <v>5484</v>
      </c>
      <c r="AU710">
        <f t="shared" si="35"/>
        <v>15.025</v>
      </c>
    </row>
    <row r="711" spans="1:47" x14ac:dyDescent="0.3">
      <c r="A711">
        <v>709</v>
      </c>
      <c r="B711" t="s">
        <v>3098</v>
      </c>
      <c r="C711" t="s">
        <v>3099</v>
      </c>
      <c r="D711">
        <v>140</v>
      </c>
      <c r="E711" t="s">
        <v>3008</v>
      </c>
      <c r="F711" t="str">
        <f>VLOOKUP(E711,country_continent!A:C,2,FALSE)</f>
        <v>Brazil</v>
      </c>
      <c r="G711" t="str">
        <f>VLOOKUP(E711,country_continent!A:C,3,FALSE)</f>
        <v>South America</v>
      </c>
      <c r="H711" t="s">
        <v>3100</v>
      </c>
      <c r="I711" s="1">
        <v>16740</v>
      </c>
      <c r="J711" s="3">
        <f t="shared" si="33"/>
        <v>16740</v>
      </c>
      <c r="K711" s="1">
        <v>16833</v>
      </c>
      <c r="L711" s="3">
        <f t="shared" si="34"/>
        <v>16833</v>
      </c>
      <c r="M711" t="s">
        <v>49</v>
      </c>
      <c r="N711" t="s">
        <v>49</v>
      </c>
      <c r="O711" t="s">
        <v>49</v>
      </c>
      <c r="P711">
        <v>0</v>
      </c>
      <c r="Q711" t="s">
        <v>50</v>
      </c>
      <c r="R711" t="s">
        <v>51</v>
      </c>
      <c r="S711">
        <v>1886</v>
      </c>
      <c r="T711">
        <v>1957</v>
      </c>
      <c r="U711" t="s">
        <v>3101</v>
      </c>
      <c r="V711" t="s">
        <v>3102</v>
      </c>
      <c r="Y711" t="s">
        <v>3103</v>
      </c>
      <c r="Z711">
        <v>0</v>
      </c>
      <c r="AA711">
        <v>1</v>
      </c>
      <c r="AB711">
        <v>0</v>
      </c>
      <c r="AC711">
        <v>0</v>
      </c>
      <c r="AF711">
        <v>1945</v>
      </c>
      <c r="AG711">
        <v>1946</v>
      </c>
      <c r="AN711">
        <v>7</v>
      </c>
      <c r="AO711" t="b">
        <v>0</v>
      </c>
      <c r="AT711">
        <v>93</v>
      </c>
      <c r="AU711">
        <f t="shared" si="35"/>
        <v>0.255</v>
      </c>
    </row>
    <row r="712" spans="1:47" x14ac:dyDescent="0.3">
      <c r="A712">
        <v>710</v>
      </c>
      <c r="B712" t="s">
        <v>3104</v>
      </c>
      <c r="C712" t="s">
        <v>3105</v>
      </c>
      <c r="D712">
        <v>140</v>
      </c>
      <c r="E712" t="s">
        <v>3008</v>
      </c>
      <c r="F712" t="str">
        <f>VLOOKUP(E712,country_continent!A:C,2,FALSE)</f>
        <v>Brazil</v>
      </c>
      <c r="G712" t="str">
        <f>VLOOKUP(E712,country_continent!A:C,3,FALSE)</f>
        <v>South America</v>
      </c>
      <c r="H712" t="s">
        <v>3106</v>
      </c>
      <c r="I712" s="1">
        <v>16833</v>
      </c>
      <c r="J712" s="3">
        <f t="shared" si="33"/>
        <v>16833</v>
      </c>
      <c r="K712" s="1">
        <v>18659</v>
      </c>
      <c r="L712" s="3">
        <f t="shared" si="34"/>
        <v>18659</v>
      </c>
      <c r="M712" t="s">
        <v>49</v>
      </c>
      <c r="N712" t="s">
        <v>49</v>
      </c>
      <c r="O712" t="s">
        <v>49</v>
      </c>
      <c r="P712">
        <v>0</v>
      </c>
      <c r="Q712" t="s">
        <v>50</v>
      </c>
      <c r="R712" t="s">
        <v>51</v>
      </c>
      <c r="S712">
        <v>1885</v>
      </c>
      <c r="T712">
        <v>1974</v>
      </c>
      <c r="U712" t="s">
        <v>3107</v>
      </c>
      <c r="V712" t="s">
        <v>3108</v>
      </c>
      <c r="W712" s="1">
        <v>27191</v>
      </c>
      <c r="X712" s="2">
        <v>27191</v>
      </c>
      <c r="Y712" t="s">
        <v>3109</v>
      </c>
      <c r="Z712">
        <v>0</v>
      </c>
      <c r="AA712">
        <v>1</v>
      </c>
      <c r="AB712">
        <v>0</v>
      </c>
      <c r="AC712">
        <v>0</v>
      </c>
      <c r="AF712">
        <v>1946</v>
      </c>
      <c r="AG712">
        <v>1951</v>
      </c>
      <c r="AN712">
        <v>5.33</v>
      </c>
      <c r="AO712" t="b">
        <v>0</v>
      </c>
      <c r="AT712">
        <v>1826</v>
      </c>
      <c r="AU712">
        <f t="shared" si="35"/>
        <v>5.0030000000000001</v>
      </c>
    </row>
    <row r="713" spans="1:47" x14ac:dyDescent="0.3">
      <c r="A713">
        <v>711</v>
      </c>
      <c r="B713" t="s">
        <v>3110</v>
      </c>
      <c r="C713" t="s">
        <v>3094</v>
      </c>
      <c r="D713">
        <v>140</v>
      </c>
      <c r="E713" t="s">
        <v>3008</v>
      </c>
      <c r="F713" t="str">
        <f>VLOOKUP(E713,country_continent!A:C,2,FALSE)</f>
        <v>Brazil</v>
      </c>
      <c r="G713" t="str">
        <f>VLOOKUP(E713,country_continent!A:C,3,FALSE)</f>
        <v>South America</v>
      </c>
      <c r="H713" t="s">
        <v>2300</v>
      </c>
      <c r="I713" s="1">
        <v>18669</v>
      </c>
      <c r="J713" s="3">
        <f t="shared" si="33"/>
        <v>18669</v>
      </c>
      <c r="K713" s="1">
        <v>19960</v>
      </c>
      <c r="L713" s="3">
        <f t="shared" si="34"/>
        <v>19960</v>
      </c>
      <c r="M713" t="s">
        <v>49</v>
      </c>
      <c r="N713" t="s">
        <v>67</v>
      </c>
      <c r="O713" t="s">
        <v>376</v>
      </c>
      <c r="P713">
        <v>1</v>
      </c>
      <c r="Q713" t="s">
        <v>855</v>
      </c>
      <c r="R713" t="s">
        <v>51</v>
      </c>
      <c r="S713">
        <v>1883</v>
      </c>
      <c r="T713">
        <v>1954</v>
      </c>
      <c r="U713" t="s">
        <v>3095</v>
      </c>
      <c r="V713" t="s">
        <v>3096</v>
      </c>
      <c r="W713" s="1">
        <v>19960</v>
      </c>
      <c r="X713" s="2">
        <v>19960</v>
      </c>
      <c r="Y713" t="s">
        <v>3097</v>
      </c>
      <c r="Z713">
        <v>0</v>
      </c>
      <c r="AA713">
        <v>3</v>
      </c>
      <c r="AB713">
        <v>6</v>
      </c>
      <c r="AC713">
        <v>3.0999998999999998</v>
      </c>
      <c r="AF713">
        <v>1951</v>
      </c>
      <c r="AG713">
        <v>1954</v>
      </c>
      <c r="AN713">
        <v>5</v>
      </c>
      <c r="AO713" t="b">
        <v>0</v>
      </c>
      <c r="AT713">
        <v>1291</v>
      </c>
      <c r="AU713">
        <f t="shared" si="35"/>
        <v>3.5369999999999999</v>
      </c>
    </row>
    <row r="714" spans="1:47" x14ac:dyDescent="0.3">
      <c r="A714">
        <v>712</v>
      </c>
      <c r="B714" t="s">
        <v>3111</v>
      </c>
      <c r="C714" t="s">
        <v>3112</v>
      </c>
      <c r="D714">
        <v>140</v>
      </c>
      <c r="E714" t="s">
        <v>3008</v>
      </c>
      <c r="F714" t="str">
        <f>VLOOKUP(E714,country_continent!A:C,2,FALSE)</f>
        <v>Brazil</v>
      </c>
      <c r="G714" t="str">
        <f>VLOOKUP(E714,country_continent!A:C,3,FALSE)</f>
        <v>South America</v>
      </c>
      <c r="H714" t="s">
        <v>3113</v>
      </c>
      <c r="I714" s="1">
        <v>19960</v>
      </c>
      <c r="J714" s="3">
        <f t="shared" si="33"/>
        <v>19960</v>
      </c>
      <c r="K714" s="1">
        <v>20401</v>
      </c>
      <c r="L714" s="3">
        <f t="shared" si="34"/>
        <v>20401</v>
      </c>
      <c r="M714" t="s">
        <v>49</v>
      </c>
      <c r="N714" t="s">
        <v>228</v>
      </c>
      <c r="O714" t="s">
        <v>49</v>
      </c>
      <c r="P714">
        <v>0</v>
      </c>
      <c r="Q714" t="s">
        <v>463</v>
      </c>
      <c r="R714" t="s">
        <v>51</v>
      </c>
      <c r="S714">
        <v>1899</v>
      </c>
      <c r="T714">
        <v>1970</v>
      </c>
      <c r="U714" t="s">
        <v>3114</v>
      </c>
      <c r="V714" t="s">
        <v>3115</v>
      </c>
      <c r="Y714" t="s">
        <v>3116</v>
      </c>
      <c r="Z714">
        <v>0</v>
      </c>
      <c r="AA714">
        <v>2.0999998999999998</v>
      </c>
      <c r="AB714">
        <v>0</v>
      </c>
      <c r="AC714">
        <v>2</v>
      </c>
      <c r="AF714">
        <v>1954</v>
      </c>
      <c r="AG714">
        <v>1955</v>
      </c>
      <c r="AN714">
        <v>5</v>
      </c>
      <c r="AO714" t="b">
        <v>0</v>
      </c>
      <c r="AT714">
        <v>441</v>
      </c>
      <c r="AU714">
        <f t="shared" si="35"/>
        <v>1.208</v>
      </c>
    </row>
    <row r="715" spans="1:47" x14ac:dyDescent="0.3">
      <c r="A715">
        <v>713</v>
      </c>
      <c r="B715" t="s">
        <v>3117</v>
      </c>
      <c r="C715" t="s">
        <v>3118</v>
      </c>
      <c r="D715">
        <v>140</v>
      </c>
      <c r="E715" t="s">
        <v>3008</v>
      </c>
      <c r="F715" t="str">
        <f>VLOOKUP(E715,country_continent!A:C,2,FALSE)</f>
        <v>Brazil</v>
      </c>
      <c r="G715" t="str">
        <f>VLOOKUP(E715,country_continent!A:C,3,FALSE)</f>
        <v>South America</v>
      </c>
      <c r="H715" t="s">
        <v>3119</v>
      </c>
      <c r="I715" s="1">
        <v>20401</v>
      </c>
      <c r="J715" s="3">
        <f t="shared" si="33"/>
        <v>20401</v>
      </c>
      <c r="K715" s="1">
        <v>20404</v>
      </c>
      <c r="L715" s="3">
        <f t="shared" si="34"/>
        <v>20404</v>
      </c>
      <c r="M715" t="s">
        <v>49</v>
      </c>
      <c r="N715" t="s">
        <v>67</v>
      </c>
      <c r="O715" t="s">
        <v>376</v>
      </c>
      <c r="P715">
        <v>0</v>
      </c>
      <c r="Q715" t="s">
        <v>463</v>
      </c>
      <c r="R715" t="s">
        <v>51</v>
      </c>
      <c r="S715">
        <v>1894</v>
      </c>
      <c r="T715">
        <v>1961</v>
      </c>
      <c r="Y715" t="s">
        <v>3120</v>
      </c>
      <c r="Z715">
        <v>0</v>
      </c>
      <c r="AA715">
        <v>3</v>
      </c>
      <c r="AB715">
        <v>6</v>
      </c>
      <c r="AC715">
        <v>2</v>
      </c>
      <c r="AF715">
        <v>1955</v>
      </c>
      <c r="AG715">
        <v>1955</v>
      </c>
      <c r="AN715">
        <v>5</v>
      </c>
      <c r="AO715" t="b">
        <v>0</v>
      </c>
      <c r="AT715">
        <v>3</v>
      </c>
      <c r="AU715">
        <f t="shared" si="35"/>
        <v>8.0000000000000002E-3</v>
      </c>
    </row>
    <row r="716" spans="1:47" x14ac:dyDescent="0.3">
      <c r="A716">
        <v>714</v>
      </c>
      <c r="B716" t="s">
        <v>3121</v>
      </c>
      <c r="C716" t="s">
        <v>3122</v>
      </c>
      <c r="D716">
        <v>140</v>
      </c>
      <c r="E716" t="s">
        <v>3008</v>
      </c>
      <c r="F716" t="str">
        <f>VLOOKUP(E716,country_continent!A:C,2,FALSE)</f>
        <v>Brazil</v>
      </c>
      <c r="G716" t="str">
        <f>VLOOKUP(E716,country_continent!A:C,3,FALSE)</f>
        <v>South America</v>
      </c>
      <c r="H716" t="s">
        <v>3123</v>
      </c>
      <c r="I716" s="1">
        <v>20404</v>
      </c>
      <c r="J716" s="3">
        <f t="shared" si="33"/>
        <v>20404</v>
      </c>
      <c r="K716" s="1">
        <v>20485</v>
      </c>
      <c r="L716" s="3">
        <f t="shared" si="34"/>
        <v>20485</v>
      </c>
      <c r="M716" t="s">
        <v>49</v>
      </c>
      <c r="N716" t="s">
        <v>49</v>
      </c>
      <c r="O716" t="s">
        <v>49</v>
      </c>
      <c r="P716">
        <v>0</v>
      </c>
      <c r="Q716" t="s">
        <v>50</v>
      </c>
      <c r="R716" t="s">
        <v>51</v>
      </c>
      <c r="S716">
        <v>1889</v>
      </c>
      <c r="T716">
        <v>1958</v>
      </c>
      <c r="Z716">
        <v>0</v>
      </c>
      <c r="AA716">
        <v>1</v>
      </c>
      <c r="AB716">
        <v>0</v>
      </c>
      <c r="AC716">
        <v>0</v>
      </c>
      <c r="AF716">
        <v>1955</v>
      </c>
      <c r="AG716">
        <v>1956</v>
      </c>
      <c r="AN716">
        <v>5</v>
      </c>
      <c r="AO716" t="b">
        <v>0</v>
      </c>
      <c r="AT716">
        <v>81</v>
      </c>
      <c r="AU716">
        <f t="shared" si="35"/>
        <v>0.222</v>
      </c>
    </row>
    <row r="717" spans="1:47" x14ac:dyDescent="0.3">
      <c r="A717">
        <v>715</v>
      </c>
      <c r="B717" t="s">
        <v>3124</v>
      </c>
      <c r="C717" t="s">
        <v>3125</v>
      </c>
      <c r="D717">
        <v>140</v>
      </c>
      <c r="E717" t="s">
        <v>3008</v>
      </c>
      <c r="F717" t="str">
        <f>VLOOKUP(E717,country_continent!A:C,2,FALSE)</f>
        <v>Brazil</v>
      </c>
      <c r="G717" t="str">
        <f>VLOOKUP(E717,country_continent!A:C,3,FALSE)</f>
        <v>South America</v>
      </c>
      <c r="H717" t="s">
        <v>3126</v>
      </c>
      <c r="I717" s="1">
        <v>20485</v>
      </c>
      <c r="J717" s="3">
        <f t="shared" si="33"/>
        <v>20485</v>
      </c>
      <c r="K717" s="1">
        <v>22312</v>
      </c>
      <c r="L717" s="3">
        <f t="shared" si="34"/>
        <v>22312</v>
      </c>
      <c r="M717" t="s">
        <v>49</v>
      </c>
      <c r="N717" t="s">
        <v>49</v>
      </c>
      <c r="O717" t="s">
        <v>49</v>
      </c>
      <c r="P717">
        <v>0</v>
      </c>
      <c r="Q717" t="s">
        <v>50</v>
      </c>
      <c r="R717" t="s">
        <v>51</v>
      </c>
      <c r="S717">
        <v>1902</v>
      </c>
      <c r="T717">
        <v>1976</v>
      </c>
      <c r="U717" s="1">
        <v>986</v>
      </c>
      <c r="V717" s="2">
        <v>986</v>
      </c>
      <c r="W717" s="1">
        <v>27994</v>
      </c>
      <c r="X717" s="2">
        <v>27994</v>
      </c>
      <c r="Y717" t="s">
        <v>3127</v>
      </c>
      <c r="Z717">
        <v>0</v>
      </c>
      <c r="AA717">
        <v>1</v>
      </c>
      <c r="AB717">
        <v>0</v>
      </c>
      <c r="AC717">
        <v>0</v>
      </c>
      <c r="AF717">
        <v>1956</v>
      </c>
      <c r="AG717">
        <v>1961</v>
      </c>
      <c r="AH717">
        <v>5.3723394164505196</v>
      </c>
      <c r="AJ717">
        <v>34.617804941998102</v>
      </c>
      <c r="AK717">
        <v>167.05</v>
      </c>
      <c r="AL717">
        <v>3.0171240213529398</v>
      </c>
      <c r="AN717">
        <v>5.5</v>
      </c>
      <c r="AO717" t="b">
        <v>0</v>
      </c>
      <c r="AT717">
        <v>1827</v>
      </c>
      <c r="AU717">
        <f t="shared" si="35"/>
        <v>5.0049999999999999</v>
      </c>
    </row>
    <row r="718" spans="1:47" x14ac:dyDescent="0.3">
      <c r="A718">
        <v>716</v>
      </c>
      <c r="B718" t="s">
        <v>3128</v>
      </c>
      <c r="C718" t="s">
        <v>3129</v>
      </c>
      <c r="D718">
        <v>140</v>
      </c>
      <c r="E718" t="s">
        <v>3008</v>
      </c>
      <c r="F718" t="str">
        <f>VLOOKUP(E718,country_continent!A:C,2,FALSE)</f>
        <v>Brazil</v>
      </c>
      <c r="G718" t="str">
        <f>VLOOKUP(E718,country_continent!A:C,3,FALSE)</f>
        <v>South America</v>
      </c>
      <c r="H718" t="s">
        <v>3130</v>
      </c>
      <c r="I718" s="1">
        <v>22312</v>
      </c>
      <c r="J718" s="3">
        <f t="shared" si="33"/>
        <v>22312</v>
      </c>
      <c r="K718" s="1">
        <v>22518</v>
      </c>
      <c r="L718" s="3">
        <f t="shared" si="34"/>
        <v>22518</v>
      </c>
      <c r="M718" t="s">
        <v>49</v>
      </c>
      <c r="N718" t="s">
        <v>49</v>
      </c>
      <c r="O718" t="s">
        <v>49</v>
      </c>
      <c r="P718">
        <v>0</v>
      </c>
      <c r="Q718" t="s">
        <v>362</v>
      </c>
      <c r="R718" t="s">
        <v>51</v>
      </c>
      <c r="S718">
        <v>1917</v>
      </c>
      <c r="T718">
        <v>1992</v>
      </c>
      <c r="U718" s="1">
        <v>6235</v>
      </c>
      <c r="V718" s="2">
        <v>6235</v>
      </c>
      <c r="W718" s="1">
        <v>33650</v>
      </c>
      <c r="X718" s="2">
        <v>33650</v>
      </c>
      <c r="Y718" t="s">
        <v>3131</v>
      </c>
      <c r="Z718">
        <v>0</v>
      </c>
      <c r="AA718">
        <v>1</v>
      </c>
      <c r="AB718">
        <v>0</v>
      </c>
      <c r="AC718">
        <v>1</v>
      </c>
      <c r="AF718">
        <v>1961</v>
      </c>
      <c r="AG718">
        <v>1961</v>
      </c>
      <c r="AH718">
        <v>5.3723394164505196</v>
      </c>
      <c r="AJ718">
        <v>34.617804941998102</v>
      </c>
      <c r="AK718">
        <v>164.7</v>
      </c>
      <c r="AL718">
        <v>3.0171240213529398</v>
      </c>
      <c r="AN718">
        <v>5</v>
      </c>
      <c r="AO718" t="b">
        <v>0</v>
      </c>
      <c r="AT718">
        <v>206</v>
      </c>
      <c r="AU718">
        <f t="shared" si="35"/>
        <v>0.56399999999999995</v>
      </c>
    </row>
    <row r="719" spans="1:47" x14ac:dyDescent="0.3">
      <c r="A719">
        <v>717</v>
      </c>
      <c r="B719" t="s">
        <v>3132</v>
      </c>
      <c r="C719" t="s">
        <v>3133</v>
      </c>
      <c r="D719">
        <v>140</v>
      </c>
      <c r="E719" t="s">
        <v>3008</v>
      </c>
      <c r="F719" t="str">
        <f>VLOOKUP(E719,country_continent!A:C,2,FALSE)</f>
        <v>Brazil</v>
      </c>
      <c r="G719" t="str">
        <f>VLOOKUP(E719,country_continent!A:C,3,FALSE)</f>
        <v>South America</v>
      </c>
      <c r="H719" t="s">
        <v>3134</v>
      </c>
      <c r="I719" s="1">
        <v>22518</v>
      </c>
      <c r="J719" s="3">
        <f t="shared" si="33"/>
        <v>22518</v>
      </c>
      <c r="K719" s="1">
        <v>22531</v>
      </c>
      <c r="L719" s="3">
        <f t="shared" si="34"/>
        <v>22531</v>
      </c>
      <c r="M719" t="s">
        <v>49</v>
      </c>
      <c r="N719" t="s">
        <v>49</v>
      </c>
      <c r="O719" t="s">
        <v>49</v>
      </c>
      <c r="P719">
        <v>0</v>
      </c>
      <c r="Q719" t="s">
        <v>50</v>
      </c>
      <c r="R719" t="s">
        <v>51</v>
      </c>
      <c r="S719">
        <v>1910</v>
      </c>
      <c r="T719">
        <v>1975</v>
      </c>
      <c r="Y719" t="s">
        <v>3135</v>
      </c>
      <c r="Z719">
        <v>0</v>
      </c>
      <c r="AA719">
        <v>1</v>
      </c>
      <c r="AB719">
        <v>0</v>
      </c>
      <c r="AC719">
        <v>0</v>
      </c>
      <c r="AF719">
        <v>1961</v>
      </c>
      <c r="AG719">
        <v>1961</v>
      </c>
      <c r="AH719">
        <v>5.3723394164505196</v>
      </c>
      <c r="AJ719">
        <v>34.617804941998102</v>
      </c>
      <c r="AK719">
        <v>164.7</v>
      </c>
      <c r="AL719">
        <v>3.0171240213529398</v>
      </c>
      <c r="AN719">
        <v>5</v>
      </c>
      <c r="AO719" t="b">
        <v>0</v>
      </c>
      <c r="AT719">
        <v>13</v>
      </c>
      <c r="AU719">
        <f t="shared" si="35"/>
        <v>3.5999999999999997E-2</v>
      </c>
    </row>
    <row r="720" spans="1:47" x14ac:dyDescent="0.3">
      <c r="A720">
        <v>718</v>
      </c>
      <c r="B720" t="s">
        <v>3136</v>
      </c>
      <c r="C720" t="s">
        <v>3137</v>
      </c>
      <c r="D720">
        <v>140</v>
      </c>
      <c r="E720" t="s">
        <v>3008</v>
      </c>
      <c r="F720" t="str">
        <f>VLOOKUP(E720,country_continent!A:C,2,FALSE)</f>
        <v>Brazil</v>
      </c>
      <c r="G720" t="str">
        <f>VLOOKUP(E720,country_continent!A:C,3,FALSE)</f>
        <v>South America</v>
      </c>
      <c r="H720" t="s">
        <v>3138</v>
      </c>
      <c r="I720" s="1">
        <v>22531</v>
      </c>
      <c r="J720" s="3">
        <f t="shared" si="33"/>
        <v>22531</v>
      </c>
      <c r="K720" s="1">
        <v>23469</v>
      </c>
      <c r="L720" s="3">
        <f t="shared" si="34"/>
        <v>23469</v>
      </c>
      <c r="M720" t="s">
        <v>49</v>
      </c>
      <c r="N720" t="s">
        <v>67</v>
      </c>
      <c r="O720" t="s">
        <v>376</v>
      </c>
      <c r="P720">
        <v>0</v>
      </c>
      <c r="Q720" t="s">
        <v>362</v>
      </c>
      <c r="R720" t="s">
        <v>51</v>
      </c>
      <c r="S720">
        <v>1918</v>
      </c>
      <c r="T720">
        <v>1976</v>
      </c>
      <c r="U720" s="1">
        <v>6635</v>
      </c>
      <c r="V720" s="2">
        <v>6635</v>
      </c>
      <c r="W720" s="1">
        <v>28100</v>
      </c>
      <c r="X720" s="2">
        <v>28100</v>
      </c>
      <c r="Y720" t="s">
        <v>3139</v>
      </c>
      <c r="Z720">
        <v>0</v>
      </c>
      <c r="AA720">
        <v>3</v>
      </c>
      <c r="AB720">
        <v>6</v>
      </c>
      <c r="AC720">
        <v>1</v>
      </c>
      <c r="AF720">
        <v>1961</v>
      </c>
      <c r="AG720">
        <v>1964</v>
      </c>
      <c r="AH720">
        <v>1.74187322885448</v>
      </c>
      <c r="AI720">
        <v>263.33333333333297</v>
      </c>
      <c r="AJ720">
        <v>63.204589551430203</v>
      </c>
      <c r="AK720">
        <v>158.32499999999999</v>
      </c>
      <c r="AL720">
        <v>2.9605197846937901</v>
      </c>
      <c r="AN720">
        <v>2.5</v>
      </c>
      <c r="AO720" t="b">
        <v>0</v>
      </c>
      <c r="AT720">
        <v>938</v>
      </c>
      <c r="AU720">
        <f t="shared" si="35"/>
        <v>2.57</v>
      </c>
    </row>
    <row r="721" spans="1:47" x14ac:dyDescent="0.3">
      <c r="A721">
        <v>719</v>
      </c>
      <c r="B721" t="s">
        <v>3140</v>
      </c>
      <c r="C721" t="s">
        <v>3133</v>
      </c>
      <c r="D721">
        <v>140</v>
      </c>
      <c r="E721" t="s">
        <v>3008</v>
      </c>
      <c r="F721" t="str">
        <f>VLOOKUP(E721,country_continent!A:C,2,FALSE)</f>
        <v>Brazil</v>
      </c>
      <c r="G721" t="str">
        <f>VLOOKUP(E721,country_continent!A:C,3,FALSE)</f>
        <v>South America</v>
      </c>
      <c r="H721" t="s">
        <v>3134</v>
      </c>
      <c r="I721" s="1">
        <v>23469</v>
      </c>
      <c r="J721" s="3">
        <f t="shared" si="33"/>
        <v>23469</v>
      </c>
      <c r="K721" s="1">
        <v>23482</v>
      </c>
      <c r="L721" s="3">
        <f t="shared" si="34"/>
        <v>23482</v>
      </c>
      <c r="M721" t="s">
        <v>49</v>
      </c>
      <c r="N721" t="s">
        <v>49</v>
      </c>
      <c r="O721" t="s">
        <v>49</v>
      </c>
      <c r="P721">
        <v>1</v>
      </c>
      <c r="Q721" t="s">
        <v>50</v>
      </c>
      <c r="R721" t="s">
        <v>51</v>
      </c>
      <c r="S721">
        <v>1910</v>
      </c>
      <c r="T721">
        <v>1975</v>
      </c>
      <c r="Y721" t="s">
        <v>3135</v>
      </c>
      <c r="Z721">
        <v>0</v>
      </c>
      <c r="AA721">
        <v>1</v>
      </c>
      <c r="AB721">
        <v>0</v>
      </c>
      <c r="AC721">
        <v>0</v>
      </c>
      <c r="AF721">
        <v>1964</v>
      </c>
      <c r="AG721">
        <v>1964</v>
      </c>
      <c r="AH721">
        <v>0.45064464542538402</v>
      </c>
      <c r="AI721">
        <v>270</v>
      </c>
      <c r="AJ721">
        <v>89.533665326828697</v>
      </c>
      <c r="AK721">
        <v>152.19999999999999</v>
      </c>
      <c r="AL721">
        <v>2.8938453258810899</v>
      </c>
      <c r="AN721">
        <v>-3</v>
      </c>
      <c r="AO721" t="b">
        <v>0</v>
      </c>
      <c r="AT721">
        <v>13</v>
      </c>
      <c r="AU721">
        <f t="shared" si="35"/>
        <v>3.5999999999999997E-2</v>
      </c>
    </row>
    <row r="722" spans="1:47" x14ac:dyDescent="0.3">
      <c r="A722">
        <v>720</v>
      </c>
      <c r="B722" t="s">
        <v>3141</v>
      </c>
      <c r="C722" t="s">
        <v>3142</v>
      </c>
      <c r="D722">
        <v>140</v>
      </c>
      <c r="E722" t="s">
        <v>3008</v>
      </c>
      <c r="F722" t="str">
        <f>VLOOKUP(E722,country_continent!A:C,2,FALSE)</f>
        <v>Brazil</v>
      </c>
      <c r="G722" t="str">
        <f>VLOOKUP(E722,country_continent!A:C,3,FALSE)</f>
        <v>South America</v>
      </c>
      <c r="H722" t="s">
        <v>3143</v>
      </c>
      <c r="I722" s="1">
        <v>23482</v>
      </c>
      <c r="J722" s="3">
        <f t="shared" si="33"/>
        <v>23482</v>
      </c>
      <c r="K722" s="1">
        <v>24546</v>
      </c>
      <c r="L722" s="3">
        <f t="shared" si="34"/>
        <v>24546</v>
      </c>
      <c r="M722" t="s">
        <v>67</v>
      </c>
      <c r="N722" t="s">
        <v>49</v>
      </c>
      <c r="O722" t="s">
        <v>49</v>
      </c>
      <c r="P722">
        <v>0</v>
      </c>
      <c r="Q722" t="s">
        <v>111</v>
      </c>
      <c r="R722" t="s">
        <v>51</v>
      </c>
      <c r="S722">
        <v>1900</v>
      </c>
      <c r="T722">
        <v>1967</v>
      </c>
      <c r="U722" s="1">
        <v>264</v>
      </c>
      <c r="V722" s="2">
        <v>264</v>
      </c>
      <c r="Z722">
        <v>1</v>
      </c>
      <c r="AA722">
        <v>1</v>
      </c>
      <c r="AB722">
        <v>0</v>
      </c>
      <c r="AC722">
        <v>-777</v>
      </c>
      <c r="AF722">
        <v>1964</v>
      </c>
      <c r="AG722">
        <v>1967</v>
      </c>
      <c r="AH722">
        <v>1.3279286292619801</v>
      </c>
      <c r="AI722">
        <v>280</v>
      </c>
      <c r="AJ722">
        <v>53.232972353472299</v>
      </c>
      <c r="AK722">
        <v>146.97499999999999</v>
      </c>
      <c r="AL722">
        <v>2.7717244933058098</v>
      </c>
      <c r="AN722">
        <v>-7.5</v>
      </c>
      <c r="AO722" t="b">
        <v>0</v>
      </c>
      <c r="AT722">
        <v>1064</v>
      </c>
      <c r="AU722">
        <f t="shared" si="35"/>
        <v>2.915</v>
      </c>
    </row>
    <row r="723" spans="1:47" x14ac:dyDescent="0.3">
      <c r="A723">
        <v>721</v>
      </c>
      <c r="B723" t="s">
        <v>3144</v>
      </c>
      <c r="C723" t="s">
        <v>3145</v>
      </c>
      <c r="D723">
        <v>140</v>
      </c>
      <c r="E723" t="s">
        <v>3008</v>
      </c>
      <c r="F723" t="str">
        <f>VLOOKUP(E723,country_continent!A:C,2,FALSE)</f>
        <v>Brazil</v>
      </c>
      <c r="G723" t="str">
        <f>VLOOKUP(E723,country_continent!A:C,3,FALSE)</f>
        <v>South America</v>
      </c>
      <c r="H723" t="s">
        <v>3146</v>
      </c>
      <c r="I723" s="1">
        <v>24546</v>
      </c>
      <c r="J723" s="3">
        <f t="shared" si="33"/>
        <v>24546</v>
      </c>
      <c r="K723" s="1">
        <v>25447</v>
      </c>
      <c r="L723" s="3">
        <f t="shared" si="34"/>
        <v>25447</v>
      </c>
      <c r="M723" t="s">
        <v>49</v>
      </c>
      <c r="N723" t="s">
        <v>228</v>
      </c>
      <c r="O723" t="s">
        <v>49</v>
      </c>
      <c r="P723">
        <v>0</v>
      </c>
      <c r="Q723" t="s">
        <v>111</v>
      </c>
      <c r="R723" t="s">
        <v>51</v>
      </c>
      <c r="S723">
        <v>1902</v>
      </c>
      <c r="T723">
        <v>1969</v>
      </c>
      <c r="U723" s="1">
        <v>1007</v>
      </c>
      <c r="V723" s="2">
        <v>1007</v>
      </c>
      <c r="Z723">
        <v>0</v>
      </c>
      <c r="AA723">
        <v>2.0999998999999998</v>
      </c>
      <c r="AB723">
        <v>0</v>
      </c>
      <c r="AC723">
        <v>-777</v>
      </c>
      <c r="AF723">
        <v>1967</v>
      </c>
      <c r="AG723">
        <v>1969</v>
      </c>
      <c r="AH723">
        <v>5.0977058645589102</v>
      </c>
      <c r="AI723">
        <v>366.666666666666</v>
      </c>
      <c r="AJ723">
        <v>24.429147507854399</v>
      </c>
      <c r="AK723">
        <v>138.73333333333301</v>
      </c>
      <c r="AL723">
        <v>2.5708386544184298</v>
      </c>
      <c r="AN723">
        <v>-9</v>
      </c>
      <c r="AO723" t="b">
        <v>0</v>
      </c>
      <c r="AT723">
        <v>901</v>
      </c>
      <c r="AU723">
        <f t="shared" si="35"/>
        <v>2.468</v>
      </c>
    </row>
    <row r="724" spans="1:47" x14ac:dyDescent="0.3">
      <c r="A724">
        <v>722</v>
      </c>
      <c r="B724" t="s">
        <v>3147</v>
      </c>
      <c r="C724" t="s">
        <v>3148</v>
      </c>
      <c r="D724">
        <v>140</v>
      </c>
      <c r="E724" t="s">
        <v>3008</v>
      </c>
      <c r="F724" t="str">
        <f>VLOOKUP(E724,country_continent!A:C,2,FALSE)</f>
        <v>Brazil</v>
      </c>
      <c r="G724" t="str">
        <f>VLOOKUP(E724,country_continent!A:C,3,FALSE)</f>
        <v>South America</v>
      </c>
      <c r="H724" t="s">
        <v>3149</v>
      </c>
      <c r="I724" s="1">
        <v>25447</v>
      </c>
      <c r="J724" s="3">
        <f t="shared" si="33"/>
        <v>25447</v>
      </c>
      <c r="K724" s="1">
        <v>25501</v>
      </c>
      <c r="L724" s="3">
        <f t="shared" si="34"/>
        <v>25501</v>
      </c>
      <c r="M724" t="s">
        <v>67</v>
      </c>
      <c r="N724" t="s">
        <v>49</v>
      </c>
      <c r="O724" t="s">
        <v>49</v>
      </c>
      <c r="P724">
        <v>0</v>
      </c>
      <c r="Q724" t="s">
        <v>50</v>
      </c>
      <c r="R724" t="s">
        <v>51</v>
      </c>
      <c r="S724">
        <v>-999</v>
      </c>
      <c r="T724">
        <v>-999</v>
      </c>
      <c r="Z724">
        <v>1</v>
      </c>
      <c r="AA724">
        <v>1</v>
      </c>
      <c r="AB724">
        <v>0</v>
      </c>
      <c r="AC724">
        <v>0</v>
      </c>
      <c r="AF724">
        <v>1969</v>
      </c>
      <c r="AG724">
        <v>1969</v>
      </c>
      <c r="AH724">
        <v>6.7879284838471898</v>
      </c>
      <c r="AI724">
        <v>420</v>
      </c>
      <c r="AJ724">
        <v>20.051784231148002</v>
      </c>
      <c r="AK724">
        <v>135.5</v>
      </c>
      <c r="AL724">
        <v>2.50796582962001</v>
      </c>
      <c r="AN724">
        <v>-9</v>
      </c>
      <c r="AO724" t="b">
        <v>0</v>
      </c>
      <c r="AT724">
        <v>54</v>
      </c>
      <c r="AU724">
        <f t="shared" si="35"/>
        <v>0.14799999999999999</v>
      </c>
    </row>
    <row r="725" spans="1:47" x14ac:dyDescent="0.3">
      <c r="A725">
        <v>723</v>
      </c>
      <c r="B725" t="s">
        <v>3150</v>
      </c>
      <c r="C725" t="s">
        <v>3151</v>
      </c>
      <c r="D725">
        <v>140</v>
      </c>
      <c r="E725" t="s">
        <v>3008</v>
      </c>
      <c r="F725" t="str">
        <f>VLOOKUP(E725,country_continent!A:C,2,FALSE)</f>
        <v>Brazil</v>
      </c>
      <c r="G725" t="str">
        <f>VLOOKUP(E725,country_continent!A:C,3,FALSE)</f>
        <v>South America</v>
      </c>
      <c r="H725" t="s">
        <v>3152</v>
      </c>
      <c r="I725" s="1">
        <v>25501</v>
      </c>
      <c r="J725" s="3">
        <f t="shared" si="33"/>
        <v>25501</v>
      </c>
      <c r="K725" s="1">
        <v>27103</v>
      </c>
      <c r="L725" s="3">
        <f t="shared" si="34"/>
        <v>27103</v>
      </c>
      <c r="M725" t="s">
        <v>67</v>
      </c>
      <c r="N725" t="s">
        <v>49</v>
      </c>
      <c r="O725" t="s">
        <v>49</v>
      </c>
      <c r="P725">
        <v>0</v>
      </c>
      <c r="Q725" t="s">
        <v>50</v>
      </c>
      <c r="R725" t="s">
        <v>51</v>
      </c>
      <c r="S725">
        <v>1905</v>
      </c>
      <c r="T725">
        <v>1985</v>
      </c>
      <c r="U725" s="1">
        <v>2165</v>
      </c>
      <c r="V725" s="2">
        <v>2165</v>
      </c>
      <c r="W725" s="1">
        <v>31329</v>
      </c>
      <c r="X725" s="2">
        <v>31329</v>
      </c>
      <c r="Z725">
        <v>1</v>
      </c>
      <c r="AA725">
        <v>1</v>
      </c>
      <c r="AB725">
        <v>0</v>
      </c>
      <c r="AC725">
        <v>0</v>
      </c>
      <c r="AF725">
        <v>1969</v>
      </c>
      <c r="AG725">
        <v>1974</v>
      </c>
      <c r="AH725">
        <v>8.2043280887353305</v>
      </c>
      <c r="AI725">
        <v>610</v>
      </c>
      <c r="AJ725">
        <v>23.2907973756225</v>
      </c>
      <c r="AK725">
        <v>127.183333333333</v>
      </c>
      <c r="AL725">
        <v>2.44670156208822</v>
      </c>
      <c r="AM725">
        <v>1.52494744050516</v>
      </c>
      <c r="AN725">
        <v>-8.17</v>
      </c>
      <c r="AO725" t="b">
        <v>0</v>
      </c>
      <c r="AT725">
        <v>1602</v>
      </c>
      <c r="AU725">
        <f t="shared" si="35"/>
        <v>4.3890000000000002</v>
      </c>
    </row>
    <row r="726" spans="1:47" x14ac:dyDescent="0.3">
      <c r="A726">
        <v>724</v>
      </c>
      <c r="B726" t="s">
        <v>3153</v>
      </c>
      <c r="C726" t="s">
        <v>3154</v>
      </c>
      <c r="D726">
        <v>140</v>
      </c>
      <c r="E726" t="s">
        <v>3008</v>
      </c>
      <c r="F726" t="str">
        <f>VLOOKUP(E726,country_continent!A:C,2,FALSE)</f>
        <v>Brazil</v>
      </c>
      <c r="G726" t="str">
        <f>VLOOKUP(E726,country_continent!A:C,3,FALSE)</f>
        <v>South America</v>
      </c>
      <c r="H726" t="s">
        <v>3155</v>
      </c>
      <c r="I726" s="1">
        <v>27103</v>
      </c>
      <c r="J726" s="3">
        <f t="shared" si="33"/>
        <v>27103</v>
      </c>
      <c r="K726" s="1">
        <v>28929</v>
      </c>
      <c r="L726" s="3">
        <f t="shared" si="34"/>
        <v>28929</v>
      </c>
      <c r="M726" t="s">
        <v>49</v>
      </c>
      <c r="N726" t="s">
        <v>49</v>
      </c>
      <c r="O726" t="s">
        <v>49</v>
      </c>
      <c r="P726">
        <v>0</v>
      </c>
      <c r="Q726" t="s">
        <v>50</v>
      </c>
      <c r="R726" t="s">
        <v>51</v>
      </c>
      <c r="S726">
        <v>1907</v>
      </c>
      <c r="T726">
        <v>1996</v>
      </c>
      <c r="U726" s="1">
        <v>2772</v>
      </c>
      <c r="V726" s="2">
        <v>2772</v>
      </c>
      <c r="W726" s="1">
        <v>35320</v>
      </c>
      <c r="X726" s="2">
        <v>35320</v>
      </c>
      <c r="Y726" t="s">
        <v>3156</v>
      </c>
      <c r="Z726">
        <v>0</v>
      </c>
      <c r="AA726">
        <v>1</v>
      </c>
      <c r="AB726">
        <v>0</v>
      </c>
      <c r="AC726">
        <v>0</v>
      </c>
      <c r="AF726">
        <v>1974</v>
      </c>
      <c r="AG726">
        <v>1979</v>
      </c>
      <c r="AH726">
        <v>4.1927586132824102</v>
      </c>
      <c r="AI726">
        <v>1456.6666666666599</v>
      </c>
      <c r="AJ726">
        <v>41.288423870686401</v>
      </c>
      <c r="AK726">
        <v>109.883333333333</v>
      </c>
      <c r="AL726">
        <v>2.38432131949441</v>
      </c>
      <c r="AM726">
        <v>1.9335400796225599</v>
      </c>
      <c r="AN726">
        <v>-4</v>
      </c>
      <c r="AO726" t="b">
        <v>0</v>
      </c>
      <c r="AT726">
        <v>1826</v>
      </c>
      <c r="AU726">
        <f t="shared" si="35"/>
        <v>5.0030000000000001</v>
      </c>
    </row>
    <row r="727" spans="1:47" x14ac:dyDescent="0.3">
      <c r="A727">
        <v>725</v>
      </c>
      <c r="B727" t="s">
        <v>3157</v>
      </c>
      <c r="C727" t="s">
        <v>3158</v>
      </c>
      <c r="D727">
        <v>140</v>
      </c>
      <c r="E727" t="s">
        <v>3008</v>
      </c>
      <c r="F727" t="str">
        <f>VLOOKUP(E727,country_continent!A:C,2,FALSE)</f>
        <v>Brazil</v>
      </c>
      <c r="G727" t="str">
        <f>VLOOKUP(E727,country_continent!A:C,3,FALSE)</f>
        <v>South America</v>
      </c>
      <c r="H727" t="s">
        <v>3159</v>
      </c>
      <c r="I727" s="1">
        <v>28929</v>
      </c>
      <c r="J727" s="3">
        <f t="shared" si="33"/>
        <v>28929</v>
      </c>
      <c r="K727" s="1">
        <v>31127</v>
      </c>
      <c r="L727" s="3">
        <f t="shared" si="34"/>
        <v>31127</v>
      </c>
      <c r="M727" t="s">
        <v>49</v>
      </c>
      <c r="N727" t="s">
        <v>49</v>
      </c>
      <c r="O727" t="s">
        <v>49</v>
      </c>
      <c r="P727">
        <v>0</v>
      </c>
      <c r="Q727" t="s">
        <v>50</v>
      </c>
      <c r="R727" t="s">
        <v>51</v>
      </c>
      <c r="S727">
        <v>1918</v>
      </c>
      <c r="T727">
        <v>1999</v>
      </c>
      <c r="U727" s="1">
        <v>6590</v>
      </c>
      <c r="V727" s="2">
        <v>6590</v>
      </c>
      <c r="W727" s="1">
        <v>36518</v>
      </c>
      <c r="X727" s="2">
        <v>36518</v>
      </c>
      <c r="Y727" t="s">
        <v>3160</v>
      </c>
      <c r="Z727">
        <v>0</v>
      </c>
      <c r="AA727">
        <v>1</v>
      </c>
      <c r="AB727">
        <v>0</v>
      </c>
      <c r="AC727">
        <v>0</v>
      </c>
      <c r="AF727">
        <v>1979</v>
      </c>
      <c r="AG727">
        <v>1985</v>
      </c>
      <c r="AH727">
        <v>0.94756266910439302</v>
      </c>
      <c r="AI727">
        <v>1902.8571428571399</v>
      </c>
      <c r="AJ727">
        <v>132.83416611754899</v>
      </c>
      <c r="AK727">
        <v>87.771428571428501</v>
      </c>
      <c r="AL727">
        <v>2.2706088707724201</v>
      </c>
      <c r="AM727">
        <v>3.0153924053090102</v>
      </c>
      <c r="AN727">
        <v>-2</v>
      </c>
      <c r="AO727" t="b">
        <v>0</v>
      </c>
      <c r="AT727">
        <v>2198</v>
      </c>
      <c r="AU727">
        <f t="shared" si="35"/>
        <v>6.0220000000000002</v>
      </c>
    </row>
    <row r="728" spans="1:47" x14ac:dyDescent="0.3">
      <c r="A728">
        <v>726</v>
      </c>
      <c r="B728" t="s">
        <v>3161</v>
      </c>
      <c r="C728" t="s">
        <v>3162</v>
      </c>
      <c r="D728">
        <v>140</v>
      </c>
      <c r="E728" t="s">
        <v>3008</v>
      </c>
      <c r="F728" t="str">
        <f>VLOOKUP(E728,country_continent!A:C,2,FALSE)</f>
        <v>Brazil</v>
      </c>
      <c r="G728" t="str">
        <f>VLOOKUP(E728,country_continent!A:C,3,FALSE)</f>
        <v>South America</v>
      </c>
      <c r="H728" t="s">
        <v>3163</v>
      </c>
      <c r="I728" s="1">
        <v>31127</v>
      </c>
      <c r="J728" s="3">
        <f t="shared" si="33"/>
        <v>31127</v>
      </c>
      <c r="K728" s="1">
        <v>32947</v>
      </c>
      <c r="L728" s="3">
        <f t="shared" si="34"/>
        <v>32947</v>
      </c>
      <c r="M728" t="s">
        <v>49</v>
      </c>
      <c r="N728" t="s">
        <v>49</v>
      </c>
      <c r="O728" t="s">
        <v>49</v>
      </c>
      <c r="P728">
        <v>0</v>
      </c>
      <c r="Q728" t="s">
        <v>50</v>
      </c>
      <c r="R728" t="s">
        <v>51</v>
      </c>
      <c r="S728">
        <v>1930</v>
      </c>
      <c r="T728">
        <v>-777</v>
      </c>
      <c r="U728" s="1">
        <v>11078</v>
      </c>
      <c r="V728" s="2">
        <v>11078</v>
      </c>
      <c r="Z728">
        <v>0</v>
      </c>
      <c r="AA728">
        <v>1</v>
      </c>
      <c r="AB728">
        <v>0</v>
      </c>
      <c r="AC728">
        <v>0</v>
      </c>
      <c r="AF728">
        <v>1985</v>
      </c>
      <c r="AG728">
        <v>1990</v>
      </c>
      <c r="AH728">
        <v>0.94238710825198202</v>
      </c>
      <c r="AI728">
        <v>2120</v>
      </c>
      <c r="AJ728">
        <v>878.87967390003098</v>
      </c>
      <c r="AK728">
        <v>69.816666666666606</v>
      </c>
      <c r="AL728">
        <v>1.9521028605505799</v>
      </c>
      <c r="AM728">
        <v>2.6940352984681</v>
      </c>
      <c r="AN728">
        <v>7.5</v>
      </c>
      <c r="AO728" t="b">
        <v>0</v>
      </c>
      <c r="AT728">
        <v>1820</v>
      </c>
      <c r="AU728">
        <f t="shared" si="35"/>
        <v>4.9859999999999998</v>
      </c>
    </row>
    <row r="729" spans="1:47" x14ac:dyDescent="0.3">
      <c r="A729">
        <v>727</v>
      </c>
      <c r="B729" t="s">
        <v>3164</v>
      </c>
      <c r="C729" t="s">
        <v>3165</v>
      </c>
      <c r="D729">
        <v>140</v>
      </c>
      <c r="E729" t="s">
        <v>3008</v>
      </c>
      <c r="F729" t="str">
        <f>VLOOKUP(E729,country_continent!A:C,2,FALSE)</f>
        <v>Brazil</v>
      </c>
      <c r="G729" t="str">
        <f>VLOOKUP(E729,country_continent!A:C,3,FALSE)</f>
        <v>South America</v>
      </c>
      <c r="H729" t="s">
        <v>3166</v>
      </c>
      <c r="I729" s="1">
        <v>32947</v>
      </c>
      <c r="J729" s="3">
        <f t="shared" si="33"/>
        <v>32947</v>
      </c>
      <c r="K729" s="1">
        <v>33879</v>
      </c>
      <c r="L729" s="3">
        <f t="shared" si="34"/>
        <v>33879</v>
      </c>
      <c r="M729" t="s">
        <v>49</v>
      </c>
      <c r="N729" t="s">
        <v>49</v>
      </c>
      <c r="O729" t="s">
        <v>49</v>
      </c>
      <c r="P729">
        <v>0</v>
      </c>
      <c r="Q729" t="s">
        <v>50</v>
      </c>
      <c r="R729" t="s">
        <v>51</v>
      </c>
      <c r="S729">
        <v>1949</v>
      </c>
      <c r="T729">
        <v>-777</v>
      </c>
      <c r="U729" s="1">
        <v>18122</v>
      </c>
      <c r="V729" s="2">
        <v>18122</v>
      </c>
      <c r="Y729" t="s">
        <v>3167</v>
      </c>
      <c r="Z729">
        <v>0</v>
      </c>
      <c r="AA729">
        <v>1</v>
      </c>
      <c r="AB729">
        <v>0</v>
      </c>
      <c r="AC729">
        <v>0</v>
      </c>
      <c r="AF729">
        <v>1990</v>
      </c>
      <c r="AG729">
        <v>1992</v>
      </c>
      <c r="AH729">
        <v>-2.9727588575056498</v>
      </c>
      <c r="AI729">
        <v>2436.6666666666601</v>
      </c>
      <c r="AJ729">
        <v>1374.2205781534201</v>
      </c>
      <c r="AK729">
        <v>60.1666666666666</v>
      </c>
      <c r="AL729">
        <v>1.7230507112942399</v>
      </c>
      <c r="AM729">
        <v>2.4943089170363102</v>
      </c>
      <c r="AN729">
        <v>8</v>
      </c>
      <c r="AO729" t="b">
        <v>0</v>
      </c>
      <c r="AT729">
        <v>932</v>
      </c>
      <c r="AU729">
        <f t="shared" si="35"/>
        <v>2.5529999999999999</v>
      </c>
    </row>
    <row r="730" spans="1:47" x14ac:dyDescent="0.3">
      <c r="A730">
        <v>728</v>
      </c>
      <c r="B730" t="s">
        <v>3168</v>
      </c>
      <c r="C730" t="s">
        <v>3169</v>
      </c>
      <c r="D730">
        <v>140</v>
      </c>
      <c r="E730" t="s">
        <v>3008</v>
      </c>
      <c r="F730" t="str">
        <f>VLOOKUP(E730,country_continent!A:C,2,FALSE)</f>
        <v>Brazil</v>
      </c>
      <c r="G730" t="str">
        <f>VLOOKUP(E730,country_continent!A:C,3,FALSE)</f>
        <v>South America</v>
      </c>
      <c r="H730" t="s">
        <v>3170</v>
      </c>
      <c r="I730" s="1">
        <v>33879</v>
      </c>
      <c r="J730" s="3">
        <f t="shared" si="33"/>
        <v>33879</v>
      </c>
      <c r="K730" s="1">
        <v>34699</v>
      </c>
      <c r="L730" s="3">
        <f t="shared" si="34"/>
        <v>34699</v>
      </c>
      <c r="M730" t="s">
        <v>49</v>
      </c>
      <c r="N730" t="s">
        <v>49</v>
      </c>
      <c r="O730" t="s">
        <v>49</v>
      </c>
      <c r="P730">
        <v>0</v>
      </c>
      <c r="Q730" t="s">
        <v>50</v>
      </c>
      <c r="R730" t="s">
        <v>51</v>
      </c>
      <c r="S730">
        <v>1930</v>
      </c>
      <c r="T730">
        <v>2011</v>
      </c>
      <c r="U730" s="1">
        <v>11137</v>
      </c>
      <c r="V730" s="2">
        <v>11137</v>
      </c>
      <c r="Y730" t="s">
        <v>3171</v>
      </c>
      <c r="Z730">
        <v>0</v>
      </c>
      <c r="AA730">
        <v>1</v>
      </c>
      <c r="AB730">
        <v>0</v>
      </c>
      <c r="AC730">
        <v>0</v>
      </c>
      <c r="AF730">
        <v>1992</v>
      </c>
      <c r="AG730">
        <v>1994</v>
      </c>
      <c r="AH730">
        <v>1.7537056168563001</v>
      </c>
      <c r="AI730">
        <v>2420</v>
      </c>
      <c r="AJ730">
        <v>1735.11069208304</v>
      </c>
      <c r="AK730">
        <v>54.066666666666599</v>
      </c>
      <c r="AL730">
        <v>1.6168250370319599</v>
      </c>
      <c r="AM730">
        <v>1.96999484160216</v>
      </c>
      <c r="AN730">
        <v>8</v>
      </c>
      <c r="AO730" t="b">
        <v>0</v>
      </c>
      <c r="AT730">
        <v>820</v>
      </c>
      <c r="AU730">
        <f t="shared" si="35"/>
        <v>2.2469999999999999</v>
      </c>
    </row>
    <row r="731" spans="1:47" x14ac:dyDescent="0.3">
      <c r="A731">
        <v>729</v>
      </c>
      <c r="B731" t="s">
        <v>3172</v>
      </c>
      <c r="C731" t="s">
        <v>3173</v>
      </c>
      <c r="D731">
        <v>140</v>
      </c>
      <c r="E731" t="s">
        <v>3008</v>
      </c>
      <c r="F731" t="str">
        <f>VLOOKUP(E731,country_continent!A:C,2,FALSE)</f>
        <v>Brazil</v>
      </c>
      <c r="G731" t="str">
        <f>VLOOKUP(E731,country_continent!A:C,3,FALSE)</f>
        <v>South America</v>
      </c>
      <c r="H731" t="s">
        <v>3174</v>
      </c>
      <c r="I731" s="1">
        <v>34700</v>
      </c>
      <c r="J731" s="3">
        <f t="shared" si="33"/>
        <v>34700</v>
      </c>
      <c r="K731" s="1">
        <v>37622</v>
      </c>
      <c r="L731" s="3">
        <f t="shared" si="34"/>
        <v>37622</v>
      </c>
      <c r="M731" t="s">
        <v>49</v>
      </c>
      <c r="N731" t="s">
        <v>49</v>
      </c>
      <c r="O731" t="s">
        <v>49</v>
      </c>
      <c r="P731">
        <v>0</v>
      </c>
      <c r="Q731" t="s">
        <v>50</v>
      </c>
      <c r="R731" t="s">
        <v>51</v>
      </c>
      <c r="S731">
        <v>1931</v>
      </c>
      <c r="T731">
        <v>-777</v>
      </c>
      <c r="U731" s="1">
        <v>11492</v>
      </c>
      <c r="V731" s="2">
        <v>11492</v>
      </c>
      <c r="Y731" t="s">
        <v>3175</v>
      </c>
      <c r="Z731">
        <v>0</v>
      </c>
      <c r="AA731">
        <v>1</v>
      </c>
      <c r="AB731">
        <v>0</v>
      </c>
      <c r="AC731">
        <v>0</v>
      </c>
      <c r="AF731">
        <v>1995</v>
      </c>
      <c r="AG731">
        <v>2003</v>
      </c>
      <c r="AH731">
        <v>0.86903293801797998</v>
      </c>
      <c r="AI731">
        <v>3958.88888888888</v>
      </c>
      <c r="AJ731">
        <v>18.9798295473839</v>
      </c>
      <c r="AK731">
        <v>37.255555555555503</v>
      </c>
      <c r="AL731">
        <v>1.3982304396935901</v>
      </c>
      <c r="AM731">
        <v>1.7696245043973899</v>
      </c>
      <c r="AN731">
        <v>8</v>
      </c>
      <c r="AO731" t="b">
        <v>0</v>
      </c>
      <c r="AT731">
        <v>2922</v>
      </c>
      <c r="AU731">
        <f t="shared" si="35"/>
        <v>8.0050000000000008</v>
      </c>
    </row>
    <row r="732" spans="1:47" x14ac:dyDescent="0.3">
      <c r="A732">
        <v>730</v>
      </c>
      <c r="B732" t="s">
        <v>3176</v>
      </c>
      <c r="C732" t="s">
        <v>3177</v>
      </c>
      <c r="D732">
        <v>140</v>
      </c>
      <c r="E732" t="s">
        <v>3008</v>
      </c>
      <c r="F732" t="str">
        <f>VLOOKUP(E732,country_continent!A:C,2,FALSE)</f>
        <v>Brazil</v>
      </c>
      <c r="G732" t="str">
        <f>VLOOKUP(E732,country_continent!A:C,3,FALSE)</f>
        <v>South America</v>
      </c>
      <c r="H732" t="s">
        <v>3178</v>
      </c>
      <c r="I732" s="1">
        <v>37622</v>
      </c>
      <c r="J732" s="3">
        <f t="shared" si="33"/>
        <v>37622</v>
      </c>
      <c r="K732" s="1">
        <v>40544</v>
      </c>
      <c r="L732" s="3">
        <f t="shared" si="34"/>
        <v>40544</v>
      </c>
      <c r="M732" t="s">
        <v>49</v>
      </c>
      <c r="N732" t="s">
        <v>49</v>
      </c>
      <c r="O732" t="s">
        <v>49</v>
      </c>
      <c r="P732">
        <v>0</v>
      </c>
      <c r="Q732" t="s">
        <v>50</v>
      </c>
      <c r="R732" t="s">
        <v>51</v>
      </c>
      <c r="S732">
        <v>1945</v>
      </c>
      <c r="T732">
        <v>-777</v>
      </c>
      <c r="Y732" t="s">
        <v>3179</v>
      </c>
      <c r="Z732">
        <v>0</v>
      </c>
      <c r="AA732">
        <v>1</v>
      </c>
      <c r="AB732">
        <v>0</v>
      </c>
      <c r="AC732">
        <v>0</v>
      </c>
      <c r="AF732">
        <v>2003</v>
      </c>
      <c r="AG732">
        <v>2011</v>
      </c>
      <c r="AH732">
        <v>3.03417570194275</v>
      </c>
      <c r="AI732">
        <v>6508.8888888888796</v>
      </c>
      <c r="AJ732">
        <v>8.3690650297446894</v>
      </c>
      <c r="AK732">
        <v>22.2555555555555</v>
      </c>
      <c r="AL732">
        <v>0.99833942964731703</v>
      </c>
      <c r="AM732">
        <v>3.5512712965243698</v>
      </c>
      <c r="AN732">
        <v>8</v>
      </c>
      <c r="AO732" t="b">
        <v>0</v>
      </c>
      <c r="AT732">
        <v>2922</v>
      </c>
      <c r="AU732">
        <f t="shared" si="35"/>
        <v>8.0050000000000008</v>
      </c>
    </row>
    <row r="733" spans="1:47" x14ac:dyDescent="0.3">
      <c r="A733">
        <v>731</v>
      </c>
      <c r="B733" t="s">
        <v>3180</v>
      </c>
      <c r="C733" t="s">
        <v>3181</v>
      </c>
      <c r="D733">
        <v>140</v>
      </c>
      <c r="E733" t="s">
        <v>3008</v>
      </c>
      <c r="F733" t="str">
        <f>VLOOKUP(E733,country_continent!A:C,2,FALSE)</f>
        <v>Brazil</v>
      </c>
      <c r="G733" t="str">
        <f>VLOOKUP(E733,country_continent!A:C,3,FALSE)</f>
        <v>South America</v>
      </c>
      <c r="H733" t="s">
        <v>3182</v>
      </c>
      <c r="I733" s="1">
        <v>40544</v>
      </c>
      <c r="J733" s="3">
        <f t="shared" si="33"/>
        <v>40544</v>
      </c>
      <c r="K733" s="1">
        <v>42369</v>
      </c>
      <c r="L733" s="3">
        <f t="shared" si="34"/>
        <v>42369</v>
      </c>
      <c r="M733" t="s">
        <v>49</v>
      </c>
      <c r="N733" t="s">
        <v>173</v>
      </c>
      <c r="O733" t="s">
        <v>173</v>
      </c>
      <c r="P733">
        <v>0</v>
      </c>
      <c r="Q733" t="s">
        <v>174</v>
      </c>
      <c r="R733" t="s">
        <v>299</v>
      </c>
      <c r="S733">
        <v>1947</v>
      </c>
      <c r="T733">
        <v>-777</v>
      </c>
      <c r="U733" s="1">
        <v>17515</v>
      </c>
      <c r="V733" s="2">
        <v>17515</v>
      </c>
      <c r="Z733">
        <v>0</v>
      </c>
      <c r="AA733">
        <v>-888</v>
      </c>
      <c r="AB733">
        <v>-888</v>
      </c>
      <c r="AC733">
        <v>-888</v>
      </c>
      <c r="AF733">
        <v>2011</v>
      </c>
      <c r="AG733">
        <v>2015</v>
      </c>
      <c r="AH733">
        <v>0.35856023120108399</v>
      </c>
      <c r="AI733">
        <v>11846</v>
      </c>
      <c r="AJ733">
        <v>7.83583368977534</v>
      </c>
      <c r="AK733">
        <v>16.82</v>
      </c>
      <c r="AL733">
        <v>0.80679199329402995</v>
      </c>
      <c r="AM733">
        <v>3.5247623556885501</v>
      </c>
      <c r="AN733">
        <v>8</v>
      </c>
      <c r="AO733" t="b">
        <v>0</v>
      </c>
      <c r="AT733">
        <v>1825</v>
      </c>
      <c r="AU733">
        <f t="shared" si="35"/>
        <v>5</v>
      </c>
    </row>
    <row r="734" spans="1:47" x14ac:dyDescent="0.3">
      <c r="A734">
        <v>732</v>
      </c>
      <c r="B734" t="s">
        <v>3183</v>
      </c>
      <c r="C734" t="s">
        <v>3184</v>
      </c>
      <c r="D734">
        <v>145</v>
      </c>
      <c r="E734" t="s">
        <v>3185</v>
      </c>
      <c r="F734" t="str">
        <f>VLOOKUP(E734,country_continent!A:C,2,FALSE)</f>
        <v>Bolivia</v>
      </c>
      <c r="G734" t="str">
        <f>VLOOKUP(E734,country_continent!A:C,3,FALSE)</f>
        <v>South America</v>
      </c>
      <c r="H734" t="s">
        <v>3186</v>
      </c>
      <c r="I734" t="s">
        <v>3187</v>
      </c>
      <c r="J734" s="3" t="str">
        <f t="shared" si="33"/>
        <v>1874/02/14</v>
      </c>
      <c r="K734" t="s">
        <v>3188</v>
      </c>
      <c r="L734" s="3" t="str">
        <f t="shared" si="34"/>
        <v>1876/05/04</v>
      </c>
      <c r="M734" t="s">
        <v>49</v>
      </c>
      <c r="N734" t="s">
        <v>67</v>
      </c>
      <c r="O734" t="s">
        <v>347</v>
      </c>
      <c r="P734">
        <v>1</v>
      </c>
      <c r="Q734" t="s">
        <v>463</v>
      </c>
      <c r="R734" t="s">
        <v>51</v>
      </c>
      <c r="S734">
        <v>1804</v>
      </c>
      <c r="T734">
        <v>1884</v>
      </c>
      <c r="U734" t="s">
        <v>3189</v>
      </c>
      <c r="V734" t="s">
        <v>3190</v>
      </c>
      <c r="Y734" t="s">
        <v>3191</v>
      </c>
      <c r="Z734">
        <v>0</v>
      </c>
      <c r="AA734">
        <v>3</v>
      </c>
      <c r="AB734">
        <v>-999</v>
      </c>
      <c r="AC734">
        <v>2</v>
      </c>
      <c r="AF734">
        <v>1874</v>
      </c>
      <c r="AG734">
        <v>1876</v>
      </c>
      <c r="AO734" t="b">
        <v>0</v>
      </c>
      <c r="AT734">
        <v>810</v>
      </c>
      <c r="AU734">
        <f t="shared" si="35"/>
        <v>2.2189999999999999</v>
      </c>
    </row>
    <row r="735" spans="1:47" x14ac:dyDescent="0.3">
      <c r="A735">
        <v>733</v>
      </c>
      <c r="B735" t="s">
        <v>3192</v>
      </c>
      <c r="C735" t="s">
        <v>3193</v>
      </c>
      <c r="D735">
        <v>145</v>
      </c>
      <c r="E735" t="s">
        <v>3185</v>
      </c>
      <c r="F735" t="str">
        <f>VLOOKUP(E735,country_continent!A:C,2,FALSE)</f>
        <v>Bolivia</v>
      </c>
      <c r="G735" t="str">
        <f>VLOOKUP(E735,country_continent!A:C,3,FALSE)</f>
        <v>South America</v>
      </c>
      <c r="H735" t="s">
        <v>3194</v>
      </c>
      <c r="I735" t="s">
        <v>3188</v>
      </c>
      <c r="J735" s="3" t="str">
        <f t="shared" si="33"/>
        <v>1876/05/04</v>
      </c>
      <c r="K735" t="s">
        <v>3195</v>
      </c>
      <c r="L735" s="3" t="str">
        <f t="shared" si="34"/>
        <v>1879/12/27</v>
      </c>
      <c r="M735" t="s">
        <v>67</v>
      </c>
      <c r="N735" t="s">
        <v>67</v>
      </c>
      <c r="O735" t="s">
        <v>347</v>
      </c>
      <c r="P735">
        <v>0</v>
      </c>
      <c r="Q735" t="s">
        <v>362</v>
      </c>
      <c r="R735" t="s">
        <v>51</v>
      </c>
      <c r="S735">
        <v>1840</v>
      </c>
      <c r="T735">
        <v>1893</v>
      </c>
      <c r="U735" t="s">
        <v>3196</v>
      </c>
      <c r="V735" t="s">
        <v>3197</v>
      </c>
      <c r="Z735">
        <v>1</v>
      </c>
      <c r="AA735">
        <v>3</v>
      </c>
      <c r="AB735">
        <v>-999</v>
      </c>
      <c r="AC735">
        <v>1</v>
      </c>
      <c r="AF735">
        <v>1876</v>
      </c>
      <c r="AG735">
        <v>1879</v>
      </c>
      <c r="AO735" t="b">
        <v>0</v>
      </c>
      <c r="AT735">
        <v>1332</v>
      </c>
      <c r="AU735">
        <f t="shared" si="35"/>
        <v>3.649</v>
      </c>
    </row>
    <row r="736" spans="1:47" x14ac:dyDescent="0.3">
      <c r="A736">
        <v>734</v>
      </c>
      <c r="B736" t="s">
        <v>3198</v>
      </c>
      <c r="C736" t="s">
        <v>3199</v>
      </c>
      <c r="D736">
        <v>145</v>
      </c>
      <c r="E736" t="s">
        <v>3185</v>
      </c>
      <c r="F736" t="str">
        <f>VLOOKUP(E736,country_continent!A:C,2,FALSE)</f>
        <v>Bolivia</v>
      </c>
      <c r="G736" t="str">
        <f>VLOOKUP(E736,country_continent!A:C,3,FALSE)</f>
        <v>South America</v>
      </c>
      <c r="H736" t="s">
        <v>3200</v>
      </c>
      <c r="I736" t="s">
        <v>3201</v>
      </c>
      <c r="J736" s="3" t="str">
        <f t="shared" si="33"/>
        <v>1880/01/19</v>
      </c>
      <c r="K736" t="s">
        <v>3202</v>
      </c>
      <c r="L736" s="3" t="str">
        <f t="shared" si="34"/>
        <v>1884/08/15</v>
      </c>
      <c r="M736" t="s">
        <v>67</v>
      </c>
      <c r="N736" t="s">
        <v>49</v>
      </c>
      <c r="O736" t="s">
        <v>49</v>
      </c>
      <c r="P736">
        <v>0</v>
      </c>
      <c r="Q736" t="s">
        <v>50</v>
      </c>
      <c r="R736" t="s">
        <v>51</v>
      </c>
      <c r="S736">
        <v>1813</v>
      </c>
      <c r="T736">
        <v>1896</v>
      </c>
      <c r="U736" t="s">
        <v>3203</v>
      </c>
      <c r="V736" t="s">
        <v>3204</v>
      </c>
      <c r="Z736">
        <v>1</v>
      </c>
      <c r="AA736">
        <v>1</v>
      </c>
      <c r="AB736">
        <v>0</v>
      </c>
      <c r="AC736">
        <v>0</v>
      </c>
      <c r="AF736">
        <v>1880</v>
      </c>
      <c r="AG736">
        <v>1884</v>
      </c>
      <c r="AO736" t="b">
        <v>0</v>
      </c>
      <c r="AT736">
        <v>1670</v>
      </c>
      <c r="AU736">
        <f t="shared" si="35"/>
        <v>4.5750000000000002</v>
      </c>
    </row>
    <row r="737" spans="1:47" x14ac:dyDescent="0.3">
      <c r="A737">
        <v>735</v>
      </c>
      <c r="B737" t="s">
        <v>3205</v>
      </c>
      <c r="C737" t="s">
        <v>3206</v>
      </c>
      <c r="D737">
        <v>145</v>
      </c>
      <c r="E737" t="s">
        <v>3185</v>
      </c>
      <c r="F737" t="str">
        <f>VLOOKUP(E737,country_continent!A:C,2,FALSE)</f>
        <v>Bolivia</v>
      </c>
      <c r="G737" t="str">
        <f>VLOOKUP(E737,country_continent!A:C,3,FALSE)</f>
        <v>South America</v>
      </c>
      <c r="H737" t="s">
        <v>3207</v>
      </c>
      <c r="I737" t="s">
        <v>3202</v>
      </c>
      <c r="J737" s="3" t="str">
        <f t="shared" si="33"/>
        <v>1884/08/15</v>
      </c>
      <c r="K737" t="s">
        <v>3208</v>
      </c>
      <c r="L737" s="3" t="str">
        <f t="shared" si="34"/>
        <v>1888/08/15</v>
      </c>
      <c r="M737" t="s">
        <v>49</v>
      </c>
      <c r="N737" t="s">
        <v>49</v>
      </c>
      <c r="O737" t="s">
        <v>49</v>
      </c>
      <c r="P737">
        <v>0</v>
      </c>
      <c r="Q737" t="s">
        <v>50</v>
      </c>
      <c r="R737" t="s">
        <v>51</v>
      </c>
      <c r="S737">
        <v>1823</v>
      </c>
      <c r="T737">
        <v>1899</v>
      </c>
      <c r="U737" t="s">
        <v>3209</v>
      </c>
      <c r="V737" t="s">
        <v>3210</v>
      </c>
      <c r="Z737">
        <v>0</v>
      </c>
      <c r="AA737">
        <v>1</v>
      </c>
      <c r="AB737">
        <v>0</v>
      </c>
      <c r="AC737">
        <v>0</v>
      </c>
      <c r="AF737">
        <v>1884</v>
      </c>
      <c r="AG737">
        <v>1888</v>
      </c>
      <c r="AO737" t="b">
        <v>0</v>
      </c>
      <c r="AT737">
        <v>1461</v>
      </c>
      <c r="AU737">
        <f t="shared" si="35"/>
        <v>4.0030000000000001</v>
      </c>
    </row>
    <row r="738" spans="1:47" x14ac:dyDescent="0.3">
      <c r="A738">
        <v>736</v>
      </c>
      <c r="B738" t="s">
        <v>3211</v>
      </c>
      <c r="C738" t="s">
        <v>3212</v>
      </c>
      <c r="D738">
        <v>145</v>
      </c>
      <c r="E738" t="s">
        <v>3185</v>
      </c>
      <c r="F738" t="str">
        <f>VLOOKUP(E738,country_continent!A:C,2,FALSE)</f>
        <v>Bolivia</v>
      </c>
      <c r="G738" t="str">
        <f>VLOOKUP(E738,country_continent!A:C,3,FALSE)</f>
        <v>South America</v>
      </c>
      <c r="H738" t="s">
        <v>3213</v>
      </c>
      <c r="I738" t="s">
        <v>3208</v>
      </c>
      <c r="J738" s="3" t="str">
        <f t="shared" si="33"/>
        <v>1888/08/15</v>
      </c>
      <c r="K738" t="s">
        <v>3214</v>
      </c>
      <c r="L738" s="3" t="str">
        <f t="shared" si="34"/>
        <v>1892/08/01</v>
      </c>
      <c r="M738" t="s">
        <v>49</v>
      </c>
      <c r="N738" t="s">
        <v>49</v>
      </c>
      <c r="O738" t="s">
        <v>49</v>
      </c>
      <c r="P738">
        <v>0</v>
      </c>
      <c r="Q738" t="s">
        <v>50</v>
      </c>
      <c r="R738" t="s">
        <v>51</v>
      </c>
      <c r="S738">
        <v>1824</v>
      </c>
      <c r="T738">
        <v>1906</v>
      </c>
      <c r="U738" t="s">
        <v>3215</v>
      </c>
      <c r="V738" t="s">
        <v>3216</v>
      </c>
      <c r="Z738">
        <v>0</v>
      </c>
      <c r="AA738">
        <v>1</v>
      </c>
      <c r="AB738">
        <v>0</v>
      </c>
      <c r="AC738">
        <v>0</v>
      </c>
      <c r="AF738">
        <v>1888</v>
      </c>
      <c r="AG738">
        <v>1892</v>
      </c>
      <c r="AO738" t="b">
        <v>0</v>
      </c>
      <c r="AT738">
        <v>1447</v>
      </c>
      <c r="AU738">
        <f t="shared" si="35"/>
        <v>3.964</v>
      </c>
    </row>
    <row r="739" spans="1:47" x14ac:dyDescent="0.3">
      <c r="A739">
        <v>737</v>
      </c>
      <c r="B739" t="s">
        <v>3217</v>
      </c>
      <c r="C739" t="s">
        <v>3218</v>
      </c>
      <c r="D739">
        <v>145</v>
      </c>
      <c r="E739" t="s">
        <v>3185</v>
      </c>
      <c r="F739" t="str">
        <f>VLOOKUP(E739,country_continent!A:C,2,FALSE)</f>
        <v>Bolivia</v>
      </c>
      <c r="G739" t="str">
        <f>VLOOKUP(E739,country_continent!A:C,3,FALSE)</f>
        <v>South America</v>
      </c>
      <c r="H739" t="s">
        <v>3219</v>
      </c>
      <c r="I739" t="s">
        <v>3220</v>
      </c>
      <c r="J739" s="3" t="str">
        <f t="shared" si="33"/>
        <v>1892/08/06</v>
      </c>
      <c r="K739" t="s">
        <v>3221</v>
      </c>
      <c r="L739" s="3" t="str">
        <f t="shared" si="34"/>
        <v>1896/08/15</v>
      </c>
      <c r="M739" t="s">
        <v>49</v>
      </c>
      <c r="N739" t="s">
        <v>49</v>
      </c>
      <c r="O739" t="s">
        <v>49</v>
      </c>
      <c r="P739">
        <v>0</v>
      </c>
      <c r="Q739" t="s">
        <v>50</v>
      </c>
      <c r="R739" t="s">
        <v>51</v>
      </c>
      <c r="S739">
        <v>1832</v>
      </c>
      <c r="T739">
        <v>1907</v>
      </c>
      <c r="U739" t="s">
        <v>3222</v>
      </c>
      <c r="V739" t="s">
        <v>3223</v>
      </c>
      <c r="Z739">
        <v>0</v>
      </c>
      <c r="AA739">
        <v>1</v>
      </c>
      <c r="AB739">
        <v>0</v>
      </c>
      <c r="AC739">
        <v>0</v>
      </c>
      <c r="AF739">
        <v>1892</v>
      </c>
      <c r="AG739">
        <v>1896</v>
      </c>
      <c r="AO739" t="b">
        <v>0</v>
      </c>
      <c r="AT739">
        <v>1470</v>
      </c>
      <c r="AU739">
        <f t="shared" si="35"/>
        <v>4.0270000000000001</v>
      </c>
    </row>
    <row r="740" spans="1:47" x14ac:dyDescent="0.3">
      <c r="A740">
        <v>738</v>
      </c>
      <c r="B740" t="s">
        <v>3224</v>
      </c>
      <c r="C740" t="s">
        <v>3225</v>
      </c>
      <c r="D740">
        <v>145</v>
      </c>
      <c r="E740" t="s">
        <v>3185</v>
      </c>
      <c r="F740" t="str">
        <f>VLOOKUP(E740,country_continent!A:C,2,FALSE)</f>
        <v>Bolivia</v>
      </c>
      <c r="G740" t="str">
        <f>VLOOKUP(E740,country_continent!A:C,3,FALSE)</f>
        <v>South America</v>
      </c>
      <c r="H740" t="s">
        <v>3226</v>
      </c>
      <c r="I740" t="s">
        <v>3221</v>
      </c>
      <c r="J740" s="3" t="str">
        <f t="shared" si="33"/>
        <v>1896/08/15</v>
      </c>
      <c r="K740" t="s">
        <v>3227</v>
      </c>
      <c r="L740" s="3" t="str">
        <f t="shared" si="34"/>
        <v>1899/10/06</v>
      </c>
      <c r="M740" t="s">
        <v>49</v>
      </c>
      <c r="N740" t="s">
        <v>67</v>
      </c>
      <c r="O740" t="s">
        <v>347</v>
      </c>
      <c r="P740">
        <v>0</v>
      </c>
      <c r="Q740" t="s">
        <v>362</v>
      </c>
      <c r="R740" t="s">
        <v>51</v>
      </c>
      <c r="S740">
        <v>1849</v>
      </c>
      <c r="T740">
        <v>1925</v>
      </c>
      <c r="U740" t="s">
        <v>3228</v>
      </c>
      <c r="V740" t="s">
        <v>3229</v>
      </c>
      <c r="Z740">
        <v>0</v>
      </c>
      <c r="AA740">
        <v>3</v>
      </c>
      <c r="AB740">
        <v>-999</v>
      </c>
      <c r="AC740">
        <v>1</v>
      </c>
      <c r="AF740">
        <v>1896</v>
      </c>
      <c r="AG740">
        <v>1899</v>
      </c>
      <c r="AO740" t="b">
        <v>0</v>
      </c>
      <c r="AT740">
        <v>1147</v>
      </c>
      <c r="AU740">
        <f t="shared" si="35"/>
        <v>3.1419999999999999</v>
      </c>
    </row>
    <row r="741" spans="1:47" x14ac:dyDescent="0.3">
      <c r="A741">
        <v>739</v>
      </c>
      <c r="B741" t="s">
        <v>3230</v>
      </c>
      <c r="C741" t="s">
        <v>3231</v>
      </c>
      <c r="D741">
        <v>145</v>
      </c>
      <c r="E741" t="s">
        <v>3185</v>
      </c>
      <c r="F741" t="str">
        <f>VLOOKUP(E741,country_continent!A:C,2,FALSE)</f>
        <v>Bolivia</v>
      </c>
      <c r="G741" t="str">
        <f>VLOOKUP(E741,country_continent!A:C,3,FALSE)</f>
        <v>South America</v>
      </c>
      <c r="H741" t="s">
        <v>3232</v>
      </c>
      <c r="I741" t="s">
        <v>3227</v>
      </c>
      <c r="J741" s="3" t="str">
        <f t="shared" si="33"/>
        <v>1899/10/06</v>
      </c>
      <c r="K741" s="1">
        <v>1678</v>
      </c>
      <c r="L741" s="3">
        <f t="shared" si="34"/>
        <v>1678</v>
      </c>
      <c r="M741" t="s">
        <v>67</v>
      </c>
      <c r="N741" t="s">
        <v>49</v>
      </c>
      <c r="O741" t="s">
        <v>49</v>
      </c>
      <c r="P741">
        <v>0</v>
      </c>
      <c r="Q741" t="s">
        <v>50</v>
      </c>
      <c r="R741" t="s">
        <v>51</v>
      </c>
      <c r="S741">
        <v>1848</v>
      </c>
      <c r="T741">
        <v>1917</v>
      </c>
      <c r="U741" t="s">
        <v>3233</v>
      </c>
      <c r="V741" t="s">
        <v>3234</v>
      </c>
      <c r="Z741">
        <v>1</v>
      </c>
      <c r="AA741">
        <v>1</v>
      </c>
      <c r="AB741">
        <v>0</v>
      </c>
      <c r="AC741">
        <v>0</v>
      </c>
      <c r="AF741">
        <v>1899</v>
      </c>
      <c r="AG741">
        <v>1904</v>
      </c>
      <c r="AO741" t="b">
        <v>0</v>
      </c>
      <c r="AT741">
        <v>1763</v>
      </c>
      <c r="AU741">
        <f t="shared" si="35"/>
        <v>4.83</v>
      </c>
    </row>
    <row r="742" spans="1:47" x14ac:dyDescent="0.3">
      <c r="A742">
        <v>740</v>
      </c>
      <c r="B742" t="s">
        <v>3235</v>
      </c>
      <c r="C742" t="s">
        <v>3236</v>
      </c>
      <c r="D742">
        <v>145</v>
      </c>
      <c r="E742" t="s">
        <v>3185</v>
      </c>
      <c r="F742" t="str">
        <f>VLOOKUP(E742,country_continent!A:C,2,FALSE)</f>
        <v>Bolivia</v>
      </c>
      <c r="G742" t="str">
        <f>VLOOKUP(E742,country_continent!A:C,3,FALSE)</f>
        <v>South America</v>
      </c>
      <c r="H742" t="s">
        <v>3237</v>
      </c>
      <c r="I742" s="1">
        <v>1688</v>
      </c>
      <c r="J742" s="3">
        <f t="shared" si="33"/>
        <v>1688</v>
      </c>
      <c r="K742" s="1">
        <v>3585</v>
      </c>
      <c r="L742" s="3">
        <f t="shared" si="34"/>
        <v>3585</v>
      </c>
      <c r="M742" t="s">
        <v>49</v>
      </c>
      <c r="N742" t="s">
        <v>49</v>
      </c>
      <c r="O742" t="s">
        <v>49</v>
      </c>
      <c r="P742">
        <v>0</v>
      </c>
      <c r="Q742" t="s">
        <v>50</v>
      </c>
      <c r="R742" t="s">
        <v>51</v>
      </c>
      <c r="S742">
        <v>1861</v>
      </c>
      <c r="T742">
        <v>1933</v>
      </c>
      <c r="U742" t="s">
        <v>3238</v>
      </c>
      <c r="V742" t="s">
        <v>3239</v>
      </c>
      <c r="Z742">
        <v>0</v>
      </c>
      <c r="AA742">
        <v>1</v>
      </c>
      <c r="AB742">
        <v>0</v>
      </c>
      <c r="AC742">
        <v>0</v>
      </c>
      <c r="AF742">
        <v>1904</v>
      </c>
      <c r="AG742">
        <v>1909</v>
      </c>
      <c r="AO742" t="b">
        <v>0</v>
      </c>
      <c r="AT742">
        <v>1897</v>
      </c>
      <c r="AU742">
        <f t="shared" si="35"/>
        <v>5.1970000000000001</v>
      </c>
    </row>
    <row r="743" spans="1:47" x14ac:dyDescent="0.3">
      <c r="A743">
        <v>741</v>
      </c>
      <c r="B743" t="s">
        <v>3240</v>
      </c>
      <c r="C743" t="s">
        <v>3241</v>
      </c>
      <c r="D743">
        <v>145</v>
      </c>
      <c r="E743" t="s">
        <v>3185</v>
      </c>
      <c r="F743" t="str">
        <f>VLOOKUP(E743,country_continent!A:C,2,FALSE)</f>
        <v>Bolivia</v>
      </c>
      <c r="G743" t="str">
        <f>VLOOKUP(E743,country_continent!A:C,3,FALSE)</f>
        <v>South America</v>
      </c>
      <c r="H743" t="s">
        <v>3242</v>
      </c>
      <c r="I743" s="1">
        <v>3585</v>
      </c>
      <c r="J743" s="3">
        <f t="shared" si="33"/>
        <v>3585</v>
      </c>
      <c r="K743" s="1">
        <v>4976</v>
      </c>
      <c r="L743" s="3">
        <f t="shared" si="34"/>
        <v>4976</v>
      </c>
      <c r="M743" t="s">
        <v>49</v>
      </c>
      <c r="N743" t="s">
        <v>49</v>
      </c>
      <c r="O743" t="s">
        <v>49</v>
      </c>
      <c r="P743">
        <v>0</v>
      </c>
      <c r="Q743" t="s">
        <v>50</v>
      </c>
      <c r="R743" t="s">
        <v>51</v>
      </c>
      <c r="S743">
        <v>1848</v>
      </c>
      <c r="T743">
        <v>1939</v>
      </c>
      <c r="U743" t="s">
        <v>3243</v>
      </c>
      <c r="V743" t="s">
        <v>3244</v>
      </c>
      <c r="Z743">
        <v>0</v>
      </c>
      <c r="AA743">
        <v>1</v>
      </c>
      <c r="AB743">
        <v>0</v>
      </c>
      <c r="AC743">
        <v>0</v>
      </c>
      <c r="AF743">
        <v>1909</v>
      </c>
      <c r="AG743">
        <v>1913</v>
      </c>
      <c r="AO743" t="b">
        <v>0</v>
      </c>
      <c r="AT743">
        <v>1391</v>
      </c>
      <c r="AU743">
        <f t="shared" si="35"/>
        <v>3.8109999999999999</v>
      </c>
    </row>
    <row r="744" spans="1:47" x14ac:dyDescent="0.3">
      <c r="A744">
        <v>742</v>
      </c>
      <c r="B744" t="s">
        <v>3245</v>
      </c>
      <c r="C744" t="s">
        <v>3236</v>
      </c>
      <c r="D744">
        <v>145</v>
      </c>
      <c r="E744" t="s">
        <v>3185</v>
      </c>
      <c r="F744" t="str">
        <f>VLOOKUP(E744,country_continent!A:C,2,FALSE)</f>
        <v>Bolivia</v>
      </c>
      <c r="G744" t="str">
        <f>VLOOKUP(E744,country_continent!A:C,3,FALSE)</f>
        <v>South America</v>
      </c>
      <c r="H744" t="s">
        <v>3237</v>
      </c>
      <c r="I744" s="1">
        <v>4976</v>
      </c>
      <c r="J744" s="3">
        <f t="shared" si="33"/>
        <v>4976</v>
      </c>
      <c r="K744" s="1">
        <v>6437</v>
      </c>
      <c r="L744" s="3">
        <f t="shared" si="34"/>
        <v>6437</v>
      </c>
      <c r="M744" t="s">
        <v>49</v>
      </c>
      <c r="N744" t="s">
        <v>49</v>
      </c>
      <c r="O744" t="s">
        <v>49</v>
      </c>
      <c r="P744">
        <v>1</v>
      </c>
      <c r="Q744" t="s">
        <v>50</v>
      </c>
      <c r="R744" t="s">
        <v>51</v>
      </c>
      <c r="S744">
        <v>1861</v>
      </c>
      <c r="T744">
        <v>1933</v>
      </c>
      <c r="U744" t="s">
        <v>3238</v>
      </c>
      <c r="V744" t="s">
        <v>3239</v>
      </c>
      <c r="Z744">
        <v>0</v>
      </c>
      <c r="AA744">
        <v>1</v>
      </c>
      <c r="AB744">
        <v>0</v>
      </c>
      <c r="AC744">
        <v>0</v>
      </c>
      <c r="AF744">
        <v>1913</v>
      </c>
      <c r="AG744">
        <v>1917</v>
      </c>
      <c r="AO744" t="b">
        <v>0</v>
      </c>
      <c r="AT744">
        <v>1461</v>
      </c>
      <c r="AU744">
        <f t="shared" si="35"/>
        <v>4.0030000000000001</v>
      </c>
    </row>
    <row r="745" spans="1:47" x14ac:dyDescent="0.3">
      <c r="A745">
        <v>743</v>
      </c>
      <c r="B745" t="s">
        <v>3246</v>
      </c>
      <c r="C745" t="s">
        <v>3247</v>
      </c>
      <c r="D745">
        <v>145</v>
      </c>
      <c r="E745" t="s">
        <v>3185</v>
      </c>
      <c r="F745" t="str">
        <f>VLOOKUP(E745,country_continent!A:C,2,FALSE)</f>
        <v>Bolivia</v>
      </c>
      <c r="G745" t="str">
        <f>VLOOKUP(E745,country_continent!A:C,3,FALSE)</f>
        <v>South America</v>
      </c>
      <c r="H745" t="s">
        <v>3248</v>
      </c>
      <c r="I745" s="1">
        <v>6437</v>
      </c>
      <c r="J745" s="3">
        <f t="shared" si="33"/>
        <v>6437</v>
      </c>
      <c r="K745" s="1">
        <v>7498</v>
      </c>
      <c r="L745" s="3">
        <f t="shared" si="34"/>
        <v>7498</v>
      </c>
      <c r="M745" t="s">
        <v>49</v>
      </c>
      <c r="N745" t="s">
        <v>67</v>
      </c>
      <c r="O745" t="s">
        <v>2001</v>
      </c>
      <c r="P745">
        <v>0</v>
      </c>
      <c r="Q745" t="s">
        <v>362</v>
      </c>
      <c r="R745" t="s">
        <v>51</v>
      </c>
      <c r="S745">
        <v>1869</v>
      </c>
      <c r="T745">
        <v>1929</v>
      </c>
      <c r="U745" t="s">
        <v>3249</v>
      </c>
      <c r="V745" t="s">
        <v>3250</v>
      </c>
      <c r="Z745">
        <v>0</v>
      </c>
      <c r="AA745">
        <v>3</v>
      </c>
      <c r="AB745">
        <v>8</v>
      </c>
      <c r="AC745">
        <v>1</v>
      </c>
      <c r="AF745">
        <v>1917</v>
      </c>
      <c r="AG745">
        <v>1920</v>
      </c>
      <c r="AO745" t="b">
        <v>0</v>
      </c>
      <c r="AT745">
        <v>1061</v>
      </c>
      <c r="AU745">
        <f t="shared" si="35"/>
        <v>2.907</v>
      </c>
    </row>
    <row r="746" spans="1:47" x14ac:dyDescent="0.3">
      <c r="A746">
        <v>744</v>
      </c>
      <c r="B746" t="s">
        <v>3251</v>
      </c>
      <c r="C746" t="s">
        <v>3252</v>
      </c>
      <c r="D746">
        <v>145</v>
      </c>
      <c r="E746" t="s">
        <v>3185</v>
      </c>
      <c r="F746" t="str">
        <f>VLOOKUP(E746,country_continent!A:C,2,FALSE)</f>
        <v>Bolivia</v>
      </c>
      <c r="G746" t="str">
        <f>VLOOKUP(E746,country_continent!A:C,3,FALSE)</f>
        <v>South America</v>
      </c>
      <c r="H746" t="s">
        <v>3253</v>
      </c>
      <c r="I746" s="1">
        <v>7498</v>
      </c>
      <c r="J746" s="3">
        <f t="shared" si="33"/>
        <v>7498</v>
      </c>
      <c r="K746" s="1">
        <v>9378</v>
      </c>
      <c r="L746" s="3">
        <f t="shared" si="34"/>
        <v>9378</v>
      </c>
      <c r="M746" t="s">
        <v>67</v>
      </c>
      <c r="N746" t="s">
        <v>49</v>
      </c>
      <c r="O746" t="s">
        <v>49</v>
      </c>
      <c r="P746">
        <v>0</v>
      </c>
      <c r="Q746" t="s">
        <v>50</v>
      </c>
      <c r="R746" t="s">
        <v>51</v>
      </c>
      <c r="S746">
        <v>1870</v>
      </c>
      <c r="T746">
        <v>1939</v>
      </c>
      <c r="U746" t="s">
        <v>3254</v>
      </c>
      <c r="V746" t="s">
        <v>3255</v>
      </c>
      <c r="Z746">
        <v>1</v>
      </c>
      <c r="AA746">
        <v>1</v>
      </c>
      <c r="AB746">
        <v>0</v>
      </c>
      <c r="AC746">
        <v>0</v>
      </c>
      <c r="AF746">
        <v>1920</v>
      </c>
      <c r="AG746">
        <v>1925</v>
      </c>
      <c r="AO746" t="b">
        <v>0</v>
      </c>
      <c r="AT746">
        <v>1880</v>
      </c>
      <c r="AU746">
        <f t="shared" si="35"/>
        <v>5.1509999999999998</v>
      </c>
    </row>
    <row r="747" spans="1:47" x14ac:dyDescent="0.3">
      <c r="A747">
        <v>745</v>
      </c>
      <c r="B747" t="s">
        <v>3256</v>
      </c>
      <c r="C747" t="s">
        <v>3257</v>
      </c>
      <c r="D747">
        <v>145</v>
      </c>
      <c r="E747" t="s">
        <v>3185</v>
      </c>
      <c r="F747" t="str">
        <f>VLOOKUP(E747,country_continent!A:C,2,FALSE)</f>
        <v>Bolivia</v>
      </c>
      <c r="G747" t="str">
        <f>VLOOKUP(E747,country_continent!A:C,3,FALSE)</f>
        <v>South America</v>
      </c>
      <c r="H747" t="s">
        <v>3258</v>
      </c>
      <c r="I747" s="1">
        <v>9378</v>
      </c>
      <c r="J747" s="3">
        <f t="shared" si="33"/>
        <v>9378</v>
      </c>
      <c r="K747" s="1">
        <v>9507</v>
      </c>
      <c r="L747" s="3">
        <f t="shared" si="34"/>
        <v>9507</v>
      </c>
      <c r="M747" t="s">
        <v>49</v>
      </c>
      <c r="N747" t="s">
        <v>49</v>
      </c>
      <c r="O747" t="s">
        <v>49</v>
      </c>
      <c r="P747">
        <v>0</v>
      </c>
      <c r="Q747" t="s">
        <v>1453</v>
      </c>
      <c r="R747" t="s">
        <v>51</v>
      </c>
      <c r="S747">
        <v>1879</v>
      </c>
      <c r="T747">
        <v>1932</v>
      </c>
      <c r="Z747">
        <v>0</v>
      </c>
      <c r="AA747">
        <v>1</v>
      </c>
      <c r="AB747">
        <v>0</v>
      </c>
      <c r="AC747">
        <v>-666</v>
      </c>
      <c r="AF747">
        <v>1925</v>
      </c>
      <c r="AG747">
        <v>1926</v>
      </c>
      <c r="AO747" t="b">
        <v>0</v>
      </c>
      <c r="AT747">
        <v>129</v>
      </c>
      <c r="AU747">
        <f t="shared" si="35"/>
        <v>0.35299999999999998</v>
      </c>
    </row>
    <row r="748" spans="1:47" x14ac:dyDescent="0.3">
      <c r="A748">
        <v>746</v>
      </c>
      <c r="B748" t="s">
        <v>3259</v>
      </c>
      <c r="C748" t="s">
        <v>3260</v>
      </c>
      <c r="D748">
        <v>145</v>
      </c>
      <c r="E748" t="s">
        <v>3185</v>
      </c>
      <c r="F748" t="str">
        <f>VLOOKUP(E748,country_continent!A:C,2,FALSE)</f>
        <v>Bolivia</v>
      </c>
      <c r="G748" t="str">
        <f>VLOOKUP(E748,country_continent!A:C,3,FALSE)</f>
        <v>South America</v>
      </c>
      <c r="H748" t="s">
        <v>3261</v>
      </c>
      <c r="I748" s="1">
        <v>9507</v>
      </c>
      <c r="J748" s="3">
        <f t="shared" si="33"/>
        <v>9507</v>
      </c>
      <c r="K748" s="1">
        <v>11134</v>
      </c>
      <c r="L748" s="3">
        <f t="shared" si="34"/>
        <v>11134</v>
      </c>
      <c r="M748" t="s">
        <v>49</v>
      </c>
      <c r="N748" t="s">
        <v>67</v>
      </c>
      <c r="O748" t="s">
        <v>376</v>
      </c>
      <c r="P748">
        <v>0</v>
      </c>
      <c r="Q748" t="s">
        <v>362</v>
      </c>
      <c r="R748" t="s">
        <v>51</v>
      </c>
      <c r="S748">
        <v>1905</v>
      </c>
      <c r="T748">
        <v>1942</v>
      </c>
      <c r="Z748">
        <v>0</v>
      </c>
      <c r="AA748">
        <v>3</v>
      </c>
      <c r="AB748">
        <v>6</v>
      </c>
      <c r="AC748">
        <v>1</v>
      </c>
      <c r="AD748" t="s">
        <v>3262</v>
      </c>
      <c r="AE748">
        <v>0</v>
      </c>
      <c r="AF748">
        <v>1926</v>
      </c>
      <c r="AG748">
        <v>1930</v>
      </c>
      <c r="AO748" t="b">
        <v>0</v>
      </c>
      <c r="AT748">
        <v>1627</v>
      </c>
      <c r="AU748">
        <f t="shared" si="35"/>
        <v>4.4580000000000002</v>
      </c>
    </row>
    <row r="749" spans="1:47" x14ac:dyDescent="0.3">
      <c r="A749">
        <v>747</v>
      </c>
      <c r="B749" t="s">
        <v>3263</v>
      </c>
      <c r="C749" t="s">
        <v>3264</v>
      </c>
      <c r="D749">
        <v>145</v>
      </c>
      <c r="E749" t="s">
        <v>3185</v>
      </c>
      <c r="F749" t="str">
        <f>VLOOKUP(E749,country_continent!A:C,2,FALSE)</f>
        <v>Bolivia</v>
      </c>
      <c r="G749" t="str">
        <f>VLOOKUP(E749,country_continent!A:C,3,FALSE)</f>
        <v>South America</v>
      </c>
      <c r="H749" t="s">
        <v>3265</v>
      </c>
      <c r="I749" s="1">
        <v>11134</v>
      </c>
      <c r="J749" s="3">
        <f t="shared" si="33"/>
        <v>11134</v>
      </c>
      <c r="K749" s="1">
        <v>11387</v>
      </c>
      <c r="L749" s="3">
        <f t="shared" si="34"/>
        <v>11387</v>
      </c>
      <c r="M749" t="s">
        <v>67</v>
      </c>
      <c r="N749" t="s">
        <v>49</v>
      </c>
      <c r="O749" t="s">
        <v>49</v>
      </c>
      <c r="P749">
        <v>0</v>
      </c>
      <c r="Q749" t="s">
        <v>50</v>
      </c>
      <c r="R749" t="s">
        <v>51</v>
      </c>
      <c r="S749">
        <v>1882</v>
      </c>
      <c r="T749">
        <v>1943</v>
      </c>
      <c r="U749" t="s">
        <v>3266</v>
      </c>
      <c r="V749" t="s">
        <v>3267</v>
      </c>
      <c r="Z749">
        <v>1</v>
      </c>
      <c r="AA749">
        <v>1</v>
      </c>
      <c r="AB749">
        <v>0</v>
      </c>
      <c r="AC749">
        <v>0</v>
      </c>
      <c r="AF749">
        <v>1930</v>
      </c>
      <c r="AG749">
        <v>1931</v>
      </c>
      <c r="AO749" t="b">
        <v>0</v>
      </c>
      <c r="AT749">
        <v>253</v>
      </c>
      <c r="AU749">
        <f t="shared" si="35"/>
        <v>0.69299999999999995</v>
      </c>
    </row>
    <row r="750" spans="1:47" x14ac:dyDescent="0.3">
      <c r="A750">
        <v>748</v>
      </c>
      <c r="B750" t="s">
        <v>3268</v>
      </c>
      <c r="C750" t="s">
        <v>3269</v>
      </c>
      <c r="D750">
        <v>145</v>
      </c>
      <c r="E750" t="s">
        <v>3185</v>
      </c>
      <c r="F750" t="str">
        <f>VLOOKUP(E750,country_continent!A:C,2,FALSE)</f>
        <v>Bolivia</v>
      </c>
      <c r="G750" t="str">
        <f>VLOOKUP(E750,country_continent!A:C,3,FALSE)</f>
        <v>South America</v>
      </c>
      <c r="H750" t="s">
        <v>3270</v>
      </c>
      <c r="I750" s="1">
        <v>11387</v>
      </c>
      <c r="J750" s="3">
        <f t="shared" si="33"/>
        <v>11387</v>
      </c>
      <c r="K750" s="1">
        <v>12751</v>
      </c>
      <c r="L750" s="3">
        <f t="shared" si="34"/>
        <v>12751</v>
      </c>
      <c r="M750" t="s">
        <v>49</v>
      </c>
      <c r="N750" t="s">
        <v>67</v>
      </c>
      <c r="O750" t="s">
        <v>376</v>
      </c>
      <c r="P750">
        <v>0</v>
      </c>
      <c r="Q750" t="s">
        <v>463</v>
      </c>
      <c r="R750" t="s">
        <v>51</v>
      </c>
      <c r="S750">
        <v>1868</v>
      </c>
      <c r="T750">
        <v>1935</v>
      </c>
      <c r="U750" t="s">
        <v>3271</v>
      </c>
      <c r="V750" t="s">
        <v>3272</v>
      </c>
      <c r="W750" s="1">
        <v>12982</v>
      </c>
      <c r="X750" s="2">
        <v>12982</v>
      </c>
      <c r="Y750" t="s">
        <v>3273</v>
      </c>
      <c r="Z750">
        <v>0</v>
      </c>
      <c r="AA750">
        <v>3</v>
      </c>
      <c r="AB750">
        <v>6</v>
      </c>
      <c r="AC750">
        <v>2</v>
      </c>
      <c r="AF750">
        <v>1931</v>
      </c>
      <c r="AG750">
        <v>1934</v>
      </c>
      <c r="AO750" t="b">
        <v>0</v>
      </c>
      <c r="AT750">
        <v>1364</v>
      </c>
      <c r="AU750">
        <f t="shared" si="35"/>
        <v>3.7370000000000001</v>
      </c>
    </row>
    <row r="751" spans="1:47" x14ac:dyDescent="0.3">
      <c r="A751">
        <v>749</v>
      </c>
      <c r="B751" t="s">
        <v>3274</v>
      </c>
      <c r="C751" t="s">
        <v>3275</v>
      </c>
      <c r="D751">
        <v>145</v>
      </c>
      <c r="E751" t="s">
        <v>3185</v>
      </c>
      <c r="F751" t="str">
        <f>VLOOKUP(E751,country_continent!A:C,2,FALSE)</f>
        <v>Bolivia</v>
      </c>
      <c r="G751" t="str">
        <f>VLOOKUP(E751,country_continent!A:C,3,FALSE)</f>
        <v>South America</v>
      </c>
      <c r="H751" t="s">
        <v>3276</v>
      </c>
      <c r="I751" s="1">
        <v>12751</v>
      </c>
      <c r="J751" s="3">
        <f t="shared" si="33"/>
        <v>12751</v>
      </c>
      <c r="K751" s="1">
        <v>13288</v>
      </c>
      <c r="L751" s="3">
        <f t="shared" si="34"/>
        <v>13288</v>
      </c>
      <c r="M751" t="s">
        <v>49</v>
      </c>
      <c r="N751" t="s">
        <v>67</v>
      </c>
      <c r="O751" t="s">
        <v>376</v>
      </c>
      <c r="P751">
        <v>0</v>
      </c>
      <c r="Q751" t="s">
        <v>362</v>
      </c>
      <c r="R751" t="s">
        <v>51</v>
      </c>
      <c r="S751">
        <v>1882</v>
      </c>
      <c r="T751">
        <v>1938</v>
      </c>
      <c r="U751" t="s">
        <v>3277</v>
      </c>
      <c r="V751" t="s">
        <v>3278</v>
      </c>
      <c r="W751" s="1">
        <v>14157</v>
      </c>
      <c r="X751" s="2">
        <v>14157</v>
      </c>
      <c r="Y751" t="s">
        <v>3279</v>
      </c>
      <c r="Z751">
        <v>0</v>
      </c>
      <c r="AA751">
        <v>3</v>
      </c>
      <c r="AB751">
        <v>6</v>
      </c>
      <c r="AC751">
        <v>1</v>
      </c>
      <c r="AF751">
        <v>1934</v>
      </c>
      <c r="AG751">
        <v>1936</v>
      </c>
      <c r="AO751" t="b">
        <v>0</v>
      </c>
      <c r="AT751">
        <v>537</v>
      </c>
      <c r="AU751">
        <f t="shared" si="35"/>
        <v>1.4710000000000001</v>
      </c>
    </row>
    <row r="752" spans="1:47" x14ac:dyDescent="0.3">
      <c r="A752">
        <v>750</v>
      </c>
      <c r="B752" t="s">
        <v>3280</v>
      </c>
      <c r="C752" t="s">
        <v>3281</v>
      </c>
      <c r="D752">
        <v>145</v>
      </c>
      <c r="E752" t="s">
        <v>3185</v>
      </c>
      <c r="F752" t="str">
        <f>VLOOKUP(E752,country_continent!A:C,2,FALSE)</f>
        <v>Bolivia</v>
      </c>
      <c r="G752" t="str">
        <f>VLOOKUP(E752,country_continent!A:C,3,FALSE)</f>
        <v>South America</v>
      </c>
      <c r="H752" t="s">
        <v>3282</v>
      </c>
      <c r="I752" s="1">
        <v>13288</v>
      </c>
      <c r="J752" s="3">
        <f t="shared" si="33"/>
        <v>13288</v>
      </c>
      <c r="K752" s="1">
        <v>13709</v>
      </c>
      <c r="L752" s="3">
        <f t="shared" si="34"/>
        <v>13709</v>
      </c>
      <c r="M752" t="s">
        <v>67</v>
      </c>
      <c r="N752" t="s">
        <v>67</v>
      </c>
      <c r="O752" t="s">
        <v>389</v>
      </c>
      <c r="P752">
        <v>0</v>
      </c>
      <c r="Q752" t="s">
        <v>362</v>
      </c>
      <c r="R752" t="s">
        <v>51</v>
      </c>
      <c r="S752">
        <v>1898</v>
      </c>
      <c r="T752">
        <v>1977</v>
      </c>
      <c r="U752" t="s">
        <v>3283</v>
      </c>
      <c r="V752" t="s">
        <v>3284</v>
      </c>
      <c r="Z752">
        <v>1</v>
      </c>
      <c r="AA752">
        <v>3</v>
      </c>
      <c r="AB752">
        <v>16</v>
      </c>
      <c r="AC752">
        <v>1</v>
      </c>
      <c r="AF752">
        <v>1936</v>
      </c>
      <c r="AG752">
        <v>1937</v>
      </c>
      <c r="AO752" t="b">
        <v>0</v>
      </c>
      <c r="AT752">
        <v>421</v>
      </c>
      <c r="AU752">
        <f t="shared" si="35"/>
        <v>1.153</v>
      </c>
    </row>
    <row r="753" spans="1:47" x14ac:dyDescent="0.3">
      <c r="A753">
        <v>751</v>
      </c>
      <c r="B753" t="s">
        <v>3285</v>
      </c>
      <c r="C753" t="s">
        <v>3286</v>
      </c>
      <c r="D753">
        <v>145</v>
      </c>
      <c r="E753" t="s">
        <v>3185</v>
      </c>
      <c r="F753" t="str">
        <f>VLOOKUP(E753,country_continent!A:C,2,FALSE)</f>
        <v>Bolivia</v>
      </c>
      <c r="G753" t="str">
        <f>VLOOKUP(E753,country_continent!A:C,3,FALSE)</f>
        <v>South America</v>
      </c>
      <c r="H753" t="s">
        <v>3287</v>
      </c>
      <c r="I753" s="1">
        <v>13709</v>
      </c>
      <c r="J753" s="3">
        <f t="shared" si="33"/>
        <v>13709</v>
      </c>
      <c r="K753" s="1">
        <v>14480</v>
      </c>
      <c r="L753" s="3">
        <f t="shared" si="34"/>
        <v>14480</v>
      </c>
      <c r="M753" t="s">
        <v>67</v>
      </c>
      <c r="N753" t="s">
        <v>855</v>
      </c>
      <c r="O753" t="s">
        <v>49</v>
      </c>
      <c r="P753">
        <v>0</v>
      </c>
      <c r="Q753" t="s">
        <v>111</v>
      </c>
      <c r="R753" t="s">
        <v>51</v>
      </c>
      <c r="S753">
        <v>1903</v>
      </c>
      <c r="T753">
        <v>1939</v>
      </c>
      <c r="U753" s="1">
        <v>1178</v>
      </c>
      <c r="V753" s="2">
        <v>1178</v>
      </c>
      <c r="W753" s="1">
        <v>14480</v>
      </c>
      <c r="X753" s="2">
        <v>14480</v>
      </c>
      <c r="Y753" t="s">
        <v>3288</v>
      </c>
      <c r="Z753">
        <v>1</v>
      </c>
      <c r="AA753">
        <v>2.2000000000000002</v>
      </c>
      <c r="AB753">
        <v>0</v>
      </c>
      <c r="AC753">
        <v>-777</v>
      </c>
      <c r="AF753">
        <v>1937</v>
      </c>
      <c r="AG753">
        <v>1939</v>
      </c>
      <c r="AO753" t="b">
        <v>0</v>
      </c>
      <c r="AT753">
        <v>771</v>
      </c>
      <c r="AU753">
        <f t="shared" si="35"/>
        <v>2.1120000000000001</v>
      </c>
    </row>
    <row r="754" spans="1:47" x14ac:dyDescent="0.3">
      <c r="A754">
        <v>752</v>
      </c>
      <c r="B754" t="s">
        <v>3289</v>
      </c>
      <c r="C754" t="s">
        <v>3290</v>
      </c>
      <c r="D754">
        <v>145</v>
      </c>
      <c r="E754" t="s">
        <v>3185</v>
      </c>
      <c r="F754" t="str">
        <f>VLOOKUP(E754,country_continent!A:C,2,FALSE)</f>
        <v>Bolivia</v>
      </c>
      <c r="G754" t="str">
        <f>VLOOKUP(E754,country_continent!A:C,3,FALSE)</f>
        <v>South America</v>
      </c>
      <c r="H754" t="s">
        <v>3291</v>
      </c>
      <c r="I754" s="1">
        <v>14480</v>
      </c>
      <c r="J754" s="3">
        <f t="shared" si="33"/>
        <v>14480</v>
      </c>
      <c r="K754" s="1">
        <v>14716</v>
      </c>
      <c r="L754" s="3">
        <f t="shared" si="34"/>
        <v>14716</v>
      </c>
      <c r="M754" t="s">
        <v>67</v>
      </c>
      <c r="N754" t="s">
        <v>49</v>
      </c>
      <c r="O754" t="s">
        <v>49</v>
      </c>
      <c r="P754">
        <v>0</v>
      </c>
      <c r="Q754" t="s">
        <v>50</v>
      </c>
      <c r="R754" t="s">
        <v>51</v>
      </c>
      <c r="S754">
        <v>1888</v>
      </c>
      <c r="T754">
        <v>1964</v>
      </c>
      <c r="Z754">
        <v>1</v>
      </c>
      <c r="AA754">
        <v>1</v>
      </c>
      <c r="AB754">
        <v>0</v>
      </c>
      <c r="AC754">
        <v>0</v>
      </c>
      <c r="AF754">
        <v>1939</v>
      </c>
      <c r="AG754">
        <v>1940</v>
      </c>
      <c r="AO754" t="b">
        <v>0</v>
      </c>
      <c r="AT754">
        <v>236</v>
      </c>
      <c r="AU754">
        <f t="shared" si="35"/>
        <v>0.64700000000000002</v>
      </c>
    </row>
    <row r="755" spans="1:47" x14ac:dyDescent="0.3">
      <c r="A755">
        <v>753</v>
      </c>
      <c r="B755" t="s">
        <v>3292</v>
      </c>
      <c r="C755" t="s">
        <v>3293</v>
      </c>
      <c r="D755">
        <v>145</v>
      </c>
      <c r="E755" t="s">
        <v>3185</v>
      </c>
      <c r="F755" t="str">
        <f>VLOOKUP(E755,country_continent!A:C,2,FALSE)</f>
        <v>Bolivia</v>
      </c>
      <c r="G755" t="str">
        <f>VLOOKUP(E755,country_continent!A:C,3,FALSE)</f>
        <v>South America</v>
      </c>
      <c r="H755" t="s">
        <v>3294</v>
      </c>
      <c r="I755" s="1">
        <v>14716</v>
      </c>
      <c r="J755" s="3">
        <f t="shared" si="33"/>
        <v>14716</v>
      </c>
      <c r="K755" s="1">
        <v>16060</v>
      </c>
      <c r="L755" s="3">
        <f t="shared" si="34"/>
        <v>16060</v>
      </c>
      <c r="M755" t="s">
        <v>49</v>
      </c>
      <c r="N755" t="s">
        <v>67</v>
      </c>
      <c r="O755" t="s">
        <v>376</v>
      </c>
      <c r="P755">
        <v>0</v>
      </c>
      <c r="Q755" t="s">
        <v>463</v>
      </c>
      <c r="R755" t="s">
        <v>51</v>
      </c>
      <c r="S755">
        <v>1891</v>
      </c>
      <c r="T755">
        <v>1969</v>
      </c>
      <c r="U755" t="s">
        <v>3295</v>
      </c>
      <c r="V755" t="s">
        <v>3296</v>
      </c>
      <c r="Z755">
        <v>0</v>
      </c>
      <c r="AA755">
        <v>3</v>
      </c>
      <c r="AB755">
        <v>6</v>
      </c>
      <c r="AC755">
        <v>2</v>
      </c>
      <c r="AF755">
        <v>1940</v>
      </c>
      <c r="AG755">
        <v>1943</v>
      </c>
      <c r="AO755" t="b">
        <v>0</v>
      </c>
      <c r="AT755">
        <v>1344</v>
      </c>
      <c r="AU755">
        <f t="shared" si="35"/>
        <v>3.6819999999999999</v>
      </c>
    </row>
    <row r="756" spans="1:47" x14ac:dyDescent="0.3">
      <c r="A756">
        <v>754</v>
      </c>
      <c r="B756" t="s">
        <v>3297</v>
      </c>
      <c r="C756" t="s">
        <v>3298</v>
      </c>
      <c r="D756">
        <v>145</v>
      </c>
      <c r="E756" t="s">
        <v>3185</v>
      </c>
      <c r="F756" t="str">
        <f>VLOOKUP(E756,country_continent!A:C,2,FALSE)</f>
        <v>Bolivia</v>
      </c>
      <c r="G756" t="str">
        <f>VLOOKUP(E756,country_continent!A:C,3,FALSE)</f>
        <v>South America</v>
      </c>
      <c r="H756" t="s">
        <v>3299</v>
      </c>
      <c r="I756" s="1">
        <v>16060</v>
      </c>
      <c r="J756" s="3">
        <f t="shared" si="33"/>
        <v>16060</v>
      </c>
      <c r="K756" s="1">
        <v>17004</v>
      </c>
      <c r="L756" s="3">
        <f t="shared" si="34"/>
        <v>17004</v>
      </c>
      <c r="M756" t="s">
        <v>67</v>
      </c>
      <c r="N756" t="s">
        <v>67</v>
      </c>
      <c r="O756" t="s">
        <v>613</v>
      </c>
      <c r="P756">
        <v>0</v>
      </c>
      <c r="Q756" t="s">
        <v>69</v>
      </c>
      <c r="R756" t="s">
        <v>51</v>
      </c>
      <c r="S756">
        <v>1908</v>
      </c>
      <c r="T756">
        <v>1946</v>
      </c>
      <c r="Z756">
        <v>1</v>
      </c>
      <c r="AA756">
        <v>3</v>
      </c>
      <c r="AB756">
        <v>2</v>
      </c>
      <c r="AC756">
        <v>3</v>
      </c>
      <c r="AF756">
        <v>1943</v>
      </c>
      <c r="AG756">
        <v>1946</v>
      </c>
      <c r="AN756">
        <v>-5</v>
      </c>
      <c r="AO756" t="b">
        <v>0</v>
      </c>
      <c r="AT756">
        <v>944</v>
      </c>
      <c r="AU756">
        <f t="shared" si="35"/>
        <v>2.5859999999999999</v>
      </c>
    </row>
    <row r="757" spans="1:47" x14ac:dyDescent="0.3">
      <c r="A757">
        <v>755</v>
      </c>
      <c r="B757" t="s">
        <v>3300</v>
      </c>
      <c r="C757" t="s">
        <v>3301</v>
      </c>
      <c r="D757">
        <v>145</v>
      </c>
      <c r="E757" t="s">
        <v>3185</v>
      </c>
      <c r="F757" t="str">
        <f>VLOOKUP(E757,country_continent!A:C,2,FALSE)</f>
        <v>Bolivia</v>
      </c>
      <c r="G757" t="str">
        <f>VLOOKUP(E757,country_continent!A:C,3,FALSE)</f>
        <v>South America</v>
      </c>
      <c r="H757" t="s">
        <v>3302</v>
      </c>
      <c r="I757" s="1">
        <v>17004</v>
      </c>
      <c r="J757" s="3">
        <f t="shared" si="33"/>
        <v>17004</v>
      </c>
      <c r="K757" s="1">
        <v>17030</v>
      </c>
      <c r="L757" s="3">
        <f t="shared" si="34"/>
        <v>17030</v>
      </c>
      <c r="M757" t="s">
        <v>67</v>
      </c>
      <c r="N757" t="s">
        <v>49</v>
      </c>
      <c r="O757" t="s">
        <v>49</v>
      </c>
      <c r="P757">
        <v>0</v>
      </c>
      <c r="Q757" t="s">
        <v>50</v>
      </c>
      <c r="R757" t="s">
        <v>51</v>
      </c>
      <c r="S757">
        <v>1890</v>
      </c>
      <c r="T757">
        <v>1966</v>
      </c>
      <c r="Y757" t="s">
        <v>3303</v>
      </c>
      <c r="Z757">
        <v>1</v>
      </c>
      <c r="AA757">
        <v>1</v>
      </c>
      <c r="AB757">
        <v>0</v>
      </c>
      <c r="AC757">
        <v>0</v>
      </c>
      <c r="AF757">
        <v>1946</v>
      </c>
      <c r="AG757">
        <v>1946</v>
      </c>
      <c r="AN757">
        <v>-5</v>
      </c>
      <c r="AO757" t="b">
        <v>0</v>
      </c>
      <c r="AT757">
        <v>26</v>
      </c>
      <c r="AU757">
        <f t="shared" si="35"/>
        <v>7.0999999999999994E-2</v>
      </c>
    </row>
    <row r="758" spans="1:47" x14ac:dyDescent="0.3">
      <c r="A758">
        <v>756</v>
      </c>
      <c r="B758" t="s">
        <v>3304</v>
      </c>
      <c r="C758" t="s">
        <v>3305</v>
      </c>
      <c r="D758">
        <v>145</v>
      </c>
      <c r="E758" t="s">
        <v>3185</v>
      </c>
      <c r="F758" t="str">
        <f>VLOOKUP(E758,country_continent!A:C,2,FALSE)</f>
        <v>Bolivia</v>
      </c>
      <c r="G758" t="str">
        <f>VLOOKUP(E758,country_continent!A:C,3,FALSE)</f>
        <v>South America</v>
      </c>
      <c r="H758" t="s">
        <v>3306</v>
      </c>
      <c r="I758" s="1">
        <v>17030</v>
      </c>
      <c r="J758" s="3">
        <f t="shared" si="33"/>
        <v>17030</v>
      </c>
      <c r="K758" s="1">
        <v>17236</v>
      </c>
      <c r="L758" s="3">
        <f t="shared" si="34"/>
        <v>17236</v>
      </c>
      <c r="M758" t="s">
        <v>49</v>
      </c>
      <c r="N758" t="s">
        <v>49</v>
      </c>
      <c r="O758" t="s">
        <v>49</v>
      </c>
      <c r="P758">
        <v>0</v>
      </c>
      <c r="Q758" t="s">
        <v>50</v>
      </c>
      <c r="R758" t="s">
        <v>51</v>
      </c>
      <c r="S758">
        <v>1884</v>
      </c>
      <c r="T758">
        <v>1954</v>
      </c>
      <c r="Z758">
        <v>0</v>
      </c>
      <c r="AA758">
        <v>1</v>
      </c>
      <c r="AB758">
        <v>0</v>
      </c>
      <c r="AC758">
        <v>0</v>
      </c>
      <c r="AF758">
        <v>1946</v>
      </c>
      <c r="AG758">
        <v>1947</v>
      </c>
      <c r="AN758">
        <v>-5</v>
      </c>
      <c r="AO758" t="b">
        <v>0</v>
      </c>
      <c r="AT758">
        <v>206</v>
      </c>
      <c r="AU758">
        <f t="shared" si="35"/>
        <v>0.56399999999999995</v>
      </c>
    </row>
    <row r="759" spans="1:47" x14ac:dyDescent="0.3">
      <c r="A759">
        <v>757</v>
      </c>
      <c r="B759" t="s">
        <v>3307</v>
      </c>
      <c r="C759" t="s">
        <v>3308</v>
      </c>
      <c r="D759">
        <v>145</v>
      </c>
      <c r="E759" t="s">
        <v>3185</v>
      </c>
      <c r="F759" t="str">
        <f>VLOOKUP(E759,country_continent!A:C,2,FALSE)</f>
        <v>Bolivia</v>
      </c>
      <c r="G759" t="str">
        <f>VLOOKUP(E759,country_continent!A:C,3,FALSE)</f>
        <v>South America</v>
      </c>
      <c r="H759" t="s">
        <v>3309</v>
      </c>
      <c r="I759" s="1">
        <v>17237</v>
      </c>
      <c r="J759" s="3">
        <f t="shared" si="33"/>
        <v>17237</v>
      </c>
      <c r="K759" s="1">
        <v>18025</v>
      </c>
      <c r="L759" s="3">
        <f t="shared" si="34"/>
        <v>18025</v>
      </c>
      <c r="M759" t="s">
        <v>49</v>
      </c>
      <c r="N759" t="s">
        <v>228</v>
      </c>
      <c r="O759" t="s">
        <v>49</v>
      </c>
      <c r="P759">
        <v>0</v>
      </c>
      <c r="Q759" t="s">
        <v>50</v>
      </c>
      <c r="R759" t="s">
        <v>51</v>
      </c>
      <c r="S759">
        <v>1896</v>
      </c>
      <c r="T759">
        <v>1980</v>
      </c>
      <c r="Z759">
        <v>0</v>
      </c>
      <c r="AA759">
        <v>2.0999998999999998</v>
      </c>
      <c r="AB759">
        <v>0</v>
      </c>
      <c r="AC759">
        <v>0</v>
      </c>
      <c r="AF759">
        <v>1947</v>
      </c>
      <c r="AG759">
        <v>1949</v>
      </c>
      <c r="AN759">
        <v>-5</v>
      </c>
      <c r="AO759" t="b">
        <v>0</v>
      </c>
      <c r="AT759">
        <v>788</v>
      </c>
      <c r="AU759">
        <f t="shared" si="35"/>
        <v>2.1589999999999998</v>
      </c>
    </row>
    <row r="760" spans="1:47" x14ac:dyDescent="0.3">
      <c r="A760">
        <v>758</v>
      </c>
      <c r="B760" t="s">
        <v>3310</v>
      </c>
      <c r="C760" t="s">
        <v>3311</v>
      </c>
      <c r="D760">
        <v>145</v>
      </c>
      <c r="E760" t="s">
        <v>3185</v>
      </c>
      <c r="F760" t="str">
        <f>VLOOKUP(E760,country_continent!A:C,2,FALSE)</f>
        <v>Bolivia</v>
      </c>
      <c r="G760" t="str">
        <f>VLOOKUP(E760,country_continent!A:C,3,FALSE)</f>
        <v>South America</v>
      </c>
      <c r="H760" t="s">
        <v>3312</v>
      </c>
      <c r="I760" s="1">
        <v>18025</v>
      </c>
      <c r="J760" s="3">
        <f t="shared" si="33"/>
        <v>18025</v>
      </c>
      <c r="K760" s="1">
        <v>18764</v>
      </c>
      <c r="L760" s="3">
        <f t="shared" si="34"/>
        <v>18764</v>
      </c>
      <c r="M760" t="s">
        <v>49</v>
      </c>
      <c r="N760" t="s">
        <v>67</v>
      </c>
      <c r="O760" t="s">
        <v>376</v>
      </c>
      <c r="P760">
        <v>0</v>
      </c>
      <c r="Q760" t="s">
        <v>362</v>
      </c>
      <c r="R760" t="s">
        <v>51</v>
      </c>
      <c r="S760">
        <v>1894</v>
      </c>
      <c r="T760">
        <v>1974</v>
      </c>
      <c r="W760" s="1">
        <v>27184</v>
      </c>
      <c r="X760" s="2">
        <v>27184</v>
      </c>
      <c r="Z760">
        <v>0</v>
      </c>
      <c r="AA760">
        <v>3</v>
      </c>
      <c r="AB760">
        <v>6</v>
      </c>
      <c r="AC760">
        <v>1</v>
      </c>
      <c r="AF760">
        <v>1949</v>
      </c>
      <c r="AG760">
        <v>1951</v>
      </c>
      <c r="AN760">
        <v>-5</v>
      </c>
      <c r="AO760" t="b">
        <v>0</v>
      </c>
      <c r="AT760">
        <v>739</v>
      </c>
      <c r="AU760">
        <f t="shared" si="35"/>
        <v>2.0249999999999999</v>
      </c>
    </row>
    <row r="761" spans="1:47" x14ac:dyDescent="0.3">
      <c r="A761">
        <v>759</v>
      </c>
      <c r="B761" t="s">
        <v>3313</v>
      </c>
      <c r="C761" t="s">
        <v>3314</v>
      </c>
      <c r="D761">
        <v>145</v>
      </c>
      <c r="E761" t="s">
        <v>3185</v>
      </c>
      <c r="F761" t="str">
        <f>VLOOKUP(E761,country_continent!A:C,2,FALSE)</f>
        <v>Bolivia</v>
      </c>
      <c r="G761" t="str">
        <f>VLOOKUP(E761,country_continent!A:C,3,FALSE)</f>
        <v>South America</v>
      </c>
      <c r="H761" t="s">
        <v>3315</v>
      </c>
      <c r="I761" s="1">
        <v>18764</v>
      </c>
      <c r="J761" s="3">
        <f t="shared" si="33"/>
        <v>18764</v>
      </c>
      <c r="K761" s="1">
        <v>19095</v>
      </c>
      <c r="L761" s="3">
        <f t="shared" si="34"/>
        <v>19095</v>
      </c>
      <c r="M761" t="s">
        <v>67</v>
      </c>
      <c r="N761" t="s">
        <v>67</v>
      </c>
      <c r="O761" t="s">
        <v>433</v>
      </c>
      <c r="P761">
        <v>0</v>
      </c>
      <c r="Q761" t="s">
        <v>362</v>
      </c>
      <c r="R761" t="s">
        <v>51</v>
      </c>
      <c r="S761">
        <v>1902</v>
      </c>
      <c r="T761">
        <v>1993</v>
      </c>
      <c r="Z761">
        <v>1</v>
      </c>
      <c r="AA761">
        <v>3</v>
      </c>
      <c r="AB761">
        <v>4</v>
      </c>
      <c r="AC761">
        <v>1</v>
      </c>
      <c r="AF761">
        <v>1951</v>
      </c>
      <c r="AG761">
        <v>1952</v>
      </c>
      <c r="AN761">
        <v>-0.5</v>
      </c>
      <c r="AO761" t="b">
        <v>0</v>
      </c>
      <c r="AT761">
        <v>331</v>
      </c>
      <c r="AU761">
        <f t="shared" si="35"/>
        <v>0.90700000000000003</v>
      </c>
    </row>
    <row r="762" spans="1:47" x14ac:dyDescent="0.3">
      <c r="A762">
        <v>760</v>
      </c>
      <c r="B762" t="s">
        <v>3316</v>
      </c>
      <c r="C762" t="s">
        <v>3317</v>
      </c>
      <c r="D762">
        <v>145</v>
      </c>
      <c r="E762" t="s">
        <v>3185</v>
      </c>
      <c r="F762" t="str">
        <f>VLOOKUP(E762,country_continent!A:C,2,FALSE)</f>
        <v>Bolivia</v>
      </c>
      <c r="G762" t="str">
        <f>VLOOKUP(E762,country_continent!A:C,3,FALSE)</f>
        <v>South America</v>
      </c>
      <c r="H762" t="s">
        <v>3318</v>
      </c>
      <c r="I762" s="1">
        <v>19095</v>
      </c>
      <c r="J762" s="3">
        <f t="shared" si="33"/>
        <v>19095</v>
      </c>
      <c r="K762" s="1">
        <v>19100</v>
      </c>
      <c r="L762" s="3">
        <f t="shared" si="34"/>
        <v>19100</v>
      </c>
      <c r="M762" t="s">
        <v>67</v>
      </c>
      <c r="N762" t="s">
        <v>49</v>
      </c>
      <c r="O762" t="s">
        <v>49</v>
      </c>
      <c r="P762">
        <v>0</v>
      </c>
      <c r="Q762" t="s">
        <v>50</v>
      </c>
      <c r="R762" t="s">
        <v>51</v>
      </c>
      <c r="S762">
        <v>1914</v>
      </c>
      <c r="T762">
        <v>1996</v>
      </c>
      <c r="W762" s="1">
        <v>35283</v>
      </c>
      <c r="X762" s="2">
        <v>35283</v>
      </c>
      <c r="Y762" t="s">
        <v>3319</v>
      </c>
      <c r="Z762">
        <v>1</v>
      </c>
      <c r="AA762">
        <v>1</v>
      </c>
      <c r="AB762">
        <v>0</v>
      </c>
      <c r="AC762">
        <v>0</v>
      </c>
      <c r="AD762" t="s">
        <v>3320</v>
      </c>
      <c r="AE762">
        <v>1</v>
      </c>
      <c r="AF762">
        <v>1952</v>
      </c>
      <c r="AG762">
        <v>1952</v>
      </c>
      <c r="AN762">
        <v>4</v>
      </c>
      <c r="AO762" t="b">
        <v>0</v>
      </c>
      <c r="AT762">
        <v>5</v>
      </c>
      <c r="AU762">
        <f t="shared" si="35"/>
        <v>1.4E-2</v>
      </c>
    </row>
    <row r="763" spans="1:47" x14ac:dyDescent="0.3">
      <c r="A763">
        <v>761</v>
      </c>
      <c r="B763" t="s">
        <v>3321</v>
      </c>
      <c r="C763" t="s">
        <v>3322</v>
      </c>
      <c r="D763">
        <v>145</v>
      </c>
      <c r="E763" t="s">
        <v>3185</v>
      </c>
      <c r="F763" t="str">
        <f>VLOOKUP(E763,country_continent!A:C,2,FALSE)</f>
        <v>Bolivia</v>
      </c>
      <c r="G763" t="str">
        <f>VLOOKUP(E763,country_continent!A:C,3,FALSE)</f>
        <v>South America</v>
      </c>
      <c r="H763" t="s">
        <v>3323</v>
      </c>
      <c r="I763" s="1">
        <v>19101</v>
      </c>
      <c r="J763" s="3">
        <f t="shared" si="33"/>
        <v>19101</v>
      </c>
      <c r="K763" s="1">
        <v>20623</v>
      </c>
      <c r="L763" s="3">
        <f t="shared" si="34"/>
        <v>20623</v>
      </c>
      <c r="M763" t="s">
        <v>49</v>
      </c>
      <c r="N763" t="s">
        <v>49</v>
      </c>
      <c r="O763" t="s">
        <v>49</v>
      </c>
      <c r="P763">
        <v>0</v>
      </c>
      <c r="Q763" t="s">
        <v>50</v>
      </c>
      <c r="R763" t="s">
        <v>51</v>
      </c>
      <c r="S763">
        <v>1907</v>
      </c>
      <c r="T763">
        <v>2001</v>
      </c>
      <c r="U763" s="1">
        <v>2832</v>
      </c>
      <c r="V763" s="2">
        <v>2832</v>
      </c>
      <c r="W763" s="1">
        <v>37049</v>
      </c>
      <c r="X763" s="2">
        <v>37049</v>
      </c>
      <c r="Y763" t="s">
        <v>3324</v>
      </c>
      <c r="Z763">
        <v>0</v>
      </c>
      <c r="AA763">
        <v>1</v>
      </c>
      <c r="AB763">
        <v>0</v>
      </c>
      <c r="AC763">
        <v>0</v>
      </c>
      <c r="AD763" t="s">
        <v>3325</v>
      </c>
      <c r="AF763">
        <v>1952</v>
      </c>
      <c r="AG763">
        <v>1956</v>
      </c>
      <c r="AN763">
        <v>4</v>
      </c>
      <c r="AO763" t="b">
        <v>0</v>
      </c>
      <c r="AT763">
        <v>1522</v>
      </c>
      <c r="AU763">
        <f t="shared" si="35"/>
        <v>4.17</v>
      </c>
    </row>
    <row r="764" spans="1:47" x14ac:dyDescent="0.3">
      <c r="A764">
        <v>762</v>
      </c>
      <c r="B764" t="s">
        <v>3326</v>
      </c>
      <c r="C764" t="s">
        <v>3317</v>
      </c>
      <c r="D764">
        <v>145</v>
      </c>
      <c r="E764" t="s">
        <v>3185</v>
      </c>
      <c r="F764" t="str">
        <f>VLOOKUP(E764,country_continent!A:C,2,FALSE)</f>
        <v>Bolivia</v>
      </c>
      <c r="G764" t="str">
        <f>VLOOKUP(E764,country_continent!A:C,3,FALSE)</f>
        <v>South America</v>
      </c>
      <c r="H764" t="s">
        <v>3318</v>
      </c>
      <c r="I764" s="1">
        <v>20623</v>
      </c>
      <c r="J764" s="3">
        <f t="shared" si="33"/>
        <v>20623</v>
      </c>
      <c r="K764" s="1">
        <v>22134</v>
      </c>
      <c r="L764" s="3">
        <f t="shared" si="34"/>
        <v>22134</v>
      </c>
      <c r="M764" t="s">
        <v>49</v>
      </c>
      <c r="N764" t="s">
        <v>49</v>
      </c>
      <c r="O764" t="s">
        <v>49</v>
      </c>
      <c r="P764">
        <v>1</v>
      </c>
      <c r="Q764" t="s">
        <v>50</v>
      </c>
      <c r="R764" t="s">
        <v>51</v>
      </c>
      <c r="S764">
        <v>1914</v>
      </c>
      <c r="T764">
        <v>1996</v>
      </c>
      <c r="U764" s="1">
        <v>5192</v>
      </c>
      <c r="V764" s="2">
        <v>5192</v>
      </c>
      <c r="W764" s="1">
        <v>35283</v>
      </c>
      <c r="X764" s="2">
        <v>35283</v>
      </c>
      <c r="Y764" t="s">
        <v>3319</v>
      </c>
      <c r="Z764">
        <v>0</v>
      </c>
      <c r="AA764">
        <v>1</v>
      </c>
      <c r="AB764">
        <v>0</v>
      </c>
      <c r="AC764">
        <v>0</v>
      </c>
      <c r="AD764" t="s">
        <v>3320</v>
      </c>
      <c r="AE764">
        <v>1</v>
      </c>
      <c r="AF764">
        <v>1956</v>
      </c>
      <c r="AG764">
        <v>1960</v>
      </c>
      <c r="AK764">
        <v>290.39999999999998</v>
      </c>
      <c r="AN764">
        <v>4</v>
      </c>
      <c r="AO764" t="b">
        <v>0</v>
      </c>
      <c r="AT764">
        <v>1511</v>
      </c>
      <c r="AU764">
        <f t="shared" si="35"/>
        <v>4.1399999999999997</v>
      </c>
    </row>
    <row r="765" spans="1:47" x14ac:dyDescent="0.3">
      <c r="A765">
        <v>763</v>
      </c>
      <c r="B765" t="s">
        <v>3327</v>
      </c>
      <c r="C765" t="s">
        <v>3322</v>
      </c>
      <c r="D765">
        <v>145</v>
      </c>
      <c r="E765" t="s">
        <v>3185</v>
      </c>
      <c r="F765" t="str">
        <f>VLOOKUP(E765,country_continent!A:C,2,FALSE)</f>
        <v>Bolivia</v>
      </c>
      <c r="G765" t="str">
        <f>VLOOKUP(E765,country_continent!A:C,3,FALSE)</f>
        <v>South America</v>
      </c>
      <c r="H765" t="s">
        <v>3323</v>
      </c>
      <c r="I765" s="1">
        <v>22134</v>
      </c>
      <c r="J765" s="3">
        <f t="shared" si="33"/>
        <v>22134</v>
      </c>
      <c r="K765" s="1">
        <v>23685</v>
      </c>
      <c r="L765" s="3">
        <f t="shared" si="34"/>
        <v>23685</v>
      </c>
      <c r="M765" t="s">
        <v>49</v>
      </c>
      <c r="N765" t="s">
        <v>67</v>
      </c>
      <c r="O765" t="s">
        <v>376</v>
      </c>
      <c r="P765">
        <v>1</v>
      </c>
      <c r="Q765" t="s">
        <v>362</v>
      </c>
      <c r="R765" t="s">
        <v>51</v>
      </c>
      <c r="S765">
        <v>1907</v>
      </c>
      <c r="T765">
        <v>2001</v>
      </c>
      <c r="U765" s="1">
        <v>2832</v>
      </c>
      <c r="V765" s="2">
        <v>2832</v>
      </c>
      <c r="W765" s="1">
        <v>37049</v>
      </c>
      <c r="X765" s="2">
        <v>37049</v>
      </c>
      <c r="Y765" t="s">
        <v>3324</v>
      </c>
      <c r="Z765">
        <v>0</v>
      </c>
      <c r="AA765">
        <v>3</v>
      </c>
      <c r="AB765">
        <v>6</v>
      </c>
      <c r="AC765">
        <v>1</v>
      </c>
      <c r="AD765" t="s">
        <v>3325</v>
      </c>
      <c r="AE765">
        <v>1</v>
      </c>
      <c r="AF765">
        <v>1960</v>
      </c>
      <c r="AG765">
        <v>1964</v>
      </c>
      <c r="AH765">
        <v>2.4555247061582701</v>
      </c>
      <c r="AJ765">
        <v>4.8299505222182999</v>
      </c>
      <c r="AK765">
        <v>278.2</v>
      </c>
      <c r="AL765">
        <v>2.07666095509967</v>
      </c>
      <c r="AN765">
        <v>2.4</v>
      </c>
      <c r="AO765" t="b">
        <v>0</v>
      </c>
      <c r="AT765">
        <v>1551</v>
      </c>
      <c r="AU765">
        <f t="shared" si="35"/>
        <v>4.2489999999999997</v>
      </c>
    </row>
    <row r="766" spans="1:47" x14ac:dyDescent="0.3">
      <c r="A766">
        <v>764</v>
      </c>
      <c r="B766" t="s">
        <v>3328</v>
      </c>
      <c r="C766" t="s">
        <v>3329</v>
      </c>
      <c r="D766">
        <v>145</v>
      </c>
      <c r="E766" t="s">
        <v>3185</v>
      </c>
      <c r="F766" t="str">
        <f>VLOOKUP(E766,country_continent!A:C,2,FALSE)</f>
        <v>Bolivia</v>
      </c>
      <c r="G766" t="str">
        <f>VLOOKUP(E766,country_continent!A:C,3,FALSE)</f>
        <v>South America</v>
      </c>
      <c r="H766" t="s">
        <v>3330</v>
      </c>
      <c r="I766" s="1">
        <v>23687</v>
      </c>
      <c r="J766" s="3">
        <f t="shared" si="33"/>
        <v>23687</v>
      </c>
      <c r="K766" s="1">
        <v>24112</v>
      </c>
      <c r="L766" s="3">
        <f t="shared" si="34"/>
        <v>24112</v>
      </c>
      <c r="M766" t="s">
        <v>67</v>
      </c>
      <c r="N766" t="s">
        <v>49</v>
      </c>
      <c r="O766" t="s">
        <v>49</v>
      </c>
      <c r="P766">
        <v>0</v>
      </c>
      <c r="Q766" t="s">
        <v>50</v>
      </c>
      <c r="R766" t="s">
        <v>51</v>
      </c>
      <c r="S766">
        <v>1919</v>
      </c>
      <c r="T766">
        <v>1969</v>
      </c>
      <c r="U766" s="1">
        <v>7090</v>
      </c>
      <c r="V766" s="2">
        <v>7090</v>
      </c>
      <c r="Z766">
        <v>1</v>
      </c>
      <c r="AA766">
        <v>1</v>
      </c>
      <c r="AB766">
        <v>0</v>
      </c>
      <c r="AC766">
        <v>0</v>
      </c>
      <c r="AF766">
        <v>1964</v>
      </c>
      <c r="AG766">
        <v>1966</v>
      </c>
      <c r="AH766">
        <v>3.1205308624291899</v>
      </c>
      <c r="AJ766">
        <v>5.8642815524064202</v>
      </c>
      <c r="AK766">
        <v>260.03333333333302</v>
      </c>
      <c r="AL766">
        <v>2.1357526590396398</v>
      </c>
      <c r="AN766">
        <v>-4</v>
      </c>
      <c r="AO766" t="b">
        <v>0</v>
      </c>
      <c r="AT766">
        <v>425</v>
      </c>
      <c r="AU766">
        <f t="shared" si="35"/>
        <v>1.1639999999999999</v>
      </c>
    </row>
    <row r="767" spans="1:47" x14ac:dyDescent="0.3">
      <c r="A767">
        <v>765</v>
      </c>
      <c r="B767" t="s">
        <v>3331</v>
      </c>
      <c r="C767" t="s">
        <v>3332</v>
      </c>
      <c r="D767">
        <v>145</v>
      </c>
      <c r="E767" t="s">
        <v>3185</v>
      </c>
      <c r="F767" t="str">
        <f>VLOOKUP(E767,country_continent!A:C,2,FALSE)</f>
        <v>Bolivia</v>
      </c>
      <c r="G767" t="str">
        <f>VLOOKUP(E767,country_continent!A:C,3,FALSE)</f>
        <v>South America</v>
      </c>
      <c r="H767" t="s">
        <v>3333</v>
      </c>
      <c r="I767" s="1">
        <v>24112</v>
      </c>
      <c r="J767" s="3">
        <f t="shared" si="33"/>
        <v>24112</v>
      </c>
      <c r="K767" s="1">
        <v>24325</v>
      </c>
      <c r="L767" s="3">
        <f t="shared" si="34"/>
        <v>24325</v>
      </c>
      <c r="M767" t="s">
        <v>49</v>
      </c>
      <c r="N767" t="s">
        <v>49</v>
      </c>
      <c r="O767" t="s">
        <v>49</v>
      </c>
      <c r="P767">
        <v>0</v>
      </c>
      <c r="Q767" t="s">
        <v>50</v>
      </c>
      <c r="R767" t="s">
        <v>51</v>
      </c>
      <c r="S767">
        <v>1918</v>
      </c>
      <c r="T767">
        <v>1982</v>
      </c>
      <c r="U767" s="1">
        <v>6671</v>
      </c>
      <c r="V767" s="2">
        <v>6671</v>
      </c>
      <c r="W767" s="1">
        <v>29975</v>
      </c>
      <c r="X767" s="2">
        <v>29975</v>
      </c>
      <c r="Y767" t="s">
        <v>3334</v>
      </c>
      <c r="Z767">
        <v>0</v>
      </c>
      <c r="AA767">
        <v>1</v>
      </c>
      <c r="AB767">
        <v>0</v>
      </c>
      <c r="AC767">
        <v>0</v>
      </c>
      <c r="AF767">
        <v>1966</v>
      </c>
      <c r="AG767">
        <v>1966</v>
      </c>
      <c r="AH767">
        <v>4.8801087532975904</v>
      </c>
      <c r="AJ767">
        <v>3.3158764278455601</v>
      </c>
      <c r="AK767">
        <v>254</v>
      </c>
      <c r="AL767">
        <v>2.1603984452186</v>
      </c>
      <c r="AN767">
        <v>-4</v>
      </c>
      <c r="AO767" t="b">
        <v>0</v>
      </c>
      <c r="AT767">
        <v>213</v>
      </c>
      <c r="AU767">
        <f t="shared" si="35"/>
        <v>0.58399999999999996</v>
      </c>
    </row>
    <row r="768" spans="1:47" x14ac:dyDescent="0.3">
      <c r="A768">
        <v>766</v>
      </c>
      <c r="B768" t="s">
        <v>3335</v>
      </c>
      <c r="C768" t="s">
        <v>3329</v>
      </c>
      <c r="D768">
        <v>145</v>
      </c>
      <c r="E768" t="s">
        <v>3185</v>
      </c>
      <c r="F768" t="str">
        <f>VLOOKUP(E768,country_continent!A:C,2,FALSE)</f>
        <v>Bolivia</v>
      </c>
      <c r="G768" t="str">
        <f>VLOOKUP(E768,country_continent!A:C,3,FALSE)</f>
        <v>South America</v>
      </c>
      <c r="H768" t="s">
        <v>3330</v>
      </c>
      <c r="I768" s="1">
        <v>24325</v>
      </c>
      <c r="J768" s="3">
        <f t="shared" si="33"/>
        <v>24325</v>
      </c>
      <c r="K768" s="1">
        <v>25320</v>
      </c>
      <c r="L768" s="3">
        <f t="shared" si="34"/>
        <v>25320</v>
      </c>
      <c r="M768" t="s">
        <v>49</v>
      </c>
      <c r="N768" t="s">
        <v>110</v>
      </c>
      <c r="O768" t="s">
        <v>49</v>
      </c>
      <c r="P768">
        <v>1</v>
      </c>
      <c r="Q768" t="s">
        <v>111</v>
      </c>
      <c r="R768" t="s">
        <v>51</v>
      </c>
      <c r="S768">
        <v>1919</v>
      </c>
      <c r="T768">
        <v>1969</v>
      </c>
      <c r="U768" s="1">
        <v>7090</v>
      </c>
      <c r="V768" s="2">
        <v>7090</v>
      </c>
      <c r="Z768">
        <v>0</v>
      </c>
      <c r="AA768">
        <v>2</v>
      </c>
      <c r="AB768">
        <v>0</v>
      </c>
      <c r="AC768">
        <v>-777</v>
      </c>
      <c r="AF768">
        <v>1966</v>
      </c>
      <c r="AG768">
        <v>1969</v>
      </c>
      <c r="AH768">
        <v>4.3006716583270101</v>
      </c>
      <c r="AJ768">
        <v>4.4639568870618698</v>
      </c>
      <c r="AK768">
        <v>244.82499999999999</v>
      </c>
      <c r="AL768">
        <v>2.2021367012296</v>
      </c>
      <c r="AN768">
        <v>-4</v>
      </c>
      <c r="AO768" t="b">
        <v>0</v>
      </c>
      <c r="AT768">
        <v>995</v>
      </c>
      <c r="AU768">
        <f t="shared" si="35"/>
        <v>2.726</v>
      </c>
    </row>
    <row r="769" spans="1:47" x14ac:dyDescent="0.3">
      <c r="A769">
        <v>767</v>
      </c>
      <c r="B769" t="s">
        <v>3336</v>
      </c>
      <c r="C769" t="s">
        <v>3337</v>
      </c>
      <c r="D769">
        <v>145</v>
      </c>
      <c r="E769" t="s">
        <v>3185</v>
      </c>
      <c r="F769" t="str">
        <f>VLOOKUP(E769,country_continent!A:C,2,FALSE)</f>
        <v>Bolivia</v>
      </c>
      <c r="G769" t="str">
        <f>VLOOKUP(E769,country_continent!A:C,3,FALSE)</f>
        <v>South America</v>
      </c>
      <c r="H769" t="s">
        <v>3338</v>
      </c>
      <c r="I769" s="1">
        <v>25320</v>
      </c>
      <c r="J769" s="3">
        <f t="shared" si="33"/>
        <v>25320</v>
      </c>
      <c r="K769" s="1">
        <v>25472</v>
      </c>
      <c r="L769" s="3">
        <f t="shared" si="34"/>
        <v>25472</v>
      </c>
      <c r="M769" t="s">
        <v>49</v>
      </c>
      <c r="N769" t="s">
        <v>67</v>
      </c>
      <c r="O769" t="s">
        <v>376</v>
      </c>
      <c r="P769">
        <v>0</v>
      </c>
      <c r="Q769" t="s">
        <v>362</v>
      </c>
      <c r="R769" t="s">
        <v>51</v>
      </c>
      <c r="S769">
        <v>1925</v>
      </c>
      <c r="T769">
        <v>2005</v>
      </c>
      <c r="Y769" t="s">
        <v>3339</v>
      </c>
      <c r="Z769">
        <v>0</v>
      </c>
      <c r="AA769">
        <v>3</v>
      </c>
      <c r="AB769">
        <v>6</v>
      </c>
      <c r="AC769">
        <v>1</v>
      </c>
      <c r="AF769">
        <v>1969</v>
      </c>
      <c r="AG769">
        <v>1969</v>
      </c>
      <c r="AH769">
        <v>2.1629369040980699</v>
      </c>
      <c r="AJ769">
        <v>3.7190082668172399</v>
      </c>
      <c r="AK769">
        <v>235.5</v>
      </c>
      <c r="AL769">
        <v>2.2370208834927698</v>
      </c>
      <c r="AN769">
        <v>-4</v>
      </c>
      <c r="AO769" t="b">
        <v>0</v>
      </c>
      <c r="AT769">
        <v>152</v>
      </c>
      <c r="AU769">
        <f t="shared" si="35"/>
        <v>0.41599999999999998</v>
      </c>
    </row>
    <row r="770" spans="1:47" x14ac:dyDescent="0.3">
      <c r="A770">
        <v>768</v>
      </c>
      <c r="B770" t="s">
        <v>3340</v>
      </c>
      <c r="C770" t="s">
        <v>3332</v>
      </c>
      <c r="D770">
        <v>145</v>
      </c>
      <c r="E770" t="s">
        <v>3185</v>
      </c>
      <c r="F770" t="str">
        <f>VLOOKUP(E770,country_continent!A:C,2,FALSE)</f>
        <v>Bolivia</v>
      </c>
      <c r="G770" t="str">
        <f>VLOOKUP(E770,country_continent!A:C,3,FALSE)</f>
        <v>South America</v>
      </c>
      <c r="H770" t="s">
        <v>3333</v>
      </c>
      <c r="I770" s="1">
        <v>25472</v>
      </c>
      <c r="J770" s="3">
        <f t="shared" si="33"/>
        <v>25472</v>
      </c>
      <c r="K770" s="1">
        <v>25847</v>
      </c>
      <c r="L770" s="3">
        <f t="shared" si="34"/>
        <v>25847</v>
      </c>
      <c r="M770" t="s">
        <v>67</v>
      </c>
      <c r="N770" t="s">
        <v>67</v>
      </c>
      <c r="O770" t="s">
        <v>376</v>
      </c>
      <c r="P770">
        <v>1</v>
      </c>
      <c r="Q770" t="s">
        <v>362</v>
      </c>
      <c r="R770" t="s">
        <v>51</v>
      </c>
      <c r="S770">
        <v>1918</v>
      </c>
      <c r="T770">
        <v>1982</v>
      </c>
      <c r="U770" s="1">
        <v>6671</v>
      </c>
      <c r="V770" s="2">
        <v>6671</v>
      </c>
      <c r="W770" s="1">
        <v>29975</v>
      </c>
      <c r="X770" s="2">
        <v>29975</v>
      </c>
      <c r="Y770" t="s">
        <v>3334</v>
      </c>
      <c r="Z770">
        <v>1</v>
      </c>
      <c r="AA770">
        <v>3</v>
      </c>
      <c r="AB770">
        <v>6</v>
      </c>
      <c r="AC770">
        <v>1</v>
      </c>
      <c r="AF770">
        <v>1969</v>
      </c>
      <c r="AG770">
        <v>1970</v>
      </c>
      <c r="AH770">
        <v>2.5302967896995399</v>
      </c>
      <c r="AJ770">
        <v>3.8397847053263998</v>
      </c>
      <c r="AK770">
        <v>232.45</v>
      </c>
      <c r="AL770">
        <v>2.2396775632636898</v>
      </c>
      <c r="AM770">
        <v>1.9954588304568801</v>
      </c>
      <c r="AN770">
        <v>-4.5</v>
      </c>
      <c r="AO770" t="b">
        <v>0</v>
      </c>
      <c r="AT770">
        <v>375</v>
      </c>
      <c r="AU770">
        <f t="shared" si="35"/>
        <v>1.0269999999999999</v>
      </c>
    </row>
    <row r="771" spans="1:47" x14ac:dyDescent="0.3">
      <c r="A771">
        <v>769</v>
      </c>
      <c r="B771" t="s">
        <v>3341</v>
      </c>
      <c r="C771" t="s">
        <v>3342</v>
      </c>
      <c r="D771">
        <v>145</v>
      </c>
      <c r="E771" t="s">
        <v>3185</v>
      </c>
      <c r="F771" t="str">
        <f>VLOOKUP(E771,country_continent!A:C,2,FALSE)</f>
        <v>Bolivia</v>
      </c>
      <c r="G771" t="str">
        <f>VLOOKUP(E771,country_continent!A:C,3,FALSE)</f>
        <v>South America</v>
      </c>
      <c r="H771" t="s">
        <v>3343</v>
      </c>
      <c r="I771" s="1">
        <v>25848</v>
      </c>
      <c r="J771" s="3">
        <f t="shared" ref="J771:J834" si="36">IF(ISNUMBER(SEARCH("-", I771)), SUBSTITUTE(I771, "-", "/"), I771)</f>
        <v>25848</v>
      </c>
      <c r="K771" s="1">
        <v>26167</v>
      </c>
      <c r="L771" s="3">
        <f t="shared" ref="L771:L834" si="37">IF(ISNUMBER(SEARCH("-", K771)), SUBSTITUTE(K771, "-", "/"), K771)</f>
        <v>26167</v>
      </c>
      <c r="M771" t="s">
        <v>67</v>
      </c>
      <c r="N771" t="s">
        <v>67</v>
      </c>
      <c r="O771" t="s">
        <v>376</v>
      </c>
      <c r="P771">
        <v>0</v>
      </c>
      <c r="Q771" t="s">
        <v>362</v>
      </c>
      <c r="R771" t="s">
        <v>51</v>
      </c>
      <c r="S771">
        <v>1921</v>
      </c>
      <c r="T771">
        <v>1976</v>
      </c>
      <c r="U771" s="1">
        <v>7735</v>
      </c>
      <c r="V771" s="2">
        <v>7735</v>
      </c>
      <c r="Z771">
        <v>1</v>
      </c>
      <c r="AA771">
        <v>3</v>
      </c>
      <c r="AB771">
        <v>6</v>
      </c>
      <c r="AC771">
        <v>1</v>
      </c>
      <c r="AF771">
        <v>1970</v>
      </c>
      <c r="AG771">
        <v>1971</v>
      </c>
      <c r="AH771">
        <v>2.8129774438115902</v>
      </c>
      <c r="AJ771">
        <v>3.2495967034048698</v>
      </c>
      <c r="AK771">
        <v>226.2</v>
      </c>
      <c r="AL771">
        <v>2.2449546727335199</v>
      </c>
      <c r="AM771">
        <v>1.80057242534771</v>
      </c>
      <c r="AN771">
        <v>-6</v>
      </c>
      <c r="AO771" t="b">
        <v>0</v>
      </c>
      <c r="AT771">
        <v>319</v>
      </c>
      <c r="AU771">
        <f t="shared" ref="AU771:AU834" si="38">ROUND(AT771/365,3)</f>
        <v>0.874</v>
      </c>
    </row>
    <row r="772" spans="1:47" x14ac:dyDescent="0.3">
      <c r="A772">
        <v>770</v>
      </c>
      <c r="B772" t="s">
        <v>3344</v>
      </c>
      <c r="C772" t="s">
        <v>3345</v>
      </c>
      <c r="D772">
        <v>145</v>
      </c>
      <c r="E772" t="s">
        <v>3185</v>
      </c>
      <c r="F772" t="str">
        <f>VLOOKUP(E772,country_continent!A:C,2,FALSE)</f>
        <v>Bolivia</v>
      </c>
      <c r="G772" t="str">
        <f>VLOOKUP(E772,country_continent!A:C,3,FALSE)</f>
        <v>South America</v>
      </c>
      <c r="H772" t="s">
        <v>3346</v>
      </c>
      <c r="I772" s="1">
        <v>26167</v>
      </c>
      <c r="J772" s="3">
        <f t="shared" si="36"/>
        <v>26167</v>
      </c>
      <c r="K772" s="1">
        <v>28692</v>
      </c>
      <c r="L772" s="3">
        <f t="shared" si="37"/>
        <v>28692</v>
      </c>
      <c r="M772" t="s">
        <v>67</v>
      </c>
      <c r="N772" t="s">
        <v>67</v>
      </c>
      <c r="O772" t="s">
        <v>376</v>
      </c>
      <c r="P772">
        <v>0</v>
      </c>
      <c r="Q772" t="s">
        <v>362</v>
      </c>
      <c r="R772" t="s">
        <v>51</v>
      </c>
      <c r="S772">
        <v>1926</v>
      </c>
      <c r="T772">
        <v>2002</v>
      </c>
      <c r="U772" s="1">
        <v>9688</v>
      </c>
      <c r="V772" s="2">
        <v>9688</v>
      </c>
      <c r="W772" s="1">
        <v>37381</v>
      </c>
      <c r="X772" s="2">
        <v>37381</v>
      </c>
      <c r="Z772">
        <v>1</v>
      </c>
      <c r="AA772">
        <v>3</v>
      </c>
      <c r="AB772">
        <v>6</v>
      </c>
      <c r="AC772">
        <v>1</v>
      </c>
      <c r="AF772">
        <v>1971</v>
      </c>
      <c r="AG772">
        <v>1978</v>
      </c>
      <c r="AH772">
        <v>2.7238906492886001</v>
      </c>
      <c r="AI772">
        <v>576.66666666666595</v>
      </c>
      <c r="AJ772">
        <v>20.993184798882599</v>
      </c>
      <c r="AK772">
        <v>200.9</v>
      </c>
      <c r="AL772">
        <v>2.27019056307183</v>
      </c>
      <c r="AM772">
        <v>4.4566555511937196</v>
      </c>
      <c r="AN772">
        <v>-6.62</v>
      </c>
      <c r="AO772" t="b">
        <v>0</v>
      </c>
      <c r="AT772">
        <v>2525</v>
      </c>
      <c r="AU772">
        <f t="shared" si="38"/>
        <v>6.9180000000000001</v>
      </c>
    </row>
    <row r="773" spans="1:47" x14ac:dyDescent="0.3">
      <c r="A773">
        <v>771</v>
      </c>
      <c r="B773" t="s">
        <v>3347</v>
      </c>
      <c r="C773" t="s">
        <v>3348</v>
      </c>
      <c r="D773">
        <v>145</v>
      </c>
      <c r="E773" t="s">
        <v>3185</v>
      </c>
      <c r="F773" t="str">
        <f>VLOOKUP(E773,country_continent!A:C,2,FALSE)</f>
        <v>Bolivia</v>
      </c>
      <c r="G773" t="str">
        <f>VLOOKUP(E773,country_continent!A:C,3,FALSE)</f>
        <v>South America</v>
      </c>
      <c r="H773" t="s">
        <v>3349</v>
      </c>
      <c r="I773" s="1">
        <v>28692</v>
      </c>
      <c r="J773" s="3">
        <f t="shared" si="36"/>
        <v>28692</v>
      </c>
      <c r="K773" s="1">
        <v>28818</v>
      </c>
      <c r="L773" s="3">
        <f t="shared" si="37"/>
        <v>28818</v>
      </c>
      <c r="M773" t="s">
        <v>67</v>
      </c>
      <c r="N773" t="s">
        <v>67</v>
      </c>
      <c r="O773" t="s">
        <v>376</v>
      </c>
      <c r="P773">
        <v>0</v>
      </c>
      <c r="Q773" t="s">
        <v>362</v>
      </c>
      <c r="R773" t="s">
        <v>51</v>
      </c>
      <c r="S773">
        <v>1932</v>
      </c>
      <c r="T773">
        <v>-777</v>
      </c>
      <c r="Z773">
        <v>1</v>
      </c>
      <c r="AA773">
        <v>3</v>
      </c>
      <c r="AB773">
        <v>6</v>
      </c>
      <c r="AC773">
        <v>1</v>
      </c>
      <c r="AF773">
        <v>1978</v>
      </c>
      <c r="AG773">
        <v>1978</v>
      </c>
      <c r="AH773">
        <v>-0.264150198023898</v>
      </c>
      <c r="AI773">
        <v>630</v>
      </c>
      <c r="AJ773">
        <v>14.1038108089384</v>
      </c>
      <c r="AK773">
        <v>179.4</v>
      </c>
      <c r="AL773">
        <v>2.2964104195355</v>
      </c>
      <c r="AM773">
        <v>5.2938418538520997</v>
      </c>
      <c r="AN773">
        <v>-4</v>
      </c>
      <c r="AO773" t="b">
        <v>0</v>
      </c>
      <c r="AT773">
        <v>126</v>
      </c>
      <c r="AU773">
        <f t="shared" si="38"/>
        <v>0.34499999999999997</v>
      </c>
    </row>
    <row r="774" spans="1:47" x14ac:dyDescent="0.3">
      <c r="A774">
        <v>772</v>
      </c>
      <c r="B774" t="s">
        <v>3350</v>
      </c>
      <c r="C774" t="s">
        <v>3351</v>
      </c>
      <c r="D774">
        <v>145</v>
      </c>
      <c r="E774" t="s">
        <v>3185</v>
      </c>
      <c r="F774" t="str">
        <f>VLOOKUP(E774,country_continent!A:C,2,FALSE)</f>
        <v>Bolivia</v>
      </c>
      <c r="G774" t="str">
        <f>VLOOKUP(E774,country_continent!A:C,3,FALSE)</f>
        <v>South America</v>
      </c>
      <c r="H774" t="s">
        <v>3352</v>
      </c>
      <c r="I774" s="1">
        <v>28818</v>
      </c>
      <c r="J774" s="3">
        <f t="shared" si="36"/>
        <v>28818</v>
      </c>
      <c r="K774" s="1">
        <v>29075</v>
      </c>
      <c r="L774" s="3">
        <f t="shared" si="37"/>
        <v>29075</v>
      </c>
      <c r="M774" t="s">
        <v>67</v>
      </c>
      <c r="N774" t="s">
        <v>49</v>
      </c>
      <c r="O774" t="s">
        <v>49</v>
      </c>
      <c r="P774">
        <v>0</v>
      </c>
      <c r="Q774" t="s">
        <v>50</v>
      </c>
      <c r="R774" t="s">
        <v>51</v>
      </c>
      <c r="S774">
        <v>1927</v>
      </c>
      <c r="T774">
        <v>-777</v>
      </c>
      <c r="Z774">
        <v>1</v>
      </c>
      <c r="AA774">
        <v>1</v>
      </c>
      <c r="AB774">
        <v>0</v>
      </c>
      <c r="AC774">
        <v>0</v>
      </c>
      <c r="AF774">
        <v>1978</v>
      </c>
      <c r="AG774">
        <v>1979</v>
      </c>
      <c r="AH774">
        <v>-1.1921868121453401</v>
      </c>
      <c r="AI774">
        <v>685</v>
      </c>
      <c r="AJ774">
        <v>16.950492223960399</v>
      </c>
      <c r="AK774">
        <v>176.75</v>
      </c>
      <c r="AL774">
        <v>2.2863443251169899</v>
      </c>
      <c r="AM774">
        <v>7.0520406264560904</v>
      </c>
      <c r="AN774">
        <v>-4</v>
      </c>
      <c r="AO774" t="b">
        <v>0</v>
      </c>
      <c r="AT774">
        <v>257</v>
      </c>
      <c r="AU774">
        <f t="shared" si="38"/>
        <v>0.70399999999999996</v>
      </c>
    </row>
    <row r="775" spans="1:47" x14ac:dyDescent="0.3">
      <c r="A775">
        <v>773</v>
      </c>
      <c r="B775" t="s">
        <v>3353</v>
      </c>
      <c r="C775" t="s">
        <v>3354</v>
      </c>
      <c r="D775">
        <v>145</v>
      </c>
      <c r="E775" t="s">
        <v>3185</v>
      </c>
      <c r="F775" t="str">
        <f>VLOOKUP(E775,country_continent!A:C,2,FALSE)</f>
        <v>Bolivia</v>
      </c>
      <c r="G775" t="str">
        <f>VLOOKUP(E775,country_continent!A:C,3,FALSE)</f>
        <v>South America</v>
      </c>
      <c r="H775" t="s">
        <v>3355</v>
      </c>
      <c r="I775" s="1">
        <v>29075</v>
      </c>
      <c r="J775" s="3">
        <f t="shared" si="36"/>
        <v>29075</v>
      </c>
      <c r="K775" s="1">
        <v>29160</v>
      </c>
      <c r="L775" s="3">
        <f t="shared" si="37"/>
        <v>29160</v>
      </c>
      <c r="M775" t="s">
        <v>49</v>
      </c>
      <c r="N775" t="s">
        <v>67</v>
      </c>
      <c r="O775" t="s">
        <v>376</v>
      </c>
      <c r="P775">
        <v>0</v>
      </c>
      <c r="Q775" t="s">
        <v>50</v>
      </c>
      <c r="R775" t="s">
        <v>51</v>
      </c>
      <c r="S775">
        <v>1911</v>
      </c>
      <c r="T775">
        <v>1996</v>
      </c>
      <c r="U775" s="1">
        <v>4088</v>
      </c>
      <c r="V775" s="2">
        <v>4088</v>
      </c>
      <c r="Z775">
        <v>0</v>
      </c>
      <c r="AA775">
        <v>3</v>
      </c>
      <c r="AB775">
        <v>6</v>
      </c>
      <c r="AC775">
        <v>0</v>
      </c>
      <c r="AF775">
        <v>1979</v>
      </c>
      <c r="AG775">
        <v>1979</v>
      </c>
      <c r="AH775">
        <v>-2.1202234262667901</v>
      </c>
      <c r="AI775">
        <v>740</v>
      </c>
      <c r="AJ775">
        <v>19.7971736389824</v>
      </c>
      <c r="AK775">
        <v>174.1</v>
      </c>
      <c r="AL775">
        <v>2.2762782306984999</v>
      </c>
      <c r="AM775">
        <v>8.8102393990600998</v>
      </c>
      <c r="AN775">
        <v>-4</v>
      </c>
      <c r="AO775" t="b">
        <v>0</v>
      </c>
      <c r="AT775">
        <v>85</v>
      </c>
      <c r="AU775">
        <f t="shared" si="38"/>
        <v>0.23300000000000001</v>
      </c>
    </row>
    <row r="776" spans="1:47" x14ac:dyDescent="0.3">
      <c r="A776">
        <v>774</v>
      </c>
      <c r="B776" t="s">
        <v>3356</v>
      </c>
      <c r="C776" t="s">
        <v>3357</v>
      </c>
      <c r="D776">
        <v>145</v>
      </c>
      <c r="E776" t="s">
        <v>3185</v>
      </c>
      <c r="F776" t="str">
        <f>VLOOKUP(E776,country_continent!A:C,2,FALSE)</f>
        <v>Bolivia</v>
      </c>
      <c r="G776" t="str">
        <f>VLOOKUP(E776,country_continent!A:C,3,FALSE)</f>
        <v>South America</v>
      </c>
      <c r="H776" t="s">
        <v>3358</v>
      </c>
      <c r="I776" s="1">
        <v>29160</v>
      </c>
      <c r="J776" s="3">
        <f t="shared" si="36"/>
        <v>29160</v>
      </c>
      <c r="K776" s="1">
        <v>29175</v>
      </c>
      <c r="L776" s="3">
        <f t="shared" si="37"/>
        <v>29175</v>
      </c>
      <c r="M776" t="s">
        <v>67</v>
      </c>
      <c r="N776" t="s">
        <v>49</v>
      </c>
      <c r="O776" t="s">
        <v>49</v>
      </c>
      <c r="P776">
        <v>0</v>
      </c>
      <c r="Q776" t="s">
        <v>362</v>
      </c>
      <c r="R776" t="s">
        <v>51</v>
      </c>
      <c r="S776">
        <v>1927</v>
      </c>
      <c r="T776">
        <v>1994</v>
      </c>
      <c r="Z776">
        <v>1</v>
      </c>
      <c r="AA776">
        <v>1</v>
      </c>
      <c r="AB776">
        <v>0</v>
      </c>
      <c r="AC776">
        <v>1</v>
      </c>
      <c r="AF776">
        <v>1979</v>
      </c>
      <c r="AG776">
        <v>1979</v>
      </c>
      <c r="AH776">
        <v>-2.1202234262667901</v>
      </c>
      <c r="AI776">
        <v>740</v>
      </c>
      <c r="AJ776">
        <v>19.7971736389824</v>
      </c>
      <c r="AK776">
        <v>174.1</v>
      </c>
      <c r="AL776">
        <v>2.2762782306984999</v>
      </c>
      <c r="AM776">
        <v>8.8102393990600998</v>
      </c>
      <c r="AN776">
        <v>-4</v>
      </c>
      <c r="AO776" t="b">
        <v>0</v>
      </c>
      <c r="AT776">
        <v>15</v>
      </c>
      <c r="AU776">
        <f t="shared" si="38"/>
        <v>4.1000000000000002E-2</v>
      </c>
    </row>
    <row r="777" spans="1:47" x14ac:dyDescent="0.3">
      <c r="A777">
        <v>775</v>
      </c>
      <c r="B777" t="s">
        <v>3359</v>
      </c>
      <c r="C777" t="s">
        <v>3360</v>
      </c>
      <c r="D777">
        <v>145</v>
      </c>
      <c r="E777" t="s">
        <v>3185</v>
      </c>
      <c r="F777" t="str">
        <f>VLOOKUP(E777,country_continent!A:C,2,FALSE)</f>
        <v>Bolivia</v>
      </c>
      <c r="G777" t="str">
        <f>VLOOKUP(E777,country_continent!A:C,3,FALSE)</f>
        <v>South America</v>
      </c>
      <c r="H777" t="s">
        <v>3361</v>
      </c>
      <c r="I777" s="1">
        <v>29175</v>
      </c>
      <c r="J777" s="3">
        <f t="shared" si="36"/>
        <v>29175</v>
      </c>
      <c r="K777" s="1">
        <v>29419</v>
      </c>
      <c r="L777" s="3">
        <f t="shared" si="37"/>
        <v>29419</v>
      </c>
      <c r="M777" t="s">
        <v>49</v>
      </c>
      <c r="N777" t="s">
        <v>67</v>
      </c>
      <c r="O777" t="s">
        <v>3362</v>
      </c>
      <c r="P777">
        <v>0</v>
      </c>
      <c r="Q777" t="s">
        <v>362</v>
      </c>
      <c r="R777" t="s">
        <v>299</v>
      </c>
      <c r="S777">
        <v>1925</v>
      </c>
      <c r="T777">
        <v>2011</v>
      </c>
      <c r="Z777">
        <v>0</v>
      </c>
      <c r="AA777">
        <v>3</v>
      </c>
      <c r="AB777">
        <v>7</v>
      </c>
      <c r="AC777">
        <v>1</v>
      </c>
      <c r="AD777" t="s">
        <v>3363</v>
      </c>
      <c r="AE777">
        <v>0</v>
      </c>
      <c r="AF777">
        <v>1979</v>
      </c>
      <c r="AG777">
        <v>1980</v>
      </c>
      <c r="AH777">
        <v>-2.84251339761065</v>
      </c>
      <c r="AI777">
        <v>765</v>
      </c>
      <c r="AJ777">
        <v>22.422945703814101</v>
      </c>
      <c r="AK777">
        <v>171.6</v>
      </c>
      <c r="AL777">
        <v>2.2624518241498199</v>
      </c>
      <c r="AM777">
        <v>10.253679770632701</v>
      </c>
      <c r="AN777">
        <v>-5.5</v>
      </c>
      <c r="AO777" t="b">
        <v>0</v>
      </c>
      <c r="AT777">
        <v>244</v>
      </c>
      <c r="AU777">
        <f t="shared" si="38"/>
        <v>0.66800000000000004</v>
      </c>
    </row>
    <row r="778" spans="1:47" x14ac:dyDescent="0.3">
      <c r="A778">
        <v>776</v>
      </c>
      <c r="B778" t="s">
        <v>3364</v>
      </c>
      <c r="C778" t="s">
        <v>3365</v>
      </c>
      <c r="D778">
        <v>145</v>
      </c>
      <c r="E778" t="s">
        <v>3185</v>
      </c>
      <c r="F778" t="str">
        <f>VLOOKUP(E778,country_continent!A:C,2,FALSE)</f>
        <v>Bolivia</v>
      </c>
      <c r="G778" t="str">
        <f>VLOOKUP(E778,country_continent!A:C,3,FALSE)</f>
        <v>South America</v>
      </c>
      <c r="H778" t="s">
        <v>3366</v>
      </c>
      <c r="I778" s="1">
        <v>29420</v>
      </c>
      <c r="J778" s="3">
        <f t="shared" si="36"/>
        <v>29420</v>
      </c>
      <c r="K778" s="1">
        <v>29802</v>
      </c>
      <c r="L778" s="3">
        <f t="shared" si="37"/>
        <v>29802</v>
      </c>
      <c r="M778" t="s">
        <v>67</v>
      </c>
      <c r="N778" t="s">
        <v>67</v>
      </c>
      <c r="O778" t="s">
        <v>376</v>
      </c>
      <c r="P778">
        <v>0</v>
      </c>
      <c r="Q778" t="s">
        <v>362</v>
      </c>
      <c r="R778" t="s">
        <v>51</v>
      </c>
      <c r="S778">
        <v>1932</v>
      </c>
      <c r="T778">
        <v>-777</v>
      </c>
      <c r="U778" s="1">
        <v>11909</v>
      </c>
      <c r="V778" s="2">
        <v>11909</v>
      </c>
      <c r="Y778" t="s">
        <v>3367</v>
      </c>
      <c r="Z778">
        <v>1</v>
      </c>
      <c r="AA778">
        <v>3</v>
      </c>
      <c r="AB778">
        <v>6</v>
      </c>
      <c r="AC778">
        <v>1</v>
      </c>
      <c r="AD778" t="s">
        <v>3368</v>
      </c>
      <c r="AE778">
        <v>1</v>
      </c>
      <c r="AF778">
        <v>1980</v>
      </c>
      <c r="AG778">
        <v>1981</v>
      </c>
      <c r="AH778">
        <v>-2.7448204228890001</v>
      </c>
      <c r="AI778">
        <v>830</v>
      </c>
      <c r="AJ778">
        <v>27.267405943871701</v>
      </c>
      <c r="AK778">
        <v>166.8</v>
      </c>
      <c r="AL778">
        <v>2.2337331705718699</v>
      </c>
      <c r="AM778">
        <v>8.4164441988947392</v>
      </c>
      <c r="AN778">
        <v>-7</v>
      </c>
      <c r="AO778" t="b">
        <v>0</v>
      </c>
      <c r="AT778">
        <v>382</v>
      </c>
      <c r="AU778">
        <f t="shared" si="38"/>
        <v>1.0469999999999999</v>
      </c>
    </row>
    <row r="779" spans="1:47" x14ac:dyDescent="0.3">
      <c r="A779">
        <v>777</v>
      </c>
      <c r="B779" t="s">
        <v>3369</v>
      </c>
      <c r="C779" t="s">
        <v>3370</v>
      </c>
      <c r="D779">
        <v>145</v>
      </c>
      <c r="E779" t="s">
        <v>3185</v>
      </c>
      <c r="F779" t="str">
        <f>VLOOKUP(E779,country_continent!A:C,2,FALSE)</f>
        <v>Bolivia</v>
      </c>
      <c r="G779" t="str">
        <f>VLOOKUP(E779,country_continent!A:C,3,FALSE)</f>
        <v>South America</v>
      </c>
      <c r="H779" t="s">
        <v>3371</v>
      </c>
      <c r="I779" s="1">
        <v>29803</v>
      </c>
      <c r="J779" s="3">
        <f t="shared" si="36"/>
        <v>29803</v>
      </c>
      <c r="K779" s="1">
        <v>30151</v>
      </c>
      <c r="L779" s="3">
        <f t="shared" si="37"/>
        <v>30151</v>
      </c>
      <c r="M779" t="s">
        <v>67</v>
      </c>
      <c r="N779" t="s">
        <v>67</v>
      </c>
      <c r="O779" t="s">
        <v>389</v>
      </c>
      <c r="P779">
        <v>0</v>
      </c>
      <c r="Q779" t="s">
        <v>362</v>
      </c>
      <c r="R779" t="s">
        <v>51</v>
      </c>
      <c r="S779">
        <v>1933</v>
      </c>
      <c r="T779">
        <v>1999</v>
      </c>
      <c r="U779" s="1">
        <v>12208</v>
      </c>
      <c r="V779" s="2">
        <v>12208</v>
      </c>
      <c r="Z779">
        <v>1</v>
      </c>
      <c r="AA779">
        <v>3</v>
      </c>
      <c r="AB779">
        <v>16</v>
      </c>
      <c r="AC779">
        <v>1</v>
      </c>
      <c r="AF779">
        <v>1981</v>
      </c>
      <c r="AG779">
        <v>1982</v>
      </c>
      <c r="AH779">
        <v>-3.9691559467086899</v>
      </c>
      <c r="AI779">
        <v>845</v>
      </c>
      <c r="AJ779">
        <v>93.884713700392396</v>
      </c>
      <c r="AK779">
        <v>162.19999999999999</v>
      </c>
      <c r="AL779">
        <v>2.2011558325576202</v>
      </c>
      <c r="AM779">
        <v>4.50880381999922</v>
      </c>
      <c r="AN779">
        <v>0</v>
      </c>
      <c r="AO779" t="b">
        <v>0</v>
      </c>
      <c r="AT779">
        <v>348</v>
      </c>
      <c r="AU779">
        <f t="shared" si="38"/>
        <v>0.95299999999999996</v>
      </c>
    </row>
    <row r="780" spans="1:47" x14ac:dyDescent="0.3">
      <c r="A780">
        <v>778</v>
      </c>
      <c r="B780" t="s">
        <v>3372</v>
      </c>
      <c r="C780" t="s">
        <v>3373</v>
      </c>
      <c r="D780">
        <v>145</v>
      </c>
      <c r="E780" t="s">
        <v>3185</v>
      </c>
      <c r="F780" t="str">
        <f>VLOOKUP(E780,country_continent!A:C,2,FALSE)</f>
        <v>Bolivia</v>
      </c>
      <c r="G780" t="str">
        <f>VLOOKUP(E780,country_continent!A:C,3,FALSE)</f>
        <v>South America</v>
      </c>
      <c r="H780" t="s">
        <v>3374</v>
      </c>
      <c r="I780" s="1">
        <v>30153</v>
      </c>
      <c r="J780" s="3">
        <f t="shared" si="36"/>
        <v>30153</v>
      </c>
      <c r="K780" s="1">
        <v>30234</v>
      </c>
      <c r="L780" s="3">
        <f t="shared" si="37"/>
        <v>30234</v>
      </c>
      <c r="M780" t="s">
        <v>67</v>
      </c>
      <c r="N780" t="s">
        <v>49</v>
      </c>
      <c r="O780" t="s">
        <v>49</v>
      </c>
      <c r="P780">
        <v>0</v>
      </c>
      <c r="Q780" t="s">
        <v>50</v>
      </c>
      <c r="R780" t="s">
        <v>51</v>
      </c>
      <c r="S780">
        <v>1937</v>
      </c>
      <c r="T780">
        <v>-777</v>
      </c>
      <c r="Z780">
        <v>1</v>
      </c>
      <c r="AA780">
        <v>1</v>
      </c>
      <c r="AB780">
        <v>0</v>
      </c>
      <c r="AC780">
        <v>0</v>
      </c>
      <c r="AF780">
        <v>1982</v>
      </c>
      <c r="AG780">
        <v>1982</v>
      </c>
      <c r="AH780">
        <v>-6.0134744165938896</v>
      </c>
      <c r="AI780">
        <v>820</v>
      </c>
      <c r="AJ780">
        <v>158.28333328168699</v>
      </c>
      <c r="AK780">
        <v>159.9</v>
      </c>
      <c r="AL780">
        <v>2.1834707415726502</v>
      </c>
      <c r="AM780">
        <v>3.8818393844143699</v>
      </c>
      <c r="AN780">
        <v>7</v>
      </c>
      <c r="AO780" t="b">
        <v>0</v>
      </c>
      <c r="AT780">
        <v>81</v>
      </c>
      <c r="AU780">
        <f t="shared" si="38"/>
        <v>0.222</v>
      </c>
    </row>
    <row r="781" spans="1:47" x14ac:dyDescent="0.3">
      <c r="A781">
        <v>779</v>
      </c>
      <c r="B781" t="s">
        <v>3375</v>
      </c>
      <c r="C781" t="s">
        <v>3317</v>
      </c>
      <c r="D781">
        <v>145</v>
      </c>
      <c r="E781" t="s">
        <v>3185</v>
      </c>
      <c r="F781" t="str">
        <f>VLOOKUP(E781,country_continent!A:C,2,FALSE)</f>
        <v>Bolivia</v>
      </c>
      <c r="G781" t="str">
        <f>VLOOKUP(E781,country_continent!A:C,3,FALSE)</f>
        <v>South America</v>
      </c>
      <c r="H781" t="s">
        <v>3318</v>
      </c>
      <c r="I781" s="1">
        <v>30234</v>
      </c>
      <c r="J781" s="3">
        <f t="shared" si="36"/>
        <v>30234</v>
      </c>
      <c r="K781" s="1">
        <v>31265</v>
      </c>
      <c r="L781" s="3">
        <f t="shared" si="37"/>
        <v>31265</v>
      </c>
      <c r="M781" t="s">
        <v>67</v>
      </c>
      <c r="N781" t="s">
        <v>49</v>
      </c>
      <c r="O781" t="s">
        <v>49</v>
      </c>
      <c r="P781">
        <v>2</v>
      </c>
      <c r="Q781" t="s">
        <v>50</v>
      </c>
      <c r="R781" t="s">
        <v>51</v>
      </c>
      <c r="S781">
        <v>1914</v>
      </c>
      <c r="T781">
        <v>1996</v>
      </c>
      <c r="U781" s="1">
        <v>5192</v>
      </c>
      <c r="V781" s="2">
        <v>5192</v>
      </c>
      <c r="W781" s="1">
        <v>35283</v>
      </c>
      <c r="X781" s="2">
        <v>35283</v>
      </c>
      <c r="Y781" t="s">
        <v>3319</v>
      </c>
      <c r="Z781">
        <v>1</v>
      </c>
      <c r="AA781">
        <v>1</v>
      </c>
      <c r="AB781">
        <v>0</v>
      </c>
      <c r="AC781">
        <v>0</v>
      </c>
      <c r="AD781" t="s">
        <v>3320</v>
      </c>
      <c r="AE781">
        <v>1</v>
      </c>
      <c r="AF781">
        <v>1982</v>
      </c>
      <c r="AG781">
        <v>1985</v>
      </c>
      <c r="AH781">
        <v>-4.5361822189568697</v>
      </c>
      <c r="AI781">
        <v>810</v>
      </c>
      <c r="AJ781">
        <v>3551.38456974059</v>
      </c>
      <c r="AK781">
        <v>153.17500000000001</v>
      </c>
      <c r="AL781">
        <v>2.1472202707404602</v>
      </c>
      <c r="AM781">
        <v>3.9993956502060102</v>
      </c>
      <c r="AN781">
        <v>7.5</v>
      </c>
      <c r="AO781" t="b">
        <v>0</v>
      </c>
      <c r="AT781">
        <v>1031</v>
      </c>
      <c r="AU781">
        <f t="shared" si="38"/>
        <v>2.8250000000000002</v>
      </c>
    </row>
    <row r="782" spans="1:47" x14ac:dyDescent="0.3">
      <c r="A782">
        <v>780</v>
      </c>
      <c r="B782" t="s">
        <v>3376</v>
      </c>
      <c r="C782" t="s">
        <v>3322</v>
      </c>
      <c r="D782">
        <v>145</v>
      </c>
      <c r="E782" t="s">
        <v>3185</v>
      </c>
      <c r="F782" t="str">
        <f>VLOOKUP(E782,country_continent!A:C,2,FALSE)</f>
        <v>Bolivia</v>
      </c>
      <c r="G782" t="str">
        <f>VLOOKUP(E782,country_continent!A:C,3,FALSE)</f>
        <v>South America</v>
      </c>
      <c r="H782" t="s">
        <v>3323</v>
      </c>
      <c r="I782" s="1">
        <v>31265</v>
      </c>
      <c r="J782" s="3">
        <f t="shared" si="36"/>
        <v>31265</v>
      </c>
      <c r="K782" s="1">
        <v>32726</v>
      </c>
      <c r="L782" s="3">
        <f t="shared" si="37"/>
        <v>32726</v>
      </c>
      <c r="M782" t="s">
        <v>49</v>
      </c>
      <c r="N782" t="s">
        <v>49</v>
      </c>
      <c r="O782" t="s">
        <v>49</v>
      </c>
      <c r="P782">
        <v>2</v>
      </c>
      <c r="Q782" t="s">
        <v>50</v>
      </c>
      <c r="R782" t="s">
        <v>51</v>
      </c>
      <c r="S782">
        <v>1907</v>
      </c>
      <c r="T782">
        <v>2001</v>
      </c>
      <c r="U782" s="1">
        <v>2832</v>
      </c>
      <c r="V782" s="2">
        <v>2832</v>
      </c>
      <c r="W782" s="1">
        <v>37049</v>
      </c>
      <c r="X782" s="2">
        <v>37049</v>
      </c>
      <c r="Y782" t="s">
        <v>3324</v>
      </c>
      <c r="Z782">
        <v>0</v>
      </c>
      <c r="AA782">
        <v>1</v>
      </c>
      <c r="AB782">
        <v>0</v>
      </c>
      <c r="AC782">
        <v>0</v>
      </c>
      <c r="AD782" t="s">
        <v>3325</v>
      </c>
      <c r="AE782">
        <v>1</v>
      </c>
      <c r="AF782">
        <v>1985</v>
      </c>
      <c r="AG782">
        <v>1989</v>
      </c>
      <c r="AH782">
        <v>-1.1286010798102699</v>
      </c>
      <c r="AI782">
        <v>716</v>
      </c>
      <c r="AJ782">
        <v>2522.81186315584</v>
      </c>
      <c r="AK782">
        <v>136.47999999999999</v>
      </c>
      <c r="AL782">
        <v>2.1126900977945802</v>
      </c>
      <c r="AM782">
        <v>4.4833706831302198</v>
      </c>
      <c r="AN782">
        <v>9</v>
      </c>
      <c r="AO782" t="b">
        <v>0</v>
      </c>
      <c r="AT782">
        <v>1461</v>
      </c>
      <c r="AU782">
        <f t="shared" si="38"/>
        <v>4.0030000000000001</v>
      </c>
    </row>
    <row r="783" spans="1:47" x14ac:dyDescent="0.3">
      <c r="A783">
        <v>781</v>
      </c>
      <c r="B783" t="s">
        <v>3377</v>
      </c>
      <c r="C783" t="s">
        <v>3378</v>
      </c>
      <c r="D783">
        <v>145</v>
      </c>
      <c r="E783" t="s">
        <v>3185</v>
      </c>
      <c r="F783" t="str">
        <f>VLOOKUP(E783,country_continent!A:C,2,FALSE)</f>
        <v>Bolivia</v>
      </c>
      <c r="G783" t="str">
        <f>VLOOKUP(E783,country_continent!A:C,3,FALSE)</f>
        <v>South America</v>
      </c>
      <c r="H783" t="s">
        <v>3379</v>
      </c>
      <c r="I783" s="1">
        <v>32726</v>
      </c>
      <c r="J783" s="3">
        <f t="shared" si="36"/>
        <v>32726</v>
      </c>
      <c r="K783" s="1">
        <v>34187</v>
      </c>
      <c r="L783" s="3">
        <f t="shared" si="37"/>
        <v>34187</v>
      </c>
      <c r="M783" t="s">
        <v>49</v>
      </c>
      <c r="N783" t="s">
        <v>49</v>
      </c>
      <c r="O783" t="s">
        <v>49</v>
      </c>
      <c r="P783">
        <v>0</v>
      </c>
      <c r="Q783" t="s">
        <v>50</v>
      </c>
      <c r="R783" t="s">
        <v>51</v>
      </c>
      <c r="S783">
        <v>1939</v>
      </c>
      <c r="T783">
        <v>-777</v>
      </c>
      <c r="U783" s="1">
        <v>14350</v>
      </c>
      <c r="V783" s="2">
        <v>14350</v>
      </c>
      <c r="Y783" t="s">
        <v>3380</v>
      </c>
      <c r="Z783">
        <v>0</v>
      </c>
      <c r="AA783">
        <v>1</v>
      </c>
      <c r="AB783">
        <v>0</v>
      </c>
      <c r="AC783">
        <v>0</v>
      </c>
      <c r="AF783">
        <v>1989</v>
      </c>
      <c r="AG783">
        <v>1993</v>
      </c>
      <c r="AH783">
        <v>1.7970046010986001</v>
      </c>
      <c r="AI783">
        <v>718</v>
      </c>
      <c r="AJ783">
        <v>13.380033215333601</v>
      </c>
      <c r="AK783">
        <v>117.02</v>
      </c>
      <c r="AL783">
        <v>2.06552405474116</v>
      </c>
      <c r="AM783">
        <v>5.2108552359073501</v>
      </c>
      <c r="AN783">
        <v>9</v>
      </c>
      <c r="AO783" t="b">
        <v>0</v>
      </c>
      <c r="AT783">
        <v>1461</v>
      </c>
      <c r="AU783">
        <f t="shared" si="38"/>
        <v>4.0030000000000001</v>
      </c>
    </row>
    <row r="784" spans="1:47" x14ac:dyDescent="0.3">
      <c r="A784">
        <v>782</v>
      </c>
      <c r="B784" t="s">
        <v>3381</v>
      </c>
      <c r="C784" t="s">
        <v>3382</v>
      </c>
      <c r="D784">
        <v>145</v>
      </c>
      <c r="E784" t="s">
        <v>3185</v>
      </c>
      <c r="F784" t="str">
        <f>VLOOKUP(E784,country_continent!A:C,2,FALSE)</f>
        <v>Bolivia</v>
      </c>
      <c r="G784" t="str">
        <f>VLOOKUP(E784,country_continent!A:C,3,FALSE)</f>
        <v>South America</v>
      </c>
      <c r="H784" t="s">
        <v>3383</v>
      </c>
      <c r="I784" s="1">
        <v>34187</v>
      </c>
      <c r="J784" s="3">
        <f t="shared" si="36"/>
        <v>34187</v>
      </c>
      <c r="K784" s="1">
        <v>35648</v>
      </c>
      <c r="L784" s="3">
        <f t="shared" si="37"/>
        <v>35648</v>
      </c>
      <c r="M784" t="s">
        <v>49</v>
      </c>
      <c r="N784" t="s">
        <v>49</v>
      </c>
      <c r="O784" t="s">
        <v>49</v>
      </c>
      <c r="P784">
        <v>0</v>
      </c>
      <c r="Q784" t="s">
        <v>50</v>
      </c>
      <c r="R784" t="s">
        <v>51</v>
      </c>
      <c r="S784">
        <v>1930</v>
      </c>
      <c r="T784">
        <v>-777</v>
      </c>
      <c r="Z784">
        <v>0</v>
      </c>
      <c r="AA784">
        <v>1</v>
      </c>
      <c r="AB784">
        <v>0</v>
      </c>
      <c r="AC784">
        <v>0</v>
      </c>
      <c r="AF784">
        <v>1993</v>
      </c>
      <c r="AG784">
        <v>1997</v>
      </c>
      <c r="AH784">
        <v>2.62518869139716</v>
      </c>
      <c r="AI784">
        <v>834</v>
      </c>
      <c r="AJ784">
        <v>8.6443795709245794</v>
      </c>
      <c r="AK784">
        <v>98.42</v>
      </c>
      <c r="AL784">
        <v>1.89281516216884</v>
      </c>
      <c r="AM784">
        <v>4.3820147172772703</v>
      </c>
      <c r="AN784">
        <v>9</v>
      </c>
      <c r="AO784" t="b">
        <v>0</v>
      </c>
      <c r="AT784">
        <v>1461</v>
      </c>
      <c r="AU784">
        <f t="shared" si="38"/>
        <v>4.0030000000000001</v>
      </c>
    </row>
    <row r="785" spans="1:47" x14ac:dyDescent="0.3">
      <c r="A785">
        <v>783</v>
      </c>
      <c r="B785" t="s">
        <v>3384</v>
      </c>
      <c r="C785" t="s">
        <v>3345</v>
      </c>
      <c r="D785">
        <v>145</v>
      </c>
      <c r="E785" t="s">
        <v>3185</v>
      </c>
      <c r="F785" t="str">
        <f>VLOOKUP(E785,country_continent!A:C,2,FALSE)</f>
        <v>Bolivia</v>
      </c>
      <c r="G785" t="str">
        <f>VLOOKUP(E785,country_continent!A:C,3,FALSE)</f>
        <v>South America</v>
      </c>
      <c r="H785" t="s">
        <v>3346</v>
      </c>
      <c r="I785" s="1">
        <v>35648</v>
      </c>
      <c r="J785" s="3">
        <f t="shared" si="36"/>
        <v>35648</v>
      </c>
      <c r="K785" s="1">
        <v>37110</v>
      </c>
      <c r="L785" s="3">
        <f t="shared" si="37"/>
        <v>37110</v>
      </c>
      <c r="M785" t="s">
        <v>49</v>
      </c>
      <c r="N785" t="s">
        <v>228</v>
      </c>
      <c r="O785" t="s">
        <v>49</v>
      </c>
      <c r="P785">
        <v>1</v>
      </c>
      <c r="Q785" t="s">
        <v>111</v>
      </c>
      <c r="R785" t="s">
        <v>51</v>
      </c>
      <c r="S785">
        <v>1926</v>
      </c>
      <c r="T785">
        <v>2002</v>
      </c>
      <c r="U785" s="1">
        <v>9688</v>
      </c>
      <c r="V785" s="2">
        <v>9688</v>
      </c>
      <c r="W785" s="1">
        <v>37381</v>
      </c>
      <c r="X785" s="2">
        <v>37381</v>
      </c>
      <c r="Z785">
        <v>0</v>
      </c>
      <c r="AA785">
        <v>2.0999998999999998</v>
      </c>
      <c r="AB785">
        <v>0</v>
      </c>
      <c r="AC785">
        <v>-777</v>
      </c>
      <c r="AF785">
        <v>1997</v>
      </c>
      <c r="AG785">
        <v>2001</v>
      </c>
      <c r="AH785">
        <v>1.14032933339801</v>
      </c>
      <c r="AI785">
        <v>946</v>
      </c>
      <c r="AJ785">
        <v>4.4466469756820004</v>
      </c>
      <c r="AK785">
        <v>80.259999999999906</v>
      </c>
      <c r="AL785">
        <v>1.7442295980073099</v>
      </c>
      <c r="AM785">
        <v>3.5942528760625301</v>
      </c>
      <c r="AN785">
        <v>9</v>
      </c>
      <c r="AO785" t="b">
        <v>0</v>
      </c>
      <c r="AT785">
        <v>1462</v>
      </c>
      <c r="AU785">
        <f t="shared" si="38"/>
        <v>4.0049999999999999</v>
      </c>
    </row>
    <row r="786" spans="1:47" x14ac:dyDescent="0.3">
      <c r="A786">
        <v>784</v>
      </c>
      <c r="B786" t="s">
        <v>3385</v>
      </c>
      <c r="C786" t="s">
        <v>3386</v>
      </c>
      <c r="D786">
        <v>145</v>
      </c>
      <c r="E786" t="s">
        <v>3185</v>
      </c>
      <c r="F786" t="str">
        <f>VLOOKUP(E786,country_continent!A:C,2,FALSE)</f>
        <v>Bolivia</v>
      </c>
      <c r="G786" t="str">
        <f>VLOOKUP(E786,country_continent!A:C,3,FALSE)</f>
        <v>South America</v>
      </c>
      <c r="H786" t="s">
        <v>3387</v>
      </c>
      <c r="I786" s="1">
        <v>37110</v>
      </c>
      <c r="J786" s="3">
        <f t="shared" si="36"/>
        <v>37110</v>
      </c>
      <c r="K786" s="1">
        <v>37474</v>
      </c>
      <c r="L786" s="3">
        <f t="shared" si="37"/>
        <v>37474</v>
      </c>
      <c r="M786" t="s">
        <v>49</v>
      </c>
      <c r="N786" t="s">
        <v>49</v>
      </c>
      <c r="O786" t="s">
        <v>49</v>
      </c>
      <c r="P786">
        <v>0</v>
      </c>
      <c r="Q786" t="s">
        <v>50</v>
      </c>
      <c r="R786" t="s">
        <v>51</v>
      </c>
      <c r="S786">
        <v>1960</v>
      </c>
      <c r="T786">
        <v>-777</v>
      </c>
      <c r="Z786">
        <v>0</v>
      </c>
      <c r="AA786">
        <v>1</v>
      </c>
      <c r="AB786">
        <v>0</v>
      </c>
      <c r="AC786">
        <v>0</v>
      </c>
      <c r="AF786">
        <v>2001</v>
      </c>
      <c r="AG786">
        <v>2002</v>
      </c>
      <c r="AH786">
        <v>0.38433301642568501</v>
      </c>
      <c r="AI786">
        <v>915</v>
      </c>
      <c r="AJ786">
        <v>2.3454255275568299</v>
      </c>
      <c r="AK786">
        <v>69.400000000000006</v>
      </c>
      <c r="AL786">
        <v>1.6796824667820101</v>
      </c>
      <c r="AM786">
        <v>4.6392690562671701</v>
      </c>
      <c r="AN786">
        <v>9</v>
      </c>
      <c r="AO786" t="b">
        <v>0</v>
      </c>
      <c r="AT786">
        <v>364</v>
      </c>
      <c r="AU786">
        <f t="shared" si="38"/>
        <v>0.997</v>
      </c>
    </row>
    <row r="787" spans="1:47" x14ac:dyDescent="0.3">
      <c r="A787">
        <v>785</v>
      </c>
      <c r="B787" t="s">
        <v>3388</v>
      </c>
      <c r="C787" t="s">
        <v>3382</v>
      </c>
      <c r="D787">
        <v>145</v>
      </c>
      <c r="E787" t="s">
        <v>3185</v>
      </c>
      <c r="F787" t="str">
        <f>VLOOKUP(E787,country_continent!A:C,2,FALSE)</f>
        <v>Bolivia</v>
      </c>
      <c r="G787" t="str">
        <f>VLOOKUP(E787,country_continent!A:C,3,FALSE)</f>
        <v>South America</v>
      </c>
      <c r="H787" t="s">
        <v>3383</v>
      </c>
      <c r="I787" s="1">
        <v>37476</v>
      </c>
      <c r="J787" s="3">
        <f t="shared" si="36"/>
        <v>37476</v>
      </c>
      <c r="K787" s="1">
        <v>37911</v>
      </c>
      <c r="L787" s="3">
        <f t="shared" si="37"/>
        <v>37911</v>
      </c>
      <c r="M787" t="s">
        <v>49</v>
      </c>
      <c r="N787" t="s">
        <v>49</v>
      </c>
      <c r="O787" t="s">
        <v>49</v>
      </c>
      <c r="P787">
        <v>1</v>
      </c>
      <c r="Q787" t="s">
        <v>362</v>
      </c>
      <c r="R787" t="s">
        <v>51</v>
      </c>
      <c r="S787">
        <v>1930</v>
      </c>
      <c r="T787">
        <v>-777</v>
      </c>
      <c r="Z787">
        <v>0</v>
      </c>
      <c r="AA787">
        <v>1</v>
      </c>
      <c r="AB787">
        <v>0</v>
      </c>
      <c r="AC787">
        <v>1</v>
      </c>
      <c r="AF787">
        <v>2002</v>
      </c>
      <c r="AG787">
        <v>2003</v>
      </c>
      <c r="AH787">
        <v>0.89546244224113203</v>
      </c>
      <c r="AI787">
        <v>895</v>
      </c>
      <c r="AJ787">
        <v>4.5753748449355003</v>
      </c>
      <c r="AK787">
        <v>65.45</v>
      </c>
      <c r="AL787">
        <v>1.67378827895533</v>
      </c>
      <c r="AM787">
        <v>5.1305646373215597</v>
      </c>
      <c r="AN787">
        <v>8.5</v>
      </c>
      <c r="AO787" t="b">
        <v>0</v>
      </c>
      <c r="AT787">
        <v>435</v>
      </c>
      <c r="AU787">
        <f t="shared" si="38"/>
        <v>1.1919999999999999</v>
      </c>
    </row>
    <row r="788" spans="1:47" x14ac:dyDescent="0.3">
      <c r="A788">
        <v>786</v>
      </c>
      <c r="B788" t="s">
        <v>3389</v>
      </c>
      <c r="C788" t="s">
        <v>3390</v>
      </c>
      <c r="D788">
        <v>145</v>
      </c>
      <c r="E788" t="s">
        <v>3185</v>
      </c>
      <c r="F788" t="str">
        <f>VLOOKUP(E788,country_continent!A:C,2,FALSE)</f>
        <v>Bolivia</v>
      </c>
      <c r="G788" t="str">
        <f>VLOOKUP(E788,country_continent!A:C,3,FALSE)</f>
        <v>South America</v>
      </c>
      <c r="H788" t="s">
        <v>3391</v>
      </c>
      <c r="I788" s="1">
        <v>37911</v>
      </c>
      <c r="J788" s="3">
        <f t="shared" si="36"/>
        <v>37911</v>
      </c>
      <c r="K788" s="1">
        <v>38512</v>
      </c>
      <c r="L788" s="3">
        <f t="shared" si="37"/>
        <v>38512</v>
      </c>
      <c r="M788" t="s">
        <v>49</v>
      </c>
      <c r="N788" t="s">
        <v>49</v>
      </c>
      <c r="O788" t="s">
        <v>49</v>
      </c>
      <c r="P788">
        <v>0</v>
      </c>
      <c r="Q788" t="s">
        <v>50</v>
      </c>
      <c r="R788" t="s">
        <v>51</v>
      </c>
      <c r="S788">
        <v>1953</v>
      </c>
      <c r="T788">
        <v>-777</v>
      </c>
      <c r="U788" s="1">
        <v>19583</v>
      </c>
      <c r="V788" s="2">
        <v>19583</v>
      </c>
      <c r="Y788" t="s">
        <v>3392</v>
      </c>
      <c r="Z788">
        <v>0</v>
      </c>
      <c r="AA788">
        <v>1</v>
      </c>
      <c r="AB788">
        <v>0</v>
      </c>
      <c r="AC788">
        <v>0</v>
      </c>
      <c r="AF788">
        <v>2003</v>
      </c>
      <c r="AG788">
        <v>2005</v>
      </c>
      <c r="AH788">
        <v>2.0387255581035402</v>
      </c>
      <c r="AI788">
        <v>943.33333333333303</v>
      </c>
      <c r="AJ788">
        <v>6.7461664773289298</v>
      </c>
      <c r="AK788">
        <v>59.933333333333302</v>
      </c>
      <c r="AL788">
        <v>1.6811559739192901</v>
      </c>
      <c r="AM788">
        <v>8.0971600277000206</v>
      </c>
      <c r="AN788">
        <v>8</v>
      </c>
      <c r="AO788" t="b">
        <v>0</v>
      </c>
      <c r="AT788">
        <v>601</v>
      </c>
      <c r="AU788">
        <f t="shared" si="38"/>
        <v>1.647</v>
      </c>
    </row>
    <row r="789" spans="1:47" x14ac:dyDescent="0.3">
      <c r="A789">
        <v>787</v>
      </c>
      <c r="B789" t="s">
        <v>3393</v>
      </c>
      <c r="C789" t="s">
        <v>3394</v>
      </c>
      <c r="D789">
        <v>145</v>
      </c>
      <c r="E789" t="s">
        <v>3185</v>
      </c>
      <c r="F789" t="str">
        <f>VLOOKUP(E789,country_continent!A:C,2,FALSE)</f>
        <v>Bolivia</v>
      </c>
      <c r="G789" t="str">
        <f>VLOOKUP(E789,country_continent!A:C,3,FALSE)</f>
        <v>South America</v>
      </c>
      <c r="H789" t="s">
        <v>3395</v>
      </c>
      <c r="I789" s="1">
        <v>38512</v>
      </c>
      <c r="J789" s="3">
        <f t="shared" si="36"/>
        <v>38512</v>
      </c>
      <c r="K789" s="1">
        <v>38739</v>
      </c>
      <c r="L789" s="3">
        <f t="shared" si="37"/>
        <v>38739</v>
      </c>
      <c r="M789" t="s">
        <v>49</v>
      </c>
      <c r="N789" t="s">
        <v>49</v>
      </c>
      <c r="O789" t="s">
        <v>49</v>
      </c>
      <c r="P789">
        <v>0</v>
      </c>
      <c r="Q789" t="s">
        <v>50</v>
      </c>
      <c r="R789" t="s">
        <v>51</v>
      </c>
      <c r="S789">
        <v>1956</v>
      </c>
      <c r="T789">
        <v>-777</v>
      </c>
      <c r="Z789">
        <v>0</v>
      </c>
      <c r="AA789">
        <v>1</v>
      </c>
      <c r="AB789">
        <v>0</v>
      </c>
      <c r="AC789">
        <v>0</v>
      </c>
      <c r="AF789">
        <v>2005</v>
      </c>
      <c r="AG789">
        <v>2006</v>
      </c>
      <c r="AH789">
        <v>2.85087142133494</v>
      </c>
      <c r="AI789">
        <v>1045</v>
      </c>
      <c r="AJ789">
        <v>9.8022385852867604</v>
      </c>
      <c r="AK789">
        <v>54.75</v>
      </c>
      <c r="AL789">
        <v>1.69514476257999</v>
      </c>
      <c r="AM789">
        <v>13.089338696377601</v>
      </c>
      <c r="AN789">
        <v>8</v>
      </c>
      <c r="AO789" t="b">
        <v>0</v>
      </c>
      <c r="AT789">
        <v>227</v>
      </c>
      <c r="AU789">
        <f t="shared" si="38"/>
        <v>0.622</v>
      </c>
    </row>
    <row r="790" spans="1:47" x14ac:dyDescent="0.3">
      <c r="A790">
        <v>788</v>
      </c>
      <c r="B790" t="s">
        <v>3396</v>
      </c>
      <c r="C790" t="s">
        <v>3397</v>
      </c>
      <c r="D790">
        <v>145</v>
      </c>
      <c r="E790" t="s">
        <v>3185</v>
      </c>
      <c r="F790" t="str">
        <f>VLOOKUP(E790,country_continent!A:C,2,FALSE)</f>
        <v>Bolivia</v>
      </c>
      <c r="G790" t="str">
        <f>VLOOKUP(E790,country_continent!A:C,3,FALSE)</f>
        <v>South America</v>
      </c>
      <c r="H790" t="s">
        <v>3398</v>
      </c>
      <c r="I790" s="1">
        <v>38739</v>
      </c>
      <c r="J790" s="3">
        <f t="shared" si="36"/>
        <v>38739</v>
      </c>
      <c r="K790" s="1">
        <v>42369</v>
      </c>
      <c r="L790" s="3">
        <f t="shared" si="37"/>
        <v>42369</v>
      </c>
      <c r="M790" t="s">
        <v>49</v>
      </c>
      <c r="N790" t="s">
        <v>173</v>
      </c>
      <c r="O790" t="s">
        <v>173</v>
      </c>
      <c r="P790">
        <v>0</v>
      </c>
      <c r="Q790" t="s">
        <v>174</v>
      </c>
      <c r="R790" t="s">
        <v>51</v>
      </c>
      <c r="S790">
        <v>1959</v>
      </c>
      <c r="T790">
        <v>-777</v>
      </c>
      <c r="U790" s="1">
        <v>21849</v>
      </c>
      <c r="V790" s="2">
        <v>21849</v>
      </c>
      <c r="Z790">
        <v>0</v>
      </c>
      <c r="AA790">
        <v>-888</v>
      </c>
      <c r="AB790">
        <v>-888</v>
      </c>
      <c r="AC790">
        <v>-888</v>
      </c>
      <c r="AF790">
        <v>2006</v>
      </c>
      <c r="AG790">
        <v>2015</v>
      </c>
      <c r="AH790">
        <v>3.3482923697642701</v>
      </c>
      <c r="AI790">
        <v>1958</v>
      </c>
      <c r="AJ790">
        <v>6.2902742528332496</v>
      </c>
      <c r="AK790">
        <v>41.47</v>
      </c>
      <c r="AL790">
        <v>1.62705355433669</v>
      </c>
      <c r="AM790">
        <v>11.0970270182584</v>
      </c>
      <c r="AN790">
        <v>7.3</v>
      </c>
      <c r="AO790" t="b">
        <v>0</v>
      </c>
      <c r="AT790">
        <v>3630</v>
      </c>
      <c r="AU790">
        <f t="shared" si="38"/>
        <v>9.9450000000000003</v>
      </c>
    </row>
    <row r="791" spans="1:47" x14ac:dyDescent="0.3">
      <c r="A791">
        <v>789</v>
      </c>
      <c r="B791" t="s">
        <v>3399</v>
      </c>
      <c r="C791" t="s">
        <v>3400</v>
      </c>
      <c r="D791">
        <v>150</v>
      </c>
      <c r="E791" t="s">
        <v>3401</v>
      </c>
      <c r="F791" t="str">
        <f>VLOOKUP(E791,country_continent!A:C,2,FALSE)</f>
        <v>Paraguay</v>
      </c>
      <c r="G791" t="str">
        <f>VLOOKUP(E791,country_continent!A:C,3,FALSE)</f>
        <v>South America</v>
      </c>
      <c r="H791" t="s">
        <v>3402</v>
      </c>
      <c r="I791" t="s">
        <v>3403</v>
      </c>
      <c r="J791" s="3" t="str">
        <f t="shared" si="36"/>
        <v>1874/11/25</v>
      </c>
      <c r="K791" t="s">
        <v>3404</v>
      </c>
      <c r="L791" s="3" t="str">
        <f t="shared" si="37"/>
        <v>1877/04/12</v>
      </c>
      <c r="M791" t="s">
        <v>67</v>
      </c>
      <c r="N791" t="s">
        <v>67</v>
      </c>
      <c r="O791" t="s">
        <v>347</v>
      </c>
      <c r="P791">
        <v>0</v>
      </c>
      <c r="Q791" t="s">
        <v>69</v>
      </c>
      <c r="R791" t="s">
        <v>51</v>
      </c>
      <c r="S791">
        <v>1840</v>
      </c>
      <c r="T791">
        <v>1877</v>
      </c>
      <c r="Y791" t="s">
        <v>3405</v>
      </c>
      <c r="Z791">
        <v>1</v>
      </c>
      <c r="AA791">
        <v>3</v>
      </c>
      <c r="AB791">
        <v>-999</v>
      </c>
      <c r="AC791">
        <v>3</v>
      </c>
      <c r="AF791">
        <v>1874</v>
      </c>
      <c r="AG791">
        <v>1877</v>
      </c>
      <c r="AO791" t="b">
        <v>0</v>
      </c>
      <c r="AT791">
        <v>869</v>
      </c>
      <c r="AU791">
        <f t="shared" si="38"/>
        <v>2.3809999999999998</v>
      </c>
    </row>
    <row r="792" spans="1:47" x14ac:dyDescent="0.3">
      <c r="A792">
        <v>790</v>
      </c>
      <c r="B792" t="s">
        <v>3406</v>
      </c>
      <c r="C792" t="s">
        <v>3407</v>
      </c>
      <c r="D792">
        <v>150</v>
      </c>
      <c r="E792" t="s">
        <v>3401</v>
      </c>
      <c r="F792" t="str">
        <f>VLOOKUP(E792,country_continent!A:C,2,FALSE)</f>
        <v>Paraguay</v>
      </c>
      <c r="G792" t="str">
        <f>VLOOKUP(E792,country_continent!A:C,3,FALSE)</f>
        <v>South America</v>
      </c>
      <c r="H792" t="s">
        <v>3408</v>
      </c>
      <c r="I792" t="s">
        <v>3404</v>
      </c>
      <c r="J792" s="3" t="str">
        <f t="shared" si="36"/>
        <v>1877/04/12</v>
      </c>
      <c r="K792" t="s">
        <v>3409</v>
      </c>
      <c r="L792" s="3" t="str">
        <f t="shared" si="37"/>
        <v>1878/11/25</v>
      </c>
      <c r="M792" t="s">
        <v>49</v>
      </c>
      <c r="N792" t="s">
        <v>49</v>
      </c>
      <c r="O792" t="s">
        <v>49</v>
      </c>
      <c r="P792">
        <v>0</v>
      </c>
      <c r="Q792" t="s">
        <v>1453</v>
      </c>
      <c r="R792" t="s">
        <v>51</v>
      </c>
      <c r="S792">
        <v>1843</v>
      </c>
      <c r="T792">
        <v>1909</v>
      </c>
      <c r="Z792">
        <v>0</v>
      </c>
      <c r="AA792">
        <v>1</v>
      </c>
      <c r="AB792">
        <v>0</v>
      </c>
      <c r="AC792">
        <v>-666</v>
      </c>
      <c r="AF792">
        <v>1877</v>
      </c>
      <c r="AG792">
        <v>1878</v>
      </c>
      <c r="AO792" t="b">
        <v>0</v>
      </c>
      <c r="AT792">
        <v>592</v>
      </c>
      <c r="AU792">
        <f t="shared" si="38"/>
        <v>1.6220000000000001</v>
      </c>
    </row>
    <row r="793" spans="1:47" x14ac:dyDescent="0.3">
      <c r="A793">
        <v>791</v>
      </c>
      <c r="B793" t="s">
        <v>3410</v>
      </c>
      <c r="C793" t="s">
        <v>3411</v>
      </c>
      <c r="D793">
        <v>150</v>
      </c>
      <c r="E793" t="s">
        <v>3401</v>
      </c>
      <c r="F793" t="str">
        <f>VLOOKUP(E793,country_continent!A:C,2,FALSE)</f>
        <v>Paraguay</v>
      </c>
      <c r="G793" t="str">
        <f>VLOOKUP(E793,country_continent!A:C,3,FALSE)</f>
        <v>South America</v>
      </c>
      <c r="H793" t="s">
        <v>3412</v>
      </c>
      <c r="I793" t="s">
        <v>3413</v>
      </c>
      <c r="J793" s="3" t="str">
        <f t="shared" si="36"/>
        <v>1878/11/27</v>
      </c>
      <c r="K793" t="s">
        <v>3414</v>
      </c>
      <c r="L793" s="3" t="str">
        <f t="shared" si="37"/>
        <v>1880/09/04</v>
      </c>
      <c r="M793" t="s">
        <v>49</v>
      </c>
      <c r="N793" t="s">
        <v>110</v>
      </c>
      <c r="O793" t="s">
        <v>49</v>
      </c>
      <c r="P793">
        <v>0</v>
      </c>
      <c r="Q793" t="s">
        <v>111</v>
      </c>
      <c r="R793" t="s">
        <v>51</v>
      </c>
      <c r="S793">
        <v>1833</v>
      </c>
      <c r="T793">
        <v>1880</v>
      </c>
      <c r="Z793">
        <v>0</v>
      </c>
      <c r="AA793">
        <v>2</v>
      </c>
      <c r="AB793">
        <v>0</v>
      </c>
      <c r="AC793">
        <v>-777</v>
      </c>
      <c r="AF793">
        <v>1878</v>
      </c>
      <c r="AG793">
        <v>1880</v>
      </c>
      <c r="AO793" t="b">
        <v>0</v>
      </c>
      <c r="AT793">
        <v>647</v>
      </c>
      <c r="AU793">
        <f t="shared" si="38"/>
        <v>1.7729999999999999</v>
      </c>
    </row>
    <row r="794" spans="1:47" x14ac:dyDescent="0.3">
      <c r="A794">
        <v>792</v>
      </c>
      <c r="B794" t="s">
        <v>3415</v>
      </c>
      <c r="C794" t="s">
        <v>3416</v>
      </c>
      <c r="D794">
        <v>150</v>
      </c>
      <c r="E794" t="s">
        <v>3401</v>
      </c>
      <c r="F794" t="str">
        <f>VLOOKUP(E794,country_continent!A:C,2,FALSE)</f>
        <v>Paraguay</v>
      </c>
      <c r="G794" t="str">
        <f>VLOOKUP(E794,country_continent!A:C,3,FALSE)</f>
        <v>South America</v>
      </c>
      <c r="H794" t="s">
        <v>3417</v>
      </c>
      <c r="I794" t="s">
        <v>3414</v>
      </c>
      <c r="J794" s="3" t="str">
        <f t="shared" si="36"/>
        <v>1880/09/04</v>
      </c>
      <c r="K794" t="s">
        <v>3418</v>
      </c>
      <c r="L794" s="3" t="str">
        <f t="shared" si="37"/>
        <v>1886/11/25</v>
      </c>
      <c r="M794" t="s">
        <v>67</v>
      </c>
      <c r="N794" t="s">
        <v>49</v>
      </c>
      <c r="O794" t="s">
        <v>49</v>
      </c>
      <c r="P794">
        <v>0</v>
      </c>
      <c r="Q794" t="s">
        <v>50</v>
      </c>
      <c r="R794" t="s">
        <v>51</v>
      </c>
      <c r="S794">
        <v>1839</v>
      </c>
      <c r="T794">
        <v>1912</v>
      </c>
      <c r="Z794">
        <v>1</v>
      </c>
      <c r="AA794">
        <v>1</v>
      </c>
      <c r="AB794">
        <v>0</v>
      </c>
      <c r="AC794">
        <v>0</v>
      </c>
      <c r="AF794">
        <v>1880</v>
      </c>
      <c r="AG794">
        <v>1886</v>
      </c>
      <c r="AO794" t="b">
        <v>0</v>
      </c>
      <c r="AT794">
        <v>2273</v>
      </c>
      <c r="AU794">
        <f t="shared" si="38"/>
        <v>6.2270000000000003</v>
      </c>
    </row>
    <row r="795" spans="1:47" x14ac:dyDescent="0.3">
      <c r="A795">
        <v>793</v>
      </c>
      <c r="B795" t="s">
        <v>3419</v>
      </c>
      <c r="C795" t="s">
        <v>3420</v>
      </c>
      <c r="D795">
        <v>150</v>
      </c>
      <c r="E795" t="s">
        <v>3401</v>
      </c>
      <c r="F795" t="str">
        <f>VLOOKUP(E795,country_continent!A:C,2,FALSE)</f>
        <v>Paraguay</v>
      </c>
      <c r="G795" t="str">
        <f>VLOOKUP(E795,country_continent!A:C,3,FALSE)</f>
        <v>South America</v>
      </c>
      <c r="H795" t="s">
        <v>3421</v>
      </c>
      <c r="I795" t="s">
        <v>3418</v>
      </c>
      <c r="J795" s="3" t="str">
        <f t="shared" si="36"/>
        <v>1886/11/25</v>
      </c>
      <c r="K795" t="s">
        <v>3422</v>
      </c>
      <c r="L795" s="3" t="str">
        <f t="shared" si="37"/>
        <v>1890/11/25</v>
      </c>
      <c r="M795" t="s">
        <v>49</v>
      </c>
      <c r="N795" t="s">
        <v>49</v>
      </c>
      <c r="O795" t="s">
        <v>49</v>
      </c>
      <c r="P795">
        <v>0</v>
      </c>
      <c r="Q795" t="s">
        <v>50</v>
      </c>
      <c r="R795" t="s">
        <v>51</v>
      </c>
      <c r="S795">
        <v>1843</v>
      </c>
      <c r="T795">
        <v>1912</v>
      </c>
      <c r="Y795" t="s">
        <v>3423</v>
      </c>
      <c r="Z795">
        <v>0</v>
      </c>
      <c r="AA795">
        <v>1</v>
      </c>
      <c r="AB795">
        <v>0</v>
      </c>
      <c r="AC795">
        <v>0</v>
      </c>
      <c r="AF795">
        <v>1886</v>
      </c>
      <c r="AG795">
        <v>1890</v>
      </c>
      <c r="AO795" t="b">
        <v>0</v>
      </c>
      <c r="AT795">
        <v>1461</v>
      </c>
      <c r="AU795">
        <f t="shared" si="38"/>
        <v>4.0030000000000001</v>
      </c>
    </row>
    <row r="796" spans="1:47" x14ac:dyDescent="0.3">
      <c r="A796">
        <v>794</v>
      </c>
      <c r="B796" t="s">
        <v>3424</v>
      </c>
      <c r="C796" t="s">
        <v>3425</v>
      </c>
      <c r="D796">
        <v>150</v>
      </c>
      <c r="E796" t="s">
        <v>3401</v>
      </c>
      <c r="F796" t="str">
        <f>VLOOKUP(E796,country_continent!A:C,2,FALSE)</f>
        <v>Paraguay</v>
      </c>
      <c r="G796" t="str">
        <f>VLOOKUP(E796,country_continent!A:C,3,FALSE)</f>
        <v>South America</v>
      </c>
      <c r="H796" t="s">
        <v>660</v>
      </c>
      <c r="I796" t="s">
        <v>3422</v>
      </c>
      <c r="J796" s="3" t="str">
        <f t="shared" si="36"/>
        <v>1890/11/25</v>
      </c>
      <c r="K796" t="s">
        <v>3426</v>
      </c>
      <c r="L796" s="3" t="str">
        <f t="shared" si="37"/>
        <v>1894/06/09</v>
      </c>
      <c r="M796" t="s">
        <v>49</v>
      </c>
      <c r="N796" t="s">
        <v>67</v>
      </c>
      <c r="O796" t="s">
        <v>347</v>
      </c>
      <c r="P796">
        <v>0</v>
      </c>
      <c r="Q796" t="s">
        <v>362</v>
      </c>
      <c r="R796" t="s">
        <v>51</v>
      </c>
      <c r="S796">
        <v>1851</v>
      </c>
      <c r="T796">
        <v>1912</v>
      </c>
      <c r="Y796" t="s">
        <v>3427</v>
      </c>
      <c r="Z796">
        <v>0</v>
      </c>
      <c r="AA796">
        <v>3</v>
      </c>
      <c r="AB796">
        <v>-999</v>
      </c>
      <c r="AC796">
        <v>1</v>
      </c>
      <c r="AF796">
        <v>1890</v>
      </c>
      <c r="AG796">
        <v>1894</v>
      </c>
      <c r="AO796" t="b">
        <v>0</v>
      </c>
      <c r="AT796">
        <v>1292</v>
      </c>
      <c r="AU796">
        <f t="shared" si="38"/>
        <v>3.54</v>
      </c>
    </row>
    <row r="797" spans="1:47" x14ac:dyDescent="0.3">
      <c r="A797">
        <v>795</v>
      </c>
      <c r="B797" t="s">
        <v>3428</v>
      </c>
      <c r="C797" t="s">
        <v>3429</v>
      </c>
      <c r="D797">
        <v>150</v>
      </c>
      <c r="E797" t="s">
        <v>3401</v>
      </c>
      <c r="F797" t="str">
        <f>VLOOKUP(E797,country_continent!A:C,2,FALSE)</f>
        <v>Paraguay</v>
      </c>
      <c r="G797" t="str">
        <f>VLOOKUP(E797,country_continent!A:C,3,FALSE)</f>
        <v>South America</v>
      </c>
      <c r="H797" t="s">
        <v>3430</v>
      </c>
      <c r="I797" t="s">
        <v>3426</v>
      </c>
      <c r="J797" s="3" t="str">
        <f t="shared" si="36"/>
        <v>1894/06/09</v>
      </c>
      <c r="K797" t="s">
        <v>3431</v>
      </c>
      <c r="L797" s="3" t="str">
        <f t="shared" si="37"/>
        <v>1894/11/25</v>
      </c>
      <c r="M797" t="s">
        <v>67</v>
      </c>
      <c r="N797" t="s">
        <v>49</v>
      </c>
      <c r="O797" t="s">
        <v>49</v>
      </c>
      <c r="P797">
        <v>0</v>
      </c>
      <c r="Q797" t="s">
        <v>1453</v>
      </c>
      <c r="R797" t="s">
        <v>51</v>
      </c>
      <c r="S797">
        <v>1848</v>
      </c>
      <c r="T797">
        <v>1901</v>
      </c>
      <c r="Z797">
        <v>1</v>
      </c>
      <c r="AA797">
        <v>1</v>
      </c>
      <c r="AB797">
        <v>0</v>
      </c>
      <c r="AC797">
        <v>-666</v>
      </c>
      <c r="AF797">
        <v>1894</v>
      </c>
      <c r="AG797">
        <v>1894</v>
      </c>
      <c r="AO797" t="b">
        <v>0</v>
      </c>
      <c r="AT797">
        <v>169</v>
      </c>
      <c r="AU797">
        <f t="shared" si="38"/>
        <v>0.46300000000000002</v>
      </c>
    </row>
    <row r="798" spans="1:47" x14ac:dyDescent="0.3">
      <c r="A798">
        <v>796</v>
      </c>
      <c r="B798" t="s">
        <v>3432</v>
      </c>
      <c r="C798" t="s">
        <v>3433</v>
      </c>
      <c r="D798">
        <v>150</v>
      </c>
      <c r="E798" t="s">
        <v>3401</v>
      </c>
      <c r="F798" t="str">
        <f>VLOOKUP(E798,country_continent!A:C,2,FALSE)</f>
        <v>Paraguay</v>
      </c>
      <c r="G798" t="str">
        <f>VLOOKUP(E798,country_continent!A:C,3,FALSE)</f>
        <v>South America</v>
      </c>
      <c r="H798" t="s">
        <v>3434</v>
      </c>
      <c r="I798" t="s">
        <v>3431</v>
      </c>
      <c r="J798" s="3" t="str">
        <f t="shared" si="36"/>
        <v>1894/11/25</v>
      </c>
      <c r="K798" t="s">
        <v>3435</v>
      </c>
      <c r="L798" s="3" t="str">
        <f t="shared" si="37"/>
        <v>1898/11/25</v>
      </c>
      <c r="M798" t="s">
        <v>49</v>
      </c>
      <c r="N798" t="s">
        <v>49</v>
      </c>
      <c r="O798" t="s">
        <v>49</v>
      </c>
      <c r="P798">
        <v>0</v>
      </c>
      <c r="Q798" t="s">
        <v>1453</v>
      </c>
      <c r="R798" t="s">
        <v>51</v>
      </c>
      <c r="S798">
        <v>1845</v>
      </c>
      <c r="T798">
        <v>1902</v>
      </c>
      <c r="Y798" t="s">
        <v>3436</v>
      </c>
      <c r="Z798">
        <v>0</v>
      </c>
      <c r="AA798">
        <v>1</v>
      </c>
      <c r="AB798">
        <v>0</v>
      </c>
      <c r="AC798">
        <v>-666</v>
      </c>
      <c r="AF798">
        <v>1894</v>
      </c>
      <c r="AG798">
        <v>1898</v>
      </c>
      <c r="AO798" t="b">
        <v>0</v>
      </c>
      <c r="AT798">
        <v>1461</v>
      </c>
      <c r="AU798">
        <f t="shared" si="38"/>
        <v>4.0030000000000001</v>
      </c>
    </row>
    <row r="799" spans="1:47" x14ac:dyDescent="0.3">
      <c r="A799">
        <v>797</v>
      </c>
      <c r="B799" t="s">
        <v>3437</v>
      </c>
      <c r="C799" t="s">
        <v>3438</v>
      </c>
      <c r="D799">
        <v>150</v>
      </c>
      <c r="E799" t="s">
        <v>3401</v>
      </c>
      <c r="F799" t="str">
        <f>VLOOKUP(E799,country_continent!A:C,2,FALSE)</f>
        <v>Paraguay</v>
      </c>
      <c r="G799" t="str">
        <f>VLOOKUP(E799,country_continent!A:C,3,FALSE)</f>
        <v>South America</v>
      </c>
      <c r="H799" t="s">
        <v>3439</v>
      </c>
      <c r="I799" t="s">
        <v>3435</v>
      </c>
      <c r="J799" s="3" t="str">
        <f t="shared" si="36"/>
        <v>1898/11/25</v>
      </c>
      <c r="K799" s="1">
        <v>740</v>
      </c>
      <c r="L799" s="3">
        <f t="shared" si="37"/>
        <v>740</v>
      </c>
      <c r="M799" t="s">
        <v>49</v>
      </c>
      <c r="N799" t="s">
        <v>67</v>
      </c>
      <c r="O799" t="s">
        <v>347</v>
      </c>
      <c r="P799">
        <v>0</v>
      </c>
      <c r="Q799" t="s">
        <v>463</v>
      </c>
      <c r="R799" t="s">
        <v>51</v>
      </c>
      <c r="S799">
        <v>1854</v>
      </c>
      <c r="T799">
        <v>1931</v>
      </c>
      <c r="Z799">
        <v>0</v>
      </c>
      <c r="AA799">
        <v>3</v>
      </c>
      <c r="AB799">
        <v>-999</v>
      </c>
      <c r="AC799">
        <v>2</v>
      </c>
      <c r="AF799">
        <v>1898</v>
      </c>
      <c r="AG799">
        <v>1902</v>
      </c>
      <c r="AO799" t="b">
        <v>0</v>
      </c>
      <c r="AT799">
        <v>1140</v>
      </c>
      <c r="AU799">
        <f t="shared" si="38"/>
        <v>3.1230000000000002</v>
      </c>
    </row>
    <row r="800" spans="1:47" x14ac:dyDescent="0.3">
      <c r="A800">
        <v>798</v>
      </c>
      <c r="B800" t="s">
        <v>3440</v>
      </c>
      <c r="C800" t="s">
        <v>3441</v>
      </c>
      <c r="D800">
        <v>150</v>
      </c>
      <c r="E800" t="s">
        <v>3401</v>
      </c>
      <c r="F800" t="str">
        <f>VLOOKUP(E800,country_continent!A:C,2,FALSE)</f>
        <v>Paraguay</v>
      </c>
      <c r="G800" t="str">
        <f>VLOOKUP(E800,country_continent!A:C,3,FALSE)</f>
        <v>South America</v>
      </c>
      <c r="H800" t="s">
        <v>3442</v>
      </c>
      <c r="I800" s="1">
        <v>740</v>
      </c>
      <c r="J800" s="3">
        <f t="shared" si="36"/>
        <v>740</v>
      </c>
      <c r="K800" s="1">
        <v>968</v>
      </c>
      <c r="L800" s="3">
        <f t="shared" si="37"/>
        <v>968</v>
      </c>
      <c r="M800" t="s">
        <v>49</v>
      </c>
      <c r="N800" t="s">
        <v>49</v>
      </c>
      <c r="O800" t="s">
        <v>49</v>
      </c>
      <c r="P800">
        <v>0</v>
      </c>
      <c r="Q800" t="s">
        <v>1453</v>
      </c>
      <c r="R800" t="s">
        <v>51</v>
      </c>
      <c r="S800">
        <v>1862</v>
      </c>
      <c r="T800">
        <v>1934</v>
      </c>
      <c r="Z800">
        <v>0</v>
      </c>
      <c r="AA800">
        <v>1</v>
      </c>
      <c r="AB800">
        <v>0</v>
      </c>
      <c r="AC800">
        <v>-666</v>
      </c>
      <c r="AF800">
        <v>1902</v>
      </c>
      <c r="AG800">
        <v>1902</v>
      </c>
      <c r="AO800" t="b">
        <v>0</v>
      </c>
      <c r="AT800">
        <v>228</v>
      </c>
      <c r="AU800">
        <f t="shared" si="38"/>
        <v>0.625</v>
      </c>
    </row>
    <row r="801" spans="1:47" x14ac:dyDescent="0.3">
      <c r="A801">
        <v>799</v>
      </c>
      <c r="B801" t="s">
        <v>3443</v>
      </c>
      <c r="C801" t="s">
        <v>3444</v>
      </c>
      <c r="D801">
        <v>150</v>
      </c>
      <c r="E801" t="s">
        <v>3401</v>
      </c>
      <c r="F801" t="str">
        <f>VLOOKUP(E801,country_continent!A:C,2,FALSE)</f>
        <v>Paraguay</v>
      </c>
      <c r="G801" t="str">
        <f>VLOOKUP(E801,country_continent!A:C,3,FALSE)</f>
        <v>South America</v>
      </c>
      <c r="H801" t="s">
        <v>3445</v>
      </c>
      <c r="I801" s="1">
        <v>968</v>
      </c>
      <c r="J801" s="3">
        <f t="shared" si="36"/>
        <v>968</v>
      </c>
      <c r="K801" s="1">
        <v>1815</v>
      </c>
      <c r="L801" s="3">
        <f t="shared" si="37"/>
        <v>1815</v>
      </c>
      <c r="M801" t="s">
        <v>49</v>
      </c>
      <c r="N801" t="s">
        <v>67</v>
      </c>
      <c r="O801" t="s">
        <v>347</v>
      </c>
      <c r="P801">
        <v>0</v>
      </c>
      <c r="Q801" t="s">
        <v>362</v>
      </c>
      <c r="R801" t="s">
        <v>51</v>
      </c>
      <c r="S801">
        <v>1859</v>
      </c>
      <c r="T801">
        <v>1929</v>
      </c>
      <c r="Z801">
        <v>0</v>
      </c>
      <c r="AA801">
        <v>3</v>
      </c>
      <c r="AB801">
        <v>-999</v>
      </c>
      <c r="AC801">
        <v>1</v>
      </c>
      <c r="AD801" t="s">
        <v>3446</v>
      </c>
      <c r="AE801">
        <v>0</v>
      </c>
      <c r="AF801">
        <v>1902</v>
      </c>
      <c r="AG801">
        <v>1904</v>
      </c>
      <c r="AO801" t="b">
        <v>0</v>
      </c>
      <c r="AT801">
        <v>847</v>
      </c>
      <c r="AU801">
        <f t="shared" si="38"/>
        <v>2.3210000000000002</v>
      </c>
    </row>
    <row r="802" spans="1:47" x14ac:dyDescent="0.3">
      <c r="A802">
        <v>800</v>
      </c>
      <c r="B802" t="s">
        <v>3447</v>
      </c>
      <c r="C802" t="s">
        <v>3448</v>
      </c>
      <c r="D802">
        <v>150</v>
      </c>
      <c r="E802" t="s">
        <v>3401</v>
      </c>
      <c r="F802" t="str">
        <f>VLOOKUP(E802,country_continent!A:C,2,FALSE)</f>
        <v>Paraguay</v>
      </c>
      <c r="G802" t="str">
        <f>VLOOKUP(E802,country_continent!A:C,3,FALSE)</f>
        <v>South America</v>
      </c>
      <c r="H802" t="s">
        <v>3449</v>
      </c>
      <c r="I802" s="1">
        <v>1815</v>
      </c>
      <c r="J802" s="3">
        <f t="shared" si="36"/>
        <v>1815</v>
      </c>
      <c r="K802" s="1">
        <v>2169</v>
      </c>
      <c r="L802" s="3">
        <f t="shared" si="37"/>
        <v>2169</v>
      </c>
      <c r="M802" t="s">
        <v>67</v>
      </c>
      <c r="N802" t="s">
        <v>67</v>
      </c>
      <c r="O802" t="s">
        <v>347</v>
      </c>
      <c r="P802">
        <v>0</v>
      </c>
      <c r="Q802" t="s">
        <v>1453</v>
      </c>
      <c r="R802" t="s">
        <v>51</v>
      </c>
      <c r="S802">
        <v>1846</v>
      </c>
      <c r="T802">
        <v>1932</v>
      </c>
      <c r="Z802">
        <v>1</v>
      </c>
      <c r="AA802">
        <v>3</v>
      </c>
      <c r="AB802">
        <v>-999</v>
      </c>
      <c r="AC802">
        <v>-666</v>
      </c>
      <c r="AF802">
        <v>1904</v>
      </c>
      <c r="AG802">
        <v>1905</v>
      </c>
      <c r="AO802" t="b">
        <v>0</v>
      </c>
      <c r="AT802">
        <v>354</v>
      </c>
      <c r="AU802">
        <f t="shared" si="38"/>
        <v>0.97</v>
      </c>
    </row>
    <row r="803" spans="1:47" x14ac:dyDescent="0.3">
      <c r="A803">
        <v>801</v>
      </c>
      <c r="B803" t="s">
        <v>3450</v>
      </c>
      <c r="C803" t="s">
        <v>3451</v>
      </c>
      <c r="D803">
        <v>150</v>
      </c>
      <c r="E803" t="s">
        <v>3401</v>
      </c>
      <c r="F803" t="str">
        <f>VLOOKUP(E803,country_continent!A:C,2,FALSE)</f>
        <v>Paraguay</v>
      </c>
      <c r="G803" t="str">
        <f>VLOOKUP(E803,country_continent!A:C,3,FALSE)</f>
        <v>South America</v>
      </c>
      <c r="H803" t="s">
        <v>3452</v>
      </c>
      <c r="I803" s="1">
        <v>2169</v>
      </c>
      <c r="J803" s="3">
        <f t="shared" si="36"/>
        <v>2169</v>
      </c>
      <c r="K803" s="1">
        <v>2521</v>
      </c>
      <c r="L803" s="3">
        <f t="shared" si="37"/>
        <v>2521</v>
      </c>
      <c r="M803" t="s">
        <v>67</v>
      </c>
      <c r="N803" t="s">
        <v>49</v>
      </c>
      <c r="O803" t="s">
        <v>49</v>
      </c>
      <c r="P803">
        <v>0</v>
      </c>
      <c r="Q803" t="s">
        <v>50</v>
      </c>
      <c r="R803" t="s">
        <v>51</v>
      </c>
      <c r="S803">
        <v>1862</v>
      </c>
      <c r="T803">
        <v>1941</v>
      </c>
      <c r="U803" t="s">
        <v>3453</v>
      </c>
      <c r="V803" t="s">
        <v>3454</v>
      </c>
      <c r="Z803">
        <v>1</v>
      </c>
      <c r="AA803">
        <v>1</v>
      </c>
      <c r="AB803">
        <v>0</v>
      </c>
      <c r="AC803">
        <v>0</v>
      </c>
      <c r="AF803">
        <v>1905</v>
      </c>
      <c r="AG803">
        <v>1906</v>
      </c>
      <c r="AO803" t="b">
        <v>0</v>
      </c>
      <c r="AT803">
        <v>352</v>
      </c>
      <c r="AU803">
        <f t="shared" si="38"/>
        <v>0.96399999999999997</v>
      </c>
    </row>
    <row r="804" spans="1:47" x14ac:dyDescent="0.3">
      <c r="A804">
        <v>802</v>
      </c>
      <c r="B804" t="s">
        <v>3455</v>
      </c>
      <c r="C804" t="s">
        <v>3456</v>
      </c>
      <c r="D804">
        <v>150</v>
      </c>
      <c r="E804" t="s">
        <v>3401</v>
      </c>
      <c r="F804" t="str">
        <f>VLOOKUP(E804,country_continent!A:C,2,FALSE)</f>
        <v>Paraguay</v>
      </c>
      <c r="G804" t="str">
        <f>VLOOKUP(E804,country_continent!A:C,3,FALSE)</f>
        <v>South America</v>
      </c>
      <c r="H804" t="s">
        <v>3457</v>
      </c>
      <c r="I804" s="1">
        <v>2521</v>
      </c>
      <c r="J804" s="3">
        <f t="shared" si="36"/>
        <v>2521</v>
      </c>
      <c r="K804" s="1">
        <v>3108</v>
      </c>
      <c r="L804" s="3">
        <f t="shared" si="37"/>
        <v>3108</v>
      </c>
      <c r="M804" t="s">
        <v>67</v>
      </c>
      <c r="N804" t="s">
        <v>67</v>
      </c>
      <c r="O804" t="s">
        <v>347</v>
      </c>
      <c r="P804">
        <v>0</v>
      </c>
      <c r="Q804" t="s">
        <v>362</v>
      </c>
      <c r="R804" t="s">
        <v>51</v>
      </c>
      <c r="S804">
        <v>1840</v>
      </c>
      <c r="T804">
        <v>1920</v>
      </c>
      <c r="U804" t="s">
        <v>3458</v>
      </c>
      <c r="V804" t="s">
        <v>3459</v>
      </c>
      <c r="Z804">
        <v>1</v>
      </c>
      <c r="AA804">
        <v>3</v>
      </c>
      <c r="AB804">
        <v>-999</v>
      </c>
      <c r="AC804">
        <v>1</v>
      </c>
      <c r="AF804">
        <v>1906</v>
      </c>
      <c r="AG804">
        <v>1908</v>
      </c>
      <c r="AO804" t="b">
        <v>0</v>
      </c>
      <c r="AT804">
        <v>587</v>
      </c>
      <c r="AU804">
        <f t="shared" si="38"/>
        <v>1.6080000000000001</v>
      </c>
    </row>
    <row r="805" spans="1:47" x14ac:dyDescent="0.3">
      <c r="A805">
        <v>803</v>
      </c>
      <c r="B805" t="s">
        <v>3460</v>
      </c>
      <c r="C805" t="s">
        <v>3461</v>
      </c>
      <c r="D805">
        <v>150</v>
      </c>
      <c r="E805" t="s">
        <v>3401</v>
      </c>
      <c r="F805" t="str">
        <f>VLOOKUP(E805,country_continent!A:C,2,FALSE)</f>
        <v>Paraguay</v>
      </c>
      <c r="G805" t="str">
        <f>VLOOKUP(E805,country_continent!A:C,3,FALSE)</f>
        <v>South America</v>
      </c>
      <c r="H805" t="s">
        <v>3462</v>
      </c>
      <c r="I805" s="1">
        <v>3109</v>
      </c>
      <c r="J805" s="3">
        <f t="shared" si="36"/>
        <v>3109</v>
      </c>
      <c r="K805" s="1">
        <v>3982</v>
      </c>
      <c r="L805" s="3">
        <f t="shared" si="37"/>
        <v>3982</v>
      </c>
      <c r="M805" t="s">
        <v>67</v>
      </c>
      <c r="N805" t="s">
        <v>49</v>
      </c>
      <c r="O805" t="s">
        <v>49</v>
      </c>
      <c r="P805">
        <v>0</v>
      </c>
      <c r="Q805" t="s">
        <v>50</v>
      </c>
      <c r="R805" t="s">
        <v>51</v>
      </c>
      <c r="S805">
        <v>1861</v>
      </c>
      <c r="T805">
        <v>1934</v>
      </c>
      <c r="Y805" t="s">
        <v>3463</v>
      </c>
      <c r="Z805">
        <v>1</v>
      </c>
      <c r="AA805">
        <v>1</v>
      </c>
      <c r="AB805">
        <v>0</v>
      </c>
      <c r="AC805">
        <v>0</v>
      </c>
      <c r="AF805">
        <v>1908</v>
      </c>
      <c r="AG805">
        <v>1910</v>
      </c>
      <c r="AO805" t="b">
        <v>0</v>
      </c>
      <c r="AT805">
        <v>873</v>
      </c>
      <c r="AU805">
        <f t="shared" si="38"/>
        <v>2.3919999999999999</v>
      </c>
    </row>
    <row r="806" spans="1:47" x14ac:dyDescent="0.3">
      <c r="A806">
        <v>804</v>
      </c>
      <c r="B806" t="s">
        <v>3464</v>
      </c>
      <c r="C806" t="s">
        <v>3465</v>
      </c>
      <c r="D806">
        <v>150</v>
      </c>
      <c r="E806" t="s">
        <v>3401</v>
      </c>
      <c r="F806" t="str">
        <f>VLOOKUP(E806,country_continent!A:C,2,FALSE)</f>
        <v>Paraguay</v>
      </c>
      <c r="G806" t="str">
        <f>VLOOKUP(E806,country_continent!A:C,3,FALSE)</f>
        <v>South America</v>
      </c>
      <c r="H806" t="s">
        <v>3466</v>
      </c>
      <c r="I806" s="1">
        <v>3982</v>
      </c>
      <c r="J806" s="3">
        <f t="shared" si="36"/>
        <v>3982</v>
      </c>
      <c r="K806" s="1">
        <v>4035</v>
      </c>
      <c r="L806" s="3">
        <f t="shared" si="37"/>
        <v>4035</v>
      </c>
      <c r="M806" t="s">
        <v>49</v>
      </c>
      <c r="N806" t="s">
        <v>67</v>
      </c>
      <c r="O806" t="s">
        <v>347</v>
      </c>
      <c r="P806">
        <v>0</v>
      </c>
      <c r="Q806" t="s">
        <v>50</v>
      </c>
      <c r="R806" t="s">
        <v>51</v>
      </c>
      <c r="S806">
        <v>1871</v>
      </c>
      <c r="T806">
        <v>1927</v>
      </c>
      <c r="U806" t="s">
        <v>3467</v>
      </c>
      <c r="V806" t="s">
        <v>3468</v>
      </c>
      <c r="Z806">
        <v>0</v>
      </c>
      <c r="AA806">
        <v>3</v>
      </c>
      <c r="AB806">
        <v>-999</v>
      </c>
      <c r="AC806">
        <v>0</v>
      </c>
      <c r="AF806">
        <v>1910</v>
      </c>
      <c r="AG806">
        <v>1911</v>
      </c>
      <c r="AO806" t="b">
        <v>0</v>
      </c>
      <c r="AT806">
        <v>53</v>
      </c>
      <c r="AU806">
        <f t="shared" si="38"/>
        <v>0.14499999999999999</v>
      </c>
    </row>
    <row r="807" spans="1:47" x14ac:dyDescent="0.3">
      <c r="A807">
        <v>805</v>
      </c>
      <c r="B807" t="s">
        <v>3469</v>
      </c>
      <c r="C807" t="s">
        <v>3470</v>
      </c>
      <c r="D807">
        <v>150</v>
      </c>
      <c r="E807" t="s">
        <v>3401</v>
      </c>
      <c r="F807" t="str">
        <f>VLOOKUP(E807,country_continent!A:C,2,FALSE)</f>
        <v>Paraguay</v>
      </c>
      <c r="G807" t="str">
        <f>VLOOKUP(E807,country_continent!A:C,3,FALSE)</f>
        <v>South America</v>
      </c>
      <c r="H807" t="s">
        <v>3471</v>
      </c>
      <c r="I807" s="1">
        <v>4037</v>
      </c>
      <c r="J807" s="3">
        <f t="shared" si="36"/>
        <v>4037</v>
      </c>
      <c r="K807" s="1">
        <v>4204</v>
      </c>
      <c r="L807" s="3">
        <f t="shared" si="37"/>
        <v>4204</v>
      </c>
      <c r="M807" t="s">
        <v>67</v>
      </c>
      <c r="N807" t="s">
        <v>67</v>
      </c>
      <c r="O807" t="s">
        <v>347</v>
      </c>
      <c r="P807">
        <v>0</v>
      </c>
      <c r="Q807" t="s">
        <v>69</v>
      </c>
      <c r="R807" t="s">
        <v>51</v>
      </c>
      <c r="S807">
        <v>1877</v>
      </c>
      <c r="T807">
        <v>1912</v>
      </c>
      <c r="Z807">
        <v>1</v>
      </c>
      <c r="AA807">
        <v>3</v>
      </c>
      <c r="AB807">
        <v>-999</v>
      </c>
      <c r="AC807">
        <v>3</v>
      </c>
      <c r="AF807">
        <v>1911</v>
      </c>
      <c r="AG807">
        <v>1911</v>
      </c>
      <c r="AO807" t="b">
        <v>0</v>
      </c>
      <c r="AT807">
        <v>167</v>
      </c>
      <c r="AU807">
        <f t="shared" si="38"/>
        <v>0.45800000000000002</v>
      </c>
    </row>
    <row r="808" spans="1:47" x14ac:dyDescent="0.3">
      <c r="A808">
        <v>806</v>
      </c>
      <c r="B808" t="s">
        <v>3472</v>
      </c>
      <c r="C808" t="s">
        <v>3473</v>
      </c>
      <c r="D808">
        <v>150</v>
      </c>
      <c r="E808" t="s">
        <v>3401</v>
      </c>
      <c r="F808" t="str">
        <f>VLOOKUP(E808,country_continent!A:C,2,FALSE)</f>
        <v>Paraguay</v>
      </c>
      <c r="G808" t="str">
        <f>VLOOKUP(E808,country_continent!A:C,3,FALSE)</f>
        <v>South America</v>
      </c>
      <c r="H808" t="s">
        <v>3474</v>
      </c>
      <c r="I808" s="1">
        <v>4204</v>
      </c>
      <c r="J808" s="3">
        <f t="shared" si="36"/>
        <v>4204</v>
      </c>
      <c r="K808" s="1">
        <v>4444</v>
      </c>
      <c r="L808" s="3">
        <f t="shared" si="37"/>
        <v>4444</v>
      </c>
      <c r="M808" t="s">
        <v>49</v>
      </c>
      <c r="N808" t="s">
        <v>67</v>
      </c>
      <c r="O808" t="s">
        <v>347</v>
      </c>
      <c r="P808">
        <v>0</v>
      </c>
      <c r="Q808" t="s">
        <v>362</v>
      </c>
      <c r="R808" t="s">
        <v>51</v>
      </c>
      <c r="S808">
        <v>1870</v>
      </c>
      <c r="T808">
        <v>1922</v>
      </c>
      <c r="Z808">
        <v>0</v>
      </c>
      <c r="AA808">
        <v>3</v>
      </c>
      <c r="AB808">
        <v>-999</v>
      </c>
      <c r="AC808">
        <v>1</v>
      </c>
      <c r="AF808">
        <v>1911</v>
      </c>
      <c r="AG808">
        <v>1912</v>
      </c>
      <c r="AO808" t="b">
        <v>0</v>
      </c>
      <c r="AT808">
        <v>240</v>
      </c>
      <c r="AU808">
        <f t="shared" si="38"/>
        <v>0.65800000000000003</v>
      </c>
    </row>
    <row r="809" spans="1:47" x14ac:dyDescent="0.3">
      <c r="A809">
        <v>807</v>
      </c>
      <c r="B809" t="s">
        <v>3475</v>
      </c>
      <c r="C809" t="s">
        <v>3476</v>
      </c>
      <c r="D809">
        <v>150</v>
      </c>
      <c r="E809" t="s">
        <v>3401</v>
      </c>
      <c r="F809" t="str">
        <f>VLOOKUP(E809,country_continent!A:C,2,FALSE)</f>
        <v>Paraguay</v>
      </c>
      <c r="G809" t="str">
        <f>VLOOKUP(E809,country_continent!A:C,3,FALSE)</f>
        <v>South America</v>
      </c>
      <c r="H809" t="s">
        <v>3477</v>
      </c>
      <c r="I809" s="1">
        <v>4444</v>
      </c>
      <c r="J809" s="3">
        <f t="shared" si="36"/>
        <v>4444</v>
      </c>
      <c r="K809" s="1">
        <v>4468</v>
      </c>
      <c r="L809" s="3">
        <f t="shared" si="37"/>
        <v>4468</v>
      </c>
      <c r="M809" t="s">
        <v>67</v>
      </c>
      <c r="N809" t="s">
        <v>67</v>
      </c>
      <c r="O809" t="s">
        <v>347</v>
      </c>
      <c r="P809">
        <v>0</v>
      </c>
      <c r="Q809" t="s">
        <v>362</v>
      </c>
      <c r="R809" t="s">
        <v>51</v>
      </c>
      <c r="S809">
        <v>1864</v>
      </c>
      <c r="T809">
        <v>1943</v>
      </c>
      <c r="Z809">
        <v>1</v>
      </c>
      <c r="AA809">
        <v>3</v>
      </c>
      <c r="AB809">
        <v>-999</v>
      </c>
      <c r="AC809">
        <v>1</v>
      </c>
      <c r="AF809">
        <v>1912</v>
      </c>
      <c r="AG809">
        <v>1912</v>
      </c>
      <c r="AO809" t="b">
        <v>0</v>
      </c>
      <c r="AT809">
        <v>24</v>
      </c>
      <c r="AU809">
        <f t="shared" si="38"/>
        <v>6.6000000000000003E-2</v>
      </c>
    </row>
    <row r="810" spans="1:47" x14ac:dyDescent="0.3">
      <c r="A810">
        <v>808</v>
      </c>
      <c r="B810" t="s">
        <v>3478</v>
      </c>
      <c r="C810" t="s">
        <v>3461</v>
      </c>
      <c r="D810">
        <v>150</v>
      </c>
      <c r="E810" t="s">
        <v>3401</v>
      </c>
      <c r="F810" t="str">
        <f>VLOOKUP(E810,country_continent!A:C,2,FALSE)</f>
        <v>Paraguay</v>
      </c>
      <c r="G810" t="str">
        <f>VLOOKUP(E810,country_continent!A:C,3,FALSE)</f>
        <v>South America</v>
      </c>
      <c r="H810" t="s">
        <v>3462</v>
      </c>
      <c r="I810" s="1">
        <v>4468</v>
      </c>
      <c r="J810" s="3">
        <f t="shared" si="36"/>
        <v>4468</v>
      </c>
      <c r="K810" s="1">
        <v>4596</v>
      </c>
      <c r="L810" s="3">
        <f t="shared" si="37"/>
        <v>4596</v>
      </c>
      <c r="M810" t="s">
        <v>67</v>
      </c>
      <c r="N810" t="s">
        <v>49</v>
      </c>
      <c r="O810" t="s">
        <v>49</v>
      </c>
      <c r="P810">
        <v>1</v>
      </c>
      <c r="Q810" t="s">
        <v>50</v>
      </c>
      <c r="R810" t="s">
        <v>51</v>
      </c>
      <c r="S810">
        <v>1861</v>
      </c>
      <c r="T810">
        <v>1934</v>
      </c>
      <c r="Y810" t="s">
        <v>3463</v>
      </c>
      <c r="Z810">
        <v>1</v>
      </c>
      <c r="AA810">
        <v>1</v>
      </c>
      <c r="AB810">
        <v>0</v>
      </c>
      <c r="AC810">
        <v>0</v>
      </c>
      <c r="AF810">
        <v>1912</v>
      </c>
      <c r="AG810">
        <v>1912</v>
      </c>
      <c r="AO810" t="b">
        <v>0</v>
      </c>
      <c r="AT810">
        <v>128</v>
      </c>
      <c r="AU810">
        <f t="shared" si="38"/>
        <v>0.35099999999999998</v>
      </c>
    </row>
    <row r="811" spans="1:47" x14ac:dyDescent="0.3">
      <c r="A811">
        <v>809</v>
      </c>
      <c r="B811" t="s">
        <v>3479</v>
      </c>
      <c r="C811" t="s">
        <v>3480</v>
      </c>
      <c r="D811">
        <v>150</v>
      </c>
      <c r="E811" t="s">
        <v>3401</v>
      </c>
      <c r="F811" t="str">
        <f>VLOOKUP(E811,country_continent!A:C,2,FALSE)</f>
        <v>Paraguay</v>
      </c>
      <c r="G811" t="str">
        <f>VLOOKUP(E811,country_continent!A:C,3,FALSE)</f>
        <v>South America</v>
      </c>
      <c r="H811" t="s">
        <v>3481</v>
      </c>
      <c r="I811" s="1">
        <v>4611</v>
      </c>
      <c r="J811" s="3">
        <f t="shared" si="36"/>
        <v>4611</v>
      </c>
      <c r="K811" s="1">
        <v>6072</v>
      </c>
      <c r="L811" s="3">
        <f t="shared" si="37"/>
        <v>6072</v>
      </c>
      <c r="M811" t="s">
        <v>49</v>
      </c>
      <c r="N811" t="s">
        <v>49</v>
      </c>
      <c r="O811" t="s">
        <v>49</v>
      </c>
      <c r="P811">
        <v>0</v>
      </c>
      <c r="Q811" t="s">
        <v>50</v>
      </c>
      <c r="R811" t="s">
        <v>51</v>
      </c>
      <c r="S811">
        <v>1873</v>
      </c>
      <c r="T811">
        <v>1941</v>
      </c>
      <c r="U811" t="s">
        <v>3482</v>
      </c>
      <c r="V811" t="s">
        <v>3483</v>
      </c>
      <c r="Y811" t="s">
        <v>3484</v>
      </c>
      <c r="Z811">
        <v>0</v>
      </c>
      <c r="AA811">
        <v>1</v>
      </c>
      <c r="AB811">
        <v>0</v>
      </c>
      <c r="AC811">
        <v>0</v>
      </c>
      <c r="AF811">
        <v>1912</v>
      </c>
      <c r="AG811">
        <v>1916</v>
      </c>
      <c r="AO811" t="b">
        <v>0</v>
      </c>
      <c r="AT811">
        <v>1461</v>
      </c>
      <c r="AU811">
        <f t="shared" si="38"/>
        <v>4.0030000000000001</v>
      </c>
    </row>
    <row r="812" spans="1:47" x14ac:dyDescent="0.3">
      <c r="A812">
        <v>810</v>
      </c>
      <c r="B812" t="s">
        <v>3485</v>
      </c>
      <c r="C812" t="s">
        <v>3486</v>
      </c>
      <c r="D812">
        <v>150</v>
      </c>
      <c r="E812" t="s">
        <v>3401</v>
      </c>
      <c r="F812" t="str">
        <f>VLOOKUP(E812,country_continent!A:C,2,FALSE)</f>
        <v>Paraguay</v>
      </c>
      <c r="G812" t="str">
        <f>VLOOKUP(E812,country_continent!A:C,3,FALSE)</f>
        <v>South America</v>
      </c>
      <c r="H812" t="s">
        <v>3487</v>
      </c>
      <c r="I812" s="1">
        <v>6072</v>
      </c>
      <c r="J812" s="3">
        <f t="shared" si="36"/>
        <v>6072</v>
      </c>
      <c r="K812" s="1">
        <v>7096</v>
      </c>
      <c r="L812" s="3">
        <f t="shared" si="37"/>
        <v>7096</v>
      </c>
      <c r="M812" t="s">
        <v>49</v>
      </c>
      <c r="N812" t="s">
        <v>110</v>
      </c>
      <c r="O812" t="s">
        <v>49</v>
      </c>
      <c r="P812">
        <v>0</v>
      </c>
      <c r="Q812" t="s">
        <v>111</v>
      </c>
      <c r="R812" t="s">
        <v>51</v>
      </c>
      <c r="S812">
        <v>1871</v>
      </c>
      <c r="T812">
        <v>1919</v>
      </c>
      <c r="W812" s="1">
        <v>7096</v>
      </c>
      <c r="X812" s="2">
        <v>7096</v>
      </c>
      <c r="Z812">
        <v>0</v>
      </c>
      <c r="AA812">
        <v>2</v>
      </c>
      <c r="AB812">
        <v>0</v>
      </c>
      <c r="AC812">
        <v>-777</v>
      </c>
      <c r="AF812">
        <v>1916</v>
      </c>
      <c r="AG812">
        <v>1919</v>
      </c>
      <c r="AO812" t="b">
        <v>0</v>
      </c>
      <c r="AT812">
        <v>1024</v>
      </c>
      <c r="AU812">
        <f t="shared" si="38"/>
        <v>2.8050000000000002</v>
      </c>
    </row>
    <row r="813" spans="1:47" x14ac:dyDescent="0.3">
      <c r="A813">
        <v>811</v>
      </c>
      <c r="B813" t="s">
        <v>3488</v>
      </c>
      <c r="C813" t="s">
        <v>3489</v>
      </c>
      <c r="D813">
        <v>150</v>
      </c>
      <c r="E813" t="s">
        <v>3401</v>
      </c>
      <c r="F813" t="str">
        <f>VLOOKUP(E813,country_continent!A:C,2,FALSE)</f>
        <v>Paraguay</v>
      </c>
      <c r="G813" t="str">
        <f>VLOOKUP(E813,country_continent!A:C,3,FALSE)</f>
        <v>South America</v>
      </c>
      <c r="H813" t="s">
        <v>3490</v>
      </c>
      <c r="I813" s="1">
        <v>7096</v>
      </c>
      <c r="J813" s="3">
        <f t="shared" si="36"/>
        <v>7096</v>
      </c>
      <c r="K813" s="1">
        <v>7533</v>
      </c>
      <c r="L813" s="3">
        <f t="shared" si="37"/>
        <v>7533</v>
      </c>
      <c r="M813" t="s">
        <v>49</v>
      </c>
      <c r="N813" t="s">
        <v>49</v>
      </c>
      <c r="O813" t="s">
        <v>49</v>
      </c>
      <c r="P813">
        <v>0</v>
      </c>
      <c r="Q813" t="s">
        <v>1453</v>
      </c>
      <c r="R813" t="s">
        <v>51</v>
      </c>
      <c r="S813">
        <v>1879</v>
      </c>
      <c r="T813">
        <v>1927</v>
      </c>
      <c r="U813" t="s">
        <v>3491</v>
      </c>
      <c r="V813" t="s">
        <v>3492</v>
      </c>
      <c r="Y813" t="s">
        <v>3493</v>
      </c>
      <c r="Z813">
        <v>0</v>
      </c>
      <c r="AA813">
        <v>1</v>
      </c>
      <c r="AB813">
        <v>0</v>
      </c>
      <c r="AC813">
        <v>-666</v>
      </c>
      <c r="AF813">
        <v>1919</v>
      </c>
      <c r="AG813">
        <v>1920</v>
      </c>
      <c r="AO813" t="b">
        <v>0</v>
      </c>
      <c r="AT813">
        <v>437</v>
      </c>
      <c r="AU813">
        <f t="shared" si="38"/>
        <v>1.1970000000000001</v>
      </c>
    </row>
    <row r="814" spans="1:47" x14ac:dyDescent="0.3">
      <c r="A814">
        <v>812</v>
      </c>
      <c r="B814" t="s">
        <v>3494</v>
      </c>
      <c r="C814" t="s">
        <v>3465</v>
      </c>
      <c r="D814">
        <v>150</v>
      </c>
      <c r="E814" t="s">
        <v>3401</v>
      </c>
      <c r="F814" t="str">
        <f>VLOOKUP(E814,country_continent!A:C,2,FALSE)</f>
        <v>Paraguay</v>
      </c>
      <c r="G814" t="str">
        <f>VLOOKUP(E814,country_continent!A:C,3,FALSE)</f>
        <v>South America</v>
      </c>
      <c r="H814" t="s">
        <v>3466</v>
      </c>
      <c r="I814" s="1">
        <v>7533</v>
      </c>
      <c r="J814" s="3">
        <f t="shared" si="36"/>
        <v>7533</v>
      </c>
      <c r="K814" s="1">
        <v>7974</v>
      </c>
      <c r="L814" s="3">
        <f t="shared" si="37"/>
        <v>7974</v>
      </c>
      <c r="M814" t="s">
        <v>49</v>
      </c>
      <c r="N814" t="s">
        <v>67</v>
      </c>
      <c r="O814" t="s">
        <v>2001</v>
      </c>
      <c r="P814">
        <v>1</v>
      </c>
      <c r="Q814" t="s">
        <v>50</v>
      </c>
      <c r="R814" t="s">
        <v>51</v>
      </c>
      <c r="S814">
        <v>1871</v>
      </c>
      <c r="T814">
        <v>1927</v>
      </c>
      <c r="U814" t="s">
        <v>3467</v>
      </c>
      <c r="V814" t="s">
        <v>3468</v>
      </c>
      <c r="Z814">
        <v>0</v>
      </c>
      <c r="AA814">
        <v>3</v>
      </c>
      <c r="AB814">
        <v>8</v>
      </c>
      <c r="AC814">
        <v>0</v>
      </c>
      <c r="AF814">
        <v>1920</v>
      </c>
      <c r="AG814">
        <v>1921</v>
      </c>
      <c r="AO814" t="b">
        <v>0</v>
      </c>
      <c r="AT814">
        <v>441</v>
      </c>
      <c r="AU814">
        <f t="shared" si="38"/>
        <v>1.208</v>
      </c>
    </row>
    <row r="815" spans="1:47" x14ac:dyDescent="0.3">
      <c r="A815">
        <v>813</v>
      </c>
      <c r="B815" t="s">
        <v>3495</v>
      </c>
      <c r="C815" t="s">
        <v>3496</v>
      </c>
      <c r="D815">
        <v>150</v>
      </c>
      <c r="E815" t="s">
        <v>3401</v>
      </c>
      <c r="F815" t="str">
        <f>VLOOKUP(E815,country_continent!A:C,2,FALSE)</f>
        <v>Paraguay</v>
      </c>
      <c r="G815" t="str">
        <f>VLOOKUP(E815,country_continent!A:C,3,FALSE)</f>
        <v>South America</v>
      </c>
      <c r="H815" t="s">
        <v>3497</v>
      </c>
      <c r="I815" s="1">
        <v>7975</v>
      </c>
      <c r="J815" s="3">
        <f t="shared" si="36"/>
        <v>7975</v>
      </c>
      <c r="K815" s="1">
        <v>7978</v>
      </c>
      <c r="L815" s="3">
        <f t="shared" si="37"/>
        <v>7978</v>
      </c>
      <c r="M815" t="s">
        <v>49</v>
      </c>
      <c r="N815" t="s">
        <v>49</v>
      </c>
      <c r="O815" t="s">
        <v>49</v>
      </c>
      <c r="P815">
        <v>0</v>
      </c>
      <c r="Q815" t="s">
        <v>50</v>
      </c>
      <c r="R815" t="s">
        <v>51</v>
      </c>
      <c r="S815">
        <v>1877</v>
      </c>
      <c r="T815">
        <v>1965</v>
      </c>
      <c r="Y815" t="s">
        <v>3498</v>
      </c>
      <c r="Z815">
        <v>0</v>
      </c>
      <c r="AA815">
        <v>1</v>
      </c>
      <c r="AB815">
        <v>0</v>
      </c>
      <c r="AC815">
        <v>0</v>
      </c>
      <c r="AF815">
        <v>1921</v>
      </c>
      <c r="AG815">
        <v>1921</v>
      </c>
      <c r="AO815" t="b">
        <v>0</v>
      </c>
      <c r="AT815">
        <v>3</v>
      </c>
      <c r="AU815">
        <f t="shared" si="38"/>
        <v>8.0000000000000002E-3</v>
      </c>
    </row>
    <row r="816" spans="1:47" x14ac:dyDescent="0.3">
      <c r="A816">
        <v>814</v>
      </c>
      <c r="B816" t="s">
        <v>3499</v>
      </c>
      <c r="C816" t="s">
        <v>3500</v>
      </c>
      <c r="D816">
        <v>150</v>
      </c>
      <c r="E816" t="s">
        <v>3401</v>
      </c>
      <c r="F816" t="str">
        <f>VLOOKUP(E816,country_continent!A:C,2,FALSE)</f>
        <v>Paraguay</v>
      </c>
      <c r="G816" t="str">
        <f>VLOOKUP(E816,country_continent!A:C,3,FALSE)</f>
        <v>South America</v>
      </c>
      <c r="H816" t="s">
        <v>3501</v>
      </c>
      <c r="I816" s="1">
        <v>7978</v>
      </c>
      <c r="J816" s="3">
        <f t="shared" si="36"/>
        <v>7978</v>
      </c>
      <c r="K816" s="1">
        <v>8501</v>
      </c>
      <c r="L816" s="3">
        <f t="shared" si="37"/>
        <v>8501</v>
      </c>
      <c r="M816" t="s">
        <v>67</v>
      </c>
      <c r="N816" t="s">
        <v>49</v>
      </c>
      <c r="O816" t="s">
        <v>49</v>
      </c>
      <c r="P816">
        <v>0</v>
      </c>
      <c r="Q816" t="s">
        <v>50</v>
      </c>
      <c r="R816" t="s">
        <v>51</v>
      </c>
      <c r="S816">
        <v>1874</v>
      </c>
      <c r="T816">
        <v>1942</v>
      </c>
      <c r="U816" t="s">
        <v>3502</v>
      </c>
      <c r="V816" t="s">
        <v>3503</v>
      </c>
      <c r="Z816">
        <v>1</v>
      </c>
      <c r="AA816">
        <v>1</v>
      </c>
      <c r="AB816">
        <v>0</v>
      </c>
      <c r="AC816">
        <v>0</v>
      </c>
      <c r="AF816">
        <v>1921</v>
      </c>
      <c r="AG816">
        <v>1923</v>
      </c>
      <c r="AO816" t="b">
        <v>0</v>
      </c>
      <c r="AT816">
        <v>523</v>
      </c>
      <c r="AU816">
        <f t="shared" si="38"/>
        <v>1.4330000000000001</v>
      </c>
    </row>
    <row r="817" spans="1:47" x14ac:dyDescent="0.3">
      <c r="A817">
        <v>815</v>
      </c>
      <c r="B817" t="s">
        <v>3504</v>
      </c>
      <c r="C817" t="s">
        <v>3505</v>
      </c>
      <c r="D817">
        <v>150</v>
      </c>
      <c r="E817" t="s">
        <v>3401</v>
      </c>
      <c r="F817" t="str">
        <f>VLOOKUP(E817,country_continent!A:C,2,FALSE)</f>
        <v>Paraguay</v>
      </c>
      <c r="G817" t="str">
        <f>VLOOKUP(E817,country_continent!A:C,3,FALSE)</f>
        <v>South America</v>
      </c>
      <c r="H817" t="s">
        <v>3506</v>
      </c>
      <c r="I817" s="1">
        <v>8501</v>
      </c>
      <c r="J817" s="3">
        <f t="shared" si="36"/>
        <v>8501</v>
      </c>
      <c r="K817" s="1">
        <v>8869</v>
      </c>
      <c r="L817" s="3">
        <f t="shared" si="37"/>
        <v>8869</v>
      </c>
      <c r="M817" t="s">
        <v>49</v>
      </c>
      <c r="N817" t="s">
        <v>49</v>
      </c>
      <c r="O817" t="s">
        <v>49</v>
      </c>
      <c r="P817">
        <v>0</v>
      </c>
      <c r="Q817" t="s">
        <v>50</v>
      </c>
      <c r="R817" t="s">
        <v>51</v>
      </c>
      <c r="S817">
        <v>1880</v>
      </c>
      <c r="T817">
        <v>1930</v>
      </c>
      <c r="Y817" t="s">
        <v>3507</v>
      </c>
      <c r="Z817">
        <v>0</v>
      </c>
      <c r="AA817">
        <v>1</v>
      </c>
      <c r="AB817">
        <v>0</v>
      </c>
      <c r="AC817">
        <v>0</v>
      </c>
      <c r="AF817">
        <v>1923</v>
      </c>
      <c r="AG817">
        <v>1924</v>
      </c>
      <c r="AO817" t="b">
        <v>0</v>
      </c>
      <c r="AT817">
        <v>368</v>
      </c>
      <c r="AU817">
        <f t="shared" si="38"/>
        <v>1.008</v>
      </c>
    </row>
    <row r="818" spans="1:47" x14ac:dyDescent="0.3">
      <c r="A818">
        <v>816</v>
      </c>
      <c r="B818" t="s">
        <v>3508</v>
      </c>
      <c r="C818" t="s">
        <v>3509</v>
      </c>
      <c r="D818">
        <v>150</v>
      </c>
      <c r="E818" t="s">
        <v>3401</v>
      </c>
      <c r="F818" t="str">
        <f>VLOOKUP(E818,country_continent!A:C,2,FALSE)</f>
        <v>Paraguay</v>
      </c>
      <c r="G818" t="str">
        <f>VLOOKUP(E818,country_continent!A:C,3,FALSE)</f>
        <v>South America</v>
      </c>
      <c r="H818" t="s">
        <v>3510</v>
      </c>
      <c r="I818" s="1">
        <v>8869</v>
      </c>
      <c r="J818" s="3">
        <f t="shared" si="36"/>
        <v>8869</v>
      </c>
      <c r="K818" s="1">
        <v>8994</v>
      </c>
      <c r="L818" s="3">
        <f t="shared" si="37"/>
        <v>8994</v>
      </c>
      <c r="M818" t="s">
        <v>49</v>
      </c>
      <c r="N818" t="s">
        <v>49</v>
      </c>
      <c r="O818" t="s">
        <v>49</v>
      </c>
      <c r="P818">
        <v>0</v>
      </c>
      <c r="Q818" t="s">
        <v>50</v>
      </c>
      <c r="R818" t="s">
        <v>51</v>
      </c>
      <c r="S818">
        <v>1891</v>
      </c>
      <c r="T818">
        <v>1953</v>
      </c>
      <c r="Z818">
        <v>0</v>
      </c>
      <c r="AA818">
        <v>1</v>
      </c>
      <c r="AB818">
        <v>0</v>
      </c>
      <c r="AC818">
        <v>0</v>
      </c>
      <c r="AF818">
        <v>1924</v>
      </c>
      <c r="AG818">
        <v>1924</v>
      </c>
      <c r="AO818" t="b">
        <v>0</v>
      </c>
      <c r="AT818">
        <v>125</v>
      </c>
      <c r="AU818">
        <f t="shared" si="38"/>
        <v>0.34200000000000003</v>
      </c>
    </row>
    <row r="819" spans="1:47" x14ac:dyDescent="0.3">
      <c r="A819">
        <v>817</v>
      </c>
      <c r="B819" t="s">
        <v>3511</v>
      </c>
      <c r="C819" t="s">
        <v>3505</v>
      </c>
      <c r="D819">
        <v>150</v>
      </c>
      <c r="E819" t="s">
        <v>3401</v>
      </c>
      <c r="F819" t="str">
        <f>VLOOKUP(E819,country_continent!A:C,2,FALSE)</f>
        <v>Paraguay</v>
      </c>
      <c r="G819" t="str">
        <f>VLOOKUP(E819,country_continent!A:C,3,FALSE)</f>
        <v>South America</v>
      </c>
      <c r="H819" t="s">
        <v>3506</v>
      </c>
      <c r="I819" s="1">
        <v>8994</v>
      </c>
      <c r="J819" s="3">
        <f t="shared" si="36"/>
        <v>8994</v>
      </c>
      <c r="K819" s="1">
        <v>10455</v>
      </c>
      <c r="L819" s="3">
        <f t="shared" si="37"/>
        <v>10455</v>
      </c>
      <c r="M819" t="s">
        <v>49</v>
      </c>
      <c r="N819" t="s">
        <v>49</v>
      </c>
      <c r="O819" t="s">
        <v>49</v>
      </c>
      <c r="P819">
        <v>1</v>
      </c>
      <c r="Q819" t="s">
        <v>50</v>
      </c>
      <c r="R819" t="s">
        <v>51</v>
      </c>
      <c r="S819">
        <v>1880</v>
      </c>
      <c r="T819">
        <v>1930</v>
      </c>
      <c r="Y819" t="s">
        <v>3507</v>
      </c>
      <c r="Z819">
        <v>0</v>
      </c>
      <c r="AA819">
        <v>1</v>
      </c>
      <c r="AB819">
        <v>0</v>
      </c>
      <c r="AC819">
        <v>0</v>
      </c>
      <c r="AF819">
        <v>1924</v>
      </c>
      <c r="AG819">
        <v>1928</v>
      </c>
      <c r="AO819" t="b">
        <v>0</v>
      </c>
      <c r="AT819">
        <v>1461</v>
      </c>
      <c r="AU819">
        <f t="shared" si="38"/>
        <v>4.0030000000000001</v>
      </c>
    </row>
    <row r="820" spans="1:47" x14ac:dyDescent="0.3">
      <c r="A820">
        <v>818</v>
      </c>
      <c r="B820" t="s">
        <v>3512</v>
      </c>
      <c r="C820" t="s">
        <v>3513</v>
      </c>
      <c r="D820">
        <v>150</v>
      </c>
      <c r="E820" t="s">
        <v>3401</v>
      </c>
      <c r="F820" t="str">
        <f>VLOOKUP(E820,country_continent!A:C,2,FALSE)</f>
        <v>Paraguay</v>
      </c>
      <c r="G820" t="str">
        <f>VLOOKUP(E820,country_continent!A:C,3,FALSE)</f>
        <v>South America</v>
      </c>
      <c r="H820" t="s">
        <v>3514</v>
      </c>
      <c r="I820" s="1">
        <v>10455</v>
      </c>
      <c r="J820" s="3">
        <f t="shared" si="36"/>
        <v>10455</v>
      </c>
      <c r="K820" s="1">
        <v>11622</v>
      </c>
      <c r="L820" s="3">
        <f t="shared" si="37"/>
        <v>11622</v>
      </c>
      <c r="M820" t="s">
        <v>49</v>
      </c>
      <c r="N820" t="s">
        <v>49</v>
      </c>
      <c r="O820" t="s">
        <v>49</v>
      </c>
      <c r="P820">
        <v>0</v>
      </c>
      <c r="Q820" t="s">
        <v>50</v>
      </c>
      <c r="R820" t="s">
        <v>51</v>
      </c>
      <c r="S820">
        <v>1884</v>
      </c>
      <c r="T820">
        <v>1957</v>
      </c>
      <c r="U820" t="s">
        <v>3515</v>
      </c>
      <c r="V820" t="s">
        <v>3516</v>
      </c>
      <c r="Z820">
        <v>0</v>
      </c>
      <c r="AA820">
        <v>1</v>
      </c>
      <c r="AB820">
        <v>0</v>
      </c>
      <c r="AC820">
        <v>0</v>
      </c>
      <c r="AF820">
        <v>1928</v>
      </c>
      <c r="AG820">
        <v>1931</v>
      </c>
      <c r="AO820" t="b">
        <v>0</v>
      </c>
      <c r="AT820">
        <v>1167</v>
      </c>
      <c r="AU820">
        <f t="shared" si="38"/>
        <v>3.1970000000000001</v>
      </c>
    </row>
    <row r="821" spans="1:47" x14ac:dyDescent="0.3">
      <c r="A821">
        <v>819</v>
      </c>
      <c r="B821" t="s">
        <v>3517</v>
      </c>
      <c r="C821" t="s">
        <v>3461</v>
      </c>
      <c r="D821">
        <v>150</v>
      </c>
      <c r="E821" t="s">
        <v>3401</v>
      </c>
      <c r="F821" t="str">
        <f>VLOOKUP(E821,country_continent!A:C,2,FALSE)</f>
        <v>Paraguay</v>
      </c>
      <c r="G821" t="str">
        <f>VLOOKUP(E821,country_continent!A:C,3,FALSE)</f>
        <v>South America</v>
      </c>
      <c r="H821" t="s">
        <v>3462</v>
      </c>
      <c r="I821" s="1">
        <v>11622</v>
      </c>
      <c r="J821" s="3">
        <f t="shared" si="36"/>
        <v>11622</v>
      </c>
      <c r="K821" s="1">
        <v>11716</v>
      </c>
      <c r="L821" s="3">
        <f t="shared" si="37"/>
        <v>11716</v>
      </c>
      <c r="M821" t="s">
        <v>49</v>
      </c>
      <c r="N821" t="s">
        <v>49</v>
      </c>
      <c r="O821" t="s">
        <v>49</v>
      </c>
      <c r="P821">
        <v>2</v>
      </c>
      <c r="Q821" t="s">
        <v>50</v>
      </c>
      <c r="R821" t="s">
        <v>51</v>
      </c>
      <c r="S821">
        <v>1861</v>
      </c>
      <c r="T821">
        <v>1934</v>
      </c>
      <c r="Y821" t="s">
        <v>3463</v>
      </c>
      <c r="Z821">
        <v>0</v>
      </c>
      <c r="AA821">
        <v>1</v>
      </c>
      <c r="AB821">
        <v>0</v>
      </c>
      <c r="AC821">
        <v>0</v>
      </c>
      <c r="AF821">
        <v>1931</v>
      </c>
      <c r="AG821">
        <v>1932</v>
      </c>
      <c r="AO821" t="b">
        <v>0</v>
      </c>
      <c r="AT821">
        <v>94</v>
      </c>
      <c r="AU821">
        <f t="shared" si="38"/>
        <v>0.25800000000000001</v>
      </c>
    </row>
    <row r="822" spans="1:47" x14ac:dyDescent="0.3">
      <c r="A822">
        <v>820</v>
      </c>
      <c r="B822" t="s">
        <v>3518</v>
      </c>
      <c r="C822" t="s">
        <v>3513</v>
      </c>
      <c r="D822">
        <v>150</v>
      </c>
      <c r="E822" t="s">
        <v>3401</v>
      </c>
      <c r="F822" t="str">
        <f>VLOOKUP(E822,country_continent!A:C,2,FALSE)</f>
        <v>Paraguay</v>
      </c>
      <c r="G822" t="str">
        <f>VLOOKUP(E822,country_continent!A:C,3,FALSE)</f>
        <v>South America</v>
      </c>
      <c r="H822" t="s">
        <v>3514</v>
      </c>
      <c r="I822" s="1">
        <v>11716</v>
      </c>
      <c r="J822" s="3">
        <f t="shared" si="36"/>
        <v>11716</v>
      </c>
      <c r="K822" s="1">
        <v>11916</v>
      </c>
      <c r="L822" s="3">
        <f t="shared" si="37"/>
        <v>11916</v>
      </c>
      <c r="M822" t="s">
        <v>49</v>
      </c>
      <c r="N822" t="s">
        <v>49</v>
      </c>
      <c r="O822" t="s">
        <v>49</v>
      </c>
      <c r="P822">
        <v>1</v>
      </c>
      <c r="Q822" t="s">
        <v>50</v>
      </c>
      <c r="R822" t="s">
        <v>51</v>
      </c>
      <c r="S822">
        <v>1884</v>
      </c>
      <c r="T822">
        <v>1957</v>
      </c>
      <c r="U822" t="s">
        <v>3515</v>
      </c>
      <c r="V822" t="s">
        <v>3516</v>
      </c>
      <c r="Z822">
        <v>0</v>
      </c>
      <c r="AA822">
        <v>1</v>
      </c>
      <c r="AB822">
        <v>0</v>
      </c>
      <c r="AC822">
        <v>0</v>
      </c>
      <c r="AF822">
        <v>1932</v>
      </c>
      <c r="AG822">
        <v>1932</v>
      </c>
      <c r="AO822" t="b">
        <v>0</v>
      </c>
      <c r="AT822">
        <v>200</v>
      </c>
      <c r="AU822">
        <f t="shared" si="38"/>
        <v>0.54800000000000004</v>
      </c>
    </row>
    <row r="823" spans="1:47" x14ac:dyDescent="0.3">
      <c r="A823">
        <v>821</v>
      </c>
      <c r="B823" t="s">
        <v>3519</v>
      </c>
      <c r="C823" t="s">
        <v>3500</v>
      </c>
      <c r="D823">
        <v>150</v>
      </c>
      <c r="E823" t="s">
        <v>3401</v>
      </c>
      <c r="F823" t="str">
        <f>VLOOKUP(E823,country_continent!A:C,2,FALSE)</f>
        <v>Paraguay</v>
      </c>
      <c r="G823" t="str">
        <f>VLOOKUP(E823,country_continent!A:C,3,FALSE)</f>
        <v>South America</v>
      </c>
      <c r="H823" t="s">
        <v>3501</v>
      </c>
      <c r="I823" s="1">
        <v>11916</v>
      </c>
      <c r="J823" s="3">
        <f t="shared" si="36"/>
        <v>11916</v>
      </c>
      <c r="K823" s="1">
        <v>13199</v>
      </c>
      <c r="L823" s="3">
        <f t="shared" si="37"/>
        <v>13199</v>
      </c>
      <c r="M823" t="s">
        <v>49</v>
      </c>
      <c r="N823" t="s">
        <v>67</v>
      </c>
      <c r="O823" t="s">
        <v>376</v>
      </c>
      <c r="P823">
        <v>1</v>
      </c>
      <c r="Q823" t="s">
        <v>463</v>
      </c>
      <c r="R823" t="s">
        <v>51</v>
      </c>
      <c r="S823">
        <v>1874</v>
      </c>
      <c r="T823">
        <v>1942</v>
      </c>
      <c r="U823" t="s">
        <v>3502</v>
      </c>
      <c r="V823" t="s">
        <v>3503</v>
      </c>
      <c r="Z823">
        <v>0</v>
      </c>
      <c r="AA823">
        <v>3</v>
      </c>
      <c r="AB823">
        <v>6</v>
      </c>
      <c r="AC823">
        <v>2</v>
      </c>
      <c r="AF823">
        <v>1932</v>
      </c>
      <c r="AG823">
        <v>1936</v>
      </c>
      <c r="AO823" t="b">
        <v>0</v>
      </c>
      <c r="AT823">
        <v>1283</v>
      </c>
      <c r="AU823">
        <f t="shared" si="38"/>
        <v>3.5150000000000001</v>
      </c>
    </row>
    <row r="824" spans="1:47" x14ac:dyDescent="0.3">
      <c r="A824">
        <v>822</v>
      </c>
      <c r="B824" t="s">
        <v>3520</v>
      </c>
      <c r="C824" t="s">
        <v>3521</v>
      </c>
      <c r="D824">
        <v>150</v>
      </c>
      <c r="E824" t="s">
        <v>3401</v>
      </c>
      <c r="F824" t="str">
        <f>VLOOKUP(E824,country_continent!A:C,2,FALSE)</f>
        <v>Paraguay</v>
      </c>
      <c r="G824" t="str">
        <f>VLOOKUP(E824,country_continent!A:C,3,FALSE)</f>
        <v>South America</v>
      </c>
      <c r="H824" t="s">
        <v>3522</v>
      </c>
      <c r="I824" s="1">
        <v>13199</v>
      </c>
      <c r="J824" s="3">
        <f t="shared" si="36"/>
        <v>13199</v>
      </c>
      <c r="K824" s="1">
        <v>13743</v>
      </c>
      <c r="L824" s="3">
        <f t="shared" si="37"/>
        <v>13743</v>
      </c>
      <c r="M824" t="s">
        <v>67</v>
      </c>
      <c r="N824" t="s">
        <v>67</v>
      </c>
      <c r="O824" t="s">
        <v>376</v>
      </c>
      <c r="P824">
        <v>0</v>
      </c>
      <c r="Q824" t="s">
        <v>362</v>
      </c>
      <c r="R824" t="s">
        <v>51</v>
      </c>
      <c r="S824">
        <v>1897</v>
      </c>
      <c r="T824">
        <v>1973</v>
      </c>
      <c r="Y824" t="s">
        <v>3523</v>
      </c>
      <c r="Z824">
        <v>1</v>
      </c>
      <c r="AA824">
        <v>3</v>
      </c>
      <c r="AB824">
        <v>6</v>
      </c>
      <c r="AC824">
        <v>1</v>
      </c>
      <c r="AF824">
        <v>1936</v>
      </c>
      <c r="AG824">
        <v>1937</v>
      </c>
      <c r="AO824" t="b">
        <v>0</v>
      </c>
      <c r="AT824">
        <v>544</v>
      </c>
      <c r="AU824">
        <f t="shared" si="38"/>
        <v>1.49</v>
      </c>
    </row>
    <row r="825" spans="1:47" x14ac:dyDescent="0.3">
      <c r="A825">
        <v>823</v>
      </c>
      <c r="B825" t="s">
        <v>3524</v>
      </c>
      <c r="C825" t="s">
        <v>3496</v>
      </c>
      <c r="D825">
        <v>150</v>
      </c>
      <c r="E825" t="s">
        <v>3401</v>
      </c>
      <c r="F825" t="str">
        <f>VLOOKUP(E825,country_continent!A:C,2,FALSE)</f>
        <v>Paraguay</v>
      </c>
      <c r="G825" t="str">
        <f>VLOOKUP(E825,country_continent!A:C,3,FALSE)</f>
        <v>South America</v>
      </c>
      <c r="H825" t="s">
        <v>3497</v>
      </c>
      <c r="I825" s="1">
        <v>13743</v>
      </c>
      <c r="J825" s="3">
        <f t="shared" si="36"/>
        <v>13743</v>
      </c>
      <c r="K825" s="1">
        <v>14472</v>
      </c>
      <c r="L825" s="3">
        <f t="shared" si="37"/>
        <v>14472</v>
      </c>
      <c r="M825" t="s">
        <v>67</v>
      </c>
      <c r="N825" t="s">
        <v>49</v>
      </c>
      <c r="O825" t="s">
        <v>49</v>
      </c>
      <c r="P825">
        <v>1</v>
      </c>
      <c r="Q825" t="s">
        <v>50</v>
      </c>
      <c r="R825" t="s">
        <v>51</v>
      </c>
      <c r="S825">
        <v>1877</v>
      </c>
      <c r="T825">
        <v>1965</v>
      </c>
      <c r="Y825" t="s">
        <v>3498</v>
      </c>
      <c r="Z825">
        <v>1</v>
      </c>
      <c r="AA825">
        <v>1</v>
      </c>
      <c r="AB825">
        <v>0</v>
      </c>
      <c r="AC825">
        <v>0</v>
      </c>
      <c r="AF825">
        <v>1937</v>
      </c>
      <c r="AG825">
        <v>1939</v>
      </c>
      <c r="AO825" t="b">
        <v>0</v>
      </c>
      <c r="AT825">
        <v>729</v>
      </c>
      <c r="AU825">
        <f t="shared" si="38"/>
        <v>1.9970000000000001</v>
      </c>
    </row>
    <row r="826" spans="1:47" x14ac:dyDescent="0.3">
      <c r="A826">
        <v>824</v>
      </c>
      <c r="B826" t="s">
        <v>3525</v>
      </c>
      <c r="C826" t="s">
        <v>3526</v>
      </c>
      <c r="D826">
        <v>150</v>
      </c>
      <c r="E826" t="s">
        <v>3401</v>
      </c>
      <c r="F826" t="str">
        <f>VLOOKUP(E826,country_continent!A:C,2,FALSE)</f>
        <v>Paraguay</v>
      </c>
      <c r="G826" t="str">
        <f>VLOOKUP(E826,country_continent!A:C,3,FALSE)</f>
        <v>South America</v>
      </c>
      <c r="H826" t="s">
        <v>3527</v>
      </c>
      <c r="I826" s="1">
        <v>14472</v>
      </c>
      <c r="J826" s="3">
        <f t="shared" si="36"/>
        <v>14472</v>
      </c>
      <c r="K826" s="1">
        <v>14859</v>
      </c>
      <c r="L826" s="3">
        <f t="shared" si="37"/>
        <v>14859</v>
      </c>
      <c r="M826" t="s">
        <v>49</v>
      </c>
      <c r="N826" t="s">
        <v>110</v>
      </c>
      <c r="O826" t="s">
        <v>49</v>
      </c>
      <c r="P826">
        <v>0</v>
      </c>
      <c r="Q826" t="s">
        <v>111</v>
      </c>
      <c r="R826" t="s">
        <v>51</v>
      </c>
      <c r="S826">
        <v>1888</v>
      </c>
      <c r="T826">
        <v>1940</v>
      </c>
      <c r="U826" t="s">
        <v>3528</v>
      </c>
      <c r="V826" t="s">
        <v>3529</v>
      </c>
      <c r="W826" s="1">
        <v>14859</v>
      </c>
      <c r="X826" s="2">
        <v>14859</v>
      </c>
      <c r="Z826">
        <v>0</v>
      </c>
      <c r="AA826">
        <v>2</v>
      </c>
      <c r="AB826">
        <v>0</v>
      </c>
      <c r="AC826">
        <v>-777</v>
      </c>
      <c r="AF826">
        <v>1939</v>
      </c>
      <c r="AG826">
        <v>1940</v>
      </c>
      <c r="AO826" t="b">
        <v>0</v>
      </c>
      <c r="AT826">
        <v>387</v>
      </c>
      <c r="AU826">
        <f t="shared" si="38"/>
        <v>1.06</v>
      </c>
    </row>
    <row r="827" spans="1:47" x14ac:dyDescent="0.3">
      <c r="A827">
        <v>825</v>
      </c>
      <c r="B827" t="s">
        <v>3530</v>
      </c>
      <c r="C827" t="s">
        <v>3531</v>
      </c>
      <c r="D827">
        <v>150</v>
      </c>
      <c r="E827" t="s">
        <v>3401</v>
      </c>
      <c r="F827" t="str">
        <f>VLOOKUP(E827,country_continent!A:C,2,FALSE)</f>
        <v>Paraguay</v>
      </c>
      <c r="G827" t="str">
        <f>VLOOKUP(E827,country_continent!A:C,3,FALSE)</f>
        <v>South America</v>
      </c>
      <c r="H827" t="s">
        <v>3532</v>
      </c>
      <c r="I827" s="1">
        <v>14862</v>
      </c>
      <c r="J827" s="3">
        <f t="shared" si="36"/>
        <v>14862</v>
      </c>
      <c r="K827" s="1">
        <v>17687</v>
      </c>
      <c r="L827" s="3">
        <f t="shared" si="37"/>
        <v>17687</v>
      </c>
      <c r="M827" t="s">
        <v>49</v>
      </c>
      <c r="N827" t="s">
        <v>67</v>
      </c>
      <c r="O827" t="s">
        <v>2001</v>
      </c>
      <c r="P827">
        <v>0</v>
      </c>
      <c r="Q827" t="s">
        <v>463</v>
      </c>
      <c r="R827" t="s">
        <v>51</v>
      </c>
      <c r="S827">
        <v>1897</v>
      </c>
      <c r="T827">
        <v>1983</v>
      </c>
      <c r="U827" t="s">
        <v>3533</v>
      </c>
      <c r="V827" t="s">
        <v>3534</v>
      </c>
      <c r="Z827">
        <v>0</v>
      </c>
      <c r="AA827">
        <v>3</v>
      </c>
      <c r="AB827">
        <v>8</v>
      </c>
      <c r="AC827">
        <v>2</v>
      </c>
      <c r="AF827">
        <v>1940</v>
      </c>
      <c r="AG827">
        <v>1948</v>
      </c>
      <c r="AO827" t="b">
        <v>0</v>
      </c>
      <c r="AT827">
        <v>2825</v>
      </c>
      <c r="AU827">
        <f t="shared" si="38"/>
        <v>7.74</v>
      </c>
    </row>
    <row r="828" spans="1:47" x14ac:dyDescent="0.3">
      <c r="A828">
        <v>826</v>
      </c>
      <c r="B828" t="s">
        <v>3535</v>
      </c>
      <c r="C828" t="s">
        <v>3536</v>
      </c>
      <c r="D828">
        <v>150</v>
      </c>
      <c r="E828" t="s">
        <v>3401</v>
      </c>
      <c r="F828" t="str">
        <f>VLOOKUP(E828,country_continent!A:C,2,FALSE)</f>
        <v>Paraguay</v>
      </c>
      <c r="G828" t="str">
        <f>VLOOKUP(E828,country_continent!A:C,3,FALSE)</f>
        <v>South America</v>
      </c>
      <c r="H828" t="s">
        <v>3537</v>
      </c>
      <c r="I828" s="1">
        <v>17687</v>
      </c>
      <c r="J828" s="3">
        <f t="shared" si="36"/>
        <v>17687</v>
      </c>
      <c r="K828" s="1">
        <v>17760</v>
      </c>
      <c r="L828" s="3">
        <f t="shared" si="37"/>
        <v>17760</v>
      </c>
      <c r="M828" t="s">
        <v>67</v>
      </c>
      <c r="N828" t="s">
        <v>49</v>
      </c>
      <c r="O828" t="s">
        <v>49</v>
      </c>
      <c r="P828">
        <v>0</v>
      </c>
      <c r="Q828" t="s">
        <v>50</v>
      </c>
      <c r="R828" t="s">
        <v>51</v>
      </c>
      <c r="S828">
        <v>1879</v>
      </c>
      <c r="T828">
        <v>1960</v>
      </c>
      <c r="Y828" t="s">
        <v>3538</v>
      </c>
      <c r="Z828">
        <v>1</v>
      </c>
      <c r="AA828">
        <v>1</v>
      </c>
      <c r="AB828">
        <v>0</v>
      </c>
      <c r="AC828">
        <v>0</v>
      </c>
      <c r="AD828" t="s">
        <v>3539</v>
      </c>
      <c r="AE828">
        <v>1</v>
      </c>
      <c r="AF828">
        <v>1948</v>
      </c>
      <c r="AG828">
        <v>1948</v>
      </c>
      <c r="AO828" t="b">
        <v>0</v>
      </c>
      <c r="AT828">
        <v>73</v>
      </c>
      <c r="AU828">
        <f t="shared" si="38"/>
        <v>0.2</v>
      </c>
    </row>
    <row r="829" spans="1:47" x14ac:dyDescent="0.3">
      <c r="A829">
        <v>827</v>
      </c>
      <c r="B829" t="s">
        <v>3540</v>
      </c>
      <c r="C829" t="s">
        <v>3541</v>
      </c>
      <c r="D829">
        <v>150</v>
      </c>
      <c r="E829" t="s">
        <v>3401</v>
      </c>
      <c r="F829" t="str">
        <f>VLOOKUP(E829,country_continent!A:C,2,FALSE)</f>
        <v>Paraguay</v>
      </c>
      <c r="G829" t="str">
        <f>VLOOKUP(E829,country_continent!A:C,3,FALSE)</f>
        <v>South America</v>
      </c>
      <c r="H829" t="s">
        <v>3542</v>
      </c>
      <c r="I829" s="1">
        <v>17760</v>
      </c>
      <c r="J829" s="3">
        <f t="shared" si="36"/>
        <v>17760</v>
      </c>
      <c r="K829" s="1">
        <v>17928</v>
      </c>
      <c r="L829" s="3">
        <f t="shared" si="37"/>
        <v>17928</v>
      </c>
      <c r="M829" t="s">
        <v>49</v>
      </c>
      <c r="N829" t="s">
        <v>67</v>
      </c>
      <c r="O829" t="s">
        <v>376</v>
      </c>
      <c r="P829">
        <v>0</v>
      </c>
      <c r="Q829" t="s">
        <v>362</v>
      </c>
      <c r="R829" t="s">
        <v>51</v>
      </c>
      <c r="S829">
        <v>1897</v>
      </c>
      <c r="T829">
        <v>1966</v>
      </c>
      <c r="U829" t="s">
        <v>3543</v>
      </c>
      <c r="V829" t="s">
        <v>3544</v>
      </c>
      <c r="Y829" t="s">
        <v>3545</v>
      </c>
      <c r="Z829">
        <v>0</v>
      </c>
      <c r="AA829">
        <v>3</v>
      </c>
      <c r="AB829">
        <v>6</v>
      </c>
      <c r="AC829">
        <v>1</v>
      </c>
      <c r="AF829">
        <v>1948</v>
      </c>
      <c r="AG829">
        <v>1949</v>
      </c>
      <c r="AO829" t="b">
        <v>0</v>
      </c>
      <c r="AT829">
        <v>168</v>
      </c>
      <c r="AU829">
        <f t="shared" si="38"/>
        <v>0.46</v>
      </c>
    </row>
    <row r="830" spans="1:47" x14ac:dyDescent="0.3">
      <c r="A830">
        <v>828</v>
      </c>
      <c r="B830" t="s">
        <v>3546</v>
      </c>
      <c r="C830" t="s">
        <v>3547</v>
      </c>
      <c r="D830">
        <v>150</v>
      </c>
      <c r="E830" t="s">
        <v>3401</v>
      </c>
      <c r="F830" t="str">
        <f>VLOOKUP(E830,country_continent!A:C,2,FALSE)</f>
        <v>Paraguay</v>
      </c>
      <c r="G830" t="str">
        <f>VLOOKUP(E830,country_continent!A:C,3,FALSE)</f>
        <v>South America</v>
      </c>
      <c r="H830" t="s">
        <v>3548</v>
      </c>
      <c r="I830" s="1">
        <v>17928</v>
      </c>
      <c r="J830" s="3">
        <f t="shared" si="36"/>
        <v>17928</v>
      </c>
      <c r="K830" s="1">
        <v>17955</v>
      </c>
      <c r="L830" s="3">
        <f t="shared" si="37"/>
        <v>17955</v>
      </c>
      <c r="M830" t="s">
        <v>67</v>
      </c>
      <c r="N830" t="s">
        <v>67</v>
      </c>
      <c r="O830" t="s">
        <v>2001</v>
      </c>
      <c r="P830">
        <v>0</v>
      </c>
      <c r="Q830" t="s">
        <v>50</v>
      </c>
      <c r="R830" t="s">
        <v>51</v>
      </c>
      <c r="S830">
        <v>1903</v>
      </c>
      <c r="T830">
        <v>1954</v>
      </c>
      <c r="Z830">
        <v>1</v>
      </c>
      <c r="AA830">
        <v>3</v>
      </c>
      <c r="AB830">
        <v>8</v>
      </c>
      <c r="AC830">
        <v>0</v>
      </c>
      <c r="AF830">
        <v>1949</v>
      </c>
      <c r="AG830">
        <v>1949</v>
      </c>
      <c r="AO830" t="b">
        <v>0</v>
      </c>
      <c r="AT830">
        <v>27</v>
      </c>
      <c r="AU830">
        <f t="shared" si="38"/>
        <v>7.3999999999999996E-2</v>
      </c>
    </row>
    <row r="831" spans="1:47" x14ac:dyDescent="0.3">
      <c r="A831">
        <v>829</v>
      </c>
      <c r="B831" t="s">
        <v>3549</v>
      </c>
      <c r="C831" t="s">
        <v>3550</v>
      </c>
      <c r="D831">
        <v>150</v>
      </c>
      <c r="E831" t="s">
        <v>3401</v>
      </c>
      <c r="F831" t="str">
        <f>VLOOKUP(E831,country_continent!A:C,2,FALSE)</f>
        <v>Paraguay</v>
      </c>
      <c r="G831" t="str">
        <f>VLOOKUP(E831,country_continent!A:C,3,FALSE)</f>
        <v>South America</v>
      </c>
      <c r="H831" t="s">
        <v>3551</v>
      </c>
      <c r="I831" s="1">
        <v>17955</v>
      </c>
      <c r="J831" s="3">
        <f t="shared" si="36"/>
        <v>17955</v>
      </c>
      <c r="K831" s="1">
        <v>18151</v>
      </c>
      <c r="L831" s="3">
        <f t="shared" si="37"/>
        <v>18151</v>
      </c>
      <c r="M831" t="s">
        <v>67</v>
      </c>
      <c r="N831" t="s">
        <v>67</v>
      </c>
      <c r="O831" t="s">
        <v>2001</v>
      </c>
      <c r="P831">
        <v>0</v>
      </c>
      <c r="Q831" t="s">
        <v>50</v>
      </c>
      <c r="R831" t="s">
        <v>51</v>
      </c>
      <c r="S831">
        <v>1901</v>
      </c>
      <c r="T831">
        <v>1954</v>
      </c>
      <c r="W831" s="1">
        <v>19785</v>
      </c>
      <c r="X831" s="2">
        <v>19785</v>
      </c>
      <c r="Z831">
        <v>1</v>
      </c>
      <c r="AA831">
        <v>3</v>
      </c>
      <c r="AB831">
        <v>8</v>
      </c>
      <c r="AC831">
        <v>0</v>
      </c>
      <c r="AF831">
        <v>1949</v>
      </c>
      <c r="AG831">
        <v>1949</v>
      </c>
      <c r="AO831" t="b">
        <v>0</v>
      </c>
      <c r="AT831">
        <v>196</v>
      </c>
      <c r="AU831">
        <f t="shared" si="38"/>
        <v>0.53700000000000003</v>
      </c>
    </row>
    <row r="832" spans="1:47" x14ac:dyDescent="0.3">
      <c r="A832">
        <v>830</v>
      </c>
      <c r="B832" t="s">
        <v>3552</v>
      </c>
      <c r="C832" t="s">
        <v>3553</v>
      </c>
      <c r="D832">
        <v>150</v>
      </c>
      <c r="E832" t="s">
        <v>3401</v>
      </c>
      <c r="F832" t="str">
        <f>VLOOKUP(E832,country_continent!A:C,2,FALSE)</f>
        <v>Paraguay</v>
      </c>
      <c r="G832" t="str">
        <f>VLOOKUP(E832,country_continent!A:C,3,FALSE)</f>
        <v>South America</v>
      </c>
      <c r="H832" t="s">
        <v>3554</v>
      </c>
      <c r="I832" s="1">
        <v>18151</v>
      </c>
      <c r="J832" s="3">
        <f t="shared" si="36"/>
        <v>18151</v>
      </c>
      <c r="K832" s="1">
        <v>19850</v>
      </c>
      <c r="L832" s="3">
        <f t="shared" si="37"/>
        <v>19850</v>
      </c>
      <c r="M832" t="s">
        <v>67</v>
      </c>
      <c r="N832" t="s">
        <v>67</v>
      </c>
      <c r="O832" t="s">
        <v>376</v>
      </c>
      <c r="P832">
        <v>0</v>
      </c>
      <c r="Q832" t="s">
        <v>50</v>
      </c>
      <c r="R832" t="s">
        <v>51</v>
      </c>
      <c r="S832">
        <v>1882</v>
      </c>
      <c r="T832">
        <v>1978</v>
      </c>
      <c r="U832" t="s">
        <v>3555</v>
      </c>
      <c r="V832" t="s">
        <v>3556</v>
      </c>
      <c r="W832" s="1">
        <v>28604</v>
      </c>
      <c r="X832" s="2">
        <v>28604</v>
      </c>
      <c r="Y832" t="s">
        <v>3557</v>
      </c>
      <c r="Z832">
        <v>1</v>
      </c>
      <c r="AA832">
        <v>3</v>
      </c>
      <c r="AB832">
        <v>6</v>
      </c>
      <c r="AC832">
        <v>0</v>
      </c>
      <c r="AF832">
        <v>1949</v>
      </c>
      <c r="AG832">
        <v>1954</v>
      </c>
      <c r="AO832" t="b">
        <v>0</v>
      </c>
      <c r="AT832">
        <v>1699</v>
      </c>
      <c r="AU832">
        <f t="shared" si="38"/>
        <v>4.6550000000000002</v>
      </c>
    </row>
    <row r="833" spans="1:47" x14ac:dyDescent="0.3">
      <c r="A833">
        <v>831</v>
      </c>
      <c r="B833" t="s">
        <v>3558</v>
      </c>
      <c r="C833" t="s">
        <v>3559</v>
      </c>
      <c r="D833">
        <v>150</v>
      </c>
      <c r="E833" t="s">
        <v>3401</v>
      </c>
      <c r="F833" t="str">
        <f>VLOOKUP(E833,country_continent!A:C,2,FALSE)</f>
        <v>Paraguay</v>
      </c>
      <c r="G833" t="str">
        <f>VLOOKUP(E833,country_continent!A:C,3,FALSE)</f>
        <v>South America</v>
      </c>
      <c r="H833" t="s">
        <v>3560</v>
      </c>
      <c r="I833" s="1">
        <v>19850</v>
      </c>
      <c r="J833" s="3">
        <f t="shared" si="36"/>
        <v>19850</v>
      </c>
      <c r="K833" s="1">
        <v>19916</v>
      </c>
      <c r="L833" s="3">
        <f t="shared" si="37"/>
        <v>19916</v>
      </c>
      <c r="M833" t="s">
        <v>49</v>
      </c>
      <c r="N833" t="s">
        <v>49</v>
      </c>
      <c r="O833" t="s">
        <v>49</v>
      </c>
      <c r="P833">
        <v>0</v>
      </c>
      <c r="Q833" t="s">
        <v>50</v>
      </c>
      <c r="R833" t="s">
        <v>51</v>
      </c>
      <c r="S833">
        <v>1886</v>
      </c>
      <c r="T833">
        <v>1982</v>
      </c>
      <c r="Y833" t="s">
        <v>3561</v>
      </c>
      <c r="Z833">
        <v>0</v>
      </c>
      <c r="AA833">
        <v>1</v>
      </c>
      <c r="AB833">
        <v>0</v>
      </c>
      <c r="AC833">
        <v>0</v>
      </c>
      <c r="AF833">
        <v>1954</v>
      </c>
      <c r="AG833">
        <v>1954</v>
      </c>
      <c r="AO833" t="b">
        <v>0</v>
      </c>
      <c r="AT833">
        <v>66</v>
      </c>
      <c r="AU833">
        <f t="shared" si="38"/>
        <v>0.18099999999999999</v>
      </c>
    </row>
    <row r="834" spans="1:47" x14ac:dyDescent="0.3">
      <c r="A834">
        <v>832</v>
      </c>
      <c r="B834" t="s">
        <v>3562</v>
      </c>
      <c r="C834" t="s">
        <v>3563</v>
      </c>
      <c r="D834">
        <v>150</v>
      </c>
      <c r="E834" t="s">
        <v>3401</v>
      </c>
      <c r="F834" t="str">
        <f>VLOOKUP(E834,country_continent!A:C,2,FALSE)</f>
        <v>Paraguay</v>
      </c>
      <c r="G834" t="str">
        <f>VLOOKUP(E834,country_continent!A:C,3,FALSE)</f>
        <v>South America</v>
      </c>
      <c r="H834" t="s">
        <v>3564</v>
      </c>
      <c r="I834" s="1">
        <v>19916</v>
      </c>
      <c r="J834" s="3">
        <f t="shared" si="36"/>
        <v>19916</v>
      </c>
      <c r="K834" s="1">
        <v>32542</v>
      </c>
      <c r="L834" s="3">
        <f t="shared" si="37"/>
        <v>32542</v>
      </c>
      <c r="M834" t="s">
        <v>67</v>
      </c>
      <c r="N834" t="s">
        <v>67</v>
      </c>
      <c r="O834" t="s">
        <v>376</v>
      </c>
      <c r="P834">
        <v>0</v>
      </c>
      <c r="Q834" t="s">
        <v>362</v>
      </c>
      <c r="R834" t="s">
        <v>51</v>
      </c>
      <c r="S834">
        <v>1912</v>
      </c>
      <c r="T834">
        <v>2006</v>
      </c>
      <c r="U834" s="1">
        <v>4691</v>
      </c>
      <c r="V834" s="2">
        <v>4691</v>
      </c>
      <c r="Y834" t="s">
        <v>3565</v>
      </c>
      <c r="Z834">
        <v>1</v>
      </c>
      <c r="AA834">
        <v>3</v>
      </c>
      <c r="AB834">
        <v>6</v>
      </c>
      <c r="AC834">
        <v>1</v>
      </c>
      <c r="AD834" t="s">
        <v>3566</v>
      </c>
      <c r="AE834">
        <v>0</v>
      </c>
      <c r="AF834">
        <v>1954</v>
      </c>
      <c r="AG834">
        <v>1989</v>
      </c>
      <c r="AO834" t="b">
        <v>0</v>
      </c>
      <c r="AT834">
        <v>12626</v>
      </c>
      <c r="AU834">
        <f t="shared" si="38"/>
        <v>34.591999999999999</v>
      </c>
    </row>
    <row r="835" spans="1:47" x14ac:dyDescent="0.3">
      <c r="A835">
        <v>833</v>
      </c>
      <c r="B835" t="s">
        <v>3567</v>
      </c>
      <c r="C835" t="s">
        <v>3568</v>
      </c>
      <c r="D835">
        <v>150</v>
      </c>
      <c r="E835" t="s">
        <v>3401</v>
      </c>
      <c r="F835" t="str">
        <f>VLOOKUP(E835,country_continent!A:C,2,FALSE)</f>
        <v>Paraguay</v>
      </c>
      <c r="G835" t="str">
        <f>VLOOKUP(E835,country_continent!A:C,3,FALSE)</f>
        <v>South America</v>
      </c>
      <c r="H835" t="s">
        <v>3569</v>
      </c>
      <c r="I835" s="1">
        <v>32542</v>
      </c>
      <c r="J835" s="3">
        <f t="shared" ref="J835:J898" si="39">IF(ISNUMBER(SEARCH("-", I835)), SUBSTITUTE(I835, "-", "/"), I835)</f>
        <v>32542</v>
      </c>
      <c r="K835" s="1">
        <v>34196</v>
      </c>
      <c r="L835" s="3">
        <f t="shared" ref="L835:L898" si="40">IF(ISNUMBER(SEARCH("-", K835)), SUBSTITUTE(K835, "-", "/"), K835)</f>
        <v>34196</v>
      </c>
      <c r="M835" t="s">
        <v>67</v>
      </c>
      <c r="N835" t="s">
        <v>49</v>
      </c>
      <c r="O835" t="s">
        <v>49</v>
      </c>
      <c r="P835">
        <v>0</v>
      </c>
      <c r="Q835" t="s">
        <v>50</v>
      </c>
      <c r="R835" t="s">
        <v>51</v>
      </c>
      <c r="S835">
        <v>1924</v>
      </c>
      <c r="T835">
        <v>1997</v>
      </c>
      <c r="U835" s="1">
        <v>8937</v>
      </c>
      <c r="V835" s="2">
        <v>8937</v>
      </c>
      <c r="Z835">
        <v>1</v>
      </c>
      <c r="AA835">
        <v>1</v>
      </c>
      <c r="AB835">
        <v>0</v>
      </c>
      <c r="AC835">
        <v>0</v>
      </c>
      <c r="AD835" t="s">
        <v>3570</v>
      </c>
      <c r="AF835">
        <v>1989</v>
      </c>
      <c r="AG835">
        <v>1993</v>
      </c>
      <c r="AO835" t="b">
        <v>0</v>
      </c>
      <c r="AT835">
        <v>1654</v>
      </c>
      <c r="AU835">
        <f t="shared" ref="AU835:AU898" si="41">ROUND(AT835/365,3)</f>
        <v>4.532</v>
      </c>
    </row>
    <row r="836" spans="1:47" x14ac:dyDescent="0.3">
      <c r="A836">
        <v>834</v>
      </c>
      <c r="B836" t="s">
        <v>3571</v>
      </c>
      <c r="C836" t="s">
        <v>3572</v>
      </c>
      <c r="D836">
        <v>150</v>
      </c>
      <c r="E836" t="s">
        <v>3401</v>
      </c>
      <c r="F836" t="str">
        <f>VLOOKUP(E836,country_continent!A:C,2,FALSE)</f>
        <v>Paraguay</v>
      </c>
      <c r="G836" t="str">
        <f>VLOOKUP(E836,country_continent!A:C,3,FALSE)</f>
        <v>South America</v>
      </c>
      <c r="H836" t="s">
        <v>3573</v>
      </c>
      <c r="I836" s="1">
        <v>34196</v>
      </c>
      <c r="J836" s="3">
        <f t="shared" si="39"/>
        <v>34196</v>
      </c>
      <c r="K836" s="1">
        <v>36022</v>
      </c>
      <c r="L836" s="3">
        <f t="shared" si="40"/>
        <v>36022</v>
      </c>
      <c r="M836" t="s">
        <v>49</v>
      </c>
      <c r="N836" t="s">
        <v>49</v>
      </c>
      <c r="O836" t="s">
        <v>49</v>
      </c>
      <c r="P836">
        <v>0</v>
      </c>
      <c r="Q836" t="s">
        <v>50</v>
      </c>
      <c r="R836" t="s">
        <v>51</v>
      </c>
      <c r="S836">
        <v>1938</v>
      </c>
      <c r="T836">
        <v>-777</v>
      </c>
      <c r="Z836">
        <v>0</v>
      </c>
      <c r="AA836">
        <v>1</v>
      </c>
      <c r="AB836">
        <v>0</v>
      </c>
      <c r="AC836">
        <v>0</v>
      </c>
      <c r="AF836">
        <v>1993</v>
      </c>
      <c r="AG836">
        <v>1998</v>
      </c>
      <c r="AO836" t="b">
        <v>0</v>
      </c>
      <c r="AT836">
        <v>1826</v>
      </c>
      <c r="AU836">
        <f t="shared" si="41"/>
        <v>5.0030000000000001</v>
      </c>
    </row>
    <row r="837" spans="1:47" x14ac:dyDescent="0.3">
      <c r="A837">
        <v>835</v>
      </c>
      <c r="B837" t="s">
        <v>3574</v>
      </c>
      <c r="C837" t="s">
        <v>3575</v>
      </c>
      <c r="D837">
        <v>150</v>
      </c>
      <c r="E837" t="s">
        <v>3401</v>
      </c>
      <c r="F837" t="str">
        <f>VLOOKUP(E837,country_continent!A:C,2,FALSE)</f>
        <v>Paraguay</v>
      </c>
      <c r="G837" t="str">
        <f>VLOOKUP(E837,country_continent!A:C,3,FALSE)</f>
        <v>South America</v>
      </c>
      <c r="H837" t="s">
        <v>3576</v>
      </c>
      <c r="I837" s="1">
        <v>36022</v>
      </c>
      <c r="J837" s="3">
        <f t="shared" si="39"/>
        <v>36022</v>
      </c>
      <c r="K837" s="1">
        <v>36247</v>
      </c>
      <c r="L837" s="3">
        <f t="shared" si="40"/>
        <v>36247</v>
      </c>
      <c r="M837" t="s">
        <v>49</v>
      </c>
      <c r="N837" t="s">
        <v>49</v>
      </c>
      <c r="O837" t="s">
        <v>49</v>
      </c>
      <c r="P837">
        <v>0</v>
      </c>
      <c r="Q837" t="s">
        <v>362</v>
      </c>
      <c r="R837" t="s">
        <v>51</v>
      </c>
      <c r="S837">
        <v>1943</v>
      </c>
      <c r="T837">
        <v>-777</v>
      </c>
      <c r="Y837" t="s">
        <v>3577</v>
      </c>
      <c r="Z837">
        <v>0</v>
      </c>
      <c r="AA837">
        <v>1</v>
      </c>
      <c r="AB837">
        <v>0</v>
      </c>
      <c r="AC837">
        <v>1</v>
      </c>
      <c r="AF837">
        <v>1998</v>
      </c>
      <c r="AG837">
        <v>1999</v>
      </c>
      <c r="AO837" t="b">
        <v>0</v>
      </c>
      <c r="AT837">
        <v>225</v>
      </c>
      <c r="AU837">
        <f t="shared" si="41"/>
        <v>0.61599999999999999</v>
      </c>
    </row>
    <row r="838" spans="1:47" x14ac:dyDescent="0.3">
      <c r="A838">
        <v>836</v>
      </c>
      <c r="B838" t="s">
        <v>3578</v>
      </c>
      <c r="C838" t="s">
        <v>3579</v>
      </c>
      <c r="D838">
        <v>150</v>
      </c>
      <c r="E838" t="s">
        <v>3401</v>
      </c>
      <c r="F838" t="str">
        <f>VLOOKUP(E838,country_continent!A:C,2,FALSE)</f>
        <v>Paraguay</v>
      </c>
      <c r="G838" t="str">
        <f>VLOOKUP(E838,country_continent!A:C,3,FALSE)</f>
        <v>South America</v>
      </c>
      <c r="H838" t="s">
        <v>3580</v>
      </c>
      <c r="I838" s="1">
        <v>36247</v>
      </c>
      <c r="J838" s="3">
        <f t="shared" si="39"/>
        <v>36247</v>
      </c>
      <c r="K838" s="1">
        <v>37848</v>
      </c>
      <c r="L838" s="3">
        <f t="shared" si="40"/>
        <v>37848</v>
      </c>
      <c r="M838" t="s">
        <v>49</v>
      </c>
      <c r="N838" t="s">
        <v>49</v>
      </c>
      <c r="O838" t="s">
        <v>49</v>
      </c>
      <c r="P838">
        <v>0</v>
      </c>
      <c r="Q838" t="s">
        <v>50</v>
      </c>
      <c r="R838" t="s">
        <v>51</v>
      </c>
      <c r="S838">
        <v>1947</v>
      </c>
      <c r="T838">
        <v>-777</v>
      </c>
      <c r="Z838">
        <v>0</v>
      </c>
      <c r="AA838">
        <v>1</v>
      </c>
      <c r="AB838">
        <v>0</v>
      </c>
      <c r="AC838">
        <v>0</v>
      </c>
      <c r="AF838">
        <v>1999</v>
      </c>
      <c r="AG838">
        <v>2003</v>
      </c>
      <c r="AO838" t="b">
        <v>0</v>
      </c>
      <c r="AT838">
        <v>1601</v>
      </c>
      <c r="AU838">
        <f t="shared" si="41"/>
        <v>4.3860000000000001</v>
      </c>
    </row>
    <row r="839" spans="1:47" x14ac:dyDescent="0.3">
      <c r="A839">
        <v>837</v>
      </c>
      <c r="B839" t="s">
        <v>3581</v>
      </c>
      <c r="C839" t="s">
        <v>3582</v>
      </c>
      <c r="D839">
        <v>150</v>
      </c>
      <c r="E839" t="s">
        <v>3401</v>
      </c>
      <c r="F839" t="str">
        <f>VLOOKUP(E839,country_continent!A:C,2,FALSE)</f>
        <v>Paraguay</v>
      </c>
      <c r="G839" t="str">
        <f>VLOOKUP(E839,country_continent!A:C,3,FALSE)</f>
        <v>South America</v>
      </c>
      <c r="H839" t="s">
        <v>3583</v>
      </c>
      <c r="I839" s="1">
        <v>37848</v>
      </c>
      <c r="J839" s="3">
        <f t="shared" si="39"/>
        <v>37848</v>
      </c>
      <c r="K839" s="1">
        <v>39675</v>
      </c>
      <c r="L839" s="3">
        <f t="shared" si="40"/>
        <v>39675</v>
      </c>
      <c r="M839" t="s">
        <v>49</v>
      </c>
      <c r="N839" t="s">
        <v>49</v>
      </c>
      <c r="O839" t="s">
        <v>49</v>
      </c>
      <c r="P839">
        <v>0</v>
      </c>
      <c r="Q839" t="s">
        <v>50</v>
      </c>
      <c r="R839" t="s">
        <v>51</v>
      </c>
      <c r="S839">
        <v>1956</v>
      </c>
      <c r="T839">
        <v>-777</v>
      </c>
      <c r="U839" s="1">
        <v>20739</v>
      </c>
      <c r="V839" s="2">
        <v>20739</v>
      </c>
      <c r="Z839">
        <v>0</v>
      </c>
      <c r="AA839">
        <v>1</v>
      </c>
      <c r="AB839">
        <v>0</v>
      </c>
      <c r="AC839">
        <v>0</v>
      </c>
      <c r="AF839">
        <v>2003</v>
      </c>
      <c r="AG839">
        <v>2008</v>
      </c>
      <c r="AO839" t="b">
        <v>0</v>
      </c>
      <c r="AT839">
        <v>1827</v>
      </c>
      <c r="AU839">
        <f t="shared" si="41"/>
        <v>5.0049999999999999</v>
      </c>
    </row>
    <row r="840" spans="1:47" x14ac:dyDescent="0.3">
      <c r="A840">
        <v>838</v>
      </c>
      <c r="B840" t="s">
        <v>3584</v>
      </c>
      <c r="C840" t="s">
        <v>3585</v>
      </c>
      <c r="D840">
        <v>150</v>
      </c>
      <c r="E840" t="s">
        <v>3401</v>
      </c>
      <c r="F840" t="str">
        <f>VLOOKUP(E840,country_continent!A:C,2,FALSE)</f>
        <v>Paraguay</v>
      </c>
      <c r="G840" t="str">
        <f>VLOOKUP(E840,country_continent!A:C,3,FALSE)</f>
        <v>South America</v>
      </c>
      <c r="H840" t="s">
        <v>3586</v>
      </c>
      <c r="I840" s="1">
        <v>39675</v>
      </c>
      <c r="J840" s="3">
        <f t="shared" si="39"/>
        <v>39675</v>
      </c>
      <c r="K840" s="1">
        <v>41082</v>
      </c>
      <c r="L840" s="3">
        <f t="shared" si="40"/>
        <v>41082</v>
      </c>
      <c r="M840" t="s">
        <v>49</v>
      </c>
      <c r="N840" t="s">
        <v>49</v>
      </c>
      <c r="O840" t="s">
        <v>49</v>
      </c>
      <c r="P840">
        <v>0</v>
      </c>
      <c r="Q840" t="s">
        <v>50</v>
      </c>
      <c r="R840" t="s">
        <v>51</v>
      </c>
      <c r="S840">
        <v>1951</v>
      </c>
      <c r="T840">
        <v>-777</v>
      </c>
      <c r="U840" s="1">
        <v>18778</v>
      </c>
      <c r="V840" s="2">
        <v>18778</v>
      </c>
      <c r="Z840">
        <v>0</v>
      </c>
      <c r="AA840">
        <v>1</v>
      </c>
      <c r="AB840">
        <v>0</v>
      </c>
      <c r="AC840">
        <v>0</v>
      </c>
      <c r="AF840">
        <v>2008</v>
      </c>
      <c r="AG840">
        <v>2012</v>
      </c>
      <c r="AO840" t="b">
        <v>0</v>
      </c>
      <c r="AT840">
        <v>1407</v>
      </c>
      <c r="AU840">
        <f t="shared" si="41"/>
        <v>3.855</v>
      </c>
    </row>
    <row r="841" spans="1:47" x14ac:dyDescent="0.3">
      <c r="A841">
        <v>839</v>
      </c>
      <c r="B841" t="s">
        <v>3587</v>
      </c>
      <c r="C841" t="s">
        <v>3588</v>
      </c>
      <c r="D841">
        <v>150</v>
      </c>
      <c r="E841" t="s">
        <v>3401</v>
      </c>
      <c r="F841" t="str">
        <f>VLOOKUP(E841,country_continent!A:C,2,FALSE)</f>
        <v>Paraguay</v>
      </c>
      <c r="G841" t="str">
        <f>VLOOKUP(E841,country_continent!A:C,3,FALSE)</f>
        <v>South America</v>
      </c>
      <c r="H841" t="s">
        <v>3589</v>
      </c>
      <c r="I841" s="1">
        <v>41082</v>
      </c>
      <c r="J841" s="3">
        <f t="shared" si="39"/>
        <v>41082</v>
      </c>
      <c r="K841" s="1">
        <v>41501</v>
      </c>
      <c r="L841" s="3">
        <f t="shared" si="40"/>
        <v>41501</v>
      </c>
      <c r="M841" t="s">
        <v>49</v>
      </c>
      <c r="N841" t="s">
        <v>49</v>
      </c>
      <c r="O841" t="s">
        <v>49</v>
      </c>
      <c r="P841">
        <v>0</v>
      </c>
      <c r="Q841" t="s">
        <v>50</v>
      </c>
      <c r="R841" t="s">
        <v>51</v>
      </c>
      <c r="S841">
        <v>1962</v>
      </c>
      <c r="T841">
        <v>-777</v>
      </c>
      <c r="U841" s="1">
        <v>22851</v>
      </c>
      <c r="V841" s="2">
        <v>22851</v>
      </c>
      <c r="Z841">
        <v>0</v>
      </c>
      <c r="AA841">
        <v>1</v>
      </c>
      <c r="AB841">
        <v>0</v>
      </c>
      <c r="AC841">
        <v>0</v>
      </c>
      <c r="AF841">
        <v>2012</v>
      </c>
      <c r="AG841">
        <v>2013</v>
      </c>
      <c r="AO841" t="b">
        <v>0</v>
      </c>
      <c r="AT841">
        <v>419</v>
      </c>
      <c r="AU841">
        <f t="shared" si="41"/>
        <v>1.1479999999999999</v>
      </c>
    </row>
    <row r="842" spans="1:47" x14ac:dyDescent="0.3">
      <c r="A842">
        <v>840</v>
      </c>
      <c r="B842" t="s">
        <v>3590</v>
      </c>
      <c r="C842" t="s">
        <v>3591</v>
      </c>
      <c r="D842">
        <v>150</v>
      </c>
      <c r="E842" t="s">
        <v>3401</v>
      </c>
      <c r="F842" t="str">
        <f>VLOOKUP(E842,country_continent!A:C,2,FALSE)</f>
        <v>Paraguay</v>
      </c>
      <c r="G842" t="str">
        <f>VLOOKUP(E842,country_continent!A:C,3,FALSE)</f>
        <v>South America</v>
      </c>
      <c r="H842" t="s">
        <v>3592</v>
      </c>
      <c r="I842" s="1">
        <v>41501</v>
      </c>
      <c r="J842" s="3">
        <f t="shared" si="39"/>
        <v>41501</v>
      </c>
      <c r="K842" s="1">
        <v>42369</v>
      </c>
      <c r="L842" s="3">
        <f t="shared" si="40"/>
        <v>42369</v>
      </c>
      <c r="M842" t="s">
        <v>49</v>
      </c>
      <c r="N842" t="s">
        <v>173</v>
      </c>
      <c r="O842" t="s">
        <v>173</v>
      </c>
      <c r="P842">
        <v>0</v>
      </c>
      <c r="Q842" t="s">
        <v>174</v>
      </c>
      <c r="R842" t="s">
        <v>51</v>
      </c>
      <c r="S842">
        <v>1956</v>
      </c>
      <c r="T842">
        <v>-777</v>
      </c>
      <c r="U842" s="1">
        <v>20641</v>
      </c>
      <c r="V842" s="2">
        <v>20641</v>
      </c>
      <c r="Z842">
        <v>0</v>
      </c>
      <c r="AA842">
        <v>-888</v>
      </c>
      <c r="AB842">
        <v>-888</v>
      </c>
      <c r="AC842">
        <v>-888</v>
      </c>
      <c r="AF842">
        <v>2013</v>
      </c>
      <c r="AG842">
        <v>2015</v>
      </c>
      <c r="AO842" t="b">
        <v>0</v>
      </c>
      <c r="AT842">
        <v>868</v>
      </c>
      <c r="AU842">
        <f t="shared" si="41"/>
        <v>2.3780000000000001</v>
      </c>
    </row>
    <row r="843" spans="1:47" x14ac:dyDescent="0.3">
      <c r="A843">
        <v>841</v>
      </c>
      <c r="B843" t="s">
        <v>3593</v>
      </c>
      <c r="C843" t="s">
        <v>3594</v>
      </c>
      <c r="D843">
        <v>155</v>
      </c>
      <c r="E843" t="s">
        <v>3595</v>
      </c>
      <c r="F843" t="str">
        <f>VLOOKUP(E843,country_continent!A:C,2,FALSE)</f>
        <v>Chile</v>
      </c>
      <c r="G843" t="str">
        <f>VLOOKUP(E843,country_continent!A:C,3,FALSE)</f>
        <v>South America</v>
      </c>
      <c r="H843" t="s">
        <v>3596</v>
      </c>
      <c r="I843" t="s">
        <v>3597</v>
      </c>
      <c r="J843" s="3" t="str">
        <f t="shared" si="39"/>
        <v>1871/09/18</v>
      </c>
      <c r="K843" t="s">
        <v>3598</v>
      </c>
      <c r="L843" s="3" t="str">
        <f t="shared" si="40"/>
        <v>1876/09/18</v>
      </c>
      <c r="M843" t="s">
        <v>49</v>
      </c>
      <c r="N843" t="s">
        <v>49</v>
      </c>
      <c r="O843" t="s">
        <v>49</v>
      </c>
      <c r="P843">
        <v>0</v>
      </c>
      <c r="Q843" t="s">
        <v>50</v>
      </c>
      <c r="R843" t="s">
        <v>51</v>
      </c>
      <c r="S843">
        <v>1825</v>
      </c>
      <c r="T843">
        <v>1877</v>
      </c>
      <c r="U843" t="s">
        <v>986</v>
      </c>
      <c r="V843" t="s">
        <v>987</v>
      </c>
      <c r="Y843" t="s">
        <v>3600</v>
      </c>
      <c r="Z843">
        <v>0</v>
      </c>
      <c r="AA843">
        <v>1</v>
      </c>
      <c r="AB843">
        <v>0</v>
      </c>
      <c r="AC843">
        <v>0</v>
      </c>
      <c r="AD843" t="s">
        <v>3601</v>
      </c>
      <c r="AE843">
        <v>0</v>
      </c>
      <c r="AF843">
        <v>1871</v>
      </c>
      <c r="AG843">
        <v>1876</v>
      </c>
      <c r="AO843" t="b">
        <v>0</v>
      </c>
      <c r="AT843">
        <v>1827</v>
      </c>
      <c r="AU843">
        <f t="shared" si="41"/>
        <v>5.0049999999999999</v>
      </c>
    </row>
    <row r="844" spans="1:47" x14ac:dyDescent="0.3">
      <c r="A844">
        <v>842</v>
      </c>
      <c r="B844" t="s">
        <v>3602</v>
      </c>
      <c r="C844" t="s">
        <v>3603</v>
      </c>
      <c r="D844">
        <v>155</v>
      </c>
      <c r="E844" t="s">
        <v>3595</v>
      </c>
      <c r="F844" t="str">
        <f>VLOOKUP(E844,country_continent!A:C,2,FALSE)</f>
        <v>Chile</v>
      </c>
      <c r="G844" t="str">
        <f>VLOOKUP(E844,country_continent!A:C,3,FALSE)</f>
        <v>South America</v>
      </c>
      <c r="H844" t="s">
        <v>3604</v>
      </c>
      <c r="I844" t="s">
        <v>3598</v>
      </c>
      <c r="J844" s="3" t="str">
        <f t="shared" si="39"/>
        <v>1876/09/18</v>
      </c>
      <c r="K844" t="s">
        <v>3605</v>
      </c>
      <c r="L844" s="3" t="str">
        <f t="shared" si="40"/>
        <v>1881/09/18</v>
      </c>
      <c r="M844" t="s">
        <v>49</v>
      </c>
      <c r="N844" t="s">
        <v>49</v>
      </c>
      <c r="O844" t="s">
        <v>49</v>
      </c>
      <c r="P844">
        <v>0</v>
      </c>
      <c r="Q844" t="s">
        <v>50</v>
      </c>
      <c r="R844" t="s">
        <v>51</v>
      </c>
      <c r="S844">
        <v>1825</v>
      </c>
      <c r="T844">
        <v>1884</v>
      </c>
      <c r="U844" t="s">
        <v>3606</v>
      </c>
      <c r="V844" t="s">
        <v>3607</v>
      </c>
      <c r="Y844" t="s">
        <v>3608</v>
      </c>
      <c r="Z844">
        <v>0</v>
      </c>
      <c r="AA844">
        <v>1</v>
      </c>
      <c r="AB844">
        <v>0</v>
      </c>
      <c r="AC844">
        <v>0</v>
      </c>
      <c r="AF844">
        <v>1876</v>
      </c>
      <c r="AG844">
        <v>1881</v>
      </c>
      <c r="AO844" t="b">
        <v>0</v>
      </c>
      <c r="AT844">
        <v>1826</v>
      </c>
      <c r="AU844">
        <f t="shared" si="41"/>
        <v>5.0030000000000001</v>
      </c>
    </row>
    <row r="845" spans="1:47" x14ac:dyDescent="0.3">
      <c r="A845">
        <v>843</v>
      </c>
      <c r="B845" t="s">
        <v>3609</v>
      </c>
      <c r="C845" t="s">
        <v>3610</v>
      </c>
      <c r="D845">
        <v>155</v>
      </c>
      <c r="E845" t="s">
        <v>3595</v>
      </c>
      <c r="F845" t="str">
        <f>VLOOKUP(E845,country_continent!A:C,2,FALSE)</f>
        <v>Chile</v>
      </c>
      <c r="G845" t="str">
        <f>VLOOKUP(E845,country_continent!A:C,3,FALSE)</f>
        <v>South America</v>
      </c>
      <c r="H845" t="s">
        <v>3611</v>
      </c>
      <c r="I845" t="s">
        <v>3605</v>
      </c>
      <c r="J845" s="3" t="str">
        <f t="shared" si="39"/>
        <v>1881/09/18</v>
      </c>
      <c r="K845" t="s">
        <v>3612</v>
      </c>
      <c r="L845" s="3" t="str">
        <f t="shared" si="40"/>
        <v>1886/09/18</v>
      </c>
      <c r="M845" t="s">
        <v>49</v>
      </c>
      <c r="N845" t="s">
        <v>49</v>
      </c>
      <c r="O845" t="s">
        <v>49</v>
      </c>
      <c r="P845">
        <v>0</v>
      </c>
      <c r="Q845" t="s">
        <v>50</v>
      </c>
      <c r="R845" t="s">
        <v>51</v>
      </c>
      <c r="S845">
        <v>1825</v>
      </c>
      <c r="T845">
        <v>1889</v>
      </c>
      <c r="U845" t="s">
        <v>3613</v>
      </c>
      <c r="V845" t="s">
        <v>3614</v>
      </c>
      <c r="Y845" t="s">
        <v>3615</v>
      </c>
      <c r="Z845">
        <v>0</v>
      </c>
      <c r="AA845">
        <v>1</v>
      </c>
      <c r="AB845">
        <v>0</v>
      </c>
      <c r="AC845">
        <v>0</v>
      </c>
      <c r="AF845">
        <v>1881</v>
      </c>
      <c r="AG845">
        <v>1886</v>
      </c>
      <c r="AO845" t="b">
        <v>0</v>
      </c>
      <c r="AT845">
        <v>1826</v>
      </c>
      <c r="AU845">
        <f t="shared" si="41"/>
        <v>5.0030000000000001</v>
      </c>
    </row>
    <row r="846" spans="1:47" x14ac:dyDescent="0.3">
      <c r="A846">
        <v>844</v>
      </c>
      <c r="B846" t="s">
        <v>3616</v>
      </c>
      <c r="C846" t="s">
        <v>3617</v>
      </c>
      <c r="D846">
        <v>155</v>
      </c>
      <c r="E846" t="s">
        <v>3595</v>
      </c>
      <c r="F846" t="str">
        <f>VLOOKUP(E846,country_continent!A:C,2,FALSE)</f>
        <v>Chile</v>
      </c>
      <c r="G846" t="str">
        <f>VLOOKUP(E846,country_continent!A:C,3,FALSE)</f>
        <v>South America</v>
      </c>
      <c r="H846" t="s">
        <v>3618</v>
      </c>
      <c r="I846" t="s">
        <v>3612</v>
      </c>
      <c r="J846" s="3" t="str">
        <f t="shared" si="39"/>
        <v>1886/09/18</v>
      </c>
      <c r="K846" t="s">
        <v>3619</v>
      </c>
      <c r="L846" s="3" t="str">
        <f t="shared" si="40"/>
        <v>1891/08/28</v>
      </c>
      <c r="M846" t="s">
        <v>49</v>
      </c>
      <c r="N846" t="s">
        <v>67</v>
      </c>
      <c r="O846" t="s">
        <v>347</v>
      </c>
      <c r="P846">
        <v>0</v>
      </c>
      <c r="Q846" t="s">
        <v>362</v>
      </c>
      <c r="R846" t="s">
        <v>51</v>
      </c>
      <c r="S846">
        <v>1840</v>
      </c>
      <c r="T846">
        <v>1891</v>
      </c>
      <c r="U846" t="s">
        <v>3620</v>
      </c>
      <c r="V846" t="s">
        <v>3621</v>
      </c>
      <c r="Y846" t="s">
        <v>3622</v>
      </c>
      <c r="Z846">
        <v>0</v>
      </c>
      <c r="AA846">
        <v>3</v>
      </c>
      <c r="AB846">
        <v>-999</v>
      </c>
      <c r="AC846">
        <v>1</v>
      </c>
      <c r="AF846">
        <v>1886</v>
      </c>
      <c r="AG846">
        <v>1891</v>
      </c>
      <c r="AO846" t="b">
        <v>0</v>
      </c>
      <c r="AT846">
        <v>1805</v>
      </c>
      <c r="AU846">
        <f t="shared" si="41"/>
        <v>4.9450000000000003</v>
      </c>
    </row>
    <row r="847" spans="1:47" x14ac:dyDescent="0.3">
      <c r="A847">
        <v>845</v>
      </c>
      <c r="B847" t="s">
        <v>3623</v>
      </c>
      <c r="C847" t="s">
        <v>3624</v>
      </c>
      <c r="D847">
        <v>155</v>
      </c>
      <c r="E847" t="s">
        <v>3595</v>
      </c>
      <c r="F847" t="str">
        <f>VLOOKUP(E847,country_continent!A:C,2,FALSE)</f>
        <v>Chile</v>
      </c>
      <c r="G847" t="str">
        <f>VLOOKUP(E847,country_continent!A:C,3,FALSE)</f>
        <v>South America</v>
      </c>
      <c r="H847" t="s">
        <v>3625</v>
      </c>
      <c r="I847" t="s">
        <v>3626</v>
      </c>
      <c r="J847" s="3" t="str">
        <f t="shared" si="39"/>
        <v>1891/08/31</v>
      </c>
      <c r="K847" t="s">
        <v>3627</v>
      </c>
      <c r="L847" s="3" t="str">
        <f t="shared" si="40"/>
        <v>1896/09/18</v>
      </c>
      <c r="M847" t="s">
        <v>67</v>
      </c>
      <c r="N847" t="s">
        <v>49</v>
      </c>
      <c r="O847" t="s">
        <v>49</v>
      </c>
      <c r="P847">
        <v>0</v>
      </c>
      <c r="Q847" t="s">
        <v>50</v>
      </c>
      <c r="R847" t="s">
        <v>51</v>
      </c>
      <c r="S847">
        <v>1845</v>
      </c>
      <c r="T847">
        <v>1922</v>
      </c>
      <c r="Y847" t="s">
        <v>3628</v>
      </c>
      <c r="Z847">
        <v>1</v>
      </c>
      <c r="AA847">
        <v>1</v>
      </c>
      <c r="AB847">
        <v>0</v>
      </c>
      <c r="AC847">
        <v>0</v>
      </c>
      <c r="AF847">
        <v>1891</v>
      </c>
      <c r="AG847">
        <v>1896</v>
      </c>
      <c r="AO847" t="b">
        <v>0</v>
      </c>
      <c r="AT847">
        <v>1845</v>
      </c>
      <c r="AU847">
        <f t="shared" si="41"/>
        <v>5.0549999999999997</v>
      </c>
    </row>
    <row r="848" spans="1:47" x14ac:dyDescent="0.3">
      <c r="A848">
        <v>846</v>
      </c>
      <c r="B848" t="s">
        <v>3629</v>
      </c>
      <c r="C848" t="s">
        <v>3630</v>
      </c>
      <c r="D848">
        <v>155</v>
      </c>
      <c r="E848" t="s">
        <v>3595</v>
      </c>
      <c r="F848" t="str">
        <f>VLOOKUP(E848,country_continent!A:C,2,FALSE)</f>
        <v>Chile</v>
      </c>
      <c r="G848" t="str">
        <f>VLOOKUP(E848,country_continent!A:C,3,FALSE)</f>
        <v>South America</v>
      </c>
      <c r="H848" t="s">
        <v>3631</v>
      </c>
      <c r="I848" t="s">
        <v>3627</v>
      </c>
      <c r="J848" s="3" t="str">
        <f t="shared" si="39"/>
        <v>1896/09/18</v>
      </c>
      <c r="K848" s="1">
        <v>487</v>
      </c>
      <c r="L848" s="3">
        <f t="shared" si="40"/>
        <v>487</v>
      </c>
      <c r="M848" t="s">
        <v>49</v>
      </c>
      <c r="N848" t="s">
        <v>228</v>
      </c>
      <c r="O848" t="s">
        <v>49</v>
      </c>
      <c r="P848">
        <v>0</v>
      </c>
      <c r="Q848" t="s">
        <v>111</v>
      </c>
      <c r="R848" t="s">
        <v>51</v>
      </c>
      <c r="S848">
        <v>1850</v>
      </c>
      <c r="T848">
        <v>1901</v>
      </c>
      <c r="U848" t="s">
        <v>3632</v>
      </c>
      <c r="V848" t="s">
        <v>3633</v>
      </c>
      <c r="Y848" t="s">
        <v>3634</v>
      </c>
      <c r="Z848">
        <v>0</v>
      </c>
      <c r="AA848">
        <v>2.0999998999999998</v>
      </c>
      <c r="AB848">
        <v>0</v>
      </c>
      <c r="AC848">
        <v>-777</v>
      </c>
      <c r="AD848" t="s">
        <v>3635</v>
      </c>
      <c r="AE848">
        <v>1</v>
      </c>
      <c r="AF848">
        <v>1896</v>
      </c>
      <c r="AG848">
        <v>1901</v>
      </c>
      <c r="AO848" t="b">
        <v>0</v>
      </c>
      <c r="AT848">
        <v>1685</v>
      </c>
      <c r="AU848">
        <f t="shared" si="41"/>
        <v>4.6159999999999997</v>
      </c>
    </row>
    <row r="849" spans="1:47" x14ac:dyDescent="0.3">
      <c r="A849">
        <v>847</v>
      </c>
      <c r="B849" t="s">
        <v>3636</v>
      </c>
      <c r="C849" t="s">
        <v>3637</v>
      </c>
      <c r="D849">
        <v>155</v>
      </c>
      <c r="E849" t="s">
        <v>3595</v>
      </c>
      <c r="F849" t="str">
        <f>VLOOKUP(E849,country_continent!A:C,2,FALSE)</f>
        <v>Chile</v>
      </c>
      <c r="G849" t="str">
        <f>VLOOKUP(E849,country_continent!A:C,3,FALSE)</f>
        <v>South America</v>
      </c>
      <c r="H849" t="s">
        <v>3638</v>
      </c>
      <c r="I849" s="1">
        <v>487</v>
      </c>
      <c r="J849" s="3">
        <f t="shared" si="39"/>
        <v>487</v>
      </c>
      <c r="K849" s="1">
        <v>596</v>
      </c>
      <c r="L849" s="3">
        <f t="shared" si="40"/>
        <v>596</v>
      </c>
      <c r="M849" t="s">
        <v>49</v>
      </c>
      <c r="N849" t="s">
        <v>49</v>
      </c>
      <c r="O849" t="s">
        <v>49</v>
      </c>
      <c r="P849">
        <v>0</v>
      </c>
      <c r="Q849" t="s">
        <v>111</v>
      </c>
      <c r="R849" t="s">
        <v>51</v>
      </c>
      <c r="S849">
        <v>1847</v>
      </c>
      <c r="T849">
        <v>1902</v>
      </c>
      <c r="Z849">
        <v>0</v>
      </c>
      <c r="AA849">
        <v>1</v>
      </c>
      <c r="AB849">
        <v>0</v>
      </c>
      <c r="AC849">
        <v>-777</v>
      </c>
      <c r="AF849">
        <v>1901</v>
      </c>
      <c r="AG849">
        <v>1901</v>
      </c>
      <c r="AO849" t="b">
        <v>0</v>
      </c>
      <c r="AT849">
        <v>109</v>
      </c>
      <c r="AU849">
        <f t="shared" si="41"/>
        <v>0.29899999999999999</v>
      </c>
    </row>
    <row r="850" spans="1:47" x14ac:dyDescent="0.3">
      <c r="A850">
        <v>848</v>
      </c>
      <c r="B850" t="s">
        <v>3639</v>
      </c>
      <c r="C850" t="s">
        <v>3640</v>
      </c>
      <c r="D850">
        <v>155</v>
      </c>
      <c r="E850" t="s">
        <v>3595</v>
      </c>
      <c r="F850" t="str">
        <f>VLOOKUP(E850,country_continent!A:C,2,FALSE)</f>
        <v>Chile</v>
      </c>
      <c r="G850" t="str">
        <f>VLOOKUP(E850,country_continent!A:C,3,FALSE)</f>
        <v>South America</v>
      </c>
      <c r="H850" t="s">
        <v>3641</v>
      </c>
      <c r="I850" s="1">
        <v>596</v>
      </c>
      <c r="J850" s="3">
        <f t="shared" si="39"/>
        <v>596</v>
      </c>
      <c r="K850" s="1">
        <v>2453</v>
      </c>
      <c r="L850" s="3">
        <f t="shared" si="40"/>
        <v>2453</v>
      </c>
      <c r="M850" t="s">
        <v>49</v>
      </c>
      <c r="N850" t="s">
        <v>49</v>
      </c>
      <c r="O850" t="s">
        <v>49</v>
      </c>
      <c r="P850">
        <v>0</v>
      </c>
      <c r="Q850" t="s">
        <v>50</v>
      </c>
      <c r="R850" t="s">
        <v>51</v>
      </c>
      <c r="S850">
        <v>1854</v>
      </c>
      <c r="T850">
        <v>1916</v>
      </c>
      <c r="U850" t="s">
        <v>3642</v>
      </c>
      <c r="V850" t="s">
        <v>3643</v>
      </c>
      <c r="Z850">
        <v>0</v>
      </c>
      <c r="AA850">
        <v>1</v>
      </c>
      <c r="AB850">
        <v>0</v>
      </c>
      <c r="AC850">
        <v>0</v>
      </c>
      <c r="AF850">
        <v>1901</v>
      </c>
      <c r="AG850">
        <v>1906</v>
      </c>
      <c r="AO850" t="b">
        <v>0</v>
      </c>
      <c r="AT850">
        <v>1857</v>
      </c>
      <c r="AU850">
        <f t="shared" si="41"/>
        <v>5.0880000000000001</v>
      </c>
    </row>
    <row r="851" spans="1:47" x14ac:dyDescent="0.3">
      <c r="A851">
        <v>849</v>
      </c>
      <c r="B851" t="s">
        <v>3644</v>
      </c>
      <c r="C851" t="s">
        <v>3645</v>
      </c>
      <c r="D851">
        <v>155</v>
      </c>
      <c r="E851" t="s">
        <v>3595</v>
      </c>
      <c r="F851" t="str">
        <f>VLOOKUP(E851,country_continent!A:C,2,FALSE)</f>
        <v>Chile</v>
      </c>
      <c r="G851" t="str">
        <f>VLOOKUP(E851,country_continent!A:C,3,FALSE)</f>
        <v>South America</v>
      </c>
      <c r="H851" t="s">
        <v>3646</v>
      </c>
      <c r="I851" s="1">
        <v>2453</v>
      </c>
      <c r="J851" s="3">
        <f t="shared" si="39"/>
        <v>2453</v>
      </c>
      <c r="K851" s="1">
        <v>3881</v>
      </c>
      <c r="L851" s="3">
        <f t="shared" si="40"/>
        <v>3881</v>
      </c>
      <c r="M851" t="s">
        <v>49</v>
      </c>
      <c r="N851" t="s">
        <v>110</v>
      </c>
      <c r="O851" t="s">
        <v>49</v>
      </c>
      <c r="P851">
        <v>0</v>
      </c>
      <c r="Q851" t="s">
        <v>111</v>
      </c>
      <c r="R851" t="s">
        <v>51</v>
      </c>
      <c r="S851">
        <v>1848</v>
      </c>
      <c r="T851">
        <v>1910</v>
      </c>
      <c r="U851" t="s">
        <v>3647</v>
      </c>
      <c r="V851" t="s">
        <v>3648</v>
      </c>
      <c r="Z851">
        <v>0</v>
      </c>
      <c r="AA851">
        <v>2</v>
      </c>
      <c r="AB851">
        <v>0</v>
      </c>
      <c r="AC851">
        <v>-777</v>
      </c>
      <c r="AF851">
        <v>1906</v>
      </c>
      <c r="AG851">
        <v>1910</v>
      </c>
      <c r="AO851" t="b">
        <v>0</v>
      </c>
      <c r="AT851">
        <v>1428</v>
      </c>
      <c r="AU851">
        <f t="shared" si="41"/>
        <v>3.9119999999999999</v>
      </c>
    </row>
    <row r="852" spans="1:47" x14ac:dyDescent="0.3">
      <c r="A852">
        <v>850</v>
      </c>
      <c r="B852" t="s">
        <v>3649</v>
      </c>
      <c r="C852" t="s">
        <v>3650</v>
      </c>
      <c r="D852">
        <v>155</v>
      </c>
      <c r="E852" t="s">
        <v>3595</v>
      </c>
      <c r="F852" t="str">
        <f>VLOOKUP(E852,country_continent!A:C,2,FALSE)</f>
        <v>Chile</v>
      </c>
      <c r="G852" t="str">
        <f>VLOOKUP(E852,country_continent!A:C,3,FALSE)</f>
        <v>South America</v>
      </c>
      <c r="H852" t="s">
        <v>3651</v>
      </c>
      <c r="I852" s="1">
        <v>3881</v>
      </c>
      <c r="J852" s="3">
        <f t="shared" si="39"/>
        <v>3881</v>
      </c>
      <c r="K852" s="1">
        <v>3902</v>
      </c>
      <c r="L852" s="3">
        <f t="shared" si="40"/>
        <v>3902</v>
      </c>
      <c r="M852" t="s">
        <v>49</v>
      </c>
      <c r="N852" t="s">
        <v>110</v>
      </c>
      <c r="O852" t="s">
        <v>49</v>
      </c>
      <c r="P852">
        <v>0</v>
      </c>
      <c r="Q852" t="s">
        <v>111</v>
      </c>
      <c r="R852" t="s">
        <v>51</v>
      </c>
      <c r="S852">
        <v>1845</v>
      </c>
      <c r="T852">
        <v>1910</v>
      </c>
      <c r="Z852">
        <v>0</v>
      </c>
      <c r="AA852">
        <v>2</v>
      </c>
      <c r="AB852">
        <v>0</v>
      </c>
      <c r="AC852">
        <v>-777</v>
      </c>
      <c r="AF852">
        <v>1910</v>
      </c>
      <c r="AG852">
        <v>1910</v>
      </c>
      <c r="AO852" t="b">
        <v>0</v>
      </c>
      <c r="AT852">
        <v>21</v>
      </c>
      <c r="AU852">
        <f t="shared" si="41"/>
        <v>5.8000000000000003E-2</v>
      </c>
    </row>
    <row r="853" spans="1:47" x14ac:dyDescent="0.3">
      <c r="A853">
        <v>851</v>
      </c>
      <c r="B853" t="s">
        <v>3652</v>
      </c>
      <c r="C853" t="s">
        <v>3653</v>
      </c>
      <c r="D853">
        <v>155</v>
      </c>
      <c r="E853" t="s">
        <v>3595</v>
      </c>
      <c r="F853" t="str">
        <f>VLOOKUP(E853,country_continent!A:C,2,FALSE)</f>
        <v>Chile</v>
      </c>
      <c r="G853" t="str">
        <f>VLOOKUP(E853,country_continent!A:C,3,FALSE)</f>
        <v>South America</v>
      </c>
      <c r="H853" t="s">
        <v>3654</v>
      </c>
      <c r="I853" s="1">
        <v>3902</v>
      </c>
      <c r="J853" s="3">
        <f t="shared" si="39"/>
        <v>3902</v>
      </c>
      <c r="K853" s="1">
        <v>4279</v>
      </c>
      <c r="L853" s="3">
        <f t="shared" si="40"/>
        <v>4279</v>
      </c>
      <c r="M853" t="s">
        <v>49</v>
      </c>
      <c r="N853" t="s">
        <v>49</v>
      </c>
      <c r="O853" t="s">
        <v>49</v>
      </c>
      <c r="P853">
        <v>0</v>
      </c>
      <c r="Q853" t="s">
        <v>50</v>
      </c>
      <c r="R853" t="s">
        <v>51</v>
      </c>
      <c r="S853">
        <v>1866</v>
      </c>
      <c r="T853">
        <v>1931</v>
      </c>
      <c r="Z853">
        <v>0</v>
      </c>
      <c r="AA853">
        <v>1</v>
      </c>
      <c r="AB853">
        <v>0</v>
      </c>
      <c r="AC853">
        <v>0</v>
      </c>
      <c r="AF853">
        <v>1910</v>
      </c>
      <c r="AG853">
        <v>1911</v>
      </c>
      <c r="AO853" t="b">
        <v>0</v>
      </c>
      <c r="AT853">
        <v>377</v>
      </c>
      <c r="AU853">
        <f t="shared" si="41"/>
        <v>1.0329999999999999</v>
      </c>
    </row>
    <row r="854" spans="1:47" x14ac:dyDescent="0.3">
      <c r="A854">
        <v>852</v>
      </c>
      <c r="B854" t="s">
        <v>3655</v>
      </c>
      <c r="C854" t="s">
        <v>3656</v>
      </c>
      <c r="D854">
        <v>155</v>
      </c>
      <c r="E854" t="s">
        <v>3595</v>
      </c>
      <c r="F854" t="str">
        <f>VLOOKUP(E854,country_continent!A:C,2,FALSE)</f>
        <v>Chile</v>
      </c>
      <c r="G854" t="str">
        <f>VLOOKUP(E854,country_continent!A:C,3,FALSE)</f>
        <v>South America</v>
      </c>
      <c r="H854" t="s">
        <v>3657</v>
      </c>
      <c r="I854" s="1">
        <v>4279</v>
      </c>
      <c r="J854" s="3">
        <f t="shared" si="39"/>
        <v>4279</v>
      </c>
      <c r="K854" s="1">
        <v>5836</v>
      </c>
      <c r="L854" s="3">
        <f t="shared" si="40"/>
        <v>5836</v>
      </c>
      <c r="M854" t="s">
        <v>49</v>
      </c>
      <c r="N854" t="s">
        <v>49</v>
      </c>
      <c r="O854" t="s">
        <v>49</v>
      </c>
      <c r="P854">
        <v>0</v>
      </c>
      <c r="Q854" t="s">
        <v>50</v>
      </c>
      <c r="R854" t="s">
        <v>51</v>
      </c>
      <c r="S854">
        <v>1835</v>
      </c>
      <c r="T854">
        <v>1919</v>
      </c>
      <c r="Y854" t="s">
        <v>3658</v>
      </c>
      <c r="Z854">
        <v>0</v>
      </c>
      <c r="AA854">
        <v>1</v>
      </c>
      <c r="AB854">
        <v>0</v>
      </c>
      <c r="AC854">
        <v>0</v>
      </c>
      <c r="AF854">
        <v>1911</v>
      </c>
      <c r="AG854">
        <v>1915</v>
      </c>
      <c r="AO854" t="b">
        <v>0</v>
      </c>
      <c r="AT854">
        <v>1557</v>
      </c>
      <c r="AU854">
        <f t="shared" si="41"/>
        <v>4.266</v>
      </c>
    </row>
    <row r="855" spans="1:47" x14ac:dyDescent="0.3">
      <c r="A855">
        <v>853</v>
      </c>
      <c r="B855" t="s">
        <v>3659</v>
      </c>
      <c r="C855" t="s">
        <v>3660</v>
      </c>
      <c r="D855">
        <v>155</v>
      </c>
      <c r="E855" t="s">
        <v>3595</v>
      </c>
      <c r="F855" t="str">
        <f>VLOOKUP(E855,country_continent!A:C,2,FALSE)</f>
        <v>Chile</v>
      </c>
      <c r="G855" t="str">
        <f>VLOOKUP(E855,country_continent!A:C,3,FALSE)</f>
        <v>South America</v>
      </c>
      <c r="H855" t="s">
        <v>3661</v>
      </c>
      <c r="I855" s="1">
        <v>5836</v>
      </c>
      <c r="J855" s="3">
        <f t="shared" si="39"/>
        <v>5836</v>
      </c>
      <c r="K855" s="1">
        <v>7663</v>
      </c>
      <c r="L855" s="3">
        <f t="shared" si="40"/>
        <v>7663</v>
      </c>
      <c r="M855" t="s">
        <v>49</v>
      </c>
      <c r="N855" t="s">
        <v>49</v>
      </c>
      <c r="O855" t="s">
        <v>49</v>
      </c>
      <c r="P855">
        <v>0</v>
      </c>
      <c r="Q855" t="s">
        <v>50</v>
      </c>
      <c r="R855" t="s">
        <v>51</v>
      </c>
      <c r="S855">
        <v>1858</v>
      </c>
      <c r="T855">
        <v>1930</v>
      </c>
      <c r="U855" t="s">
        <v>3662</v>
      </c>
      <c r="V855" t="s">
        <v>3663</v>
      </c>
      <c r="Y855" t="s">
        <v>3664</v>
      </c>
      <c r="Z855">
        <v>0</v>
      </c>
      <c r="AA855">
        <v>1</v>
      </c>
      <c r="AB855">
        <v>0</v>
      </c>
      <c r="AC855">
        <v>0</v>
      </c>
      <c r="AF855">
        <v>1915</v>
      </c>
      <c r="AG855">
        <v>1920</v>
      </c>
      <c r="AO855" t="b">
        <v>0</v>
      </c>
      <c r="AT855">
        <v>1827</v>
      </c>
      <c r="AU855">
        <f t="shared" si="41"/>
        <v>5.0049999999999999</v>
      </c>
    </row>
    <row r="856" spans="1:47" x14ac:dyDescent="0.3">
      <c r="A856">
        <v>854</v>
      </c>
      <c r="B856" t="s">
        <v>3665</v>
      </c>
      <c r="C856" t="s">
        <v>3666</v>
      </c>
      <c r="D856">
        <v>155</v>
      </c>
      <c r="E856" t="s">
        <v>3595</v>
      </c>
      <c r="F856" t="str">
        <f>VLOOKUP(E856,country_continent!A:C,2,FALSE)</f>
        <v>Chile</v>
      </c>
      <c r="G856" t="str">
        <f>VLOOKUP(E856,country_continent!A:C,3,FALSE)</f>
        <v>South America</v>
      </c>
      <c r="H856" t="s">
        <v>3667</v>
      </c>
      <c r="I856" s="1">
        <v>7663</v>
      </c>
      <c r="J856" s="3">
        <f t="shared" si="39"/>
        <v>7663</v>
      </c>
      <c r="K856" s="1">
        <v>9018</v>
      </c>
      <c r="L856" s="3">
        <f t="shared" si="40"/>
        <v>9018</v>
      </c>
      <c r="M856" t="s">
        <v>49</v>
      </c>
      <c r="N856" t="s">
        <v>67</v>
      </c>
      <c r="O856" t="s">
        <v>376</v>
      </c>
      <c r="P856">
        <v>0</v>
      </c>
      <c r="Q856" t="s">
        <v>362</v>
      </c>
      <c r="R856" t="s">
        <v>51</v>
      </c>
      <c r="S856">
        <v>1868</v>
      </c>
      <c r="T856">
        <v>1950</v>
      </c>
      <c r="U856" t="s">
        <v>3668</v>
      </c>
      <c r="V856" t="s">
        <v>3669</v>
      </c>
      <c r="W856" s="1">
        <v>18499</v>
      </c>
      <c r="X856" s="2">
        <v>18499</v>
      </c>
      <c r="Y856" t="s">
        <v>3670</v>
      </c>
      <c r="Z856">
        <v>0</v>
      </c>
      <c r="AA856">
        <v>3</v>
      </c>
      <c r="AB856">
        <v>6</v>
      </c>
      <c r="AC856">
        <v>1</v>
      </c>
      <c r="AD856" t="s">
        <v>3671</v>
      </c>
      <c r="AE856">
        <v>0</v>
      </c>
      <c r="AF856">
        <v>1920</v>
      </c>
      <c r="AG856">
        <v>1924</v>
      </c>
      <c r="AO856" t="b">
        <v>0</v>
      </c>
      <c r="AT856">
        <v>1355</v>
      </c>
      <c r="AU856">
        <f t="shared" si="41"/>
        <v>3.7120000000000002</v>
      </c>
    </row>
    <row r="857" spans="1:47" x14ac:dyDescent="0.3">
      <c r="A857">
        <v>855</v>
      </c>
      <c r="B857" t="s">
        <v>3672</v>
      </c>
      <c r="C857" t="s">
        <v>3673</v>
      </c>
      <c r="D857">
        <v>155</v>
      </c>
      <c r="E857" t="s">
        <v>3595</v>
      </c>
      <c r="F857" t="str">
        <f>VLOOKUP(E857,country_continent!A:C,2,FALSE)</f>
        <v>Chile</v>
      </c>
      <c r="G857" t="str">
        <f>VLOOKUP(E857,country_continent!A:C,3,FALSE)</f>
        <v>South America</v>
      </c>
      <c r="H857" t="s">
        <v>3674</v>
      </c>
      <c r="I857" s="1">
        <v>9018</v>
      </c>
      <c r="J857" s="3">
        <f t="shared" si="39"/>
        <v>9018</v>
      </c>
      <c r="K857" s="1">
        <v>9155</v>
      </c>
      <c r="L857" s="3">
        <f t="shared" si="40"/>
        <v>9155</v>
      </c>
      <c r="M857" t="s">
        <v>67</v>
      </c>
      <c r="N857" t="s">
        <v>67</v>
      </c>
      <c r="O857" t="s">
        <v>376</v>
      </c>
      <c r="P857">
        <v>0</v>
      </c>
      <c r="Q857" t="s">
        <v>463</v>
      </c>
      <c r="R857" t="s">
        <v>51</v>
      </c>
      <c r="S857">
        <v>1867</v>
      </c>
      <c r="T857">
        <v>1938</v>
      </c>
      <c r="Y857" t="s">
        <v>3675</v>
      </c>
      <c r="Z857">
        <v>1</v>
      </c>
      <c r="AA857">
        <v>3</v>
      </c>
      <c r="AB857">
        <v>6</v>
      </c>
      <c r="AC857">
        <v>2</v>
      </c>
      <c r="AF857">
        <v>1924</v>
      </c>
      <c r="AG857">
        <v>1925</v>
      </c>
      <c r="AO857" t="b">
        <v>0</v>
      </c>
      <c r="AT857">
        <v>137</v>
      </c>
      <c r="AU857">
        <f t="shared" si="41"/>
        <v>0.375</v>
      </c>
    </row>
    <row r="858" spans="1:47" x14ac:dyDescent="0.3">
      <c r="A858">
        <v>856</v>
      </c>
      <c r="B858" t="s">
        <v>3676</v>
      </c>
      <c r="C858" t="s">
        <v>3677</v>
      </c>
      <c r="D858">
        <v>155</v>
      </c>
      <c r="E858" t="s">
        <v>3595</v>
      </c>
      <c r="F858" t="str">
        <f>VLOOKUP(E858,country_continent!A:C,2,FALSE)</f>
        <v>Chile</v>
      </c>
      <c r="G858" t="str">
        <f>VLOOKUP(E858,country_continent!A:C,3,FALSE)</f>
        <v>South America</v>
      </c>
      <c r="H858" t="s">
        <v>3678</v>
      </c>
      <c r="I858" s="1">
        <v>9155</v>
      </c>
      <c r="J858" s="3">
        <f t="shared" si="39"/>
        <v>9155</v>
      </c>
      <c r="K858" s="1">
        <v>9212</v>
      </c>
      <c r="L858" s="3">
        <f t="shared" si="40"/>
        <v>9212</v>
      </c>
      <c r="M858" t="s">
        <v>67</v>
      </c>
      <c r="N858" t="s">
        <v>49</v>
      </c>
      <c r="O858" t="s">
        <v>49</v>
      </c>
      <c r="P858">
        <v>0</v>
      </c>
      <c r="Q858" t="s">
        <v>50</v>
      </c>
      <c r="R858" t="s">
        <v>51</v>
      </c>
      <c r="S858">
        <v>1877</v>
      </c>
      <c r="T858">
        <v>1960</v>
      </c>
      <c r="U858" t="s">
        <v>3679</v>
      </c>
      <c r="V858" t="s">
        <v>3680</v>
      </c>
      <c r="W858" s="1">
        <v>22034</v>
      </c>
      <c r="X858" s="2">
        <v>22034</v>
      </c>
      <c r="Y858" t="s">
        <v>3681</v>
      </c>
      <c r="Z858">
        <v>1</v>
      </c>
      <c r="AA858">
        <v>1</v>
      </c>
      <c r="AB858">
        <v>0</v>
      </c>
      <c r="AC858">
        <v>0</v>
      </c>
      <c r="AF858">
        <v>1925</v>
      </c>
      <c r="AG858">
        <v>1925</v>
      </c>
      <c r="AO858" t="b">
        <v>0</v>
      </c>
      <c r="AT858">
        <v>57</v>
      </c>
      <c r="AU858">
        <f t="shared" si="41"/>
        <v>0.156</v>
      </c>
    </row>
    <row r="859" spans="1:47" x14ac:dyDescent="0.3">
      <c r="A859">
        <v>857</v>
      </c>
      <c r="B859" t="s">
        <v>3682</v>
      </c>
      <c r="C859" t="s">
        <v>3666</v>
      </c>
      <c r="D859">
        <v>155</v>
      </c>
      <c r="E859" t="s">
        <v>3595</v>
      </c>
      <c r="F859" t="str">
        <f>VLOOKUP(E859,country_continent!A:C,2,FALSE)</f>
        <v>Chile</v>
      </c>
      <c r="G859" t="str">
        <f>VLOOKUP(E859,country_continent!A:C,3,FALSE)</f>
        <v>South America</v>
      </c>
      <c r="H859" t="s">
        <v>3667</v>
      </c>
      <c r="I859" s="1">
        <v>9212</v>
      </c>
      <c r="J859" s="3">
        <f t="shared" si="39"/>
        <v>9212</v>
      </c>
      <c r="K859" s="1">
        <v>9406</v>
      </c>
      <c r="L859" s="3">
        <f t="shared" si="40"/>
        <v>9406</v>
      </c>
      <c r="M859" t="s">
        <v>49</v>
      </c>
      <c r="N859" t="s">
        <v>49</v>
      </c>
      <c r="O859" t="s">
        <v>49</v>
      </c>
      <c r="P859">
        <v>1</v>
      </c>
      <c r="Q859" t="s">
        <v>362</v>
      </c>
      <c r="R859" t="s">
        <v>51</v>
      </c>
      <c r="S859">
        <v>1868</v>
      </c>
      <c r="T859">
        <v>1950</v>
      </c>
      <c r="U859" t="s">
        <v>3668</v>
      </c>
      <c r="V859" t="s">
        <v>3669</v>
      </c>
      <c r="W859" s="1">
        <v>18499</v>
      </c>
      <c r="X859" s="2">
        <v>18499</v>
      </c>
      <c r="Y859" t="s">
        <v>3670</v>
      </c>
      <c r="Z859">
        <v>0</v>
      </c>
      <c r="AA859">
        <v>1</v>
      </c>
      <c r="AB859">
        <v>0</v>
      </c>
      <c r="AC859">
        <v>1</v>
      </c>
      <c r="AD859" t="s">
        <v>3671</v>
      </c>
      <c r="AE859">
        <v>0</v>
      </c>
      <c r="AF859">
        <v>1925</v>
      </c>
      <c r="AG859">
        <v>1925</v>
      </c>
      <c r="AO859" t="b">
        <v>0</v>
      </c>
      <c r="AT859">
        <v>194</v>
      </c>
      <c r="AU859">
        <f t="shared" si="41"/>
        <v>0.53200000000000003</v>
      </c>
    </row>
    <row r="860" spans="1:47" x14ac:dyDescent="0.3">
      <c r="A860">
        <v>858</v>
      </c>
      <c r="B860" t="s">
        <v>3683</v>
      </c>
      <c r="C860" t="s">
        <v>3684</v>
      </c>
      <c r="D860">
        <v>155</v>
      </c>
      <c r="E860" t="s">
        <v>3595</v>
      </c>
      <c r="F860" t="str">
        <f>VLOOKUP(E860,country_continent!A:C,2,FALSE)</f>
        <v>Chile</v>
      </c>
      <c r="G860" t="str">
        <f>VLOOKUP(E860,country_continent!A:C,3,FALSE)</f>
        <v>South America</v>
      </c>
      <c r="H860" t="s">
        <v>3685</v>
      </c>
      <c r="I860" s="1">
        <v>9406</v>
      </c>
      <c r="J860" s="3">
        <f t="shared" si="39"/>
        <v>9406</v>
      </c>
      <c r="K860" s="1">
        <v>9489</v>
      </c>
      <c r="L860" s="3">
        <f t="shared" si="40"/>
        <v>9489</v>
      </c>
      <c r="M860" t="s">
        <v>49</v>
      </c>
      <c r="N860" t="s">
        <v>49</v>
      </c>
      <c r="O860" t="s">
        <v>49</v>
      </c>
      <c r="P860">
        <v>0</v>
      </c>
      <c r="Q860" t="s">
        <v>50</v>
      </c>
      <c r="R860" t="s">
        <v>51</v>
      </c>
      <c r="S860">
        <v>1858</v>
      </c>
      <c r="T860">
        <v>1943</v>
      </c>
      <c r="Z860">
        <v>0</v>
      </c>
      <c r="AA860">
        <v>1</v>
      </c>
      <c r="AB860">
        <v>0</v>
      </c>
      <c r="AC860">
        <v>0</v>
      </c>
      <c r="AF860">
        <v>1925</v>
      </c>
      <c r="AG860">
        <v>1925</v>
      </c>
      <c r="AO860" t="b">
        <v>0</v>
      </c>
      <c r="AT860">
        <v>83</v>
      </c>
      <c r="AU860">
        <f t="shared" si="41"/>
        <v>0.22700000000000001</v>
      </c>
    </row>
    <row r="861" spans="1:47" x14ac:dyDescent="0.3">
      <c r="A861">
        <v>859</v>
      </c>
      <c r="B861" t="s">
        <v>3686</v>
      </c>
      <c r="C861" t="s">
        <v>3653</v>
      </c>
      <c r="D861">
        <v>155</v>
      </c>
      <c r="E861" t="s">
        <v>3595</v>
      </c>
      <c r="F861" t="str">
        <f>VLOOKUP(E861,country_continent!A:C,2,FALSE)</f>
        <v>Chile</v>
      </c>
      <c r="G861" t="str">
        <f>VLOOKUP(E861,country_continent!A:C,3,FALSE)</f>
        <v>South America</v>
      </c>
      <c r="H861" t="s">
        <v>3654</v>
      </c>
      <c r="I861" s="1">
        <v>9489</v>
      </c>
      <c r="J861" s="3">
        <f t="shared" si="39"/>
        <v>9489</v>
      </c>
      <c r="K861" s="1">
        <v>9961</v>
      </c>
      <c r="L861" s="3">
        <f t="shared" si="40"/>
        <v>9961</v>
      </c>
      <c r="M861" t="s">
        <v>67</v>
      </c>
      <c r="N861" t="s">
        <v>67</v>
      </c>
      <c r="O861" t="s">
        <v>376</v>
      </c>
      <c r="P861">
        <v>1</v>
      </c>
      <c r="Q861" t="s">
        <v>362</v>
      </c>
      <c r="R861" t="s">
        <v>51</v>
      </c>
      <c r="S861">
        <v>1866</v>
      </c>
      <c r="T861">
        <v>1931</v>
      </c>
      <c r="Z861">
        <v>1</v>
      </c>
      <c r="AA861">
        <v>3</v>
      </c>
      <c r="AB861">
        <v>6</v>
      </c>
      <c r="AC861">
        <v>1</v>
      </c>
      <c r="AF861">
        <v>1925</v>
      </c>
      <c r="AG861">
        <v>1927</v>
      </c>
      <c r="AO861" t="b">
        <v>0</v>
      </c>
      <c r="AT861">
        <v>472</v>
      </c>
      <c r="AU861">
        <f t="shared" si="41"/>
        <v>1.2929999999999999</v>
      </c>
    </row>
    <row r="862" spans="1:47" x14ac:dyDescent="0.3">
      <c r="A862">
        <v>860</v>
      </c>
      <c r="B862" t="s">
        <v>3687</v>
      </c>
      <c r="C862" t="s">
        <v>3677</v>
      </c>
      <c r="D862">
        <v>155</v>
      </c>
      <c r="E862" t="s">
        <v>3595</v>
      </c>
      <c r="F862" t="str">
        <f>VLOOKUP(E862,country_continent!A:C,2,FALSE)</f>
        <v>Chile</v>
      </c>
      <c r="G862" t="str">
        <f>VLOOKUP(E862,country_continent!A:C,3,FALSE)</f>
        <v>South America</v>
      </c>
      <c r="H862" t="s">
        <v>3678</v>
      </c>
      <c r="I862" s="1">
        <v>9961</v>
      </c>
      <c r="J862" s="3">
        <f t="shared" si="39"/>
        <v>9961</v>
      </c>
      <c r="K862" s="1">
        <v>11530</v>
      </c>
      <c r="L862" s="3">
        <f t="shared" si="40"/>
        <v>11530</v>
      </c>
      <c r="M862" t="s">
        <v>67</v>
      </c>
      <c r="N862" t="s">
        <v>49</v>
      </c>
      <c r="O862" t="s">
        <v>49</v>
      </c>
      <c r="P862">
        <v>1</v>
      </c>
      <c r="Q862" t="s">
        <v>362</v>
      </c>
      <c r="R862" t="s">
        <v>51</v>
      </c>
      <c r="S862">
        <v>1877</v>
      </c>
      <c r="T862">
        <v>1960</v>
      </c>
      <c r="U862" t="s">
        <v>3679</v>
      </c>
      <c r="V862" t="s">
        <v>3680</v>
      </c>
      <c r="W862" s="1">
        <v>22034</v>
      </c>
      <c r="X862" s="2">
        <v>22034</v>
      </c>
      <c r="Y862" t="s">
        <v>3681</v>
      </c>
      <c r="Z862">
        <v>1</v>
      </c>
      <c r="AA862">
        <v>1</v>
      </c>
      <c r="AB862">
        <v>0</v>
      </c>
      <c r="AC862">
        <v>1</v>
      </c>
      <c r="AF862">
        <v>1927</v>
      </c>
      <c r="AG862">
        <v>1931</v>
      </c>
      <c r="AO862" t="b">
        <v>0</v>
      </c>
      <c r="AT862">
        <v>1569</v>
      </c>
      <c r="AU862">
        <f t="shared" si="41"/>
        <v>4.2990000000000004</v>
      </c>
    </row>
    <row r="863" spans="1:47" x14ac:dyDescent="0.3">
      <c r="A863">
        <v>861</v>
      </c>
      <c r="B863" t="s">
        <v>3688</v>
      </c>
      <c r="C863" t="s">
        <v>3689</v>
      </c>
      <c r="D863">
        <v>155</v>
      </c>
      <c r="E863" t="s">
        <v>3595</v>
      </c>
      <c r="F863" t="str">
        <f>VLOOKUP(E863,country_continent!A:C,2,FALSE)</f>
        <v>Chile</v>
      </c>
      <c r="G863" t="str">
        <f>VLOOKUP(E863,country_continent!A:C,3,FALSE)</f>
        <v>South America</v>
      </c>
      <c r="H863" t="s">
        <v>3690</v>
      </c>
      <c r="I863" s="1">
        <v>11530</v>
      </c>
      <c r="J863" s="3">
        <f t="shared" si="39"/>
        <v>11530</v>
      </c>
      <c r="K863" s="1">
        <v>11531</v>
      </c>
      <c r="L863" s="3">
        <f t="shared" si="40"/>
        <v>11531</v>
      </c>
      <c r="M863" t="s">
        <v>49</v>
      </c>
      <c r="N863" t="s">
        <v>49</v>
      </c>
      <c r="O863" t="s">
        <v>49</v>
      </c>
      <c r="P863">
        <v>0</v>
      </c>
      <c r="Q863" t="s">
        <v>50</v>
      </c>
      <c r="R863" t="s">
        <v>51</v>
      </c>
      <c r="S863">
        <v>1876</v>
      </c>
      <c r="T863">
        <v>1957</v>
      </c>
      <c r="U863" t="s">
        <v>3691</v>
      </c>
      <c r="V863" t="s">
        <v>3692</v>
      </c>
      <c r="W863" s="1">
        <v>20919</v>
      </c>
      <c r="X863" s="2">
        <v>20919</v>
      </c>
      <c r="Z863">
        <v>0</v>
      </c>
      <c r="AA863">
        <v>1</v>
      </c>
      <c r="AB863">
        <v>0</v>
      </c>
      <c r="AC863">
        <v>0</v>
      </c>
      <c r="AF863">
        <v>1931</v>
      </c>
      <c r="AG863">
        <v>1931</v>
      </c>
      <c r="AO863" t="b">
        <v>0</v>
      </c>
      <c r="AT863">
        <v>1</v>
      </c>
      <c r="AU863">
        <f t="shared" si="41"/>
        <v>3.0000000000000001E-3</v>
      </c>
    </row>
    <row r="864" spans="1:47" x14ac:dyDescent="0.3">
      <c r="A864">
        <v>862</v>
      </c>
      <c r="B864" t="s">
        <v>3693</v>
      </c>
      <c r="C864" t="s">
        <v>3694</v>
      </c>
      <c r="D864">
        <v>155</v>
      </c>
      <c r="E864" t="s">
        <v>3595</v>
      </c>
      <c r="F864" t="str">
        <f>VLOOKUP(E864,country_continent!A:C,2,FALSE)</f>
        <v>Chile</v>
      </c>
      <c r="G864" t="str">
        <f>VLOOKUP(E864,country_continent!A:C,3,FALSE)</f>
        <v>South America</v>
      </c>
      <c r="H864" t="s">
        <v>3695</v>
      </c>
      <c r="I864" s="1">
        <v>11532</v>
      </c>
      <c r="J864" s="3">
        <f t="shared" si="39"/>
        <v>11532</v>
      </c>
      <c r="K864" s="1">
        <v>11552</v>
      </c>
      <c r="L864" s="3">
        <f t="shared" si="40"/>
        <v>11552</v>
      </c>
      <c r="M864" t="s">
        <v>49</v>
      </c>
      <c r="N864" t="s">
        <v>49</v>
      </c>
      <c r="O864" t="s">
        <v>49</v>
      </c>
      <c r="P864">
        <v>0</v>
      </c>
      <c r="Q864" t="s">
        <v>50</v>
      </c>
      <c r="R864" t="s">
        <v>51</v>
      </c>
      <c r="S864">
        <v>1878</v>
      </c>
      <c r="T864">
        <v>1948</v>
      </c>
      <c r="Z864">
        <v>0</v>
      </c>
      <c r="AA864">
        <v>1</v>
      </c>
      <c r="AB864">
        <v>0</v>
      </c>
      <c r="AC864">
        <v>0</v>
      </c>
      <c r="AF864">
        <v>1931</v>
      </c>
      <c r="AG864">
        <v>1931</v>
      </c>
      <c r="AO864" t="b">
        <v>0</v>
      </c>
      <c r="AT864">
        <v>20</v>
      </c>
      <c r="AU864">
        <f t="shared" si="41"/>
        <v>5.5E-2</v>
      </c>
    </row>
    <row r="865" spans="1:47" x14ac:dyDescent="0.3">
      <c r="A865">
        <v>863</v>
      </c>
      <c r="B865" t="s">
        <v>3696</v>
      </c>
      <c r="C865" t="s">
        <v>3697</v>
      </c>
      <c r="D865">
        <v>155</v>
      </c>
      <c r="E865" t="s">
        <v>3595</v>
      </c>
      <c r="F865" t="str">
        <f>VLOOKUP(E865,country_continent!A:C,2,FALSE)</f>
        <v>Chile</v>
      </c>
      <c r="G865" t="str">
        <f>VLOOKUP(E865,country_continent!A:C,3,FALSE)</f>
        <v>South America</v>
      </c>
      <c r="H865" t="s">
        <v>3698</v>
      </c>
      <c r="I865" s="1">
        <v>11552</v>
      </c>
      <c r="J865" s="3">
        <f t="shared" si="39"/>
        <v>11552</v>
      </c>
      <c r="K865" s="1">
        <v>11642</v>
      </c>
      <c r="L865" s="3">
        <f t="shared" si="40"/>
        <v>11642</v>
      </c>
      <c r="M865" t="s">
        <v>49</v>
      </c>
      <c r="N865" t="s">
        <v>49</v>
      </c>
      <c r="O865" t="s">
        <v>49</v>
      </c>
      <c r="P865">
        <v>0</v>
      </c>
      <c r="Q865" t="s">
        <v>50</v>
      </c>
      <c r="R865" t="s">
        <v>51</v>
      </c>
      <c r="S865">
        <v>1875</v>
      </c>
      <c r="T865">
        <v>1954</v>
      </c>
      <c r="U865" t="s">
        <v>3699</v>
      </c>
      <c r="V865" t="s">
        <v>3700</v>
      </c>
      <c r="W865" s="1">
        <v>20022</v>
      </c>
      <c r="X865" s="2">
        <v>20022</v>
      </c>
      <c r="Y865" t="s">
        <v>3701</v>
      </c>
      <c r="Z865">
        <v>0</v>
      </c>
      <c r="AA865">
        <v>1</v>
      </c>
      <c r="AB865">
        <v>0</v>
      </c>
      <c r="AC865">
        <v>0</v>
      </c>
      <c r="AF865">
        <v>1931</v>
      </c>
      <c r="AG865">
        <v>1931</v>
      </c>
      <c r="AO865" t="b">
        <v>0</v>
      </c>
      <c r="AT865">
        <v>90</v>
      </c>
      <c r="AU865">
        <f t="shared" si="41"/>
        <v>0.247</v>
      </c>
    </row>
    <row r="866" spans="1:47" x14ac:dyDescent="0.3">
      <c r="A866">
        <v>864</v>
      </c>
      <c r="B866" t="s">
        <v>3702</v>
      </c>
      <c r="C866" t="s">
        <v>3694</v>
      </c>
      <c r="D866">
        <v>155</v>
      </c>
      <c r="E866" t="s">
        <v>3595</v>
      </c>
      <c r="F866" t="str">
        <f>VLOOKUP(E866,country_continent!A:C,2,FALSE)</f>
        <v>Chile</v>
      </c>
      <c r="G866" t="str">
        <f>VLOOKUP(E866,country_continent!A:C,3,FALSE)</f>
        <v>South America</v>
      </c>
      <c r="H866" t="s">
        <v>3695</v>
      </c>
      <c r="I866" s="1">
        <v>11642</v>
      </c>
      <c r="J866" s="3">
        <f t="shared" si="39"/>
        <v>11642</v>
      </c>
      <c r="K866" s="1">
        <v>11844</v>
      </c>
      <c r="L866" s="3">
        <f t="shared" si="40"/>
        <v>11844</v>
      </c>
      <c r="M866" t="s">
        <v>49</v>
      </c>
      <c r="N866" t="s">
        <v>67</v>
      </c>
      <c r="O866" t="s">
        <v>376</v>
      </c>
      <c r="P866">
        <v>1</v>
      </c>
      <c r="Q866" t="s">
        <v>362</v>
      </c>
      <c r="R866" t="s">
        <v>51</v>
      </c>
      <c r="S866">
        <v>1878</v>
      </c>
      <c r="T866">
        <v>1948</v>
      </c>
      <c r="Z866">
        <v>0</v>
      </c>
      <c r="AA866">
        <v>3</v>
      </c>
      <c r="AB866">
        <v>6</v>
      </c>
      <c r="AC866">
        <v>1</v>
      </c>
      <c r="AF866">
        <v>1931</v>
      </c>
      <c r="AG866">
        <v>1932</v>
      </c>
      <c r="AO866" t="b">
        <v>0</v>
      </c>
      <c r="AT866">
        <v>202</v>
      </c>
      <c r="AU866">
        <f t="shared" si="41"/>
        <v>0.55300000000000005</v>
      </c>
    </row>
    <row r="867" spans="1:47" x14ac:dyDescent="0.3">
      <c r="A867">
        <v>865</v>
      </c>
      <c r="B867" t="s">
        <v>3703</v>
      </c>
      <c r="C867" t="s">
        <v>3704</v>
      </c>
      <c r="D867">
        <v>155</v>
      </c>
      <c r="E867" t="s">
        <v>3595</v>
      </c>
      <c r="F867" t="str">
        <f>VLOOKUP(E867,country_continent!A:C,2,FALSE)</f>
        <v>Chile</v>
      </c>
      <c r="G867" t="str">
        <f>VLOOKUP(E867,country_continent!A:C,3,FALSE)</f>
        <v>South America</v>
      </c>
      <c r="H867" t="s">
        <v>1337</v>
      </c>
      <c r="I867" s="1">
        <v>11845</v>
      </c>
      <c r="J867" s="3">
        <f t="shared" si="39"/>
        <v>11845</v>
      </c>
      <c r="K867" s="1">
        <v>11852</v>
      </c>
      <c r="L867" s="3">
        <f t="shared" si="40"/>
        <v>11852</v>
      </c>
      <c r="M867" t="s">
        <v>67</v>
      </c>
      <c r="N867" t="s">
        <v>67</v>
      </c>
      <c r="O867" t="s">
        <v>389</v>
      </c>
      <c r="P867">
        <v>0</v>
      </c>
      <c r="Q867" t="s">
        <v>362</v>
      </c>
      <c r="R867" t="s">
        <v>51</v>
      </c>
      <c r="S867">
        <v>1887</v>
      </c>
      <c r="T867">
        <v>1955</v>
      </c>
      <c r="U867" t="s">
        <v>3705</v>
      </c>
      <c r="V867" t="s">
        <v>3706</v>
      </c>
      <c r="Y867" t="s">
        <v>3707</v>
      </c>
      <c r="Z867">
        <v>1</v>
      </c>
      <c r="AA867">
        <v>3</v>
      </c>
      <c r="AB867">
        <v>16</v>
      </c>
      <c r="AC867">
        <v>1</v>
      </c>
      <c r="AF867">
        <v>1932</v>
      </c>
      <c r="AG867">
        <v>1932</v>
      </c>
      <c r="AO867" t="b">
        <v>0</v>
      </c>
      <c r="AT867">
        <v>7</v>
      </c>
      <c r="AU867">
        <f t="shared" si="41"/>
        <v>1.9E-2</v>
      </c>
    </row>
    <row r="868" spans="1:47" x14ac:dyDescent="0.3">
      <c r="A868">
        <v>866</v>
      </c>
      <c r="B868" t="s">
        <v>3708</v>
      </c>
      <c r="C868" t="s">
        <v>3709</v>
      </c>
      <c r="D868">
        <v>155</v>
      </c>
      <c r="E868" t="s">
        <v>3595</v>
      </c>
      <c r="F868" t="str">
        <f>VLOOKUP(E868,country_continent!A:C,2,FALSE)</f>
        <v>Chile</v>
      </c>
      <c r="G868" t="str">
        <f>VLOOKUP(E868,country_continent!A:C,3,FALSE)</f>
        <v>South America</v>
      </c>
      <c r="H868" t="s">
        <v>3710</v>
      </c>
      <c r="I868" s="1">
        <v>11852</v>
      </c>
      <c r="J868" s="3">
        <f t="shared" si="39"/>
        <v>11852</v>
      </c>
      <c r="K868" s="1">
        <v>11857</v>
      </c>
      <c r="L868" s="3">
        <f t="shared" si="40"/>
        <v>11857</v>
      </c>
      <c r="M868" t="s">
        <v>67</v>
      </c>
      <c r="N868" t="s">
        <v>67</v>
      </c>
      <c r="O868" t="s">
        <v>376</v>
      </c>
      <c r="P868">
        <v>0</v>
      </c>
      <c r="Q868" t="s">
        <v>463</v>
      </c>
      <c r="R868" t="s">
        <v>51</v>
      </c>
      <c r="S868">
        <v>1878</v>
      </c>
      <c r="T868">
        <v>1954</v>
      </c>
      <c r="U868" t="s">
        <v>694</v>
      </c>
      <c r="V868" t="s">
        <v>695</v>
      </c>
      <c r="W868" s="1">
        <v>19859</v>
      </c>
      <c r="X868" s="2">
        <v>19859</v>
      </c>
      <c r="Z868">
        <v>1</v>
      </c>
      <c r="AA868">
        <v>3</v>
      </c>
      <c r="AB868">
        <v>6</v>
      </c>
      <c r="AC868">
        <v>2</v>
      </c>
      <c r="AF868">
        <v>1932</v>
      </c>
      <c r="AG868">
        <v>1932</v>
      </c>
      <c r="AO868" t="b">
        <v>0</v>
      </c>
      <c r="AT868">
        <v>5</v>
      </c>
      <c r="AU868">
        <f t="shared" si="41"/>
        <v>1.4E-2</v>
      </c>
    </row>
    <row r="869" spans="1:47" x14ac:dyDescent="0.3">
      <c r="A869">
        <v>867</v>
      </c>
      <c r="B869" t="s">
        <v>3711</v>
      </c>
      <c r="C869" t="s">
        <v>3704</v>
      </c>
      <c r="D869">
        <v>155</v>
      </c>
      <c r="E869" t="s">
        <v>3595</v>
      </c>
      <c r="F869" t="str">
        <f>VLOOKUP(E869,country_continent!A:C,2,FALSE)</f>
        <v>Chile</v>
      </c>
      <c r="G869" t="str">
        <f>VLOOKUP(E869,country_continent!A:C,3,FALSE)</f>
        <v>South America</v>
      </c>
      <c r="H869" t="s">
        <v>1337</v>
      </c>
      <c r="I869" s="1">
        <v>11857</v>
      </c>
      <c r="J869" s="3">
        <f t="shared" si="39"/>
        <v>11857</v>
      </c>
      <c r="K869" s="1">
        <v>11945</v>
      </c>
      <c r="L869" s="3">
        <f t="shared" si="40"/>
        <v>11945</v>
      </c>
      <c r="M869" t="s">
        <v>67</v>
      </c>
      <c r="N869" t="s">
        <v>67</v>
      </c>
      <c r="O869" t="s">
        <v>376</v>
      </c>
      <c r="P869">
        <v>1</v>
      </c>
      <c r="Q869" t="s">
        <v>362</v>
      </c>
      <c r="R869" t="s">
        <v>51</v>
      </c>
      <c r="S869">
        <v>1887</v>
      </c>
      <c r="T869">
        <v>1955</v>
      </c>
      <c r="U869" t="s">
        <v>3705</v>
      </c>
      <c r="V869" t="s">
        <v>3706</v>
      </c>
      <c r="Y869" t="s">
        <v>3707</v>
      </c>
      <c r="Z869">
        <v>1</v>
      </c>
      <c r="AA869">
        <v>3</v>
      </c>
      <c r="AB869">
        <v>6</v>
      </c>
      <c r="AC869">
        <v>1</v>
      </c>
      <c r="AF869">
        <v>1932</v>
      </c>
      <c r="AG869">
        <v>1932</v>
      </c>
      <c r="AO869" t="b">
        <v>0</v>
      </c>
      <c r="AT869">
        <v>88</v>
      </c>
      <c r="AU869">
        <f t="shared" si="41"/>
        <v>0.24099999999999999</v>
      </c>
    </row>
    <row r="870" spans="1:47" x14ac:dyDescent="0.3">
      <c r="A870">
        <v>868</v>
      </c>
      <c r="B870" t="s">
        <v>3712</v>
      </c>
      <c r="C870" t="s">
        <v>3713</v>
      </c>
      <c r="D870">
        <v>155</v>
      </c>
      <c r="E870" t="s">
        <v>3595</v>
      </c>
      <c r="F870" t="str">
        <f>VLOOKUP(E870,country_continent!A:C,2,FALSE)</f>
        <v>Chile</v>
      </c>
      <c r="G870" t="str">
        <f>VLOOKUP(E870,country_continent!A:C,3,FALSE)</f>
        <v>South America</v>
      </c>
      <c r="H870" t="s">
        <v>3714</v>
      </c>
      <c r="I870" s="1">
        <v>11945</v>
      </c>
      <c r="J870" s="3">
        <f t="shared" si="39"/>
        <v>11945</v>
      </c>
      <c r="K870" s="1">
        <v>11964</v>
      </c>
      <c r="L870" s="3">
        <f t="shared" si="40"/>
        <v>11964</v>
      </c>
      <c r="M870" t="s">
        <v>67</v>
      </c>
      <c r="N870" t="s">
        <v>49</v>
      </c>
      <c r="O870" t="s">
        <v>49</v>
      </c>
      <c r="P870">
        <v>0</v>
      </c>
      <c r="Q870" t="s">
        <v>50</v>
      </c>
      <c r="R870" t="s">
        <v>51</v>
      </c>
      <c r="S870">
        <v>1879</v>
      </c>
      <c r="T870">
        <v>1970</v>
      </c>
      <c r="Y870" t="s">
        <v>3715</v>
      </c>
      <c r="Z870">
        <v>1</v>
      </c>
      <c r="AA870">
        <v>1</v>
      </c>
      <c r="AB870">
        <v>0</v>
      </c>
      <c r="AC870">
        <v>0</v>
      </c>
      <c r="AF870">
        <v>1932</v>
      </c>
      <c r="AG870">
        <v>1932</v>
      </c>
      <c r="AO870" t="b">
        <v>0</v>
      </c>
      <c r="AT870">
        <v>19</v>
      </c>
      <c r="AU870">
        <f t="shared" si="41"/>
        <v>5.1999999999999998E-2</v>
      </c>
    </row>
    <row r="871" spans="1:47" x14ac:dyDescent="0.3">
      <c r="A871">
        <v>869</v>
      </c>
      <c r="B871" t="s">
        <v>3716</v>
      </c>
      <c r="C871" t="s">
        <v>3717</v>
      </c>
      <c r="D871">
        <v>155</v>
      </c>
      <c r="E871" t="s">
        <v>3595</v>
      </c>
      <c r="F871" t="str">
        <f>VLOOKUP(E871,country_continent!A:C,2,FALSE)</f>
        <v>Chile</v>
      </c>
      <c r="G871" t="str">
        <f>VLOOKUP(E871,country_continent!A:C,3,FALSE)</f>
        <v>South America</v>
      </c>
      <c r="H871" t="s">
        <v>3718</v>
      </c>
      <c r="I871" s="1">
        <v>11964</v>
      </c>
      <c r="J871" s="3">
        <f t="shared" si="39"/>
        <v>11964</v>
      </c>
      <c r="K871" s="1">
        <v>12048</v>
      </c>
      <c r="L871" s="3">
        <f t="shared" si="40"/>
        <v>12048</v>
      </c>
      <c r="M871" t="s">
        <v>49</v>
      </c>
      <c r="N871" t="s">
        <v>49</v>
      </c>
      <c r="O871" t="s">
        <v>49</v>
      </c>
      <c r="P871">
        <v>0</v>
      </c>
      <c r="Q871" t="s">
        <v>50</v>
      </c>
      <c r="R871" t="s">
        <v>51</v>
      </c>
      <c r="S871">
        <v>1874</v>
      </c>
      <c r="T871">
        <v>1954</v>
      </c>
      <c r="Z871">
        <v>0</v>
      </c>
      <c r="AA871">
        <v>1</v>
      </c>
      <c r="AB871">
        <v>0</v>
      </c>
      <c r="AC871">
        <v>0</v>
      </c>
      <c r="AF871">
        <v>1932</v>
      </c>
      <c r="AG871">
        <v>1932</v>
      </c>
      <c r="AO871" t="b">
        <v>0</v>
      </c>
      <c r="AT871">
        <v>84</v>
      </c>
      <c r="AU871">
        <f t="shared" si="41"/>
        <v>0.23</v>
      </c>
    </row>
    <row r="872" spans="1:47" x14ac:dyDescent="0.3">
      <c r="A872">
        <v>870</v>
      </c>
      <c r="B872" t="s">
        <v>3719</v>
      </c>
      <c r="C872" t="s">
        <v>3666</v>
      </c>
      <c r="D872">
        <v>155</v>
      </c>
      <c r="E872" t="s">
        <v>3595</v>
      </c>
      <c r="F872" t="str">
        <f>VLOOKUP(E872,country_continent!A:C,2,FALSE)</f>
        <v>Chile</v>
      </c>
      <c r="G872" t="str">
        <f>VLOOKUP(E872,country_continent!A:C,3,FALSE)</f>
        <v>South America</v>
      </c>
      <c r="H872" t="s">
        <v>3667</v>
      </c>
      <c r="I872" s="1">
        <v>12048</v>
      </c>
      <c r="J872" s="3">
        <f t="shared" si="39"/>
        <v>12048</v>
      </c>
      <c r="K872" s="1">
        <v>14238</v>
      </c>
      <c r="L872" s="3">
        <f t="shared" si="40"/>
        <v>14238</v>
      </c>
      <c r="M872" t="s">
        <v>49</v>
      </c>
      <c r="N872" t="s">
        <v>49</v>
      </c>
      <c r="O872" t="s">
        <v>49</v>
      </c>
      <c r="P872">
        <v>2</v>
      </c>
      <c r="Q872" t="s">
        <v>362</v>
      </c>
      <c r="R872" t="s">
        <v>51</v>
      </c>
      <c r="S872">
        <v>1868</v>
      </c>
      <c r="T872">
        <v>1950</v>
      </c>
      <c r="U872" t="s">
        <v>3668</v>
      </c>
      <c r="V872" t="s">
        <v>3669</v>
      </c>
      <c r="W872" s="1">
        <v>18499</v>
      </c>
      <c r="X872" s="2">
        <v>18499</v>
      </c>
      <c r="Y872" t="s">
        <v>3670</v>
      </c>
      <c r="Z872">
        <v>0</v>
      </c>
      <c r="AA872">
        <v>1</v>
      </c>
      <c r="AB872">
        <v>0</v>
      </c>
      <c r="AC872">
        <v>1</v>
      </c>
      <c r="AD872" t="s">
        <v>3671</v>
      </c>
      <c r="AE872">
        <v>0</v>
      </c>
      <c r="AF872">
        <v>1932</v>
      </c>
      <c r="AG872">
        <v>1938</v>
      </c>
      <c r="AO872" t="b">
        <v>0</v>
      </c>
      <c r="AT872">
        <v>2190</v>
      </c>
      <c r="AU872">
        <f t="shared" si="41"/>
        <v>6</v>
      </c>
    </row>
    <row r="873" spans="1:47" x14ac:dyDescent="0.3">
      <c r="A873">
        <v>871</v>
      </c>
      <c r="B873" t="s">
        <v>3720</v>
      </c>
      <c r="C873" t="s">
        <v>3721</v>
      </c>
      <c r="D873">
        <v>155</v>
      </c>
      <c r="E873" t="s">
        <v>3595</v>
      </c>
      <c r="F873" t="str">
        <f>VLOOKUP(E873,country_continent!A:C,2,FALSE)</f>
        <v>Chile</v>
      </c>
      <c r="G873" t="str">
        <f>VLOOKUP(E873,country_continent!A:C,3,FALSE)</f>
        <v>South America</v>
      </c>
      <c r="H873" t="s">
        <v>3722</v>
      </c>
      <c r="I873" s="1">
        <v>14238</v>
      </c>
      <c r="J873" s="3">
        <f t="shared" si="39"/>
        <v>14238</v>
      </c>
      <c r="K873" s="1">
        <v>15305</v>
      </c>
      <c r="L873" s="3">
        <f t="shared" si="40"/>
        <v>15305</v>
      </c>
      <c r="M873" t="s">
        <v>49</v>
      </c>
      <c r="N873" t="s">
        <v>110</v>
      </c>
      <c r="O873" t="s">
        <v>49</v>
      </c>
      <c r="P873">
        <v>0</v>
      </c>
      <c r="Q873" t="s">
        <v>111</v>
      </c>
      <c r="R873" t="s">
        <v>51</v>
      </c>
      <c r="S873">
        <v>1879</v>
      </c>
      <c r="T873">
        <v>1941</v>
      </c>
      <c r="U873" t="s">
        <v>3723</v>
      </c>
      <c r="V873" t="s">
        <v>3724</v>
      </c>
      <c r="W873" s="1">
        <v>15305</v>
      </c>
      <c r="X873" s="2">
        <v>15305</v>
      </c>
      <c r="Y873" t="s">
        <v>3725</v>
      </c>
      <c r="Z873">
        <v>0</v>
      </c>
      <c r="AA873">
        <v>2</v>
      </c>
      <c r="AB873">
        <v>0</v>
      </c>
      <c r="AC873">
        <v>-777</v>
      </c>
      <c r="AF873">
        <v>1938</v>
      </c>
      <c r="AG873">
        <v>1941</v>
      </c>
      <c r="AO873" t="b">
        <v>0</v>
      </c>
      <c r="AT873">
        <v>1067</v>
      </c>
      <c r="AU873">
        <f t="shared" si="41"/>
        <v>2.923</v>
      </c>
    </row>
    <row r="874" spans="1:47" x14ac:dyDescent="0.3">
      <c r="A874">
        <v>872</v>
      </c>
      <c r="B874" t="s">
        <v>3726</v>
      </c>
      <c r="C874" t="s">
        <v>3727</v>
      </c>
      <c r="D874">
        <v>155</v>
      </c>
      <c r="E874" t="s">
        <v>3595</v>
      </c>
      <c r="F874" t="str">
        <f>VLOOKUP(E874,country_continent!A:C,2,FALSE)</f>
        <v>Chile</v>
      </c>
      <c r="G874" t="str">
        <f>VLOOKUP(E874,country_continent!A:C,3,FALSE)</f>
        <v>South America</v>
      </c>
      <c r="H874" t="s">
        <v>3728</v>
      </c>
      <c r="I874" s="1">
        <v>15305</v>
      </c>
      <c r="J874" s="3">
        <f t="shared" si="39"/>
        <v>15305</v>
      </c>
      <c r="K874" s="1">
        <v>15432</v>
      </c>
      <c r="L874" s="3">
        <f t="shared" si="40"/>
        <v>15432</v>
      </c>
      <c r="M874" t="s">
        <v>49</v>
      </c>
      <c r="N874" t="s">
        <v>49</v>
      </c>
      <c r="O874" t="s">
        <v>49</v>
      </c>
      <c r="P874">
        <v>0</v>
      </c>
      <c r="Q874" t="s">
        <v>50</v>
      </c>
      <c r="R874" t="s">
        <v>51</v>
      </c>
      <c r="S874">
        <v>1884</v>
      </c>
      <c r="T874">
        <v>1959</v>
      </c>
      <c r="Z874">
        <v>0</v>
      </c>
      <c r="AA874">
        <v>1</v>
      </c>
      <c r="AB874">
        <v>0</v>
      </c>
      <c r="AC874">
        <v>0</v>
      </c>
      <c r="AF874">
        <v>1941</v>
      </c>
      <c r="AG874">
        <v>1942</v>
      </c>
      <c r="AO874" t="b">
        <v>0</v>
      </c>
      <c r="AT874">
        <v>127</v>
      </c>
      <c r="AU874">
        <f t="shared" si="41"/>
        <v>0.34799999999999998</v>
      </c>
    </row>
    <row r="875" spans="1:47" x14ac:dyDescent="0.3">
      <c r="A875">
        <v>873</v>
      </c>
      <c r="B875" t="s">
        <v>3729</v>
      </c>
      <c r="C875" t="s">
        <v>3730</v>
      </c>
      <c r="D875">
        <v>155</v>
      </c>
      <c r="E875" t="s">
        <v>3595</v>
      </c>
      <c r="F875" t="str">
        <f>VLOOKUP(E875,country_continent!A:C,2,FALSE)</f>
        <v>Chile</v>
      </c>
      <c r="G875" t="str">
        <f>VLOOKUP(E875,country_continent!A:C,3,FALSE)</f>
        <v>South America</v>
      </c>
      <c r="H875" t="s">
        <v>3731</v>
      </c>
      <c r="I875" s="1">
        <v>15432</v>
      </c>
      <c r="J875" s="3">
        <f t="shared" si="39"/>
        <v>15432</v>
      </c>
      <c r="K875" s="1">
        <v>16819</v>
      </c>
      <c r="L875" s="3">
        <f t="shared" si="40"/>
        <v>16819</v>
      </c>
      <c r="M875" t="s">
        <v>49</v>
      </c>
      <c r="N875" t="s">
        <v>228</v>
      </c>
      <c r="O875" t="s">
        <v>49</v>
      </c>
      <c r="P875">
        <v>0</v>
      </c>
      <c r="Q875" t="s">
        <v>111</v>
      </c>
      <c r="R875" t="s">
        <v>51</v>
      </c>
      <c r="S875">
        <v>1888</v>
      </c>
      <c r="T875">
        <v>1946</v>
      </c>
      <c r="U875" t="s">
        <v>3732</v>
      </c>
      <c r="V875" t="s">
        <v>3733</v>
      </c>
      <c r="W875" s="1">
        <v>16980</v>
      </c>
      <c r="X875" s="2">
        <v>16980</v>
      </c>
      <c r="Y875" t="s">
        <v>3734</v>
      </c>
      <c r="Z875">
        <v>0</v>
      </c>
      <c r="AA875">
        <v>2.0999998999999998</v>
      </c>
      <c r="AB875">
        <v>0</v>
      </c>
      <c r="AC875">
        <v>-777</v>
      </c>
      <c r="AF875">
        <v>1942</v>
      </c>
      <c r="AG875">
        <v>1946</v>
      </c>
      <c r="AN875">
        <v>2</v>
      </c>
      <c r="AO875" t="b">
        <v>0</v>
      </c>
      <c r="AT875">
        <v>1387</v>
      </c>
      <c r="AU875">
        <f t="shared" si="41"/>
        <v>3.8</v>
      </c>
    </row>
    <row r="876" spans="1:47" x14ac:dyDescent="0.3">
      <c r="A876">
        <v>874</v>
      </c>
      <c r="B876" t="s">
        <v>3735</v>
      </c>
      <c r="C876" t="s">
        <v>3736</v>
      </c>
      <c r="D876">
        <v>155</v>
      </c>
      <c r="E876" t="s">
        <v>3595</v>
      </c>
      <c r="F876" t="str">
        <f>VLOOKUP(E876,country_continent!A:C,2,FALSE)</f>
        <v>Chile</v>
      </c>
      <c r="G876" t="str">
        <f>VLOOKUP(E876,country_continent!A:C,3,FALSE)</f>
        <v>South America</v>
      </c>
      <c r="H876" t="s">
        <v>3737</v>
      </c>
      <c r="I876" s="1">
        <v>16819</v>
      </c>
      <c r="J876" s="3">
        <f t="shared" si="39"/>
        <v>16819</v>
      </c>
      <c r="K876" s="1">
        <v>17017</v>
      </c>
      <c r="L876" s="3">
        <f t="shared" si="40"/>
        <v>17017</v>
      </c>
      <c r="M876" t="s">
        <v>49</v>
      </c>
      <c r="N876" t="s">
        <v>49</v>
      </c>
      <c r="O876" t="s">
        <v>49</v>
      </c>
      <c r="P876">
        <v>0</v>
      </c>
      <c r="Q876" t="s">
        <v>50</v>
      </c>
      <c r="R876" t="s">
        <v>51</v>
      </c>
      <c r="S876">
        <v>1888</v>
      </c>
      <c r="T876">
        <v>1985</v>
      </c>
      <c r="Z876">
        <v>0</v>
      </c>
      <c r="AA876">
        <v>1</v>
      </c>
      <c r="AB876">
        <v>0</v>
      </c>
      <c r="AC876">
        <v>0</v>
      </c>
      <c r="AF876">
        <v>1946</v>
      </c>
      <c r="AG876">
        <v>1946</v>
      </c>
      <c r="AN876">
        <v>2</v>
      </c>
      <c r="AO876" t="b">
        <v>0</v>
      </c>
      <c r="AT876">
        <v>198</v>
      </c>
      <c r="AU876">
        <f t="shared" si="41"/>
        <v>0.54200000000000004</v>
      </c>
    </row>
    <row r="877" spans="1:47" x14ac:dyDescent="0.3">
      <c r="A877">
        <v>875</v>
      </c>
      <c r="B877" t="s">
        <v>3738</v>
      </c>
      <c r="C877" t="s">
        <v>3739</v>
      </c>
      <c r="D877">
        <v>155</v>
      </c>
      <c r="E877" t="s">
        <v>3595</v>
      </c>
      <c r="F877" t="str">
        <f>VLOOKUP(E877,country_continent!A:C,2,FALSE)</f>
        <v>Chile</v>
      </c>
      <c r="G877" t="str">
        <f>VLOOKUP(E877,country_continent!A:C,3,FALSE)</f>
        <v>South America</v>
      </c>
      <c r="H877" t="s">
        <v>3740</v>
      </c>
      <c r="I877" s="1">
        <v>17017</v>
      </c>
      <c r="J877" s="3">
        <f t="shared" si="39"/>
        <v>17017</v>
      </c>
      <c r="K877" s="1">
        <v>17051</v>
      </c>
      <c r="L877" s="3">
        <f t="shared" si="40"/>
        <v>17051</v>
      </c>
      <c r="M877" t="s">
        <v>49</v>
      </c>
      <c r="N877" t="s">
        <v>49</v>
      </c>
      <c r="O877" t="s">
        <v>49</v>
      </c>
      <c r="P877">
        <v>0</v>
      </c>
      <c r="Q877" t="s">
        <v>50</v>
      </c>
      <c r="R877" t="s">
        <v>51</v>
      </c>
      <c r="S877">
        <v>1895</v>
      </c>
      <c r="T877">
        <v>1977</v>
      </c>
      <c r="Z877">
        <v>0</v>
      </c>
      <c r="AA877">
        <v>1</v>
      </c>
      <c r="AB877">
        <v>0</v>
      </c>
      <c r="AC877">
        <v>0</v>
      </c>
      <c r="AF877">
        <v>1946</v>
      </c>
      <c r="AG877">
        <v>1946</v>
      </c>
      <c r="AN877">
        <v>2</v>
      </c>
      <c r="AO877" t="b">
        <v>0</v>
      </c>
      <c r="AT877">
        <v>34</v>
      </c>
      <c r="AU877">
        <f t="shared" si="41"/>
        <v>9.2999999999999999E-2</v>
      </c>
    </row>
    <row r="878" spans="1:47" x14ac:dyDescent="0.3">
      <c r="A878">
        <v>876</v>
      </c>
      <c r="B878" t="s">
        <v>3741</v>
      </c>
      <c r="C878" t="s">
        <v>3736</v>
      </c>
      <c r="D878">
        <v>155</v>
      </c>
      <c r="E878" t="s">
        <v>3595</v>
      </c>
      <c r="F878" t="str">
        <f>VLOOKUP(E878,country_continent!A:C,2,FALSE)</f>
        <v>Chile</v>
      </c>
      <c r="G878" t="str">
        <f>VLOOKUP(E878,country_continent!A:C,3,FALSE)</f>
        <v>South America</v>
      </c>
      <c r="H878" t="s">
        <v>3737</v>
      </c>
      <c r="I878" s="1">
        <v>17051</v>
      </c>
      <c r="J878" s="3">
        <f t="shared" si="39"/>
        <v>17051</v>
      </c>
      <c r="K878" s="1">
        <v>17092</v>
      </c>
      <c r="L878" s="3">
        <f t="shared" si="40"/>
        <v>17092</v>
      </c>
      <c r="M878" t="s">
        <v>49</v>
      </c>
      <c r="N878" t="s">
        <v>49</v>
      </c>
      <c r="O878" t="s">
        <v>49</v>
      </c>
      <c r="P878">
        <v>1</v>
      </c>
      <c r="Q878" t="s">
        <v>50</v>
      </c>
      <c r="R878" t="s">
        <v>51</v>
      </c>
      <c r="S878">
        <v>1888</v>
      </c>
      <c r="T878">
        <v>1985</v>
      </c>
      <c r="Z878">
        <v>0</v>
      </c>
      <c r="AA878">
        <v>1</v>
      </c>
      <c r="AB878">
        <v>0</v>
      </c>
      <c r="AC878">
        <v>0</v>
      </c>
      <c r="AF878">
        <v>1946</v>
      </c>
      <c r="AG878">
        <v>1946</v>
      </c>
      <c r="AN878">
        <v>2</v>
      </c>
      <c r="AO878" t="b">
        <v>0</v>
      </c>
      <c r="AT878">
        <v>41</v>
      </c>
      <c r="AU878">
        <f t="shared" si="41"/>
        <v>0.112</v>
      </c>
    </row>
    <row r="879" spans="1:47" x14ac:dyDescent="0.3">
      <c r="A879">
        <v>877</v>
      </c>
      <c r="B879" t="s">
        <v>3742</v>
      </c>
      <c r="C879" t="s">
        <v>3743</v>
      </c>
      <c r="D879">
        <v>155</v>
      </c>
      <c r="E879" t="s">
        <v>3595</v>
      </c>
      <c r="F879" t="str">
        <f>VLOOKUP(E879,country_continent!A:C,2,FALSE)</f>
        <v>Chile</v>
      </c>
      <c r="G879" t="str">
        <f>VLOOKUP(E879,country_continent!A:C,3,FALSE)</f>
        <v>South America</v>
      </c>
      <c r="H879" t="s">
        <v>3744</v>
      </c>
      <c r="I879" s="1">
        <v>17092</v>
      </c>
      <c r="J879" s="3">
        <f t="shared" si="39"/>
        <v>17092</v>
      </c>
      <c r="K879" s="1">
        <v>17109</v>
      </c>
      <c r="L879" s="3">
        <f t="shared" si="40"/>
        <v>17109</v>
      </c>
      <c r="M879" t="s">
        <v>49</v>
      </c>
      <c r="N879" t="s">
        <v>49</v>
      </c>
      <c r="O879" t="s">
        <v>49</v>
      </c>
      <c r="P879">
        <v>0</v>
      </c>
      <c r="Q879" t="s">
        <v>50</v>
      </c>
      <c r="R879" t="s">
        <v>51</v>
      </c>
      <c r="S879">
        <v>1885</v>
      </c>
      <c r="T879">
        <v>1966</v>
      </c>
      <c r="U879" t="s">
        <v>3745</v>
      </c>
      <c r="V879" t="s">
        <v>3746</v>
      </c>
      <c r="Z879">
        <v>0</v>
      </c>
      <c r="AA879">
        <v>1</v>
      </c>
      <c r="AB879">
        <v>0</v>
      </c>
      <c r="AC879">
        <v>0</v>
      </c>
      <c r="AF879">
        <v>1946</v>
      </c>
      <c r="AG879">
        <v>1946</v>
      </c>
      <c r="AN879">
        <v>2</v>
      </c>
      <c r="AO879" t="b">
        <v>0</v>
      </c>
      <c r="AT879">
        <v>17</v>
      </c>
      <c r="AU879">
        <f t="shared" si="41"/>
        <v>4.7E-2</v>
      </c>
    </row>
    <row r="880" spans="1:47" x14ac:dyDescent="0.3">
      <c r="A880">
        <v>878</v>
      </c>
      <c r="B880" t="s">
        <v>3747</v>
      </c>
      <c r="C880" t="s">
        <v>3748</v>
      </c>
      <c r="D880">
        <v>155</v>
      </c>
      <c r="E880" t="s">
        <v>3595</v>
      </c>
      <c r="F880" t="str">
        <f>VLOOKUP(E880,country_continent!A:C,2,FALSE)</f>
        <v>Chile</v>
      </c>
      <c r="G880" t="str">
        <f>VLOOKUP(E880,country_continent!A:C,3,FALSE)</f>
        <v>South America</v>
      </c>
      <c r="H880" t="s">
        <v>3749</v>
      </c>
      <c r="I880" s="1">
        <v>17109</v>
      </c>
      <c r="J880" s="3">
        <f t="shared" si="39"/>
        <v>17109</v>
      </c>
      <c r="K880" s="1">
        <v>19301</v>
      </c>
      <c r="L880" s="3">
        <f t="shared" si="40"/>
        <v>19301</v>
      </c>
      <c r="M880" t="s">
        <v>49</v>
      </c>
      <c r="N880" t="s">
        <v>49</v>
      </c>
      <c r="O880" t="s">
        <v>49</v>
      </c>
      <c r="P880">
        <v>0</v>
      </c>
      <c r="Q880" t="s">
        <v>50</v>
      </c>
      <c r="R880" t="s">
        <v>51</v>
      </c>
      <c r="S880">
        <v>1898</v>
      </c>
      <c r="T880">
        <v>1980</v>
      </c>
      <c r="U880" t="s">
        <v>3750</v>
      </c>
      <c r="V880" t="s">
        <v>3751</v>
      </c>
      <c r="W880" s="1">
        <v>29455</v>
      </c>
      <c r="X880" s="2">
        <v>29455</v>
      </c>
      <c r="Y880" t="s">
        <v>3752</v>
      </c>
      <c r="Z880">
        <v>0</v>
      </c>
      <c r="AA880">
        <v>1</v>
      </c>
      <c r="AB880">
        <v>0</v>
      </c>
      <c r="AC880">
        <v>0</v>
      </c>
      <c r="AF880">
        <v>1946</v>
      </c>
      <c r="AG880">
        <v>1952</v>
      </c>
      <c r="AN880">
        <v>2</v>
      </c>
      <c r="AO880" t="b">
        <v>0</v>
      </c>
      <c r="AT880">
        <v>2192</v>
      </c>
      <c r="AU880">
        <f t="shared" si="41"/>
        <v>6.0049999999999999</v>
      </c>
    </row>
    <row r="881" spans="1:47" x14ac:dyDescent="0.3">
      <c r="A881">
        <v>879</v>
      </c>
      <c r="B881" t="s">
        <v>3753</v>
      </c>
      <c r="C881" t="s">
        <v>3754</v>
      </c>
      <c r="D881">
        <v>155</v>
      </c>
      <c r="E881" t="s">
        <v>3595</v>
      </c>
      <c r="F881" t="str">
        <f>VLOOKUP(E881,country_continent!A:C,2,FALSE)</f>
        <v>Chile</v>
      </c>
      <c r="G881" t="str">
        <f>VLOOKUP(E881,country_continent!A:C,3,FALSE)</f>
        <v>South America</v>
      </c>
      <c r="H881" t="s">
        <v>3755</v>
      </c>
      <c r="I881" s="1">
        <v>19301</v>
      </c>
      <c r="J881" s="3">
        <f t="shared" si="39"/>
        <v>19301</v>
      </c>
      <c r="K881" s="1">
        <v>21492</v>
      </c>
      <c r="L881" s="3">
        <f t="shared" si="40"/>
        <v>21492</v>
      </c>
      <c r="M881" t="s">
        <v>49</v>
      </c>
      <c r="N881" t="s">
        <v>49</v>
      </c>
      <c r="O881" t="s">
        <v>49</v>
      </c>
      <c r="P881">
        <v>1</v>
      </c>
      <c r="Q881" t="s">
        <v>50</v>
      </c>
      <c r="R881" t="s">
        <v>51</v>
      </c>
      <c r="S881">
        <v>1877</v>
      </c>
      <c r="T881">
        <v>1960</v>
      </c>
      <c r="U881" t="s">
        <v>3679</v>
      </c>
      <c r="V881" t="s">
        <v>3680</v>
      </c>
      <c r="W881" s="1">
        <v>22034</v>
      </c>
      <c r="X881" s="2">
        <v>22034</v>
      </c>
      <c r="Y881" t="s">
        <v>3681</v>
      </c>
      <c r="Z881">
        <v>0</v>
      </c>
      <c r="AA881">
        <v>1</v>
      </c>
      <c r="AB881">
        <v>0</v>
      </c>
      <c r="AC881">
        <v>0</v>
      </c>
      <c r="AF881">
        <v>1952</v>
      </c>
      <c r="AG881">
        <v>1958</v>
      </c>
      <c r="AN881">
        <v>2.4300000000000002</v>
      </c>
      <c r="AO881" t="b">
        <v>0</v>
      </c>
      <c r="AT881">
        <v>2191</v>
      </c>
      <c r="AU881">
        <f t="shared" si="41"/>
        <v>6.0030000000000001</v>
      </c>
    </row>
    <row r="882" spans="1:47" x14ac:dyDescent="0.3">
      <c r="A882">
        <v>880</v>
      </c>
      <c r="B882" t="s">
        <v>3756</v>
      </c>
      <c r="C882" t="s">
        <v>3757</v>
      </c>
      <c r="D882">
        <v>155</v>
      </c>
      <c r="E882" t="s">
        <v>3595</v>
      </c>
      <c r="F882" t="str">
        <f>VLOOKUP(E882,country_continent!A:C,2,FALSE)</f>
        <v>Chile</v>
      </c>
      <c r="G882" t="str">
        <f>VLOOKUP(E882,country_continent!A:C,3,FALSE)</f>
        <v>South America</v>
      </c>
      <c r="H882" t="s">
        <v>3758</v>
      </c>
      <c r="I882" s="1">
        <v>21492</v>
      </c>
      <c r="J882" s="3">
        <f t="shared" si="39"/>
        <v>21492</v>
      </c>
      <c r="K882" s="1">
        <v>23684</v>
      </c>
      <c r="L882" s="3">
        <f t="shared" si="40"/>
        <v>23684</v>
      </c>
      <c r="M882" t="s">
        <v>49</v>
      </c>
      <c r="N882" t="s">
        <v>49</v>
      </c>
      <c r="O882" t="s">
        <v>49</v>
      </c>
      <c r="P882">
        <v>0</v>
      </c>
      <c r="Q882" t="s">
        <v>50</v>
      </c>
      <c r="R882" t="s">
        <v>51</v>
      </c>
      <c r="S882">
        <v>1896</v>
      </c>
      <c r="T882">
        <v>1986</v>
      </c>
      <c r="U882" t="s">
        <v>3759</v>
      </c>
      <c r="V882" t="s">
        <v>3760</v>
      </c>
      <c r="W882" s="1">
        <v>31655</v>
      </c>
      <c r="X882" s="2">
        <v>31655</v>
      </c>
      <c r="Y882" t="s">
        <v>3761</v>
      </c>
      <c r="Z882">
        <v>0</v>
      </c>
      <c r="AA882">
        <v>1</v>
      </c>
      <c r="AB882">
        <v>0</v>
      </c>
      <c r="AC882">
        <v>0</v>
      </c>
      <c r="AD882" t="s">
        <v>3762</v>
      </c>
      <c r="AE882">
        <v>1</v>
      </c>
      <c r="AF882">
        <v>1958</v>
      </c>
      <c r="AG882">
        <v>1964</v>
      </c>
      <c r="AH882">
        <v>2.3026894773759401</v>
      </c>
      <c r="AI882">
        <v>650</v>
      </c>
      <c r="AJ882">
        <v>27.5969750053045</v>
      </c>
      <c r="AK882">
        <v>141.57999999999899</v>
      </c>
      <c r="AL882">
        <v>2.0285895901422402</v>
      </c>
      <c r="AN882">
        <v>5.14</v>
      </c>
      <c r="AO882" t="b">
        <v>0</v>
      </c>
      <c r="AT882">
        <v>2192</v>
      </c>
      <c r="AU882">
        <f t="shared" si="41"/>
        <v>6.0049999999999999</v>
      </c>
    </row>
    <row r="883" spans="1:47" x14ac:dyDescent="0.3">
      <c r="A883">
        <v>881</v>
      </c>
      <c r="B883" t="s">
        <v>3763</v>
      </c>
      <c r="C883" t="s">
        <v>3764</v>
      </c>
      <c r="D883">
        <v>155</v>
      </c>
      <c r="E883" t="s">
        <v>3595</v>
      </c>
      <c r="F883" t="str">
        <f>VLOOKUP(E883,country_continent!A:C,2,FALSE)</f>
        <v>Chile</v>
      </c>
      <c r="G883" t="str">
        <f>VLOOKUP(E883,country_continent!A:C,3,FALSE)</f>
        <v>South America</v>
      </c>
      <c r="H883" t="s">
        <v>3765</v>
      </c>
      <c r="I883" s="1">
        <v>23684</v>
      </c>
      <c r="J883" s="3">
        <f t="shared" si="39"/>
        <v>23684</v>
      </c>
      <c r="K883" s="1">
        <v>25875</v>
      </c>
      <c r="L883" s="3">
        <f t="shared" si="40"/>
        <v>25875</v>
      </c>
      <c r="M883" t="s">
        <v>49</v>
      </c>
      <c r="N883" t="s">
        <v>49</v>
      </c>
      <c r="O883" t="s">
        <v>49</v>
      </c>
      <c r="P883">
        <v>0</v>
      </c>
      <c r="Q883" t="s">
        <v>50</v>
      </c>
      <c r="R883" t="s">
        <v>51</v>
      </c>
      <c r="S883">
        <v>1911</v>
      </c>
      <c r="T883">
        <v>1982</v>
      </c>
      <c r="U883" s="1">
        <v>4034</v>
      </c>
      <c r="V883" s="2">
        <v>4034</v>
      </c>
      <c r="W883" s="1">
        <v>29973</v>
      </c>
      <c r="X883" s="2">
        <v>29973</v>
      </c>
      <c r="Y883" t="s">
        <v>3766</v>
      </c>
      <c r="Z883">
        <v>0</v>
      </c>
      <c r="AA883">
        <v>1</v>
      </c>
      <c r="AB883">
        <v>0</v>
      </c>
      <c r="AC883">
        <v>0</v>
      </c>
      <c r="AD883" t="s">
        <v>3767</v>
      </c>
      <c r="AE883">
        <v>0</v>
      </c>
      <c r="AF883">
        <v>1964</v>
      </c>
      <c r="AG883">
        <v>1970</v>
      </c>
      <c r="AH883">
        <v>2.0660207748473902</v>
      </c>
      <c r="AI883">
        <v>772.85714285714198</v>
      </c>
      <c r="AJ883">
        <v>36.284330148806298</v>
      </c>
      <c r="AK883">
        <v>98.5</v>
      </c>
      <c r="AL883">
        <v>1.8159036203471499</v>
      </c>
      <c r="AM883">
        <v>10.133797152578101</v>
      </c>
      <c r="AN883">
        <v>6</v>
      </c>
      <c r="AO883" t="b">
        <v>0</v>
      </c>
      <c r="AT883">
        <v>2191</v>
      </c>
      <c r="AU883">
        <f t="shared" si="41"/>
        <v>6.0030000000000001</v>
      </c>
    </row>
    <row r="884" spans="1:47" x14ac:dyDescent="0.3">
      <c r="A884">
        <v>882</v>
      </c>
      <c r="B884" t="s">
        <v>3768</v>
      </c>
      <c r="C884" t="s">
        <v>3769</v>
      </c>
      <c r="D884">
        <v>155</v>
      </c>
      <c r="E884" t="s">
        <v>3595</v>
      </c>
      <c r="F884" t="str">
        <f>VLOOKUP(E884,country_continent!A:C,2,FALSE)</f>
        <v>Chile</v>
      </c>
      <c r="G884" t="str">
        <f>VLOOKUP(E884,country_continent!A:C,3,FALSE)</f>
        <v>South America</v>
      </c>
      <c r="H884" t="s">
        <v>3770</v>
      </c>
      <c r="I884" s="1">
        <v>25876</v>
      </c>
      <c r="J884" s="3">
        <f t="shared" si="39"/>
        <v>25876</v>
      </c>
      <c r="K884" s="1">
        <v>26918</v>
      </c>
      <c r="L884" s="3">
        <f t="shared" si="40"/>
        <v>26918</v>
      </c>
      <c r="M884" t="s">
        <v>49</v>
      </c>
      <c r="N884" t="s">
        <v>67</v>
      </c>
      <c r="O884" t="s">
        <v>376</v>
      </c>
      <c r="P884">
        <v>0</v>
      </c>
      <c r="Q884" t="s">
        <v>855</v>
      </c>
      <c r="R884" t="s">
        <v>51</v>
      </c>
      <c r="S884">
        <v>1908</v>
      </c>
      <c r="T884">
        <v>1973</v>
      </c>
      <c r="U884" s="1">
        <v>3130</v>
      </c>
      <c r="V884" s="2">
        <v>3130</v>
      </c>
      <c r="W884" s="1">
        <v>26918</v>
      </c>
      <c r="X884" s="2">
        <v>26918</v>
      </c>
      <c r="Y884" t="s">
        <v>3771</v>
      </c>
      <c r="Z884">
        <v>0</v>
      </c>
      <c r="AA884">
        <v>3</v>
      </c>
      <c r="AB884">
        <v>6</v>
      </c>
      <c r="AC884">
        <v>3.0999998999999998</v>
      </c>
      <c r="AF884">
        <v>1970</v>
      </c>
      <c r="AG884">
        <v>1973</v>
      </c>
      <c r="AH884">
        <v>-0.28003618713718798</v>
      </c>
      <c r="AI884">
        <v>1120</v>
      </c>
      <c r="AJ884">
        <v>141.08251163009999</v>
      </c>
      <c r="AK884">
        <v>77.849999999999994</v>
      </c>
      <c r="AL884">
        <v>1.64909612607708</v>
      </c>
      <c r="AM884">
        <v>7.4752257294259197</v>
      </c>
      <c r="AN884">
        <v>2.75</v>
      </c>
      <c r="AO884" t="b">
        <v>0</v>
      </c>
      <c r="AT884">
        <v>1042</v>
      </c>
      <c r="AU884">
        <f t="shared" si="41"/>
        <v>2.855</v>
      </c>
    </row>
    <row r="885" spans="1:47" x14ac:dyDescent="0.3">
      <c r="A885">
        <v>883</v>
      </c>
      <c r="B885" t="s">
        <v>3772</v>
      </c>
      <c r="C885" t="s">
        <v>3773</v>
      </c>
      <c r="D885">
        <v>155</v>
      </c>
      <c r="E885" t="s">
        <v>3595</v>
      </c>
      <c r="F885" t="str">
        <f>VLOOKUP(E885,country_continent!A:C,2,FALSE)</f>
        <v>Chile</v>
      </c>
      <c r="G885" t="str">
        <f>VLOOKUP(E885,country_continent!A:C,3,FALSE)</f>
        <v>South America</v>
      </c>
      <c r="H885" t="s">
        <v>3774</v>
      </c>
      <c r="I885" s="1">
        <v>26918</v>
      </c>
      <c r="J885" s="3">
        <f t="shared" si="39"/>
        <v>26918</v>
      </c>
      <c r="K885" s="1">
        <v>32943</v>
      </c>
      <c r="L885" s="3">
        <f t="shared" si="40"/>
        <v>32943</v>
      </c>
      <c r="M885" t="s">
        <v>67</v>
      </c>
      <c r="N885" t="s">
        <v>49</v>
      </c>
      <c r="O885" t="s">
        <v>49</v>
      </c>
      <c r="P885">
        <v>0</v>
      </c>
      <c r="Q885" t="s">
        <v>50</v>
      </c>
      <c r="R885" t="s">
        <v>51</v>
      </c>
      <c r="S885">
        <v>1915</v>
      </c>
      <c r="T885">
        <v>2006</v>
      </c>
      <c r="U885" s="1">
        <v>5808</v>
      </c>
      <c r="V885" s="2">
        <v>5808</v>
      </c>
      <c r="W885" s="1">
        <v>39061</v>
      </c>
      <c r="X885" s="2">
        <v>39061</v>
      </c>
      <c r="Y885" t="s">
        <v>3775</v>
      </c>
      <c r="Z885">
        <v>1</v>
      </c>
      <c r="AA885">
        <v>1</v>
      </c>
      <c r="AB885">
        <v>0</v>
      </c>
      <c r="AC885">
        <v>0</v>
      </c>
      <c r="AF885">
        <v>1973</v>
      </c>
      <c r="AG885">
        <v>1990</v>
      </c>
      <c r="AH885">
        <v>1.45292914691764</v>
      </c>
      <c r="AI885">
        <v>1717.7777777777701</v>
      </c>
      <c r="AJ885">
        <v>118.866282911651</v>
      </c>
      <c r="AK885">
        <v>36.661111111111097</v>
      </c>
      <c r="AL885">
        <v>1.5451283851834601</v>
      </c>
      <c r="AM885">
        <v>9.39982845378929</v>
      </c>
      <c r="AN885">
        <v>-4.72</v>
      </c>
      <c r="AO885" t="b">
        <v>0</v>
      </c>
      <c r="AT885">
        <v>6025</v>
      </c>
      <c r="AU885">
        <f t="shared" si="41"/>
        <v>16.507000000000001</v>
      </c>
    </row>
    <row r="886" spans="1:47" x14ac:dyDescent="0.3">
      <c r="A886">
        <v>884</v>
      </c>
      <c r="B886" t="s">
        <v>3776</v>
      </c>
      <c r="C886" t="s">
        <v>3777</v>
      </c>
      <c r="D886">
        <v>155</v>
      </c>
      <c r="E886" t="s">
        <v>3595</v>
      </c>
      <c r="F886" t="str">
        <f>VLOOKUP(E886,country_continent!A:C,2,FALSE)</f>
        <v>Chile</v>
      </c>
      <c r="G886" t="str">
        <f>VLOOKUP(E886,country_continent!A:C,3,FALSE)</f>
        <v>South America</v>
      </c>
      <c r="H886" t="s">
        <v>3778</v>
      </c>
      <c r="I886" s="1">
        <v>32943</v>
      </c>
      <c r="J886" s="3">
        <f t="shared" si="39"/>
        <v>32943</v>
      </c>
      <c r="K886" s="1">
        <v>34404</v>
      </c>
      <c r="L886" s="3">
        <f t="shared" si="40"/>
        <v>34404</v>
      </c>
      <c r="M886" t="s">
        <v>49</v>
      </c>
      <c r="N886" t="s">
        <v>49</v>
      </c>
      <c r="O886" t="s">
        <v>49</v>
      </c>
      <c r="P886">
        <v>0</v>
      </c>
      <c r="Q886" t="s">
        <v>50</v>
      </c>
      <c r="R886" t="s">
        <v>51</v>
      </c>
      <c r="S886">
        <v>1918</v>
      </c>
      <c r="T886">
        <v>-777</v>
      </c>
      <c r="U886" s="1">
        <v>6905</v>
      </c>
      <c r="V886" s="2">
        <v>6905</v>
      </c>
      <c r="Y886" t="s">
        <v>3779</v>
      </c>
      <c r="Z886">
        <v>0</v>
      </c>
      <c r="AA886">
        <v>1</v>
      </c>
      <c r="AB886">
        <v>0</v>
      </c>
      <c r="AC886">
        <v>0</v>
      </c>
      <c r="AF886">
        <v>1990</v>
      </c>
      <c r="AG886">
        <v>1994</v>
      </c>
      <c r="AH886">
        <v>5.2256635019019297</v>
      </c>
      <c r="AI886">
        <v>3050</v>
      </c>
      <c r="AJ886">
        <v>16.697158128596701</v>
      </c>
      <c r="AK886">
        <v>16.38</v>
      </c>
      <c r="AL886">
        <v>1.6008549683951601</v>
      </c>
      <c r="AM886">
        <v>5.9970816145272998</v>
      </c>
      <c r="AN886">
        <v>8</v>
      </c>
      <c r="AO886" t="b">
        <v>0</v>
      </c>
      <c r="AT886">
        <v>1461</v>
      </c>
      <c r="AU886">
        <f t="shared" si="41"/>
        <v>4.0030000000000001</v>
      </c>
    </row>
    <row r="887" spans="1:47" x14ac:dyDescent="0.3">
      <c r="A887">
        <v>885</v>
      </c>
      <c r="B887" t="s">
        <v>3780</v>
      </c>
      <c r="C887" t="s">
        <v>3781</v>
      </c>
      <c r="D887">
        <v>155</v>
      </c>
      <c r="E887" t="s">
        <v>3595</v>
      </c>
      <c r="F887" t="str">
        <f>VLOOKUP(E887,country_continent!A:C,2,FALSE)</f>
        <v>Chile</v>
      </c>
      <c r="G887" t="str">
        <f>VLOOKUP(E887,country_continent!A:C,3,FALSE)</f>
        <v>South America</v>
      </c>
      <c r="H887" t="s">
        <v>3782</v>
      </c>
      <c r="I887" s="1">
        <v>34404</v>
      </c>
      <c r="J887" s="3">
        <f t="shared" si="39"/>
        <v>34404</v>
      </c>
      <c r="K887" s="1">
        <v>36596</v>
      </c>
      <c r="L887" s="3">
        <f t="shared" si="40"/>
        <v>36596</v>
      </c>
      <c r="M887" t="s">
        <v>49</v>
      </c>
      <c r="N887" t="s">
        <v>49</v>
      </c>
      <c r="O887" t="s">
        <v>49</v>
      </c>
      <c r="P887">
        <v>0</v>
      </c>
      <c r="Q887" t="s">
        <v>50</v>
      </c>
      <c r="R887" t="s">
        <v>51</v>
      </c>
      <c r="S887">
        <v>1942</v>
      </c>
      <c r="T887">
        <v>-777</v>
      </c>
      <c r="Z887">
        <v>0</v>
      </c>
      <c r="AA887">
        <v>1</v>
      </c>
      <c r="AB887">
        <v>0</v>
      </c>
      <c r="AC887">
        <v>0</v>
      </c>
      <c r="AF887">
        <v>1994</v>
      </c>
      <c r="AG887">
        <v>2000</v>
      </c>
      <c r="AH887">
        <v>3.9700008261150801</v>
      </c>
      <c r="AI887">
        <v>4917.1428571428496</v>
      </c>
      <c r="AJ887">
        <v>5.5672569308272699</v>
      </c>
      <c r="AK887">
        <v>12.3</v>
      </c>
      <c r="AL887">
        <v>1.35340442517628</v>
      </c>
      <c r="AM887">
        <v>4.5796113108807299</v>
      </c>
      <c r="AN887">
        <v>8.14</v>
      </c>
      <c r="AO887" t="b">
        <v>0</v>
      </c>
      <c r="AT887">
        <v>2192</v>
      </c>
      <c r="AU887">
        <f t="shared" si="41"/>
        <v>6.0049999999999999</v>
      </c>
    </row>
    <row r="888" spans="1:47" x14ac:dyDescent="0.3">
      <c r="A888">
        <v>886</v>
      </c>
      <c r="B888" t="s">
        <v>3783</v>
      </c>
      <c r="C888" t="s">
        <v>3784</v>
      </c>
      <c r="D888">
        <v>155</v>
      </c>
      <c r="E888" t="s">
        <v>3595</v>
      </c>
      <c r="F888" t="str">
        <f>VLOOKUP(E888,country_continent!A:C,2,FALSE)</f>
        <v>Chile</v>
      </c>
      <c r="G888" t="str">
        <f>VLOOKUP(E888,country_continent!A:C,3,FALSE)</f>
        <v>South America</v>
      </c>
      <c r="H888" t="s">
        <v>3785</v>
      </c>
      <c r="I888" s="1">
        <v>36597</v>
      </c>
      <c r="J888" s="3">
        <f t="shared" si="39"/>
        <v>36597</v>
      </c>
      <c r="K888" s="1">
        <v>38787</v>
      </c>
      <c r="L888" s="3">
        <f t="shared" si="40"/>
        <v>38787</v>
      </c>
      <c r="M888" t="s">
        <v>49</v>
      </c>
      <c r="N888" t="s">
        <v>49</v>
      </c>
      <c r="O888" t="s">
        <v>49</v>
      </c>
      <c r="P888">
        <v>0</v>
      </c>
      <c r="Q888" t="s">
        <v>50</v>
      </c>
      <c r="R888" t="s">
        <v>51</v>
      </c>
      <c r="S888">
        <v>1928</v>
      </c>
      <c r="T888">
        <v>-777</v>
      </c>
      <c r="Z888">
        <v>0</v>
      </c>
      <c r="AA888">
        <v>1</v>
      </c>
      <c r="AB888">
        <v>0</v>
      </c>
      <c r="AC888">
        <v>0</v>
      </c>
      <c r="AD888" t="s">
        <v>3786</v>
      </c>
      <c r="AE888">
        <v>1</v>
      </c>
      <c r="AF888">
        <v>2000</v>
      </c>
      <c r="AG888">
        <v>2006</v>
      </c>
      <c r="AH888">
        <v>3.8299391879713398</v>
      </c>
      <c r="AI888">
        <v>5378.5714285714203</v>
      </c>
      <c r="AJ888">
        <v>6.1390178149475503</v>
      </c>
      <c r="AK888">
        <v>9.6999999999999993</v>
      </c>
      <c r="AL888">
        <v>1.0686168350015499</v>
      </c>
      <c r="AM888">
        <v>7.7473035234861696</v>
      </c>
      <c r="AN888">
        <v>9.14</v>
      </c>
      <c r="AO888" t="b">
        <v>0</v>
      </c>
      <c r="AT888">
        <v>2190</v>
      </c>
      <c r="AU888">
        <f t="shared" si="41"/>
        <v>6</v>
      </c>
    </row>
    <row r="889" spans="1:47" x14ac:dyDescent="0.3">
      <c r="A889">
        <v>887</v>
      </c>
      <c r="B889" t="s">
        <v>3787</v>
      </c>
      <c r="C889" t="s">
        <v>3788</v>
      </c>
      <c r="D889">
        <v>155</v>
      </c>
      <c r="E889" t="s">
        <v>3595</v>
      </c>
      <c r="F889" t="str">
        <f>VLOOKUP(E889,country_continent!A:C,2,FALSE)</f>
        <v>Chile</v>
      </c>
      <c r="G889" t="str">
        <f>VLOOKUP(E889,country_continent!A:C,3,FALSE)</f>
        <v>South America</v>
      </c>
      <c r="H889" t="s">
        <v>3789</v>
      </c>
      <c r="I889" s="1">
        <v>38787</v>
      </c>
      <c r="J889" s="3">
        <f t="shared" si="39"/>
        <v>38787</v>
      </c>
      <c r="K889" s="1">
        <v>40248</v>
      </c>
      <c r="L889" s="3">
        <f t="shared" si="40"/>
        <v>40248</v>
      </c>
      <c r="M889" t="s">
        <v>49</v>
      </c>
      <c r="N889" t="s">
        <v>49</v>
      </c>
      <c r="O889" t="s">
        <v>49</v>
      </c>
      <c r="P889">
        <v>0</v>
      </c>
      <c r="Q889" t="s">
        <v>50</v>
      </c>
      <c r="R889" t="s">
        <v>299</v>
      </c>
      <c r="S889">
        <v>1951</v>
      </c>
      <c r="T889">
        <v>-777</v>
      </c>
      <c r="U889" s="1">
        <v>18900</v>
      </c>
      <c r="V889" s="2">
        <v>18900</v>
      </c>
      <c r="Z889">
        <v>0</v>
      </c>
      <c r="AA889">
        <v>1</v>
      </c>
      <c r="AB889">
        <v>0</v>
      </c>
      <c r="AC889">
        <v>0</v>
      </c>
      <c r="AF889">
        <v>2006</v>
      </c>
      <c r="AG889">
        <v>2010</v>
      </c>
      <c r="AH889">
        <v>2.9207935067250901</v>
      </c>
      <c r="AI889">
        <v>9320</v>
      </c>
      <c r="AJ889">
        <v>6.0370044035343202</v>
      </c>
      <c r="AK889">
        <v>8.86</v>
      </c>
      <c r="AL889">
        <v>0.99355947606537298</v>
      </c>
      <c r="AM889">
        <v>13.821249753717501</v>
      </c>
      <c r="AN889">
        <v>10</v>
      </c>
      <c r="AO889" t="b">
        <v>0</v>
      </c>
      <c r="AT889">
        <v>1461</v>
      </c>
      <c r="AU889">
        <f t="shared" si="41"/>
        <v>4.0030000000000001</v>
      </c>
    </row>
    <row r="890" spans="1:47" x14ac:dyDescent="0.3">
      <c r="A890">
        <v>888</v>
      </c>
      <c r="B890" t="s">
        <v>3790</v>
      </c>
      <c r="C890" t="s">
        <v>3791</v>
      </c>
      <c r="D890">
        <v>155</v>
      </c>
      <c r="E890" t="s">
        <v>3595</v>
      </c>
      <c r="F890" t="str">
        <f>VLOOKUP(E890,country_continent!A:C,2,FALSE)</f>
        <v>Chile</v>
      </c>
      <c r="G890" t="str">
        <f>VLOOKUP(E890,country_continent!A:C,3,FALSE)</f>
        <v>South America</v>
      </c>
      <c r="H890" t="s">
        <v>3792</v>
      </c>
      <c r="I890" s="1">
        <v>40248</v>
      </c>
      <c r="J890" s="3">
        <f t="shared" si="39"/>
        <v>40248</v>
      </c>
      <c r="K890" s="1">
        <v>41709</v>
      </c>
      <c r="L890" s="3">
        <f t="shared" si="40"/>
        <v>41709</v>
      </c>
      <c r="M890" t="s">
        <v>49</v>
      </c>
      <c r="N890" t="s">
        <v>49</v>
      </c>
      <c r="O890" t="s">
        <v>49</v>
      </c>
      <c r="P890">
        <v>0</v>
      </c>
      <c r="Q890" t="s">
        <v>50</v>
      </c>
      <c r="R890" t="s">
        <v>51</v>
      </c>
      <c r="S890">
        <v>1949</v>
      </c>
      <c r="T890">
        <v>-777</v>
      </c>
      <c r="U890" s="1">
        <v>18233</v>
      </c>
      <c r="V890" s="2">
        <v>18233</v>
      </c>
      <c r="Z890">
        <v>0</v>
      </c>
      <c r="AA890">
        <v>1</v>
      </c>
      <c r="AB890">
        <v>0</v>
      </c>
      <c r="AC890">
        <v>0</v>
      </c>
      <c r="AF890">
        <v>2010</v>
      </c>
      <c r="AG890">
        <v>2014</v>
      </c>
      <c r="AH890">
        <v>3.64543135467158</v>
      </c>
      <c r="AI890">
        <v>13304</v>
      </c>
      <c r="AJ890">
        <v>4.1990170542238801</v>
      </c>
      <c r="AK890">
        <v>8.3999999999999897</v>
      </c>
      <c r="AL890">
        <v>0.98025676461620703</v>
      </c>
      <c r="AM890">
        <v>9.54944740363484</v>
      </c>
      <c r="AN890">
        <v>10</v>
      </c>
      <c r="AO890" t="b">
        <v>0</v>
      </c>
      <c r="AT890">
        <v>1461</v>
      </c>
      <c r="AU890">
        <f t="shared" si="41"/>
        <v>4.0030000000000001</v>
      </c>
    </row>
    <row r="891" spans="1:47" x14ac:dyDescent="0.3">
      <c r="A891">
        <v>889</v>
      </c>
      <c r="B891" t="s">
        <v>3793</v>
      </c>
      <c r="C891" t="s">
        <v>3788</v>
      </c>
      <c r="D891">
        <v>155</v>
      </c>
      <c r="E891" t="s">
        <v>3595</v>
      </c>
      <c r="F891" t="str">
        <f>VLOOKUP(E891,country_continent!A:C,2,FALSE)</f>
        <v>Chile</v>
      </c>
      <c r="G891" t="str">
        <f>VLOOKUP(E891,country_continent!A:C,3,FALSE)</f>
        <v>South America</v>
      </c>
      <c r="H891" t="s">
        <v>3789</v>
      </c>
      <c r="I891" s="1">
        <v>41709</v>
      </c>
      <c r="J891" s="3">
        <f t="shared" si="39"/>
        <v>41709</v>
      </c>
      <c r="K891" s="1">
        <v>42369</v>
      </c>
      <c r="L891" s="3">
        <f t="shared" si="40"/>
        <v>42369</v>
      </c>
      <c r="M891" t="s">
        <v>49</v>
      </c>
      <c r="N891" t="s">
        <v>173</v>
      </c>
      <c r="O891" t="s">
        <v>173</v>
      </c>
      <c r="P891">
        <v>1</v>
      </c>
      <c r="Q891" t="s">
        <v>174</v>
      </c>
      <c r="R891" t="s">
        <v>299</v>
      </c>
      <c r="S891">
        <v>1951</v>
      </c>
      <c r="T891">
        <v>-777</v>
      </c>
      <c r="U891" s="1">
        <v>18900</v>
      </c>
      <c r="V891" s="2">
        <v>18900</v>
      </c>
      <c r="Z891">
        <v>0</v>
      </c>
      <c r="AA891">
        <v>-888</v>
      </c>
      <c r="AB891">
        <v>-888</v>
      </c>
      <c r="AC891">
        <v>-888</v>
      </c>
      <c r="AF891">
        <v>2014</v>
      </c>
      <c r="AG891">
        <v>2015</v>
      </c>
      <c r="AH891">
        <v>0.94835327292504001</v>
      </c>
      <c r="AI891">
        <v>14385</v>
      </c>
      <c r="AJ891">
        <v>5.4036285778260398</v>
      </c>
      <c r="AK891">
        <v>8</v>
      </c>
      <c r="AL891">
        <v>1.0091925744724399</v>
      </c>
      <c r="AM891">
        <v>5.4612118671341401</v>
      </c>
      <c r="AN891">
        <v>10</v>
      </c>
      <c r="AO891" t="b">
        <v>0</v>
      </c>
      <c r="AT891">
        <v>660</v>
      </c>
      <c r="AU891">
        <f t="shared" si="41"/>
        <v>1.8080000000000001</v>
      </c>
    </row>
    <row r="892" spans="1:47" x14ac:dyDescent="0.3">
      <c r="A892">
        <v>890</v>
      </c>
      <c r="B892" t="s">
        <v>3794</v>
      </c>
      <c r="C892" t="s">
        <v>3795</v>
      </c>
      <c r="D892">
        <v>160</v>
      </c>
      <c r="E892" t="s">
        <v>3796</v>
      </c>
      <c r="F892" t="str">
        <f>VLOOKUP(E892,country_continent!A:C,2,FALSE)</f>
        <v>Argentina</v>
      </c>
      <c r="G892" t="str">
        <f>VLOOKUP(E892,country_continent!A:C,3,FALSE)</f>
        <v>South America</v>
      </c>
      <c r="H892" t="s">
        <v>3797</v>
      </c>
      <c r="I892" t="s">
        <v>3798</v>
      </c>
      <c r="J892" s="3" t="str">
        <f t="shared" si="39"/>
        <v>1874/10/12</v>
      </c>
      <c r="K892" t="s">
        <v>3799</v>
      </c>
      <c r="L892" s="3" t="str">
        <f t="shared" si="40"/>
        <v>1880/09/21</v>
      </c>
      <c r="M892" t="s">
        <v>49</v>
      </c>
      <c r="N892" t="s">
        <v>49</v>
      </c>
      <c r="O892" t="s">
        <v>49</v>
      </c>
      <c r="P892">
        <v>0</v>
      </c>
      <c r="Q892" t="s">
        <v>1453</v>
      </c>
      <c r="R892" t="s">
        <v>51</v>
      </c>
      <c r="S892">
        <v>1836</v>
      </c>
      <c r="T892">
        <v>1885</v>
      </c>
      <c r="U892" t="s">
        <v>3800</v>
      </c>
      <c r="V892" t="s">
        <v>3801</v>
      </c>
      <c r="Z892">
        <v>0</v>
      </c>
      <c r="AA892">
        <v>1</v>
      </c>
      <c r="AB892">
        <v>0</v>
      </c>
      <c r="AC892">
        <v>-666</v>
      </c>
      <c r="AF892">
        <v>1874</v>
      </c>
      <c r="AG892">
        <v>1880</v>
      </c>
      <c r="AO892" t="b">
        <v>0</v>
      </c>
      <c r="AT892">
        <v>2171</v>
      </c>
      <c r="AU892">
        <f t="shared" si="41"/>
        <v>5.9480000000000004</v>
      </c>
    </row>
    <row r="893" spans="1:47" x14ac:dyDescent="0.3">
      <c r="A893">
        <v>891</v>
      </c>
      <c r="B893" t="s">
        <v>3802</v>
      </c>
      <c r="C893" t="s">
        <v>3803</v>
      </c>
      <c r="D893">
        <v>160</v>
      </c>
      <c r="E893" t="s">
        <v>3796</v>
      </c>
      <c r="F893" t="str">
        <f>VLOOKUP(E893,country_continent!A:C,2,FALSE)</f>
        <v>Argentina</v>
      </c>
      <c r="G893" t="str">
        <f>VLOOKUP(E893,country_continent!A:C,3,FALSE)</f>
        <v>South America</v>
      </c>
      <c r="H893" t="s">
        <v>3804</v>
      </c>
      <c r="I893" t="s">
        <v>3799</v>
      </c>
      <c r="J893" s="3" t="str">
        <f t="shared" si="39"/>
        <v>1880/09/21</v>
      </c>
      <c r="K893" t="s">
        <v>3805</v>
      </c>
      <c r="L893" s="3" t="str">
        <f t="shared" si="40"/>
        <v>1886/10/12</v>
      </c>
      <c r="M893" t="s">
        <v>49</v>
      </c>
      <c r="N893" t="s">
        <v>49</v>
      </c>
      <c r="O893" t="s">
        <v>49</v>
      </c>
      <c r="P893">
        <v>0</v>
      </c>
      <c r="Q893" t="s">
        <v>50</v>
      </c>
      <c r="R893" t="s">
        <v>51</v>
      </c>
      <c r="S893">
        <v>1843</v>
      </c>
      <c r="T893">
        <v>1914</v>
      </c>
      <c r="U893" t="s">
        <v>3806</v>
      </c>
      <c r="V893" t="s">
        <v>3807</v>
      </c>
      <c r="Y893" t="s">
        <v>3808</v>
      </c>
      <c r="Z893">
        <v>0</v>
      </c>
      <c r="AA893">
        <v>1</v>
      </c>
      <c r="AB893">
        <v>0</v>
      </c>
      <c r="AC893">
        <v>0</v>
      </c>
      <c r="AD893" t="s">
        <v>3809</v>
      </c>
      <c r="AE893">
        <v>0</v>
      </c>
      <c r="AF893">
        <v>1880</v>
      </c>
      <c r="AG893">
        <v>1886</v>
      </c>
      <c r="AO893" t="b">
        <v>0</v>
      </c>
      <c r="AT893">
        <v>2212</v>
      </c>
      <c r="AU893">
        <f t="shared" si="41"/>
        <v>6.06</v>
      </c>
    </row>
    <row r="894" spans="1:47" x14ac:dyDescent="0.3">
      <c r="A894">
        <v>892</v>
      </c>
      <c r="B894" t="s">
        <v>3810</v>
      </c>
      <c r="C894" t="s">
        <v>3811</v>
      </c>
      <c r="D894">
        <v>160</v>
      </c>
      <c r="E894" t="s">
        <v>3796</v>
      </c>
      <c r="F894" t="str">
        <f>VLOOKUP(E894,country_continent!A:C,2,FALSE)</f>
        <v>Argentina</v>
      </c>
      <c r="G894" t="str">
        <f>VLOOKUP(E894,country_continent!A:C,3,FALSE)</f>
        <v>South America</v>
      </c>
      <c r="H894" t="s">
        <v>3812</v>
      </c>
      <c r="I894" t="s">
        <v>3805</v>
      </c>
      <c r="J894" s="3" t="str">
        <f t="shared" si="39"/>
        <v>1886/10/12</v>
      </c>
      <c r="K894" t="s">
        <v>3813</v>
      </c>
      <c r="L894" s="3" t="str">
        <f t="shared" si="40"/>
        <v>1890/08/05</v>
      </c>
      <c r="M894" t="s">
        <v>49</v>
      </c>
      <c r="N894" t="s">
        <v>49</v>
      </c>
      <c r="O894" t="s">
        <v>49</v>
      </c>
      <c r="P894">
        <v>0</v>
      </c>
      <c r="Q894" t="s">
        <v>50</v>
      </c>
      <c r="R894" t="s">
        <v>51</v>
      </c>
      <c r="S894">
        <v>1844</v>
      </c>
      <c r="T894">
        <v>1909</v>
      </c>
      <c r="Z894">
        <v>0</v>
      </c>
      <c r="AA894">
        <v>1</v>
      </c>
      <c r="AB894">
        <v>0</v>
      </c>
      <c r="AC894">
        <v>0</v>
      </c>
      <c r="AD894" t="s">
        <v>3814</v>
      </c>
      <c r="AF894">
        <v>1886</v>
      </c>
      <c r="AG894">
        <v>1890</v>
      </c>
      <c r="AO894" t="b">
        <v>0</v>
      </c>
      <c r="AT894">
        <v>1393</v>
      </c>
      <c r="AU894">
        <f t="shared" si="41"/>
        <v>3.8159999999999998</v>
      </c>
    </row>
    <row r="895" spans="1:47" x14ac:dyDescent="0.3">
      <c r="A895">
        <v>893</v>
      </c>
      <c r="B895" t="s">
        <v>3815</v>
      </c>
      <c r="C895" t="s">
        <v>3816</v>
      </c>
      <c r="D895">
        <v>160</v>
      </c>
      <c r="E895" t="s">
        <v>3796</v>
      </c>
      <c r="F895" t="str">
        <f>VLOOKUP(E895,country_continent!A:C,2,FALSE)</f>
        <v>Argentina</v>
      </c>
      <c r="G895" t="str">
        <f>VLOOKUP(E895,country_continent!A:C,3,FALSE)</f>
        <v>South America</v>
      </c>
      <c r="H895" t="s">
        <v>3817</v>
      </c>
      <c r="I895" t="s">
        <v>3813</v>
      </c>
      <c r="J895" s="3" t="str">
        <f t="shared" si="39"/>
        <v>1890/08/05</v>
      </c>
      <c r="K895" t="s">
        <v>3818</v>
      </c>
      <c r="L895" s="3" t="str">
        <f t="shared" si="40"/>
        <v>1892/10/12</v>
      </c>
      <c r="M895" t="s">
        <v>49</v>
      </c>
      <c r="N895" t="s">
        <v>49</v>
      </c>
      <c r="O895" t="s">
        <v>49</v>
      </c>
      <c r="P895">
        <v>0</v>
      </c>
      <c r="Q895" t="s">
        <v>50</v>
      </c>
      <c r="R895" t="s">
        <v>51</v>
      </c>
      <c r="S895">
        <v>1846</v>
      </c>
      <c r="T895">
        <v>1906</v>
      </c>
      <c r="Y895" t="s">
        <v>3819</v>
      </c>
      <c r="Z895">
        <v>0</v>
      </c>
      <c r="AA895">
        <v>1</v>
      </c>
      <c r="AB895">
        <v>0</v>
      </c>
      <c r="AC895">
        <v>0</v>
      </c>
      <c r="AF895">
        <v>1890</v>
      </c>
      <c r="AG895">
        <v>1892</v>
      </c>
      <c r="AO895" t="b">
        <v>0</v>
      </c>
      <c r="AT895">
        <v>799</v>
      </c>
      <c r="AU895">
        <f t="shared" si="41"/>
        <v>2.1890000000000001</v>
      </c>
    </row>
    <row r="896" spans="1:47" x14ac:dyDescent="0.3">
      <c r="A896">
        <v>894</v>
      </c>
      <c r="B896" t="s">
        <v>3820</v>
      </c>
      <c r="C896" t="s">
        <v>3821</v>
      </c>
      <c r="D896">
        <v>160</v>
      </c>
      <c r="E896" t="s">
        <v>3796</v>
      </c>
      <c r="F896" t="str">
        <f>VLOOKUP(E896,country_continent!A:C,2,FALSE)</f>
        <v>Argentina</v>
      </c>
      <c r="G896" t="str">
        <f>VLOOKUP(E896,country_continent!A:C,3,FALSE)</f>
        <v>South America</v>
      </c>
      <c r="H896" t="s">
        <v>3822</v>
      </c>
      <c r="I896" t="s">
        <v>3818</v>
      </c>
      <c r="J896" s="3" t="str">
        <f t="shared" si="39"/>
        <v>1892/10/12</v>
      </c>
      <c r="K896" t="s">
        <v>3823</v>
      </c>
      <c r="L896" s="3" t="str">
        <f t="shared" si="40"/>
        <v>1895/01/23</v>
      </c>
      <c r="M896" t="s">
        <v>49</v>
      </c>
      <c r="N896" t="s">
        <v>49</v>
      </c>
      <c r="O896" t="s">
        <v>49</v>
      </c>
      <c r="P896">
        <v>0</v>
      </c>
      <c r="Q896" t="s">
        <v>1453</v>
      </c>
      <c r="R896" t="s">
        <v>51</v>
      </c>
      <c r="S896">
        <v>1822</v>
      </c>
      <c r="T896">
        <v>1907</v>
      </c>
      <c r="Y896" t="s">
        <v>3824</v>
      </c>
      <c r="Z896">
        <v>0</v>
      </c>
      <c r="AA896">
        <v>1</v>
      </c>
      <c r="AB896">
        <v>0</v>
      </c>
      <c r="AC896">
        <v>-666</v>
      </c>
      <c r="AD896" t="s">
        <v>3825</v>
      </c>
      <c r="AE896">
        <v>0</v>
      </c>
      <c r="AF896">
        <v>1892</v>
      </c>
      <c r="AG896">
        <v>1895</v>
      </c>
      <c r="AO896" t="b">
        <v>0</v>
      </c>
      <c r="AT896">
        <v>833</v>
      </c>
      <c r="AU896">
        <f t="shared" si="41"/>
        <v>2.282</v>
      </c>
    </row>
    <row r="897" spans="1:47" x14ac:dyDescent="0.3">
      <c r="A897">
        <v>895</v>
      </c>
      <c r="B897" t="s">
        <v>3826</v>
      </c>
      <c r="C897" t="s">
        <v>3827</v>
      </c>
      <c r="D897">
        <v>160</v>
      </c>
      <c r="E897" t="s">
        <v>3796</v>
      </c>
      <c r="F897" t="str">
        <f>VLOOKUP(E897,country_continent!A:C,2,FALSE)</f>
        <v>Argentina</v>
      </c>
      <c r="G897" t="str">
        <f>VLOOKUP(E897,country_continent!A:C,3,FALSE)</f>
        <v>South America</v>
      </c>
      <c r="H897" t="s">
        <v>3828</v>
      </c>
      <c r="I897" t="s">
        <v>3823</v>
      </c>
      <c r="J897" s="3" t="str">
        <f t="shared" si="39"/>
        <v>1895/01/23</v>
      </c>
      <c r="K897" t="s">
        <v>3829</v>
      </c>
      <c r="L897" s="3" t="str">
        <f t="shared" si="40"/>
        <v>1898/10/12</v>
      </c>
      <c r="M897" t="s">
        <v>49</v>
      </c>
      <c r="N897" t="s">
        <v>49</v>
      </c>
      <c r="O897" t="s">
        <v>49</v>
      </c>
      <c r="P897">
        <v>0</v>
      </c>
      <c r="Q897" t="s">
        <v>50</v>
      </c>
      <c r="R897" t="s">
        <v>51</v>
      </c>
      <c r="S897">
        <v>1831</v>
      </c>
      <c r="T897">
        <v>1914</v>
      </c>
      <c r="U897" t="s">
        <v>3830</v>
      </c>
      <c r="V897" t="s">
        <v>3831</v>
      </c>
      <c r="Y897" t="s">
        <v>3832</v>
      </c>
      <c r="Z897">
        <v>0</v>
      </c>
      <c r="AA897">
        <v>1</v>
      </c>
      <c r="AB897">
        <v>0</v>
      </c>
      <c r="AC897">
        <v>0</v>
      </c>
      <c r="AD897" t="s">
        <v>3833</v>
      </c>
      <c r="AE897">
        <v>0</v>
      </c>
      <c r="AF897">
        <v>1895</v>
      </c>
      <c r="AG897">
        <v>1898</v>
      </c>
      <c r="AO897" t="b">
        <v>0</v>
      </c>
      <c r="AT897">
        <v>1358</v>
      </c>
      <c r="AU897">
        <f t="shared" si="41"/>
        <v>3.7210000000000001</v>
      </c>
    </row>
    <row r="898" spans="1:47" x14ac:dyDescent="0.3">
      <c r="A898">
        <v>896</v>
      </c>
      <c r="B898" t="s">
        <v>3834</v>
      </c>
      <c r="C898" t="s">
        <v>3803</v>
      </c>
      <c r="D898">
        <v>160</v>
      </c>
      <c r="E898" t="s">
        <v>3796</v>
      </c>
      <c r="F898" t="str">
        <f>VLOOKUP(E898,country_continent!A:C,2,FALSE)</f>
        <v>Argentina</v>
      </c>
      <c r="G898" t="str">
        <f>VLOOKUP(E898,country_continent!A:C,3,FALSE)</f>
        <v>South America</v>
      </c>
      <c r="H898" t="s">
        <v>3804</v>
      </c>
      <c r="I898" t="s">
        <v>3829</v>
      </c>
      <c r="J898" s="3" t="str">
        <f t="shared" si="39"/>
        <v>1898/10/12</v>
      </c>
      <c r="K898" s="1">
        <v>1747</v>
      </c>
      <c r="L898" s="3">
        <f t="shared" si="40"/>
        <v>1747</v>
      </c>
      <c r="M898" t="s">
        <v>49</v>
      </c>
      <c r="N898" t="s">
        <v>49</v>
      </c>
      <c r="O898" t="s">
        <v>49</v>
      </c>
      <c r="P898">
        <v>1</v>
      </c>
      <c r="Q898" t="s">
        <v>50</v>
      </c>
      <c r="R898" t="s">
        <v>51</v>
      </c>
      <c r="S898">
        <v>1843</v>
      </c>
      <c r="T898">
        <v>1914</v>
      </c>
      <c r="Y898" t="s">
        <v>3808</v>
      </c>
      <c r="Z898">
        <v>0</v>
      </c>
      <c r="AA898">
        <v>1</v>
      </c>
      <c r="AB898">
        <v>0</v>
      </c>
      <c r="AC898">
        <v>0</v>
      </c>
      <c r="AD898" t="s">
        <v>3809</v>
      </c>
      <c r="AE898">
        <v>1</v>
      </c>
      <c r="AF898">
        <v>1898</v>
      </c>
      <c r="AG898">
        <v>1904</v>
      </c>
      <c r="AO898" t="b">
        <v>0</v>
      </c>
      <c r="AT898">
        <v>2191</v>
      </c>
      <c r="AU898">
        <f t="shared" si="41"/>
        <v>6.0030000000000001</v>
      </c>
    </row>
    <row r="899" spans="1:47" x14ac:dyDescent="0.3">
      <c r="A899">
        <v>897</v>
      </c>
      <c r="B899" t="s">
        <v>3835</v>
      </c>
      <c r="C899" t="s">
        <v>3836</v>
      </c>
      <c r="D899">
        <v>160</v>
      </c>
      <c r="E899" t="s">
        <v>3796</v>
      </c>
      <c r="F899" t="str">
        <f>VLOOKUP(E899,country_continent!A:C,2,FALSE)</f>
        <v>Argentina</v>
      </c>
      <c r="G899" t="str">
        <f>VLOOKUP(E899,country_continent!A:C,3,FALSE)</f>
        <v>South America</v>
      </c>
      <c r="H899" t="s">
        <v>3837</v>
      </c>
      <c r="I899" s="1">
        <v>1747</v>
      </c>
      <c r="J899" s="3">
        <f t="shared" ref="J899:J962" si="42">IF(ISNUMBER(SEARCH("-", I899)), SUBSTITUTE(I899, "-", "/"), I899)</f>
        <v>1747</v>
      </c>
      <c r="K899" s="1">
        <v>2263</v>
      </c>
      <c r="L899" s="3">
        <f t="shared" ref="L899:L962" si="43">IF(ISNUMBER(SEARCH("-", K899)), SUBSTITUTE(K899, "-", "/"), K899)</f>
        <v>2263</v>
      </c>
      <c r="M899" t="s">
        <v>49</v>
      </c>
      <c r="N899" t="s">
        <v>110</v>
      </c>
      <c r="O899" t="s">
        <v>49</v>
      </c>
      <c r="P899">
        <v>0</v>
      </c>
      <c r="Q899" t="s">
        <v>111</v>
      </c>
      <c r="R899" t="s">
        <v>51</v>
      </c>
      <c r="S899">
        <v>1835</v>
      </c>
      <c r="T899">
        <v>1906</v>
      </c>
      <c r="U899" t="s">
        <v>3838</v>
      </c>
      <c r="V899" t="s">
        <v>3839</v>
      </c>
      <c r="Y899" t="s">
        <v>3840</v>
      </c>
      <c r="Z899">
        <v>0</v>
      </c>
      <c r="AA899">
        <v>2</v>
      </c>
      <c r="AB899">
        <v>0</v>
      </c>
      <c r="AC899">
        <v>-777</v>
      </c>
      <c r="AF899">
        <v>1904</v>
      </c>
      <c r="AG899">
        <v>1906</v>
      </c>
      <c r="AO899" t="b">
        <v>0</v>
      </c>
      <c r="AT899">
        <v>516</v>
      </c>
      <c r="AU899">
        <f t="shared" ref="AU899:AU962" si="44">ROUND(AT899/365,3)</f>
        <v>1.4139999999999999</v>
      </c>
    </row>
    <row r="900" spans="1:47" x14ac:dyDescent="0.3">
      <c r="A900">
        <v>898</v>
      </c>
      <c r="B900" t="s">
        <v>3841</v>
      </c>
      <c r="C900" t="s">
        <v>3842</v>
      </c>
      <c r="D900">
        <v>160</v>
      </c>
      <c r="E900" t="s">
        <v>3796</v>
      </c>
      <c r="F900" t="str">
        <f>VLOOKUP(E900,country_continent!A:C,2,FALSE)</f>
        <v>Argentina</v>
      </c>
      <c r="G900" t="str">
        <f>VLOOKUP(E900,country_continent!A:C,3,FALSE)</f>
        <v>South America</v>
      </c>
      <c r="H900" t="s">
        <v>3843</v>
      </c>
      <c r="I900" s="1">
        <v>2263</v>
      </c>
      <c r="J900" s="3">
        <f t="shared" si="42"/>
        <v>2263</v>
      </c>
      <c r="K900" s="1">
        <v>3938</v>
      </c>
      <c r="L900" s="3">
        <f t="shared" si="43"/>
        <v>3938</v>
      </c>
      <c r="M900" t="s">
        <v>49</v>
      </c>
      <c r="N900" t="s">
        <v>49</v>
      </c>
      <c r="O900" t="s">
        <v>49</v>
      </c>
      <c r="P900">
        <v>0</v>
      </c>
      <c r="Q900" t="s">
        <v>50</v>
      </c>
      <c r="R900" t="s">
        <v>51</v>
      </c>
      <c r="S900">
        <v>1860</v>
      </c>
      <c r="T900">
        <v>1931</v>
      </c>
      <c r="U900" t="s">
        <v>3844</v>
      </c>
      <c r="V900" t="s">
        <v>3845</v>
      </c>
      <c r="Y900" t="s">
        <v>3846</v>
      </c>
      <c r="Z900">
        <v>0</v>
      </c>
      <c r="AA900">
        <v>1</v>
      </c>
      <c r="AB900">
        <v>0</v>
      </c>
      <c r="AC900">
        <v>0</v>
      </c>
      <c r="AF900">
        <v>1906</v>
      </c>
      <c r="AG900">
        <v>1910</v>
      </c>
      <c r="AO900" t="b">
        <v>0</v>
      </c>
      <c r="AT900">
        <v>1675</v>
      </c>
      <c r="AU900">
        <f t="shared" si="44"/>
        <v>4.5890000000000004</v>
      </c>
    </row>
    <row r="901" spans="1:47" x14ac:dyDescent="0.3">
      <c r="A901">
        <v>899</v>
      </c>
      <c r="B901" t="s">
        <v>3847</v>
      </c>
      <c r="C901" t="s">
        <v>3848</v>
      </c>
      <c r="D901">
        <v>160</v>
      </c>
      <c r="E901" t="s">
        <v>3796</v>
      </c>
      <c r="F901" t="str">
        <f>VLOOKUP(E901,country_continent!A:C,2,FALSE)</f>
        <v>Argentina</v>
      </c>
      <c r="G901" t="str">
        <f>VLOOKUP(E901,country_continent!A:C,3,FALSE)</f>
        <v>South America</v>
      </c>
      <c r="H901" t="s">
        <v>3849</v>
      </c>
      <c r="I901" s="1">
        <v>3938</v>
      </c>
      <c r="J901" s="3">
        <f t="shared" si="42"/>
        <v>3938</v>
      </c>
      <c r="K901" s="1">
        <v>5028</v>
      </c>
      <c r="L901" s="3">
        <f t="shared" si="43"/>
        <v>5028</v>
      </c>
      <c r="M901" t="s">
        <v>49</v>
      </c>
      <c r="N901" t="s">
        <v>228</v>
      </c>
      <c r="O901" t="s">
        <v>49</v>
      </c>
      <c r="P901">
        <v>0</v>
      </c>
      <c r="Q901" t="s">
        <v>50</v>
      </c>
      <c r="R901" t="s">
        <v>51</v>
      </c>
      <c r="S901">
        <v>1851</v>
      </c>
      <c r="T901">
        <v>1914</v>
      </c>
      <c r="U901" t="s">
        <v>3850</v>
      </c>
      <c r="V901" t="s">
        <v>3851</v>
      </c>
      <c r="Y901" t="s">
        <v>3852</v>
      </c>
      <c r="Z901">
        <v>0</v>
      </c>
      <c r="AA901">
        <v>2.0999998999999998</v>
      </c>
      <c r="AB901">
        <v>0</v>
      </c>
      <c r="AC901">
        <v>0</v>
      </c>
      <c r="AD901" t="s">
        <v>3853</v>
      </c>
      <c r="AE901">
        <v>1</v>
      </c>
      <c r="AF901">
        <v>1910</v>
      </c>
      <c r="AG901">
        <v>1913</v>
      </c>
      <c r="AO901" t="b">
        <v>0</v>
      </c>
      <c r="AT901">
        <v>1090</v>
      </c>
      <c r="AU901">
        <f t="shared" si="44"/>
        <v>2.9860000000000002</v>
      </c>
    </row>
    <row r="902" spans="1:47" x14ac:dyDescent="0.3">
      <c r="A902">
        <v>900</v>
      </c>
      <c r="B902" t="s">
        <v>3854</v>
      </c>
      <c r="C902" t="s">
        <v>3855</v>
      </c>
      <c r="D902">
        <v>160</v>
      </c>
      <c r="E902" t="s">
        <v>3796</v>
      </c>
      <c r="F902" t="str">
        <f>VLOOKUP(E902,country_continent!A:C,2,FALSE)</f>
        <v>Argentina</v>
      </c>
      <c r="G902" t="str">
        <f>VLOOKUP(E902,country_continent!A:C,3,FALSE)</f>
        <v>South America</v>
      </c>
      <c r="H902" t="s">
        <v>3856</v>
      </c>
      <c r="I902" s="1">
        <v>5028</v>
      </c>
      <c r="J902" s="3">
        <f t="shared" si="42"/>
        <v>5028</v>
      </c>
      <c r="K902" s="1">
        <v>6130</v>
      </c>
      <c r="L902" s="3">
        <f t="shared" si="43"/>
        <v>6130</v>
      </c>
      <c r="M902" t="s">
        <v>49</v>
      </c>
      <c r="N902" t="s">
        <v>49</v>
      </c>
      <c r="O902" t="s">
        <v>49</v>
      </c>
      <c r="P902">
        <v>0</v>
      </c>
      <c r="Q902" t="s">
        <v>50</v>
      </c>
      <c r="R902" t="s">
        <v>51</v>
      </c>
      <c r="S902">
        <v>1840</v>
      </c>
      <c r="T902">
        <v>1919</v>
      </c>
      <c r="U902" t="s">
        <v>3857</v>
      </c>
      <c r="V902" t="s">
        <v>3858</v>
      </c>
      <c r="Y902" t="s">
        <v>3859</v>
      </c>
      <c r="Z902">
        <v>0</v>
      </c>
      <c r="AA902">
        <v>1</v>
      </c>
      <c r="AB902">
        <v>0</v>
      </c>
      <c r="AC902">
        <v>0</v>
      </c>
      <c r="AF902">
        <v>1913</v>
      </c>
      <c r="AG902">
        <v>1916</v>
      </c>
      <c r="AO902" t="b">
        <v>0</v>
      </c>
      <c r="AT902">
        <v>1102</v>
      </c>
      <c r="AU902">
        <f t="shared" si="44"/>
        <v>3.0190000000000001</v>
      </c>
    </row>
    <row r="903" spans="1:47" x14ac:dyDescent="0.3">
      <c r="A903">
        <v>901</v>
      </c>
      <c r="B903" t="s">
        <v>3860</v>
      </c>
      <c r="C903" t="s">
        <v>3861</v>
      </c>
      <c r="D903">
        <v>160</v>
      </c>
      <c r="E903" t="s">
        <v>3796</v>
      </c>
      <c r="F903" t="str">
        <f>VLOOKUP(E903,country_continent!A:C,2,FALSE)</f>
        <v>Argentina</v>
      </c>
      <c r="G903" t="str">
        <f>VLOOKUP(E903,country_continent!A:C,3,FALSE)</f>
        <v>South America</v>
      </c>
      <c r="H903" t="s">
        <v>3862</v>
      </c>
      <c r="I903" s="1">
        <v>6130</v>
      </c>
      <c r="J903" s="3">
        <f t="shared" si="42"/>
        <v>6130</v>
      </c>
      <c r="K903" s="1">
        <v>8321</v>
      </c>
      <c r="L903" s="3">
        <f t="shared" si="43"/>
        <v>8321</v>
      </c>
      <c r="M903" t="s">
        <v>49</v>
      </c>
      <c r="N903" t="s">
        <v>49</v>
      </c>
      <c r="O903" t="s">
        <v>49</v>
      </c>
      <c r="P903">
        <v>0</v>
      </c>
      <c r="Q903" t="s">
        <v>50</v>
      </c>
      <c r="R903" t="s">
        <v>51</v>
      </c>
      <c r="S903">
        <v>1852</v>
      </c>
      <c r="T903">
        <v>1933</v>
      </c>
      <c r="U903" t="s">
        <v>3863</v>
      </c>
      <c r="V903" t="s">
        <v>3864</v>
      </c>
      <c r="Y903" t="s">
        <v>3865</v>
      </c>
      <c r="Z903">
        <v>0</v>
      </c>
      <c r="AA903">
        <v>1</v>
      </c>
      <c r="AB903">
        <v>0</v>
      </c>
      <c r="AC903">
        <v>0</v>
      </c>
      <c r="AF903">
        <v>1916</v>
      </c>
      <c r="AG903">
        <v>1922</v>
      </c>
      <c r="AO903" t="b">
        <v>0</v>
      </c>
      <c r="AT903">
        <v>2191</v>
      </c>
      <c r="AU903">
        <f t="shared" si="44"/>
        <v>6.0030000000000001</v>
      </c>
    </row>
    <row r="904" spans="1:47" x14ac:dyDescent="0.3">
      <c r="A904">
        <v>902</v>
      </c>
      <c r="B904" t="s">
        <v>3866</v>
      </c>
      <c r="C904" t="s">
        <v>3867</v>
      </c>
      <c r="D904">
        <v>160</v>
      </c>
      <c r="E904" t="s">
        <v>3796</v>
      </c>
      <c r="F904" t="str">
        <f>VLOOKUP(E904,country_continent!A:C,2,FALSE)</f>
        <v>Argentina</v>
      </c>
      <c r="G904" t="str">
        <f>VLOOKUP(E904,country_continent!A:C,3,FALSE)</f>
        <v>South America</v>
      </c>
      <c r="H904" t="s">
        <v>3868</v>
      </c>
      <c r="I904" s="1">
        <v>8321</v>
      </c>
      <c r="J904" s="3">
        <f t="shared" si="42"/>
        <v>8321</v>
      </c>
      <c r="K904" s="1">
        <v>10513</v>
      </c>
      <c r="L904" s="3">
        <f t="shared" si="43"/>
        <v>10513</v>
      </c>
      <c r="M904" t="s">
        <v>49</v>
      </c>
      <c r="N904" t="s">
        <v>49</v>
      </c>
      <c r="O904" t="s">
        <v>49</v>
      </c>
      <c r="P904">
        <v>0</v>
      </c>
      <c r="Q904" t="s">
        <v>50</v>
      </c>
      <c r="R904" t="s">
        <v>51</v>
      </c>
      <c r="S904">
        <v>1868</v>
      </c>
      <c r="T904">
        <v>1942</v>
      </c>
      <c r="U904" t="s">
        <v>3869</v>
      </c>
      <c r="V904" t="s">
        <v>3870</v>
      </c>
      <c r="Y904" t="s">
        <v>3871</v>
      </c>
      <c r="Z904">
        <v>0</v>
      </c>
      <c r="AA904">
        <v>1</v>
      </c>
      <c r="AB904">
        <v>0</v>
      </c>
      <c r="AC904">
        <v>0</v>
      </c>
      <c r="AF904">
        <v>1922</v>
      </c>
      <c r="AG904">
        <v>1928</v>
      </c>
      <c r="AO904" t="b">
        <v>0</v>
      </c>
      <c r="AT904">
        <v>2192</v>
      </c>
      <c r="AU904">
        <f t="shared" si="44"/>
        <v>6.0049999999999999</v>
      </c>
    </row>
    <row r="905" spans="1:47" x14ac:dyDescent="0.3">
      <c r="A905">
        <v>903</v>
      </c>
      <c r="B905" t="s">
        <v>3872</v>
      </c>
      <c r="C905" t="s">
        <v>3861</v>
      </c>
      <c r="D905">
        <v>160</v>
      </c>
      <c r="E905" t="s">
        <v>3796</v>
      </c>
      <c r="F905" t="str">
        <f>VLOOKUP(E905,country_continent!A:C,2,FALSE)</f>
        <v>Argentina</v>
      </c>
      <c r="G905" t="str">
        <f>VLOOKUP(E905,country_continent!A:C,3,FALSE)</f>
        <v>South America</v>
      </c>
      <c r="H905" t="s">
        <v>3862</v>
      </c>
      <c r="I905" s="1">
        <v>10513</v>
      </c>
      <c r="J905" s="3">
        <f t="shared" si="42"/>
        <v>10513</v>
      </c>
      <c r="K905" s="1">
        <v>11207</v>
      </c>
      <c r="L905" s="3">
        <f t="shared" si="43"/>
        <v>11207</v>
      </c>
      <c r="M905" t="s">
        <v>49</v>
      </c>
      <c r="N905" t="s">
        <v>67</v>
      </c>
      <c r="O905" t="s">
        <v>376</v>
      </c>
      <c r="P905">
        <v>1</v>
      </c>
      <c r="Q905" t="s">
        <v>463</v>
      </c>
      <c r="R905" t="s">
        <v>51</v>
      </c>
      <c r="S905">
        <v>1852</v>
      </c>
      <c r="T905">
        <v>1933</v>
      </c>
      <c r="U905" t="s">
        <v>3863</v>
      </c>
      <c r="V905" t="s">
        <v>3864</v>
      </c>
      <c r="Y905" t="s">
        <v>3865</v>
      </c>
      <c r="Z905">
        <v>0</v>
      </c>
      <c r="AA905">
        <v>3</v>
      </c>
      <c r="AB905">
        <v>6</v>
      </c>
      <c r="AC905">
        <v>2</v>
      </c>
      <c r="AF905">
        <v>1928</v>
      </c>
      <c r="AG905">
        <v>1930</v>
      </c>
      <c r="AO905" t="b">
        <v>0</v>
      </c>
      <c r="AT905">
        <v>694</v>
      </c>
      <c r="AU905">
        <f t="shared" si="44"/>
        <v>1.901</v>
      </c>
    </row>
    <row r="906" spans="1:47" x14ac:dyDescent="0.3">
      <c r="A906">
        <v>904</v>
      </c>
      <c r="B906" t="s">
        <v>3873</v>
      </c>
      <c r="C906" t="s">
        <v>3874</v>
      </c>
      <c r="D906">
        <v>160</v>
      </c>
      <c r="E906" t="s">
        <v>3796</v>
      </c>
      <c r="F906" t="str">
        <f>VLOOKUP(E906,country_continent!A:C,2,FALSE)</f>
        <v>Argentina</v>
      </c>
      <c r="G906" t="str">
        <f>VLOOKUP(E906,country_continent!A:C,3,FALSE)</f>
        <v>South America</v>
      </c>
      <c r="H906" t="s">
        <v>3875</v>
      </c>
      <c r="I906" s="1">
        <v>11207</v>
      </c>
      <c r="J906" s="3">
        <f t="shared" si="42"/>
        <v>11207</v>
      </c>
      <c r="K906" s="1">
        <v>11739</v>
      </c>
      <c r="L906" s="3">
        <f t="shared" si="43"/>
        <v>11739</v>
      </c>
      <c r="M906" t="s">
        <v>67</v>
      </c>
      <c r="N906" t="s">
        <v>49</v>
      </c>
      <c r="O906" t="s">
        <v>49</v>
      </c>
      <c r="P906">
        <v>0</v>
      </c>
      <c r="Q906" t="s">
        <v>362</v>
      </c>
      <c r="R906" t="s">
        <v>51</v>
      </c>
      <c r="S906">
        <v>1868</v>
      </c>
      <c r="T906">
        <v>1932</v>
      </c>
      <c r="U906" t="s">
        <v>3876</v>
      </c>
      <c r="V906" t="s">
        <v>3877</v>
      </c>
      <c r="Y906" t="s">
        <v>3878</v>
      </c>
      <c r="Z906">
        <v>1</v>
      </c>
      <c r="AA906">
        <v>1</v>
      </c>
      <c r="AB906">
        <v>0</v>
      </c>
      <c r="AC906">
        <v>1</v>
      </c>
      <c r="AD906" t="s">
        <v>3879</v>
      </c>
      <c r="AE906">
        <v>1</v>
      </c>
      <c r="AF906">
        <v>1930</v>
      </c>
      <c r="AG906">
        <v>1932</v>
      </c>
      <c r="AO906" t="b">
        <v>0</v>
      </c>
      <c r="AT906">
        <v>532</v>
      </c>
      <c r="AU906">
        <f t="shared" si="44"/>
        <v>1.458</v>
      </c>
    </row>
    <row r="907" spans="1:47" x14ac:dyDescent="0.3">
      <c r="A907">
        <v>905</v>
      </c>
      <c r="B907" t="s">
        <v>3880</v>
      </c>
      <c r="C907" t="s">
        <v>3881</v>
      </c>
      <c r="D907">
        <v>160</v>
      </c>
      <c r="E907" t="s">
        <v>3796</v>
      </c>
      <c r="F907" t="str">
        <f>VLOOKUP(E907,country_continent!A:C,2,FALSE)</f>
        <v>Argentina</v>
      </c>
      <c r="G907" t="str">
        <f>VLOOKUP(E907,country_continent!A:C,3,FALSE)</f>
        <v>South America</v>
      </c>
      <c r="H907" t="s">
        <v>3882</v>
      </c>
      <c r="I907" s="1">
        <v>11739</v>
      </c>
      <c r="J907" s="3">
        <f t="shared" si="42"/>
        <v>11739</v>
      </c>
      <c r="K907" s="1">
        <v>13931</v>
      </c>
      <c r="L907" s="3">
        <f t="shared" si="43"/>
        <v>13931</v>
      </c>
      <c r="M907" t="s">
        <v>49</v>
      </c>
      <c r="N907" t="s">
        <v>49</v>
      </c>
      <c r="O907" t="s">
        <v>49</v>
      </c>
      <c r="P907">
        <v>0</v>
      </c>
      <c r="Q907" t="s">
        <v>50</v>
      </c>
      <c r="R907" t="s">
        <v>51</v>
      </c>
      <c r="S907">
        <v>1876</v>
      </c>
      <c r="T907">
        <v>1943</v>
      </c>
      <c r="U907" t="s">
        <v>3883</v>
      </c>
      <c r="V907" t="s">
        <v>3884</v>
      </c>
      <c r="W907" s="1">
        <v>15716</v>
      </c>
      <c r="X907" s="2">
        <v>15716</v>
      </c>
      <c r="Y907" t="s">
        <v>3885</v>
      </c>
      <c r="Z907">
        <v>0</v>
      </c>
      <c r="AA907">
        <v>1</v>
      </c>
      <c r="AB907">
        <v>0</v>
      </c>
      <c r="AC907">
        <v>0</v>
      </c>
      <c r="AF907">
        <v>1932</v>
      </c>
      <c r="AG907">
        <v>1938</v>
      </c>
      <c r="AO907" t="b">
        <v>0</v>
      </c>
      <c r="AT907">
        <v>2192</v>
      </c>
      <c r="AU907">
        <f t="shared" si="44"/>
        <v>6.0049999999999999</v>
      </c>
    </row>
    <row r="908" spans="1:47" x14ac:dyDescent="0.3">
      <c r="A908">
        <v>906</v>
      </c>
      <c r="B908" t="s">
        <v>3886</v>
      </c>
      <c r="C908" t="s">
        <v>3887</v>
      </c>
      <c r="D908">
        <v>160</v>
      </c>
      <c r="E908" t="s">
        <v>3796</v>
      </c>
      <c r="F908" t="str">
        <f>VLOOKUP(E908,country_continent!A:C,2,FALSE)</f>
        <v>Argentina</v>
      </c>
      <c r="G908" t="str">
        <f>VLOOKUP(E908,country_continent!A:C,3,FALSE)</f>
        <v>South America</v>
      </c>
      <c r="H908" t="s">
        <v>3888</v>
      </c>
      <c r="I908" s="1">
        <v>13931</v>
      </c>
      <c r="J908" s="3">
        <f t="shared" si="42"/>
        <v>13931</v>
      </c>
      <c r="K908" s="1">
        <v>15514</v>
      </c>
      <c r="L908" s="3">
        <f t="shared" si="43"/>
        <v>15514</v>
      </c>
      <c r="M908" t="s">
        <v>49</v>
      </c>
      <c r="N908" t="s">
        <v>228</v>
      </c>
      <c r="O908" t="s">
        <v>49</v>
      </c>
      <c r="P908">
        <v>0</v>
      </c>
      <c r="Q908" t="s">
        <v>111</v>
      </c>
      <c r="R908" t="s">
        <v>51</v>
      </c>
      <c r="S908">
        <v>1886</v>
      </c>
      <c r="T908">
        <v>1942</v>
      </c>
      <c r="U908" t="s">
        <v>3889</v>
      </c>
      <c r="V908" t="s">
        <v>3890</v>
      </c>
      <c r="Y908" t="s">
        <v>3891</v>
      </c>
      <c r="Z908">
        <v>0</v>
      </c>
      <c r="AA908">
        <v>2.0999998999999998</v>
      </c>
      <c r="AB908">
        <v>0</v>
      </c>
      <c r="AC908">
        <v>-777</v>
      </c>
      <c r="AF908">
        <v>1938</v>
      </c>
      <c r="AG908">
        <v>1942</v>
      </c>
      <c r="AO908" t="b">
        <v>0</v>
      </c>
      <c r="AT908">
        <v>1583</v>
      </c>
      <c r="AU908">
        <f t="shared" si="44"/>
        <v>4.3369999999999997</v>
      </c>
    </row>
    <row r="909" spans="1:47" x14ac:dyDescent="0.3">
      <c r="A909">
        <v>907</v>
      </c>
      <c r="B909" t="s">
        <v>3892</v>
      </c>
      <c r="C909" t="s">
        <v>3893</v>
      </c>
      <c r="D909">
        <v>160</v>
      </c>
      <c r="E909" t="s">
        <v>3796</v>
      </c>
      <c r="F909" t="str">
        <f>VLOOKUP(E909,country_continent!A:C,2,FALSE)</f>
        <v>Argentina</v>
      </c>
      <c r="G909" t="str">
        <f>VLOOKUP(E909,country_continent!A:C,3,FALSE)</f>
        <v>South America</v>
      </c>
      <c r="H909" t="s">
        <v>1543</v>
      </c>
      <c r="I909" s="1">
        <v>15519</v>
      </c>
      <c r="J909" s="3">
        <f t="shared" si="42"/>
        <v>15519</v>
      </c>
      <c r="K909" s="1">
        <v>15862</v>
      </c>
      <c r="L909" s="3">
        <f t="shared" si="43"/>
        <v>15862</v>
      </c>
      <c r="M909" t="s">
        <v>49</v>
      </c>
      <c r="N909" t="s">
        <v>67</v>
      </c>
      <c r="O909" t="s">
        <v>376</v>
      </c>
      <c r="P909">
        <v>0</v>
      </c>
      <c r="Q909" t="s">
        <v>50</v>
      </c>
      <c r="R909" t="s">
        <v>51</v>
      </c>
      <c r="S909">
        <v>1873</v>
      </c>
      <c r="T909">
        <v>1944</v>
      </c>
      <c r="U909" t="s">
        <v>3894</v>
      </c>
      <c r="V909" t="s">
        <v>3895</v>
      </c>
      <c r="W909" s="1">
        <v>16357</v>
      </c>
      <c r="X909" s="2">
        <v>16357</v>
      </c>
      <c r="Y909" t="s">
        <v>3896</v>
      </c>
      <c r="Z909">
        <v>0</v>
      </c>
      <c r="AA909">
        <v>3</v>
      </c>
      <c r="AB909">
        <v>6</v>
      </c>
      <c r="AC909">
        <v>0</v>
      </c>
      <c r="AF909">
        <v>1942</v>
      </c>
      <c r="AG909">
        <v>1943</v>
      </c>
      <c r="AO909" t="b">
        <v>0</v>
      </c>
      <c r="AT909">
        <v>343</v>
      </c>
      <c r="AU909">
        <f t="shared" si="44"/>
        <v>0.94</v>
      </c>
    </row>
    <row r="910" spans="1:47" x14ac:dyDescent="0.3">
      <c r="A910">
        <v>908</v>
      </c>
      <c r="B910" t="s">
        <v>3897</v>
      </c>
      <c r="C910" t="s">
        <v>3898</v>
      </c>
      <c r="D910">
        <v>160</v>
      </c>
      <c r="E910" t="s">
        <v>3796</v>
      </c>
      <c r="F910" t="str">
        <f>VLOOKUP(E910,country_continent!A:C,2,FALSE)</f>
        <v>Argentina</v>
      </c>
      <c r="G910" t="str">
        <f>VLOOKUP(E910,country_continent!A:C,3,FALSE)</f>
        <v>South America</v>
      </c>
      <c r="H910" t="s">
        <v>3899</v>
      </c>
      <c r="I910" s="1">
        <v>15862</v>
      </c>
      <c r="J910" s="3">
        <f t="shared" si="42"/>
        <v>15862</v>
      </c>
      <c r="K910" s="1">
        <v>15864</v>
      </c>
      <c r="L910" s="3">
        <f t="shared" si="43"/>
        <v>15864</v>
      </c>
      <c r="M910" t="s">
        <v>67</v>
      </c>
      <c r="N910" t="s">
        <v>67</v>
      </c>
      <c r="O910" t="s">
        <v>389</v>
      </c>
      <c r="P910">
        <v>0</v>
      </c>
      <c r="Q910" t="s">
        <v>362</v>
      </c>
      <c r="R910" t="s">
        <v>51</v>
      </c>
      <c r="S910">
        <v>1885</v>
      </c>
      <c r="T910">
        <v>1952</v>
      </c>
      <c r="U910" t="s">
        <v>3900</v>
      </c>
      <c r="V910" t="s">
        <v>3901</v>
      </c>
      <c r="Y910" t="s">
        <v>3902</v>
      </c>
      <c r="Z910">
        <v>1</v>
      </c>
      <c r="AA910">
        <v>3</v>
      </c>
      <c r="AB910">
        <v>16</v>
      </c>
      <c r="AC910">
        <v>1</v>
      </c>
      <c r="AF910">
        <v>1943</v>
      </c>
      <c r="AG910">
        <v>1943</v>
      </c>
      <c r="AO910" t="b">
        <v>0</v>
      </c>
      <c r="AT910">
        <v>2</v>
      </c>
      <c r="AU910">
        <f t="shared" si="44"/>
        <v>5.0000000000000001E-3</v>
      </c>
    </row>
    <row r="911" spans="1:47" x14ac:dyDescent="0.3">
      <c r="A911">
        <v>909</v>
      </c>
      <c r="B911" t="s">
        <v>3903</v>
      </c>
      <c r="C911" t="s">
        <v>3904</v>
      </c>
      <c r="D911">
        <v>160</v>
      </c>
      <c r="E911" t="s">
        <v>3796</v>
      </c>
      <c r="F911" t="str">
        <f>VLOOKUP(E911,country_continent!A:C,2,FALSE)</f>
        <v>Argentina</v>
      </c>
      <c r="G911" t="str">
        <f>VLOOKUP(E911,country_continent!A:C,3,FALSE)</f>
        <v>South America</v>
      </c>
      <c r="H911" t="s">
        <v>3905</v>
      </c>
      <c r="I911" s="1">
        <v>15864</v>
      </c>
      <c r="J911" s="3">
        <f t="shared" si="42"/>
        <v>15864</v>
      </c>
      <c r="K911" s="1">
        <v>16126</v>
      </c>
      <c r="L911" s="3">
        <f t="shared" si="43"/>
        <v>16126</v>
      </c>
      <c r="M911" t="s">
        <v>67</v>
      </c>
      <c r="N911" t="s">
        <v>49</v>
      </c>
      <c r="O911" t="s">
        <v>49</v>
      </c>
      <c r="P911">
        <v>0</v>
      </c>
      <c r="Q911" t="s">
        <v>50</v>
      </c>
      <c r="R911" t="s">
        <v>51</v>
      </c>
      <c r="S911">
        <v>1884</v>
      </c>
      <c r="T911">
        <v>1962</v>
      </c>
      <c r="U911" t="s">
        <v>3906</v>
      </c>
      <c r="V911" t="s">
        <v>3907</v>
      </c>
      <c r="Z911">
        <v>1</v>
      </c>
      <c r="AA911">
        <v>1</v>
      </c>
      <c r="AB911">
        <v>0</v>
      </c>
      <c r="AC911">
        <v>0</v>
      </c>
      <c r="AF911">
        <v>1943</v>
      </c>
      <c r="AG911">
        <v>1944</v>
      </c>
      <c r="AO911" t="b">
        <v>0</v>
      </c>
      <c r="AT911">
        <v>262</v>
      </c>
      <c r="AU911">
        <f t="shared" si="44"/>
        <v>0.71799999999999997</v>
      </c>
    </row>
    <row r="912" spans="1:47" x14ac:dyDescent="0.3">
      <c r="A912">
        <v>910</v>
      </c>
      <c r="B912" t="s">
        <v>3908</v>
      </c>
      <c r="C912" t="s">
        <v>3909</v>
      </c>
      <c r="D912">
        <v>160</v>
      </c>
      <c r="E912" t="s">
        <v>3796</v>
      </c>
      <c r="F912" t="str">
        <f>VLOOKUP(E912,country_continent!A:C,2,FALSE)</f>
        <v>Argentina</v>
      </c>
      <c r="G912" t="str">
        <f>VLOOKUP(E912,country_continent!A:C,3,FALSE)</f>
        <v>South America</v>
      </c>
      <c r="H912" t="s">
        <v>3910</v>
      </c>
      <c r="I912" s="1">
        <v>16141</v>
      </c>
      <c r="J912" s="3">
        <f t="shared" si="42"/>
        <v>16141</v>
      </c>
      <c r="K912" s="1">
        <v>16957</v>
      </c>
      <c r="L912" s="3">
        <f t="shared" si="43"/>
        <v>16957</v>
      </c>
      <c r="M912" t="s">
        <v>49</v>
      </c>
      <c r="N912" t="s">
        <v>49</v>
      </c>
      <c r="O912" t="s">
        <v>49</v>
      </c>
      <c r="P912">
        <v>0</v>
      </c>
      <c r="Q912" t="s">
        <v>50</v>
      </c>
      <c r="R912" t="s">
        <v>51</v>
      </c>
      <c r="S912">
        <v>1887</v>
      </c>
      <c r="T912">
        <v>1980</v>
      </c>
      <c r="U912" t="s">
        <v>3911</v>
      </c>
      <c r="V912" t="s">
        <v>3912</v>
      </c>
      <c r="Y912" t="s">
        <v>3913</v>
      </c>
      <c r="Z912">
        <v>0</v>
      </c>
      <c r="AA912">
        <v>1</v>
      </c>
      <c r="AB912">
        <v>0</v>
      </c>
      <c r="AC912">
        <v>0</v>
      </c>
      <c r="AF912">
        <v>1944</v>
      </c>
      <c r="AG912">
        <v>1946</v>
      </c>
      <c r="AN912">
        <v>-8</v>
      </c>
      <c r="AO912" t="b">
        <v>0</v>
      </c>
      <c r="AT912">
        <v>816</v>
      </c>
      <c r="AU912">
        <f t="shared" si="44"/>
        <v>2.2360000000000002</v>
      </c>
    </row>
    <row r="913" spans="1:47" x14ac:dyDescent="0.3">
      <c r="A913">
        <v>911</v>
      </c>
      <c r="B913" t="s">
        <v>3914</v>
      </c>
      <c r="C913" t="s">
        <v>3915</v>
      </c>
      <c r="D913">
        <v>160</v>
      </c>
      <c r="E913" t="s">
        <v>3796</v>
      </c>
      <c r="F913" t="str">
        <f>VLOOKUP(E913,country_continent!A:C,2,FALSE)</f>
        <v>Argentina</v>
      </c>
      <c r="G913" t="str">
        <f>VLOOKUP(E913,country_continent!A:C,3,FALSE)</f>
        <v>South America</v>
      </c>
      <c r="H913" t="s">
        <v>3916</v>
      </c>
      <c r="I913" s="1">
        <v>16957</v>
      </c>
      <c r="J913" s="3">
        <f t="shared" si="42"/>
        <v>16957</v>
      </c>
      <c r="K913" s="1">
        <v>20352</v>
      </c>
      <c r="L913" s="3">
        <f t="shared" si="43"/>
        <v>20352</v>
      </c>
      <c r="M913" t="s">
        <v>49</v>
      </c>
      <c r="N913" t="s">
        <v>67</v>
      </c>
      <c r="O913" t="s">
        <v>376</v>
      </c>
      <c r="P913">
        <v>0</v>
      </c>
      <c r="Q913" t="s">
        <v>362</v>
      </c>
      <c r="R913" t="s">
        <v>51</v>
      </c>
      <c r="S913">
        <v>1895</v>
      </c>
      <c r="T913">
        <v>1974</v>
      </c>
      <c r="U913" t="s">
        <v>3917</v>
      </c>
      <c r="V913" t="s">
        <v>3918</v>
      </c>
      <c r="W913" s="1">
        <v>27211</v>
      </c>
      <c r="X913" s="2">
        <v>27211</v>
      </c>
      <c r="Y913" t="s">
        <v>3919</v>
      </c>
      <c r="Z913">
        <v>0</v>
      </c>
      <c r="AA913">
        <v>3</v>
      </c>
      <c r="AB913">
        <v>6</v>
      </c>
      <c r="AC913">
        <v>1</v>
      </c>
      <c r="AD913" t="s">
        <v>3920</v>
      </c>
      <c r="AE913">
        <v>0</v>
      </c>
      <c r="AF913">
        <v>1946</v>
      </c>
      <c r="AG913">
        <v>1955</v>
      </c>
      <c r="AN913">
        <v>-8.6</v>
      </c>
      <c r="AO913" t="b">
        <v>0</v>
      </c>
      <c r="AT913">
        <v>3395</v>
      </c>
      <c r="AU913">
        <f t="shared" si="44"/>
        <v>9.3010000000000002</v>
      </c>
    </row>
    <row r="914" spans="1:47" x14ac:dyDescent="0.3">
      <c r="A914">
        <v>912</v>
      </c>
      <c r="B914" t="s">
        <v>3921</v>
      </c>
      <c r="C914" t="s">
        <v>3922</v>
      </c>
      <c r="D914">
        <v>160</v>
      </c>
      <c r="E914" t="s">
        <v>3796</v>
      </c>
      <c r="F914" t="str">
        <f>VLOOKUP(E914,country_continent!A:C,2,FALSE)</f>
        <v>Argentina</v>
      </c>
      <c r="G914" t="str">
        <f>VLOOKUP(E914,country_continent!A:C,3,FALSE)</f>
        <v>South America</v>
      </c>
      <c r="H914" t="s">
        <v>3923</v>
      </c>
      <c r="I914" s="1">
        <v>20352</v>
      </c>
      <c r="J914" s="3">
        <f t="shared" si="42"/>
        <v>20352</v>
      </c>
      <c r="K914" s="1">
        <v>20406</v>
      </c>
      <c r="L914" s="3">
        <f t="shared" si="43"/>
        <v>20406</v>
      </c>
      <c r="M914" t="s">
        <v>67</v>
      </c>
      <c r="N914" t="s">
        <v>67</v>
      </c>
      <c r="O914" t="s">
        <v>376</v>
      </c>
      <c r="P914">
        <v>0</v>
      </c>
      <c r="Q914" t="s">
        <v>362</v>
      </c>
      <c r="R914" t="s">
        <v>51</v>
      </c>
      <c r="S914">
        <v>1896</v>
      </c>
      <c r="T914">
        <v>1956</v>
      </c>
      <c r="U914" t="s">
        <v>3924</v>
      </c>
      <c r="V914" t="s">
        <v>3925</v>
      </c>
      <c r="W914" s="1">
        <v>20536</v>
      </c>
      <c r="X914" s="2">
        <v>20536</v>
      </c>
      <c r="Y914" t="s">
        <v>3926</v>
      </c>
      <c r="Z914">
        <v>1</v>
      </c>
      <c r="AA914">
        <v>3</v>
      </c>
      <c r="AB914">
        <v>6</v>
      </c>
      <c r="AC914">
        <v>1</v>
      </c>
      <c r="AF914">
        <v>1955</v>
      </c>
      <c r="AG914">
        <v>1955</v>
      </c>
      <c r="AN914">
        <v>-6</v>
      </c>
      <c r="AO914" t="b">
        <v>0</v>
      </c>
      <c r="AT914">
        <v>54</v>
      </c>
      <c r="AU914">
        <f t="shared" si="44"/>
        <v>0.14799999999999999</v>
      </c>
    </row>
    <row r="915" spans="1:47" x14ac:dyDescent="0.3">
      <c r="A915">
        <v>913</v>
      </c>
      <c r="B915" t="s">
        <v>3927</v>
      </c>
      <c r="C915" t="s">
        <v>3928</v>
      </c>
      <c r="D915">
        <v>160</v>
      </c>
      <c r="E915" t="s">
        <v>3796</v>
      </c>
      <c r="F915" t="str">
        <f>VLOOKUP(E915,country_continent!A:C,2,FALSE)</f>
        <v>Argentina</v>
      </c>
      <c r="G915" t="str">
        <f>VLOOKUP(E915,country_continent!A:C,3,FALSE)</f>
        <v>South America</v>
      </c>
      <c r="H915" t="s">
        <v>3929</v>
      </c>
      <c r="I915" s="1">
        <v>20406</v>
      </c>
      <c r="J915" s="3">
        <f t="shared" si="42"/>
        <v>20406</v>
      </c>
      <c r="K915" s="1">
        <v>21306</v>
      </c>
      <c r="L915" s="3">
        <f t="shared" si="43"/>
        <v>21306</v>
      </c>
      <c r="M915" t="s">
        <v>67</v>
      </c>
      <c r="N915" t="s">
        <v>49</v>
      </c>
      <c r="O915" t="s">
        <v>49</v>
      </c>
      <c r="P915">
        <v>0</v>
      </c>
      <c r="Q915" t="s">
        <v>50</v>
      </c>
      <c r="R915" t="s">
        <v>51</v>
      </c>
      <c r="S915">
        <v>1903</v>
      </c>
      <c r="T915">
        <v>1970</v>
      </c>
      <c r="U915" s="1">
        <v>1237</v>
      </c>
      <c r="V915" s="2">
        <v>1237</v>
      </c>
      <c r="W915" s="1">
        <v>25719</v>
      </c>
      <c r="X915" s="2">
        <v>25719</v>
      </c>
      <c r="Y915" t="s">
        <v>3930</v>
      </c>
      <c r="Z915">
        <v>1</v>
      </c>
      <c r="AA915">
        <v>1</v>
      </c>
      <c r="AB915">
        <v>0</v>
      </c>
      <c r="AC915">
        <v>0</v>
      </c>
      <c r="AF915">
        <v>1955</v>
      </c>
      <c r="AG915">
        <v>1958</v>
      </c>
      <c r="AN915">
        <v>-0.25</v>
      </c>
      <c r="AO915" t="b">
        <v>0</v>
      </c>
      <c r="AT915">
        <v>900</v>
      </c>
      <c r="AU915">
        <f t="shared" si="44"/>
        <v>2.4660000000000002</v>
      </c>
    </row>
    <row r="916" spans="1:47" x14ac:dyDescent="0.3">
      <c r="A916">
        <v>914</v>
      </c>
      <c r="B916" t="s">
        <v>3931</v>
      </c>
      <c r="C916" t="s">
        <v>3932</v>
      </c>
      <c r="D916">
        <v>160</v>
      </c>
      <c r="E916" t="s">
        <v>3796</v>
      </c>
      <c r="F916" t="str">
        <f>VLOOKUP(E916,country_continent!A:C,2,FALSE)</f>
        <v>Argentina</v>
      </c>
      <c r="G916" t="str">
        <f>VLOOKUP(E916,country_continent!A:C,3,FALSE)</f>
        <v>South America</v>
      </c>
      <c r="H916" t="s">
        <v>3933</v>
      </c>
      <c r="I916" s="1">
        <v>21306</v>
      </c>
      <c r="J916" s="3">
        <f t="shared" si="42"/>
        <v>21306</v>
      </c>
      <c r="K916" s="1">
        <v>22734</v>
      </c>
      <c r="L916" s="3">
        <f t="shared" si="43"/>
        <v>22734</v>
      </c>
      <c r="M916" t="s">
        <v>49</v>
      </c>
      <c r="N916" t="s">
        <v>67</v>
      </c>
      <c r="O916" t="s">
        <v>376</v>
      </c>
      <c r="P916">
        <v>0</v>
      </c>
      <c r="Q916" t="s">
        <v>463</v>
      </c>
      <c r="R916" t="s">
        <v>51</v>
      </c>
      <c r="S916">
        <v>1908</v>
      </c>
      <c r="T916">
        <v>1995</v>
      </c>
      <c r="U916" s="1">
        <v>3224</v>
      </c>
      <c r="V916" s="2">
        <v>3224</v>
      </c>
      <c r="W916" s="1">
        <v>34807</v>
      </c>
      <c r="X916" s="2">
        <v>34807</v>
      </c>
      <c r="Y916" t="s">
        <v>3934</v>
      </c>
      <c r="Z916">
        <v>0</v>
      </c>
      <c r="AA916">
        <v>3</v>
      </c>
      <c r="AB916">
        <v>6</v>
      </c>
      <c r="AC916">
        <v>2</v>
      </c>
      <c r="AF916">
        <v>1958</v>
      </c>
      <c r="AG916">
        <v>1962</v>
      </c>
      <c r="AH916">
        <v>0.60799309342416996</v>
      </c>
      <c r="AI916">
        <v>900</v>
      </c>
      <c r="AJ916">
        <v>24.591269589365901</v>
      </c>
      <c r="AL916">
        <v>1.65600390224967</v>
      </c>
      <c r="AN916">
        <v>5</v>
      </c>
      <c r="AO916" t="b">
        <v>0</v>
      </c>
      <c r="AT916">
        <v>1428</v>
      </c>
      <c r="AU916">
        <f t="shared" si="44"/>
        <v>3.9119999999999999</v>
      </c>
    </row>
    <row r="917" spans="1:47" x14ac:dyDescent="0.3">
      <c r="A917">
        <v>915</v>
      </c>
      <c r="B917" t="s">
        <v>3935</v>
      </c>
      <c r="C917" t="s">
        <v>3936</v>
      </c>
      <c r="D917">
        <v>160</v>
      </c>
      <c r="E917" t="s">
        <v>3796</v>
      </c>
      <c r="F917" t="str">
        <f>VLOOKUP(E917,country_continent!A:C,2,FALSE)</f>
        <v>Argentina</v>
      </c>
      <c r="G917" t="str">
        <f>VLOOKUP(E917,country_continent!A:C,3,FALSE)</f>
        <v>South America</v>
      </c>
      <c r="H917" t="s">
        <v>3937</v>
      </c>
      <c r="I917" s="1">
        <v>22734</v>
      </c>
      <c r="J917" s="3">
        <f t="shared" si="42"/>
        <v>22734</v>
      </c>
      <c r="K917" s="1">
        <v>23296</v>
      </c>
      <c r="L917" s="3">
        <f t="shared" si="43"/>
        <v>23296</v>
      </c>
      <c r="M917" t="s">
        <v>49</v>
      </c>
      <c r="N917" t="s">
        <v>49</v>
      </c>
      <c r="O917" t="s">
        <v>49</v>
      </c>
      <c r="P917">
        <v>0</v>
      </c>
      <c r="Q917" t="s">
        <v>50</v>
      </c>
      <c r="R917" t="s">
        <v>51</v>
      </c>
      <c r="S917">
        <v>1910</v>
      </c>
      <c r="T917">
        <v>1975</v>
      </c>
      <c r="U917" s="1">
        <v>3885</v>
      </c>
      <c r="V917" s="2">
        <v>3885</v>
      </c>
      <c r="Y917" t="s">
        <v>3938</v>
      </c>
      <c r="Z917">
        <v>0</v>
      </c>
      <c r="AA917">
        <v>1</v>
      </c>
      <c r="AB917">
        <v>0</v>
      </c>
      <c r="AC917">
        <v>0</v>
      </c>
      <c r="AF917">
        <v>1962</v>
      </c>
      <c r="AG917">
        <v>1963</v>
      </c>
      <c r="AH917">
        <v>-4.6664275759178198</v>
      </c>
      <c r="AI917">
        <v>890</v>
      </c>
      <c r="AJ917">
        <v>27.231497998180402</v>
      </c>
      <c r="AL917">
        <v>1.6501196538679099</v>
      </c>
      <c r="AN917">
        <v>5.5</v>
      </c>
      <c r="AO917" t="b">
        <v>0</v>
      </c>
      <c r="AT917">
        <v>562</v>
      </c>
      <c r="AU917">
        <f t="shared" si="44"/>
        <v>1.54</v>
      </c>
    </row>
    <row r="918" spans="1:47" x14ac:dyDescent="0.3">
      <c r="A918">
        <v>916</v>
      </c>
      <c r="B918" t="s">
        <v>3939</v>
      </c>
      <c r="C918" t="s">
        <v>3940</v>
      </c>
      <c r="D918">
        <v>160</v>
      </c>
      <c r="E918" t="s">
        <v>3796</v>
      </c>
      <c r="F918" t="str">
        <f>VLOOKUP(E918,country_continent!A:C,2,FALSE)</f>
        <v>Argentina</v>
      </c>
      <c r="G918" t="str">
        <f>VLOOKUP(E918,country_continent!A:C,3,FALSE)</f>
        <v>South America</v>
      </c>
      <c r="H918" t="s">
        <v>3941</v>
      </c>
      <c r="I918" s="1">
        <v>23296</v>
      </c>
      <c r="J918" s="3">
        <f t="shared" si="42"/>
        <v>23296</v>
      </c>
      <c r="K918" s="1">
        <v>24286</v>
      </c>
      <c r="L918" s="3">
        <f t="shared" si="43"/>
        <v>24286</v>
      </c>
      <c r="M918" t="s">
        <v>49</v>
      </c>
      <c r="N918" t="s">
        <v>67</v>
      </c>
      <c r="O918" t="s">
        <v>376</v>
      </c>
      <c r="P918">
        <v>0</v>
      </c>
      <c r="Q918" t="s">
        <v>50</v>
      </c>
      <c r="R918" t="s">
        <v>51</v>
      </c>
      <c r="S918">
        <v>1900</v>
      </c>
      <c r="T918">
        <v>1983</v>
      </c>
      <c r="U918" s="1">
        <v>217</v>
      </c>
      <c r="V918" s="2">
        <v>217</v>
      </c>
      <c r="W918" s="1">
        <v>30334</v>
      </c>
      <c r="X918" s="2">
        <v>30334</v>
      </c>
      <c r="Y918" t="s">
        <v>3942</v>
      </c>
      <c r="Z918">
        <v>0</v>
      </c>
      <c r="AA918">
        <v>3</v>
      </c>
      <c r="AB918">
        <v>6</v>
      </c>
      <c r="AC918">
        <v>0</v>
      </c>
      <c r="AF918">
        <v>1963</v>
      </c>
      <c r="AG918">
        <v>1966</v>
      </c>
      <c r="AH918">
        <v>2.05083304173507</v>
      </c>
      <c r="AI918">
        <v>1120</v>
      </c>
      <c r="AJ918">
        <v>25.300542254444601</v>
      </c>
      <c r="AL918">
        <v>1.5873332635319899</v>
      </c>
      <c r="AN918">
        <v>2.25</v>
      </c>
      <c r="AO918" t="b">
        <v>0</v>
      </c>
      <c r="AT918">
        <v>990</v>
      </c>
      <c r="AU918">
        <f t="shared" si="44"/>
        <v>2.7120000000000002</v>
      </c>
    </row>
    <row r="919" spans="1:47" x14ac:dyDescent="0.3">
      <c r="A919">
        <v>917</v>
      </c>
      <c r="B919" t="s">
        <v>3943</v>
      </c>
      <c r="C919" t="s">
        <v>3944</v>
      </c>
      <c r="D919">
        <v>160</v>
      </c>
      <c r="E919" t="s">
        <v>3796</v>
      </c>
      <c r="F919" t="str">
        <f>VLOOKUP(E919,country_continent!A:C,2,FALSE)</f>
        <v>Argentina</v>
      </c>
      <c r="G919" t="str">
        <f>VLOOKUP(E919,country_continent!A:C,3,FALSE)</f>
        <v>South America</v>
      </c>
      <c r="H919" t="s">
        <v>3945</v>
      </c>
      <c r="I919" s="1">
        <v>24286</v>
      </c>
      <c r="J919" s="3">
        <f t="shared" si="42"/>
        <v>24286</v>
      </c>
      <c r="K919" s="1">
        <v>25727</v>
      </c>
      <c r="L919" s="3">
        <f t="shared" si="43"/>
        <v>25727</v>
      </c>
      <c r="M919" t="s">
        <v>67</v>
      </c>
      <c r="N919" t="s">
        <v>67</v>
      </c>
      <c r="O919" t="s">
        <v>376</v>
      </c>
      <c r="P919">
        <v>0</v>
      </c>
      <c r="Q919" t="s">
        <v>50</v>
      </c>
      <c r="R919" t="s">
        <v>51</v>
      </c>
      <c r="S919">
        <v>1914</v>
      </c>
      <c r="T919">
        <v>1995</v>
      </c>
      <c r="U919" s="1">
        <v>5190</v>
      </c>
      <c r="V919" s="2">
        <v>5190</v>
      </c>
      <c r="W919" s="1">
        <v>34858</v>
      </c>
      <c r="X919" s="2">
        <v>34858</v>
      </c>
      <c r="Y919" t="s">
        <v>3946</v>
      </c>
      <c r="Z919">
        <v>1</v>
      </c>
      <c r="AA919">
        <v>3</v>
      </c>
      <c r="AB919">
        <v>6</v>
      </c>
      <c r="AC919">
        <v>0</v>
      </c>
      <c r="AF919">
        <v>1966</v>
      </c>
      <c r="AG919">
        <v>1970</v>
      </c>
      <c r="AH919">
        <v>2.4300603413658801</v>
      </c>
      <c r="AI919">
        <v>1284</v>
      </c>
      <c r="AJ919">
        <v>15.8321481187447</v>
      </c>
      <c r="AK919">
        <v>72.099999999999994</v>
      </c>
      <c r="AL919">
        <v>1.5364466834083801</v>
      </c>
      <c r="AM919">
        <v>0.301180697327039</v>
      </c>
      <c r="AN919">
        <v>-9</v>
      </c>
      <c r="AO919" t="b">
        <v>0</v>
      </c>
      <c r="AT919">
        <v>1441</v>
      </c>
      <c r="AU919">
        <f t="shared" si="44"/>
        <v>3.948</v>
      </c>
    </row>
    <row r="920" spans="1:47" x14ac:dyDescent="0.3">
      <c r="A920">
        <v>918</v>
      </c>
      <c r="B920" t="s">
        <v>3947</v>
      </c>
      <c r="C920" t="s">
        <v>3948</v>
      </c>
      <c r="D920">
        <v>160</v>
      </c>
      <c r="E920" t="s">
        <v>3796</v>
      </c>
      <c r="F920" t="str">
        <f>VLOOKUP(E920,country_continent!A:C,2,FALSE)</f>
        <v>Argentina</v>
      </c>
      <c r="G920" t="str">
        <f>VLOOKUP(E920,country_continent!A:C,3,FALSE)</f>
        <v>South America</v>
      </c>
      <c r="H920" t="s">
        <v>3949</v>
      </c>
      <c r="I920" s="1">
        <v>25727</v>
      </c>
      <c r="J920" s="3">
        <f t="shared" si="42"/>
        <v>25727</v>
      </c>
      <c r="K920" s="1">
        <v>25737</v>
      </c>
      <c r="L920" s="3">
        <f t="shared" si="43"/>
        <v>25737</v>
      </c>
      <c r="M920" t="s">
        <v>67</v>
      </c>
      <c r="N920" t="s">
        <v>49</v>
      </c>
      <c r="O920" t="s">
        <v>49</v>
      </c>
      <c r="P920">
        <v>0</v>
      </c>
      <c r="Q920" t="s">
        <v>50</v>
      </c>
      <c r="R920" t="s">
        <v>51</v>
      </c>
      <c r="S920">
        <v>1918</v>
      </c>
      <c r="T920">
        <v>1996</v>
      </c>
      <c r="U920" s="1">
        <v>6815</v>
      </c>
      <c r="V920" s="2">
        <v>6815</v>
      </c>
      <c r="W920" s="1">
        <v>35303</v>
      </c>
      <c r="X920" s="2">
        <v>35303</v>
      </c>
      <c r="Y920" t="s">
        <v>3950</v>
      </c>
      <c r="Z920">
        <v>1</v>
      </c>
      <c r="AA920">
        <v>1</v>
      </c>
      <c r="AB920">
        <v>0</v>
      </c>
      <c r="AC920">
        <v>0</v>
      </c>
      <c r="AF920">
        <v>1970</v>
      </c>
      <c r="AG920">
        <v>1970</v>
      </c>
      <c r="AH920">
        <v>1.45058523570244</v>
      </c>
      <c r="AI920">
        <v>1320</v>
      </c>
      <c r="AJ920">
        <v>6.46787463920628</v>
      </c>
      <c r="AK920">
        <v>71.7</v>
      </c>
      <c r="AL920">
        <v>1.5600194127712099</v>
      </c>
      <c r="AM920">
        <v>0.301180697327039</v>
      </c>
      <c r="AN920">
        <v>-9</v>
      </c>
      <c r="AO920" t="b">
        <v>0</v>
      </c>
      <c r="AT920">
        <v>10</v>
      </c>
      <c r="AU920">
        <f t="shared" si="44"/>
        <v>2.7E-2</v>
      </c>
    </row>
    <row r="921" spans="1:47" x14ac:dyDescent="0.3">
      <c r="A921">
        <v>919</v>
      </c>
      <c r="B921" t="s">
        <v>3951</v>
      </c>
      <c r="C921" t="s">
        <v>3952</v>
      </c>
      <c r="D921">
        <v>160</v>
      </c>
      <c r="E921" t="s">
        <v>3796</v>
      </c>
      <c r="F921" t="str">
        <f>VLOOKUP(E921,country_continent!A:C,2,FALSE)</f>
        <v>Argentina</v>
      </c>
      <c r="G921" t="str">
        <f>VLOOKUP(E921,country_continent!A:C,3,FALSE)</f>
        <v>South America</v>
      </c>
      <c r="H921" t="s">
        <v>3953</v>
      </c>
      <c r="I921" s="1">
        <v>25737</v>
      </c>
      <c r="J921" s="3">
        <f t="shared" si="42"/>
        <v>25737</v>
      </c>
      <c r="K921" s="1">
        <v>26014</v>
      </c>
      <c r="L921" s="3">
        <f t="shared" si="43"/>
        <v>26014</v>
      </c>
      <c r="M921" t="s">
        <v>49</v>
      </c>
      <c r="N921" t="s">
        <v>67</v>
      </c>
      <c r="O921" t="s">
        <v>389</v>
      </c>
      <c r="P921">
        <v>0</v>
      </c>
      <c r="Q921" t="s">
        <v>463</v>
      </c>
      <c r="R921" t="s">
        <v>51</v>
      </c>
      <c r="S921">
        <v>1920</v>
      </c>
      <c r="T921">
        <v>-777</v>
      </c>
      <c r="U921" s="1">
        <v>7315</v>
      </c>
      <c r="V921" s="2">
        <v>7315</v>
      </c>
      <c r="Z921">
        <v>0</v>
      </c>
      <c r="AA921">
        <v>3</v>
      </c>
      <c r="AB921">
        <v>16</v>
      </c>
      <c r="AC921">
        <v>2</v>
      </c>
      <c r="AF921">
        <v>1970</v>
      </c>
      <c r="AG921">
        <v>1971</v>
      </c>
      <c r="AH921">
        <v>2.7292042836385599</v>
      </c>
      <c r="AI921">
        <v>1395</v>
      </c>
      <c r="AJ921">
        <v>18.8694692617177</v>
      </c>
      <c r="AK921">
        <v>71.25</v>
      </c>
      <c r="AL921">
        <v>1.56713885073459</v>
      </c>
      <c r="AM921">
        <v>0.36877496255494402</v>
      </c>
      <c r="AN921">
        <v>-9</v>
      </c>
      <c r="AO921" t="b">
        <v>0</v>
      </c>
      <c r="AT921">
        <v>277</v>
      </c>
      <c r="AU921">
        <f t="shared" si="44"/>
        <v>0.75900000000000001</v>
      </c>
    </row>
    <row r="922" spans="1:47" x14ac:dyDescent="0.3">
      <c r="A922">
        <v>920</v>
      </c>
      <c r="B922" t="s">
        <v>3954</v>
      </c>
      <c r="C922" t="s">
        <v>3948</v>
      </c>
      <c r="D922">
        <v>160</v>
      </c>
      <c r="E922" t="s">
        <v>3796</v>
      </c>
      <c r="F922" t="str">
        <f>VLOOKUP(E922,country_continent!A:C,2,FALSE)</f>
        <v>Argentina</v>
      </c>
      <c r="G922" t="str">
        <f>VLOOKUP(E922,country_continent!A:C,3,FALSE)</f>
        <v>South America</v>
      </c>
      <c r="H922" t="s">
        <v>3949</v>
      </c>
      <c r="I922" s="1">
        <v>26017</v>
      </c>
      <c r="J922" s="3">
        <f t="shared" si="42"/>
        <v>26017</v>
      </c>
      <c r="K922" s="1">
        <v>26809</v>
      </c>
      <c r="L922" s="3">
        <f t="shared" si="43"/>
        <v>26809</v>
      </c>
      <c r="M922" t="s">
        <v>67</v>
      </c>
      <c r="N922" t="s">
        <v>49</v>
      </c>
      <c r="O922" t="s">
        <v>49</v>
      </c>
      <c r="P922">
        <v>1</v>
      </c>
      <c r="Q922" t="s">
        <v>50</v>
      </c>
      <c r="R922" t="s">
        <v>51</v>
      </c>
      <c r="S922">
        <v>1918</v>
      </c>
      <c r="T922">
        <v>1996</v>
      </c>
      <c r="U922" s="1">
        <v>6815</v>
      </c>
      <c r="V922" s="2">
        <v>6815</v>
      </c>
      <c r="W922" s="1">
        <v>35303</v>
      </c>
      <c r="X922" s="2">
        <v>35303</v>
      </c>
      <c r="Y922" t="s">
        <v>3950</v>
      </c>
      <c r="Z922">
        <v>1</v>
      </c>
      <c r="AA922">
        <v>1</v>
      </c>
      <c r="AB922">
        <v>0</v>
      </c>
      <c r="AC922">
        <v>0</v>
      </c>
      <c r="AF922">
        <v>1971</v>
      </c>
      <c r="AG922">
        <v>1973</v>
      </c>
      <c r="AH922">
        <v>1.7342452741201599</v>
      </c>
      <c r="AI922">
        <v>1586.6666666666599</v>
      </c>
      <c r="AJ922">
        <v>53.683712389769802</v>
      </c>
      <c r="AK922">
        <v>69.566666666666606</v>
      </c>
      <c r="AL922">
        <v>1.5914368776926999</v>
      </c>
      <c r="AM922">
        <v>0.505128026827253</v>
      </c>
      <c r="AN922">
        <v>-4</v>
      </c>
      <c r="AO922" t="b">
        <v>0</v>
      </c>
      <c r="AT922">
        <v>792</v>
      </c>
      <c r="AU922">
        <f t="shared" si="44"/>
        <v>2.17</v>
      </c>
    </row>
    <row r="923" spans="1:47" x14ac:dyDescent="0.3">
      <c r="A923">
        <v>921</v>
      </c>
      <c r="B923" t="s">
        <v>3955</v>
      </c>
      <c r="C923" t="s">
        <v>3956</v>
      </c>
      <c r="D923">
        <v>160</v>
      </c>
      <c r="E923" t="s">
        <v>3796</v>
      </c>
      <c r="F923" t="str">
        <f>VLOOKUP(E923,country_continent!A:C,2,FALSE)</f>
        <v>Argentina</v>
      </c>
      <c r="G923" t="str">
        <f>VLOOKUP(E923,country_continent!A:C,3,FALSE)</f>
        <v>South America</v>
      </c>
      <c r="H923" t="s">
        <v>3957</v>
      </c>
      <c r="I923" s="1">
        <v>26809</v>
      </c>
      <c r="J923" s="3">
        <f t="shared" si="42"/>
        <v>26809</v>
      </c>
      <c r="K923" s="1">
        <v>26858</v>
      </c>
      <c r="L923" s="3">
        <f t="shared" si="43"/>
        <v>26858</v>
      </c>
      <c r="M923" t="s">
        <v>49</v>
      </c>
      <c r="N923" t="s">
        <v>49</v>
      </c>
      <c r="O923" t="s">
        <v>49</v>
      </c>
      <c r="P923">
        <v>0</v>
      </c>
      <c r="Q923" t="s">
        <v>50</v>
      </c>
      <c r="R923" t="s">
        <v>51</v>
      </c>
      <c r="S923">
        <v>1909</v>
      </c>
      <c r="T923">
        <v>1980</v>
      </c>
      <c r="U923" s="1">
        <v>3373</v>
      </c>
      <c r="V923" s="2">
        <v>3373</v>
      </c>
      <c r="Y923" t="s">
        <v>3958</v>
      </c>
      <c r="Z923">
        <v>0</v>
      </c>
      <c r="AA923">
        <v>1</v>
      </c>
      <c r="AB923">
        <v>0</v>
      </c>
      <c r="AC923">
        <v>0</v>
      </c>
      <c r="AF923">
        <v>1973</v>
      </c>
      <c r="AG923">
        <v>1973</v>
      </c>
      <c r="AH923">
        <v>1.1629035760346</v>
      </c>
      <c r="AI923">
        <v>1820</v>
      </c>
      <c r="AJ923">
        <v>65.535287370143905</v>
      </c>
      <c r="AK923">
        <v>68.2</v>
      </c>
      <c r="AL923">
        <v>1.6167561183069199</v>
      </c>
      <c r="AM923">
        <v>0.57665881612426695</v>
      </c>
      <c r="AN923">
        <v>6</v>
      </c>
      <c r="AO923" t="b">
        <v>0</v>
      </c>
      <c r="AT923">
        <v>49</v>
      </c>
      <c r="AU923">
        <f t="shared" si="44"/>
        <v>0.13400000000000001</v>
      </c>
    </row>
    <row r="924" spans="1:47" x14ac:dyDescent="0.3">
      <c r="A924">
        <v>922</v>
      </c>
      <c r="B924" t="s">
        <v>3959</v>
      </c>
      <c r="C924" t="s">
        <v>3960</v>
      </c>
      <c r="D924">
        <v>160</v>
      </c>
      <c r="E924" t="s">
        <v>3796</v>
      </c>
      <c r="F924" t="str">
        <f>VLOOKUP(E924,country_continent!A:C,2,FALSE)</f>
        <v>Argentina</v>
      </c>
      <c r="G924" t="str">
        <f>VLOOKUP(E924,country_continent!A:C,3,FALSE)</f>
        <v>South America</v>
      </c>
      <c r="H924" t="s">
        <v>3961</v>
      </c>
      <c r="I924" s="1">
        <v>26858</v>
      </c>
      <c r="J924" s="3">
        <f t="shared" si="42"/>
        <v>26858</v>
      </c>
      <c r="K924" s="1">
        <v>26949</v>
      </c>
      <c r="L924" s="3">
        <f t="shared" si="43"/>
        <v>26949</v>
      </c>
      <c r="M924" t="s">
        <v>49</v>
      </c>
      <c r="N924" t="s">
        <v>49</v>
      </c>
      <c r="O924" t="s">
        <v>49</v>
      </c>
      <c r="P924">
        <v>0</v>
      </c>
      <c r="Q924" t="s">
        <v>50</v>
      </c>
      <c r="R924" t="s">
        <v>51</v>
      </c>
      <c r="S924">
        <v>1915</v>
      </c>
      <c r="T924">
        <v>1978</v>
      </c>
      <c r="Z924">
        <v>0</v>
      </c>
      <c r="AA924">
        <v>1</v>
      </c>
      <c r="AB924">
        <v>0</v>
      </c>
      <c r="AC924">
        <v>0</v>
      </c>
      <c r="AF924">
        <v>1973</v>
      </c>
      <c r="AG924">
        <v>1973</v>
      </c>
      <c r="AH924">
        <v>1.1629035760346</v>
      </c>
      <c r="AI924">
        <v>1820</v>
      </c>
      <c r="AJ924">
        <v>65.535287370143905</v>
      </c>
      <c r="AK924">
        <v>68.2</v>
      </c>
      <c r="AL924">
        <v>1.6167561183069199</v>
      </c>
      <c r="AM924">
        <v>0.57665881612426695</v>
      </c>
      <c r="AN924">
        <v>6</v>
      </c>
      <c r="AO924" t="b">
        <v>0</v>
      </c>
      <c r="AT924">
        <v>91</v>
      </c>
      <c r="AU924">
        <f t="shared" si="44"/>
        <v>0.249</v>
      </c>
    </row>
    <row r="925" spans="1:47" x14ac:dyDescent="0.3">
      <c r="A925">
        <v>923</v>
      </c>
      <c r="B925" t="s">
        <v>3962</v>
      </c>
      <c r="C925" t="s">
        <v>3915</v>
      </c>
      <c r="D925">
        <v>160</v>
      </c>
      <c r="E925" t="s">
        <v>3796</v>
      </c>
      <c r="F925" t="str">
        <f>VLOOKUP(E925,country_continent!A:C,2,FALSE)</f>
        <v>Argentina</v>
      </c>
      <c r="G925" t="str">
        <f>VLOOKUP(E925,country_continent!A:C,3,FALSE)</f>
        <v>South America</v>
      </c>
      <c r="H925" t="s">
        <v>3916</v>
      </c>
      <c r="I925" s="1">
        <v>26949</v>
      </c>
      <c r="J925" s="3">
        <f t="shared" si="42"/>
        <v>26949</v>
      </c>
      <c r="K925" s="1">
        <v>27211</v>
      </c>
      <c r="L925" s="3">
        <f t="shared" si="43"/>
        <v>27211</v>
      </c>
      <c r="M925" t="s">
        <v>49</v>
      </c>
      <c r="N925" t="s">
        <v>110</v>
      </c>
      <c r="O925" t="s">
        <v>49</v>
      </c>
      <c r="P925">
        <v>1</v>
      </c>
      <c r="Q925" t="s">
        <v>111</v>
      </c>
      <c r="R925" t="s">
        <v>51</v>
      </c>
      <c r="S925">
        <v>1895</v>
      </c>
      <c r="T925">
        <v>1974</v>
      </c>
      <c r="U925" t="s">
        <v>3917</v>
      </c>
      <c r="V925" t="s">
        <v>3918</v>
      </c>
      <c r="W925" s="1">
        <v>27211</v>
      </c>
      <c r="X925" s="2">
        <v>27211</v>
      </c>
      <c r="Y925" t="s">
        <v>3919</v>
      </c>
      <c r="Z925">
        <v>0</v>
      </c>
      <c r="AA925">
        <v>2</v>
      </c>
      <c r="AB925">
        <v>0</v>
      </c>
      <c r="AC925">
        <v>-777</v>
      </c>
      <c r="AD925" t="s">
        <v>3920</v>
      </c>
      <c r="AE925">
        <v>0</v>
      </c>
      <c r="AF925">
        <v>1973</v>
      </c>
      <c r="AG925">
        <v>1974</v>
      </c>
      <c r="AH925">
        <v>2.4875779115990202</v>
      </c>
      <c r="AI925">
        <v>2145</v>
      </c>
      <c r="AJ925">
        <v>48.082864370277903</v>
      </c>
      <c r="AK925">
        <v>67.150000000000006</v>
      </c>
      <c r="AL925">
        <v>1.6307441379615399</v>
      </c>
      <c r="AM925">
        <v>1.21400308133333</v>
      </c>
      <c r="AN925">
        <v>6</v>
      </c>
      <c r="AO925" t="b">
        <v>0</v>
      </c>
      <c r="AT925">
        <v>262</v>
      </c>
      <c r="AU925">
        <f t="shared" si="44"/>
        <v>0.71799999999999997</v>
      </c>
    </row>
    <row r="926" spans="1:47" x14ac:dyDescent="0.3">
      <c r="A926">
        <v>924</v>
      </c>
      <c r="B926" t="s">
        <v>3963</v>
      </c>
      <c r="C926" t="s">
        <v>3964</v>
      </c>
      <c r="D926">
        <v>160</v>
      </c>
      <c r="E926" t="s">
        <v>3796</v>
      </c>
      <c r="F926" t="str">
        <f>VLOOKUP(E926,country_continent!A:C,2,FALSE)</f>
        <v>Argentina</v>
      </c>
      <c r="G926" t="str">
        <f>VLOOKUP(E926,country_continent!A:C,3,FALSE)</f>
        <v>South America</v>
      </c>
      <c r="H926" t="s">
        <v>3965</v>
      </c>
      <c r="I926" s="1">
        <v>27211</v>
      </c>
      <c r="J926" s="3">
        <f t="shared" si="42"/>
        <v>27211</v>
      </c>
      <c r="K926" s="1">
        <v>27848</v>
      </c>
      <c r="L926" s="3">
        <f t="shared" si="43"/>
        <v>27848</v>
      </c>
      <c r="M926" t="s">
        <v>49</v>
      </c>
      <c r="N926" t="s">
        <v>67</v>
      </c>
      <c r="O926" t="s">
        <v>376</v>
      </c>
      <c r="P926">
        <v>0</v>
      </c>
      <c r="Q926" t="s">
        <v>463</v>
      </c>
      <c r="R926" t="s">
        <v>299</v>
      </c>
      <c r="S926">
        <v>1931</v>
      </c>
      <c r="T926">
        <v>-777</v>
      </c>
      <c r="U926" s="1">
        <v>11358</v>
      </c>
      <c r="V926" s="2">
        <v>11358</v>
      </c>
      <c r="Y926" t="s">
        <v>3966</v>
      </c>
      <c r="Z926">
        <v>0</v>
      </c>
      <c r="AA926">
        <v>3</v>
      </c>
      <c r="AB926">
        <v>6</v>
      </c>
      <c r="AC926">
        <v>2</v>
      </c>
      <c r="AD926" t="s">
        <v>3967</v>
      </c>
      <c r="AE926">
        <v>1</v>
      </c>
      <c r="AF926">
        <v>1974</v>
      </c>
      <c r="AG926">
        <v>1976</v>
      </c>
      <c r="AH926">
        <v>-0.45030242902465001</v>
      </c>
      <c r="AI926">
        <v>2516.6666666666601</v>
      </c>
      <c r="AJ926">
        <v>222.216861884471</v>
      </c>
      <c r="AK926">
        <v>63.066666666666599</v>
      </c>
      <c r="AL926">
        <v>1.6060242738288499</v>
      </c>
      <c r="AM926">
        <v>2.3133580248974601</v>
      </c>
      <c r="AN926">
        <v>1</v>
      </c>
      <c r="AO926" t="b">
        <v>0</v>
      </c>
      <c r="AT926">
        <v>637</v>
      </c>
      <c r="AU926">
        <f t="shared" si="44"/>
        <v>1.7450000000000001</v>
      </c>
    </row>
    <row r="927" spans="1:47" x14ac:dyDescent="0.3">
      <c r="A927">
        <v>925</v>
      </c>
      <c r="B927" t="s">
        <v>3968</v>
      </c>
      <c r="C927" t="s">
        <v>3969</v>
      </c>
      <c r="D927">
        <v>160</v>
      </c>
      <c r="E927" t="s">
        <v>3796</v>
      </c>
      <c r="F927" t="str">
        <f>VLOOKUP(E927,country_continent!A:C,2,FALSE)</f>
        <v>Argentina</v>
      </c>
      <c r="G927" t="str">
        <f>VLOOKUP(E927,country_continent!A:C,3,FALSE)</f>
        <v>South America</v>
      </c>
      <c r="H927" t="s">
        <v>3970</v>
      </c>
      <c r="I927" s="1">
        <v>27848</v>
      </c>
      <c r="J927" s="3">
        <f t="shared" si="42"/>
        <v>27848</v>
      </c>
      <c r="K927" s="1">
        <v>29674</v>
      </c>
      <c r="L927" s="3">
        <f t="shared" si="43"/>
        <v>29674</v>
      </c>
      <c r="M927" t="s">
        <v>67</v>
      </c>
      <c r="N927" t="s">
        <v>49</v>
      </c>
      <c r="O927" t="s">
        <v>49</v>
      </c>
      <c r="P927">
        <v>0</v>
      </c>
      <c r="Q927" t="s">
        <v>50</v>
      </c>
      <c r="R927" t="s">
        <v>51</v>
      </c>
      <c r="S927">
        <v>1925</v>
      </c>
      <c r="T927">
        <v>-777</v>
      </c>
      <c r="U927" s="1">
        <v>9346</v>
      </c>
      <c r="V927" s="2">
        <v>9346</v>
      </c>
      <c r="Z927">
        <v>1</v>
      </c>
      <c r="AA927">
        <v>1</v>
      </c>
      <c r="AB927">
        <v>0</v>
      </c>
      <c r="AC927">
        <v>0</v>
      </c>
      <c r="AF927">
        <v>1976</v>
      </c>
      <c r="AG927">
        <v>1981</v>
      </c>
      <c r="AH927">
        <v>-0.435370331925166</v>
      </c>
      <c r="AI927">
        <v>2676.6666666666601</v>
      </c>
      <c r="AJ927">
        <v>184.59432741129899</v>
      </c>
      <c r="AK927">
        <v>49.266666666666602</v>
      </c>
      <c r="AL927">
        <v>1.58993252656325</v>
      </c>
      <c r="AM927">
        <v>4.0227020670146798</v>
      </c>
      <c r="AN927">
        <v>-8.83</v>
      </c>
      <c r="AO927" t="b">
        <v>0</v>
      </c>
      <c r="AT927">
        <v>1826</v>
      </c>
      <c r="AU927">
        <f t="shared" si="44"/>
        <v>5.0030000000000001</v>
      </c>
    </row>
    <row r="928" spans="1:47" x14ac:dyDescent="0.3">
      <c r="A928">
        <v>926</v>
      </c>
      <c r="B928" t="s">
        <v>3971</v>
      </c>
      <c r="C928" t="s">
        <v>3972</v>
      </c>
      <c r="D928">
        <v>160</v>
      </c>
      <c r="E928" t="s">
        <v>3796</v>
      </c>
      <c r="F928" t="str">
        <f>VLOOKUP(E928,country_continent!A:C,2,FALSE)</f>
        <v>Argentina</v>
      </c>
      <c r="G928" t="str">
        <f>VLOOKUP(E928,country_continent!A:C,3,FALSE)</f>
        <v>South America</v>
      </c>
      <c r="H928" t="s">
        <v>3973</v>
      </c>
      <c r="I928" s="1">
        <v>29674</v>
      </c>
      <c r="J928" s="3">
        <f t="shared" si="42"/>
        <v>29674</v>
      </c>
      <c r="K928" s="1">
        <v>29910</v>
      </c>
      <c r="L928" s="3">
        <f t="shared" si="43"/>
        <v>29910</v>
      </c>
      <c r="M928" t="s">
        <v>49</v>
      </c>
      <c r="N928" t="s">
        <v>228</v>
      </c>
      <c r="O928" t="s">
        <v>49</v>
      </c>
      <c r="P928">
        <v>0</v>
      </c>
      <c r="Q928" t="s">
        <v>50</v>
      </c>
      <c r="R928" t="s">
        <v>51</v>
      </c>
      <c r="S928">
        <v>1924</v>
      </c>
      <c r="T928">
        <v>1994</v>
      </c>
      <c r="U928" s="1">
        <v>9053</v>
      </c>
      <c r="V928" s="2">
        <v>9053</v>
      </c>
      <c r="Y928" t="s">
        <v>3974</v>
      </c>
      <c r="Z928">
        <v>0</v>
      </c>
      <c r="AA928">
        <v>2.0999998999999998</v>
      </c>
      <c r="AB928">
        <v>0</v>
      </c>
      <c r="AC928">
        <v>0</v>
      </c>
      <c r="AF928">
        <v>1981</v>
      </c>
      <c r="AG928">
        <v>1981</v>
      </c>
      <c r="AH928">
        <v>-6.6965588572148098</v>
      </c>
      <c r="AI928">
        <v>2800</v>
      </c>
      <c r="AJ928">
        <v>105.276366380063</v>
      </c>
      <c r="AK928">
        <v>39.4</v>
      </c>
      <c r="AL928">
        <v>1.6020123207614401</v>
      </c>
      <c r="AM928">
        <v>5.1507053195235404</v>
      </c>
      <c r="AN928">
        <v>-8</v>
      </c>
      <c r="AO928" t="b">
        <v>0</v>
      </c>
      <c r="AT928">
        <v>236</v>
      </c>
      <c r="AU928">
        <f t="shared" si="44"/>
        <v>0.64700000000000002</v>
      </c>
    </row>
    <row r="929" spans="1:47" x14ac:dyDescent="0.3">
      <c r="A929">
        <v>927</v>
      </c>
      <c r="B929" t="s">
        <v>3975</v>
      </c>
      <c r="C929" t="s">
        <v>3976</v>
      </c>
      <c r="D929">
        <v>160</v>
      </c>
      <c r="E929" t="s">
        <v>3796</v>
      </c>
      <c r="F929" t="str">
        <f>VLOOKUP(E929,country_continent!A:C,2,FALSE)</f>
        <v>Argentina</v>
      </c>
      <c r="G929" t="str">
        <f>VLOOKUP(E929,country_continent!A:C,3,FALSE)</f>
        <v>South America</v>
      </c>
      <c r="H929" t="s">
        <v>3977</v>
      </c>
      <c r="I929" s="1">
        <v>29910</v>
      </c>
      <c r="J929" s="3">
        <f t="shared" si="42"/>
        <v>29910</v>
      </c>
      <c r="K929" s="1">
        <v>29931</v>
      </c>
      <c r="L929" s="3">
        <f t="shared" si="43"/>
        <v>29931</v>
      </c>
      <c r="M929" t="s">
        <v>49</v>
      </c>
      <c r="N929" t="s">
        <v>67</v>
      </c>
      <c r="O929" t="s">
        <v>389</v>
      </c>
      <c r="P929">
        <v>0</v>
      </c>
      <c r="Q929" t="s">
        <v>50</v>
      </c>
      <c r="R929" t="s">
        <v>51</v>
      </c>
      <c r="S929">
        <v>1924</v>
      </c>
      <c r="T929">
        <v>2007</v>
      </c>
      <c r="U929" s="1">
        <v>9118</v>
      </c>
      <c r="V929" s="2">
        <v>9118</v>
      </c>
      <c r="Z929">
        <v>0</v>
      </c>
      <c r="AA929">
        <v>3</v>
      </c>
      <c r="AB929">
        <v>16</v>
      </c>
      <c r="AC929">
        <v>0</v>
      </c>
      <c r="AF929">
        <v>1981</v>
      </c>
      <c r="AG929">
        <v>1981</v>
      </c>
      <c r="AH929">
        <v>-6.6965588572148098</v>
      </c>
      <c r="AI929">
        <v>2800</v>
      </c>
      <c r="AJ929">
        <v>105.276366380063</v>
      </c>
      <c r="AK929">
        <v>39.4</v>
      </c>
      <c r="AL929">
        <v>1.6020123207614401</v>
      </c>
      <c r="AM929">
        <v>5.1507053195235404</v>
      </c>
      <c r="AN929">
        <v>-8</v>
      </c>
      <c r="AO929" t="b">
        <v>0</v>
      </c>
      <c r="AT929">
        <v>21</v>
      </c>
      <c r="AU929">
        <f t="shared" si="44"/>
        <v>5.8000000000000003E-2</v>
      </c>
    </row>
    <row r="930" spans="1:47" x14ac:dyDescent="0.3">
      <c r="A930">
        <v>928</v>
      </c>
      <c r="B930" t="s">
        <v>3978</v>
      </c>
      <c r="C930" t="s">
        <v>3979</v>
      </c>
      <c r="D930">
        <v>160</v>
      </c>
      <c r="E930" t="s">
        <v>3796</v>
      </c>
      <c r="F930" t="str">
        <f>VLOOKUP(E930,country_continent!A:C,2,FALSE)</f>
        <v>Argentina</v>
      </c>
      <c r="G930" t="str">
        <f>VLOOKUP(E930,country_continent!A:C,3,FALSE)</f>
        <v>South America</v>
      </c>
      <c r="H930" t="s">
        <v>3980</v>
      </c>
      <c r="I930" s="1">
        <v>29932</v>
      </c>
      <c r="J930" s="3">
        <f t="shared" si="42"/>
        <v>29932</v>
      </c>
      <c r="K930" s="1">
        <v>30119</v>
      </c>
      <c r="L930" s="3">
        <f t="shared" si="43"/>
        <v>30119</v>
      </c>
      <c r="M930" t="s">
        <v>67</v>
      </c>
      <c r="N930" t="s">
        <v>67</v>
      </c>
      <c r="O930" t="s">
        <v>389</v>
      </c>
      <c r="P930">
        <v>0</v>
      </c>
      <c r="Q930" t="s">
        <v>463</v>
      </c>
      <c r="R930" t="s">
        <v>51</v>
      </c>
      <c r="S930">
        <v>1926</v>
      </c>
      <c r="T930">
        <v>2003</v>
      </c>
      <c r="U930" s="1">
        <v>9693</v>
      </c>
      <c r="V930" s="2">
        <v>9693</v>
      </c>
      <c r="W930" s="1">
        <v>37633</v>
      </c>
      <c r="X930" s="2">
        <v>37633</v>
      </c>
      <c r="Y930" t="s">
        <v>3981</v>
      </c>
      <c r="Z930">
        <v>1</v>
      </c>
      <c r="AA930">
        <v>3</v>
      </c>
      <c r="AB930">
        <v>16</v>
      </c>
      <c r="AC930">
        <v>2</v>
      </c>
      <c r="AF930">
        <v>1981</v>
      </c>
      <c r="AG930">
        <v>1982</v>
      </c>
      <c r="AH930">
        <v>-4.5059593054993297</v>
      </c>
      <c r="AI930">
        <v>2730</v>
      </c>
      <c r="AJ930">
        <v>149.90583302175301</v>
      </c>
      <c r="AK930">
        <v>37.950000000000003</v>
      </c>
      <c r="AL930">
        <v>1.60310955971813</v>
      </c>
      <c r="AM930">
        <v>4.0339302120926499</v>
      </c>
      <c r="AN930">
        <v>-8</v>
      </c>
      <c r="AO930" t="b">
        <v>0</v>
      </c>
      <c r="AT930">
        <v>187</v>
      </c>
      <c r="AU930">
        <f t="shared" si="44"/>
        <v>0.51200000000000001</v>
      </c>
    </row>
    <row r="931" spans="1:47" x14ac:dyDescent="0.3">
      <c r="A931">
        <v>929</v>
      </c>
      <c r="B931" t="s">
        <v>3982</v>
      </c>
      <c r="C931" t="s">
        <v>3983</v>
      </c>
      <c r="D931">
        <v>160</v>
      </c>
      <c r="E931" t="s">
        <v>3796</v>
      </c>
      <c r="F931" t="str">
        <f>VLOOKUP(E931,country_continent!A:C,2,FALSE)</f>
        <v>Argentina</v>
      </c>
      <c r="G931" t="str">
        <f>VLOOKUP(E931,country_continent!A:C,3,FALSE)</f>
        <v>South America</v>
      </c>
      <c r="H931" t="s">
        <v>3984</v>
      </c>
      <c r="I931" s="1">
        <v>30120</v>
      </c>
      <c r="J931" s="3">
        <f t="shared" si="42"/>
        <v>30120</v>
      </c>
      <c r="K931" s="1">
        <v>30133</v>
      </c>
      <c r="L931" s="3">
        <f t="shared" si="43"/>
        <v>30133</v>
      </c>
      <c r="M931" t="s">
        <v>67</v>
      </c>
      <c r="N931" t="s">
        <v>49</v>
      </c>
      <c r="O931" t="s">
        <v>49</v>
      </c>
      <c r="P931">
        <v>0</v>
      </c>
      <c r="Q931" t="s">
        <v>50</v>
      </c>
      <c r="R931" t="s">
        <v>51</v>
      </c>
      <c r="S931">
        <v>1926</v>
      </c>
      <c r="T931">
        <v>1987</v>
      </c>
      <c r="Z931">
        <v>1</v>
      </c>
      <c r="AA931">
        <v>1</v>
      </c>
      <c r="AB931">
        <v>0</v>
      </c>
      <c r="AC931">
        <v>0</v>
      </c>
      <c r="AF931">
        <v>1982</v>
      </c>
      <c r="AG931">
        <v>1982</v>
      </c>
      <c r="AH931">
        <v>-2.3153597537838602</v>
      </c>
      <c r="AI931">
        <v>2660</v>
      </c>
      <c r="AJ931">
        <v>194.535299663443</v>
      </c>
      <c r="AK931">
        <v>36.5</v>
      </c>
      <c r="AL931">
        <v>1.6042067986748201</v>
      </c>
      <c r="AM931">
        <v>2.9171551046617701</v>
      </c>
      <c r="AN931">
        <v>-8</v>
      </c>
      <c r="AO931" t="b">
        <v>0</v>
      </c>
      <c r="AT931">
        <v>13</v>
      </c>
      <c r="AU931">
        <f t="shared" si="44"/>
        <v>3.5999999999999997E-2</v>
      </c>
    </row>
    <row r="932" spans="1:47" x14ac:dyDescent="0.3">
      <c r="A932">
        <v>930</v>
      </c>
      <c r="B932" t="s">
        <v>3985</v>
      </c>
      <c r="C932" t="s">
        <v>3986</v>
      </c>
      <c r="D932">
        <v>160</v>
      </c>
      <c r="E932" t="s">
        <v>3796</v>
      </c>
      <c r="F932" t="str">
        <f>VLOOKUP(E932,country_continent!A:C,2,FALSE)</f>
        <v>Argentina</v>
      </c>
      <c r="G932" t="str">
        <f>VLOOKUP(E932,country_continent!A:C,3,FALSE)</f>
        <v>South America</v>
      </c>
      <c r="H932" t="s">
        <v>3987</v>
      </c>
      <c r="I932" s="1">
        <v>30133</v>
      </c>
      <c r="J932" s="3">
        <f t="shared" si="42"/>
        <v>30133</v>
      </c>
      <c r="K932" s="1">
        <v>30660</v>
      </c>
      <c r="L932" s="3">
        <f t="shared" si="43"/>
        <v>30660</v>
      </c>
      <c r="M932" t="s">
        <v>49</v>
      </c>
      <c r="N932" t="s">
        <v>49</v>
      </c>
      <c r="O932" t="s">
        <v>49</v>
      </c>
      <c r="P932">
        <v>0</v>
      </c>
      <c r="Q932" t="s">
        <v>463</v>
      </c>
      <c r="R932" t="s">
        <v>51</v>
      </c>
      <c r="S932">
        <v>1928</v>
      </c>
      <c r="T932">
        <v>-777</v>
      </c>
      <c r="U932" s="1">
        <v>10248</v>
      </c>
      <c r="V932" s="2">
        <v>10248</v>
      </c>
      <c r="Y932" t="s">
        <v>3988</v>
      </c>
      <c r="Z932">
        <v>0</v>
      </c>
      <c r="AA932">
        <v>1</v>
      </c>
      <c r="AB932">
        <v>0</v>
      </c>
      <c r="AC932">
        <v>2</v>
      </c>
      <c r="AF932">
        <v>1982</v>
      </c>
      <c r="AG932">
        <v>1983</v>
      </c>
      <c r="AH932">
        <v>0.187739130861345</v>
      </c>
      <c r="AI932">
        <v>2760</v>
      </c>
      <c r="AJ932">
        <v>287.346914092681</v>
      </c>
      <c r="AK932">
        <v>35.299999999999997</v>
      </c>
      <c r="AL932">
        <v>1.6030555217648099</v>
      </c>
      <c r="AM932">
        <v>3.0953426336032099</v>
      </c>
      <c r="AN932">
        <v>0</v>
      </c>
      <c r="AO932" t="b">
        <v>0</v>
      </c>
      <c r="AT932">
        <v>527</v>
      </c>
      <c r="AU932">
        <f t="shared" si="44"/>
        <v>1.444</v>
      </c>
    </row>
    <row r="933" spans="1:47" x14ac:dyDescent="0.3">
      <c r="A933">
        <v>931</v>
      </c>
      <c r="B933" t="s">
        <v>3989</v>
      </c>
      <c r="C933" t="s">
        <v>3990</v>
      </c>
      <c r="D933">
        <v>160</v>
      </c>
      <c r="E933" t="s">
        <v>3796</v>
      </c>
      <c r="F933" t="str">
        <f>VLOOKUP(E933,country_continent!A:C,2,FALSE)</f>
        <v>Argentina</v>
      </c>
      <c r="G933" t="str">
        <f>VLOOKUP(E933,country_continent!A:C,3,FALSE)</f>
        <v>South America</v>
      </c>
      <c r="H933" t="s">
        <v>3991</v>
      </c>
      <c r="I933" s="1">
        <v>30660</v>
      </c>
      <c r="J933" s="3">
        <f t="shared" si="42"/>
        <v>30660</v>
      </c>
      <c r="K933" s="1">
        <v>32697</v>
      </c>
      <c r="L933" s="3">
        <f t="shared" si="43"/>
        <v>32697</v>
      </c>
      <c r="M933" t="s">
        <v>49</v>
      </c>
      <c r="N933" t="s">
        <v>49</v>
      </c>
      <c r="O933" t="s">
        <v>49</v>
      </c>
      <c r="P933">
        <v>0</v>
      </c>
      <c r="Q933" t="s">
        <v>50</v>
      </c>
      <c r="R933" t="s">
        <v>51</v>
      </c>
      <c r="S933">
        <v>1926</v>
      </c>
      <c r="T933">
        <v>2009</v>
      </c>
      <c r="U933" s="1">
        <v>9569</v>
      </c>
      <c r="V933" s="2">
        <v>9569</v>
      </c>
      <c r="Z933">
        <v>0</v>
      </c>
      <c r="AA933">
        <v>1</v>
      </c>
      <c r="AB933">
        <v>0</v>
      </c>
      <c r="AC933">
        <v>0</v>
      </c>
      <c r="AF933">
        <v>1983</v>
      </c>
      <c r="AG933">
        <v>1989</v>
      </c>
      <c r="AH933">
        <v>-1.36359568062195</v>
      </c>
      <c r="AI933">
        <v>3252.8571428571399</v>
      </c>
      <c r="AJ933">
        <v>747.28171163001798</v>
      </c>
      <c r="AK933">
        <v>30.485714285714199</v>
      </c>
      <c r="AL933">
        <v>1.5640946324229501</v>
      </c>
      <c r="AM933">
        <v>2.6915953613896302</v>
      </c>
      <c r="AN933">
        <v>7.86</v>
      </c>
      <c r="AO933" t="b">
        <v>0</v>
      </c>
      <c r="AT933">
        <v>2037</v>
      </c>
      <c r="AU933">
        <f t="shared" si="44"/>
        <v>5.5810000000000004</v>
      </c>
    </row>
    <row r="934" spans="1:47" x14ac:dyDescent="0.3">
      <c r="A934">
        <v>932</v>
      </c>
      <c r="B934" t="s">
        <v>3992</v>
      </c>
      <c r="C934" t="s">
        <v>3993</v>
      </c>
      <c r="D934">
        <v>160</v>
      </c>
      <c r="E934" t="s">
        <v>3796</v>
      </c>
      <c r="F934" t="str">
        <f>VLOOKUP(E934,country_continent!A:C,2,FALSE)</f>
        <v>Argentina</v>
      </c>
      <c r="G934" t="str">
        <f>VLOOKUP(E934,country_continent!A:C,3,FALSE)</f>
        <v>South America</v>
      </c>
      <c r="H934" t="s">
        <v>3994</v>
      </c>
      <c r="I934" s="1">
        <v>32697</v>
      </c>
      <c r="J934" s="3">
        <f t="shared" si="42"/>
        <v>32697</v>
      </c>
      <c r="K934" s="1">
        <v>36504</v>
      </c>
      <c r="L934" s="3">
        <f t="shared" si="43"/>
        <v>36504</v>
      </c>
      <c r="M934" t="s">
        <v>49</v>
      </c>
      <c r="N934" t="s">
        <v>49</v>
      </c>
      <c r="O934" t="s">
        <v>49</v>
      </c>
      <c r="P934">
        <v>0</v>
      </c>
      <c r="Q934" t="s">
        <v>50</v>
      </c>
      <c r="R934" t="s">
        <v>51</v>
      </c>
      <c r="S934">
        <v>1930</v>
      </c>
      <c r="T934">
        <v>-777</v>
      </c>
      <c r="U934" s="1">
        <v>11141</v>
      </c>
      <c r="V934" s="2">
        <v>11141</v>
      </c>
      <c r="Y934" t="s">
        <v>3995</v>
      </c>
      <c r="Z934">
        <v>0</v>
      </c>
      <c r="AA934">
        <v>1</v>
      </c>
      <c r="AB934">
        <v>0</v>
      </c>
      <c r="AC934">
        <v>0</v>
      </c>
      <c r="AF934">
        <v>1989</v>
      </c>
      <c r="AG934">
        <v>1999</v>
      </c>
      <c r="AH934">
        <v>1.6160211798321999</v>
      </c>
      <c r="AI934">
        <v>6288.1818181818098</v>
      </c>
      <c r="AJ934">
        <v>479.94341665120101</v>
      </c>
      <c r="AK934">
        <v>25.0818181818181</v>
      </c>
      <c r="AL934">
        <v>1.3318129346005101</v>
      </c>
      <c r="AM934">
        <v>1.5425742315828399</v>
      </c>
      <c r="AN934">
        <v>7.09</v>
      </c>
      <c r="AO934" t="b">
        <v>0</v>
      </c>
      <c r="AT934">
        <v>3807</v>
      </c>
      <c r="AU934">
        <f t="shared" si="44"/>
        <v>10.43</v>
      </c>
    </row>
    <row r="935" spans="1:47" x14ac:dyDescent="0.3">
      <c r="A935">
        <v>933</v>
      </c>
      <c r="B935" t="s">
        <v>3996</v>
      </c>
      <c r="C935" t="s">
        <v>3997</v>
      </c>
      <c r="D935">
        <v>160</v>
      </c>
      <c r="E935" t="s">
        <v>3796</v>
      </c>
      <c r="F935" t="str">
        <f>VLOOKUP(E935,country_continent!A:C,2,FALSE)</f>
        <v>Argentina</v>
      </c>
      <c r="G935" t="str">
        <f>VLOOKUP(E935,country_continent!A:C,3,FALSE)</f>
        <v>South America</v>
      </c>
      <c r="H935" t="s">
        <v>3998</v>
      </c>
      <c r="I935" s="1">
        <v>36504</v>
      </c>
      <c r="J935" s="3">
        <f t="shared" si="42"/>
        <v>36504</v>
      </c>
      <c r="K935" s="1">
        <v>37246</v>
      </c>
      <c r="L935" s="3">
        <f t="shared" si="43"/>
        <v>37246</v>
      </c>
      <c r="M935" t="s">
        <v>49</v>
      </c>
      <c r="N935" t="s">
        <v>49</v>
      </c>
      <c r="O935" t="s">
        <v>49</v>
      </c>
      <c r="P935">
        <v>0</v>
      </c>
      <c r="Q935" t="s">
        <v>50</v>
      </c>
      <c r="R935" t="s">
        <v>51</v>
      </c>
      <c r="S935">
        <v>1937</v>
      </c>
      <c r="T935">
        <v>-777</v>
      </c>
      <c r="U935" s="1">
        <v>13773</v>
      </c>
      <c r="V935" s="2">
        <v>13773</v>
      </c>
      <c r="Y935" t="s">
        <v>3999</v>
      </c>
      <c r="Z935">
        <v>0</v>
      </c>
      <c r="AA935">
        <v>1</v>
      </c>
      <c r="AB935">
        <v>0</v>
      </c>
      <c r="AC935">
        <v>0</v>
      </c>
      <c r="AF935">
        <v>1999</v>
      </c>
      <c r="AG935">
        <v>2001</v>
      </c>
      <c r="AH935">
        <v>-3.9508489923257399</v>
      </c>
      <c r="AI935">
        <v>7280</v>
      </c>
      <c r="AJ935">
        <v>-0.63167966993722702</v>
      </c>
      <c r="AK935">
        <v>19.433333333333302</v>
      </c>
      <c r="AL935">
        <v>1.12803932498478</v>
      </c>
      <c r="AM935">
        <v>1.8944167404343599</v>
      </c>
      <c r="AN935">
        <v>8</v>
      </c>
      <c r="AO935" t="b">
        <v>0</v>
      </c>
      <c r="AT935">
        <v>742</v>
      </c>
      <c r="AU935">
        <f t="shared" si="44"/>
        <v>2.0329999999999999</v>
      </c>
    </row>
    <row r="936" spans="1:47" x14ac:dyDescent="0.3">
      <c r="A936">
        <v>934</v>
      </c>
      <c r="B936" t="s">
        <v>4000</v>
      </c>
      <c r="C936" t="s">
        <v>4001</v>
      </c>
      <c r="D936">
        <v>160</v>
      </c>
      <c r="E936" t="s">
        <v>3796</v>
      </c>
      <c r="F936" t="str">
        <f>VLOOKUP(E936,country_continent!A:C,2,FALSE)</f>
        <v>Argentina</v>
      </c>
      <c r="G936" t="str">
        <f>VLOOKUP(E936,country_continent!A:C,3,FALSE)</f>
        <v>South America</v>
      </c>
      <c r="H936" t="s">
        <v>4002</v>
      </c>
      <c r="I936" s="1">
        <v>37246</v>
      </c>
      <c r="J936" s="3">
        <f t="shared" si="42"/>
        <v>37246</v>
      </c>
      <c r="K936" s="1">
        <v>37248</v>
      </c>
      <c r="L936" s="3">
        <f t="shared" si="43"/>
        <v>37248</v>
      </c>
      <c r="M936" t="s">
        <v>49</v>
      </c>
      <c r="N936" t="s">
        <v>49</v>
      </c>
      <c r="O936" t="s">
        <v>49</v>
      </c>
      <c r="P936">
        <v>0</v>
      </c>
      <c r="Q936" t="s">
        <v>50</v>
      </c>
      <c r="R936" t="s">
        <v>51</v>
      </c>
      <c r="S936">
        <v>1951</v>
      </c>
      <c r="T936">
        <v>-777</v>
      </c>
      <c r="Z936">
        <v>0</v>
      </c>
      <c r="AA936">
        <v>1</v>
      </c>
      <c r="AB936">
        <v>0</v>
      </c>
      <c r="AC936">
        <v>0</v>
      </c>
      <c r="AF936">
        <v>2001</v>
      </c>
      <c r="AG936">
        <v>2001</v>
      </c>
      <c r="AH936">
        <v>-5.45263903304014</v>
      </c>
      <c r="AI936">
        <v>6930</v>
      </c>
      <c r="AJ936">
        <v>-1.09576771833678</v>
      </c>
      <c r="AK936">
        <v>18.8</v>
      </c>
      <c r="AL936">
        <v>1.0979467275794601</v>
      </c>
      <c r="AM936">
        <v>1.91854085449722</v>
      </c>
      <c r="AN936">
        <v>8</v>
      </c>
      <c r="AO936" t="b">
        <v>0</v>
      </c>
      <c r="AT936">
        <v>2</v>
      </c>
      <c r="AU936">
        <f t="shared" si="44"/>
        <v>5.0000000000000001E-3</v>
      </c>
    </row>
    <row r="937" spans="1:47" x14ac:dyDescent="0.3">
      <c r="A937">
        <v>935</v>
      </c>
      <c r="B937" t="s">
        <v>4003</v>
      </c>
      <c r="C937" t="s">
        <v>4004</v>
      </c>
      <c r="D937">
        <v>160</v>
      </c>
      <c r="E937" t="s">
        <v>3796</v>
      </c>
      <c r="F937" t="str">
        <f>VLOOKUP(E937,country_continent!A:C,2,FALSE)</f>
        <v>Argentina</v>
      </c>
      <c r="G937" t="str">
        <f>VLOOKUP(E937,country_continent!A:C,3,FALSE)</f>
        <v>South America</v>
      </c>
      <c r="H937" t="s">
        <v>4005</v>
      </c>
      <c r="I937" s="1">
        <v>37248</v>
      </c>
      <c r="J937" s="3">
        <f t="shared" si="42"/>
        <v>37248</v>
      </c>
      <c r="K937" s="1">
        <v>37257</v>
      </c>
      <c r="L937" s="3">
        <f t="shared" si="43"/>
        <v>37257</v>
      </c>
      <c r="M937" t="s">
        <v>49</v>
      </c>
      <c r="N937" t="s">
        <v>49</v>
      </c>
      <c r="O937" t="s">
        <v>49</v>
      </c>
      <c r="P937">
        <v>0</v>
      </c>
      <c r="Q937" t="s">
        <v>50</v>
      </c>
      <c r="R937" t="s">
        <v>51</v>
      </c>
      <c r="S937">
        <v>1947</v>
      </c>
      <c r="T937">
        <v>-777</v>
      </c>
      <c r="Z937">
        <v>0</v>
      </c>
      <c r="AA937">
        <v>1</v>
      </c>
      <c r="AB937">
        <v>0</v>
      </c>
      <c r="AC937">
        <v>0</v>
      </c>
      <c r="AF937">
        <v>2001</v>
      </c>
      <c r="AG937">
        <v>2002</v>
      </c>
      <c r="AH937">
        <v>-8.6474764253704492</v>
      </c>
      <c r="AI937">
        <v>5470</v>
      </c>
      <c r="AJ937">
        <v>14.729718167783</v>
      </c>
      <c r="AK937">
        <v>18.55</v>
      </c>
      <c r="AL937">
        <v>1.08367995546645</v>
      </c>
      <c r="AM937">
        <v>3.77472162390678</v>
      </c>
      <c r="AN937">
        <v>8</v>
      </c>
      <c r="AO937" t="b">
        <v>0</v>
      </c>
      <c r="AT937">
        <v>9</v>
      </c>
      <c r="AU937">
        <f t="shared" si="44"/>
        <v>2.5000000000000001E-2</v>
      </c>
    </row>
    <row r="938" spans="1:47" x14ac:dyDescent="0.3">
      <c r="A938">
        <v>936</v>
      </c>
      <c r="B938" t="s">
        <v>4006</v>
      </c>
      <c r="C938" t="s">
        <v>4007</v>
      </c>
      <c r="D938">
        <v>160</v>
      </c>
      <c r="E938" t="s">
        <v>3796</v>
      </c>
      <c r="F938" t="str">
        <f>VLOOKUP(E938,country_continent!A:C,2,FALSE)</f>
        <v>Argentina</v>
      </c>
      <c r="G938" t="str">
        <f>VLOOKUP(E938,country_continent!A:C,3,FALSE)</f>
        <v>South America</v>
      </c>
      <c r="H938" t="s">
        <v>4008</v>
      </c>
      <c r="I938" s="1">
        <v>37258</v>
      </c>
      <c r="J938" s="3">
        <f t="shared" si="42"/>
        <v>37258</v>
      </c>
      <c r="K938" s="1">
        <v>37766</v>
      </c>
      <c r="L938" s="3">
        <f t="shared" si="43"/>
        <v>37766</v>
      </c>
      <c r="M938" t="s">
        <v>49</v>
      </c>
      <c r="N938" t="s">
        <v>49</v>
      </c>
      <c r="O938" t="s">
        <v>49</v>
      </c>
      <c r="P938">
        <v>0</v>
      </c>
      <c r="Q938" t="s">
        <v>50</v>
      </c>
      <c r="R938" t="s">
        <v>51</v>
      </c>
      <c r="S938">
        <v>1941</v>
      </c>
      <c r="T938">
        <v>-777</v>
      </c>
      <c r="U938" s="1">
        <v>15254</v>
      </c>
      <c r="V938" s="2">
        <v>15254</v>
      </c>
      <c r="Y938" t="s">
        <v>4009</v>
      </c>
      <c r="Z938">
        <v>0</v>
      </c>
      <c r="AA938">
        <v>1</v>
      </c>
      <c r="AB938">
        <v>0</v>
      </c>
      <c r="AC938">
        <v>0</v>
      </c>
      <c r="AF938">
        <v>2002</v>
      </c>
      <c r="AG938">
        <v>2003</v>
      </c>
      <c r="AH938">
        <v>-2.06196171881993</v>
      </c>
      <c r="AI938">
        <v>3815</v>
      </c>
      <c r="AJ938">
        <v>20.5254535377262</v>
      </c>
      <c r="AK938">
        <v>18.05</v>
      </c>
      <c r="AL938">
        <v>1.05127658015912</v>
      </c>
      <c r="AM938">
        <v>5.08747738625895</v>
      </c>
      <c r="AN938">
        <v>8</v>
      </c>
      <c r="AO938" t="b">
        <v>0</v>
      </c>
      <c r="AT938">
        <v>508</v>
      </c>
      <c r="AU938">
        <f t="shared" si="44"/>
        <v>1.3919999999999999</v>
      </c>
    </row>
    <row r="939" spans="1:47" x14ac:dyDescent="0.3">
      <c r="A939">
        <v>937</v>
      </c>
      <c r="B939" t="s">
        <v>4010</v>
      </c>
      <c r="C939" t="s">
        <v>4011</v>
      </c>
      <c r="D939">
        <v>160</v>
      </c>
      <c r="E939" t="s">
        <v>3796</v>
      </c>
      <c r="F939" t="str">
        <f>VLOOKUP(E939,country_continent!A:C,2,FALSE)</f>
        <v>Argentina</v>
      </c>
      <c r="G939" t="str">
        <f>VLOOKUP(E939,country_continent!A:C,3,FALSE)</f>
        <v>South America</v>
      </c>
      <c r="H939" t="s">
        <v>4012</v>
      </c>
      <c r="I939" s="1">
        <v>37766</v>
      </c>
      <c r="J939" s="3">
        <f t="shared" si="42"/>
        <v>37766</v>
      </c>
      <c r="K939" s="1">
        <v>39426</v>
      </c>
      <c r="L939" s="3">
        <f t="shared" si="43"/>
        <v>39426</v>
      </c>
      <c r="M939" t="s">
        <v>49</v>
      </c>
      <c r="N939" t="s">
        <v>49</v>
      </c>
      <c r="O939" t="s">
        <v>49</v>
      </c>
      <c r="P939">
        <v>0</v>
      </c>
      <c r="Q939" t="s">
        <v>50</v>
      </c>
      <c r="R939" t="s">
        <v>51</v>
      </c>
      <c r="S939">
        <v>1950</v>
      </c>
      <c r="T939">
        <v>2010</v>
      </c>
      <c r="Z939">
        <v>0</v>
      </c>
      <c r="AA939">
        <v>1</v>
      </c>
      <c r="AB939">
        <v>0</v>
      </c>
      <c r="AC939">
        <v>0</v>
      </c>
      <c r="AF939">
        <v>2003</v>
      </c>
      <c r="AG939">
        <v>2007</v>
      </c>
      <c r="AH939">
        <v>7.6522700599005002</v>
      </c>
      <c r="AI939">
        <v>4618</v>
      </c>
      <c r="AJ939">
        <v>13.5715091958984</v>
      </c>
      <c r="AK939">
        <v>16.759999999999899</v>
      </c>
      <c r="AL939">
        <v>1.0188047519513399</v>
      </c>
      <c r="AM939">
        <v>4.92815430056549</v>
      </c>
      <c r="AN939">
        <v>8</v>
      </c>
      <c r="AO939" t="b">
        <v>0</v>
      </c>
      <c r="AT939">
        <v>1660</v>
      </c>
      <c r="AU939">
        <f t="shared" si="44"/>
        <v>4.548</v>
      </c>
    </row>
    <row r="940" spans="1:47" x14ac:dyDescent="0.3">
      <c r="A940">
        <v>938</v>
      </c>
      <c r="B940" t="s">
        <v>4013</v>
      </c>
      <c r="C940" t="s">
        <v>4014</v>
      </c>
      <c r="D940">
        <v>160</v>
      </c>
      <c r="E940" t="s">
        <v>3796</v>
      </c>
      <c r="F940" t="str">
        <f>VLOOKUP(E940,country_continent!A:C,2,FALSE)</f>
        <v>Argentina</v>
      </c>
      <c r="G940" t="str">
        <f>VLOOKUP(E940,country_continent!A:C,3,FALSE)</f>
        <v>South America</v>
      </c>
      <c r="H940" t="s">
        <v>4015</v>
      </c>
      <c r="I940" s="1">
        <v>39426</v>
      </c>
      <c r="J940" s="3">
        <f t="shared" si="42"/>
        <v>39426</v>
      </c>
      <c r="K940" s="1">
        <v>42348</v>
      </c>
      <c r="L940" s="3">
        <f t="shared" si="43"/>
        <v>42348</v>
      </c>
      <c r="M940" t="s">
        <v>49</v>
      </c>
      <c r="N940" t="s">
        <v>49</v>
      </c>
      <c r="O940" t="s">
        <v>49</v>
      </c>
      <c r="P940">
        <v>0</v>
      </c>
      <c r="Q940" t="s">
        <v>312</v>
      </c>
      <c r="R940" t="s">
        <v>299</v>
      </c>
      <c r="S940">
        <v>1953</v>
      </c>
      <c r="T940">
        <v>-777</v>
      </c>
      <c r="U940" s="1">
        <v>19409</v>
      </c>
      <c r="V940" s="2">
        <v>19409</v>
      </c>
      <c r="Z940">
        <v>0</v>
      </c>
      <c r="AA940">
        <v>1</v>
      </c>
      <c r="AB940">
        <v>0</v>
      </c>
      <c r="AC940">
        <v>-999</v>
      </c>
      <c r="AF940">
        <v>2007</v>
      </c>
      <c r="AG940">
        <v>2015</v>
      </c>
      <c r="AH940">
        <v>1.7092413177489101</v>
      </c>
      <c r="AI940">
        <v>10088.8888888888</v>
      </c>
      <c r="AJ940">
        <v>23.470442017377199</v>
      </c>
      <c r="AK940">
        <v>13.811111111111099</v>
      </c>
      <c r="AL940">
        <v>1.0316101851619801</v>
      </c>
      <c r="AM940">
        <v>3.4326186863272099</v>
      </c>
      <c r="AN940">
        <v>8.11</v>
      </c>
      <c r="AO940" t="b">
        <v>0</v>
      </c>
      <c r="AT940">
        <v>2922</v>
      </c>
      <c r="AU940">
        <f t="shared" si="44"/>
        <v>8.0050000000000008</v>
      </c>
    </row>
    <row r="941" spans="1:47" x14ac:dyDescent="0.3">
      <c r="A941">
        <v>939</v>
      </c>
      <c r="B941" t="s">
        <v>4016</v>
      </c>
      <c r="C941" t="s">
        <v>4017</v>
      </c>
      <c r="D941">
        <v>160</v>
      </c>
      <c r="E941" t="s">
        <v>3796</v>
      </c>
      <c r="F941" t="str">
        <f>VLOOKUP(E941,country_continent!A:C,2,FALSE)</f>
        <v>Argentina</v>
      </c>
      <c r="G941" t="str">
        <f>VLOOKUP(E941,country_continent!A:C,3,FALSE)</f>
        <v>South America</v>
      </c>
      <c r="H941" t="s">
        <v>4018</v>
      </c>
      <c r="I941" s="1">
        <v>42348</v>
      </c>
      <c r="J941" s="3">
        <f t="shared" si="42"/>
        <v>42348</v>
      </c>
      <c r="K941" s="1">
        <v>42369</v>
      </c>
      <c r="L941" s="3">
        <f t="shared" si="43"/>
        <v>42369</v>
      </c>
      <c r="M941" t="s">
        <v>49</v>
      </c>
      <c r="N941" t="s">
        <v>173</v>
      </c>
      <c r="O941" t="s">
        <v>173</v>
      </c>
      <c r="P941">
        <v>0</v>
      </c>
      <c r="Q941" t="s">
        <v>174</v>
      </c>
      <c r="R941" t="s">
        <v>299</v>
      </c>
      <c r="S941">
        <v>1959</v>
      </c>
      <c r="T941">
        <v>-777</v>
      </c>
      <c r="U941" s="1">
        <v>21589</v>
      </c>
      <c r="V941" s="2">
        <v>21589</v>
      </c>
      <c r="Z941">
        <v>0</v>
      </c>
      <c r="AA941">
        <v>-888</v>
      </c>
      <c r="AB941">
        <v>-888</v>
      </c>
      <c r="AC941">
        <v>-888</v>
      </c>
      <c r="AF941">
        <v>2015</v>
      </c>
      <c r="AG941">
        <v>2015</v>
      </c>
      <c r="AH941">
        <v>1.66091253843923</v>
      </c>
      <c r="AI941">
        <v>12500</v>
      </c>
      <c r="AJ941">
        <v>26.579991602470699</v>
      </c>
      <c r="AK941">
        <v>11.7</v>
      </c>
      <c r="AL941">
        <v>1.0472588873572599</v>
      </c>
      <c r="AM941">
        <v>1.1167749345814599</v>
      </c>
      <c r="AN941">
        <v>9</v>
      </c>
      <c r="AO941" t="b">
        <v>0</v>
      </c>
      <c r="AT941">
        <v>21</v>
      </c>
      <c r="AU941">
        <f t="shared" si="44"/>
        <v>5.8000000000000003E-2</v>
      </c>
    </row>
    <row r="942" spans="1:47" x14ac:dyDescent="0.3">
      <c r="A942">
        <v>940</v>
      </c>
      <c r="B942" t="s">
        <v>4019</v>
      </c>
      <c r="C942" t="s">
        <v>4020</v>
      </c>
      <c r="D942">
        <v>165</v>
      </c>
      <c r="E942" t="s">
        <v>4021</v>
      </c>
      <c r="F942" t="str">
        <f>VLOOKUP(E942,country_continent!A:C,2,FALSE)</f>
        <v>Uruguay</v>
      </c>
      <c r="G942" t="str">
        <f>VLOOKUP(E942,country_continent!A:C,3,FALSE)</f>
        <v>South America</v>
      </c>
      <c r="H942" t="s">
        <v>4022</v>
      </c>
      <c r="I942" t="s">
        <v>4023</v>
      </c>
      <c r="J942" s="3" t="str">
        <f t="shared" si="42"/>
        <v>1873/02/15</v>
      </c>
      <c r="K942" t="s">
        <v>4024</v>
      </c>
      <c r="L942" s="3" t="str">
        <f t="shared" si="43"/>
        <v>1875/01/15</v>
      </c>
      <c r="M942" t="s">
        <v>49</v>
      </c>
      <c r="N942" t="s">
        <v>67</v>
      </c>
      <c r="O942" t="s">
        <v>347</v>
      </c>
      <c r="P942">
        <v>0</v>
      </c>
      <c r="Q942" t="s">
        <v>362</v>
      </c>
      <c r="R942" t="s">
        <v>51</v>
      </c>
      <c r="S942">
        <v>1834</v>
      </c>
      <c r="T942">
        <v>1894</v>
      </c>
      <c r="Z942">
        <v>0</v>
      </c>
      <c r="AA942">
        <v>3</v>
      </c>
      <c r="AB942">
        <v>-999</v>
      </c>
      <c r="AC942">
        <v>1</v>
      </c>
      <c r="AF942">
        <v>1873</v>
      </c>
      <c r="AG942">
        <v>1875</v>
      </c>
      <c r="AO942" t="b">
        <v>0</v>
      </c>
      <c r="AT942">
        <v>699</v>
      </c>
      <c r="AU942">
        <f t="shared" si="44"/>
        <v>1.915</v>
      </c>
    </row>
    <row r="943" spans="1:47" x14ac:dyDescent="0.3">
      <c r="A943">
        <v>941</v>
      </c>
      <c r="B943" t="s">
        <v>4025</v>
      </c>
      <c r="C943" t="s">
        <v>4026</v>
      </c>
      <c r="D943">
        <v>165</v>
      </c>
      <c r="E943" t="s">
        <v>4021</v>
      </c>
      <c r="F943" t="str">
        <f>VLOOKUP(E943,country_continent!A:C,2,FALSE)</f>
        <v>Uruguay</v>
      </c>
      <c r="G943" t="str">
        <f>VLOOKUP(E943,country_continent!A:C,3,FALSE)</f>
        <v>South America</v>
      </c>
      <c r="H943" t="s">
        <v>4027</v>
      </c>
      <c r="I943" t="s">
        <v>4024</v>
      </c>
      <c r="J943" s="3" t="str">
        <f t="shared" si="42"/>
        <v>1875/01/15</v>
      </c>
      <c r="K943" t="s">
        <v>4028</v>
      </c>
      <c r="L943" s="3" t="str">
        <f t="shared" si="43"/>
        <v>1876/03/10</v>
      </c>
      <c r="M943" t="s">
        <v>67</v>
      </c>
      <c r="N943" t="s">
        <v>67</v>
      </c>
      <c r="O943" t="s">
        <v>347</v>
      </c>
      <c r="P943">
        <v>1</v>
      </c>
      <c r="Q943" t="s">
        <v>362</v>
      </c>
      <c r="R943" t="s">
        <v>51</v>
      </c>
      <c r="S943">
        <v>1837</v>
      </c>
      <c r="T943">
        <v>1903</v>
      </c>
      <c r="Z943">
        <v>1</v>
      </c>
      <c r="AA943">
        <v>3</v>
      </c>
      <c r="AB943">
        <v>-999</v>
      </c>
      <c r="AC943">
        <v>1</v>
      </c>
      <c r="AF943">
        <v>1875</v>
      </c>
      <c r="AG943">
        <v>1876</v>
      </c>
      <c r="AO943" t="b">
        <v>0</v>
      </c>
      <c r="AT943">
        <v>420</v>
      </c>
      <c r="AU943">
        <f t="shared" si="44"/>
        <v>1.151</v>
      </c>
    </row>
    <row r="944" spans="1:47" x14ac:dyDescent="0.3">
      <c r="A944">
        <v>942</v>
      </c>
      <c r="B944" t="s">
        <v>4029</v>
      </c>
      <c r="C944" t="s">
        <v>4030</v>
      </c>
      <c r="D944">
        <v>165</v>
      </c>
      <c r="E944" t="s">
        <v>4021</v>
      </c>
      <c r="F944" t="str">
        <f>VLOOKUP(E944,country_continent!A:C,2,FALSE)</f>
        <v>Uruguay</v>
      </c>
      <c r="G944" t="str">
        <f>VLOOKUP(E944,country_continent!A:C,3,FALSE)</f>
        <v>South America</v>
      </c>
      <c r="H944" t="s">
        <v>4031</v>
      </c>
      <c r="I944" t="s">
        <v>4028</v>
      </c>
      <c r="J944" s="3" t="str">
        <f t="shared" si="42"/>
        <v>1876/03/10</v>
      </c>
      <c r="K944" t="s">
        <v>4032</v>
      </c>
      <c r="L944" s="3" t="str">
        <f t="shared" si="43"/>
        <v>1879/02/14</v>
      </c>
      <c r="M944" t="s">
        <v>67</v>
      </c>
      <c r="N944" t="s">
        <v>49</v>
      </c>
      <c r="O944" t="s">
        <v>49</v>
      </c>
      <c r="P944">
        <v>0</v>
      </c>
      <c r="Q944" t="s">
        <v>50</v>
      </c>
      <c r="R944" t="s">
        <v>51</v>
      </c>
      <c r="S944">
        <v>1844</v>
      </c>
      <c r="T944">
        <v>1916</v>
      </c>
      <c r="Z944">
        <v>1</v>
      </c>
      <c r="AA944">
        <v>1</v>
      </c>
      <c r="AB944">
        <v>0</v>
      </c>
      <c r="AC944">
        <v>0</v>
      </c>
      <c r="AF944">
        <v>1876</v>
      </c>
      <c r="AG944">
        <v>1879</v>
      </c>
      <c r="AO944" t="b">
        <v>0</v>
      </c>
      <c r="AT944">
        <v>1071</v>
      </c>
      <c r="AU944">
        <f t="shared" si="44"/>
        <v>2.9340000000000002</v>
      </c>
    </row>
    <row r="945" spans="1:47" x14ac:dyDescent="0.3">
      <c r="A945">
        <v>943</v>
      </c>
      <c r="B945" t="s">
        <v>4033</v>
      </c>
      <c r="C945" t="s">
        <v>4034</v>
      </c>
      <c r="D945">
        <v>165</v>
      </c>
      <c r="E945" t="s">
        <v>4021</v>
      </c>
      <c r="F945" t="str">
        <f>VLOOKUP(E945,country_continent!A:C,2,FALSE)</f>
        <v>Uruguay</v>
      </c>
      <c r="G945" t="str">
        <f>VLOOKUP(E945,country_continent!A:C,3,FALSE)</f>
        <v>South America</v>
      </c>
      <c r="H945" t="s">
        <v>4035</v>
      </c>
      <c r="I945" t="s">
        <v>4032</v>
      </c>
      <c r="J945" s="3" t="str">
        <f t="shared" si="42"/>
        <v>1879/02/14</v>
      </c>
      <c r="K945" t="s">
        <v>1601</v>
      </c>
      <c r="L945" s="3" t="str">
        <f t="shared" si="43"/>
        <v>1879/03/01</v>
      </c>
      <c r="M945" t="s">
        <v>49</v>
      </c>
      <c r="N945" t="s">
        <v>49</v>
      </c>
      <c r="O945" t="s">
        <v>49</v>
      </c>
      <c r="P945">
        <v>0</v>
      </c>
      <c r="Q945" t="s">
        <v>50</v>
      </c>
      <c r="R945" t="s">
        <v>51</v>
      </c>
      <c r="S945">
        <v>1827</v>
      </c>
      <c r="T945">
        <v>1891</v>
      </c>
      <c r="Z945">
        <v>0</v>
      </c>
      <c r="AA945">
        <v>1</v>
      </c>
      <c r="AB945">
        <v>0</v>
      </c>
      <c r="AC945">
        <v>0</v>
      </c>
      <c r="AF945">
        <v>1879</v>
      </c>
      <c r="AG945">
        <v>1879</v>
      </c>
      <c r="AO945" t="b">
        <v>0</v>
      </c>
      <c r="AT945">
        <v>15</v>
      </c>
      <c r="AU945">
        <f t="shared" si="44"/>
        <v>4.1000000000000002E-2</v>
      </c>
    </row>
    <row r="946" spans="1:47" x14ac:dyDescent="0.3">
      <c r="A946">
        <v>944</v>
      </c>
      <c r="B946" t="s">
        <v>4036</v>
      </c>
      <c r="C946" t="s">
        <v>4030</v>
      </c>
      <c r="D946">
        <v>165</v>
      </c>
      <c r="E946" t="s">
        <v>4021</v>
      </c>
      <c r="F946" t="str">
        <f>VLOOKUP(E946,country_continent!A:C,2,FALSE)</f>
        <v>Uruguay</v>
      </c>
      <c r="G946" t="str">
        <f>VLOOKUP(E946,country_continent!A:C,3,FALSE)</f>
        <v>South America</v>
      </c>
      <c r="H946" t="s">
        <v>4031</v>
      </c>
      <c r="I946" t="s">
        <v>1601</v>
      </c>
      <c r="J946" s="3" t="str">
        <f t="shared" si="42"/>
        <v>1879/03/01</v>
      </c>
      <c r="K946" t="s">
        <v>4037</v>
      </c>
      <c r="L946" s="3" t="str">
        <f t="shared" si="43"/>
        <v>1880/03/15</v>
      </c>
      <c r="M946" t="s">
        <v>49</v>
      </c>
      <c r="N946" t="s">
        <v>49</v>
      </c>
      <c r="O946" t="s">
        <v>49</v>
      </c>
      <c r="P946">
        <v>1</v>
      </c>
      <c r="Q946" t="s">
        <v>362</v>
      </c>
      <c r="R946" t="s">
        <v>51</v>
      </c>
      <c r="S946">
        <v>1844</v>
      </c>
      <c r="T946">
        <v>1916</v>
      </c>
      <c r="Z946">
        <v>0</v>
      </c>
      <c r="AA946">
        <v>1</v>
      </c>
      <c r="AB946">
        <v>0</v>
      </c>
      <c r="AC946">
        <v>1</v>
      </c>
      <c r="AF946">
        <v>1879</v>
      </c>
      <c r="AG946">
        <v>1880</v>
      </c>
      <c r="AO946" t="b">
        <v>0</v>
      </c>
      <c r="AT946">
        <v>380</v>
      </c>
      <c r="AU946">
        <f t="shared" si="44"/>
        <v>1.0409999999999999</v>
      </c>
    </row>
    <row r="947" spans="1:47" x14ac:dyDescent="0.3">
      <c r="A947">
        <v>945</v>
      </c>
      <c r="B947" t="s">
        <v>4038</v>
      </c>
      <c r="C947" t="s">
        <v>4034</v>
      </c>
      <c r="D947">
        <v>165</v>
      </c>
      <c r="E947" t="s">
        <v>4021</v>
      </c>
      <c r="F947" t="str">
        <f>VLOOKUP(E947,country_continent!A:C,2,FALSE)</f>
        <v>Uruguay</v>
      </c>
      <c r="G947" t="str">
        <f>VLOOKUP(E947,country_continent!A:C,3,FALSE)</f>
        <v>South America</v>
      </c>
      <c r="H947" t="s">
        <v>4035</v>
      </c>
      <c r="I947" t="s">
        <v>4037</v>
      </c>
      <c r="J947" s="3" t="str">
        <f t="shared" si="42"/>
        <v>1880/03/15</v>
      </c>
      <c r="K947" t="s">
        <v>4039</v>
      </c>
      <c r="L947" s="3" t="str">
        <f t="shared" si="43"/>
        <v>1882/02/28</v>
      </c>
      <c r="M947" t="s">
        <v>49</v>
      </c>
      <c r="N947" t="s">
        <v>67</v>
      </c>
      <c r="O947" t="s">
        <v>347</v>
      </c>
      <c r="P947">
        <v>1</v>
      </c>
      <c r="Q947" t="s">
        <v>50</v>
      </c>
      <c r="R947" t="s">
        <v>51</v>
      </c>
      <c r="S947">
        <v>1827</v>
      </c>
      <c r="T947">
        <v>1891</v>
      </c>
      <c r="Z947">
        <v>0</v>
      </c>
      <c r="AA947">
        <v>3</v>
      </c>
      <c r="AB947">
        <v>-999</v>
      </c>
      <c r="AC947">
        <v>0</v>
      </c>
      <c r="AF947">
        <v>1880</v>
      </c>
      <c r="AG947">
        <v>1882</v>
      </c>
      <c r="AO947" t="b">
        <v>0</v>
      </c>
      <c r="AT947">
        <v>715</v>
      </c>
      <c r="AU947">
        <f t="shared" si="44"/>
        <v>1.9590000000000001</v>
      </c>
    </row>
    <row r="948" spans="1:47" x14ac:dyDescent="0.3">
      <c r="A948">
        <v>946</v>
      </c>
      <c r="B948" t="s">
        <v>4040</v>
      </c>
      <c r="C948" t="s">
        <v>4041</v>
      </c>
      <c r="D948">
        <v>165</v>
      </c>
      <c r="E948" t="s">
        <v>4021</v>
      </c>
      <c r="F948" t="str">
        <f>VLOOKUP(E948,country_continent!A:C,2,FALSE)</f>
        <v>Uruguay</v>
      </c>
      <c r="G948" t="str">
        <f>VLOOKUP(E948,country_continent!A:C,3,FALSE)</f>
        <v>South America</v>
      </c>
      <c r="H948" t="s">
        <v>4042</v>
      </c>
      <c r="I948" t="s">
        <v>4043</v>
      </c>
      <c r="J948" s="3" t="str">
        <f t="shared" si="42"/>
        <v>1882/03/01</v>
      </c>
      <c r="K948" t="s">
        <v>4044</v>
      </c>
      <c r="L948" s="3" t="str">
        <f t="shared" si="43"/>
        <v>1886/03/01</v>
      </c>
      <c r="M948" t="s">
        <v>67</v>
      </c>
      <c r="N948" t="s">
        <v>49</v>
      </c>
      <c r="O948" t="s">
        <v>49</v>
      </c>
      <c r="P948">
        <v>0</v>
      </c>
      <c r="Q948" t="s">
        <v>50</v>
      </c>
      <c r="R948" t="s">
        <v>51</v>
      </c>
      <c r="S948">
        <v>1847</v>
      </c>
      <c r="T948">
        <v>1889</v>
      </c>
      <c r="Z948">
        <v>1</v>
      </c>
      <c r="AA948">
        <v>1</v>
      </c>
      <c r="AB948">
        <v>0</v>
      </c>
      <c r="AC948">
        <v>0</v>
      </c>
      <c r="AF948">
        <v>1882</v>
      </c>
      <c r="AG948">
        <v>1886</v>
      </c>
      <c r="AO948" t="b">
        <v>0</v>
      </c>
      <c r="AT948">
        <v>1461</v>
      </c>
      <c r="AU948">
        <f t="shared" si="44"/>
        <v>4.0030000000000001</v>
      </c>
    </row>
    <row r="949" spans="1:47" x14ac:dyDescent="0.3">
      <c r="A949">
        <v>947</v>
      </c>
      <c r="B949" t="s">
        <v>4045</v>
      </c>
      <c r="C949" t="s">
        <v>4034</v>
      </c>
      <c r="D949">
        <v>165</v>
      </c>
      <c r="E949" t="s">
        <v>4021</v>
      </c>
      <c r="F949" t="str">
        <f>VLOOKUP(E949,country_continent!A:C,2,FALSE)</f>
        <v>Uruguay</v>
      </c>
      <c r="G949" t="str">
        <f>VLOOKUP(E949,country_continent!A:C,3,FALSE)</f>
        <v>South America</v>
      </c>
      <c r="H949" t="s">
        <v>4035</v>
      </c>
      <c r="I949" t="s">
        <v>4044</v>
      </c>
      <c r="J949" s="3" t="str">
        <f t="shared" si="42"/>
        <v>1886/03/01</v>
      </c>
      <c r="K949" t="s">
        <v>4046</v>
      </c>
      <c r="L949" s="3" t="str">
        <f t="shared" si="43"/>
        <v>1886/05/24</v>
      </c>
      <c r="M949" t="s">
        <v>49</v>
      </c>
      <c r="N949" t="s">
        <v>67</v>
      </c>
      <c r="O949" t="s">
        <v>347</v>
      </c>
      <c r="P949">
        <v>2</v>
      </c>
      <c r="Q949" t="s">
        <v>1453</v>
      </c>
      <c r="R949" t="s">
        <v>51</v>
      </c>
      <c r="S949">
        <v>1827</v>
      </c>
      <c r="T949">
        <v>1891</v>
      </c>
      <c r="Z949">
        <v>0</v>
      </c>
      <c r="AA949">
        <v>3</v>
      </c>
      <c r="AB949">
        <v>-999</v>
      </c>
      <c r="AC949">
        <v>-666</v>
      </c>
      <c r="AF949">
        <v>1886</v>
      </c>
      <c r="AG949">
        <v>1886</v>
      </c>
      <c r="AO949" t="b">
        <v>0</v>
      </c>
      <c r="AT949">
        <v>84</v>
      </c>
      <c r="AU949">
        <f t="shared" si="44"/>
        <v>0.23</v>
      </c>
    </row>
    <row r="950" spans="1:47" x14ac:dyDescent="0.3">
      <c r="A950">
        <v>948</v>
      </c>
      <c r="B950" t="s">
        <v>4047</v>
      </c>
      <c r="C950" t="s">
        <v>4041</v>
      </c>
      <c r="D950">
        <v>165</v>
      </c>
      <c r="E950" t="s">
        <v>4021</v>
      </c>
      <c r="F950" t="str">
        <f>VLOOKUP(E950,country_continent!A:C,2,FALSE)</f>
        <v>Uruguay</v>
      </c>
      <c r="G950" t="str">
        <f>VLOOKUP(E950,country_continent!A:C,3,FALSE)</f>
        <v>South America</v>
      </c>
      <c r="H950" t="s">
        <v>4042</v>
      </c>
      <c r="I950" t="s">
        <v>4046</v>
      </c>
      <c r="J950" s="3" t="str">
        <f t="shared" si="42"/>
        <v>1886/05/24</v>
      </c>
      <c r="K950" t="s">
        <v>75</v>
      </c>
      <c r="L950" s="3" t="str">
        <f t="shared" si="43"/>
        <v>1886/11/18</v>
      </c>
      <c r="M950" t="s">
        <v>49</v>
      </c>
      <c r="N950" t="s">
        <v>49</v>
      </c>
      <c r="O950" t="s">
        <v>49</v>
      </c>
      <c r="P950">
        <v>1</v>
      </c>
      <c r="Q950" t="s">
        <v>362</v>
      </c>
      <c r="R950" t="s">
        <v>51</v>
      </c>
      <c r="S950">
        <v>1847</v>
      </c>
      <c r="T950">
        <v>1889</v>
      </c>
      <c r="Z950">
        <v>0</v>
      </c>
      <c r="AA950">
        <v>1</v>
      </c>
      <c r="AB950">
        <v>0</v>
      </c>
      <c r="AC950">
        <v>1</v>
      </c>
      <c r="AF950">
        <v>1886</v>
      </c>
      <c r="AG950">
        <v>1886</v>
      </c>
      <c r="AO950" t="b">
        <v>0</v>
      </c>
      <c r="AT950">
        <v>178</v>
      </c>
      <c r="AU950">
        <f t="shared" si="44"/>
        <v>0.48799999999999999</v>
      </c>
    </row>
    <row r="951" spans="1:47" x14ac:dyDescent="0.3">
      <c r="A951">
        <v>949</v>
      </c>
      <c r="B951" t="s">
        <v>4048</v>
      </c>
      <c r="C951" t="s">
        <v>4049</v>
      </c>
      <c r="D951">
        <v>165</v>
      </c>
      <c r="E951" t="s">
        <v>4021</v>
      </c>
      <c r="F951" t="str">
        <f>VLOOKUP(E951,country_continent!A:C,2,FALSE)</f>
        <v>Uruguay</v>
      </c>
      <c r="G951" t="str">
        <f>VLOOKUP(E951,country_continent!A:C,3,FALSE)</f>
        <v>South America</v>
      </c>
      <c r="H951" t="s">
        <v>4050</v>
      </c>
      <c r="I951" t="s">
        <v>75</v>
      </c>
      <c r="J951" s="3" t="str">
        <f t="shared" si="42"/>
        <v>1886/11/18</v>
      </c>
      <c r="K951" t="s">
        <v>4051</v>
      </c>
      <c r="L951" s="3" t="str">
        <f t="shared" si="43"/>
        <v>1890/03/01</v>
      </c>
      <c r="M951" t="s">
        <v>49</v>
      </c>
      <c r="N951" t="s">
        <v>49</v>
      </c>
      <c r="O951" t="s">
        <v>49</v>
      </c>
      <c r="P951">
        <v>0</v>
      </c>
      <c r="Q951" t="s">
        <v>50</v>
      </c>
      <c r="R951" t="s">
        <v>51</v>
      </c>
      <c r="S951">
        <v>1852</v>
      </c>
      <c r="T951">
        <v>1912</v>
      </c>
      <c r="Z951">
        <v>0</v>
      </c>
      <c r="AA951">
        <v>1</v>
      </c>
      <c r="AB951">
        <v>0</v>
      </c>
      <c r="AC951">
        <v>0</v>
      </c>
      <c r="AF951">
        <v>1886</v>
      </c>
      <c r="AG951">
        <v>1890</v>
      </c>
      <c r="AO951" t="b">
        <v>0</v>
      </c>
      <c r="AT951">
        <v>1199</v>
      </c>
      <c r="AU951">
        <f t="shared" si="44"/>
        <v>3.2850000000000001</v>
      </c>
    </row>
    <row r="952" spans="1:47" x14ac:dyDescent="0.3">
      <c r="A952">
        <v>950</v>
      </c>
      <c r="B952" t="s">
        <v>4052</v>
      </c>
      <c r="C952" t="s">
        <v>4053</v>
      </c>
      <c r="D952">
        <v>165</v>
      </c>
      <c r="E952" t="s">
        <v>4021</v>
      </c>
      <c r="F952" t="str">
        <f>VLOOKUP(E952,country_continent!A:C,2,FALSE)</f>
        <v>Uruguay</v>
      </c>
      <c r="G952" t="str">
        <f>VLOOKUP(E952,country_continent!A:C,3,FALSE)</f>
        <v>South America</v>
      </c>
      <c r="H952" t="s">
        <v>4054</v>
      </c>
      <c r="I952" t="s">
        <v>4051</v>
      </c>
      <c r="J952" s="3" t="str">
        <f t="shared" si="42"/>
        <v>1890/03/01</v>
      </c>
      <c r="K952" t="s">
        <v>4055</v>
      </c>
      <c r="L952" s="3" t="str">
        <f t="shared" si="43"/>
        <v>1894/03/01</v>
      </c>
      <c r="M952" t="s">
        <v>49</v>
      </c>
      <c r="N952" t="s">
        <v>49</v>
      </c>
      <c r="O952" t="s">
        <v>49</v>
      </c>
      <c r="P952">
        <v>0</v>
      </c>
      <c r="Q952" t="s">
        <v>50</v>
      </c>
      <c r="R952" t="s">
        <v>51</v>
      </c>
      <c r="S952">
        <v>1841</v>
      </c>
      <c r="T952">
        <v>1912</v>
      </c>
      <c r="Z952">
        <v>0</v>
      </c>
      <c r="AA952">
        <v>1</v>
      </c>
      <c r="AB952">
        <v>0</v>
      </c>
      <c r="AC952">
        <v>0</v>
      </c>
      <c r="AF952">
        <v>1890</v>
      </c>
      <c r="AG952">
        <v>1894</v>
      </c>
      <c r="AO952" t="b">
        <v>0</v>
      </c>
      <c r="AT952">
        <v>1461</v>
      </c>
      <c r="AU952">
        <f t="shared" si="44"/>
        <v>4.0030000000000001</v>
      </c>
    </row>
    <row r="953" spans="1:47" x14ac:dyDescent="0.3">
      <c r="A953">
        <v>951</v>
      </c>
      <c r="B953" t="s">
        <v>4056</v>
      </c>
      <c r="C953" t="s">
        <v>4057</v>
      </c>
      <c r="D953">
        <v>165</v>
      </c>
      <c r="E953" t="s">
        <v>4021</v>
      </c>
      <c r="F953" t="str">
        <f>VLOOKUP(E953,country_continent!A:C,2,FALSE)</f>
        <v>Uruguay</v>
      </c>
      <c r="G953" t="str">
        <f>VLOOKUP(E953,country_continent!A:C,3,FALSE)</f>
        <v>South America</v>
      </c>
      <c r="H953" t="s">
        <v>4058</v>
      </c>
      <c r="I953" t="s">
        <v>4059</v>
      </c>
      <c r="J953" s="3" t="str">
        <f t="shared" si="42"/>
        <v>1894/03/21</v>
      </c>
      <c r="K953" t="s">
        <v>4060</v>
      </c>
      <c r="L953" s="3" t="str">
        <f t="shared" si="43"/>
        <v>1897/08/25</v>
      </c>
      <c r="M953" t="s">
        <v>49</v>
      </c>
      <c r="N953" t="s">
        <v>67</v>
      </c>
      <c r="O953" t="s">
        <v>347</v>
      </c>
      <c r="P953">
        <v>0</v>
      </c>
      <c r="Q953" t="s">
        <v>69</v>
      </c>
      <c r="R953" t="s">
        <v>51</v>
      </c>
      <c r="S953">
        <v>1844</v>
      </c>
      <c r="T953">
        <v>1897</v>
      </c>
      <c r="Z953">
        <v>0</v>
      </c>
      <c r="AA953">
        <v>3</v>
      </c>
      <c r="AB953">
        <v>-999</v>
      </c>
      <c r="AC953">
        <v>3</v>
      </c>
      <c r="AF953">
        <v>1894</v>
      </c>
      <c r="AG953">
        <v>1897</v>
      </c>
      <c r="AO953" t="b">
        <v>0</v>
      </c>
      <c r="AT953">
        <v>1253</v>
      </c>
      <c r="AU953">
        <f t="shared" si="44"/>
        <v>3.4329999999999998</v>
      </c>
    </row>
    <row r="954" spans="1:47" x14ac:dyDescent="0.3">
      <c r="A954">
        <v>952</v>
      </c>
      <c r="B954" t="s">
        <v>4061</v>
      </c>
      <c r="C954" t="s">
        <v>4062</v>
      </c>
      <c r="D954">
        <v>165</v>
      </c>
      <c r="E954" t="s">
        <v>4021</v>
      </c>
      <c r="F954" t="str">
        <f>VLOOKUP(E954,country_continent!A:C,2,FALSE)</f>
        <v>Uruguay</v>
      </c>
      <c r="G954" t="str">
        <f>VLOOKUP(E954,country_continent!A:C,3,FALSE)</f>
        <v>South America</v>
      </c>
      <c r="H954" t="s">
        <v>4063</v>
      </c>
      <c r="I954" t="s">
        <v>4060</v>
      </c>
      <c r="J954" s="3" t="str">
        <f t="shared" si="42"/>
        <v>1897/08/25</v>
      </c>
      <c r="K954" s="1">
        <v>1156</v>
      </c>
      <c r="L954" s="3">
        <f t="shared" si="43"/>
        <v>1156</v>
      </c>
      <c r="M954" t="s">
        <v>67</v>
      </c>
      <c r="N954" t="s">
        <v>49</v>
      </c>
      <c r="O954" t="s">
        <v>49</v>
      </c>
      <c r="P954">
        <v>0</v>
      </c>
      <c r="Q954" t="s">
        <v>362</v>
      </c>
      <c r="R954" t="s">
        <v>51</v>
      </c>
      <c r="S954">
        <v>1837</v>
      </c>
      <c r="T954">
        <v>1905</v>
      </c>
      <c r="U954" t="s">
        <v>4064</v>
      </c>
      <c r="V954" t="s">
        <v>4065</v>
      </c>
      <c r="Y954" t="s">
        <v>4066</v>
      </c>
      <c r="Z954">
        <v>1</v>
      </c>
      <c r="AA954">
        <v>1</v>
      </c>
      <c r="AB954">
        <v>0</v>
      </c>
      <c r="AC954">
        <v>1</v>
      </c>
      <c r="AF954">
        <v>1897</v>
      </c>
      <c r="AG954">
        <v>1903</v>
      </c>
      <c r="AO954" t="b">
        <v>0</v>
      </c>
      <c r="AT954">
        <v>2013</v>
      </c>
      <c r="AU954">
        <f t="shared" si="44"/>
        <v>5.5149999999999997</v>
      </c>
    </row>
    <row r="955" spans="1:47" x14ac:dyDescent="0.3">
      <c r="A955">
        <v>953</v>
      </c>
      <c r="B955" t="s">
        <v>4067</v>
      </c>
      <c r="C955" t="s">
        <v>4068</v>
      </c>
      <c r="D955">
        <v>165</v>
      </c>
      <c r="E955" t="s">
        <v>4021</v>
      </c>
      <c r="F955" t="str">
        <f>VLOOKUP(E955,country_continent!A:C,2,FALSE)</f>
        <v>Uruguay</v>
      </c>
      <c r="G955" t="str">
        <f>VLOOKUP(E955,country_continent!A:C,3,FALSE)</f>
        <v>South America</v>
      </c>
      <c r="H955" t="s">
        <v>4069</v>
      </c>
      <c r="I955" s="1">
        <v>1156</v>
      </c>
      <c r="J955" s="3">
        <f t="shared" si="42"/>
        <v>1156</v>
      </c>
      <c r="K955" s="1">
        <v>2617</v>
      </c>
      <c r="L955" s="3">
        <f t="shared" si="43"/>
        <v>2617</v>
      </c>
      <c r="M955" t="s">
        <v>49</v>
      </c>
      <c r="N955" t="s">
        <v>49</v>
      </c>
      <c r="O955" t="s">
        <v>49</v>
      </c>
      <c r="P955">
        <v>0</v>
      </c>
      <c r="Q955" t="s">
        <v>362</v>
      </c>
      <c r="R955" t="s">
        <v>51</v>
      </c>
      <c r="S955">
        <v>1856</v>
      </c>
      <c r="T955">
        <v>1929</v>
      </c>
      <c r="U955" t="s">
        <v>4070</v>
      </c>
      <c r="V955" t="s">
        <v>4071</v>
      </c>
      <c r="W955" s="1">
        <v>10886</v>
      </c>
      <c r="X955" s="2">
        <v>10886</v>
      </c>
      <c r="Y955" t="s">
        <v>4072</v>
      </c>
      <c r="Z955">
        <v>0</v>
      </c>
      <c r="AA955">
        <v>1</v>
      </c>
      <c r="AB955">
        <v>0</v>
      </c>
      <c r="AC955">
        <v>1</v>
      </c>
      <c r="AF955">
        <v>1903</v>
      </c>
      <c r="AG955">
        <v>1907</v>
      </c>
      <c r="AO955" t="b">
        <v>0</v>
      </c>
      <c r="AT955">
        <v>1461</v>
      </c>
      <c r="AU955">
        <f t="shared" si="44"/>
        <v>4.0030000000000001</v>
      </c>
    </row>
    <row r="956" spans="1:47" x14ac:dyDescent="0.3">
      <c r="A956">
        <v>954</v>
      </c>
      <c r="B956" t="s">
        <v>4073</v>
      </c>
      <c r="C956" t="s">
        <v>4074</v>
      </c>
      <c r="D956">
        <v>165</v>
      </c>
      <c r="E956" t="s">
        <v>4021</v>
      </c>
      <c r="F956" t="str">
        <f>VLOOKUP(E956,country_continent!A:C,2,FALSE)</f>
        <v>Uruguay</v>
      </c>
      <c r="G956" t="str">
        <f>VLOOKUP(E956,country_continent!A:C,3,FALSE)</f>
        <v>South America</v>
      </c>
      <c r="H956" t="s">
        <v>4075</v>
      </c>
      <c r="I956" s="1">
        <v>2617</v>
      </c>
      <c r="J956" s="3">
        <f t="shared" si="42"/>
        <v>2617</v>
      </c>
      <c r="K956" s="1">
        <v>4078</v>
      </c>
      <c r="L956" s="3">
        <f t="shared" si="43"/>
        <v>4078</v>
      </c>
      <c r="M956" t="s">
        <v>49</v>
      </c>
      <c r="N956" t="s">
        <v>49</v>
      </c>
      <c r="O956" t="s">
        <v>49</v>
      </c>
      <c r="P956">
        <v>0</v>
      </c>
      <c r="Q956" t="s">
        <v>50</v>
      </c>
      <c r="R956" t="s">
        <v>51</v>
      </c>
      <c r="S956">
        <v>1863</v>
      </c>
      <c r="T956">
        <v>1934</v>
      </c>
      <c r="U956" t="s">
        <v>4076</v>
      </c>
      <c r="V956" t="s">
        <v>4077</v>
      </c>
      <c r="Y956" t="s">
        <v>4078</v>
      </c>
      <c r="Z956">
        <v>0</v>
      </c>
      <c r="AA956">
        <v>1</v>
      </c>
      <c r="AB956">
        <v>0</v>
      </c>
      <c r="AC956">
        <v>0</v>
      </c>
      <c r="AF956">
        <v>1907</v>
      </c>
      <c r="AG956">
        <v>1911</v>
      </c>
      <c r="AO956" t="b">
        <v>0</v>
      </c>
      <c r="AT956">
        <v>1461</v>
      </c>
      <c r="AU956">
        <f t="shared" si="44"/>
        <v>4.0030000000000001</v>
      </c>
    </row>
    <row r="957" spans="1:47" x14ac:dyDescent="0.3">
      <c r="A957">
        <v>955</v>
      </c>
      <c r="B957" t="s">
        <v>4079</v>
      </c>
      <c r="C957" t="s">
        <v>4068</v>
      </c>
      <c r="D957">
        <v>165</v>
      </c>
      <c r="E957" t="s">
        <v>4021</v>
      </c>
      <c r="F957" t="str">
        <f>VLOOKUP(E957,country_continent!A:C,2,FALSE)</f>
        <v>Uruguay</v>
      </c>
      <c r="G957" t="str">
        <f>VLOOKUP(E957,country_continent!A:C,3,FALSE)</f>
        <v>South America</v>
      </c>
      <c r="H957" t="s">
        <v>4069</v>
      </c>
      <c r="I957" s="1">
        <v>4078</v>
      </c>
      <c r="J957" s="3">
        <f t="shared" si="42"/>
        <v>4078</v>
      </c>
      <c r="K957" s="1">
        <v>5539</v>
      </c>
      <c r="L957" s="3">
        <f t="shared" si="43"/>
        <v>5539</v>
      </c>
      <c r="M957" t="s">
        <v>49</v>
      </c>
      <c r="N957" t="s">
        <v>49</v>
      </c>
      <c r="O957" t="s">
        <v>49</v>
      </c>
      <c r="P957">
        <v>1</v>
      </c>
      <c r="Q957" t="s">
        <v>50</v>
      </c>
      <c r="R957" t="s">
        <v>51</v>
      </c>
      <c r="S957">
        <v>1856</v>
      </c>
      <c r="T957">
        <v>1929</v>
      </c>
      <c r="U957" t="s">
        <v>4070</v>
      </c>
      <c r="V957" t="s">
        <v>4071</v>
      </c>
      <c r="W957" s="1">
        <v>10886</v>
      </c>
      <c r="X957" s="2">
        <v>10886</v>
      </c>
      <c r="Y957" t="s">
        <v>4072</v>
      </c>
      <c r="Z957">
        <v>0</v>
      </c>
      <c r="AA957">
        <v>1</v>
      </c>
      <c r="AB957">
        <v>0</v>
      </c>
      <c r="AC957">
        <v>0</v>
      </c>
      <c r="AF957">
        <v>1911</v>
      </c>
      <c r="AG957">
        <v>1915</v>
      </c>
      <c r="AO957" t="b">
        <v>0</v>
      </c>
      <c r="AT957">
        <v>1461</v>
      </c>
      <c r="AU957">
        <f t="shared" si="44"/>
        <v>4.0030000000000001</v>
      </c>
    </row>
    <row r="958" spans="1:47" x14ac:dyDescent="0.3">
      <c r="A958">
        <v>956</v>
      </c>
      <c r="B958" t="s">
        <v>4080</v>
      </c>
      <c r="C958" t="s">
        <v>4081</v>
      </c>
      <c r="D958">
        <v>165</v>
      </c>
      <c r="E958" t="s">
        <v>4021</v>
      </c>
      <c r="F958" t="str">
        <f>VLOOKUP(E958,country_continent!A:C,2,FALSE)</f>
        <v>Uruguay</v>
      </c>
      <c r="G958" t="str">
        <f>VLOOKUP(E958,country_continent!A:C,3,FALSE)</f>
        <v>South America</v>
      </c>
      <c r="H958" t="s">
        <v>4082</v>
      </c>
      <c r="I958" s="1">
        <v>5539</v>
      </c>
      <c r="J958" s="3">
        <f t="shared" si="42"/>
        <v>5539</v>
      </c>
      <c r="K958" s="1">
        <v>7000</v>
      </c>
      <c r="L958" s="3">
        <f t="shared" si="43"/>
        <v>7000</v>
      </c>
      <c r="M958" t="s">
        <v>49</v>
      </c>
      <c r="N958" t="s">
        <v>49</v>
      </c>
      <c r="O958" t="s">
        <v>49</v>
      </c>
      <c r="P958">
        <v>0</v>
      </c>
      <c r="Q958" t="s">
        <v>50</v>
      </c>
      <c r="R958" t="s">
        <v>51</v>
      </c>
      <c r="S958">
        <v>1872</v>
      </c>
      <c r="T958">
        <v>1927</v>
      </c>
      <c r="U958" t="s">
        <v>4083</v>
      </c>
      <c r="V958" t="s">
        <v>4084</v>
      </c>
      <c r="Z958">
        <v>0</v>
      </c>
      <c r="AA958">
        <v>1</v>
      </c>
      <c r="AB958">
        <v>0</v>
      </c>
      <c r="AC958">
        <v>0</v>
      </c>
      <c r="AF958">
        <v>1915</v>
      </c>
      <c r="AG958">
        <v>1919</v>
      </c>
      <c r="AO958" t="b">
        <v>0</v>
      </c>
      <c r="AT958">
        <v>1461</v>
      </c>
      <c r="AU958">
        <f t="shared" si="44"/>
        <v>4.0030000000000001</v>
      </c>
    </row>
    <row r="959" spans="1:47" x14ac:dyDescent="0.3">
      <c r="A959">
        <v>957</v>
      </c>
      <c r="B959" t="s">
        <v>4085</v>
      </c>
      <c r="C959" t="s">
        <v>4086</v>
      </c>
      <c r="D959">
        <v>165</v>
      </c>
      <c r="E959" t="s">
        <v>4021</v>
      </c>
      <c r="F959" t="str">
        <f>VLOOKUP(E959,country_continent!A:C,2,FALSE)</f>
        <v>Uruguay</v>
      </c>
      <c r="G959" t="str">
        <f>VLOOKUP(E959,country_continent!A:C,3,FALSE)</f>
        <v>South America</v>
      </c>
      <c r="H959" t="s">
        <v>4087</v>
      </c>
      <c r="I959" s="1">
        <v>7004</v>
      </c>
      <c r="J959" s="3">
        <f t="shared" si="42"/>
        <v>7004</v>
      </c>
      <c r="K959" s="1">
        <v>8461</v>
      </c>
      <c r="L959" s="3">
        <f t="shared" si="43"/>
        <v>8461</v>
      </c>
      <c r="M959" t="s">
        <v>49</v>
      </c>
      <c r="N959" t="s">
        <v>49</v>
      </c>
      <c r="O959" t="s">
        <v>49</v>
      </c>
      <c r="P959">
        <v>0</v>
      </c>
      <c r="Q959" t="s">
        <v>50</v>
      </c>
      <c r="R959" t="s">
        <v>51</v>
      </c>
      <c r="S959">
        <v>1883</v>
      </c>
      <c r="T959">
        <v>1933</v>
      </c>
      <c r="U959" t="s">
        <v>4088</v>
      </c>
      <c r="V959" t="s">
        <v>4089</v>
      </c>
      <c r="W959" s="1">
        <v>12144</v>
      </c>
      <c r="X959" s="2">
        <v>12144</v>
      </c>
      <c r="Y959" t="s">
        <v>4090</v>
      </c>
      <c r="Z959">
        <v>0</v>
      </c>
      <c r="AA959">
        <v>1</v>
      </c>
      <c r="AB959">
        <v>0</v>
      </c>
      <c r="AC959">
        <v>0</v>
      </c>
      <c r="AF959">
        <v>1919</v>
      </c>
      <c r="AG959">
        <v>1923</v>
      </c>
      <c r="AO959" t="b">
        <v>0</v>
      </c>
      <c r="AT959">
        <v>1457</v>
      </c>
      <c r="AU959">
        <f t="shared" si="44"/>
        <v>3.992</v>
      </c>
    </row>
    <row r="960" spans="1:47" x14ac:dyDescent="0.3">
      <c r="A960">
        <v>958</v>
      </c>
      <c r="B960" t="s">
        <v>4091</v>
      </c>
      <c r="C960" t="s">
        <v>4092</v>
      </c>
      <c r="D960">
        <v>165</v>
      </c>
      <c r="E960" t="s">
        <v>4021</v>
      </c>
      <c r="F960" t="str">
        <f>VLOOKUP(E960,country_continent!A:C,2,FALSE)</f>
        <v>Uruguay</v>
      </c>
      <c r="G960" t="str">
        <f>VLOOKUP(E960,country_continent!A:C,3,FALSE)</f>
        <v>South America</v>
      </c>
      <c r="H960" t="s">
        <v>4093</v>
      </c>
      <c r="I960" s="1">
        <v>8461</v>
      </c>
      <c r="J960" s="3">
        <f t="shared" si="42"/>
        <v>8461</v>
      </c>
      <c r="K960" s="1">
        <v>9922</v>
      </c>
      <c r="L960" s="3">
        <f t="shared" si="43"/>
        <v>9922</v>
      </c>
      <c r="M960" t="s">
        <v>49</v>
      </c>
      <c r="N960" t="s">
        <v>49</v>
      </c>
      <c r="O960" t="s">
        <v>49</v>
      </c>
      <c r="P960">
        <v>0</v>
      </c>
      <c r="Q960" t="s">
        <v>50</v>
      </c>
      <c r="R960" t="s">
        <v>51</v>
      </c>
      <c r="S960">
        <v>1868</v>
      </c>
      <c r="T960">
        <v>1960</v>
      </c>
      <c r="U960" t="s">
        <v>4094</v>
      </c>
      <c r="V960" t="s">
        <v>4095</v>
      </c>
      <c r="Z960">
        <v>0</v>
      </c>
      <c r="AA960">
        <v>1</v>
      </c>
      <c r="AB960">
        <v>0</v>
      </c>
      <c r="AC960">
        <v>0</v>
      </c>
      <c r="AF960">
        <v>1923</v>
      </c>
      <c r="AG960">
        <v>1927</v>
      </c>
      <c r="AO960" t="b">
        <v>0</v>
      </c>
      <c r="AT960">
        <v>1461</v>
      </c>
      <c r="AU960">
        <f t="shared" si="44"/>
        <v>4.0030000000000001</v>
      </c>
    </row>
    <row r="961" spans="1:47" x14ac:dyDescent="0.3">
      <c r="A961">
        <v>959</v>
      </c>
      <c r="B961" t="s">
        <v>4096</v>
      </c>
      <c r="C961" t="s">
        <v>4097</v>
      </c>
      <c r="D961">
        <v>165</v>
      </c>
      <c r="E961" t="s">
        <v>4021</v>
      </c>
      <c r="F961" t="str">
        <f>VLOOKUP(E961,country_continent!A:C,2,FALSE)</f>
        <v>Uruguay</v>
      </c>
      <c r="G961" t="str">
        <f>VLOOKUP(E961,country_continent!A:C,3,FALSE)</f>
        <v>South America</v>
      </c>
      <c r="H961" t="s">
        <v>4098</v>
      </c>
      <c r="I961" s="1">
        <v>9922</v>
      </c>
      <c r="J961" s="3">
        <f t="shared" si="42"/>
        <v>9922</v>
      </c>
      <c r="K961" s="1">
        <v>11383</v>
      </c>
      <c r="L961" s="3">
        <f t="shared" si="43"/>
        <v>11383</v>
      </c>
      <c r="M961" t="s">
        <v>49</v>
      </c>
      <c r="N961" t="s">
        <v>49</v>
      </c>
      <c r="O961" t="s">
        <v>49</v>
      </c>
      <c r="P961">
        <v>0</v>
      </c>
      <c r="Q961" t="s">
        <v>50</v>
      </c>
      <c r="R961" t="s">
        <v>51</v>
      </c>
      <c r="S961">
        <v>1859</v>
      </c>
      <c r="T961">
        <v>1937</v>
      </c>
      <c r="U961" t="s">
        <v>4099</v>
      </c>
      <c r="V961" t="s">
        <v>4100</v>
      </c>
      <c r="Z961">
        <v>0</v>
      </c>
      <c r="AA961">
        <v>1</v>
      </c>
      <c r="AB961">
        <v>0</v>
      </c>
      <c r="AC961">
        <v>0</v>
      </c>
      <c r="AF961">
        <v>1927</v>
      </c>
      <c r="AG961">
        <v>1931</v>
      </c>
      <c r="AO961" t="b">
        <v>0</v>
      </c>
      <c r="AT961">
        <v>1461</v>
      </c>
      <c r="AU961">
        <f t="shared" si="44"/>
        <v>4.0030000000000001</v>
      </c>
    </row>
    <row r="962" spans="1:47" x14ac:dyDescent="0.3">
      <c r="A962">
        <v>960</v>
      </c>
      <c r="B962" t="s">
        <v>4101</v>
      </c>
      <c r="C962" t="s">
        <v>4102</v>
      </c>
      <c r="D962">
        <v>165</v>
      </c>
      <c r="E962" t="s">
        <v>4021</v>
      </c>
      <c r="F962" t="str">
        <f>VLOOKUP(E962,country_continent!A:C,2,FALSE)</f>
        <v>Uruguay</v>
      </c>
      <c r="G962" t="str">
        <f>VLOOKUP(E962,country_continent!A:C,3,FALSE)</f>
        <v>South America</v>
      </c>
      <c r="H962" t="s">
        <v>4103</v>
      </c>
      <c r="I962" s="1">
        <v>11383</v>
      </c>
      <c r="J962" s="3">
        <f t="shared" si="42"/>
        <v>11383</v>
      </c>
      <c r="K962" s="1">
        <v>14049</v>
      </c>
      <c r="L962" s="3">
        <f t="shared" si="43"/>
        <v>14049</v>
      </c>
      <c r="M962" t="s">
        <v>49</v>
      </c>
      <c r="N962" t="s">
        <v>49</v>
      </c>
      <c r="O962" t="s">
        <v>49</v>
      </c>
      <c r="P962">
        <v>0</v>
      </c>
      <c r="Q962" t="s">
        <v>50</v>
      </c>
      <c r="R962" t="s">
        <v>51</v>
      </c>
      <c r="S962">
        <v>1873</v>
      </c>
      <c r="T962">
        <v>1942</v>
      </c>
      <c r="Z962">
        <v>0</v>
      </c>
      <c r="AA962">
        <v>1</v>
      </c>
      <c r="AB962">
        <v>0</v>
      </c>
      <c r="AC962">
        <v>0</v>
      </c>
      <c r="AD962" t="s">
        <v>4104</v>
      </c>
      <c r="AE962">
        <v>0</v>
      </c>
      <c r="AF962">
        <v>1931</v>
      </c>
      <c r="AG962">
        <v>1938</v>
      </c>
      <c r="AO962" t="b">
        <v>0</v>
      </c>
      <c r="AT962">
        <v>2666</v>
      </c>
      <c r="AU962">
        <f t="shared" si="44"/>
        <v>7.3040000000000003</v>
      </c>
    </row>
    <row r="963" spans="1:47" x14ac:dyDescent="0.3">
      <c r="A963">
        <v>961</v>
      </c>
      <c r="B963" t="s">
        <v>4105</v>
      </c>
      <c r="C963" t="s">
        <v>4106</v>
      </c>
      <c r="D963">
        <v>165</v>
      </c>
      <c r="E963" t="s">
        <v>4021</v>
      </c>
      <c r="F963" t="str">
        <f>VLOOKUP(E963,country_continent!A:C,2,FALSE)</f>
        <v>Uruguay</v>
      </c>
      <c r="G963" t="str">
        <f>VLOOKUP(E963,country_continent!A:C,3,FALSE)</f>
        <v>South America</v>
      </c>
      <c r="H963" t="s">
        <v>4107</v>
      </c>
      <c r="I963" s="1">
        <v>14050</v>
      </c>
      <c r="J963" s="3">
        <f t="shared" ref="J963:J1026" si="45">IF(ISNUMBER(SEARCH("-", I963)), SUBSTITUTE(I963, "-", "/"), I963)</f>
        <v>14050</v>
      </c>
      <c r="K963" s="1">
        <v>15766</v>
      </c>
      <c r="L963" s="3">
        <f t="shared" ref="L963:L1026" si="46">IF(ISNUMBER(SEARCH("-", K963)), SUBSTITUTE(K963, "-", "/"), K963)</f>
        <v>15766</v>
      </c>
      <c r="M963" t="s">
        <v>49</v>
      </c>
      <c r="N963" t="s">
        <v>49</v>
      </c>
      <c r="O963" t="s">
        <v>49</v>
      </c>
      <c r="P963">
        <v>0</v>
      </c>
      <c r="Q963" t="s">
        <v>50</v>
      </c>
      <c r="R963" t="s">
        <v>51</v>
      </c>
      <c r="S963">
        <v>1884</v>
      </c>
      <c r="T963">
        <v>1948</v>
      </c>
      <c r="U963" t="s">
        <v>4108</v>
      </c>
      <c r="V963" t="s">
        <v>4109</v>
      </c>
      <c r="W963" s="1">
        <v>17588</v>
      </c>
      <c r="X963" s="2">
        <v>17588</v>
      </c>
      <c r="Z963">
        <v>0</v>
      </c>
      <c r="AA963">
        <v>1</v>
      </c>
      <c r="AB963">
        <v>0</v>
      </c>
      <c r="AC963">
        <v>0</v>
      </c>
      <c r="AD963" t="s">
        <v>4110</v>
      </c>
      <c r="AE963">
        <v>1</v>
      </c>
      <c r="AF963">
        <v>1938</v>
      </c>
      <c r="AG963">
        <v>1943</v>
      </c>
      <c r="AO963" t="b">
        <v>0</v>
      </c>
      <c r="AT963">
        <v>1716</v>
      </c>
      <c r="AU963">
        <f t="shared" ref="AU963:AU1027" si="47">ROUND(AT963/365,3)</f>
        <v>4.7009999999999996</v>
      </c>
    </row>
    <row r="964" spans="1:47" x14ac:dyDescent="0.3">
      <c r="A964">
        <v>962</v>
      </c>
      <c r="B964" t="s">
        <v>4111</v>
      </c>
      <c r="C964" t="s">
        <v>4112</v>
      </c>
      <c r="D964">
        <v>165</v>
      </c>
      <c r="E964" t="s">
        <v>4021</v>
      </c>
      <c r="F964" t="str">
        <f>VLOOKUP(E964,country_continent!A:C,2,FALSE)</f>
        <v>Uruguay</v>
      </c>
      <c r="G964" t="str">
        <f>VLOOKUP(E964,country_continent!A:C,3,FALSE)</f>
        <v>South America</v>
      </c>
      <c r="H964" t="s">
        <v>4113</v>
      </c>
      <c r="I964" s="1">
        <v>15766</v>
      </c>
      <c r="J964" s="3">
        <f t="shared" si="45"/>
        <v>15766</v>
      </c>
      <c r="K964" s="1">
        <v>17227</v>
      </c>
      <c r="L964" s="3">
        <f t="shared" si="46"/>
        <v>17227</v>
      </c>
      <c r="M964" t="s">
        <v>49</v>
      </c>
      <c r="N964" t="s">
        <v>49</v>
      </c>
      <c r="O964" t="s">
        <v>49</v>
      </c>
      <c r="P964">
        <v>0</v>
      </c>
      <c r="Q964" t="s">
        <v>50</v>
      </c>
      <c r="R964" t="s">
        <v>51</v>
      </c>
      <c r="S964">
        <v>1881</v>
      </c>
      <c r="T964">
        <v>1974</v>
      </c>
      <c r="U964" t="s">
        <v>4114</v>
      </c>
      <c r="V964" t="s">
        <v>4115</v>
      </c>
      <c r="Z964">
        <v>0</v>
      </c>
      <c r="AA964">
        <v>1</v>
      </c>
      <c r="AB964">
        <v>0</v>
      </c>
      <c r="AC964">
        <v>0</v>
      </c>
      <c r="AF964">
        <v>1943</v>
      </c>
      <c r="AG964">
        <v>1947</v>
      </c>
      <c r="AO964" t="b">
        <v>0</v>
      </c>
      <c r="AT964">
        <v>1461</v>
      </c>
      <c r="AU964">
        <f t="shared" si="47"/>
        <v>4.0030000000000001</v>
      </c>
    </row>
    <row r="965" spans="1:47" x14ac:dyDescent="0.3">
      <c r="A965">
        <v>963</v>
      </c>
      <c r="B965" t="s">
        <v>4116</v>
      </c>
      <c r="C965" t="s">
        <v>4117</v>
      </c>
      <c r="D965">
        <v>165</v>
      </c>
      <c r="E965" t="s">
        <v>4021</v>
      </c>
      <c r="F965" t="str">
        <f>VLOOKUP(E965,country_continent!A:C,2,FALSE)</f>
        <v>Uruguay</v>
      </c>
      <c r="G965" t="str">
        <f>VLOOKUP(E965,country_continent!A:C,3,FALSE)</f>
        <v>South America</v>
      </c>
      <c r="H965" t="s">
        <v>4118</v>
      </c>
      <c r="I965" s="1">
        <v>17227</v>
      </c>
      <c r="J965" s="3">
        <f t="shared" si="45"/>
        <v>17227</v>
      </c>
      <c r="K965" s="1">
        <v>17380</v>
      </c>
      <c r="L965" s="3">
        <f t="shared" si="46"/>
        <v>17380</v>
      </c>
      <c r="M965" t="s">
        <v>49</v>
      </c>
      <c r="N965" t="s">
        <v>228</v>
      </c>
      <c r="O965" t="s">
        <v>49</v>
      </c>
      <c r="P965">
        <v>0</v>
      </c>
      <c r="Q965" t="s">
        <v>111</v>
      </c>
      <c r="R965" t="s">
        <v>51</v>
      </c>
      <c r="S965">
        <v>1875</v>
      </c>
      <c r="T965">
        <v>1947</v>
      </c>
      <c r="U965" t="s">
        <v>4119</v>
      </c>
      <c r="V965" t="s">
        <v>4120</v>
      </c>
      <c r="Z965">
        <v>0</v>
      </c>
      <c r="AA965">
        <v>2.0999998999999998</v>
      </c>
      <c r="AB965">
        <v>0</v>
      </c>
      <c r="AC965">
        <v>-777</v>
      </c>
      <c r="AF965">
        <v>1947</v>
      </c>
      <c r="AG965">
        <v>1947</v>
      </c>
      <c r="AO965" t="b">
        <v>0</v>
      </c>
      <c r="AT965">
        <v>153</v>
      </c>
      <c r="AU965">
        <f t="shared" si="47"/>
        <v>0.41899999999999998</v>
      </c>
    </row>
    <row r="966" spans="1:47" x14ac:dyDescent="0.3">
      <c r="A966">
        <v>964</v>
      </c>
      <c r="B966" t="s">
        <v>4121</v>
      </c>
      <c r="C966" t="s">
        <v>4122</v>
      </c>
      <c r="D966">
        <v>165</v>
      </c>
      <c r="E966" t="s">
        <v>4021</v>
      </c>
      <c r="F966" t="str">
        <f>VLOOKUP(E966,country_continent!A:C,2,FALSE)</f>
        <v>Uruguay</v>
      </c>
      <c r="G966" t="str">
        <f>VLOOKUP(E966,country_continent!A:C,3,FALSE)</f>
        <v>South America</v>
      </c>
      <c r="H966" t="s">
        <v>4123</v>
      </c>
      <c r="I966" s="1">
        <v>17380</v>
      </c>
      <c r="J966" s="3">
        <f t="shared" si="45"/>
        <v>17380</v>
      </c>
      <c r="K966" s="1">
        <v>18688</v>
      </c>
      <c r="L966" s="3">
        <f t="shared" si="46"/>
        <v>18688</v>
      </c>
      <c r="M966" t="s">
        <v>49</v>
      </c>
      <c r="N966" t="s">
        <v>49</v>
      </c>
      <c r="O966" t="s">
        <v>49</v>
      </c>
      <c r="P966">
        <v>0</v>
      </c>
      <c r="Q966" t="s">
        <v>50</v>
      </c>
      <c r="R966" t="s">
        <v>51</v>
      </c>
      <c r="S966">
        <v>1897</v>
      </c>
      <c r="T966">
        <v>1964</v>
      </c>
      <c r="U966" t="s">
        <v>2959</v>
      </c>
      <c r="V966" t="s">
        <v>2960</v>
      </c>
      <c r="W966" s="1">
        <v>23573</v>
      </c>
      <c r="X966" s="2">
        <v>23573</v>
      </c>
      <c r="Z966">
        <v>0</v>
      </c>
      <c r="AA966">
        <v>1</v>
      </c>
      <c r="AB966">
        <v>0</v>
      </c>
      <c r="AC966">
        <v>0</v>
      </c>
      <c r="AF966">
        <v>1947</v>
      </c>
      <c r="AG966">
        <v>1951</v>
      </c>
      <c r="AO966" t="b">
        <v>0</v>
      </c>
      <c r="AT966">
        <v>1308</v>
      </c>
      <c r="AU966">
        <f t="shared" si="47"/>
        <v>3.5840000000000001</v>
      </c>
    </row>
    <row r="967" spans="1:47" x14ac:dyDescent="0.3">
      <c r="A967">
        <v>965</v>
      </c>
      <c r="B967" t="s">
        <v>4124</v>
      </c>
      <c r="C967" t="s">
        <v>4125</v>
      </c>
      <c r="D967">
        <v>165</v>
      </c>
      <c r="E967" t="s">
        <v>4021</v>
      </c>
      <c r="F967" t="str">
        <f>VLOOKUP(E967,country_continent!A:C,2,FALSE)</f>
        <v>Uruguay</v>
      </c>
      <c r="G967" t="str">
        <f>VLOOKUP(E967,country_continent!A:C,3,FALSE)</f>
        <v>South America</v>
      </c>
      <c r="H967" t="s">
        <v>4126</v>
      </c>
      <c r="I967" s="1">
        <v>18688</v>
      </c>
      <c r="J967" s="3">
        <f t="shared" si="45"/>
        <v>18688</v>
      </c>
      <c r="K967" s="1">
        <v>20149</v>
      </c>
      <c r="L967" s="3">
        <f t="shared" si="46"/>
        <v>20149</v>
      </c>
      <c r="M967" t="s">
        <v>49</v>
      </c>
      <c r="N967" t="s">
        <v>49</v>
      </c>
      <c r="O967" t="s">
        <v>49</v>
      </c>
      <c r="P967">
        <v>0</v>
      </c>
      <c r="Q967" t="s">
        <v>50</v>
      </c>
      <c r="R967" t="s">
        <v>51</v>
      </c>
      <c r="S967">
        <v>1884</v>
      </c>
      <c r="T967">
        <v>1959</v>
      </c>
      <c r="Z967">
        <v>0</v>
      </c>
      <c r="AA967">
        <v>1</v>
      </c>
      <c r="AB967">
        <v>0</v>
      </c>
      <c r="AC967">
        <v>0</v>
      </c>
      <c r="AF967">
        <v>1951</v>
      </c>
      <c r="AG967">
        <v>1955</v>
      </c>
      <c r="AO967" t="b">
        <v>0</v>
      </c>
      <c r="AT967">
        <v>1461</v>
      </c>
      <c r="AU967">
        <f t="shared" si="47"/>
        <v>4.0030000000000001</v>
      </c>
    </row>
    <row r="968" spans="1:47" x14ac:dyDescent="0.3">
      <c r="A968">
        <v>966</v>
      </c>
      <c r="B968" t="s">
        <v>4127</v>
      </c>
      <c r="C968" t="s">
        <v>4122</v>
      </c>
      <c r="D968">
        <v>165</v>
      </c>
      <c r="E968" t="s">
        <v>4021</v>
      </c>
      <c r="F968" t="str">
        <f>VLOOKUP(E968,country_continent!A:C,2,FALSE)</f>
        <v>Uruguay</v>
      </c>
      <c r="G968" t="str">
        <f>VLOOKUP(E968,country_continent!A:C,3,FALSE)</f>
        <v>South America</v>
      </c>
      <c r="H968" t="s">
        <v>4123</v>
      </c>
      <c r="I968" s="1">
        <v>20149</v>
      </c>
      <c r="J968" s="3">
        <f t="shared" si="45"/>
        <v>20149</v>
      </c>
      <c r="K968" s="1">
        <v>20515</v>
      </c>
      <c r="L968" s="3">
        <f t="shared" si="46"/>
        <v>20515</v>
      </c>
      <c r="M968" t="s">
        <v>49</v>
      </c>
      <c r="N968" t="s">
        <v>49</v>
      </c>
      <c r="O968" t="s">
        <v>49</v>
      </c>
      <c r="P968">
        <v>1</v>
      </c>
      <c r="Q968" t="s">
        <v>50</v>
      </c>
      <c r="R968" t="s">
        <v>51</v>
      </c>
      <c r="S968">
        <v>1897</v>
      </c>
      <c r="T968">
        <v>1964</v>
      </c>
      <c r="U968" t="s">
        <v>2959</v>
      </c>
      <c r="V968" t="s">
        <v>2960</v>
      </c>
      <c r="W968" s="1">
        <v>23573</v>
      </c>
      <c r="X968" s="2">
        <v>23573</v>
      </c>
      <c r="Z968">
        <v>0</v>
      </c>
      <c r="AA968">
        <v>1</v>
      </c>
      <c r="AB968">
        <v>0</v>
      </c>
      <c r="AC968">
        <v>0</v>
      </c>
      <c r="AF968">
        <v>1955</v>
      </c>
      <c r="AG968">
        <v>1956</v>
      </c>
      <c r="AO968" t="b">
        <v>0</v>
      </c>
      <c r="AT968">
        <v>366</v>
      </c>
      <c r="AU968">
        <f t="shared" si="47"/>
        <v>1.0029999999999999</v>
      </c>
    </row>
    <row r="969" spans="1:47" x14ac:dyDescent="0.3">
      <c r="A969">
        <v>967</v>
      </c>
      <c r="B969" t="s">
        <v>4128</v>
      </c>
      <c r="C969" t="s">
        <v>4129</v>
      </c>
      <c r="D969">
        <v>165</v>
      </c>
      <c r="E969" t="s">
        <v>4021</v>
      </c>
      <c r="F969" t="str">
        <f>VLOOKUP(E969,country_continent!A:C,2,FALSE)</f>
        <v>Uruguay</v>
      </c>
      <c r="G969" t="str">
        <f>VLOOKUP(E969,country_continent!A:C,3,FALSE)</f>
        <v>South America</v>
      </c>
      <c r="H969" t="s">
        <v>4130</v>
      </c>
      <c r="I969" s="1">
        <v>20515</v>
      </c>
      <c r="J969" s="3">
        <f t="shared" si="45"/>
        <v>20515</v>
      </c>
      <c r="K969" s="1">
        <v>20880</v>
      </c>
      <c r="L969" s="3">
        <f t="shared" si="46"/>
        <v>20880</v>
      </c>
      <c r="M969" t="s">
        <v>49</v>
      </c>
      <c r="N969" t="s">
        <v>49</v>
      </c>
      <c r="O969" t="s">
        <v>49</v>
      </c>
      <c r="P969">
        <v>0</v>
      </c>
      <c r="Q969" t="s">
        <v>50</v>
      </c>
      <c r="R969" t="s">
        <v>51</v>
      </c>
      <c r="S969">
        <v>1901</v>
      </c>
      <c r="T969">
        <v>1971</v>
      </c>
      <c r="U969" s="1">
        <v>648</v>
      </c>
      <c r="V969" s="2">
        <v>648</v>
      </c>
      <c r="Z969">
        <v>0</v>
      </c>
      <c r="AA969">
        <v>1</v>
      </c>
      <c r="AB969">
        <v>0</v>
      </c>
      <c r="AC969">
        <v>0</v>
      </c>
      <c r="AF969">
        <v>1956</v>
      </c>
      <c r="AG969">
        <v>1957</v>
      </c>
      <c r="AO969" t="b">
        <v>0</v>
      </c>
      <c r="AT969">
        <v>365</v>
      </c>
      <c r="AU969">
        <f t="shared" si="47"/>
        <v>1</v>
      </c>
    </row>
    <row r="970" spans="1:47" x14ac:dyDescent="0.3">
      <c r="A970">
        <v>968</v>
      </c>
      <c r="B970" t="s">
        <v>4131</v>
      </c>
      <c r="C970" t="s">
        <v>4132</v>
      </c>
      <c r="D970">
        <v>165</v>
      </c>
      <c r="E970" t="s">
        <v>4021</v>
      </c>
      <c r="F970" t="str">
        <f>VLOOKUP(E970,country_continent!A:C,2,FALSE)</f>
        <v>Uruguay</v>
      </c>
      <c r="G970" t="str">
        <f>VLOOKUP(E970,country_continent!A:C,3,FALSE)</f>
        <v>South America</v>
      </c>
      <c r="H970" t="s">
        <v>4133</v>
      </c>
      <c r="I970" s="1">
        <v>20880</v>
      </c>
      <c r="J970" s="3">
        <f t="shared" si="45"/>
        <v>20880</v>
      </c>
      <c r="K970" s="1">
        <v>21245</v>
      </c>
      <c r="L970" s="3">
        <f t="shared" si="46"/>
        <v>21245</v>
      </c>
      <c r="M970" t="s">
        <v>49</v>
      </c>
      <c r="N970" t="s">
        <v>49</v>
      </c>
      <c r="O970" t="s">
        <v>49</v>
      </c>
      <c r="P970">
        <v>0</v>
      </c>
      <c r="Q970" t="s">
        <v>50</v>
      </c>
      <c r="R970" t="s">
        <v>51</v>
      </c>
      <c r="S970">
        <v>1899</v>
      </c>
      <c r="T970">
        <v>1964</v>
      </c>
      <c r="Z970">
        <v>0</v>
      </c>
      <c r="AA970">
        <v>1</v>
      </c>
      <c r="AB970">
        <v>0</v>
      </c>
      <c r="AC970">
        <v>0</v>
      </c>
      <c r="AF970">
        <v>1957</v>
      </c>
      <c r="AG970">
        <v>1958</v>
      </c>
      <c r="AO970" t="b">
        <v>0</v>
      </c>
      <c r="AT970">
        <v>365</v>
      </c>
      <c r="AU970">
        <f t="shared" si="47"/>
        <v>1</v>
      </c>
    </row>
    <row r="971" spans="1:47" x14ac:dyDescent="0.3">
      <c r="A971">
        <v>969</v>
      </c>
      <c r="B971" t="s">
        <v>4134</v>
      </c>
      <c r="C971" t="s">
        <v>4135</v>
      </c>
      <c r="D971">
        <v>165</v>
      </c>
      <c r="E971" t="s">
        <v>4021</v>
      </c>
      <c r="F971" t="str">
        <f>VLOOKUP(E971,country_continent!A:C,2,FALSE)</f>
        <v>Uruguay</v>
      </c>
      <c r="G971" t="str">
        <f>VLOOKUP(E971,country_continent!A:C,3,FALSE)</f>
        <v>South America</v>
      </c>
      <c r="H971" t="s">
        <v>4136</v>
      </c>
      <c r="I971" s="1">
        <v>21245</v>
      </c>
      <c r="J971" s="3">
        <f t="shared" si="45"/>
        <v>21245</v>
      </c>
      <c r="K971" s="1">
        <v>21610</v>
      </c>
      <c r="L971" s="3">
        <f t="shared" si="46"/>
        <v>21610</v>
      </c>
      <c r="M971" t="s">
        <v>49</v>
      </c>
      <c r="N971" t="s">
        <v>49</v>
      </c>
      <c r="O971" t="s">
        <v>49</v>
      </c>
      <c r="P971">
        <v>0</v>
      </c>
      <c r="Q971" t="s">
        <v>50</v>
      </c>
      <c r="R971" t="s">
        <v>51</v>
      </c>
      <c r="S971">
        <v>1903</v>
      </c>
      <c r="T971">
        <v>1969</v>
      </c>
      <c r="Z971">
        <v>0</v>
      </c>
      <c r="AA971">
        <v>1</v>
      </c>
      <c r="AB971">
        <v>0</v>
      </c>
      <c r="AC971">
        <v>0</v>
      </c>
      <c r="AF971">
        <v>1958</v>
      </c>
      <c r="AG971">
        <v>1959</v>
      </c>
      <c r="AO971" t="b">
        <v>0</v>
      </c>
      <c r="AT971">
        <v>365</v>
      </c>
      <c r="AU971">
        <f t="shared" si="47"/>
        <v>1</v>
      </c>
    </row>
    <row r="972" spans="1:47" x14ac:dyDescent="0.3">
      <c r="A972">
        <v>970</v>
      </c>
      <c r="B972" t="s">
        <v>4137</v>
      </c>
      <c r="C972" t="s">
        <v>4138</v>
      </c>
      <c r="D972">
        <v>165</v>
      </c>
      <c r="E972" t="s">
        <v>4021</v>
      </c>
      <c r="F972" t="str">
        <f>VLOOKUP(E972,country_continent!A:C,2,FALSE)</f>
        <v>Uruguay</v>
      </c>
      <c r="G972" t="str">
        <f>VLOOKUP(E972,country_continent!A:C,3,FALSE)</f>
        <v>South America</v>
      </c>
      <c r="H972" t="s">
        <v>4139</v>
      </c>
      <c r="I972" s="1">
        <v>21611</v>
      </c>
      <c r="J972" s="3">
        <f t="shared" si="45"/>
        <v>21611</v>
      </c>
      <c r="K972" s="1">
        <v>21976</v>
      </c>
      <c r="L972" s="3">
        <f t="shared" si="46"/>
        <v>21976</v>
      </c>
      <c r="M972" t="s">
        <v>49</v>
      </c>
      <c r="N972" t="s">
        <v>49</v>
      </c>
      <c r="O972" t="s">
        <v>49</v>
      </c>
      <c r="P972">
        <v>0</v>
      </c>
      <c r="Q972" t="s">
        <v>50</v>
      </c>
      <c r="R972" t="s">
        <v>51</v>
      </c>
      <c r="S972">
        <v>1892</v>
      </c>
      <c r="T972">
        <v>1974</v>
      </c>
      <c r="Z972">
        <v>0</v>
      </c>
      <c r="AA972">
        <v>1</v>
      </c>
      <c r="AB972">
        <v>0</v>
      </c>
      <c r="AC972">
        <v>0</v>
      </c>
      <c r="AF972">
        <v>1959</v>
      </c>
      <c r="AG972">
        <v>1960</v>
      </c>
      <c r="AO972" t="b">
        <v>0</v>
      </c>
      <c r="AT972">
        <v>365</v>
      </c>
      <c r="AU972">
        <f t="shared" si="47"/>
        <v>1</v>
      </c>
    </row>
    <row r="973" spans="1:47" x14ac:dyDescent="0.3">
      <c r="A973">
        <v>971</v>
      </c>
      <c r="B973" t="s">
        <v>4140</v>
      </c>
      <c r="C973" t="s">
        <v>4141</v>
      </c>
      <c r="D973">
        <v>165</v>
      </c>
      <c r="E973" t="s">
        <v>4021</v>
      </c>
      <c r="F973" t="str">
        <f>VLOOKUP(E973,country_continent!A:C,2,FALSE)</f>
        <v>Uruguay</v>
      </c>
      <c r="G973" t="str">
        <f>VLOOKUP(E973,country_continent!A:C,3,FALSE)</f>
        <v>South America</v>
      </c>
      <c r="H973" t="s">
        <v>4142</v>
      </c>
      <c r="I973" s="1">
        <v>21976</v>
      </c>
      <c r="J973" s="3">
        <f t="shared" si="45"/>
        <v>21976</v>
      </c>
      <c r="K973" s="1">
        <v>22341</v>
      </c>
      <c r="L973" s="3">
        <f t="shared" si="46"/>
        <v>22341</v>
      </c>
      <c r="M973" t="s">
        <v>49</v>
      </c>
      <c r="N973" t="s">
        <v>49</v>
      </c>
      <c r="O973" t="s">
        <v>49</v>
      </c>
      <c r="P973">
        <v>0</v>
      </c>
      <c r="Q973" t="s">
        <v>50</v>
      </c>
      <c r="R973" t="s">
        <v>51</v>
      </c>
      <c r="S973">
        <v>1907</v>
      </c>
      <c r="T973">
        <v>1964</v>
      </c>
      <c r="Z973">
        <v>0</v>
      </c>
      <c r="AA973">
        <v>1</v>
      </c>
      <c r="AB973">
        <v>0</v>
      </c>
      <c r="AC973">
        <v>0</v>
      </c>
      <c r="AF973">
        <v>1960</v>
      </c>
      <c r="AG973">
        <v>1961</v>
      </c>
      <c r="AO973" t="b">
        <v>0</v>
      </c>
      <c r="AT973">
        <v>365</v>
      </c>
      <c r="AU973">
        <f t="shared" si="47"/>
        <v>1</v>
      </c>
    </row>
    <row r="974" spans="1:47" x14ac:dyDescent="0.3">
      <c r="A974">
        <v>972</v>
      </c>
      <c r="B974" t="s">
        <v>4143</v>
      </c>
      <c r="C974" t="s">
        <v>4144</v>
      </c>
      <c r="D974">
        <v>165</v>
      </c>
      <c r="E974" t="s">
        <v>4021</v>
      </c>
      <c r="F974" t="str">
        <f>VLOOKUP(E974,country_continent!A:C,2,FALSE)</f>
        <v>Uruguay</v>
      </c>
      <c r="G974" t="str">
        <f>VLOOKUP(E974,country_continent!A:C,3,FALSE)</f>
        <v>South America</v>
      </c>
      <c r="H974" t="s">
        <v>4145</v>
      </c>
      <c r="I974" s="1">
        <v>22341</v>
      </c>
      <c r="J974" s="3">
        <f t="shared" si="45"/>
        <v>22341</v>
      </c>
      <c r="K974" s="1">
        <v>22706</v>
      </c>
      <c r="L974" s="3">
        <f t="shared" si="46"/>
        <v>22706</v>
      </c>
      <c r="M974" t="s">
        <v>49</v>
      </c>
      <c r="N974" t="s">
        <v>49</v>
      </c>
      <c r="O974" t="s">
        <v>49</v>
      </c>
      <c r="P974">
        <v>0</v>
      </c>
      <c r="Q974" t="s">
        <v>50</v>
      </c>
      <c r="R974" t="s">
        <v>51</v>
      </c>
      <c r="S974">
        <v>1898</v>
      </c>
      <c r="T974">
        <v>1970</v>
      </c>
      <c r="Z974">
        <v>0</v>
      </c>
      <c r="AA974">
        <v>1</v>
      </c>
      <c r="AB974">
        <v>0</v>
      </c>
      <c r="AC974">
        <v>0</v>
      </c>
      <c r="AF974">
        <v>1961</v>
      </c>
      <c r="AG974">
        <v>1962</v>
      </c>
      <c r="AO974" t="b">
        <v>0</v>
      </c>
      <c r="AT974">
        <v>365</v>
      </c>
      <c r="AU974">
        <f t="shared" si="47"/>
        <v>1</v>
      </c>
    </row>
    <row r="975" spans="1:47" x14ac:dyDescent="0.3">
      <c r="A975">
        <v>973</v>
      </c>
      <c r="B975" t="s">
        <v>4146</v>
      </c>
      <c r="C975" t="s">
        <v>4147</v>
      </c>
      <c r="D975">
        <v>165</v>
      </c>
      <c r="E975" t="s">
        <v>4021</v>
      </c>
      <c r="F975" t="str">
        <f>VLOOKUP(E975,country_continent!A:C,2,FALSE)</f>
        <v>Uruguay</v>
      </c>
      <c r="G975" t="str">
        <f>VLOOKUP(E975,country_continent!A:C,3,FALSE)</f>
        <v>South America</v>
      </c>
      <c r="H975" t="s">
        <v>85</v>
      </c>
      <c r="I975" s="1">
        <v>22706</v>
      </c>
      <c r="J975" s="3">
        <f t="shared" si="45"/>
        <v>22706</v>
      </c>
      <c r="K975" s="1">
        <v>23071</v>
      </c>
      <c r="L975" s="3">
        <f t="shared" si="46"/>
        <v>23071</v>
      </c>
      <c r="M975" t="s">
        <v>49</v>
      </c>
      <c r="N975" t="s">
        <v>49</v>
      </c>
      <c r="O975" t="s">
        <v>49</v>
      </c>
      <c r="P975">
        <v>0</v>
      </c>
      <c r="Q975" t="s">
        <v>111</v>
      </c>
      <c r="R975" t="s">
        <v>51</v>
      </c>
      <c r="S975">
        <v>1900</v>
      </c>
      <c r="T975">
        <v>1963</v>
      </c>
      <c r="Z975">
        <v>0</v>
      </c>
      <c r="AA975">
        <v>1</v>
      </c>
      <c r="AB975">
        <v>0</v>
      </c>
      <c r="AC975">
        <v>-777</v>
      </c>
      <c r="AF975">
        <v>1962</v>
      </c>
      <c r="AG975">
        <v>1963</v>
      </c>
      <c r="AO975" t="b">
        <v>0</v>
      </c>
      <c r="AT975">
        <v>365</v>
      </c>
      <c r="AU975">
        <f t="shared" si="47"/>
        <v>1</v>
      </c>
    </row>
    <row r="976" spans="1:47" x14ac:dyDescent="0.3">
      <c r="A976">
        <v>974</v>
      </c>
      <c r="B976" t="s">
        <v>4148</v>
      </c>
      <c r="C976" t="s">
        <v>4149</v>
      </c>
      <c r="D976">
        <v>165</v>
      </c>
      <c r="E976" t="s">
        <v>4021</v>
      </c>
      <c r="F976" t="str">
        <f>VLOOKUP(E976,country_continent!A:C,2,FALSE)</f>
        <v>Uruguay</v>
      </c>
      <c r="G976" t="str">
        <f>VLOOKUP(E976,country_continent!A:C,3,FALSE)</f>
        <v>South America</v>
      </c>
      <c r="H976" t="s">
        <v>4150</v>
      </c>
      <c r="I976" s="1">
        <v>23071</v>
      </c>
      <c r="J976" s="3">
        <f t="shared" si="45"/>
        <v>23071</v>
      </c>
      <c r="K976" s="1">
        <v>23438</v>
      </c>
      <c r="L976" s="3">
        <f t="shared" si="46"/>
        <v>23438</v>
      </c>
      <c r="M976" t="s">
        <v>49</v>
      </c>
      <c r="N976" t="s">
        <v>49</v>
      </c>
      <c r="O976" t="s">
        <v>49</v>
      </c>
      <c r="P976">
        <v>0</v>
      </c>
      <c r="Q976" t="s">
        <v>50</v>
      </c>
      <c r="R976" t="s">
        <v>51</v>
      </c>
      <c r="S976">
        <v>1901</v>
      </c>
      <c r="T976">
        <v>1964</v>
      </c>
      <c r="Z976">
        <v>0</v>
      </c>
      <c r="AA976">
        <v>1</v>
      </c>
      <c r="AB976">
        <v>0</v>
      </c>
      <c r="AC976">
        <v>0</v>
      </c>
      <c r="AF976">
        <v>1963</v>
      </c>
      <c r="AG976">
        <v>1964</v>
      </c>
      <c r="AO976" t="b">
        <v>0</v>
      </c>
      <c r="AT976">
        <v>367</v>
      </c>
      <c r="AU976">
        <f t="shared" si="47"/>
        <v>1.0049999999999999</v>
      </c>
    </row>
    <row r="977" spans="1:47" x14ac:dyDescent="0.3">
      <c r="A977">
        <v>975</v>
      </c>
      <c r="B977" t="s">
        <v>4151</v>
      </c>
      <c r="C977" t="s">
        <v>4152</v>
      </c>
      <c r="D977">
        <v>165</v>
      </c>
      <c r="E977" t="s">
        <v>4021</v>
      </c>
      <c r="F977" t="str">
        <f>VLOOKUP(E977,country_continent!A:C,2,FALSE)</f>
        <v>Uruguay</v>
      </c>
      <c r="G977" t="str">
        <f>VLOOKUP(E977,country_continent!A:C,3,FALSE)</f>
        <v>South America</v>
      </c>
      <c r="H977" t="s">
        <v>4153</v>
      </c>
      <c r="I977" s="1">
        <v>23438</v>
      </c>
      <c r="J977" s="3">
        <f t="shared" si="45"/>
        <v>23438</v>
      </c>
      <c r="K977" s="1">
        <v>23780</v>
      </c>
      <c r="L977" s="3">
        <f t="shared" si="46"/>
        <v>23780</v>
      </c>
      <c r="M977" t="s">
        <v>49</v>
      </c>
      <c r="N977" t="s">
        <v>110</v>
      </c>
      <c r="O977" t="s">
        <v>49</v>
      </c>
      <c r="P977">
        <v>0</v>
      </c>
      <c r="Q977" t="s">
        <v>111</v>
      </c>
      <c r="R977" t="s">
        <v>51</v>
      </c>
      <c r="S977">
        <v>1895</v>
      </c>
      <c r="T977">
        <v>1965</v>
      </c>
      <c r="Z977">
        <v>0</v>
      </c>
      <c r="AA977">
        <v>2</v>
      </c>
      <c r="AB977">
        <v>0</v>
      </c>
      <c r="AC977">
        <v>-777</v>
      </c>
      <c r="AF977">
        <v>1964</v>
      </c>
      <c r="AG977">
        <v>1965</v>
      </c>
      <c r="AO977" t="b">
        <v>0</v>
      </c>
      <c r="AT977">
        <v>342</v>
      </c>
      <c r="AU977">
        <f t="shared" si="47"/>
        <v>0.93700000000000006</v>
      </c>
    </row>
    <row r="978" spans="1:47" x14ac:dyDescent="0.3">
      <c r="A978">
        <v>976</v>
      </c>
      <c r="B978" t="s">
        <v>4154</v>
      </c>
      <c r="C978" t="s">
        <v>4155</v>
      </c>
      <c r="D978">
        <v>165</v>
      </c>
      <c r="E978" t="s">
        <v>4021</v>
      </c>
      <c r="F978" t="str">
        <f>VLOOKUP(E978,country_continent!A:C,2,FALSE)</f>
        <v>Uruguay</v>
      </c>
      <c r="G978" t="str">
        <f>VLOOKUP(E978,country_continent!A:C,3,FALSE)</f>
        <v>South America</v>
      </c>
      <c r="H978" t="s">
        <v>4156</v>
      </c>
      <c r="I978" s="1">
        <v>23780</v>
      </c>
      <c r="J978" s="3">
        <f t="shared" si="45"/>
        <v>23780</v>
      </c>
      <c r="K978" s="1">
        <v>24167</v>
      </c>
      <c r="L978" s="3">
        <f t="shared" si="46"/>
        <v>24167</v>
      </c>
      <c r="M978" t="s">
        <v>49</v>
      </c>
      <c r="N978" t="s">
        <v>49</v>
      </c>
      <c r="O978" t="s">
        <v>49</v>
      </c>
      <c r="P978">
        <v>0</v>
      </c>
      <c r="Q978" t="s">
        <v>50</v>
      </c>
      <c r="R978" t="s">
        <v>51</v>
      </c>
      <c r="S978">
        <v>1914</v>
      </c>
      <c r="T978">
        <v>2003</v>
      </c>
      <c r="U978" s="1">
        <v>5210</v>
      </c>
      <c r="V978" s="2">
        <v>5210</v>
      </c>
      <c r="Z978">
        <v>0</v>
      </c>
      <c r="AA978">
        <v>1</v>
      </c>
      <c r="AB978">
        <v>0</v>
      </c>
      <c r="AC978">
        <v>0</v>
      </c>
      <c r="AF978">
        <v>1965</v>
      </c>
      <c r="AG978">
        <v>1966</v>
      </c>
      <c r="AO978" t="b">
        <v>0</v>
      </c>
      <c r="AT978">
        <v>387</v>
      </c>
      <c r="AU978">
        <f t="shared" si="47"/>
        <v>1.06</v>
      </c>
    </row>
    <row r="979" spans="1:47" x14ac:dyDescent="0.3">
      <c r="A979">
        <v>977</v>
      </c>
      <c r="B979" t="s">
        <v>4157</v>
      </c>
      <c r="C979" t="s">
        <v>4158</v>
      </c>
      <c r="D979">
        <v>165</v>
      </c>
      <c r="E979" t="s">
        <v>4021</v>
      </c>
      <c r="F979" t="str">
        <f>VLOOKUP(E979,country_continent!A:C,2,FALSE)</f>
        <v>Uruguay</v>
      </c>
      <c r="G979" t="str">
        <f>VLOOKUP(E979,country_continent!A:C,3,FALSE)</f>
        <v>South America</v>
      </c>
      <c r="H979" t="s">
        <v>4159</v>
      </c>
      <c r="I979" s="1">
        <v>24167</v>
      </c>
      <c r="J979" s="3">
        <f t="shared" si="45"/>
        <v>24167</v>
      </c>
      <c r="K979" s="1">
        <v>24532</v>
      </c>
      <c r="L979" s="3">
        <f t="shared" si="46"/>
        <v>24532</v>
      </c>
      <c r="M979" t="s">
        <v>49</v>
      </c>
      <c r="N979" t="s">
        <v>49</v>
      </c>
      <c r="O979" t="s">
        <v>49</v>
      </c>
      <c r="P979">
        <v>0</v>
      </c>
      <c r="Q979" t="s">
        <v>50</v>
      </c>
      <c r="R979" t="s">
        <v>51</v>
      </c>
      <c r="S979">
        <v>1916</v>
      </c>
      <c r="T979">
        <v>1981</v>
      </c>
      <c r="Z979">
        <v>0</v>
      </c>
      <c r="AA979">
        <v>1</v>
      </c>
      <c r="AB979">
        <v>0</v>
      </c>
      <c r="AC979">
        <v>0</v>
      </c>
      <c r="AF979">
        <v>1966</v>
      </c>
      <c r="AG979">
        <v>1967</v>
      </c>
      <c r="AO979" t="b">
        <v>0</v>
      </c>
      <c r="AT979">
        <v>365</v>
      </c>
      <c r="AU979">
        <f t="shared" si="47"/>
        <v>1</v>
      </c>
    </row>
    <row r="980" spans="1:47" x14ac:dyDescent="0.3">
      <c r="A980">
        <v>978</v>
      </c>
      <c r="B980" t="s">
        <v>4160</v>
      </c>
      <c r="C980" t="s">
        <v>4161</v>
      </c>
      <c r="D980">
        <v>165</v>
      </c>
      <c r="E980" t="s">
        <v>4021</v>
      </c>
      <c r="F980" t="str">
        <f>VLOOKUP(E980,country_continent!A:C,2,FALSE)</f>
        <v>Uruguay</v>
      </c>
      <c r="G980" t="str">
        <f>VLOOKUP(E980,country_continent!A:C,3,FALSE)</f>
        <v>South America</v>
      </c>
      <c r="H980" t="s">
        <v>4162</v>
      </c>
      <c r="I980" s="1">
        <v>24532</v>
      </c>
      <c r="J980" s="3">
        <f t="shared" si="45"/>
        <v>24532</v>
      </c>
      <c r="K980" s="1">
        <v>24812</v>
      </c>
      <c r="L980" s="3">
        <f t="shared" si="46"/>
        <v>24812</v>
      </c>
      <c r="M980" t="s">
        <v>49</v>
      </c>
      <c r="N980" t="s">
        <v>110</v>
      </c>
      <c r="O980" t="s">
        <v>49</v>
      </c>
      <c r="P980">
        <v>0</v>
      </c>
      <c r="Q980" t="s">
        <v>111</v>
      </c>
      <c r="R980" t="s">
        <v>51</v>
      </c>
      <c r="S980">
        <v>1901</v>
      </c>
      <c r="T980">
        <v>1967</v>
      </c>
      <c r="U980" s="1">
        <v>698</v>
      </c>
      <c r="V980" s="2">
        <v>698</v>
      </c>
      <c r="Y980" t="s">
        <v>4163</v>
      </c>
      <c r="Z980">
        <v>0</v>
      </c>
      <c r="AA980">
        <v>2</v>
      </c>
      <c r="AB980">
        <v>0</v>
      </c>
      <c r="AC980">
        <v>-777</v>
      </c>
      <c r="AF980">
        <v>1967</v>
      </c>
      <c r="AG980">
        <v>1967</v>
      </c>
      <c r="AO980" t="b">
        <v>0</v>
      </c>
      <c r="AT980">
        <v>280</v>
      </c>
      <c r="AU980">
        <f t="shared" si="47"/>
        <v>0.76700000000000002</v>
      </c>
    </row>
    <row r="981" spans="1:47" x14ac:dyDescent="0.3">
      <c r="A981">
        <v>979</v>
      </c>
      <c r="B981" t="s">
        <v>4164</v>
      </c>
      <c r="C981" t="s">
        <v>4165</v>
      </c>
      <c r="D981">
        <v>165</v>
      </c>
      <c r="E981" t="s">
        <v>4021</v>
      </c>
      <c r="F981" t="str">
        <f>VLOOKUP(E981,country_continent!A:C,2,FALSE)</f>
        <v>Uruguay</v>
      </c>
      <c r="G981" t="str">
        <f>VLOOKUP(E981,country_continent!A:C,3,FALSE)</f>
        <v>South America</v>
      </c>
      <c r="H981" t="s">
        <v>4166</v>
      </c>
      <c r="I981" s="1">
        <v>24812</v>
      </c>
      <c r="J981" s="3">
        <f t="shared" si="45"/>
        <v>24812</v>
      </c>
      <c r="K981" s="1">
        <v>26359</v>
      </c>
      <c r="L981" s="3">
        <f t="shared" si="46"/>
        <v>26359</v>
      </c>
      <c r="M981" t="s">
        <v>49</v>
      </c>
      <c r="N981" t="s">
        <v>49</v>
      </c>
      <c r="O981" t="s">
        <v>49</v>
      </c>
      <c r="P981">
        <v>0</v>
      </c>
      <c r="Q981" t="s">
        <v>50</v>
      </c>
      <c r="R981" t="s">
        <v>51</v>
      </c>
      <c r="S981">
        <v>1920</v>
      </c>
      <c r="T981">
        <v>1998</v>
      </c>
      <c r="U981" s="1">
        <v>7405</v>
      </c>
      <c r="V981" s="2">
        <v>7405</v>
      </c>
      <c r="Y981" t="s">
        <v>4167</v>
      </c>
      <c r="Z981">
        <v>0</v>
      </c>
      <c r="AA981">
        <v>1</v>
      </c>
      <c r="AB981">
        <v>0</v>
      </c>
      <c r="AC981">
        <v>0</v>
      </c>
      <c r="AF981">
        <v>1967</v>
      </c>
      <c r="AG981">
        <v>1972</v>
      </c>
      <c r="AO981" t="b">
        <v>0</v>
      </c>
      <c r="AT981">
        <v>1547</v>
      </c>
      <c r="AU981">
        <f t="shared" si="47"/>
        <v>4.2380000000000004</v>
      </c>
    </row>
    <row r="982" spans="1:47" x14ac:dyDescent="0.3">
      <c r="A982">
        <v>980</v>
      </c>
      <c r="B982" t="s">
        <v>4168</v>
      </c>
      <c r="C982" t="s">
        <v>4169</v>
      </c>
      <c r="D982">
        <v>165</v>
      </c>
      <c r="E982" t="s">
        <v>4021</v>
      </c>
      <c r="F982" t="str">
        <f>VLOOKUP(E982,country_continent!A:C,2,FALSE)</f>
        <v>Uruguay</v>
      </c>
      <c r="G982" t="str">
        <f>VLOOKUP(E982,country_continent!A:C,3,FALSE)</f>
        <v>South America</v>
      </c>
      <c r="H982" t="s">
        <v>4170</v>
      </c>
      <c r="I982" s="1">
        <v>26359</v>
      </c>
      <c r="J982" s="3">
        <f t="shared" si="45"/>
        <v>26359</v>
      </c>
      <c r="K982" s="1">
        <v>27923</v>
      </c>
      <c r="L982" s="3">
        <f t="shared" si="46"/>
        <v>27923</v>
      </c>
      <c r="M982" t="s">
        <v>49</v>
      </c>
      <c r="N982" t="s">
        <v>67</v>
      </c>
      <c r="O982" t="s">
        <v>376</v>
      </c>
      <c r="P982">
        <v>0</v>
      </c>
      <c r="Q982" t="s">
        <v>50</v>
      </c>
      <c r="R982" t="s">
        <v>51</v>
      </c>
      <c r="S982">
        <v>1928</v>
      </c>
      <c r="T982">
        <v>2011</v>
      </c>
      <c r="U982" s="1">
        <v>10396</v>
      </c>
      <c r="V982" s="2">
        <v>10396</v>
      </c>
      <c r="Y982" t="s">
        <v>4171</v>
      </c>
      <c r="Z982">
        <v>0</v>
      </c>
      <c r="AA982">
        <v>3</v>
      </c>
      <c r="AB982">
        <v>6</v>
      </c>
      <c r="AC982">
        <v>0</v>
      </c>
      <c r="AF982">
        <v>1972</v>
      </c>
      <c r="AG982">
        <v>1976</v>
      </c>
      <c r="AO982" t="b">
        <v>0</v>
      </c>
      <c r="AT982">
        <v>1564</v>
      </c>
      <c r="AU982">
        <f t="shared" si="47"/>
        <v>4.2850000000000001</v>
      </c>
    </row>
    <row r="983" spans="1:47" x14ac:dyDescent="0.3">
      <c r="A983">
        <v>981</v>
      </c>
      <c r="B983" t="s">
        <v>4172</v>
      </c>
      <c r="C983" t="s">
        <v>4173</v>
      </c>
      <c r="D983">
        <v>165</v>
      </c>
      <c r="E983" t="s">
        <v>4021</v>
      </c>
      <c r="F983" t="str">
        <f>VLOOKUP(E983,country_continent!A:C,2,FALSE)</f>
        <v>Uruguay</v>
      </c>
      <c r="G983" t="str">
        <f>VLOOKUP(E983,country_continent!A:C,3,FALSE)</f>
        <v>South America</v>
      </c>
      <c r="H983" t="s">
        <v>4174</v>
      </c>
      <c r="I983" s="1">
        <v>27923</v>
      </c>
      <c r="J983" s="3">
        <f t="shared" si="45"/>
        <v>27923</v>
      </c>
      <c r="K983" s="1">
        <v>28004</v>
      </c>
      <c r="L983" s="3">
        <f t="shared" si="46"/>
        <v>28004</v>
      </c>
      <c r="M983" t="s">
        <v>67</v>
      </c>
      <c r="N983" t="s">
        <v>67</v>
      </c>
      <c r="O983" t="s">
        <v>376</v>
      </c>
      <c r="P983">
        <v>0</v>
      </c>
      <c r="Q983" t="s">
        <v>50</v>
      </c>
      <c r="R983" t="s">
        <v>51</v>
      </c>
      <c r="S983">
        <v>1894</v>
      </c>
      <c r="T983">
        <v>1980</v>
      </c>
      <c r="Z983">
        <v>1</v>
      </c>
      <c r="AA983">
        <v>3</v>
      </c>
      <c r="AB983">
        <v>6</v>
      </c>
      <c r="AC983">
        <v>0</v>
      </c>
      <c r="AF983">
        <v>1976</v>
      </c>
      <c r="AG983">
        <v>1976</v>
      </c>
      <c r="AO983" t="b">
        <v>0</v>
      </c>
      <c r="AT983">
        <v>81</v>
      </c>
      <c r="AU983">
        <f t="shared" si="47"/>
        <v>0.222</v>
      </c>
    </row>
    <row r="984" spans="1:47" x14ac:dyDescent="0.3">
      <c r="A984">
        <v>982</v>
      </c>
      <c r="B984" t="s">
        <v>4175</v>
      </c>
      <c r="C984" t="s">
        <v>4176</v>
      </c>
      <c r="D984">
        <v>165</v>
      </c>
      <c r="E984" t="s">
        <v>4021</v>
      </c>
      <c r="F984" t="str">
        <f>VLOOKUP(E984,country_continent!A:C,2,FALSE)</f>
        <v>Uruguay</v>
      </c>
      <c r="G984" t="str">
        <f>VLOOKUP(E984,country_continent!A:C,3,FALSE)</f>
        <v>South America</v>
      </c>
      <c r="H984" t="s">
        <v>4177</v>
      </c>
      <c r="I984" s="1">
        <v>28004</v>
      </c>
      <c r="J984" s="3">
        <f t="shared" si="45"/>
        <v>28004</v>
      </c>
      <c r="K984" s="1">
        <v>29830</v>
      </c>
      <c r="L984" s="3">
        <f t="shared" si="46"/>
        <v>29830</v>
      </c>
      <c r="M984" t="s">
        <v>67</v>
      </c>
      <c r="N984" t="s">
        <v>49</v>
      </c>
      <c r="O984" t="s">
        <v>49</v>
      </c>
      <c r="P984">
        <v>0</v>
      </c>
      <c r="Q984" t="s">
        <v>50</v>
      </c>
      <c r="R984" t="s">
        <v>51</v>
      </c>
      <c r="S984">
        <v>1904</v>
      </c>
      <c r="T984">
        <v>1988</v>
      </c>
      <c r="U984" s="1">
        <v>1576</v>
      </c>
      <c r="V984" s="2">
        <v>1576</v>
      </c>
      <c r="W984" s="1">
        <v>32320</v>
      </c>
      <c r="X984" s="2">
        <v>32320</v>
      </c>
      <c r="Z984">
        <v>1</v>
      </c>
      <c r="AA984">
        <v>1</v>
      </c>
      <c r="AB984">
        <v>0</v>
      </c>
      <c r="AC984">
        <v>0</v>
      </c>
      <c r="AF984">
        <v>1976</v>
      </c>
      <c r="AG984">
        <v>1981</v>
      </c>
      <c r="AO984" t="b">
        <v>0</v>
      </c>
      <c r="AT984">
        <v>1826</v>
      </c>
      <c r="AU984">
        <f t="shared" si="47"/>
        <v>5.0030000000000001</v>
      </c>
    </row>
    <row r="985" spans="1:47" x14ac:dyDescent="0.3">
      <c r="A985">
        <v>983</v>
      </c>
      <c r="B985" t="s">
        <v>4178</v>
      </c>
      <c r="C985" t="s">
        <v>4179</v>
      </c>
      <c r="D985">
        <v>165</v>
      </c>
      <c r="E985" t="s">
        <v>4021</v>
      </c>
      <c r="F985" t="str">
        <f>VLOOKUP(E985,country_continent!A:C,2,FALSE)</f>
        <v>Uruguay</v>
      </c>
      <c r="G985" t="str">
        <f>VLOOKUP(E985,country_continent!A:C,3,FALSE)</f>
        <v>South America</v>
      </c>
      <c r="H985" t="s">
        <v>4180</v>
      </c>
      <c r="I985" s="1">
        <v>29830</v>
      </c>
      <c r="J985" s="3">
        <f t="shared" si="45"/>
        <v>29830</v>
      </c>
      <c r="K985" s="1">
        <v>31107</v>
      </c>
      <c r="L985" s="3">
        <f t="shared" si="46"/>
        <v>31107</v>
      </c>
      <c r="M985" t="s">
        <v>67</v>
      </c>
      <c r="N985" t="s">
        <v>49</v>
      </c>
      <c r="O985" t="s">
        <v>49</v>
      </c>
      <c r="P985">
        <v>0</v>
      </c>
      <c r="Q985" t="s">
        <v>50</v>
      </c>
      <c r="R985" t="s">
        <v>51</v>
      </c>
      <c r="S985">
        <v>1925</v>
      </c>
      <c r="T985">
        <v>-777</v>
      </c>
      <c r="U985" s="1">
        <v>9462</v>
      </c>
      <c r="V985" s="2">
        <v>9462</v>
      </c>
      <c r="Z985">
        <v>1</v>
      </c>
      <c r="AA985">
        <v>1</v>
      </c>
      <c r="AB985">
        <v>0</v>
      </c>
      <c r="AC985">
        <v>0</v>
      </c>
      <c r="AF985">
        <v>1981</v>
      </c>
      <c r="AG985">
        <v>1985</v>
      </c>
      <c r="AO985" t="b">
        <v>0</v>
      </c>
      <c r="AT985">
        <v>1277</v>
      </c>
      <c r="AU985">
        <f t="shared" si="47"/>
        <v>3.4990000000000001</v>
      </c>
    </row>
    <row r="986" spans="1:47" x14ac:dyDescent="0.3">
      <c r="A986">
        <v>984</v>
      </c>
      <c r="B986" t="s">
        <v>4181</v>
      </c>
      <c r="C986" t="s">
        <v>4182</v>
      </c>
      <c r="D986">
        <v>165</v>
      </c>
      <c r="E986" t="s">
        <v>4021</v>
      </c>
      <c r="F986" t="str">
        <f>VLOOKUP(E986,country_continent!A:C,2,FALSE)</f>
        <v>Uruguay</v>
      </c>
      <c r="G986" t="str">
        <f>VLOOKUP(E986,country_continent!A:C,3,FALSE)</f>
        <v>South America</v>
      </c>
      <c r="H986" t="s">
        <v>4183</v>
      </c>
      <c r="I986" s="1">
        <v>31107</v>
      </c>
      <c r="J986" s="3">
        <f t="shared" si="45"/>
        <v>31107</v>
      </c>
      <c r="K986" s="1">
        <v>32933</v>
      </c>
      <c r="L986" s="3">
        <f t="shared" si="46"/>
        <v>32933</v>
      </c>
      <c r="M986" t="s">
        <v>49</v>
      </c>
      <c r="N986" t="s">
        <v>49</v>
      </c>
      <c r="O986" t="s">
        <v>49</v>
      </c>
      <c r="P986">
        <v>0</v>
      </c>
      <c r="Q986" t="s">
        <v>50</v>
      </c>
      <c r="R986" t="s">
        <v>51</v>
      </c>
      <c r="S986">
        <v>1936</v>
      </c>
      <c r="T986">
        <v>-777</v>
      </c>
      <c r="U986" s="1">
        <v>13155</v>
      </c>
      <c r="V986" s="2">
        <v>13155</v>
      </c>
      <c r="Z986">
        <v>0</v>
      </c>
      <c r="AA986">
        <v>1</v>
      </c>
      <c r="AB986">
        <v>0</v>
      </c>
      <c r="AC986">
        <v>0</v>
      </c>
      <c r="AF986">
        <v>1985</v>
      </c>
      <c r="AG986">
        <v>1990</v>
      </c>
      <c r="AO986" t="b">
        <v>0</v>
      </c>
      <c r="AT986">
        <v>1826</v>
      </c>
      <c r="AU986">
        <f t="shared" si="47"/>
        <v>5.0030000000000001</v>
      </c>
    </row>
    <row r="987" spans="1:47" x14ac:dyDescent="0.3">
      <c r="A987">
        <v>985</v>
      </c>
      <c r="B987" t="s">
        <v>4184</v>
      </c>
      <c r="C987" t="s">
        <v>4185</v>
      </c>
      <c r="D987">
        <v>165</v>
      </c>
      <c r="E987" t="s">
        <v>4021</v>
      </c>
      <c r="F987" t="str">
        <f>VLOOKUP(E987,country_continent!A:C,2,FALSE)</f>
        <v>Uruguay</v>
      </c>
      <c r="G987" t="str">
        <f>VLOOKUP(E987,country_continent!A:C,3,FALSE)</f>
        <v>South America</v>
      </c>
      <c r="H987" t="s">
        <v>4186</v>
      </c>
      <c r="I987" s="1">
        <v>32933</v>
      </c>
      <c r="J987" s="3">
        <f t="shared" si="45"/>
        <v>32933</v>
      </c>
      <c r="K987" s="1">
        <v>34759</v>
      </c>
      <c r="L987" s="3">
        <f t="shared" si="46"/>
        <v>34759</v>
      </c>
      <c r="M987" t="s">
        <v>49</v>
      </c>
      <c r="N987" t="s">
        <v>49</v>
      </c>
      <c r="O987" t="s">
        <v>49</v>
      </c>
      <c r="P987">
        <v>0</v>
      </c>
      <c r="Q987" t="s">
        <v>50</v>
      </c>
      <c r="R987" t="s">
        <v>51</v>
      </c>
      <c r="S987">
        <v>1941</v>
      </c>
      <c r="T987">
        <v>-777</v>
      </c>
      <c r="Z987">
        <v>0</v>
      </c>
      <c r="AA987">
        <v>1</v>
      </c>
      <c r="AB987">
        <v>0</v>
      </c>
      <c r="AC987">
        <v>0</v>
      </c>
      <c r="AF987">
        <v>1990</v>
      </c>
      <c r="AG987">
        <v>1995</v>
      </c>
      <c r="AO987" t="b">
        <v>0</v>
      </c>
      <c r="AT987">
        <v>1826</v>
      </c>
      <c r="AU987">
        <f t="shared" si="47"/>
        <v>5.0030000000000001</v>
      </c>
    </row>
    <row r="988" spans="1:47" x14ac:dyDescent="0.3">
      <c r="A988">
        <v>986</v>
      </c>
      <c r="B988" t="s">
        <v>4187</v>
      </c>
      <c r="C988" t="s">
        <v>4182</v>
      </c>
      <c r="D988">
        <v>165</v>
      </c>
      <c r="E988" t="s">
        <v>4021</v>
      </c>
      <c r="F988" t="str">
        <f>VLOOKUP(E988,country_continent!A:C,2,FALSE)</f>
        <v>Uruguay</v>
      </c>
      <c r="G988" t="str">
        <f>VLOOKUP(E988,country_continent!A:C,3,FALSE)</f>
        <v>South America</v>
      </c>
      <c r="H988" t="s">
        <v>4183</v>
      </c>
      <c r="I988" s="1">
        <v>34759</v>
      </c>
      <c r="J988" s="3">
        <f t="shared" si="45"/>
        <v>34759</v>
      </c>
      <c r="K988" s="1">
        <v>36586</v>
      </c>
      <c r="L988" s="3">
        <f t="shared" si="46"/>
        <v>36586</v>
      </c>
      <c r="M988" t="s">
        <v>49</v>
      </c>
      <c r="N988" t="s">
        <v>49</v>
      </c>
      <c r="O988" t="s">
        <v>49</v>
      </c>
      <c r="P988">
        <v>1</v>
      </c>
      <c r="Q988" t="s">
        <v>50</v>
      </c>
      <c r="R988" t="s">
        <v>51</v>
      </c>
      <c r="S988">
        <v>1936</v>
      </c>
      <c r="T988">
        <v>-777</v>
      </c>
      <c r="U988" s="1">
        <v>13155</v>
      </c>
      <c r="V988" s="2">
        <v>13155</v>
      </c>
      <c r="Z988">
        <v>0</v>
      </c>
      <c r="AA988">
        <v>1</v>
      </c>
      <c r="AB988">
        <v>0</v>
      </c>
      <c r="AC988">
        <v>0</v>
      </c>
      <c r="AF988">
        <v>1995</v>
      </c>
      <c r="AG988">
        <v>2000</v>
      </c>
      <c r="AO988" t="b">
        <v>0</v>
      </c>
      <c r="AT988">
        <v>1827</v>
      </c>
      <c r="AU988">
        <f t="shared" si="47"/>
        <v>5.0049999999999999</v>
      </c>
    </row>
    <row r="989" spans="1:47" x14ac:dyDescent="0.3">
      <c r="A989">
        <v>987</v>
      </c>
      <c r="B989" t="s">
        <v>4188</v>
      </c>
      <c r="C989" t="s">
        <v>4189</v>
      </c>
      <c r="D989">
        <v>165</v>
      </c>
      <c r="E989" t="s">
        <v>4021</v>
      </c>
      <c r="F989" t="str">
        <f>VLOOKUP(E989,country_continent!A:C,2,FALSE)</f>
        <v>Uruguay</v>
      </c>
      <c r="G989" t="str">
        <f>VLOOKUP(E989,country_continent!A:C,3,FALSE)</f>
        <v>South America</v>
      </c>
      <c r="H989" t="s">
        <v>4190</v>
      </c>
      <c r="I989" s="1">
        <v>36587</v>
      </c>
      <c r="J989" s="3">
        <f t="shared" si="45"/>
        <v>36587</v>
      </c>
      <c r="K989" s="1">
        <v>38412</v>
      </c>
      <c r="L989" s="3">
        <f t="shared" si="46"/>
        <v>38412</v>
      </c>
      <c r="M989" t="s">
        <v>49</v>
      </c>
      <c r="N989" t="s">
        <v>49</v>
      </c>
      <c r="O989" t="s">
        <v>49</v>
      </c>
      <c r="P989">
        <v>0</v>
      </c>
      <c r="Q989" t="s">
        <v>50</v>
      </c>
      <c r="R989" t="s">
        <v>51</v>
      </c>
      <c r="S989">
        <v>1927</v>
      </c>
      <c r="T989">
        <v>-777</v>
      </c>
      <c r="Z989">
        <v>0</v>
      </c>
      <c r="AA989">
        <v>1</v>
      </c>
      <c r="AB989">
        <v>0</v>
      </c>
      <c r="AC989">
        <v>0</v>
      </c>
      <c r="AF989">
        <v>2000</v>
      </c>
      <c r="AG989">
        <v>2005</v>
      </c>
      <c r="AO989" t="b">
        <v>0</v>
      </c>
      <c r="AT989">
        <v>1825</v>
      </c>
      <c r="AU989">
        <f t="shared" si="47"/>
        <v>5</v>
      </c>
    </row>
    <row r="990" spans="1:47" x14ac:dyDescent="0.3">
      <c r="A990">
        <v>988</v>
      </c>
      <c r="B990" t="s">
        <v>4191</v>
      </c>
      <c r="C990" t="s">
        <v>4192</v>
      </c>
      <c r="D990">
        <v>165</v>
      </c>
      <c r="E990" t="s">
        <v>4021</v>
      </c>
      <c r="F990" t="str">
        <f>VLOOKUP(E990,country_continent!A:C,2,FALSE)</f>
        <v>Uruguay</v>
      </c>
      <c r="G990" t="str">
        <f>VLOOKUP(E990,country_continent!A:C,3,FALSE)</f>
        <v>South America</v>
      </c>
      <c r="H990" t="s">
        <v>4193</v>
      </c>
      <c r="I990" s="1">
        <v>38412</v>
      </c>
      <c r="J990" s="3">
        <f t="shared" si="45"/>
        <v>38412</v>
      </c>
      <c r="K990" s="1">
        <v>40238</v>
      </c>
      <c r="L990" s="3">
        <f t="shared" si="46"/>
        <v>40238</v>
      </c>
      <c r="M990" t="s">
        <v>49</v>
      </c>
      <c r="N990" t="s">
        <v>49</v>
      </c>
      <c r="O990" t="s">
        <v>49</v>
      </c>
      <c r="P990">
        <v>0</v>
      </c>
      <c r="Q990" t="s">
        <v>50</v>
      </c>
      <c r="R990" t="s">
        <v>51</v>
      </c>
      <c r="S990">
        <v>1940</v>
      </c>
      <c r="T990">
        <v>-777</v>
      </c>
      <c r="U990" s="1">
        <v>14627</v>
      </c>
      <c r="V990" s="2">
        <v>14627</v>
      </c>
      <c r="Z990">
        <v>0</v>
      </c>
      <c r="AA990">
        <v>1</v>
      </c>
      <c r="AB990">
        <v>0</v>
      </c>
      <c r="AC990">
        <v>0</v>
      </c>
      <c r="AF990">
        <v>2005</v>
      </c>
      <c r="AG990">
        <v>2010</v>
      </c>
      <c r="AO990" t="b">
        <v>0</v>
      </c>
      <c r="AT990">
        <v>1826</v>
      </c>
      <c r="AU990">
        <f t="shared" si="47"/>
        <v>5.0030000000000001</v>
      </c>
    </row>
    <row r="991" spans="1:47" x14ac:dyDescent="0.3">
      <c r="A991">
        <v>989</v>
      </c>
      <c r="B991" t="s">
        <v>4194</v>
      </c>
      <c r="C991" t="s">
        <v>4195</v>
      </c>
      <c r="D991">
        <v>165</v>
      </c>
      <c r="E991" t="s">
        <v>4021</v>
      </c>
      <c r="F991" t="str">
        <f>VLOOKUP(E991,country_continent!A:C,2,FALSE)</f>
        <v>Uruguay</v>
      </c>
      <c r="G991" t="str">
        <f>VLOOKUP(E991,country_continent!A:C,3,FALSE)</f>
        <v>South America</v>
      </c>
      <c r="H991" t="s">
        <v>4196</v>
      </c>
      <c r="I991" s="1">
        <v>40238</v>
      </c>
      <c r="J991" s="3">
        <f t="shared" si="45"/>
        <v>40238</v>
      </c>
      <c r="K991" s="1">
        <v>42064</v>
      </c>
      <c r="L991" s="3">
        <f t="shared" si="46"/>
        <v>42064</v>
      </c>
      <c r="M991" t="s">
        <v>49</v>
      </c>
      <c r="N991" t="s">
        <v>49</v>
      </c>
      <c r="O991" t="s">
        <v>49</v>
      </c>
      <c r="P991">
        <v>0</v>
      </c>
      <c r="Q991" t="s">
        <v>312</v>
      </c>
      <c r="R991" t="s">
        <v>51</v>
      </c>
      <c r="S991">
        <v>1935</v>
      </c>
      <c r="T991">
        <v>-777</v>
      </c>
      <c r="U991" s="1">
        <v>12924</v>
      </c>
      <c r="V991" s="2">
        <v>12924</v>
      </c>
      <c r="Z991">
        <v>0</v>
      </c>
      <c r="AA991">
        <v>1</v>
      </c>
      <c r="AB991">
        <v>0</v>
      </c>
      <c r="AC991">
        <v>-999</v>
      </c>
      <c r="AF991">
        <v>2010</v>
      </c>
      <c r="AG991">
        <v>2015</v>
      </c>
      <c r="AO991" t="b">
        <v>0</v>
      </c>
      <c r="AT991">
        <v>1826</v>
      </c>
      <c r="AU991">
        <f t="shared" si="47"/>
        <v>5.0030000000000001</v>
      </c>
    </row>
    <row r="992" spans="1:47" x14ac:dyDescent="0.3">
      <c r="A992">
        <v>990</v>
      </c>
      <c r="B992" t="s">
        <v>4197</v>
      </c>
      <c r="C992" t="s">
        <v>4198</v>
      </c>
      <c r="D992">
        <v>165</v>
      </c>
      <c r="E992" t="s">
        <v>4021</v>
      </c>
      <c r="F992" t="str">
        <f>VLOOKUP(E992,country_continent!A:C,2,FALSE)</f>
        <v>Uruguay</v>
      </c>
      <c r="G992" t="str">
        <f>VLOOKUP(E992,country_continent!A:C,3,FALSE)</f>
        <v>South America</v>
      </c>
      <c r="H992" t="s">
        <v>4199</v>
      </c>
      <c r="I992" s="1">
        <v>42064</v>
      </c>
      <c r="J992" s="3">
        <f t="shared" si="45"/>
        <v>42064</v>
      </c>
      <c r="K992" s="1">
        <v>42369</v>
      </c>
      <c r="L992" s="3">
        <f t="shared" si="46"/>
        <v>42369</v>
      </c>
      <c r="M992" t="s">
        <v>49</v>
      </c>
      <c r="N992" t="s">
        <v>173</v>
      </c>
      <c r="O992" t="s">
        <v>173</v>
      </c>
      <c r="P992">
        <v>0</v>
      </c>
      <c r="Q992" t="s">
        <v>174</v>
      </c>
      <c r="R992" t="s">
        <v>51</v>
      </c>
      <c r="S992">
        <v>1940</v>
      </c>
      <c r="T992">
        <v>-777</v>
      </c>
      <c r="U992" s="1">
        <v>14627</v>
      </c>
      <c r="V992" s="2">
        <v>14627</v>
      </c>
      <c r="Z992">
        <v>0</v>
      </c>
      <c r="AA992">
        <v>-888</v>
      </c>
      <c r="AB992">
        <v>-888</v>
      </c>
      <c r="AC992">
        <v>-888</v>
      </c>
      <c r="AF992">
        <v>2015</v>
      </c>
      <c r="AG992">
        <v>2015</v>
      </c>
      <c r="AO992" t="b">
        <v>0</v>
      </c>
      <c r="AT992">
        <v>305</v>
      </c>
      <c r="AU992">
        <f t="shared" si="47"/>
        <v>0.83599999999999997</v>
      </c>
    </row>
    <row r="993" spans="1:47" x14ac:dyDescent="0.3">
      <c r="A993">
        <v>991</v>
      </c>
      <c r="B993" t="s">
        <v>4200</v>
      </c>
      <c r="C993" t="s">
        <v>4201</v>
      </c>
      <c r="D993">
        <v>200</v>
      </c>
      <c r="E993" t="s">
        <v>4202</v>
      </c>
      <c r="F993" t="str">
        <f>VLOOKUP(E993,country_continent!A:C,2,FALSE)</f>
        <v>United Kingdom</v>
      </c>
      <c r="G993" t="str">
        <f>VLOOKUP(E993,country_continent!A:C,3,FALSE)</f>
        <v>Europe</v>
      </c>
      <c r="H993" t="s">
        <v>4203</v>
      </c>
      <c r="I993" t="s">
        <v>4204</v>
      </c>
      <c r="J993" s="3" t="str">
        <f t="shared" si="45"/>
        <v>1874/02/20</v>
      </c>
      <c r="K993" t="s">
        <v>4205</v>
      </c>
      <c r="L993" s="3" t="str">
        <f t="shared" si="46"/>
        <v>1880/04/18</v>
      </c>
      <c r="M993" t="s">
        <v>49</v>
      </c>
      <c r="N993" t="s">
        <v>49</v>
      </c>
      <c r="O993" t="s">
        <v>49</v>
      </c>
      <c r="P993">
        <v>1</v>
      </c>
      <c r="Q993" t="s">
        <v>50</v>
      </c>
      <c r="R993" t="s">
        <v>51</v>
      </c>
      <c r="S993">
        <v>1804</v>
      </c>
      <c r="T993">
        <v>1881</v>
      </c>
      <c r="U993" t="s">
        <v>4206</v>
      </c>
      <c r="V993" t="s">
        <v>4207</v>
      </c>
      <c r="W993" t="s">
        <v>4208</v>
      </c>
      <c r="X993" t="s">
        <v>4209</v>
      </c>
      <c r="Y993" t="s">
        <v>4210</v>
      </c>
      <c r="Z993">
        <v>0</v>
      </c>
      <c r="AA993">
        <v>1</v>
      </c>
      <c r="AB993">
        <v>0</v>
      </c>
      <c r="AC993">
        <v>0</v>
      </c>
      <c r="AF993">
        <v>1874</v>
      </c>
      <c r="AG993">
        <v>1880</v>
      </c>
      <c r="AO993" t="b">
        <v>1</v>
      </c>
      <c r="AP993" t="s">
        <v>345</v>
      </c>
      <c r="AQ993">
        <v>1973</v>
      </c>
      <c r="AR993">
        <v>2016</v>
      </c>
      <c r="AS993" t="s">
        <v>4211</v>
      </c>
      <c r="AT993">
        <v>6.1574264202600899</v>
      </c>
      <c r="AU993">
        <f t="shared" si="47"/>
        <v>1.7000000000000001E-2</v>
      </c>
    </row>
    <row r="994" spans="1:47" x14ac:dyDescent="0.3">
      <c r="A994">
        <v>992</v>
      </c>
      <c r="B994" t="s">
        <v>4212</v>
      </c>
      <c r="C994" t="s">
        <v>4213</v>
      </c>
      <c r="D994">
        <v>200</v>
      </c>
      <c r="E994" t="s">
        <v>4202</v>
      </c>
      <c r="F994" t="str">
        <f>VLOOKUP(E994,country_continent!A:C,2,FALSE)</f>
        <v>United Kingdom</v>
      </c>
      <c r="G994" t="str">
        <f>VLOOKUP(E994,country_continent!A:C,3,FALSE)</f>
        <v>Europe</v>
      </c>
      <c r="H994" t="s">
        <v>4214</v>
      </c>
      <c r="I994" t="s">
        <v>4215</v>
      </c>
      <c r="J994" s="3" t="str">
        <f t="shared" si="45"/>
        <v>1880/04/28</v>
      </c>
      <c r="K994" t="s">
        <v>4216</v>
      </c>
      <c r="L994" s="3" t="str">
        <f t="shared" si="46"/>
        <v>1885/06/09</v>
      </c>
      <c r="M994" t="s">
        <v>49</v>
      </c>
      <c r="N994" t="s">
        <v>49</v>
      </c>
      <c r="O994" t="s">
        <v>49</v>
      </c>
      <c r="P994">
        <v>1</v>
      </c>
      <c r="Q994" t="s">
        <v>50</v>
      </c>
      <c r="R994" t="s">
        <v>51</v>
      </c>
      <c r="S994">
        <v>1809</v>
      </c>
      <c r="T994">
        <v>1898</v>
      </c>
      <c r="U994" t="s">
        <v>4217</v>
      </c>
      <c r="V994" t="s">
        <v>4218</v>
      </c>
      <c r="W994" t="s">
        <v>4219</v>
      </c>
      <c r="X994" t="s">
        <v>4220</v>
      </c>
      <c r="Y994" t="s">
        <v>4221</v>
      </c>
      <c r="Z994">
        <v>0</v>
      </c>
      <c r="AA994">
        <v>1</v>
      </c>
      <c r="AB994">
        <v>0</v>
      </c>
      <c r="AC994">
        <v>0</v>
      </c>
      <c r="AF994">
        <v>1880</v>
      </c>
      <c r="AG994">
        <v>1885</v>
      </c>
      <c r="AO994" t="b">
        <v>1</v>
      </c>
      <c r="AP994" t="s">
        <v>345</v>
      </c>
      <c r="AQ994">
        <v>1973</v>
      </c>
      <c r="AR994">
        <v>2016</v>
      </c>
      <c r="AS994" t="s">
        <v>4222</v>
      </c>
      <c r="AT994">
        <v>5.1143052703627596</v>
      </c>
      <c r="AU994">
        <f t="shared" si="47"/>
        <v>1.4E-2</v>
      </c>
    </row>
    <row r="995" spans="1:47" x14ac:dyDescent="0.3">
      <c r="A995">
        <v>993</v>
      </c>
      <c r="B995" t="s">
        <v>4223</v>
      </c>
      <c r="C995" t="s">
        <v>4224</v>
      </c>
      <c r="D995">
        <v>200</v>
      </c>
      <c r="E995" t="s">
        <v>4202</v>
      </c>
      <c r="F995" t="str">
        <f>VLOOKUP(E995,country_continent!A:C,2,FALSE)</f>
        <v>United Kingdom</v>
      </c>
      <c r="G995" t="str">
        <f>VLOOKUP(E995,country_continent!A:C,3,FALSE)</f>
        <v>Europe</v>
      </c>
      <c r="H995" t="s">
        <v>4225</v>
      </c>
      <c r="I995" t="s">
        <v>4226</v>
      </c>
      <c r="J995" s="3" t="str">
        <f t="shared" si="45"/>
        <v>1885/06/24</v>
      </c>
      <c r="K995" t="s">
        <v>4227</v>
      </c>
      <c r="L995" s="3" t="str">
        <f t="shared" si="46"/>
        <v>1886/01/26</v>
      </c>
      <c r="M995" t="s">
        <v>49</v>
      </c>
      <c r="N995" t="s">
        <v>228</v>
      </c>
      <c r="O995" t="s">
        <v>49</v>
      </c>
      <c r="P995">
        <v>0</v>
      </c>
      <c r="Q995" t="s">
        <v>50</v>
      </c>
      <c r="R995" t="s">
        <v>51</v>
      </c>
      <c r="S995">
        <v>1830</v>
      </c>
      <c r="T995">
        <v>1903</v>
      </c>
      <c r="U995" t="s">
        <v>4228</v>
      </c>
      <c r="V995" t="s">
        <v>4229</v>
      </c>
      <c r="Z995">
        <v>0</v>
      </c>
      <c r="AA995">
        <v>2.0999998999999998</v>
      </c>
      <c r="AB995">
        <v>0</v>
      </c>
      <c r="AC995">
        <v>0</v>
      </c>
      <c r="AF995">
        <v>1885</v>
      </c>
      <c r="AG995">
        <v>1886</v>
      </c>
      <c r="AO995" t="b">
        <v>1</v>
      </c>
      <c r="AP995" t="s">
        <v>345</v>
      </c>
      <c r="AQ995">
        <v>1973</v>
      </c>
      <c r="AR995">
        <v>2016</v>
      </c>
      <c r="AS995" t="s">
        <v>4230</v>
      </c>
      <c r="AT995">
        <v>0.59137577002053299</v>
      </c>
      <c r="AU995">
        <f t="shared" si="47"/>
        <v>2E-3</v>
      </c>
    </row>
    <row r="996" spans="1:47" x14ac:dyDescent="0.3">
      <c r="A996">
        <v>994</v>
      </c>
      <c r="B996" t="s">
        <v>4231</v>
      </c>
      <c r="C996" t="s">
        <v>4213</v>
      </c>
      <c r="D996">
        <v>200</v>
      </c>
      <c r="E996" t="s">
        <v>4202</v>
      </c>
      <c r="F996" t="str">
        <f>VLOOKUP(E996,country_continent!A:C,2,FALSE)</f>
        <v>United Kingdom</v>
      </c>
      <c r="G996" t="str">
        <f>VLOOKUP(E996,country_continent!A:C,3,FALSE)</f>
        <v>Europe</v>
      </c>
      <c r="H996" t="s">
        <v>4214</v>
      </c>
      <c r="I996" t="s">
        <v>4232</v>
      </c>
      <c r="J996" s="3" t="str">
        <f t="shared" si="45"/>
        <v>1886/02/03</v>
      </c>
      <c r="K996" t="s">
        <v>4233</v>
      </c>
      <c r="L996" s="3" t="str">
        <f t="shared" si="46"/>
        <v>1886/07/20</v>
      </c>
      <c r="M996" t="s">
        <v>49</v>
      </c>
      <c r="N996" t="s">
        <v>49</v>
      </c>
      <c r="O996" t="s">
        <v>49</v>
      </c>
      <c r="P996">
        <v>2</v>
      </c>
      <c r="Q996" t="s">
        <v>50</v>
      </c>
      <c r="R996" t="s">
        <v>51</v>
      </c>
      <c r="S996">
        <v>1809</v>
      </c>
      <c r="T996">
        <v>1898</v>
      </c>
      <c r="U996" t="s">
        <v>4217</v>
      </c>
      <c r="V996" t="s">
        <v>4218</v>
      </c>
      <c r="W996" t="s">
        <v>4219</v>
      </c>
      <c r="X996" t="s">
        <v>4220</v>
      </c>
      <c r="Y996" t="s">
        <v>4221</v>
      </c>
      <c r="Z996">
        <v>0</v>
      </c>
      <c r="AA996">
        <v>1</v>
      </c>
      <c r="AB996">
        <v>0</v>
      </c>
      <c r="AC996">
        <v>0</v>
      </c>
      <c r="AF996">
        <v>1886</v>
      </c>
      <c r="AG996">
        <v>1886</v>
      </c>
      <c r="AO996" t="b">
        <v>1</v>
      </c>
      <c r="AP996" t="s">
        <v>345</v>
      </c>
      <c r="AQ996">
        <v>1973</v>
      </c>
      <c r="AR996">
        <v>2016</v>
      </c>
      <c r="AS996" t="s">
        <v>4234</v>
      </c>
      <c r="AT996">
        <v>0.45722108145106</v>
      </c>
      <c r="AU996">
        <f t="shared" si="47"/>
        <v>1E-3</v>
      </c>
    </row>
    <row r="997" spans="1:47" x14ac:dyDescent="0.3">
      <c r="A997">
        <v>995</v>
      </c>
      <c r="B997" t="s">
        <v>4235</v>
      </c>
      <c r="C997" t="s">
        <v>4224</v>
      </c>
      <c r="D997">
        <v>200</v>
      </c>
      <c r="E997" t="s">
        <v>4202</v>
      </c>
      <c r="F997" t="str">
        <f>VLOOKUP(E997,country_continent!A:C,2,FALSE)</f>
        <v>United Kingdom</v>
      </c>
      <c r="G997" t="str">
        <f>VLOOKUP(E997,country_continent!A:C,3,FALSE)</f>
        <v>Europe</v>
      </c>
      <c r="H997" t="s">
        <v>4225</v>
      </c>
      <c r="I997" t="s">
        <v>4236</v>
      </c>
      <c r="J997" s="3" t="str">
        <f t="shared" si="45"/>
        <v>1886/08/03</v>
      </c>
      <c r="K997" t="s">
        <v>4237</v>
      </c>
      <c r="L997" s="3" t="str">
        <f t="shared" si="46"/>
        <v>1892/08/11</v>
      </c>
      <c r="M997" t="s">
        <v>49</v>
      </c>
      <c r="N997" t="s">
        <v>49</v>
      </c>
      <c r="O997" t="s">
        <v>49</v>
      </c>
      <c r="P997">
        <v>1</v>
      </c>
      <c r="Q997" t="s">
        <v>50</v>
      </c>
      <c r="R997" t="s">
        <v>51</v>
      </c>
      <c r="S997">
        <v>1830</v>
      </c>
      <c r="T997">
        <v>1903</v>
      </c>
      <c r="U997" t="s">
        <v>4228</v>
      </c>
      <c r="V997" t="s">
        <v>4229</v>
      </c>
      <c r="Z997">
        <v>0</v>
      </c>
      <c r="AA997">
        <v>1</v>
      </c>
      <c r="AB997">
        <v>0</v>
      </c>
      <c r="AC997">
        <v>0</v>
      </c>
      <c r="AF997">
        <v>1886</v>
      </c>
      <c r="AG997">
        <v>1892</v>
      </c>
      <c r="AO997" t="b">
        <v>1</v>
      </c>
      <c r="AP997" t="s">
        <v>345</v>
      </c>
      <c r="AQ997">
        <v>1973</v>
      </c>
      <c r="AR997">
        <v>2016</v>
      </c>
      <c r="AS997" t="s">
        <v>4238</v>
      </c>
      <c r="AT997">
        <v>6.0232717316906204</v>
      </c>
      <c r="AU997">
        <f t="shared" si="47"/>
        <v>1.7000000000000001E-2</v>
      </c>
    </row>
    <row r="998" spans="1:47" x14ac:dyDescent="0.3">
      <c r="A998">
        <v>996</v>
      </c>
      <c r="B998" t="s">
        <v>4239</v>
      </c>
      <c r="C998" t="s">
        <v>4213</v>
      </c>
      <c r="D998">
        <v>200</v>
      </c>
      <c r="E998" t="s">
        <v>4202</v>
      </c>
      <c r="F998" t="str">
        <f>VLOOKUP(E998,country_continent!A:C,2,FALSE)</f>
        <v>United Kingdom</v>
      </c>
      <c r="G998" t="str">
        <f>VLOOKUP(E998,country_continent!A:C,3,FALSE)</f>
        <v>Europe</v>
      </c>
      <c r="H998" t="s">
        <v>4214</v>
      </c>
      <c r="I998" t="s">
        <v>4240</v>
      </c>
      <c r="J998" s="3" t="str">
        <f t="shared" si="45"/>
        <v>1892/08/16</v>
      </c>
      <c r="K998" t="s">
        <v>4241</v>
      </c>
      <c r="L998" s="3" t="str">
        <f t="shared" si="46"/>
        <v>1894/03/03</v>
      </c>
      <c r="M998" t="s">
        <v>49</v>
      </c>
      <c r="N998" t="s">
        <v>49</v>
      </c>
      <c r="O998" t="s">
        <v>49</v>
      </c>
      <c r="P998">
        <v>3</v>
      </c>
      <c r="Q998" t="s">
        <v>50</v>
      </c>
      <c r="R998" t="s">
        <v>51</v>
      </c>
      <c r="S998">
        <v>1809</v>
      </c>
      <c r="T998">
        <v>1898</v>
      </c>
      <c r="U998" t="s">
        <v>4217</v>
      </c>
      <c r="V998" t="s">
        <v>4218</v>
      </c>
      <c r="W998" t="s">
        <v>4219</v>
      </c>
      <c r="X998" t="s">
        <v>4220</v>
      </c>
      <c r="Y998" t="s">
        <v>4221</v>
      </c>
      <c r="Z998">
        <v>0</v>
      </c>
      <c r="AA998">
        <v>1</v>
      </c>
      <c r="AB998">
        <v>0</v>
      </c>
      <c r="AC998">
        <v>0</v>
      </c>
      <c r="AF998">
        <v>1892</v>
      </c>
      <c r="AG998">
        <v>1894</v>
      </c>
      <c r="AO998" t="b">
        <v>1</v>
      </c>
      <c r="AP998" t="s">
        <v>345</v>
      </c>
      <c r="AQ998">
        <v>1973</v>
      </c>
      <c r="AR998">
        <v>2016</v>
      </c>
      <c r="AS998" t="s">
        <v>4242</v>
      </c>
      <c r="AT998">
        <v>1.5441478439425</v>
      </c>
      <c r="AU998">
        <f t="shared" si="47"/>
        <v>4.0000000000000001E-3</v>
      </c>
    </row>
    <row r="999" spans="1:47" x14ac:dyDescent="0.3">
      <c r="A999">
        <v>997</v>
      </c>
      <c r="B999" t="s">
        <v>4243</v>
      </c>
      <c r="C999" t="s">
        <v>4244</v>
      </c>
      <c r="D999">
        <v>200</v>
      </c>
      <c r="E999" t="s">
        <v>4202</v>
      </c>
      <c r="F999" t="str">
        <f>VLOOKUP(E999,country_continent!A:C,2,FALSE)</f>
        <v>United Kingdom</v>
      </c>
      <c r="G999" t="str">
        <f>VLOOKUP(E999,country_continent!A:C,3,FALSE)</f>
        <v>Europe</v>
      </c>
      <c r="H999" t="s">
        <v>4245</v>
      </c>
      <c r="I999" t="s">
        <v>4246</v>
      </c>
      <c r="J999" s="3" t="str">
        <f t="shared" si="45"/>
        <v>1894/03/06</v>
      </c>
      <c r="K999" t="s">
        <v>4247</v>
      </c>
      <c r="L999" s="3" t="str">
        <f t="shared" si="46"/>
        <v>1895/06/24</v>
      </c>
      <c r="M999" t="s">
        <v>49</v>
      </c>
      <c r="N999" t="s">
        <v>49</v>
      </c>
      <c r="O999" t="s">
        <v>49</v>
      </c>
      <c r="P999">
        <v>0</v>
      </c>
      <c r="Q999" t="s">
        <v>50</v>
      </c>
      <c r="R999" t="s">
        <v>51</v>
      </c>
      <c r="S999">
        <v>1847</v>
      </c>
      <c r="T999">
        <v>1929</v>
      </c>
      <c r="U999" t="s">
        <v>4248</v>
      </c>
      <c r="V999" t="s">
        <v>4249</v>
      </c>
      <c r="Z999">
        <v>0</v>
      </c>
      <c r="AA999">
        <v>1</v>
      </c>
      <c r="AB999">
        <v>0</v>
      </c>
      <c r="AC999">
        <v>0</v>
      </c>
      <c r="AF999">
        <v>1894</v>
      </c>
      <c r="AG999">
        <v>1895</v>
      </c>
      <c r="AO999" t="b">
        <v>1</v>
      </c>
      <c r="AP999" t="s">
        <v>345</v>
      </c>
      <c r="AQ999">
        <v>1973</v>
      </c>
      <c r="AR999">
        <v>2016</v>
      </c>
      <c r="AS999" t="s">
        <v>4250</v>
      </c>
      <c r="AT999">
        <v>1.30047912388774</v>
      </c>
      <c r="AU999">
        <f t="shared" si="47"/>
        <v>4.0000000000000001E-3</v>
      </c>
    </row>
    <row r="1000" spans="1:47" x14ac:dyDescent="0.3">
      <c r="A1000">
        <v>998</v>
      </c>
      <c r="B1000" t="s">
        <v>4251</v>
      </c>
      <c r="C1000" t="s">
        <v>4224</v>
      </c>
      <c r="D1000">
        <v>200</v>
      </c>
      <c r="E1000" t="s">
        <v>4202</v>
      </c>
      <c r="F1000" t="str">
        <f>VLOOKUP(E1000,country_continent!A:C,2,FALSE)</f>
        <v>United Kingdom</v>
      </c>
      <c r="G1000" t="str">
        <f>VLOOKUP(E1000,country_continent!A:C,3,FALSE)</f>
        <v>Europe</v>
      </c>
      <c r="H1000" t="s">
        <v>4225</v>
      </c>
      <c r="I1000" t="s">
        <v>4252</v>
      </c>
      <c r="J1000" s="3" t="str">
        <f t="shared" si="45"/>
        <v>1895/06/28</v>
      </c>
      <c r="K1000" s="1">
        <v>923</v>
      </c>
      <c r="L1000" s="3">
        <f t="shared" si="46"/>
        <v>923</v>
      </c>
      <c r="M1000" t="s">
        <v>49</v>
      </c>
      <c r="N1000" t="s">
        <v>49</v>
      </c>
      <c r="O1000" t="s">
        <v>49</v>
      </c>
      <c r="P1000">
        <v>2</v>
      </c>
      <c r="Q1000" t="s">
        <v>50</v>
      </c>
      <c r="R1000" t="s">
        <v>51</v>
      </c>
      <c r="S1000">
        <v>1830</v>
      </c>
      <c r="T1000">
        <v>1903</v>
      </c>
      <c r="U1000" t="s">
        <v>4228</v>
      </c>
      <c r="V1000" t="s">
        <v>4229</v>
      </c>
      <c r="Z1000">
        <v>0</v>
      </c>
      <c r="AA1000">
        <v>1</v>
      </c>
      <c r="AB1000">
        <v>0</v>
      </c>
      <c r="AC1000">
        <v>0</v>
      </c>
      <c r="AF1000">
        <v>1895</v>
      </c>
      <c r="AG1000">
        <v>1902</v>
      </c>
      <c r="AO1000" t="b">
        <v>1</v>
      </c>
      <c r="AP1000" t="s">
        <v>345</v>
      </c>
      <c r="AQ1000">
        <v>1973</v>
      </c>
      <c r="AR1000">
        <v>2016</v>
      </c>
      <c r="AS1000" t="s">
        <v>4253</v>
      </c>
      <c r="AT1000">
        <v>7.0335386721423596</v>
      </c>
      <c r="AU1000">
        <f t="shared" si="47"/>
        <v>1.9E-2</v>
      </c>
    </row>
    <row r="1001" spans="1:47" x14ac:dyDescent="0.3">
      <c r="A1001">
        <v>999</v>
      </c>
      <c r="B1001" t="s">
        <v>4254</v>
      </c>
      <c r="C1001" t="s">
        <v>4255</v>
      </c>
      <c r="D1001">
        <v>200</v>
      </c>
      <c r="E1001" t="s">
        <v>4202</v>
      </c>
      <c r="F1001" t="str">
        <f>VLOOKUP(E1001,country_continent!A:C,2,FALSE)</f>
        <v>United Kingdom</v>
      </c>
      <c r="G1001" t="str">
        <f>VLOOKUP(E1001,country_continent!A:C,3,FALSE)</f>
        <v>Europe</v>
      </c>
      <c r="H1001" t="s">
        <v>4256</v>
      </c>
      <c r="I1001" s="1">
        <v>924</v>
      </c>
      <c r="J1001" s="3">
        <f t="shared" si="45"/>
        <v>924</v>
      </c>
      <c r="K1001" s="1">
        <v>2165</v>
      </c>
      <c r="L1001" s="3">
        <f t="shared" si="46"/>
        <v>2165</v>
      </c>
      <c r="M1001" t="s">
        <v>49</v>
      </c>
      <c r="N1001" t="s">
        <v>49</v>
      </c>
      <c r="O1001" t="s">
        <v>49</v>
      </c>
      <c r="P1001">
        <v>0</v>
      </c>
      <c r="Q1001" t="s">
        <v>50</v>
      </c>
      <c r="R1001" t="s">
        <v>51</v>
      </c>
      <c r="S1001">
        <v>1848</v>
      </c>
      <c r="T1001">
        <v>1930</v>
      </c>
      <c r="U1001" t="s">
        <v>4257</v>
      </c>
      <c r="V1001" t="s">
        <v>4258</v>
      </c>
      <c r="W1001" s="1">
        <v>11036</v>
      </c>
      <c r="X1001" s="2">
        <v>11036</v>
      </c>
      <c r="Y1001" t="s">
        <v>4259</v>
      </c>
      <c r="Z1001">
        <v>0</v>
      </c>
      <c r="AA1001">
        <v>1</v>
      </c>
      <c r="AB1001">
        <v>0</v>
      </c>
      <c r="AC1001">
        <v>0</v>
      </c>
      <c r="AF1001">
        <v>1902</v>
      </c>
      <c r="AG1001">
        <v>1905</v>
      </c>
      <c r="AO1001" t="b">
        <v>1</v>
      </c>
      <c r="AP1001" t="s">
        <v>345</v>
      </c>
      <c r="AQ1001">
        <v>1973</v>
      </c>
      <c r="AR1001">
        <v>2016</v>
      </c>
      <c r="AS1001" t="s">
        <v>4260</v>
      </c>
      <c r="AT1001">
        <v>3.39767282683093</v>
      </c>
      <c r="AU1001">
        <f t="shared" si="47"/>
        <v>8.9999999999999993E-3</v>
      </c>
    </row>
    <row r="1002" spans="1:47" x14ac:dyDescent="0.3">
      <c r="A1002">
        <v>1000</v>
      </c>
      <c r="B1002" t="s">
        <v>4261</v>
      </c>
      <c r="C1002" t="s">
        <v>4262</v>
      </c>
      <c r="D1002">
        <v>200</v>
      </c>
      <c r="E1002" t="s">
        <v>4202</v>
      </c>
      <c r="F1002" t="str">
        <f>VLOOKUP(E1002,country_continent!A:C,2,FALSE)</f>
        <v>United Kingdom</v>
      </c>
      <c r="G1002" t="str">
        <f>VLOOKUP(E1002,country_continent!A:C,3,FALSE)</f>
        <v>Europe</v>
      </c>
      <c r="H1002" t="s">
        <v>4263</v>
      </c>
      <c r="I1002" s="1">
        <v>2171</v>
      </c>
      <c r="J1002" s="3">
        <f t="shared" si="45"/>
        <v>2171</v>
      </c>
      <c r="K1002" s="1">
        <v>3019</v>
      </c>
      <c r="L1002" s="3">
        <f t="shared" si="46"/>
        <v>3019</v>
      </c>
      <c r="M1002" t="s">
        <v>49</v>
      </c>
      <c r="N1002" t="s">
        <v>228</v>
      </c>
      <c r="O1002" t="s">
        <v>49</v>
      </c>
      <c r="P1002">
        <v>0</v>
      </c>
      <c r="Q1002" t="s">
        <v>111</v>
      </c>
      <c r="R1002" t="s">
        <v>51</v>
      </c>
      <c r="S1002">
        <v>1836</v>
      </c>
      <c r="T1002">
        <v>1908</v>
      </c>
      <c r="U1002" t="s">
        <v>4264</v>
      </c>
      <c r="V1002" t="s">
        <v>4265</v>
      </c>
      <c r="W1002" s="1">
        <v>3035</v>
      </c>
      <c r="X1002" s="2">
        <v>3035</v>
      </c>
      <c r="Y1002" t="s">
        <v>4266</v>
      </c>
      <c r="Z1002">
        <v>0</v>
      </c>
      <c r="AA1002">
        <v>2.0999998999999998</v>
      </c>
      <c r="AB1002">
        <v>0</v>
      </c>
      <c r="AC1002">
        <v>-777</v>
      </c>
      <c r="AF1002">
        <v>1905</v>
      </c>
      <c r="AG1002">
        <v>1908</v>
      </c>
      <c r="AO1002" t="b">
        <v>1</v>
      </c>
      <c r="AP1002" t="s">
        <v>345</v>
      </c>
      <c r="AQ1002">
        <v>1973</v>
      </c>
      <c r="AR1002">
        <v>2016</v>
      </c>
      <c r="AS1002" t="s">
        <v>4267</v>
      </c>
      <c r="AT1002">
        <v>2.3216974674880202</v>
      </c>
      <c r="AU1002">
        <f t="shared" si="47"/>
        <v>6.0000000000000001E-3</v>
      </c>
    </row>
    <row r="1003" spans="1:47" x14ac:dyDescent="0.3">
      <c r="A1003">
        <v>1001</v>
      </c>
      <c r="B1003" t="s">
        <v>4268</v>
      </c>
      <c r="C1003" t="s">
        <v>4269</v>
      </c>
      <c r="D1003">
        <v>200</v>
      </c>
      <c r="E1003" t="s">
        <v>4202</v>
      </c>
      <c r="F1003" t="str">
        <f>VLOOKUP(E1003,country_continent!A:C,2,FALSE)</f>
        <v>United Kingdom</v>
      </c>
      <c r="G1003" t="str">
        <f>VLOOKUP(E1003,country_continent!A:C,3,FALSE)</f>
        <v>Europe</v>
      </c>
      <c r="H1003" t="s">
        <v>4270</v>
      </c>
      <c r="I1003" s="1">
        <v>3019</v>
      </c>
      <c r="J1003" s="3">
        <f t="shared" si="45"/>
        <v>3019</v>
      </c>
      <c r="K1003" s="1">
        <v>6184</v>
      </c>
      <c r="L1003" s="3">
        <f t="shared" si="46"/>
        <v>6184</v>
      </c>
      <c r="M1003" t="s">
        <v>49</v>
      </c>
      <c r="N1003" t="s">
        <v>49</v>
      </c>
      <c r="O1003" t="s">
        <v>49</v>
      </c>
      <c r="P1003">
        <v>0</v>
      </c>
      <c r="Q1003" t="s">
        <v>50</v>
      </c>
      <c r="R1003" t="s">
        <v>51</v>
      </c>
      <c r="S1003">
        <v>1852</v>
      </c>
      <c r="T1003">
        <v>1928</v>
      </c>
      <c r="U1003" t="s">
        <v>4271</v>
      </c>
      <c r="V1003" t="s">
        <v>4272</v>
      </c>
      <c r="W1003" s="1">
        <v>10273</v>
      </c>
      <c r="X1003" s="2">
        <v>10273</v>
      </c>
      <c r="Y1003" t="s">
        <v>4273</v>
      </c>
      <c r="Z1003">
        <v>0</v>
      </c>
      <c r="AA1003">
        <v>1</v>
      </c>
      <c r="AB1003">
        <v>0</v>
      </c>
      <c r="AC1003">
        <v>0</v>
      </c>
      <c r="AF1003">
        <v>1908</v>
      </c>
      <c r="AG1003">
        <v>1916</v>
      </c>
      <c r="AO1003" t="b">
        <v>1</v>
      </c>
      <c r="AP1003" t="s">
        <v>345</v>
      </c>
      <c r="AQ1003">
        <v>1973</v>
      </c>
      <c r="AR1003">
        <v>2016</v>
      </c>
      <c r="AS1003" t="s">
        <v>4274</v>
      </c>
      <c r="AT1003">
        <v>8.6652977412731005</v>
      </c>
      <c r="AU1003">
        <f t="shared" si="47"/>
        <v>2.4E-2</v>
      </c>
    </row>
    <row r="1004" spans="1:47" x14ac:dyDescent="0.3">
      <c r="A1004">
        <v>1002</v>
      </c>
      <c r="B1004" t="s">
        <v>4275</v>
      </c>
      <c r="C1004" t="s">
        <v>4276</v>
      </c>
      <c r="D1004">
        <v>200</v>
      </c>
      <c r="E1004" t="s">
        <v>4202</v>
      </c>
      <c r="F1004" t="str">
        <f>VLOOKUP(E1004,country_continent!A:C,2,FALSE)</f>
        <v>United Kingdom</v>
      </c>
      <c r="G1004" t="str">
        <f>VLOOKUP(E1004,country_continent!A:C,3,FALSE)</f>
        <v>Europe</v>
      </c>
      <c r="H1004" t="s">
        <v>4277</v>
      </c>
      <c r="I1004" s="1">
        <v>6189</v>
      </c>
      <c r="J1004" s="3">
        <f t="shared" si="45"/>
        <v>6189</v>
      </c>
      <c r="K1004" s="1">
        <v>8328</v>
      </c>
      <c r="L1004" s="3">
        <f t="shared" si="46"/>
        <v>8328</v>
      </c>
      <c r="M1004" t="s">
        <v>49</v>
      </c>
      <c r="N1004" t="s">
        <v>49</v>
      </c>
      <c r="O1004" t="s">
        <v>49</v>
      </c>
      <c r="P1004">
        <v>0</v>
      </c>
      <c r="Q1004" t="s">
        <v>50</v>
      </c>
      <c r="R1004" t="s">
        <v>51</v>
      </c>
      <c r="S1004">
        <v>1863</v>
      </c>
      <c r="T1004">
        <v>1945</v>
      </c>
      <c r="U1004" t="s">
        <v>4278</v>
      </c>
      <c r="V1004" t="s">
        <v>4279</v>
      </c>
      <c r="W1004" s="1">
        <v>16522</v>
      </c>
      <c r="X1004" s="2">
        <v>16522</v>
      </c>
      <c r="Y1004" t="s">
        <v>4280</v>
      </c>
      <c r="Z1004">
        <v>0</v>
      </c>
      <c r="AA1004">
        <v>1</v>
      </c>
      <c r="AB1004">
        <v>0</v>
      </c>
      <c r="AC1004">
        <v>0</v>
      </c>
      <c r="AF1004">
        <v>1916</v>
      </c>
      <c r="AG1004">
        <v>1922</v>
      </c>
      <c r="AO1004" t="b">
        <v>1</v>
      </c>
      <c r="AP1004" t="s">
        <v>345</v>
      </c>
      <c r="AQ1004">
        <v>1973</v>
      </c>
      <c r="AR1004">
        <v>2016</v>
      </c>
      <c r="AS1004" t="s">
        <v>4281</v>
      </c>
      <c r="AT1004">
        <v>5.8562628336755598</v>
      </c>
      <c r="AU1004">
        <f t="shared" si="47"/>
        <v>1.6E-2</v>
      </c>
    </row>
    <row r="1005" spans="1:47" x14ac:dyDescent="0.3">
      <c r="A1005">
        <v>1003</v>
      </c>
      <c r="B1005" t="s">
        <v>4282</v>
      </c>
      <c r="C1005" t="s">
        <v>4283</v>
      </c>
      <c r="D1005">
        <v>200</v>
      </c>
      <c r="E1005" t="s">
        <v>4202</v>
      </c>
      <c r="F1005" t="str">
        <f>VLOOKUP(E1005,country_continent!A:C,2,FALSE)</f>
        <v>United Kingdom</v>
      </c>
      <c r="G1005" t="str">
        <f>VLOOKUP(E1005,country_continent!A:C,3,FALSE)</f>
        <v>Europe</v>
      </c>
      <c r="H1005" t="s">
        <v>4284</v>
      </c>
      <c r="I1005" s="1">
        <v>8333</v>
      </c>
      <c r="J1005" s="3">
        <f t="shared" si="45"/>
        <v>8333</v>
      </c>
      <c r="K1005" s="1">
        <v>8541</v>
      </c>
      <c r="L1005" s="3">
        <f t="shared" si="46"/>
        <v>8541</v>
      </c>
      <c r="M1005" t="s">
        <v>49</v>
      </c>
      <c r="N1005" t="s">
        <v>228</v>
      </c>
      <c r="O1005" t="s">
        <v>49</v>
      </c>
      <c r="P1005">
        <v>0</v>
      </c>
      <c r="Q1005" t="s">
        <v>50</v>
      </c>
      <c r="R1005" t="s">
        <v>51</v>
      </c>
      <c r="S1005">
        <v>1858</v>
      </c>
      <c r="T1005">
        <v>1923</v>
      </c>
      <c r="U1005" t="s">
        <v>4285</v>
      </c>
      <c r="V1005" t="s">
        <v>4286</v>
      </c>
      <c r="W1005" s="1">
        <v>8704</v>
      </c>
      <c r="X1005" s="2">
        <v>8704</v>
      </c>
      <c r="Z1005">
        <v>0</v>
      </c>
      <c r="AA1005">
        <v>2.0999998999999998</v>
      </c>
      <c r="AB1005">
        <v>0</v>
      </c>
      <c r="AC1005">
        <v>0</v>
      </c>
      <c r="AF1005">
        <v>1922</v>
      </c>
      <c r="AG1005">
        <v>1923</v>
      </c>
      <c r="AO1005" t="b">
        <v>1</v>
      </c>
      <c r="AP1005" t="s">
        <v>345</v>
      </c>
      <c r="AQ1005">
        <v>1973</v>
      </c>
      <c r="AR1005">
        <v>2016</v>
      </c>
      <c r="AS1005" t="s">
        <v>4287</v>
      </c>
      <c r="AT1005">
        <v>0.569472963723477</v>
      </c>
      <c r="AU1005">
        <f t="shared" si="47"/>
        <v>2E-3</v>
      </c>
    </row>
    <row r="1006" spans="1:47" x14ac:dyDescent="0.3">
      <c r="A1006">
        <v>1004</v>
      </c>
      <c r="B1006" t="s">
        <v>4288</v>
      </c>
      <c r="C1006" t="s">
        <v>4289</v>
      </c>
      <c r="D1006">
        <v>200</v>
      </c>
      <c r="E1006" t="s">
        <v>4202</v>
      </c>
      <c r="F1006" t="str">
        <f>VLOOKUP(E1006,country_continent!A:C,2,FALSE)</f>
        <v>United Kingdom</v>
      </c>
      <c r="G1006" t="str">
        <f>VLOOKUP(E1006,country_continent!A:C,3,FALSE)</f>
        <v>Europe</v>
      </c>
      <c r="H1006" t="s">
        <v>4290</v>
      </c>
      <c r="I1006" s="1">
        <v>8548</v>
      </c>
      <c r="J1006" s="3">
        <f t="shared" si="45"/>
        <v>8548</v>
      </c>
      <c r="K1006" s="1">
        <v>8788</v>
      </c>
      <c r="L1006" s="3">
        <f t="shared" si="46"/>
        <v>8788</v>
      </c>
      <c r="M1006" t="s">
        <v>49</v>
      </c>
      <c r="N1006" t="s">
        <v>49</v>
      </c>
      <c r="O1006" t="s">
        <v>49</v>
      </c>
      <c r="P1006">
        <v>0</v>
      </c>
      <c r="Q1006" t="s">
        <v>50</v>
      </c>
      <c r="R1006" t="s">
        <v>51</v>
      </c>
      <c r="S1006">
        <v>1867</v>
      </c>
      <c r="T1006">
        <v>1947</v>
      </c>
      <c r="U1006" t="s">
        <v>4291</v>
      </c>
      <c r="V1006" t="s">
        <v>4292</v>
      </c>
      <c r="Y1006" t="s">
        <v>4293</v>
      </c>
      <c r="Z1006">
        <v>0</v>
      </c>
      <c r="AA1006">
        <v>1</v>
      </c>
      <c r="AB1006">
        <v>0</v>
      </c>
      <c r="AC1006">
        <v>0</v>
      </c>
      <c r="AF1006">
        <v>1923</v>
      </c>
      <c r="AG1006">
        <v>1924</v>
      </c>
      <c r="AO1006" t="b">
        <v>1</v>
      </c>
      <c r="AP1006" t="s">
        <v>345</v>
      </c>
      <c r="AQ1006">
        <v>1973</v>
      </c>
      <c r="AR1006">
        <v>2016</v>
      </c>
      <c r="AS1006" t="s">
        <v>4294</v>
      </c>
      <c r="AT1006">
        <v>0.65708418891170395</v>
      </c>
      <c r="AU1006">
        <f t="shared" si="47"/>
        <v>2E-3</v>
      </c>
    </row>
    <row r="1007" spans="1:47" x14ac:dyDescent="0.3">
      <c r="A1007">
        <v>1005</v>
      </c>
      <c r="B1007" t="s">
        <v>4295</v>
      </c>
      <c r="C1007" t="s">
        <v>4296</v>
      </c>
      <c r="D1007">
        <v>200</v>
      </c>
      <c r="E1007" t="s">
        <v>4202</v>
      </c>
      <c r="F1007" t="str">
        <f>VLOOKUP(E1007,country_continent!A:C,2,FALSE)</f>
        <v>United Kingdom</v>
      </c>
      <c r="G1007" t="str">
        <f>VLOOKUP(E1007,country_continent!A:C,3,FALSE)</f>
        <v>Europe</v>
      </c>
      <c r="H1007" t="s">
        <v>4297</v>
      </c>
      <c r="I1007" s="1">
        <v>8789</v>
      </c>
      <c r="J1007" s="3">
        <f t="shared" si="45"/>
        <v>8789</v>
      </c>
      <c r="K1007" s="1">
        <v>9075</v>
      </c>
      <c r="L1007" s="3">
        <f t="shared" si="46"/>
        <v>9075</v>
      </c>
      <c r="M1007" t="s">
        <v>49</v>
      </c>
      <c r="N1007" t="s">
        <v>49</v>
      </c>
      <c r="O1007" t="s">
        <v>49</v>
      </c>
      <c r="P1007">
        <v>0</v>
      </c>
      <c r="Q1007" t="s">
        <v>50</v>
      </c>
      <c r="R1007" t="s">
        <v>51</v>
      </c>
      <c r="S1007">
        <v>1866</v>
      </c>
      <c r="T1007">
        <v>1937</v>
      </c>
      <c r="U1007" t="s">
        <v>4298</v>
      </c>
      <c r="V1007" t="s">
        <v>4299</v>
      </c>
      <c r="W1007" s="1">
        <v>13828</v>
      </c>
      <c r="X1007" s="2">
        <v>13828</v>
      </c>
      <c r="Y1007" t="s">
        <v>4300</v>
      </c>
      <c r="Z1007">
        <v>0</v>
      </c>
      <c r="AA1007">
        <v>1</v>
      </c>
      <c r="AB1007">
        <v>0</v>
      </c>
      <c r="AC1007">
        <v>0</v>
      </c>
      <c r="AF1007">
        <v>1924</v>
      </c>
      <c r="AG1007">
        <v>1924</v>
      </c>
      <c r="AO1007" t="b">
        <v>1</v>
      </c>
      <c r="AP1007" t="s">
        <v>345</v>
      </c>
      <c r="AQ1007">
        <v>1973</v>
      </c>
      <c r="AR1007">
        <v>2016</v>
      </c>
      <c r="AS1007" t="s">
        <v>4301</v>
      </c>
      <c r="AT1007">
        <v>0.78302532511978096</v>
      </c>
      <c r="AU1007">
        <f t="shared" si="47"/>
        <v>2E-3</v>
      </c>
    </row>
    <row r="1008" spans="1:47" x14ac:dyDescent="0.3">
      <c r="A1008">
        <v>1006</v>
      </c>
      <c r="B1008" t="s">
        <v>4302</v>
      </c>
      <c r="C1008" t="s">
        <v>4289</v>
      </c>
      <c r="D1008">
        <v>200</v>
      </c>
      <c r="E1008" t="s">
        <v>4202</v>
      </c>
      <c r="F1008" t="str">
        <f>VLOOKUP(E1008,country_continent!A:C,2,FALSE)</f>
        <v>United Kingdom</v>
      </c>
      <c r="G1008" t="str">
        <f>VLOOKUP(E1008,country_continent!A:C,3,FALSE)</f>
        <v>Europe</v>
      </c>
      <c r="H1008" t="s">
        <v>4290</v>
      </c>
      <c r="I1008" s="1">
        <v>9077</v>
      </c>
      <c r="J1008" s="3">
        <f t="shared" si="45"/>
        <v>9077</v>
      </c>
      <c r="K1008" s="1">
        <v>10748</v>
      </c>
      <c r="L1008" s="3">
        <f t="shared" si="46"/>
        <v>10748</v>
      </c>
      <c r="M1008" t="s">
        <v>49</v>
      </c>
      <c r="N1008" t="s">
        <v>49</v>
      </c>
      <c r="O1008" t="s">
        <v>49</v>
      </c>
      <c r="P1008">
        <v>1</v>
      </c>
      <c r="Q1008" t="s">
        <v>50</v>
      </c>
      <c r="R1008" t="s">
        <v>51</v>
      </c>
      <c r="S1008">
        <v>1867</v>
      </c>
      <c r="T1008">
        <v>1947</v>
      </c>
      <c r="U1008" t="s">
        <v>4291</v>
      </c>
      <c r="V1008" t="s">
        <v>4292</v>
      </c>
      <c r="Y1008" t="s">
        <v>4293</v>
      </c>
      <c r="Z1008">
        <v>0</v>
      </c>
      <c r="AA1008">
        <v>1</v>
      </c>
      <c r="AB1008">
        <v>0</v>
      </c>
      <c r="AC1008">
        <v>0</v>
      </c>
      <c r="AF1008">
        <v>1924</v>
      </c>
      <c r="AG1008">
        <v>1929</v>
      </c>
      <c r="AO1008" t="b">
        <v>1</v>
      </c>
      <c r="AP1008" t="s">
        <v>345</v>
      </c>
      <c r="AQ1008">
        <v>1973</v>
      </c>
      <c r="AR1008">
        <v>2016</v>
      </c>
      <c r="AS1008" t="s">
        <v>4303</v>
      </c>
      <c r="AT1008">
        <v>4.5749486652977396</v>
      </c>
      <c r="AU1008">
        <f t="shared" si="47"/>
        <v>1.2999999999999999E-2</v>
      </c>
    </row>
    <row r="1009" spans="1:47" x14ac:dyDescent="0.3">
      <c r="A1009">
        <v>1007</v>
      </c>
      <c r="B1009" t="s">
        <v>4304</v>
      </c>
      <c r="C1009" t="s">
        <v>4296</v>
      </c>
      <c r="D1009">
        <v>200</v>
      </c>
      <c r="E1009" t="s">
        <v>4202</v>
      </c>
      <c r="F1009" t="str">
        <f>VLOOKUP(E1009,country_continent!A:C,2,FALSE)</f>
        <v>United Kingdom</v>
      </c>
      <c r="G1009" t="str">
        <f>VLOOKUP(E1009,country_continent!A:C,3,FALSE)</f>
        <v>Europe</v>
      </c>
      <c r="H1009" t="s">
        <v>4297</v>
      </c>
      <c r="I1009" s="1">
        <v>10752</v>
      </c>
      <c r="J1009" s="3">
        <f t="shared" si="45"/>
        <v>10752</v>
      </c>
      <c r="K1009" s="1">
        <v>12942</v>
      </c>
      <c r="L1009" s="3">
        <f t="shared" si="46"/>
        <v>12942</v>
      </c>
      <c r="M1009" t="s">
        <v>49</v>
      </c>
      <c r="N1009" t="s">
        <v>49</v>
      </c>
      <c r="O1009" t="s">
        <v>49</v>
      </c>
      <c r="P1009">
        <v>1</v>
      </c>
      <c r="Q1009" t="s">
        <v>50</v>
      </c>
      <c r="R1009" t="s">
        <v>51</v>
      </c>
      <c r="S1009">
        <v>1867</v>
      </c>
      <c r="T1009">
        <v>1937</v>
      </c>
      <c r="U1009" t="s">
        <v>4305</v>
      </c>
      <c r="V1009" t="s">
        <v>4306</v>
      </c>
      <c r="W1009" s="1">
        <v>13828</v>
      </c>
      <c r="X1009" s="2">
        <v>13828</v>
      </c>
      <c r="Y1009" t="s">
        <v>4300</v>
      </c>
      <c r="Z1009">
        <v>0</v>
      </c>
      <c r="AA1009">
        <v>1</v>
      </c>
      <c r="AB1009">
        <v>0</v>
      </c>
      <c r="AC1009">
        <v>0</v>
      </c>
      <c r="AF1009">
        <v>1929</v>
      </c>
      <c r="AG1009">
        <v>1935</v>
      </c>
      <c r="AO1009" t="b">
        <v>1</v>
      </c>
      <c r="AP1009" t="s">
        <v>345</v>
      </c>
      <c r="AQ1009">
        <v>1973</v>
      </c>
      <c r="AR1009">
        <v>2016</v>
      </c>
      <c r="AS1009" t="s">
        <v>4307</v>
      </c>
      <c r="AT1009">
        <v>5.9958932238192997</v>
      </c>
      <c r="AU1009">
        <f t="shared" si="47"/>
        <v>1.6E-2</v>
      </c>
    </row>
    <row r="1010" spans="1:47" x14ac:dyDescent="0.3">
      <c r="A1010">
        <v>1008</v>
      </c>
      <c r="B1010" t="s">
        <v>4308</v>
      </c>
      <c r="C1010" t="s">
        <v>4289</v>
      </c>
      <c r="D1010">
        <v>200</v>
      </c>
      <c r="E1010" t="s">
        <v>4202</v>
      </c>
      <c r="F1010" t="str">
        <f>VLOOKUP(E1010,country_continent!A:C,2,FALSE)</f>
        <v>United Kingdom</v>
      </c>
      <c r="G1010" t="str">
        <f>VLOOKUP(E1010,country_continent!A:C,3,FALSE)</f>
        <v>Europe</v>
      </c>
      <c r="H1010" t="s">
        <v>4290</v>
      </c>
      <c r="I1010" s="1">
        <v>12942</v>
      </c>
      <c r="J1010" s="3">
        <f t="shared" si="45"/>
        <v>12942</v>
      </c>
      <c r="K1010" s="1">
        <v>13663</v>
      </c>
      <c r="L1010" s="3">
        <f t="shared" si="46"/>
        <v>13663</v>
      </c>
      <c r="M1010" t="s">
        <v>49</v>
      </c>
      <c r="N1010" t="s">
        <v>49</v>
      </c>
      <c r="O1010" t="s">
        <v>49</v>
      </c>
      <c r="P1010">
        <v>2</v>
      </c>
      <c r="Q1010" t="s">
        <v>50</v>
      </c>
      <c r="R1010" t="s">
        <v>51</v>
      </c>
      <c r="S1010">
        <v>1867</v>
      </c>
      <c r="T1010">
        <v>1947</v>
      </c>
      <c r="U1010" t="s">
        <v>4291</v>
      </c>
      <c r="V1010" t="s">
        <v>4292</v>
      </c>
      <c r="Y1010" t="s">
        <v>4293</v>
      </c>
      <c r="Z1010">
        <v>0</v>
      </c>
      <c r="AA1010">
        <v>1</v>
      </c>
      <c r="AB1010">
        <v>0</v>
      </c>
      <c r="AC1010">
        <v>0</v>
      </c>
      <c r="AF1010">
        <v>1935</v>
      </c>
      <c r="AG1010">
        <v>1937</v>
      </c>
      <c r="AO1010" t="b">
        <v>1</v>
      </c>
      <c r="AP1010" t="s">
        <v>345</v>
      </c>
      <c r="AQ1010">
        <v>1973</v>
      </c>
      <c r="AR1010">
        <v>2016</v>
      </c>
      <c r="AS1010" t="s">
        <v>4309</v>
      </c>
      <c r="AT1010">
        <v>1.97399041752224</v>
      </c>
      <c r="AU1010">
        <f t="shared" si="47"/>
        <v>5.0000000000000001E-3</v>
      </c>
    </row>
    <row r="1011" spans="1:47" x14ac:dyDescent="0.3">
      <c r="A1011">
        <v>1009</v>
      </c>
      <c r="B1011" t="s">
        <v>4310</v>
      </c>
      <c r="C1011" t="s">
        <v>4311</v>
      </c>
      <c r="D1011">
        <v>200</v>
      </c>
      <c r="E1011" t="s">
        <v>4202</v>
      </c>
      <c r="F1011" t="str">
        <f>VLOOKUP(E1011,country_continent!A:C,2,FALSE)</f>
        <v>United Kingdom</v>
      </c>
      <c r="G1011" t="str">
        <f>VLOOKUP(E1011,country_continent!A:C,3,FALSE)</f>
        <v>Europe</v>
      </c>
      <c r="H1011" t="s">
        <v>4312</v>
      </c>
      <c r="I1011" s="1">
        <v>13663</v>
      </c>
      <c r="J1011" s="3">
        <f t="shared" si="45"/>
        <v>13663</v>
      </c>
      <c r="K1011" s="1">
        <v>14741</v>
      </c>
      <c r="L1011" s="3">
        <f t="shared" si="46"/>
        <v>14741</v>
      </c>
      <c r="M1011" t="s">
        <v>49</v>
      </c>
      <c r="N1011" t="s">
        <v>49</v>
      </c>
      <c r="O1011" t="s">
        <v>49</v>
      </c>
      <c r="P1011">
        <v>0</v>
      </c>
      <c r="Q1011" t="s">
        <v>50</v>
      </c>
      <c r="R1011" t="s">
        <v>51</v>
      </c>
      <c r="S1011">
        <v>1869</v>
      </c>
      <c r="T1011">
        <v>1940</v>
      </c>
      <c r="U1011" t="s">
        <v>4313</v>
      </c>
      <c r="V1011" t="s">
        <v>4314</v>
      </c>
      <c r="W1011" s="1">
        <v>14924</v>
      </c>
      <c r="X1011" s="2">
        <v>14924</v>
      </c>
      <c r="Y1011" t="s">
        <v>4315</v>
      </c>
      <c r="Z1011">
        <v>0</v>
      </c>
      <c r="AA1011">
        <v>1</v>
      </c>
      <c r="AB1011">
        <v>0</v>
      </c>
      <c r="AC1011">
        <v>0</v>
      </c>
      <c r="AF1011">
        <v>1937</v>
      </c>
      <c r="AG1011">
        <v>1940</v>
      </c>
      <c r="AO1011" t="b">
        <v>1</v>
      </c>
      <c r="AP1011" t="s">
        <v>345</v>
      </c>
      <c r="AQ1011">
        <v>1973</v>
      </c>
      <c r="AR1011">
        <v>2016</v>
      </c>
      <c r="AS1011" t="s">
        <v>4316</v>
      </c>
      <c r="AT1011">
        <v>2.9514031485283998</v>
      </c>
      <c r="AU1011">
        <f t="shared" si="47"/>
        <v>8.0000000000000002E-3</v>
      </c>
    </row>
    <row r="1012" spans="1:47" x14ac:dyDescent="0.3">
      <c r="A1012">
        <v>1010</v>
      </c>
      <c r="B1012" t="s">
        <v>4317</v>
      </c>
      <c r="C1012" t="s">
        <v>4318</v>
      </c>
      <c r="D1012">
        <v>200</v>
      </c>
      <c r="E1012" t="s">
        <v>4202</v>
      </c>
      <c r="F1012" t="str">
        <f>VLOOKUP(E1012,country_continent!A:C,2,FALSE)</f>
        <v>United Kingdom</v>
      </c>
      <c r="G1012" t="str">
        <f>VLOOKUP(E1012,country_continent!A:C,3,FALSE)</f>
        <v>Europe</v>
      </c>
      <c r="H1012" t="s">
        <v>4319</v>
      </c>
      <c r="I1012" s="1">
        <v>14741</v>
      </c>
      <c r="J1012" s="3">
        <f t="shared" si="45"/>
        <v>14741</v>
      </c>
      <c r="K1012" s="1">
        <v>16645</v>
      </c>
      <c r="L1012" s="3">
        <f t="shared" si="46"/>
        <v>16645</v>
      </c>
      <c r="M1012" t="s">
        <v>49</v>
      </c>
      <c r="N1012" t="s">
        <v>49</v>
      </c>
      <c r="O1012" t="s">
        <v>49</v>
      </c>
      <c r="P1012">
        <v>0</v>
      </c>
      <c r="Q1012" t="s">
        <v>50</v>
      </c>
      <c r="R1012" t="s">
        <v>51</v>
      </c>
      <c r="S1012">
        <v>1874</v>
      </c>
      <c r="T1012">
        <v>1965</v>
      </c>
      <c r="U1012" t="s">
        <v>4320</v>
      </c>
      <c r="V1012" t="s">
        <v>4321</v>
      </c>
      <c r="W1012" s="1">
        <v>23766</v>
      </c>
      <c r="X1012" s="2">
        <v>23766</v>
      </c>
      <c r="Y1012" t="s">
        <v>4322</v>
      </c>
      <c r="Z1012">
        <v>0</v>
      </c>
      <c r="AA1012">
        <v>1</v>
      </c>
      <c r="AB1012">
        <v>0</v>
      </c>
      <c r="AC1012">
        <v>0</v>
      </c>
      <c r="AF1012">
        <v>1940</v>
      </c>
      <c r="AG1012">
        <v>1945</v>
      </c>
      <c r="AO1012" t="b">
        <v>1</v>
      </c>
      <c r="AP1012" t="s">
        <v>345</v>
      </c>
      <c r="AQ1012">
        <v>1973</v>
      </c>
      <c r="AR1012">
        <v>2016</v>
      </c>
      <c r="AS1012" t="s">
        <v>4323</v>
      </c>
      <c r="AT1012">
        <v>5.2128678986995203</v>
      </c>
      <c r="AU1012">
        <f t="shared" si="47"/>
        <v>1.4E-2</v>
      </c>
    </row>
    <row r="1013" spans="1:47" x14ac:dyDescent="0.3">
      <c r="A1013">
        <v>1011</v>
      </c>
      <c r="B1013" t="s">
        <v>4324</v>
      </c>
      <c r="C1013" t="s">
        <v>4325</v>
      </c>
      <c r="D1013">
        <v>200</v>
      </c>
      <c r="E1013" t="s">
        <v>4202</v>
      </c>
      <c r="F1013" t="str">
        <f>VLOOKUP(E1013,country_continent!A:C,2,FALSE)</f>
        <v>United Kingdom</v>
      </c>
      <c r="G1013" t="str">
        <f>VLOOKUP(E1013,country_continent!A:C,3,FALSE)</f>
        <v>Europe</v>
      </c>
      <c r="H1013" t="s">
        <v>4326</v>
      </c>
      <c r="I1013" s="1">
        <v>16645</v>
      </c>
      <c r="J1013" s="3">
        <f t="shared" si="45"/>
        <v>16645</v>
      </c>
      <c r="K1013" s="1">
        <v>18927</v>
      </c>
      <c r="L1013" s="3">
        <f t="shared" si="46"/>
        <v>18927</v>
      </c>
      <c r="M1013" t="s">
        <v>49</v>
      </c>
      <c r="N1013" t="s">
        <v>49</v>
      </c>
      <c r="O1013" t="s">
        <v>49</v>
      </c>
      <c r="P1013">
        <v>0</v>
      </c>
      <c r="Q1013" t="s">
        <v>50</v>
      </c>
      <c r="R1013" t="s">
        <v>51</v>
      </c>
      <c r="S1013">
        <v>1883</v>
      </c>
      <c r="T1013">
        <v>1967</v>
      </c>
      <c r="U1013" t="s">
        <v>4327</v>
      </c>
      <c r="V1013" t="s">
        <v>4328</v>
      </c>
      <c r="W1013" s="1">
        <v>24753</v>
      </c>
      <c r="X1013" s="2">
        <v>24753</v>
      </c>
      <c r="Y1013" t="s">
        <v>4329</v>
      </c>
      <c r="Z1013">
        <v>0</v>
      </c>
      <c r="AA1013">
        <v>1</v>
      </c>
      <c r="AB1013">
        <v>0</v>
      </c>
      <c r="AC1013">
        <v>0</v>
      </c>
      <c r="AF1013">
        <v>1945</v>
      </c>
      <c r="AG1013">
        <v>1951</v>
      </c>
      <c r="AN1013">
        <v>10</v>
      </c>
      <c r="AO1013" t="b">
        <v>1</v>
      </c>
      <c r="AP1013" t="s">
        <v>345</v>
      </c>
      <c r="AQ1013">
        <v>1973</v>
      </c>
      <c r="AR1013">
        <v>2016</v>
      </c>
      <c r="AS1013" t="s">
        <v>4330</v>
      </c>
      <c r="AT1013">
        <v>6.2477754962354499</v>
      </c>
      <c r="AU1013">
        <f t="shared" si="47"/>
        <v>1.7000000000000001E-2</v>
      </c>
    </row>
    <row r="1014" spans="1:47" x14ac:dyDescent="0.3">
      <c r="A1014">
        <v>1012</v>
      </c>
      <c r="B1014" t="s">
        <v>4331</v>
      </c>
      <c r="C1014" t="s">
        <v>4318</v>
      </c>
      <c r="D1014">
        <v>200</v>
      </c>
      <c r="E1014" t="s">
        <v>4202</v>
      </c>
      <c r="F1014" t="str">
        <f>VLOOKUP(E1014,country_continent!A:C,2,FALSE)</f>
        <v>United Kingdom</v>
      </c>
      <c r="G1014" t="str">
        <f>VLOOKUP(E1014,country_continent!A:C,3,FALSE)</f>
        <v>Europe</v>
      </c>
      <c r="H1014" t="s">
        <v>4319</v>
      </c>
      <c r="I1014" s="1">
        <v>18927</v>
      </c>
      <c r="J1014" s="3">
        <f t="shared" si="45"/>
        <v>18927</v>
      </c>
      <c r="K1014" s="1">
        <v>20184</v>
      </c>
      <c r="L1014" s="3">
        <f t="shared" si="46"/>
        <v>20184</v>
      </c>
      <c r="M1014" t="s">
        <v>49</v>
      </c>
      <c r="N1014" t="s">
        <v>49</v>
      </c>
      <c r="O1014" t="s">
        <v>49</v>
      </c>
      <c r="P1014">
        <v>1</v>
      </c>
      <c r="Q1014" t="s">
        <v>50</v>
      </c>
      <c r="R1014" t="s">
        <v>51</v>
      </c>
      <c r="S1014">
        <v>1874</v>
      </c>
      <c r="T1014">
        <v>1965</v>
      </c>
      <c r="U1014" t="s">
        <v>4320</v>
      </c>
      <c r="V1014" t="s">
        <v>4321</v>
      </c>
      <c r="W1014" s="1">
        <v>23766</v>
      </c>
      <c r="X1014" s="2">
        <v>23766</v>
      </c>
      <c r="Y1014" t="s">
        <v>4322</v>
      </c>
      <c r="Z1014">
        <v>0</v>
      </c>
      <c r="AA1014">
        <v>1</v>
      </c>
      <c r="AB1014">
        <v>0</v>
      </c>
      <c r="AC1014">
        <v>0</v>
      </c>
      <c r="AF1014">
        <v>1951</v>
      </c>
      <c r="AG1014">
        <v>1955</v>
      </c>
      <c r="AN1014">
        <v>10</v>
      </c>
      <c r="AO1014" t="b">
        <v>1</v>
      </c>
      <c r="AP1014" t="s">
        <v>345</v>
      </c>
      <c r="AQ1014">
        <v>1973</v>
      </c>
      <c r="AR1014">
        <v>2016</v>
      </c>
      <c r="AS1014" t="s">
        <v>4332</v>
      </c>
      <c r="AT1014">
        <v>3.4414784394250502</v>
      </c>
      <c r="AU1014">
        <f t="shared" si="47"/>
        <v>8.9999999999999993E-3</v>
      </c>
    </row>
    <row r="1015" spans="1:47" x14ac:dyDescent="0.3">
      <c r="A1015">
        <v>1013</v>
      </c>
      <c r="B1015" t="s">
        <v>4333</v>
      </c>
      <c r="C1015" t="s">
        <v>4334</v>
      </c>
      <c r="D1015">
        <v>200</v>
      </c>
      <c r="E1015" t="s">
        <v>4202</v>
      </c>
      <c r="F1015" t="str">
        <f>VLOOKUP(E1015,country_continent!A:C,2,FALSE)</f>
        <v>United Kingdom</v>
      </c>
      <c r="G1015" t="str">
        <f>VLOOKUP(E1015,country_continent!A:C,3,FALSE)</f>
        <v>Europe</v>
      </c>
      <c r="H1015" t="s">
        <v>4335</v>
      </c>
      <c r="I1015" s="1">
        <v>20185</v>
      </c>
      <c r="J1015" s="3">
        <f t="shared" si="45"/>
        <v>20185</v>
      </c>
      <c r="K1015" s="1">
        <v>20829</v>
      </c>
      <c r="L1015" s="3">
        <f t="shared" si="46"/>
        <v>20829</v>
      </c>
      <c r="M1015" t="s">
        <v>49</v>
      </c>
      <c r="N1015" t="s">
        <v>228</v>
      </c>
      <c r="O1015" t="s">
        <v>49</v>
      </c>
      <c r="P1015">
        <v>0</v>
      </c>
      <c r="Q1015" t="s">
        <v>50</v>
      </c>
      <c r="R1015" t="s">
        <v>51</v>
      </c>
      <c r="S1015">
        <v>1897</v>
      </c>
      <c r="T1015">
        <v>1977</v>
      </c>
      <c r="U1015" t="s">
        <v>4336</v>
      </c>
      <c r="V1015" t="s">
        <v>4337</v>
      </c>
      <c r="W1015" s="1">
        <v>28139</v>
      </c>
      <c r="X1015" s="2">
        <v>28139</v>
      </c>
      <c r="Y1015" t="s">
        <v>4338</v>
      </c>
      <c r="Z1015">
        <v>0</v>
      </c>
      <c r="AA1015">
        <v>2.0999998999999998</v>
      </c>
      <c r="AB1015">
        <v>0</v>
      </c>
      <c r="AC1015">
        <v>0</v>
      </c>
      <c r="AF1015">
        <v>1955</v>
      </c>
      <c r="AG1015">
        <v>1957</v>
      </c>
      <c r="AN1015">
        <v>10</v>
      </c>
      <c r="AO1015" t="b">
        <v>1</v>
      </c>
      <c r="AP1015" t="s">
        <v>345</v>
      </c>
      <c r="AQ1015">
        <v>1973</v>
      </c>
      <c r="AR1015">
        <v>2016</v>
      </c>
      <c r="AS1015" t="s">
        <v>4339</v>
      </c>
      <c r="AT1015">
        <v>1.7631759069130699</v>
      </c>
      <c r="AU1015">
        <f t="shared" si="47"/>
        <v>5.0000000000000001E-3</v>
      </c>
    </row>
    <row r="1016" spans="1:47" x14ac:dyDescent="0.3">
      <c r="A1016">
        <v>1014</v>
      </c>
      <c r="B1016" t="s">
        <v>4340</v>
      </c>
      <c r="C1016" t="s">
        <v>4341</v>
      </c>
      <c r="D1016">
        <v>200</v>
      </c>
      <c r="E1016" t="s">
        <v>4202</v>
      </c>
      <c r="F1016" t="str">
        <f>VLOOKUP(E1016,country_continent!A:C,2,FALSE)</f>
        <v>United Kingdom</v>
      </c>
      <c r="G1016" t="str">
        <f>VLOOKUP(E1016,country_continent!A:C,3,FALSE)</f>
        <v>Europe</v>
      </c>
      <c r="H1016" t="s">
        <v>4342</v>
      </c>
      <c r="I1016" s="1">
        <v>20830</v>
      </c>
      <c r="J1016" s="3">
        <f t="shared" si="45"/>
        <v>20830</v>
      </c>
      <c r="K1016" s="1">
        <v>23302</v>
      </c>
      <c r="L1016" s="3">
        <f t="shared" si="46"/>
        <v>23302</v>
      </c>
      <c r="M1016" t="s">
        <v>49</v>
      </c>
      <c r="N1016" t="s">
        <v>49</v>
      </c>
      <c r="O1016" t="s">
        <v>49</v>
      </c>
      <c r="P1016">
        <v>0</v>
      </c>
      <c r="Q1016" t="s">
        <v>50</v>
      </c>
      <c r="R1016" t="s">
        <v>51</v>
      </c>
      <c r="S1016">
        <v>1894</v>
      </c>
      <c r="T1016">
        <v>1986</v>
      </c>
      <c r="U1016" t="s">
        <v>4343</v>
      </c>
      <c r="V1016" t="s">
        <v>4344</v>
      </c>
      <c r="W1016" s="1">
        <v>31775</v>
      </c>
      <c r="X1016" s="2">
        <v>31775</v>
      </c>
      <c r="Y1016" t="s">
        <v>4345</v>
      </c>
      <c r="Z1016">
        <v>0</v>
      </c>
      <c r="AA1016">
        <v>1</v>
      </c>
      <c r="AB1016">
        <v>0</v>
      </c>
      <c r="AC1016">
        <v>0</v>
      </c>
      <c r="AF1016">
        <v>1957</v>
      </c>
      <c r="AG1016">
        <v>1963</v>
      </c>
      <c r="AH1016">
        <v>2.0817851876657301</v>
      </c>
      <c r="AI1016">
        <v>1765</v>
      </c>
      <c r="AJ1016">
        <v>2.7801589743678701</v>
      </c>
      <c r="AK1016">
        <v>25.8</v>
      </c>
      <c r="AL1016">
        <v>0.78582925832369899</v>
      </c>
      <c r="AN1016">
        <v>10</v>
      </c>
      <c r="AO1016" t="b">
        <v>1</v>
      </c>
      <c r="AP1016" t="s">
        <v>345</v>
      </c>
      <c r="AQ1016">
        <v>1973</v>
      </c>
      <c r="AR1016">
        <v>2016</v>
      </c>
      <c r="AS1016" t="s">
        <v>4346</v>
      </c>
      <c r="AT1016">
        <v>6.7679671457905499</v>
      </c>
      <c r="AU1016">
        <f t="shared" si="47"/>
        <v>1.9E-2</v>
      </c>
    </row>
    <row r="1017" spans="1:47" x14ac:dyDescent="0.3">
      <c r="A1017">
        <v>1015</v>
      </c>
      <c r="B1017" t="s">
        <v>4347</v>
      </c>
      <c r="C1017" t="s">
        <v>4348</v>
      </c>
      <c r="D1017">
        <v>200</v>
      </c>
      <c r="E1017" t="s">
        <v>4202</v>
      </c>
      <c r="F1017" t="str">
        <f>VLOOKUP(E1017,country_continent!A:C,2,FALSE)</f>
        <v>United Kingdom</v>
      </c>
      <c r="G1017" t="str">
        <f>VLOOKUP(E1017,country_continent!A:C,3,FALSE)</f>
        <v>Europe</v>
      </c>
      <c r="H1017" t="s">
        <v>4349</v>
      </c>
      <c r="I1017" s="1">
        <v>23302</v>
      </c>
      <c r="J1017" s="3">
        <f t="shared" si="45"/>
        <v>23302</v>
      </c>
      <c r="K1017" s="1">
        <v>23666</v>
      </c>
      <c r="L1017" s="3">
        <f t="shared" si="46"/>
        <v>23666</v>
      </c>
      <c r="M1017" t="s">
        <v>49</v>
      </c>
      <c r="N1017" t="s">
        <v>49</v>
      </c>
      <c r="O1017" t="s">
        <v>49</v>
      </c>
      <c r="P1017">
        <v>0</v>
      </c>
      <c r="Q1017" t="s">
        <v>50</v>
      </c>
      <c r="R1017" t="s">
        <v>51</v>
      </c>
      <c r="S1017">
        <v>1903</v>
      </c>
      <c r="T1017">
        <v>1995</v>
      </c>
      <c r="U1017" s="1">
        <v>1163</v>
      </c>
      <c r="V1017" s="2">
        <v>1163</v>
      </c>
      <c r="W1017" s="1">
        <v>34981</v>
      </c>
      <c r="X1017" s="2">
        <v>34981</v>
      </c>
      <c r="Y1017" t="s">
        <v>4350</v>
      </c>
      <c r="Z1017">
        <v>0</v>
      </c>
      <c r="AA1017">
        <v>1</v>
      </c>
      <c r="AB1017">
        <v>0</v>
      </c>
      <c r="AC1017">
        <v>0</v>
      </c>
      <c r="AF1017">
        <v>1963</v>
      </c>
      <c r="AG1017">
        <v>1964</v>
      </c>
      <c r="AH1017">
        <v>4.49407037982039</v>
      </c>
      <c r="AI1017">
        <v>1890</v>
      </c>
      <c r="AJ1017">
        <v>2.4442434755960099</v>
      </c>
      <c r="AK1017">
        <v>24.549999999999901</v>
      </c>
      <c r="AL1017">
        <v>0.69931209873699496</v>
      </c>
      <c r="AN1017">
        <v>10</v>
      </c>
      <c r="AO1017" t="b">
        <v>1</v>
      </c>
      <c r="AP1017" t="s">
        <v>345</v>
      </c>
      <c r="AQ1017">
        <v>1973</v>
      </c>
      <c r="AR1017">
        <v>2016</v>
      </c>
      <c r="AS1017" t="s">
        <v>4351</v>
      </c>
      <c r="AT1017">
        <v>0.99657768651608403</v>
      </c>
      <c r="AU1017">
        <f t="shared" si="47"/>
        <v>3.0000000000000001E-3</v>
      </c>
    </row>
    <row r="1018" spans="1:47" x14ac:dyDescent="0.3">
      <c r="A1018">
        <v>1016</v>
      </c>
      <c r="B1018" t="s">
        <v>4352</v>
      </c>
      <c r="C1018" t="s">
        <v>4353</v>
      </c>
      <c r="D1018">
        <v>200</v>
      </c>
      <c r="E1018" t="s">
        <v>4202</v>
      </c>
      <c r="F1018" t="str">
        <f>VLOOKUP(E1018,country_continent!A:C,2,FALSE)</f>
        <v>United Kingdom</v>
      </c>
      <c r="G1018" t="str">
        <f>VLOOKUP(E1018,country_continent!A:C,3,FALSE)</f>
        <v>Europe</v>
      </c>
      <c r="H1018" t="s">
        <v>105</v>
      </c>
      <c r="I1018" s="1">
        <v>23666</v>
      </c>
      <c r="J1018" s="3">
        <f t="shared" si="45"/>
        <v>23666</v>
      </c>
      <c r="K1018" s="1">
        <v>25738</v>
      </c>
      <c r="L1018" s="3">
        <f t="shared" si="46"/>
        <v>25738</v>
      </c>
      <c r="M1018" t="s">
        <v>49</v>
      </c>
      <c r="N1018" t="s">
        <v>49</v>
      </c>
      <c r="O1018" t="s">
        <v>49</v>
      </c>
      <c r="P1018">
        <v>0</v>
      </c>
      <c r="Q1018" t="s">
        <v>50</v>
      </c>
      <c r="R1018" t="s">
        <v>51</v>
      </c>
      <c r="S1018">
        <v>1916</v>
      </c>
      <c r="T1018">
        <v>1995</v>
      </c>
      <c r="U1018" s="1">
        <v>5915</v>
      </c>
      <c r="V1018" s="2">
        <v>5915</v>
      </c>
      <c r="Y1018" t="s">
        <v>4354</v>
      </c>
      <c r="Z1018">
        <v>0</v>
      </c>
      <c r="AA1018">
        <v>1</v>
      </c>
      <c r="AB1018">
        <v>0</v>
      </c>
      <c r="AC1018">
        <v>0</v>
      </c>
      <c r="AF1018">
        <v>1964</v>
      </c>
      <c r="AG1018">
        <v>1970</v>
      </c>
      <c r="AH1018">
        <v>2.6280027212601298</v>
      </c>
      <c r="AI1018">
        <v>2267.1428571428501</v>
      </c>
      <c r="AJ1018">
        <v>5.1220919347902498</v>
      </c>
      <c r="AK1018">
        <v>22.4</v>
      </c>
      <c r="AL1018">
        <v>0.52626679346812</v>
      </c>
      <c r="AM1018">
        <v>9.1232375837763599E-2</v>
      </c>
      <c r="AN1018">
        <v>10</v>
      </c>
      <c r="AO1018" t="b">
        <v>1</v>
      </c>
      <c r="AP1018" t="s">
        <v>345</v>
      </c>
      <c r="AQ1018">
        <v>1973</v>
      </c>
      <c r="AR1018">
        <v>2016</v>
      </c>
      <c r="AS1018" t="s">
        <v>4355</v>
      </c>
      <c r="AT1018">
        <v>5.6728268309377103</v>
      </c>
      <c r="AU1018">
        <f t="shared" si="47"/>
        <v>1.6E-2</v>
      </c>
    </row>
    <row r="1019" spans="1:47" x14ac:dyDescent="0.3">
      <c r="A1019">
        <v>1017</v>
      </c>
      <c r="B1019" t="s">
        <v>4356</v>
      </c>
      <c r="C1019" t="s">
        <v>4357</v>
      </c>
      <c r="D1019">
        <v>200</v>
      </c>
      <c r="E1019" t="s">
        <v>4202</v>
      </c>
      <c r="F1019" t="str">
        <f>VLOOKUP(E1019,country_continent!A:C,2,FALSE)</f>
        <v>United Kingdom</v>
      </c>
      <c r="G1019" t="str">
        <f>VLOOKUP(E1019,country_continent!A:C,3,FALSE)</f>
        <v>Europe</v>
      </c>
      <c r="H1019" t="s">
        <v>4358</v>
      </c>
      <c r="I1019" s="1">
        <v>25738</v>
      </c>
      <c r="J1019" s="3">
        <f t="shared" si="45"/>
        <v>25738</v>
      </c>
      <c r="K1019" s="1">
        <v>27092</v>
      </c>
      <c r="L1019" s="3">
        <f t="shared" si="46"/>
        <v>27092</v>
      </c>
      <c r="M1019" t="s">
        <v>49</v>
      </c>
      <c r="N1019" t="s">
        <v>49</v>
      </c>
      <c r="O1019" t="s">
        <v>49</v>
      </c>
      <c r="P1019">
        <v>0</v>
      </c>
      <c r="Q1019" t="s">
        <v>50</v>
      </c>
      <c r="R1019" t="s">
        <v>51</v>
      </c>
      <c r="S1019">
        <v>1916</v>
      </c>
      <c r="T1019">
        <v>2005</v>
      </c>
      <c r="U1019" s="1">
        <v>6035</v>
      </c>
      <c r="V1019" s="2">
        <v>6035</v>
      </c>
      <c r="W1019" s="1">
        <v>38489</v>
      </c>
      <c r="X1019" s="2">
        <v>38489</v>
      </c>
      <c r="Y1019" t="s">
        <v>4359</v>
      </c>
      <c r="Z1019">
        <v>0</v>
      </c>
      <c r="AA1019">
        <v>1</v>
      </c>
      <c r="AB1019">
        <v>0</v>
      </c>
      <c r="AC1019">
        <v>0</v>
      </c>
      <c r="AF1019">
        <v>1970</v>
      </c>
      <c r="AG1019">
        <v>1974</v>
      </c>
      <c r="AH1019">
        <v>2.6228225720287899</v>
      </c>
      <c r="AI1019">
        <v>3346</v>
      </c>
      <c r="AJ1019">
        <v>9.5793036811335508</v>
      </c>
      <c r="AK1019">
        <v>19.940000000000001</v>
      </c>
      <c r="AL1019">
        <v>0.28234079754696401</v>
      </c>
      <c r="AM1019">
        <v>0.152162669904961</v>
      </c>
      <c r="AN1019">
        <v>10</v>
      </c>
      <c r="AO1019" t="b">
        <v>1</v>
      </c>
      <c r="AP1019" t="s">
        <v>345</v>
      </c>
      <c r="AQ1019">
        <v>1973</v>
      </c>
      <c r="AR1019">
        <v>2016</v>
      </c>
      <c r="AS1019" t="s">
        <v>4360</v>
      </c>
      <c r="AT1019">
        <v>3.7070499657768599</v>
      </c>
      <c r="AU1019">
        <f t="shared" si="47"/>
        <v>0.01</v>
      </c>
    </row>
    <row r="1020" spans="1:47" x14ac:dyDescent="0.3">
      <c r="A1020">
        <v>1018</v>
      </c>
      <c r="B1020" t="s">
        <v>4361</v>
      </c>
      <c r="C1020" t="s">
        <v>4353</v>
      </c>
      <c r="D1020">
        <v>200</v>
      </c>
      <c r="E1020" t="s">
        <v>4202</v>
      </c>
      <c r="F1020" t="str">
        <f>VLOOKUP(E1020,country_continent!A:C,2,FALSE)</f>
        <v>United Kingdom</v>
      </c>
      <c r="G1020" t="str">
        <f>VLOOKUP(E1020,country_continent!A:C,3,FALSE)</f>
        <v>Europe</v>
      </c>
      <c r="H1020" t="s">
        <v>105</v>
      </c>
      <c r="I1020" s="1">
        <v>27092</v>
      </c>
      <c r="J1020" s="3">
        <f t="shared" si="45"/>
        <v>27092</v>
      </c>
      <c r="K1020" s="1">
        <v>27855</v>
      </c>
      <c r="L1020" s="3">
        <f t="shared" si="46"/>
        <v>27855</v>
      </c>
      <c r="M1020" t="s">
        <v>49</v>
      </c>
      <c r="N1020" t="s">
        <v>49</v>
      </c>
      <c r="O1020" t="s">
        <v>49</v>
      </c>
      <c r="P1020">
        <v>1</v>
      </c>
      <c r="Q1020" t="s">
        <v>50</v>
      </c>
      <c r="R1020" t="s">
        <v>51</v>
      </c>
      <c r="S1020">
        <v>1916</v>
      </c>
      <c r="T1020">
        <v>1995</v>
      </c>
      <c r="U1020" s="1">
        <v>5915</v>
      </c>
      <c r="V1020" s="2">
        <v>5915</v>
      </c>
      <c r="Y1020" t="s">
        <v>4354</v>
      </c>
      <c r="Z1020">
        <v>0</v>
      </c>
      <c r="AA1020">
        <v>1</v>
      </c>
      <c r="AB1020">
        <v>0</v>
      </c>
      <c r="AC1020">
        <v>0</v>
      </c>
      <c r="AF1020">
        <v>1974</v>
      </c>
      <c r="AG1020">
        <v>1976</v>
      </c>
      <c r="AH1020">
        <v>-0.358874444670784</v>
      </c>
      <c r="AI1020">
        <v>4763.3333333333303</v>
      </c>
      <c r="AJ1020">
        <v>18.6478359698962</v>
      </c>
      <c r="AK1020">
        <v>17.966666666666601</v>
      </c>
      <c r="AL1020">
        <v>1.03440049675429E-2</v>
      </c>
      <c r="AM1020">
        <v>0.67343638909820502</v>
      </c>
      <c r="AN1020">
        <v>10</v>
      </c>
      <c r="AO1020" t="b">
        <v>1</v>
      </c>
      <c r="AP1020" t="s">
        <v>345</v>
      </c>
      <c r="AQ1020">
        <v>1973</v>
      </c>
      <c r="AR1020">
        <v>2016</v>
      </c>
      <c r="AS1020" t="s">
        <v>4362</v>
      </c>
      <c r="AT1020">
        <v>2.08898015058179</v>
      </c>
      <c r="AU1020">
        <f t="shared" si="47"/>
        <v>6.0000000000000001E-3</v>
      </c>
    </row>
    <row r="1021" spans="1:47" x14ac:dyDescent="0.3">
      <c r="A1021">
        <v>1019</v>
      </c>
      <c r="B1021" t="s">
        <v>4363</v>
      </c>
      <c r="C1021" t="s">
        <v>4364</v>
      </c>
      <c r="D1021">
        <v>200</v>
      </c>
      <c r="E1021" t="s">
        <v>4202</v>
      </c>
      <c r="F1021" t="str">
        <f>VLOOKUP(E1021,country_continent!A:C,2,FALSE)</f>
        <v>United Kingdom</v>
      </c>
      <c r="G1021" t="str">
        <f>VLOOKUP(E1021,country_continent!A:C,3,FALSE)</f>
        <v>Europe</v>
      </c>
      <c r="H1021" t="s">
        <v>4365</v>
      </c>
      <c r="I1021" s="1">
        <v>27855</v>
      </c>
      <c r="J1021" s="3">
        <f t="shared" si="45"/>
        <v>27855</v>
      </c>
      <c r="K1021" s="1">
        <v>28979</v>
      </c>
      <c r="L1021" s="3">
        <f t="shared" si="46"/>
        <v>28979</v>
      </c>
      <c r="M1021" t="s">
        <v>49</v>
      </c>
      <c r="N1021" t="s">
        <v>49</v>
      </c>
      <c r="O1021" t="s">
        <v>49</v>
      </c>
      <c r="P1021">
        <v>0</v>
      </c>
      <c r="Q1021" t="s">
        <v>50</v>
      </c>
      <c r="R1021" t="s">
        <v>51</v>
      </c>
      <c r="S1021">
        <v>1912</v>
      </c>
      <c r="T1021">
        <v>2005</v>
      </c>
      <c r="U1021" s="1">
        <v>4470</v>
      </c>
      <c r="V1021" s="2">
        <v>4470</v>
      </c>
      <c r="W1021" s="1">
        <v>38437</v>
      </c>
      <c r="X1021" s="2">
        <v>38437</v>
      </c>
      <c r="Y1021" t="s">
        <v>4366</v>
      </c>
      <c r="Z1021">
        <v>0</v>
      </c>
      <c r="AA1021">
        <v>1</v>
      </c>
      <c r="AB1021">
        <v>0</v>
      </c>
      <c r="AC1021">
        <v>0</v>
      </c>
      <c r="AF1021">
        <v>1976</v>
      </c>
      <c r="AG1021">
        <v>1979</v>
      </c>
      <c r="AH1021">
        <v>3.3204170366775898</v>
      </c>
      <c r="AI1021">
        <v>5952.5</v>
      </c>
      <c r="AJ1021">
        <v>13.587037425548701</v>
      </c>
      <c r="AK1021">
        <v>16.05</v>
      </c>
      <c r="AL1021">
        <v>9.4027220198974002E-3</v>
      </c>
      <c r="AM1021">
        <v>1.5609262511923301</v>
      </c>
      <c r="AN1021">
        <v>10</v>
      </c>
      <c r="AO1021" t="b">
        <v>1</v>
      </c>
      <c r="AP1021" t="s">
        <v>345</v>
      </c>
      <c r="AQ1021">
        <v>1973</v>
      </c>
      <c r="AR1021">
        <v>2016</v>
      </c>
      <c r="AS1021" t="s">
        <v>4367</v>
      </c>
      <c r="AT1021">
        <v>3.0773442847364798</v>
      </c>
      <c r="AU1021">
        <f t="shared" si="47"/>
        <v>8.0000000000000002E-3</v>
      </c>
    </row>
    <row r="1022" spans="1:47" x14ac:dyDescent="0.3">
      <c r="A1022">
        <v>1020</v>
      </c>
      <c r="B1022" t="s">
        <v>4368</v>
      </c>
      <c r="C1022" t="s">
        <v>4369</v>
      </c>
      <c r="D1022">
        <v>200</v>
      </c>
      <c r="E1022" t="s">
        <v>4202</v>
      </c>
      <c r="F1022" t="str">
        <f>VLOOKUP(E1022,country_continent!A:C,2,FALSE)</f>
        <v>United Kingdom</v>
      </c>
      <c r="G1022" t="str">
        <f>VLOOKUP(E1022,country_continent!A:C,3,FALSE)</f>
        <v>Europe</v>
      </c>
      <c r="H1022" t="s">
        <v>4370</v>
      </c>
      <c r="I1022" s="1">
        <v>28979</v>
      </c>
      <c r="J1022" s="3">
        <f t="shared" si="45"/>
        <v>28979</v>
      </c>
      <c r="K1022" s="1">
        <v>33205</v>
      </c>
      <c r="L1022" s="3">
        <f t="shared" si="46"/>
        <v>33205</v>
      </c>
      <c r="M1022" t="s">
        <v>49</v>
      </c>
      <c r="N1022" t="s">
        <v>49</v>
      </c>
      <c r="O1022" t="s">
        <v>49</v>
      </c>
      <c r="P1022">
        <v>0</v>
      </c>
      <c r="Q1022" t="s">
        <v>50</v>
      </c>
      <c r="R1022" t="s">
        <v>299</v>
      </c>
      <c r="S1022">
        <v>1925</v>
      </c>
      <c r="T1022">
        <v>-777</v>
      </c>
      <c r="U1022" s="1">
        <v>9418</v>
      </c>
      <c r="V1022" s="2">
        <v>9418</v>
      </c>
      <c r="Y1022" t="s">
        <v>4371</v>
      </c>
      <c r="Z1022">
        <v>0</v>
      </c>
      <c r="AA1022">
        <v>1</v>
      </c>
      <c r="AB1022">
        <v>0</v>
      </c>
      <c r="AC1022">
        <v>0</v>
      </c>
      <c r="AF1022">
        <v>1979</v>
      </c>
      <c r="AG1022">
        <v>1990</v>
      </c>
      <c r="AH1022">
        <v>2.4370202136205199</v>
      </c>
      <c r="AI1022">
        <v>11830</v>
      </c>
      <c r="AJ1022">
        <v>8.3461739394649594</v>
      </c>
      <c r="AK1022">
        <v>11.824999999999999</v>
      </c>
      <c r="AL1022">
        <v>0.15442439206186201</v>
      </c>
      <c r="AM1022">
        <v>1.95446489838496</v>
      </c>
      <c r="AN1022">
        <v>10</v>
      </c>
      <c r="AO1022" t="b">
        <v>1</v>
      </c>
      <c r="AP1022" t="s">
        <v>345</v>
      </c>
      <c r="AQ1022">
        <v>1973</v>
      </c>
      <c r="AR1022">
        <v>2016</v>
      </c>
      <c r="AS1022" t="s">
        <v>4372</v>
      </c>
      <c r="AT1022">
        <v>11.570157426420201</v>
      </c>
      <c r="AU1022">
        <f t="shared" si="47"/>
        <v>3.2000000000000001E-2</v>
      </c>
    </row>
    <row r="1023" spans="1:47" x14ac:dyDescent="0.3">
      <c r="A1023">
        <v>1021</v>
      </c>
      <c r="B1023" t="s">
        <v>4373</v>
      </c>
      <c r="C1023" t="s">
        <v>4374</v>
      </c>
      <c r="D1023">
        <v>200</v>
      </c>
      <c r="E1023" t="s">
        <v>4202</v>
      </c>
      <c r="F1023" t="str">
        <f>VLOOKUP(E1023,country_continent!A:C,2,FALSE)</f>
        <v>United Kingdom</v>
      </c>
      <c r="G1023" t="str">
        <f>VLOOKUP(E1023,country_continent!A:C,3,FALSE)</f>
        <v>Europe</v>
      </c>
      <c r="H1023" t="s">
        <v>4375</v>
      </c>
      <c r="I1023" s="1">
        <v>33205</v>
      </c>
      <c r="J1023" s="3">
        <f t="shared" si="45"/>
        <v>33205</v>
      </c>
      <c r="K1023" s="1">
        <v>35552</v>
      </c>
      <c r="L1023" s="3">
        <f t="shared" si="46"/>
        <v>35552</v>
      </c>
      <c r="M1023" t="s">
        <v>49</v>
      </c>
      <c r="N1023" t="s">
        <v>49</v>
      </c>
      <c r="O1023" t="s">
        <v>49</v>
      </c>
      <c r="P1023">
        <v>0</v>
      </c>
      <c r="Q1023" t="s">
        <v>50</v>
      </c>
      <c r="R1023" t="s">
        <v>51</v>
      </c>
      <c r="S1023">
        <v>1943</v>
      </c>
      <c r="T1023">
        <v>-777</v>
      </c>
      <c r="U1023" s="1">
        <v>15794</v>
      </c>
      <c r="V1023" s="2">
        <v>15794</v>
      </c>
      <c r="Y1023" t="s">
        <v>4376</v>
      </c>
      <c r="Z1023">
        <v>0</v>
      </c>
      <c r="AA1023">
        <v>1</v>
      </c>
      <c r="AB1023">
        <v>0</v>
      </c>
      <c r="AC1023">
        <v>0</v>
      </c>
      <c r="AF1023">
        <v>1990</v>
      </c>
      <c r="AG1023">
        <v>1997</v>
      </c>
      <c r="AH1023">
        <v>1.77719680334098</v>
      </c>
      <c r="AI1023">
        <v>21545</v>
      </c>
      <c r="AJ1023">
        <v>4.6540536596052302</v>
      </c>
      <c r="AK1023">
        <v>7.8</v>
      </c>
      <c r="AL1023">
        <v>0.26870858987458301</v>
      </c>
      <c r="AM1023">
        <v>0.67373596169167704</v>
      </c>
      <c r="AN1023">
        <v>10</v>
      </c>
      <c r="AO1023" t="b">
        <v>1</v>
      </c>
      <c r="AP1023" t="s">
        <v>345</v>
      </c>
      <c r="AQ1023">
        <v>1973</v>
      </c>
      <c r="AR1023">
        <v>2016</v>
      </c>
      <c r="AS1023" t="s">
        <v>4377</v>
      </c>
      <c r="AT1023">
        <v>6.4257357973990397</v>
      </c>
      <c r="AU1023">
        <f t="shared" si="47"/>
        <v>1.7999999999999999E-2</v>
      </c>
    </row>
    <row r="1024" spans="1:47" x14ac:dyDescent="0.3">
      <c r="A1024">
        <v>1022</v>
      </c>
      <c r="B1024" t="s">
        <v>4378</v>
      </c>
      <c r="C1024" t="s">
        <v>4379</v>
      </c>
      <c r="D1024">
        <v>200</v>
      </c>
      <c r="E1024" t="s">
        <v>4202</v>
      </c>
      <c r="F1024" t="str">
        <f>VLOOKUP(E1024,country_continent!A:C,2,FALSE)</f>
        <v>United Kingdom</v>
      </c>
      <c r="G1024" t="str">
        <f>VLOOKUP(E1024,country_continent!A:C,3,FALSE)</f>
        <v>Europe</v>
      </c>
      <c r="H1024" t="s">
        <v>4380</v>
      </c>
      <c r="I1024" s="1">
        <v>35552</v>
      </c>
      <c r="J1024" s="3">
        <f t="shared" si="45"/>
        <v>35552</v>
      </c>
      <c r="K1024" s="1">
        <v>39260</v>
      </c>
      <c r="L1024" s="3">
        <f t="shared" si="46"/>
        <v>39260</v>
      </c>
      <c r="M1024" t="s">
        <v>49</v>
      </c>
      <c r="N1024" t="s">
        <v>49</v>
      </c>
      <c r="O1024" t="s">
        <v>49</v>
      </c>
      <c r="P1024">
        <v>0</v>
      </c>
      <c r="Q1024" t="s">
        <v>50</v>
      </c>
      <c r="R1024" t="s">
        <v>51</v>
      </c>
      <c r="S1024">
        <v>1953</v>
      </c>
      <c r="T1024">
        <v>-777</v>
      </c>
      <c r="U1024" s="1">
        <v>19485</v>
      </c>
      <c r="V1024" s="2">
        <v>19485</v>
      </c>
      <c r="Y1024" t="s">
        <v>4381</v>
      </c>
      <c r="Z1024">
        <v>0</v>
      </c>
      <c r="AA1024">
        <v>1</v>
      </c>
      <c r="AB1024">
        <v>0</v>
      </c>
      <c r="AC1024">
        <v>0</v>
      </c>
      <c r="AF1024">
        <v>1997</v>
      </c>
      <c r="AG1024">
        <v>2007</v>
      </c>
      <c r="AH1024">
        <v>2.54771512698137</v>
      </c>
      <c r="AI1024">
        <v>33946.363636363603</v>
      </c>
      <c r="AJ1024">
        <v>1.8388451057697099</v>
      </c>
      <c r="AK1024">
        <v>6.3363636363636298</v>
      </c>
      <c r="AL1024">
        <v>0.48026268649814402</v>
      </c>
      <c r="AM1024">
        <v>0.74344093968973701</v>
      </c>
      <c r="AN1024">
        <v>10</v>
      </c>
      <c r="AO1024" t="b">
        <v>1</v>
      </c>
      <c r="AP1024" t="s">
        <v>345</v>
      </c>
      <c r="AQ1024">
        <v>1973</v>
      </c>
      <c r="AR1024">
        <v>2016</v>
      </c>
      <c r="AS1024" t="s">
        <v>4382</v>
      </c>
      <c r="AT1024">
        <v>10.1519507186858</v>
      </c>
      <c r="AU1024">
        <f t="shared" si="47"/>
        <v>2.8000000000000001E-2</v>
      </c>
    </row>
    <row r="1025" spans="1:47" x14ac:dyDescent="0.3">
      <c r="A1025">
        <v>1023</v>
      </c>
      <c r="B1025" t="s">
        <v>4383</v>
      </c>
      <c r="C1025" t="s">
        <v>4384</v>
      </c>
      <c r="D1025">
        <v>200</v>
      </c>
      <c r="E1025" t="s">
        <v>4202</v>
      </c>
      <c r="F1025" t="str">
        <f>VLOOKUP(E1025,country_continent!A:C,2,FALSE)</f>
        <v>United Kingdom</v>
      </c>
      <c r="G1025" t="str">
        <f>VLOOKUP(E1025,country_continent!A:C,3,FALSE)</f>
        <v>Europe</v>
      </c>
      <c r="H1025" t="s">
        <v>4385</v>
      </c>
      <c r="I1025" s="1">
        <v>39260</v>
      </c>
      <c r="J1025" s="3">
        <f t="shared" si="45"/>
        <v>39260</v>
      </c>
      <c r="K1025" s="1">
        <v>40309</v>
      </c>
      <c r="L1025" s="3">
        <f t="shared" si="46"/>
        <v>40309</v>
      </c>
      <c r="M1025" t="s">
        <v>49</v>
      </c>
      <c r="N1025" t="s">
        <v>49</v>
      </c>
      <c r="O1025" t="s">
        <v>49</v>
      </c>
      <c r="P1025">
        <v>0</v>
      </c>
      <c r="Q1025" t="s">
        <v>50</v>
      </c>
      <c r="R1025" t="s">
        <v>51</v>
      </c>
      <c r="S1025">
        <v>1951</v>
      </c>
      <c r="T1025">
        <v>-777</v>
      </c>
      <c r="U1025" s="1">
        <v>18679</v>
      </c>
      <c r="V1025" s="2">
        <v>18679</v>
      </c>
      <c r="Z1025">
        <v>0</v>
      </c>
      <c r="AA1025">
        <v>1</v>
      </c>
      <c r="AB1025">
        <v>0</v>
      </c>
      <c r="AC1025">
        <v>0</v>
      </c>
      <c r="AF1025">
        <v>2007</v>
      </c>
      <c r="AG1025">
        <v>2010</v>
      </c>
      <c r="AH1025">
        <v>-0.776533376930018</v>
      </c>
      <c r="AI1025">
        <v>45402.5</v>
      </c>
      <c r="AJ1025">
        <v>2.2903372990494502</v>
      </c>
      <c r="AK1025">
        <v>5.4999999999999902</v>
      </c>
      <c r="AL1025">
        <v>0.77649456025002905</v>
      </c>
      <c r="AM1025">
        <v>0.97568461218851898</v>
      </c>
      <c r="AN1025">
        <v>10</v>
      </c>
      <c r="AO1025" t="b">
        <v>1</v>
      </c>
      <c r="AP1025" t="s">
        <v>345</v>
      </c>
      <c r="AQ1025">
        <v>1973</v>
      </c>
      <c r="AR1025">
        <v>2016</v>
      </c>
      <c r="AS1025" t="s">
        <v>4386</v>
      </c>
      <c r="AT1025">
        <v>2.8720054757015698</v>
      </c>
      <c r="AU1025">
        <f t="shared" si="47"/>
        <v>8.0000000000000002E-3</v>
      </c>
    </row>
    <row r="1026" spans="1:47" x14ac:dyDescent="0.3">
      <c r="A1026">
        <v>1024</v>
      </c>
      <c r="B1026" t="s">
        <v>4387</v>
      </c>
      <c r="C1026" t="s">
        <v>4388</v>
      </c>
      <c r="D1026">
        <v>200</v>
      </c>
      <c r="E1026" t="s">
        <v>4202</v>
      </c>
      <c r="F1026" t="str">
        <f>VLOOKUP(E1026,country_continent!A:C,2,FALSE)</f>
        <v>United Kingdom</v>
      </c>
      <c r="G1026" t="str">
        <f>VLOOKUP(E1026,country_continent!A:C,3,FALSE)</f>
        <v>Europe</v>
      </c>
      <c r="H1026" t="s">
        <v>4389</v>
      </c>
      <c r="I1026" s="1">
        <v>40309</v>
      </c>
      <c r="J1026" s="3">
        <f t="shared" si="45"/>
        <v>40309</v>
      </c>
      <c r="K1026" s="1">
        <v>42369</v>
      </c>
      <c r="L1026" s="3">
        <f t="shared" si="46"/>
        <v>42369</v>
      </c>
      <c r="M1026" t="s">
        <v>49</v>
      </c>
      <c r="N1026" t="s">
        <v>173</v>
      </c>
      <c r="O1026" t="s">
        <v>173</v>
      </c>
      <c r="P1026">
        <v>0</v>
      </c>
      <c r="Q1026" t="s">
        <v>174</v>
      </c>
      <c r="R1026" t="s">
        <v>51</v>
      </c>
      <c r="S1026">
        <v>1966</v>
      </c>
      <c r="T1026">
        <v>-777</v>
      </c>
      <c r="U1026" s="1">
        <v>24389</v>
      </c>
      <c r="V1026" s="2">
        <v>24389</v>
      </c>
      <c r="Z1026">
        <v>0</v>
      </c>
      <c r="AA1026">
        <v>-888</v>
      </c>
      <c r="AB1026">
        <v>-888</v>
      </c>
      <c r="AC1026">
        <v>-888</v>
      </c>
      <c r="AF1026">
        <v>2010</v>
      </c>
      <c r="AG1026">
        <v>2015</v>
      </c>
      <c r="AH1026">
        <v>1.26827064828519</v>
      </c>
      <c r="AI1026">
        <v>42733.333333333299</v>
      </c>
      <c r="AJ1026">
        <v>1.5690936596876801</v>
      </c>
      <c r="AK1026">
        <v>4.7666666666666604</v>
      </c>
      <c r="AL1026">
        <v>0.73599576782491705</v>
      </c>
      <c r="AM1026">
        <v>0.73786444468801404</v>
      </c>
      <c r="AN1026">
        <v>10</v>
      </c>
      <c r="AO1026" t="b">
        <v>1</v>
      </c>
      <c r="AP1026" t="s">
        <v>345</v>
      </c>
      <c r="AQ1026">
        <v>1973</v>
      </c>
      <c r="AR1026">
        <v>2016</v>
      </c>
      <c r="AS1026" t="s">
        <v>4390</v>
      </c>
      <c r="AT1026">
        <v>5.6399726214921202</v>
      </c>
      <c r="AU1026">
        <f t="shared" si="47"/>
        <v>1.4999999999999999E-2</v>
      </c>
    </row>
    <row r="1027" spans="1:47" x14ac:dyDescent="0.3">
      <c r="A1027">
        <v>1025</v>
      </c>
      <c r="B1027" t="s">
        <v>4391</v>
      </c>
      <c r="C1027" t="s">
        <v>4392</v>
      </c>
      <c r="D1027">
        <v>205</v>
      </c>
      <c r="E1027" t="s">
        <v>4393</v>
      </c>
      <c r="F1027" t="str">
        <f>VLOOKUP(E1027,country_continent!A:C,2,FALSE)</f>
        <v>Ireland</v>
      </c>
      <c r="G1027" t="str">
        <f>VLOOKUP(E1027,country_continent!A:C,3,FALSE)</f>
        <v>Europe</v>
      </c>
      <c r="H1027" t="s">
        <v>4394</v>
      </c>
      <c r="I1027" s="1">
        <v>7031</v>
      </c>
      <c r="J1027" s="3">
        <f t="shared" ref="J1027:J1090" si="48">IF(ISNUMBER(SEARCH("-", I1027)), SUBSTITUTE(I1027, "-", "/"), I1027)</f>
        <v>7031</v>
      </c>
      <c r="K1027" s="1">
        <v>8010</v>
      </c>
      <c r="L1027" s="3">
        <f t="shared" ref="L1027:L1090" si="49">IF(ISNUMBER(SEARCH("-", K1027)), SUBSTITUTE(K1027, "-", "/"), K1027)</f>
        <v>8010</v>
      </c>
      <c r="M1027" t="s">
        <v>67</v>
      </c>
      <c r="N1027" t="s">
        <v>49</v>
      </c>
      <c r="O1027" t="s">
        <v>49</v>
      </c>
      <c r="P1027">
        <v>0</v>
      </c>
      <c r="Q1027" t="s">
        <v>50</v>
      </c>
      <c r="R1027" t="s">
        <v>51</v>
      </c>
      <c r="S1027">
        <v>1882</v>
      </c>
      <c r="T1027">
        <v>1975</v>
      </c>
      <c r="U1027" t="s">
        <v>4395</v>
      </c>
      <c r="V1027" t="s">
        <v>4396</v>
      </c>
      <c r="W1027" s="1">
        <v>27635</v>
      </c>
      <c r="X1027" s="2">
        <v>27635</v>
      </c>
      <c r="Z1027">
        <v>1</v>
      </c>
      <c r="AA1027">
        <v>1</v>
      </c>
      <c r="AB1027">
        <v>0</v>
      </c>
      <c r="AC1027">
        <v>0</v>
      </c>
      <c r="AF1027">
        <v>1919</v>
      </c>
      <c r="AG1027">
        <v>1921</v>
      </c>
      <c r="AO1027" t="b">
        <v>0</v>
      </c>
      <c r="AT1027">
        <v>979</v>
      </c>
      <c r="AU1027">
        <f t="shared" si="47"/>
        <v>2.6819999999999999</v>
      </c>
    </row>
    <row r="1028" spans="1:47" x14ac:dyDescent="0.3">
      <c r="A1028">
        <v>1026</v>
      </c>
      <c r="B1028" t="s">
        <v>4397</v>
      </c>
      <c r="C1028" t="s">
        <v>4398</v>
      </c>
      <c r="D1028">
        <v>205</v>
      </c>
      <c r="E1028" t="s">
        <v>4393</v>
      </c>
      <c r="F1028" t="str">
        <f>VLOOKUP(E1028,country_continent!A:C,2,FALSE)</f>
        <v>Ireland</v>
      </c>
      <c r="G1028" t="str">
        <f>VLOOKUP(E1028,country_continent!A:C,3,FALSE)</f>
        <v>Europe</v>
      </c>
      <c r="H1028" t="s">
        <v>4399</v>
      </c>
      <c r="I1028" s="1">
        <v>8046</v>
      </c>
      <c r="J1028" s="3">
        <f t="shared" si="48"/>
        <v>8046</v>
      </c>
      <c r="K1028" s="1">
        <v>8260</v>
      </c>
      <c r="L1028" s="3">
        <f t="shared" si="49"/>
        <v>8260</v>
      </c>
      <c r="M1028" t="s">
        <v>49</v>
      </c>
      <c r="N1028" t="s">
        <v>110</v>
      </c>
      <c r="O1028" t="s">
        <v>49</v>
      </c>
      <c r="P1028">
        <v>0</v>
      </c>
      <c r="Q1028" t="s">
        <v>111</v>
      </c>
      <c r="R1028" t="s">
        <v>51</v>
      </c>
      <c r="S1028">
        <v>1872</v>
      </c>
      <c r="T1028">
        <v>1922</v>
      </c>
      <c r="U1028" t="s">
        <v>4400</v>
      </c>
      <c r="V1028" t="s">
        <v>4401</v>
      </c>
      <c r="W1028" s="1">
        <v>8260</v>
      </c>
      <c r="X1028" s="2">
        <v>8260</v>
      </c>
      <c r="Y1028" t="s">
        <v>4402</v>
      </c>
      <c r="Z1028">
        <v>0</v>
      </c>
      <c r="AA1028">
        <v>2</v>
      </c>
      <c r="AB1028">
        <v>0</v>
      </c>
      <c r="AC1028">
        <v>-777</v>
      </c>
      <c r="AF1028">
        <v>1922</v>
      </c>
      <c r="AG1028">
        <v>1922</v>
      </c>
      <c r="AO1028" t="b">
        <v>0</v>
      </c>
      <c r="AT1028">
        <v>214</v>
      </c>
      <c r="AU1028">
        <f t="shared" ref="AU1028:AU1091" si="50">ROUND(AT1028/365,3)</f>
        <v>0.58599999999999997</v>
      </c>
    </row>
    <row r="1029" spans="1:47" x14ac:dyDescent="0.3">
      <c r="A1029">
        <v>1027</v>
      </c>
      <c r="B1029" t="s">
        <v>4403</v>
      </c>
      <c r="C1029" t="s">
        <v>4404</v>
      </c>
      <c r="D1029">
        <v>205</v>
      </c>
      <c r="E1029" t="s">
        <v>4393</v>
      </c>
      <c r="F1029" t="str">
        <f>VLOOKUP(E1029,country_continent!A:C,2,FALSE)</f>
        <v>Ireland</v>
      </c>
      <c r="G1029" t="str">
        <f>VLOOKUP(E1029,country_continent!A:C,3,FALSE)</f>
        <v>Europe</v>
      </c>
      <c r="H1029" t="s">
        <v>4405</v>
      </c>
      <c r="I1029" s="1">
        <v>8260</v>
      </c>
      <c r="J1029" s="3">
        <f t="shared" si="48"/>
        <v>8260</v>
      </c>
      <c r="K1029" s="1">
        <v>8270</v>
      </c>
      <c r="L1029" s="3">
        <f t="shared" si="49"/>
        <v>8270</v>
      </c>
      <c r="M1029" t="s">
        <v>49</v>
      </c>
      <c r="N1029" t="s">
        <v>67</v>
      </c>
      <c r="O1029" t="s">
        <v>433</v>
      </c>
      <c r="P1029">
        <v>0</v>
      </c>
      <c r="Q1029" t="s">
        <v>69</v>
      </c>
      <c r="R1029" t="s">
        <v>51</v>
      </c>
      <c r="S1029">
        <v>1890</v>
      </c>
      <c r="T1029">
        <v>1922</v>
      </c>
      <c r="U1029" t="s">
        <v>4406</v>
      </c>
      <c r="V1029" t="s">
        <v>4407</v>
      </c>
      <c r="W1029" s="1">
        <v>8270</v>
      </c>
      <c r="X1029" s="2">
        <v>8270</v>
      </c>
      <c r="Z1029">
        <v>0</v>
      </c>
      <c r="AA1029">
        <v>3</v>
      </c>
      <c r="AB1029">
        <v>4</v>
      </c>
      <c r="AC1029">
        <v>3</v>
      </c>
      <c r="AF1029">
        <v>1922</v>
      </c>
      <c r="AG1029">
        <v>1922</v>
      </c>
      <c r="AO1029" t="b">
        <v>0</v>
      </c>
      <c r="AT1029">
        <v>10</v>
      </c>
      <c r="AU1029">
        <f t="shared" si="50"/>
        <v>2.7E-2</v>
      </c>
    </row>
    <row r="1030" spans="1:47" x14ac:dyDescent="0.3">
      <c r="A1030">
        <v>1028</v>
      </c>
      <c r="B1030" t="s">
        <v>4408</v>
      </c>
      <c r="C1030" t="s">
        <v>4409</v>
      </c>
      <c r="D1030">
        <v>205</v>
      </c>
      <c r="E1030" t="s">
        <v>4393</v>
      </c>
      <c r="F1030" t="str">
        <f>VLOOKUP(E1030,country_continent!A:C,2,FALSE)</f>
        <v>Ireland</v>
      </c>
      <c r="G1030" t="str">
        <f>VLOOKUP(E1030,country_continent!A:C,3,FALSE)</f>
        <v>Europe</v>
      </c>
      <c r="H1030" t="s">
        <v>4410</v>
      </c>
      <c r="I1030" s="1">
        <v>8288</v>
      </c>
      <c r="J1030" s="3">
        <f t="shared" si="48"/>
        <v>8288</v>
      </c>
      <c r="K1030" s="1">
        <v>11757</v>
      </c>
      <c r="L1030" s="3">
        <f t="shared" si="49"/>
        <v>11757</v>
      </c>
      <c r="M1030" t="s">
        <v>49</v>
      </c>
      <c r="N1030" t="s">
        <v>49</v>
      </c>
      <c r="O1030" t="s">
        <v>49</v>
      </c>
      <c r="P1030">
        <v>0</v>
      </c>
      <c r="Q1030" t="s">
        <v>50</v>
      </c>
      <c r="R1030" t="s">
        <v>51</v>
      </c>
      <c r="S1030">
        <v>1880</v>
      </c>
      <c r="T1030">
        <v>1965</v>
      </c>
      <c r="U1030" t="s">
        <v>4411</v>
      </c>
      <c r="V1030" t="s">
        <v>4412</v>
      </c>
      <c r="W1030" s="1">
        <v>24062</v>
      </c>
      <c r="X1030" s="2">
        <v>24062</v>
      </c>
      <c r="Y1030" t="s">
        <v>4413</v>
      </c>
      <c r="Z1030">
        <v>0</v>
      </c>
      <c r="AA1030">
        <v>1</v>
      </c>
      <c r="AB1030">
        <v>0</v>
      </c>
      <c r="AC1030">
        <v>0</v>
      </c>
      <c r="AD1030" t="s">
        <v>4414</v>
      </c>
      <c r="AE1030">
        <v>0</v>
      </c>
      <c r="AF1030">
        <v>1922</v>
      </c>
      <c r="AG1030">
        <v>1932</v>
      </c>
      <c r="AO1030" t="b">
        <v>0</v>
      </c>
      <c r="AT1030">
        <v>3469</v>
      </c>
      <c r="AU1030">
        <f t="shared" si="50"/>
        <v>9.5039999999999996</v>
      </c>
    </row>
    <row r="1031" spans="1:47" x14ac:dyDescent="0.3">
      <c r="A1031">
        <v>1029</v>
      </c>
      <c r="B1031" t="s">
        <v>4415</v>
      </c>
      <c r="C1031" t="s">
        <v>4392</v>
      </c>
      <c r="D1031">
        <v>205</v>
      </c>
      <c r="E1031" t="s">
        <v>4393</v>
      </c>
      <c r="F1031" t="str">
        <f>VLOOKUP(E1031,country_continent!A:C,2,FALSE)</f>
        <v>Ireland</v>
      </c>
      <c r="G1031" t="str">
        <f>VLOOKUP(E1031,country_continent!A:C,3,FALSE)</f>
        <v>Europe</v>
      </c>
      <c r="H1031" t="s">
        <v>4394</v>
      </c>
      <c r="I1031" s="1">
        <v>11757</v>
      </c>
      <c r="J1031" s="3">
        <f t="shared" si="48"/>
        <v>11757</v>
      </c>
      <c r="K1031" s="1">
        <v>17581</v>
      </c>
      <c r="L1031" s="3">
        <f t="shared" si="49"/>
        <v>17581</v>
      </c>
      <c r="M1031" t="s">
        <v>49</v>
      </c>
      <c r="N1031" t="s">
        <v>49</v>
      </c>
      <c r="O1031" t="s">
        <v>49</v>
      </c>
      <c r="P1031">
        <v>1</v>
      </c>
      <c r="Q1031" t="s">
        <v>50</v>
      </c>
      <c r="R1031" t="s">
        <v>51</v>
      </c>
      <c r="S1031">
        <v>1882</v>
      </c>
      <c r="T1031">
        <v>1975</v>
      </c>
      <c r="U1031" t="s">
        <v>4395</v>
      </c>
      <c r="V1031" t="s">
        <v>4396</v>
      </c>
      <c r="W1031" s="1">
        <v>27635</v>
      </c>
      <c r="X1031" s="2">
        <v>27635</v>
      </c>
      <c r="Z1031">
        <v>0</v>
      </c>
      <c r="AA1031">
        <v>1</v>
      </c>
      <c r="AB1031">
        <v>0</v>
      </c>
      <c r="AC1031">
        <v>0</v>
      </c>
      <c r="AF1031">
        <v>1932</v>
      </c>
      <c r="AG1031">
        <v>1948</v>
      </c>
      <c r="AO1031" t="b">
        <v>0</v>
      </c>
      <c r="AT1031">
        <v>5824</v>
      </c>
      <c r="AU1031">
        <f t="shared" si="50"/>
        <v>15.956</v>
      </c>
    </row>
    <row r="1032" spans="1:47" x14ac:dyDescent="0.3">
      <c r="A1032">
        <v>1030</v>
      </c>
      <c r="B1032" t="s">
        <v>4416</v>
      </c>
      <c r="C1032" t="s">
        <v>4417</v>
      </c>
      <c r="D1032">
        <v>205</v>
      </c>
      <c r="E1032" t="s">
        <v>4393</v>
      </c>
      <c r="F1032" t="str">
        <f>VLOOKUP(E1032,country_continent!A:C,2,FALSE)</f>
        <v>Ireland</v>
      </c>
      <c r="G1032" t="str">
        <f>VLOOKUP(E1032,country_continent!A:C,3,FALSE)</f>
        <v>Europe</v>
      </c>
      <c r="H1032" t="s">
        <v>4418</v>
      </c>
      <c r="I1032" s="1">
        <v>17581</v>
      </c>
      <c r="J1032" s="3">
        <f t="shared" si="48"/>
        <v>17581</v>
      </c>
      <c r="K1032" s="1">
        <v>18792</v>
      </c>
      <c r="L1032" s="3">
        <f t="shared" si="49"/>
        <v>18792</v>
      </c>
      <c r="M1032" t="s">
        <v>49</v>
      </c>
      <c r="N1032" t="s">
        <v>49</v>
      </c>
      <c r="O1032" t="s">
        <v>49</v>
      </c>
      <c r="P1032">
        <v>0</v>
      </c>
      <c r="Q1032" t="s">
        <v>50</v>
      </c>
      <c r="R1032" t="s">
        <v>51</v>
      </c>
      <c r="S1032">
        <v>1891</v>
      </c>
      <c r="T1032">
        <v>1976</v>
      </c>
      <c r="U1032" t="s">
        <v>4419</v>
      </c>
      <c r="V1032" t="s">
        <v>4420</v>
      </c>
      <c r="W1032" s="1">
        <v>27764</v>
      </c>
      <c r="X1032" s="2">
        <v>27764</v>
      </c>
      <c r="Y1032" t="s">
        <v>4421</v>
      </c>
      <c r="Z1032">
        <v>0</v>
      </c>
      <c r="AA1032">
        <v>1</v>
      </c>
      <c r="AB1032">
        <v>0</v>
      </c>
      <c r="AC1032">
        <v>0</v>
      </c>
      <c r="AF1032">
        <v>1948</v>
      </c>
      <c r="AG1032">
        <v>1951</v>
      </c>
      <c r="AO1032" t="b">
        <v>0</v>
      </c>
      <c r="AT1032">
        <v>1211</v>
      </c>
      <c r="AU1032">
        <f t="shared" si="50"/>
        <v>3.3180000000000001</v>
      </c>
    </row>
    <row r="1033" spans="1:47" x14ac:dyDescent="0.3">
      <c r="A1033">
        <v>1031</v>
      </c>
      <c r="B1033" t="s">
        <v>4422</v>
      </c>
      <c r="C1033" t="s">
        <v>4392</v>
      </c>
      <c r="D1033">
        <v>205</v>
      </c>
      <c r="E1033" t="s">
        <v>4393</v>
      </c>
      <c r="F1033" t="str">
        <f>VLOOKUP(E1033,country_continent!A:C,2,FALSE)</f>
        <v>Ireland</v>
      </c>
      <c r="G1033" t="str">
        <f>VLOOKUP(E1033,country_continent!A:C,3,FALSE)</f>
        <v>Europe</v>
      </c>
      <c r="H1033" t="s">
        <v>4394</v>
      </c>
      <c r="I1033" s="1">
        <v>18792</v>
      </c>
      <c r="J1033" s="3">
        <f t="shared" si="48"/>
        <v>18792</v>
      </c>
      <c r="K1033" s="1">
        <v>19877</v>
      </c>
      <c r="L1033" s="3">
        <f t="shared" si="49"/>
        <v>19877</v>
      </c>
      <c r="M1033" t="s">
        <v>49</v>
      </c>
      <c r="N1033" t="s">
        <v>49</v>
      </c>
      <c r="O1033" t="s">
        <v>49</v>
      </c>
      <c r="P1033">
        <v>2</v>
      </c>
      <c r="Q1033" t="s">
        <v>50</v>
      </c>
      <c r="R1033" t="s">
        <v>51</v>
      </c>
      <c r="S1033">
        <v>1882</v>
      </c>
      <c r="T1033">
        <v>1975</v>
      </c>
      <c r="U1033" t="s">
        <v>4395</v>
      </c>
      <c r="V1033" t="s">
        <v>4396</v>
      </c>
      <c r="W1033" s="1">
        <v>27635</v>
      </c>
      <c r="X1033" s="2">
        <v>27635</v>
      </c>
      <c r="Z1033">
        <v>0</v>
      </c>
      <c r="AA1033">
        <v>1</v>
      </c>
      <c r="AB1033">
        <v>0</v>
      </c>
      <c r="AC1033">
        <v>0</v>
      </c>
      <c r="AF1033">
        <v>1951</v>
      </c>
      <c r="AG1033">
        <v>1954</v>
      </c>
      <c r="AO1033" t="b">
        <v>0</v>
      </c>
      <c r="AT1033">
        <v>1085</v>
      </c>
      <c r="AU1033">
        <f t="shared" si="50"/>
        <v>2.9729999999999999</v>
      </c>
    </row>
    <row r="1034" spans="1:47" x14ac:dyDescent="0.3">
      <c r="A1034">
        <v>1032</v>
      </c>
      <c r="B1034" t="s">
        <v>4423</v>
      </c>
      <c r="C1034" t="s">
        <v>4417</v>
      </c>
      <c r="D1034">
        <v>205</v>
      </c>
      <c r="E1034" t="s">
        <v>4393</v>
      </c>
      <c r="F1034" t="str">
        <f>VLOOKUP(E1034,country_continent!A:C,2,FALSE)</f>
        <v>Ireland</v>
      </c>
      <c r="G1034" t="str">
        <f>VLOOKUP(E1034,country_continent!A:C,3,FALSE)</f>
        <v>Europe</v>
      </c>
      <c r="H1034" t="s">
        <v>4418</v>
      </c>
      <c r="I1034" s="1">
        <v>19877</v>
      </c>
      <c r="J1034" s="3">
        <f t="shared" si="48"/>
        <v>19877</v>
      </c>
      <c r="K1034" s="1">
        <v>20899</v>
      </c>
      <c r="L1034" s="3">
        <f t="shared" si="49"/>
        <v>20899</v>
      </c>
      <c r="M1034" t="s">
        <v>49</v>
      </c>
      <c r="N1034" t="s">
        <v>49</v>
      </c>
      <c r="O1034" t="s">
        <v>49</v>
      </c>
      <c r="P1034">
        <v>1</v>
      </c>
      <c r="Q1034" t="s">
        <v>50</v>
      </c>
      <c r="R1034" t="s">
        <v>51</v>
      </c>
      <c r="S1034">
        <v>1891</v>
      </c>
      <c r="T1034">
        <v>1976</v>
      </c>
      <c r="U1034" t="s">
        <v>4419</v>
      </c>
      <c r="V1034" t="s">
        <v>4420</v>
      </c>
      <c r="W1034" s="1">
        <v>27764</v>
      </c>
      <c r="X1034" s="2">
        <v>27764</v>
      </c>
      <c r="Y1034" t="s">
        <v>4421</v>
      </c>
      <c r="Z1034">
        <v>0</v>
      </c>
      <c r="AA1034">
        <v>1</v>
      </c>
      <c r="AB1034">
        <v>0</v>
      </c>
      <c r="AC1034">
        <v>0</v>
      </c>
      <c r="AF1034">
        <v>1954</v>
      </c>
      <c r="AG1034">
        <v>1957</v>
      </c>
      <c r="AO1034" t="b">
        <v>0</v>
      </c>
      <c r="AT1034">
        <v>1022</v>
      </c>
      <c r="AU1034">
        <f t="shared" si="50"/>
        <v>2.8</v>
      </c>
    </row>
    <row r="1035" spans="1:47" x14ac:dyDescent="0.3">
      <c r="A1035">
        <v>1033</v>
      </c>
      <c r="B1035" t="s">
        <v>4424</v>
      </c>
      <c r="C1035" t="s">
        <v>4392</v>
      </c>
      <c r="D1035">
        <v>205</v>
      </c>
      <c r="E1035" t="s">
        <v>4393</v>
      </c>
      <c r="F1035" t="str">
        <f>VLOOKUP(E1035,country_continent!A:C,2,FALSE)</f>
        <v>Ireland</v>
      </c>
      <c r="G1035" t="str">
        <f>VLOOKUP(E1035,country_continent!A:C,3,FALSE)</f>
        <v>Europe</v>
      </c>
      <c r="H1035" t="s">
        <v>4394</v>
      </c>
      <c r="I1035" s="1">
        <v>20899</v>
      </c>
      <c r="J1035" s="3">
        <f t="shared" si="48"/>
        <v>20899</v>
      </c>
      <c r="K1035" s="1">
        <v>21724</v>
      </c>
      <c r="L1035" s="3">
        <f t="shared" si="49"/>
        <v>21724</v>
      </c>
      <c r="M1035" t="s">
        <v>49</v>
      </c>
      <c r="N1035" t="s">
        <v>49</v>
      </c>
      <c r="O1035" t="s">
        <v>49</v>
      </c>
      <c r="P1035">
        <v>3</v>
      </c>
      <c r="Q1035" t="s">
        <v>50</v>
      </c>
      <c r="R1035" t="s">
        <v>51</v>
      </c>
      <c r="S1035">
        <v>1882</v>
      </c>
      <c r="T1035">
        <v>1975</v>
      </c>
      <c r="U1035" t="s">
        <v>4395</v>
      </c>
      <c r="V1035" t="s">
        <v>4396</v>
      </c>
      <c r="W1035" s="1">
        <v>27635</v>
      </c>
      <c r="X1035" s="2">
        <v>27635</v>
      </c>
      <c r="Z1035">
        <v>0</v>
      </c>
      <c r="AA1035">
        <v>1</v>
      </c>
      <c r="AB1035">
        <v>0</v>
      </c>
      <c r="AC1035">
        <v>0</v>
      </c>
      <c r="AF1035">
        <v>1957</v>
      </c>
      <c r="AG1035">
        <v>1959</v>
      </c>
      <c r="AO1035" t="b">
        <v>0</v>
      </c>
      <c r="AT1035">
        <v>825</v>
      </c>
      <c r="AU1035">
        <f t="shared" si="50"/>
        <v>2.2599999999999998</v>
      </c>
    </row>
    <row r="1036" spans="1:47" x14ac:dyDescent="0.3">
      <c r="A1036">
        <v>1034</v>
      </c>
      <c r="B1036" t="s">
        <v>4425</v>
      </c>
      <c r="C1036" t="s">
        <v>4426</v>
      </c>
      <c r="D1036">
        <v>205</v>
      </c>
      <c r="E1036" t="s">
        <v>4393</v>
      </c>
      <c r="F1036" t="str">
        <f>VLOOKUP(E1036,country_continent!A:C,2,FALSE)</f>
        <v>Ireland</v>
      </c>
      <c r="G1036" t="str">
        <f>VLOOKUP(E1036,country_continent!A:C,3,FALSE)</f>
        <v>Europe</v>
      </c>
      <c r="H1036" t="s">
        <v>4427</v>
      </c>
      <c r="I1036" s="1">
        <v>21724</v>
      </c>
      <c r="J1036" s="3">
        <f t="shared" si="48"/>
        <v>21724</v>
      </c>
      <c r="K1036" s="1">
        <v>24421</v>
      </c>
      <c r="L1036" s="3">
        <f t="shared" si="49"/>
        <v>24421</v>
      </c>
      <c r="M1036" t="s">
        <v>49</v>
      </c>
      <c r="N1036" t="s">
        <v>49</v>
      </c>
      <c r="O1036" t="s">
        <v>49</v>
      </c>
      <c r="P1036">
        <v>0</v>
      </c>
      <c r="Q1036" t="s">
        <v>50</v>
      </c>
      <c r="R1036" t="s">
        <v>51</v>
      </c>
      <c r="S1036">
        <v>1899</v>
      </c>
      <c r="T1036">
        <v>1971</v>
      </c>
      <c r="U1036" t="s">
        <v>4428</v>
      </c>
      <c r="V1036" t="s">
        <v>4429</v>
      </c>
      <c r="W1036" s="1">
        <v>26064</v>
      </c>
      <c r="X1036" s="2">
        <v>26064</v>
      </c>
      <c r="Z1036">
        <v>0</v>
      </c>
      <c r="AA1036">
        <v>1</v>
      </c>
      <c r="AB1036">
        <v>0</v>
      </c>
      <c r="AC1036">
        <v>0</v>
      </c>
      <c r="AF1036">
        <v>1959</v>
      </c>
      <c r="AG1036">
        <v>1966</v>
      </c>
      <c r="AO1036" t="b">
        <v>0</v>
      </c>
      <c r="AT1036">
        <v>2697</v>
      </c>
      <c r="AU1036">
        <f t="shared" si="50"/>
        <v>7.3890000000000002</v>
      </c>
    </row>
    <row r="1037" spans="1:47" x14ac:dyDescent="0.3">
      <c r="A1037">
        <v>1035</v>
      </c>
      <c r="B1037" t="s">
        <v>4430</v>
      </c>
      <c r="C1037" t="s">
        <v>4431</v>
      </c>
      <c r="D1037">
        <v>205</v>
      </c>
      <c r="E1037" t="s">
        <v>4393</v>
      </c>
      <c r="F1037" t="str">
        <f>VLOOKUP(E1037,country_continent!A:C,2,FALSE)</f>
        <v>Ireland</v>
      </c>
      <c r="G1037" t="str">
        <f>VLOOKUP(E1037,country_continent!A:C,3,FALSE)</f>
        <v>Europe</v>
      </c>
      <c r="H1037" t="s">
        <v>4432</v>
      </c>
      <c r="I1037" s="1">
        <v>24421</v>
      </c>
      <c r="J1037" s="3">
        <f t="shared" si="48"/>
        <v>24421</v>
      </c>
      <c r="K1037" s="1">
        <v>26737</v>
      </c>
      <c r="L1037" s="3">
        <f t="shared" si="49"/>
        <v>26737</v>
      </c>
      <c r="M1037" t="s">
        <v>49</v>
      </c>
      <c r="N1037" t="s">
        <v>49</v>
      </c>
      <c r="O1037" t="s">
        <v>49</v>
      </c>
      <c r="P1037">
        <v>0</v>
      </c>
      <c r="Q1037" t="s">
        <v>50</v>
      </c>
      <c r="R1037" t="s">
        <v>51</v>
      </c>
      <c r="S1037">
        <v>1917</v>
      </c>
      <c r="T1037">
        <v>1999</v>
      </c>
      <c r="U1037" s="1">
        <v>6437</v>
      </c>
      <c r="V1037" s="2">
        <v>6437</v>
      </c>
      <c r="W1037" s="1">
        <v>36453</v>
      </c>
      <c r="X1037" s="2">
        <v>36453</v>
      </c>
      <c r="Y1037" t="s">
        <v>4433</v>
      </c>
      <c r="Z1037">
        <v>0</v>
      </c>
      <c r="AA1037">
        <v>1</v>
      </c>
      <c r="AB1037">
        <v>0</v>
      </c>
      <c r="AC1037">
        <v>0</v>
      </c>
      <c r="AF1037">
        <v>1966</v>
      </c>
      <c r="AG1037">
        <v>1973</v>
      </c>
      <c r="AO1037" t="b">
        <v>0</v>
      </c>
      <c r="AT1037">
        <v>2316</v>
      </c>
      <c r="AU1037">
        <f t="shared" si="50"/>
        <v>6.3449999999999998</v>
      </c>
    </row>
    <row r="1038" spans="1:47" x14ac:dyDescent="0.3">
      <c r="A1038">
        <v>1036</v>
      </c>
      <c r="B1038" t="s">
        <v>4434</v>
      </c>
      <c r="C1038" t="s">
        <v>4435</v>
      </c>
      <c r="D1038">
        <v>205</v>
      </c>
      <c r="E1038" t="s">
        <v>4393</v>
      </c>
      <c r="F1038" t="str">
        <f>VLOOKUP(E1038,country_continent!A:C,2,FALSE)</f>
        <v>Ireland</v>
      </c>
      <c r="G1038" t="str">
        <f>VLOOKUP(E1038,country_continent!A:C,3,FALSE)</f>
        <v>Europe</v>
      </c>
      <c r="H1038" t="s">
        <v>4436</v>
      </c>
      <c r="I1038" s="1">
        <v>26737</v>
      </c>
      <c r="J1038" s="3">
        <f t="shared" si="48"/>
        <v>26737</v>
      </c>
      <c r="K1038" s="1">
        <v>28311</v>
      </c>
      <c r="L1038" s="3">
        <f t="shared" si="49"/>
        <v>28311</v>
      </c>
      <c r="M1038" t="s">
        <v>49</v>
      </c>
      <c r="N1038" t="s">
        <v>49</v>
      </c>
      <c r="O1038" t="s">
        <v>49</v>
      </c>
      <c r="P1038">
        <v>0</v>
      </c>
      <c r="Q1038" t="s">
        <v>50</v>
      </c>
      <c r="R1038" t="s">
        <v>51</v>
      </c>
      <c r="S1038">
        <v>1920</v>
      </c>
      <c r="T1038">
        <v>-777</v>
      </c>
      <c r="U1038" s="1">
        <v>7426</v>
      </c>
      <c r="V1038" s="2">
        <v>7426</v>
      </c>
      <c r="Z1038">
        <v>0</v>
      </c>
      <c r="AA1038">
        <v>1</v>
      </c>
      <c r="AB1038">
        <v>0</v>
      </c>
      <c r="AC1038">
        <v>0</v>
      </c>
      <c r="AD1038" t="s">
        <v>4437</v>
      </c>
      <c r="AE1038">
        <v>1</v>
      </c>
      <c r="AF1038">
        <v>1973</v>
      </c>
      <c r="AG1038">
        <v>1977</v>
      </c>
      <c r="AO1038" t="b">
        <v>0</v>
      </c>
      <c r="AT1038">
        <v>1574</v>
      </c>
      <c r="AU1038">
        <f t="shared" si="50"/>
        <v>4.3120000000000003</v>
      </c>
    </row>
    <row r="1039" spans="1:47" x14ac:dyDescent="0.3">
      <c r="A1039">
        <v>1037</v>
      </c>
      <c r="B1039" t="s">
        <v>4438</v>
      </c>
      <c r="C1039" t="s">
        <v>4431</v>
      </c>
      <c r="D1039">
        <v>205</v>
      </c>
      <c r="E1039" t="s">
        <v>4393</v>
      </c>
      <c r="F1039" t="str">
        <f>VLOOKUP(E1039,country_continent!A:C,2,FALSE)</f>
        <v>Ireland</v>
      </c>
      <c r="G1039" t="str">
        <f>VLOOKUP(E1039,country_continent!A:C,3,FALSE)</f>
        <v>Europe</v>
      </c>
      <c r="H1039" t="s">
        <v>4432</v>
      </c>
      <c r="I1039" s="1">
        <v>28311</v>
      </c>
      <c r="J1039" s="3">
        <f t="shared" si="48"/>
        <v>28311</v>
      </c>
      <c r="K1039" s="1">
        <v>29200</v>
      </c>
      <c r="L1039" s="3">
        <f t="shared" si="49"/>
        <v>29200</v>
      </c>
      <c r="M1039" t="s">
        <v>49</v>
      </c>
      <c r="N1039" t="s">
        <v>49</v>
      </c>
      <c r="O1039" t="s">
        <v>49</v>
      </c>
      <c r="P1039">
        <v>1</v>
      </c>
      <c r="Q1039" t="s">
        <v>50</v>
      </c>
      <c r="R1039" t="s">
        <v>51</v>
      </c>
      <c r="S1039">
        <v>1917</v>
      </c>
      <c r="T1039">
        <v>1999</v>
      </c>
      <c r="U1039" s="1">
        <v>6437</v>
      </c>
      <c r="V1039" s="2">
        <v>6437</v>
      </c>
      <c r="W1039" s="1">
        <v>36453</v>
      </c>
      <c r="X1039" s="2">
        <v>36453</v>
      </c>
      <c r="Y1039" t="s">
        <v>4433</v>
      </c>
      <c r="Z1039">
        <v>0</v>
      </c>
      <c r="AA1039">
        <v>1</v>
      </c>
      <c r="AB1039">
        <v>0</v>
      </c>
      <c r="AC1039">
        <v>0</v>
      </c>
      <c r="AF1039">
        <v>1977</v>
      </c>
      <c r="AG1039">
        <v>1979</v>
      </c>
      <c r="AO1039" t="b">
        <v>0</v>
      </c>
      <c r="AT1039">
        <v>889</v>
      </c>
      <c r="AU1039">
        <f t="shared" si="50"/>
        <v>2.4359999999999999</v>
      </c>
    </row>
    <row r="1040" spans="1:47" x14ac:dyDescent="0.3">
      <c r="A1040">
        <v>1038</v>
      </c>
      <c r="B1040" t="s">
        <v>4439</v>
      </c>
      <c r="C1040" t="s">
        <v>4440</v>
      </c>
      <c r="D1040">
        <v>205</v>
      </c>
      <c r="E1040" t="s">
        <v>4393</v>
      </c>
      <c r="F1040" t="str">
        <f>VLOOKUP(E1040,country_continent!A:C,2,FALSE)</f>
        <v>Ireland</v>
      </c>
      <c r="G1040" t="str">
        <f>VLOOKUP(E1040,country_continent!A:C,3,FALSE)</f>
        <v>Europe</v>
      </c>
      <c r="H1040" t="s">
        <v>4441</v>
      </c>
      <c r="I1040" s="1">
        <v>29200</v>
      </c>
      <c r="J1040" s="3">
        <f t="shared" si="48"/>
        <v>29200</v>
      </c>
      <c r="K1040" s="1">
        <v>29767</v>
      </c>
      <c r="L1040" s="3">
        <f t="shared" si="49"/>
        <v>29767</v>
      </c>
      <c r="M1040" t="s">
        <v>49</v>
      </c>
      <c r="N1040" t="s">
        <v>49</v>
      </c>
      <c r="O1040" t="s">
        <v>49</v>
      </c>
      <c r="P1040">
        <v>0</v>
      </c>
      <c r="Q1040" t="s">
        <v>50</v>
      </c>
      <c r="R1040" t="s">
        <v>51</v>
      </c>
      <c r="S1040">
        <v>1925</v>
      </c>
      <c r="T1040">
        <v>2006</v>
      </c>
      <c r="U1040" s="1">
        <v>9391</v>
      </c>
      <c r="V1040" s="2">
        <v>9391</v>
      </c>
      <c r="W1040" s="1">
        <v>38881</v>
      </c>
      <c r="X1040" s="2">
        <v>38881</v>
      </c>
      <c r="Y1040" t="s">
        <v>4442</v>
      </c>
      <c r="Z1040">
        <v>0</v>
      </c>
      <c r="AA1040">
        <v>1</v>
      </c>
      <c r="AB1040">
        <v>0</v>
      </c>
      <c r="AC1040">
        <v>0</v>
      </c>
      <c r="AF1040">
        <v>1979</v>
      </c>
      <c r="AG1040">
        <v>1981</v>
      </c>
      <c r="AO1040" t="b">
        <v>0</v>
      </c>
      <c r="AT1040">
        <v>567</v>
      </c>
      <c r="AU1040">
        <f t="shared" si="50"/>
        <v>1.5529999999999999</v>
      </c>
    </row>
    <row r="1041" spans="1:47" x14ac:dyDescent="0.3">
      <c r="A1041">
        <v>1039</v>
      </c>
      <c r="B1041" t="s">
        <v>4443</v>
      </c>
      <c r="C1041" t="s">
        <v>4444</v>
      </c>
      <c r="D1041">
        <v>205</v>
      </c>
      <c r="E1041" t="s">
        <v>4393</v>
      </c>
      <c r="F1041" t="str">
        <f>VLOOKUP(E1041,country_continent!A:C,2,FALSE)</f>
        <v>Ireland</v>
      </c>
      <c r="G1041" t="str">
        <f>VLOOKUP(E1041,country_continent!A:C,3,FALSE)</f>
        <v>Europe</v>
      </c>
      <c r="H1041" t="s">
        <v>4445</v>
      </c>
      <c r="I1041" s="1">
        <v>29767</v>
      </c>
      <c r="J1041" s="3">
        <f t="shared" si="48"/>
        <v>29767</v>
      </c>
      <c r="K1041" s="1">
        <v>30019</v>
      </c>
      <c r="L1041" s="3">
        <f t="shared" si="49"/>
        <v>30019</v>
      </c>
      <c r="M1041" t="s">
        <v>49</v>
      </c>
      <c r="N1041" t="s">
        <v>49</v>
      </c>
      <c r="O1041" t="s">
        <v>49</v>
      </c>
      <c r="P1041">
        <v>0</v>
      </c>
      <c r="Q1041" t="s">
        <v>50</v>
      </c>
      <c r="R1041" t="s">
        <v>51</v>
      </c>
      <c r="S1041">
        <v>1926</v>
      </c>
      <c r="T1041">
        <v>2011</v>
      </c>
      <c r="U1041" s="1">
        <v>9537</v>
      </c>
      <c r="V1041" s="2">
        <v>9537</v>
      </c>
      <c r="Y1041" t="s">
        <v>4446</v>
      </c>
      <c r="Z1041">
        <v>0</v>
      </c>
      <c r="AA1041">
        <v>1</v>
      </c>
      <c r="AB1041">
        <v>0</v>
      </c>
      <c r="AC1041">
        <v>0</v>
      </c>
      <c r="AF1041">
        <v>1981</v>
      </c>
      <c r="AG1041">
        <v>1982</v>
      </c>
      <c r="AO1041" t="b">
        <v>0</v>
      </c>
      <c r="AT1041">
        <v>252</v>
      </c>
      <c r="AU1041">
        <f t="shared" si="50"/>
        <v>0.69</v>
      </c>
    </row>
    <row r="1042" spans="1:47" x14ac:dyDescent="0.3">
      <c r="A1042">
        <v>1040</v>
      </c>
      <c r="B1042" t="s">
        <v>4447</v>
      </c>
      <c r="C1042" t="s">
        <v>4440</v>
      </c>
      <c r="D1042">
        <v>205</v>
      </c>
      <c r="E1042" t="s">
        <v>4393</v>
      </c>
      <c r="F1042" t="str">
        <f>VLOOKUP(E1042,country_continent!A:C,2,FALSE)</f>
        <v>Ireland</v>
      </c>
      <c r="G1042" t="str">
        <f>VLOOKUP(E1042,country_continent!A:C,3,FALSE)</f>
        <v>Europe</v>
      </c>
      <c r="H1042" t="s">
        <v>4441</v>
      </c>
      <c r="I1042" s="1">
        <v>30019</v>
      </c>
      <c r="J1042" s="3">
        <f t="shared" si="48"/>
        <v>30019</v>
      </c>
      <c r="K1042" s="1">
        <v>30299</v>
      </c>
      <c r="L1042" s="3">
        <f t="shared" si="49"/>
        <v>30299</v>
      </c>
      <c r="M1042" t="s">
        <v>49</v>
      </c>
      <c r="N1042" t="s">
        <v>49</v>
      </c>
      <c r="O1042" t="s">
        <v>49</v>
      </c>
      <c r="P1042">
        <v>1</v>
      </c>
      <c r="Q1042" t="s">
        <v>50</v>
      </c>
      <c r="R1042" t="s">
        <v>51</v>
      </c>
      <c r="S1042">
        <v>1925</v>
      </c>
      <c r="T1042">
        <v>2006</v>
      </c>
      <c r="U1042" s="1">
        <v>9391</v>
      </c>
      <c r="V1042" s="2">
        <v>9391</v>
      </c>
      <c r="W1042" s="1">
        <v>38881</v>
      </c>
      <c r="X1042" s="2">
        <v>38881</v>
      </c>
      <c r="Y1042" t="s">
        <v>4442</v>
      </c>
      <c r="Z1042">
        <v>0</v>
      </c>
      <c r="AA1042">
        <v>1</v>
      </c>
      <c r="AB1042">
        <v>0</v>
      </c>
      <c r="AC1042">
        <v>0</v>
      </c>
      <c r="AF1042">
        <v>1982</v>
      </c>
      <c r="AG1042">
        <v>1982</v>
      </c>
      <c r="AO1042" t="b">
        <v>0</v>
      </c>
      <c r="AT1042">
        <v>280</v>
      </c>
      <c r="AU1042">
        <f t="shared" si="50"/>
        <v>0.76700000000000002</v>
      </c>
    </row>
    <row r="1043" spans="1:47" x14ac:dyDescent="0.3">
      <c r="A1043">
        <v>1041</v>
      </c>
      <c r="B1043" t="s">
        <v>4448</v>
      </c>
      <c r="C1043" t="s">
        <v>4444</v>
      </c>
      <c r="D1043">
        <v>205</v>
      </c>
      <c r="E1043" t="s">
        <v>4393</v>
      </c>
      <c r="F1043" t="str">
        <f>VLOOKUP(E1043,country_continent!A:C,2,FALSE)</f>
        <v>Ireland</v>
      </c>
      <c r="G1043" t="str">
        <f>VLOOKUP(E1043,country_continent!A:C,3,FALSE)</f>
        <v>Europe</v>
      </c>
      <c r="H1043" t="s">
        <v>4445</v>
      </c>
      <c r="I1043" s="1">
        <v>30299</v>
      </c>
      <c r="J1043" s="3">
        <f t="shared" si="48"/>
        <v>30299</v>
      </c>
      <c r="K1043" s="1">
        <v>31846</v>
      </c>
      <c r="L1043" s="3">
        <f t="shared" si="49"/>
        <v>31846</v>
      </c>
      <c r="M1043" t="s">
        <v>49</v>
      </c>
      <c r="N1043" t="s">
        <v>49</v>
      </c>
      <c r="O1043" t="s">
        <v>49</v>
      </c>
      <c r="P1043">
        <v>1</v>
      </c>
      <c r="Q1043" t="s">
        <v>50</v>
      </c>
      <c r="R1043" t="s">
        <v>51</v>
      </c>
      <c r="S1043">
        <v>1926</v>
      </c>
      <c r="T1043">
        <v>2011</v>
      </c>
      <c r="U1043" s="1">
        <v>9537</v>
      </c>
      <c r="V1043" s="2">
        <v>9537</v>
      </c>
      <c r="Y1043" t="s">
        <v>4446</v>
      </c>
      <c r="Z1043">
        <v>0</v>
      </c>
      <c r="AA1043">
        <v>1</v>
      </c>
      <c r="AB1043">
        <v>0</v>
      </c>
      <c r="AC1043">
        <v>0</v>
      </c>
      <c r="AF1043">
        <v>1982</v>
      </c>
      <c r="AG1043">
        <v>1987</v>
      </c>
      <c r="AO1043" t="b">
        <v>0</v>
      </c>
      <c r="AT1043">
        <v>1547</v>
      </c>
      <c r="AU1043">
        <f t="shared" si="50"/>
        <v>4.2380000000000004</v>
      </c>
    </row>
    <row r="1044" spans="1:47" x14ac:dyDescent="0.3">
      <c r="A1044">
        <v>1042</v>
      </c>
      <c r="B1044" t="s">
        <v>4449</v>
      </c>
      <c r="C1044" t="s">
        <v>4440</v>
      </c>
      <c r="D1044">
        <v>205</v>
      </c>
      <c r="E1044" t="s">
        <v>4393</v>
      </c>
      <c r="F1044" t="str">
        <f>VLOOKUP(E1044,country_continent!A:C,2,FALSE)</f>
        <v>Ireland</v>
      </c>
      <c r="G1044" t="str">
        <f>VLOOKUP(E1044,country_continent!A:C,3,FALSE)</f>
        <v>Europe</v>
      </c>
      <c r="H1044" t="s">
        <v>4441</v>
      </c>
      <c r="I1044" s="1">
        <v>31846</v>
      </c>
      <c r="J1044" s="3">
        <f t="shared" si="48"/>
        <v>31846</v>
      </c>
      <c r="K1044" s="1">
        <v>33645</v>
      </c>
      <c r="L1044" s="3">
        <f t="shared" si="49"/>
        <v>33645</v>
      </c>
      <c r="M1044" t="s">
        <v>49</v>
      </c>
      <c r="N1044" t="s">
        <v>49</v>
      </c>
      <c r="O1044" t="s">
        <v>49</v>
      </c>
      <c r="P1044">
        <v>2</v>
      </c>
      <c r="Q1044" t="s">
        <v>50</v>
      </c>
      <c r="R1044" t="s">
        <v>51</v>
      </c>
      <c r="S1044">
        <v>1925</v>
      </c>
      <c r="T1044">
        <v>2006</v>
      </c>
      <c r="U1044" s="1">
        <v>9391</v>
      </c>
      <c r="V1044" s="2">
        <v>9391</v>
      </c>
      <c r="W1044" s="1">
        <v>38881</v>
      </c>
      <c r="X1044" s="2">
        <v>38881</v>
      </c>
      <c r="Y1044" t="s">
        <v>4442</v>
      </c>
      <c r="Z1044">
        <v>0</v>
      </c>
      <c r="AA1044">
        <v>1</v>
      </c>
      <c r="AB1044">
        <v>0</v>
      </c>
      <c r="AC1044">
        <v>0</v>
      </c>
      <c r="AF1044">
        <v>1987</v>
      </c>
      <c r="AG1044">
        <v>1992</v>
      </c>
      <c r="AO1044" t="b">
        <v>0</v>
      </c>
      <c r="AT1044">
        <v>1799</v>
      </c>
      <c r="AU1044">
        <f t="shared" si="50"/>
        <v>4.9290000000000003</v>
      </c>
    </row>
    <row r="1045" spans="1:47" x14ac:dyDescent="0.3">
      <c r="A1045">
        <v>1043</v>
      </c>
      <c r="B1045" t="s">
        <v>4450</v>
      </c>
      <c r="C1045" t="s">
        <v>4451</v>
      </c>
      <c r="D1045">
        <v>205</v>
      </c>
      <c r="E1045" t="s">
        <v>4393</v>
      </c>
      <c r="F1045" t="str">
        <f>VLOOKUP(E1045,country_continent!A:C,2,FALSE)</f>
        <v>Ireland</v>
      </c>
      <c r="G1045" t="str">
        <f>VLOOKUP(E1045,country_continent!A:C,3,FALSE)</f>
        <v>Europe</v>
      </c>
      <c r="H1045" t="s">
        <v>4452</v>
      </c>
      <c r="I1045" s="1">
        <v>33645</v>
      </c>
      <c r="J1045" s="3">
        <f t="shared" si="48"/>
        <v>33645</v>
      </c>
      <c r="K1045" s="1">
        <v>34683</v>
      </c>
      <c r="L1045" s="3">
        <f t="shared" si="49"/>
        <v>34683</v>
      </c>
      <c r="M1045" t="s">
        <v>49</v>
      </c>
      <c r="N1045" t="s">
        <v>49</v>
      </c>
      <c r="O1045" t="s">
        <v>49</v>
      </c>
      <c r="P1045">
        <v>0</v>
      </c>
      <c r="Q1045" t="s">
        <v>50</v>
      </c>
      <c r="R1045" t="s">
        <v>51</v>
      </c>
      <c r="S1045">
        <v>1935</v>
      </c>
      <c r="T1045">
        <v>-777</v>
      </c>
      <c r="U1045" s="1">
        <v>13091</v>
      </c>
      <c r="V1045" s="2">
        <v>13091</v>
      </c>
      <c r="Z1045">
        <v>0</v>
      </c>
      <c r="AA1045">
        <v>1</v>
      </c>
      <c r="AB1045">
        <v>0</v>
      </c>
      <c r="AC1045">
        <v>0</v>
      </c>
      <c r="AF1045">
        <v>1992</v>
      </c>
      <c r="AG1045">
        <v>1994</v>
      </c>
      <c r="AO1045" t="b">
        <v>0</v>
      </c>
      <c r="AT1045">
        <v>1038</v>
      </c>
      <c r="AU1045">
        <f t="shared" si="50"/>
        <v>2.8439999999999999</v>
      </c>
    </row>
    <row r="1046" spans="1:47" x14ac:dyDescent="0.3">
      <c r="A1046">
        <v>1044</v>
      </c>
      <c r="B1046" t="s">
        <v>4453</v>
      </c>
      <c r="C1046" t="s">
        <v>4454</v>
      </c>
      <c r="D1046">
        <v>205</v>
      </c>
      <c r="E1046" t="s">
        <v>4393</v>
      </c>
      <c r="F1046" t="str">
        <f>VLOOKUP(E1046,country_continent!A:C,2,FALSE)</f>
        <v>Ireland</v>
      </c>
      <c r="G1046" t="str">
        <f>VLOOKUP(E1046,country_continent!A:C,3,FALSE)</f>
        <v>Europe</v>
      </c>
      <c r="H1046" t="s">
        <v>4455</v>
      </c>
      <c r="I1046" s="1">
        <v>34683</v>
      </c>
      <c r="J1046" s="3">
        <f t="shared" si="48"/>
        <v>34683</v>
      </c>
      <c r="K1046" s="1">
        <v>35607</v>
      </c>
      <c r="L1046" s="3">
        <f t="shared" si="49"/>
        <v>35607</v>
      </c>
      <c r="M1046" t="s">
        <v>49</v>
      </c>
      <c r="N1046" t="s">
        <v>49</v>
      </c>
      <c r="O1046" t="s">
        <v>49</v>
      </c>
      <c r="P1046">
        <v>0</v>
      </c>
      <c r="Q1046" t="s">
        <v>50</v>
      </c>
      <c r="R1046" t="s">
        <v>51</v>
      </c>
      <c r="S1046">
        <v>1947</v>
      </c>
      <c r="T1046">
        <v>-777</v>
      </c>
      <c r="Z1046">
        <v>0</v>
      </c>
      <c r="AA1046">
        <v>1</v>
      </c>
      <c r="AB1046">
        <v>0</v>
      </c>
      <c r="AC1046">
        <v>0</v>
      </c>
      <c r="AF1046">
        <v>1994</v>
      </c>
      <c r="AG1046">
        <v>1997</v>
      </c>
      <c r="AO1046" t="b">
        <v>0</v>
      </c>
      <c r="AT1046">
        <v>924</v>
      </c>
      <c r="AU1046">
        <f t="shared" si="50"/>
        <v>2.532</v>
      </c>
    </row>
    <row r="1047" spans="1:47" x14ac:dyDescent="0.3">
      <c r="A1047">
        <v>1045</v>
      </c>
      <c r="B1047" t="s">
        <v>4456</v>
      </c>
      <c r="C1047" t="s">
        <v>4457</v>
      </c>
      <c r="D1047">
        <v>205</v>
      </c>
      <c r="E1047" t="s">
        <v>4393</v>
      </c>
      <c r="F1047" t="str">
        <f>VLOOKUP(E1047,country_continent!A:C,2,FALSE)</f>
        <v>Ireland</v>
      </c>
      <c r="G1047" t="str">
        <f>VLOOKUP(E1047,country_continent!A:C,3,FALSE)</f>
        <v>Europe</v>
      </c>
      <c r="H1047" t="s">
        <v>4458</v>
      </c>
      <c r="I1047" s="1">
        <v>35607</v>
      </c>
      <c r="J1047" s="3">
        <f t="shared" si="48"/>
        <v>35607</v>
      </c>
      <c r="K1047" s="1">
        <v>39575</v>
      </c>
      <c r="L1047" s="3">
        <f t="shared" si="49"/>
        <v>39575</v>
      </c>
      <c r="M1047" t="s">
        <v>49</v>
      </c>
      <c r="N1047" t="s">
        <v>49</v>
      </c>
      <c r="O1047" t="s">
        <v>49</v>
      </c>
      <c r="P1047">
        <v>0</v>
      </c>
      <c r="Q1047" t="s">
        <v>50</v>
      </c>
      <c r="R1047" t="s">
        <v>51</v>
      </c>
      <c r="S1047">
        <v>1951</v>
      </c>
      <c r="T1047">
        <v>-777</v>
      </c>
      <c r="Z1047">
        <v>0</v>
      </c>
      <c r="AA1047">
        <v>1</v>
      </c>
      <c r="AB1047">
        <v>0</v>
      </c>
      <c r="AC1047">
        <v>0</v>
      </c>
      <c r="AF1047">
        <v>1997</v>
      </c>
      <c r="AG1047">
        <v>2008</v>
      </c>
      <c r="AO1047" t="b">
        <v>0</v>
      </c>
      <c r="AT1047">
        <v>3968</v>
      </c>
      <c r="AU1047">
        <f t="shared" si="50"/>
        <v>10.871</v>
      </c>
    </row>
    <row r="1048" spans="1:47" x14ac:dyDescent="0.3">
      <c r="A1048">
        <v>1046</v>
      </c>
      <c r="B1048" t="s">
        <v>4459</v>
      </c>
      <c r="C1048" t="s">
        <v>4460</v>
      </c>
      <c r="D1048">
        <v>205</v>
      </c>
      <c r="E1048" t="s">
        <v>4393</v>
      </c>
      <c r="F1048" t="str">
        <f>VLOOKUP(E1048,country_continent!A:C,2,FALSE)</f>
        <v>Ireland</v>
      </c>
      <c r="G1048" t="str">
        <f>VLOOKUP(E1048,country_continent!A:C,3,FALSE)</f>
        <v>Europe</v>
      </c>
      <c r="H1048" t="s">
        <v>4461</v>
      </c>
      <c r="I1048" s="1">
        <v>39575</v>
      </c>
      <c r="J1048" s="3">
        <f t="shared" si="48"/>
        <v>39575</v>
      </c>
      <c r="K1048" s="1">
        <v>40611</v>
      </c>
      <c r="L1048" s="3">
        <f t="shared" si="49"/>
        <v>40611</v>
      </c>
      <c r="M1048" t="s">
        <v>49</v>
      </c>
      <c r="N1048" t="s">
        <v>49</v>
      </c>
      <c r="O1048" t="s">
        <v>49</v>
      </c>
      <c r="P1048">
        <v>0</v>
      </c>
      <c r="Q1048" t="s">
        <v>50</v>
      </c>
      <c r="R1048" t="s">
        <v>51</v>
      </c>
      <c r="S1048">
        <v>1960</v>
      </c>
      <c r="T1048">
        <v>-777</v>
      </c>
      <c r="U1048" s="1">
        <v>21925</v>
      </c>
      <c r="V1048" s="2">
        <v>21925</v>
      </c>
      <c r="Z1048">
        <v>0</v>
      </c>
      <c r="AA1048">
        <v>1</v>
      </c>
      <c r="AB1048">
        <v>0</v>
      </c>
      <c r="AC1048">
        <v>0</v>
      </c>
      <c r="AF1048">
        <v>2008</v>
      </c>
      <c r="AG1048">
        <v>2011</v>
      </c>
      <c r="AO1048" t="b">
        <v>0</v>
      </c>
      <c r="AT1048">
        <v>1036</v>
      </c>
      <c r="AU1048">
        <f t="shared" si="50"/>
        <v>2.8380000000000001</v>
      </c>
    </row>
    <row r="1049" spans="1:47" x14ac:dyDescent="0.3">
      <c r="A1049">
        <v>1047</v>
      </c>
      <c r="B1049" t="s">
        <v>4462</v>
      </c>
      <c r="C1049" t="s">
        <v>4463</v>
      </c>
      <c r="D1049">
        <v>205</v>
      </c>
      <c r="E1049" t="s">
        <v>4393</v>
      </c>
      <c r="F1049" t="str">
        <f>VLOOKUP(E1049,country_continent!A:C,2,FALSE)</f>
        <v>Ireland</v>
      </c>
      <c r="G1049" t="str">
        <f>VLOOKUP(E1049,country_continent!A:C,3,FALSE)</f>
        <v>Europe</v>
      </c>
      <c r="H1049" t="s">
        <v>4464</v>
      </c>
      <c r="I1049" s="1">
        <v>40611</v>
      </c>
      <c r="J1049" s="3">
        <f t="shared" si="48"/>
        <v>40611</v>
      </c>
      <c r="K1049" s="1">
        <v>42369</v>
      </c>
      <c r="L1049" s="3">
        <f t="shared" si="49"/>
        <v>42369</v>
      </c>
      <c r="M1049" t="s">
        <v>49</v>
      </c>
      <c r="N1049" t="s">
        <v>173</v>
      </c>
      <c r="O1049" t="s">
        <v>173</v>
      </c>
      <c r="P1049">
        <v>0</v>
      </c>
      <c r="Q1049" t="s">
        <v>174</v>
      </c>
      <c r="R1049" t="s">
        <v>51</v>
      </c>
      <c r="S1049">
        <v>1951</v>
      </c>
      <c r="T1049">
        <v>-777</v>
      </c>
      <c r="U1049" s="1">
        <v>18742</v>
      </c>
      <c r="V1049" s="2">
        <v>18742</v>
      </c>
      <c r="Z1049">
        <v>0</v>
      </c>
      <c r="AA1049">
        <v>-888</v>
      </c>
      <c r="AB1049">
        <v>-888</v>
      </c>
      <c r="AC1049">
        <v>-888</v>
      </c>
      <c r="AF1049">
        <v>2011</v>
      </c>
      <c r="AG1049">
        <v>2015</v>
      </c>
      <c r="AO1049" t="b">
        <v>0</v>
      </c>
      <c r="AT1049">
        <v>1758</v>
      </c>
      <c r="AU1049">
        <f t="shared" si="50"/>
        <v>4.8159999999999998</v>
      </c>
    </row>
    <row r="1050" spans="1:47" x14ac:dyDescent="0.3">
      <c r="A1050">
        <v>1048</v>
      </c>
      <c r="B1050" t="s">
        <v>4465</v>
      </c>
      <c r="C1050" t="s">
        <v>4466</v>
      </c>
      <c r="D1050">
        <v>210</v>
      </c>
      <c r="E1050" t="s">
        <v>4467</v>
      </c>
      <c r="F1050" t="str">
        <f>VLOOKUP(E1050,country_continent!A:C,2,FALSE)</f>
        <v>Netherlands</v>
      </c>
      <c r="G1050" t="str">
        <f>VLOOKUP(E1050,country_continent!A:C,3,FALSE)</f>
        <v>Europe</v>
      </c>
      <c r="H1050" t="s">
        <v>4468</v>
      </c>
      <c r="I1050" t="s">
        <v>4469</v>
      </c>
      <c r="J1050" s="3" t="str">
        <f t="shared" si="48"/>
        <v>1874/08/27</v>
      </c>
      <c r="K1050" t="s">
        <v>3679</v>
      </c>
      <c r="L1050" s="3" t="str">
        <f t="shared" si="49"/>
        <v>1877/11/03</v>
      </c>
      <c r="M1050" t="s">
        <v>49</v>
      </c>
      <c r="N1050" t="s">
        <v>49</v>
      </c>
      <c r="O1050" t="s">
        <v>49</v>
      </c>
      <c r="P1050">
        <v>1</v>
      </c>
      <c r="Q1050" t="s">
        <v>50</v>
      </c>
      <c r="R1050" t="s">
        <v>51</v>
      </c>
      <c r="S1050">
        <v>1818</v>
      </c>
      <c r="T1050">
        <v>1897</v>
      </c>
      <c r="U1050" t="s">
        <v>4470</v>
      </c>
      <c r="V1050" t="s">
        <v>4471</v>
      </c>
      <c r="Y1050" t="s">
        <v>4472</v>
      </c>
      <c r="Z1050">
        <v>0</v>
      </c>
      <c r="AA1050">
        <v>1</v>
      </c>
      <c r="AB1050">
        <v>0</v>
      </c>
      <c r="AC1050">
        <v>0</v>
      </c>
      <c r="AF1050">
        <v>1874</v>
      </c>
      <c r="AG1050">
        <v>1877</v>
      </c>
      <c r="AO1050" t="b">
        <v>1</v>
      </c>
      <c r="AP1050" t="s">
        <v>4473</v>
      </c>
      <c r="AQ1050">
        <v>1979</v>
      </c>
      <c r="AR1050">
        <v>2016</v>
      </c>
      <c r="AS1050" t="s">
        <v>4474</v>
      </c>
      <c r="AT1050">
        <v>3.1868583162217599</v>
      </c>
      <c r="AU1050">
        <f t="shared" si="50"/>
        <v>8.9999999999999993E-3</v>
      </c>
    </row>
    <row r="1051" spans="1:47" x14ac:dyDescent="0.3">
      <c r="A1051">
        <v>1049</v>
      </c>
      <c r="B1051" t="s">
        <v>4475</v>
      </c>
      <c r="C1051" t="s">
        <v>4476</v>
      </c>
      <c r="D1051">
        <v>210</v>
      </c>
      <c r="E1051" t="s">
        <v>4467</v>
      </c>
      <c r="F1051" t="str">
        <f>VLOOKUP(E1051,country_continent!A:C,2,FALSE)</f>
        <v>Netherlands</v>
      </c>
      <c r="G1051" t="str">
        <f>VLOOKUP(E1051,country_continent!A:C,3,FALSE)</f>
        <v>Europe</v>
      </c>
      <c r="H1051" t="s">
        <v>4477</v>
      </c>
      <c r="I1051" t="s">
        <v>3679</v>
      </c>
      <c r="J1051" s="3" t="str">
        <f t="shared" si="48"/>
        <v>1877/11/03</v>
      </c>
      <c r="K1051" t="s">
        <v>4478</v>
      </c>
      <c r="L1051" s="3" t="str">
        <f t="shared" si="49"/>
        <v>1879/08/11</v>
      </c>
      <c r="M1051" t="s">
        <v>49</v>
      </c>
      <c r="N1051" t="s">
        <v>49</v>
      </c>
      <c r="O1051" t="s">
        <v>49</v>
      </c>
      <c r="P1051">
        <v>0</v>
      </c>
      <c r="Q1051" t="s">
        <v>50</v>
      </c>
      <c r="R1051" t="s">
        <v>51</v>
      </c>
      <c r="S1051">
        <v>1822</v>
      </c>
      <c r="T1051">
        <v>1895</v>
      </c>
      <c r="U1051" t="s">
        <v>4479</v>
      </c>
      <c r="V1051" t="s">
        <v>4480</v>
      </c>
      <c r="Y1051" t="s">
        <v>4481</v>
      </c>
      <c r="Z1051">
        <v>0</v>
      </c>
      <c r="AA1051">
        <v>1</v>
      </c>
      <c r="AB1051">
        <v>0</v>
      </c>
      <c r="AC1051">
        <v>0</v>
      </c>
      <c r="AF1051">
        <v>1877</v>
      </c>
      <c r="AG1051">
        <v>1879</v>
      </c>
      <c r="AO1051" t="b">
        <v>1</v>
      </c>
      <c r="AP1051" t="s">
        <v>4473</v>
      </c>
      <c r="AQ1051">
        <v>1979</v>
      </c>
      <c r="AR1051">
        <v>2016</v>
      </c>
      <c r="AS1051" t="s">
        <v>4482</v>
      </c>
      <c r="AT1051">
        <v>1.7686516084873301</v>
      </c>
      <c r="AU1051">
        <f t="shared" si="50"/>
        <v>5.0000000000000001E-3</v>
      </c>
    </row>
    <row r="1052" spans="1:47" x14ac:dyDescent="0.3">
      <c r="A1052">
        <v>1050</v>
      </c>
      <c r="B1052" t="s">
        <v>4483</v>
      </c>
      <c r="C1052" t="s">
        <v>4484</v>
      </c>
      <c r="D1052">
        <v>210</v>
      </c>
      <c r="E1052" t="s">
        <v>4467</v>
      </c>
      <c r="F1052" t="str">
        <f>VLOOKUP(E1052,country_continent!A:C,2,FALSE)</f>
        <v>Netherlands</v>
      </c>
      <c r="G1052" t="str">
        <f>VLOOKUP(E1052,country_continent!A:C,3,FALSE)</f>
        <v>Europe</v>
      </c>
      <c r="H1052" t="s">
        <v>4485</v>
      </c>
      <c r="I1052" t="s">
        <v>4486</v>
      </c>
      <c r="J1052" s="3" t="str">
        <f t="shared" si="48"/>
        <v>1879/08/20</v>
      </c>
      <c r="K1052" t="s">
        <v>4487</v>
      </c>
      <c r="L1052" s="3" t="str">
        <f t="shared" si="49"/>
        <v>1883/04/23</v>
      </c>
      <c r="M1052" t="s">
        <v>49</v>
      </c>
      <c r="N1052" t="s">
        <v>49</v>
      </c>
      <c r="O1052" t="s">
        <v>49</v>
      </c>
      <c r="P1052">
        <v>0</v>
      </c>
      <c r="Q1052" t="s">
        <v>50</v>
      </c>
      <c r="R1052" t="s">
        <v>51</v>
      </c>
      <c r="S1052">
        <v>1826</v>
      </c>
      <c r="T1052">
        <v>1885</v>
      </c>
      <c r="U1052" t="s">
        <v>4488</v>
      </c>
      <c r="V1052" t="s">
        <v>4489</v>
      </c>
      <c r="Z1052">
        <v>0</v>
      </c>
      <c r="AA1052">
        <v>1</v>
      </c>
      <c r="AB1052">
        <v>0</v>
      </c>
      <c r="AC1052">
        <v>0</v>
      </c>
      <c r="AF1052">
        <v>1879</v>
      </c>
      <c r="AG1052">
        <v>1883</v>
      </c>
      <c r="AO1052" t="b">
        <v>1</v>
      </c>
      <c r="AP1052" t="s">
        <v>4473</v>
      </c>
      <c r="AQ1052">
        <v>1979</v>
      </c>
      <c r="AR1052">
        <v>2016</v>
      </c>
      <c r="AS1052" t="s">
        <v>4490</v>
      </c>
      <c r="AT1052">
        <v>3.6741957563312799</v>
      </c>
      <c r="AU1052">
        <f t="shared" si="50"/>
        <v>0.01</v>
      </c>
    </row>
    <row r="1053" spans="1:47" x14ac:dyDescent="0.3">
      <c r="A1053">
        <v>1051</v>
      </c>
      <c r="B1053" t="s">
        <v>4491</v>
      </c>
      <c r="C1053" t="s">
        <v>4466</v>
      </c>
      <c r="D1053">
        <v>210</v>
      </c>
      <c r="E1053" t="s">
        <v>4467</v>
      </c>
      <c r="F1053" t="str">
        <f>VLOOKUP(E1053,country_continent!A:C,2,FALSE)</f>
        <v>Netherlands</v>
      </c>
      <c r="G1053" t="str">
        <f>VLOOKUP(E1053,country_continent!A:C,3,FALSE)</f>
        <v>Europe</v>
      </c>
      <c r="H1053" t="s">
        <v>4468</v>
      </c>
      <c r="I1053" t="s">
        <v>4487</v>
      </c>
      <c r="J1053" s="3" t="str">
        <f t="shared" si="48"/>
        <v>1883/04/23</v>
      </c>
      <c r="K1053" t="s">
        <v>4492</v>
      </c>
      <c r="L1053" s="3" t="str">
        <f t="shared" si="49"/>
        <v>1888/04/21</v>
      </c>
      <c r="M1053" t="s">
        <v>49</v>
      </c>
      <c r="N1053" t="s">
        <v>49</v>
      </c>
      <c r="O1053" t="s">
        <v>49</v>
      </c>
      <c r="P1053">
        <v>2</v>
      </c>
      <c r="Q1053" t="s">
        <v>50</v>
      </c>
      <c r="R1053" t="s">
        <v>51</v>
      </c>
      <c r="S1053">
        <v>1818</v>
      </c>
      <c r="T1053">
        <v>1897</v>
      </c>
      <c r="U1053" t="s">
        <v>4470</v>
      </c>
      <c r="V1053" t="s">
        <v>4471</v>
      </c>
      <c r="Y1053" t="s">
        <v>4472</v>
      </c>
      <c r="Z1053">
        <v>0</v>
      </c>
      <c r="AA1053">
        <v>1</v>
      </c>
      <c r="AB1053">
        <v>0</v>
      </c>
      <c r="AC1053">
        <v>0</v>
      </c>
      <c r="AF1053">
        <v>1883</v>
      </c>
      <c r="AG1053">
        <v>1888</v>
      </c>
      <c r="AO1053" t="b">
        <v>1</v>
      </c>
      <c r="AP1053" t="s">
        <v>4473</v>
      </c>
      <c r="AQ1053">
        <v>1979</v>
      </c>
      <c r="AR1053">
        <v>2016</v>
      </c>
      <c r="AS1053" t="s">
        <v>4493</v>
      </c>
      <c r="AT1053">
        <v>4.9965776865160798</v>
      </c>
      <c r="AU1053">
        <f t="shared" si="50"/>
        <v>1.4E-2</v>
      </c>
    </row>
    <row r="1054" spans="1:47" x14ac:dyDescent="0.3">
      <c r="A1054">
        <v>1052</v>
      </c>
      <c r="B1054" t="s">
        <v>4494</v>
      </c>
      <c r="C1054" t="s">
        <v>4495</v>
      </c>
      <c r="D1054">
        <v>210</v>
      </c>
      <c r="E1054" t="s">
        <v>4467</v>
      </c>
      <c r="F1054" t="str">
        <f>VLOOKUP(E1054,country_continent!A:C,2,FALSE)</f>
        <v>Netherlands</v>
      </c>
      <c r="G1054" t="str">
        <f>VLOOKUP(E1054,country_continent!A:C,3,FALSE)</f>
        <v>Europe</v>
      </c>
      <c r="H1054" t="s">
        <v>4496</v>
      </c>
      <c r="I1054" t="s">
        <v>4492</v>
      </c>
      <c r="J1054" s="3" t="str">
        <f t="shared" si="48"/>
        <v>1888/04/21</v>
      </c>
      <c r="K1054" t="s">
        <v>4497</v>
      </c>
      <c r="L1054" s="3" t="str">
        <f t="shared" si="49"/>
        <v>1891/08/21</v>
      </c>
      <c r="M1054" t="s">
        <v>49</v>
      </c>
      <c r="N1054" t="s">
        <v>49</v>
      </c>
      <c r="O1054" t="s">
        <v>49</v>
      </c>
      <c r="P1054">
        <v>0</v>
      </c>
      <c r="Q1054" t="s">
        <v>50</v>
      </c>
      <c r="R1054" t="s">
        <v>51</v>
      </c>
      <c r="S1054">
        <v>1838</v>
      </c>
      <c r="T1054">
        <v>1909</v>
      </c>
      <c r="Z1054">
        <v>0</v>
      </c>
      <c r="AA1054">
        <v>1</v>
      </c>
      <c r="AB1054">
        <v>0</v>
      </c>
      <c r="AC1054">
        <v>0</v>
      </c>
      <c r="AF1054">
        <v>1888</v>
      </c>
      <c r="AG1054">
        <v>1891</v>
      </c>
      <c r="AO1054" t="b">
        <v>1</v>
      </c>
      <c r="AP1054" t="s">
        <v>4473</v>
      </c>
      <c r="AQ1054">
        <v>1979</v>
      </c>
      <c r="AR1054">
        <v>2016</v>
      </c>
      <c r="AS1054" t="s">
        <v>4498</v>
      </c>
      <c r="AT1054">
        <v>3.3319644079397599</v>
      </c>
      <c r="AU1054">
        <f t="shared" si="50"/>
        <v>8.9999999999999993E-3</v>
      </c>
    </row>
    <row r="1055" spans="1:47" x14ac:dyDescent="0.3">
      <c r="A1055">
        <v>1053</v>
      </c>
      <c r="B1055" t="s">
        <v>4499</v>
      </c>
      <c r="C1055" t="s">
        <v>4500</v>
      </c>
      <c r="D1055">
        <v>210</v>
      </c>
      <c r="E1055" t="s">
        <v>4467</v>
      </c>
      <c r="F1055" t="str">
        <f>VLOOKUP(E1055,country_continent!A:C,2,FALSE)</f>
        <v>Netherlands</v>
      </c>
      <c r="G1055" t="str">
        <f>VLOOKUP(E1055,country_continent!A:C,3,FALSE)</f>
        <v>Europe</v>
      </c>
      <c r="H1055" t="s">
        <v>4501</v>
      </c>
      <c r="I1055" t="s">
        <v>4497</v>
      </c>
      <c r="J1055" s="3" t="str">
        <f t="shared" si="48"/>
        <v>1891/08/21</v>
      </c>
      <c r="K1055" t="s">
        <v>4502</v>
      </c>
      <c r="L1055" s="3" t="str">
        <f t="shared" si="49"/>
        <v>1894/05/07</v>
      </c>
      <c r="M1055" t="s">
        <v>49</v>
      </c>
      <c r="N1055" t="s">
        <v>49</v>
      </c>
      <c r="O1055" t="s">
        <v>49</v>
      </c>
      <c r="P1055">
        <v>0</v>
      </c>
      <c r="Q1055" t="s">
        <v>50</v>
      </c>
      <c r="R1055" t="s">
        <v>51</v>
      </c>
      <c r="S1055">
        <v>1841</v>
      </c>
      <c r="T1055">
        <v>1914</v>
      </c>
      <c r="U1055" t="s">
        <v>4503</v>
      </c>
      <c r="V1055" t="s">
        <v>4504</v>
      </c>
      <c r="Y1055" t="s">
        <v>4505</v>
      </c>
      <c r="Z1055">
        <v>0</v>
      </c>
      <c r="AA1055">
        <v>1</v>
      </c>
      <c r="AB1055">
        <v>0</v>
      </c>
      <c r="AC1055">
        <v>0</v>
      </c>
      <c r="AF1055">
        <v>1891</v>
      </c>
      <c r="AG1055">
        <v>1894</v>
      </c>
      <c r="AO1055" t="b">
        <v>1</v>
      </c>
      <c r="AP1055" t="s">
        <v>4473</v>
      </c>
      <c r="AQ1055">
        <v>1979</v>
      </c>
      <c r="AR1055">
        <v>2016</v>
      </c>
      <c r="AS1055" t="s">
        <v>4506</v>
      </c>
      <c r="AT1055">
        <v>2.71047227926078</v>
      </c>
      <c r="AU1055">
        <f t="shared" si="50"/>
        <v>7.0000000000000001E-3</v>
      </c>
    </row>
    <row r="1056" spans="1:47" x14ac:dyDescent="0.3">
      <c r="A1056">
        <v>1054</v>
      </c>
      <c r="B1056" t="s">
        <v>4507</v>
      </c>
      <c r="C1056" t="s">
        <v>4508</v>
      </c>
      <c r="D1056">
        <v>210</v>
      </c>
      <c r="E1056" t="s">
        <v>4467</v>
      </c>
      <c r="F1056" t="str">
        <f>VLOOKUP(E1056,country_continent!A:C,2,FALSE)</f>
        <v>Netherlands</v>
      </c>
      <c r="G1056" t="str">
        <f>VLOOKUP(E1056,country_continent!A:C,3,FALSE)</f>
        <v>Europe</v>
      </c>
      <c r="H1056" t="s">
        <v>4509</v>
      </c>
      <c r="I1056" t="s">
        <v>4510</v>
      </c>
      <c r="J1056" s="3" t="str">
        <f t="shared" si="48"/>
        <v>1894/05/09</v>
      </c>
      <c r="K1056" t="s">
        <v>4511</v>
      </c>
      <c r="L1056" s="3" t="str">
        <f t="shared" si="49"/>
        <v>1897/07/27</v>
      </c>
      <c r="M1056" t="s">
        <v>49</v>
      </c>
      <c r="N1056" t="s">
        <v>49</v>
      </c>
      <c r="O1056" t="s">
        <v>49</v>
      </c>
      <c r="P1056">
        <v>0</v>
      </c>
      <c r="Q1056" t="s">
        <v>50</v>
      </c>
      <c r="R1056" t="s">
        <v>51</v>
      </c>
      <c r="S1056">
        <v>1844</v>
      </c>
      <c r="T1056">
        <v>1914</v>
      </c>
      <c r="U1056" t="s">
        <v>4512</v>
      </c>
      <c r="V1056" t="s">
        <v>4513</v>
      </c>
      <c r="Y1056" t="s">
        <v>4514</v>
      </c>
      <c r="Z1056">
        <v>0</v>
      </c>
      <c r="AA1056">
        <v>1</v>
      </c>
      <c r="AB1056">
        <v>0</v>
      </c>
      <c r="AC1056">
        <v>0</v>
      </c>
      <c r="AF1056">
        <v>1894</v>
      </c>
      <c r="AG1056">
        <v>1897</v>
      </c>
      <c r="AO1056" t="b">
        <v>1</v>
      </c>
      <c r="AP1056" t="s">
        <v>4473</v>
      </c>
      <c r="AQ1056">
        <v>1979</v>
      </c>
      <c r="AR1056">
        <v>2016</v>
      </c>
      <c r="AS1056" t="s">
        <v>4515</v>
      </c>
      <c r="AT1056">
        <v>3.2169746748802099</v>
      </c>
      <c r="AU1056">
        <f t="shared" si="50"/>
        <v>8.9999999999999993E-3</v>
      </c>
    </row>
    <row r="1057" spans="1:47" x14ac:dyDescent="0.3">
      <c r="A1057">
        <v>1055</v>
      </c>
      <c r="B1057" t="s">
        <v>4516</v>
      </c>
      <c r="C1057" t="s">
        <v>4517</v>
      </c>
      <c r="D1057">
        <v>210</v>
      </c>
      <c r="E1057" t="s">
        <v>4467</v>
      </c>
      <c r="F1057" t="str">
        <f>VLOOKUP(E1057,country_continent!A:C,2,FALSE)</f>
        <v>Netherlands</v>
      </c>
      <c r="G1057" t="str">
        <f>VLOOKUP(E1057,country_continent!A:C,3,FALSE)</f>
        <v>Europe</v>
      </c>
      <c r="H1057" t="s">
        <v>4518</v>
      </c>
      <c r="I1057" t="s">
        <v>4511</v>
      </c>
      <c r="J1057" s="3" t="str">
        <f t="shared" si="48"/>
        <v>1897/07/27</v>
      </c>
      <c r="K1057" s="1">
        <v>579</v>
      </c>
      <c r="L1057" s="3">
        <f t="shared" si="49"/>
        <v>579</v>
      </c>
      <c r="M1057" t="s">
        <v>49</v>
      </c>
      <c r="N1057" t="s">
        <v>49</v>
      </c>
      <c r="O1057" t="s">
        <v>49</v>
      </c>
      <c r="P1057">
        <v>0</v>
      </c>
      <c r="Q1057" t="s">
        <v>50</v>
      </c>
      <c r="R1057" t="s">
        <v>51</v>
      </c>
      <c r="S1057">
        <v>1839</v>
      </c>
      <c r="T1057">
        <v>1909</v>
      </c>
      <c r="Z1057">
        <v>0</v>
      </c>
      <c r="AA1057">
        <v>1</v>
      </c>
      <c r="AB1057">
        <v>0</v>
      </c>
      <c r="AC1057">
        <v>0</v>
      </c>
      <c r="AF1057">
        <v>1897</v>
      </c>
      <c r="AG1057">
        <v>1901</v>
      </c>
      <c r="AO1057" t="b">
        <v>1</v>
      </c>
      <c r="AP1057" t="s">
        <v>4473</v>
      </c>
      <c r="AQ1057">
        <v>1979</v>
      </c>
      <c r="AR1057">
        <v>2016</v>
      </c>
      <c r="AS1057" t="s">
        <v>4519</v>
      </c>
      <c r="AT1057">
        <v>4.0109514031485203</v>
      </c>
      <c r="AU1057">
        <f t="shared" si="50"/>
        <v>1.0999999999999999E-2</v>
      </c>
    </row>
    <row r="1058" spans="1:47" x14ac:dyDescent="0.3">
      <c r="A1058">
        <v>1056</v>
      </c>
      <c r="B1058" t="s">
        <v>4520</v>
      </c>
      <c r="C1058" t="s">
        <v>4521</v>
      </c>
      <c r="D1058">
        <v>210</v>
      </c>
      <c r="E1058" t="s">
        <v>4467</v>
      </c>
      <c r="F1058" t="str">
        <f>VLOOKUP(E1058,country_continent!A:C,2,FALSE)</f>
        <v>Netherlands</v>
      </c>
      <c r="G1058" t="str">
        <f>VLOOKUP(E1058,country_continent!A:C,3,FALSE)</f>
        <v>Europe</v>
      </c>
      <c r="H1058" t="s">
        <v>4522</v>
      </c>
      <c r="I1058" s="1">
        <v>579</v>
      </c>
      <c r="J1058" s="3">
        <f t="shared" si="48"/>
        <v>579</v>
      </c>
      <c r="K1058" s="1">
        <v>2055</v>
      </c>
      <c r="L1058" s="3">
        <f t="shared" si="49"/>
        <v>2055</v>
      </c>
      <c r="M1058" t="s">
        <v>49</v>
      </c>
      <c r="N1058" t="s">
        <v>49</v>
      </c>
      <c r="O1058" t="s">
        <v>49</v>
      </c>
      <c r="P1058">
        <v>0</v>
      </c>
      <c r="Q1058" t="s">
        <v>50</v>
      </c>
      <c r="R1058" t="s">
        <v>51</v>
      </c>
      <c r="S1058">
        <v>1837</v>
      </c>
      <c r="T1058">
        <v>1920</v>
      </c>
      <c r="U1058" t="s">
        <v>4523</v>
      </c>
      <c r="V1058" t="s">
        <v>4524</v>
      </c>
      <c r="Y1058" t="s">
        <v>4525</v>
      </c>
      <c r="Z1058">
        <v>0</v>
      </c>
      <c r="AA1058">
        <v>1</v>
      </c>
      <c r="AB1058">
        <v>0</v>
      </c>
      <c r="AC1058">
        <v>0</v>
      </c>
      <c r="AF1058">
        <v>1901</v>
      </c>
      <c r="AG1058">
        <v>1905</v>
      </c>
      <c r="AO1058" t="b">
        <v>1</v>
      </c>
      <c r="AP1058" t="s">
        <v>4473</v>
      </c>
      <c r="AQ1058">
        <v>1979</v>
      </c>
      <c r="AR1058">
        <v>2016</v>
      </c>
      <c r="AS1058" t="s">
        <v>4526</v>
      </c>
      <c r="AT1058">
        <v>4.0410677618069801</v>
      </c>
      <c r="AU1058">
        <f t="shared" si="50"/>
        <v>1.0999999999999999E-2</v>
      </c>
    </row>
    <row r="1059" spans="1:47" x14ac:dyDescent="0.3">
      <c r="A1059">
        <v>1057</v>
      </c>
      <c r="B1059" t="s">
        <v>4527</v>
      </c>
      <c r="C1059" t="s">
        <v>4528</v>
      </c>
      <c r="D1059">
        <v>210</v>
      </c>
      <c r="E1059" t="s">
        <v>4467</v>
      </c>
      <c r="F1059" t="str">
        <f>VLOOKUP(E1059,country_continent!A:C,2,FALSE)</f>
        <v>Netherlands</v>
      </c>
      <c r="G1059" t="str">
        <f>VLOOKUP(E1059,country_continent!A:C,3,FALSE)</f>
        <v>Europe</v>
      </c>
      <c r="H1059" t="s">
        <v>4529</v>
      </c>
      <c r="I1059" s="1">
        <v>2055</v>
      </c>
      <c r="J1059" s="3">
        <f t="shared" si="48"/>
        <v>2055</v>
      </c>
      <c r="K1059" s="1">
        <v>2964</v>
      </c>
      <c r="L1059" s="3">
        <f t="shared" si="49"/>
        <v>2964</v>
      </c>
      <c r="M1059" t="s">
        <v>49</v>
      </c>
      <c r="N1059" t="s">
        <v>49</v>
      </c>
      <c r="O1059" t="s">
        <v>49</v>
      </c>
      <c r="P1059">
        <v>0</v>
      </c>
      <c r="Q1059" t="s">
        <v>50</v>
      </c>
      <c r="R1059" t="s">
        <v>51</v>
      </c>
      <c r="S1059">
        <v>1851</v>
      </c>
      <c r="T1059">
        <v>1919</v>
      </c>
      <c r="U1059" t="s">
        <v>4530</v>
      </c>
      <c r="V1059" t="s">
        <v>4531</v>
      </c>
      <c r="Z1059">
        <v>0</v>
      </c>
      <c r="AA1059">
        <v>1</v>
      </c>
      <c r="AB1059">
        <v>0</v>
      </c>
      <c r="AC1059">
        <v>0</v>
      </c>
      <c r="AF1059">
        <v>1905</v>
      </c>
      <c r="AG1059">
        <v>1908</v>
      </c>
      <c r="AO1059" t="b">
        <v>1</v>
      </c>
      <c r="AP1059" t="s">
        <v>4473</v>
      </c>
      <c r="AQ1059">
        <v>1979</v>
      </c>
      <c r="AR1059">
        <v>2016</v>
      </c>
      <c r="AS1059" t="s">
        <v>4532</v>
      </c>
      <c r="AT1059">
        <v>2.4887063655030799</v>
      </c>
      <c r="AU1059">
        <f t="shared" si="50"/>
        <v>7.0000000000000001E-3</v>
      </c>
    </row>
    <row r="1060" spans="1:47" x14ac:dyDescent="0.3">
      <c r="A1060">
        <v>1058</v>
      </c>
      <c r="B1060" t="s">
        <v>4533</v>
      </c>
      <c r="C1060" t="s">
        <v>4534</v>
      </c>
      <c r="D1060">
        <v>210</v>
      </c>
      <c r="E1060" t="s">
        <v>4467</v>
      </c>
      <c r="F1060" t="str">
        <f>VLOOKUP(E1060,country_continent!A:C,2,FALSE)</f>
        <v>Netherlands</v>
      </c>
      <c r="G1060" t="str">
        <f>VLOOKUP(E1060,country_continent!A:C,3,FALSE)</f>
        <v>Europe</v>
      </c>
      <c r="H1060" t="s">
        <v>4535</v>
      </c>
      <c r="I1060" s="1">
        <v>2965</v>
      </c>
      <c r="J1060" s="3">
        <f t="shared" si="48"/>
        <v>2965</v>
      </c>
      <c r="K1060" s="1">
        <v>4986</v>
      </c>
      <c r="L1060" s="3">
        <f t="shared" si="49"/>
        <v>4986</v>
      </c>
      <c r="M1060" t="s">
        <v>49</v>
      </c>
      <c r="N1060" t="s">
        <v>49</v>
      </c>
      <c r="O1060" t="s">
        <v>49</v>
      </c>
      <c r="P1060">
        <v>0</v>
      </c>
      <c r="Q1060" t="s">
        <v>50</v>
      </c>
      <c r="R1060" t="s">
        <v>51</v>
      </c>
      <c r="S1060">
        <v>1852</v>
      </c>
      <c r="T1060">
        <v>1932</v>
      </c>
      <c r="U1060" t="s">
        <v>4536</v>
      </c>
      <c r="V1060" t="s">
        <v>4537</v>
      </c>
      <c r="Y1060" t="s">
        <v>4538</v>
      </c>
      <c r="Z1060">
        <v>0</v>
      </c>
      <c r="AA1060">
        <v>1</v>
      </c>
      <c r="AB1060">
        <v>0</v>
      </c>
      <c r="AC1060">
        <v>0</v>
      </c>
      <c r="AF1060">
        <v>1908</v>
      </c>
      <c r="AG1060">
        <v>1913</v>
      </c>
      <c r="AO1060" t="b">
        <v>1</v>
      </c>
      <c r="AP1060" t="s">
        <v>4473</v>
      </c>
      <c r="AQ1060">
        <v>1979</v>
      </c>
      <c r="AR1060">
        <v>2016</v>
      </c>
      <c r="AS1060" t="s">
        <v>4539</v>
      </c>
      <c r="AT1060">
        <v>5.5331964407939704</v>
      </c>
      <c r="AU1060">
        <f t="shared" si="50"/>
        <v>1.4999999999999999E-2</v>
      </c>
    </row>
    <row r="1061" spans="1:47" x14ac:dyDescent="0.3">
      <c r="A1061">
        <v>1059</v>
      </c>
      <c r="B1061" t="s">
        <v>4540</v>
      </c>
      <c r="C1061" t="s">
        <v>4541</v>
      </c>
      <c r="D1061">
        <v>210</v>
      </c>
      <c r="E1061" t="s">
        <v>4467</v>
      </c>
      <c r="F1061" t="str">
        <f>VLOOKUP(E1061,country_continent!A:C,2,FALSE)</f>
        <v>Netherlands</v>
      </c>
      <c r="G1061" t="str">
        <f>VLOOKUP(E1061,country_continent!A:C,3,FALSE)</f>
        <v>Europe</v>
      </c>
      <c r="H1061" t="s">
        <v>4542</v>
      </c>
      <c r="I1061" s="1">
        <v>4990</v>
      </c>
      <c r="J1061" s="3">
        <f t="shared" si="48"/>
        <v>4990</v>
      </c>
      <c r="K1061" s="1">
        <v>6759</v>
      </c>
      <c r="L1061" s="3">
        <f t="shared" si="49"/>
        <v>6759</v>
      </c>
      <c r="M1061" t="s">
        <v>49</v>
      </c>
      <c r="N1061" t="s">
        <v>49</v>
      </c>
      <c r="O1061" t="s">
        <v>49</v>
      </c>
      <c r="P1061">
        <v>0</v>
      </c>
      <c r="Q1061" t="s">
        <v>50</v>
      </c>
      <c r="R1061" t="s">
        <v>51</v>
      </c>
      <c r="S1061">
        <v>1846</v>
      </c>
      <c r="T1061">
        <v>1935</v>
      </c>
      <c r="U1061" t="s">
        <v>4543</v>
      </c>
      <c r="V1061" t="s">
        <v>4544</v>
      </c>
      <c r="Y1061" t="s">
        <v>4545</v>
      </c>
      <c r="Z1061">
        <v>0</v>
      </c>
      <c r="AA1061">
        <v>1</v>
      </c>
      <c r="AB1061">
        <v>0</v>
      </c>
      <c r="AC1061">
        <v>0</v>
      </c>
      <c r="AF1061">
        <v>1913</v>
      </c>
      <c r="AG1061">
        <v>1918</v>
      </c>
      <c r="AO1061" t="b">
        <v>1</v>
      </c>
      <c r="AP1061" t="s">
        <v>4473</v>
      </c>
      <c r="AQ1061">
        <v>1979</v>
      </c>
      <c r="AR1061">
        <v>2016</v>
      </c>
      <c r="AS1061" t="s">
        <v>4546</v>
      </c>
      <c r="AT1061">
        <v>4.8432580424366796</v>
      </c>
      <c r="AU1061">
        <f t="shared" si="50"/>
        <v>1.2999999999999999E-2</v>
      </c>
    </row>
    <row r="1062" spans="1:47" x14ac:dyDescent="0.3">
      <c r="A1062">
        <v>1060</v>
      </c>
      <c r="B1062" t="s">
        <v>4547</v>
      </c>
      <c r="C1062" t="s">
        <v>4548</v>
      </c>
      <c r="D1062">
        <v>210</v>
      </c>
      <c r="E1062" t="s">
        <v>4467</v>
      </c>
      <c r="F1062" t="str">
        <f>VLOOKUP(E1062,country_continent!A:C,2,FALSE)</f>
        <v>Netherlands</v>
      </c>
      <c r="G1062" t="str">
        <f>VLOOKUP(E1062,country_continent!A:C,3,FALSE)</f>
        <v>Europe</v>
      </c>
      <c r="H1062" t="s">
        <v>4549</v>
      </c>
      <c r="I1062" s="1">
        <v>6827</v>
      </c>
      <c r="J1062" s="3">
        <f t="shared" si="48"/>
        <v>6827</v>
      </c>
      <c r="K1062" s="1">
        <v>9313</v>
      </c>
      <c r="L1062" s="3">
        <f t="shared" si="49"/>
        <v>9313</v>
      </c>
      <c r="M1062" t="s">
        <v>49</v>
      </c>
      <c r="N1062" t="s">
        <v>49</v>
      </c>
      <c r="O1062" t="s">
        <v>49</v>
      </c>
      <c r="P1062">
        <v>0</v>
      </c>
      <c r="Q1062" t="s">
        <v>50</v>
      </c>
      <c r="R1062" t="s">
        <v>51</v>
      </c>
      <c r="S1062">
        <v>1873</v>
      </c>
      <c r="T1062">
        <v>1936</v>
      </c>
      <c r="U1062" t="s">
        <v>4550</v>
      </c>
      <c r="V1062" t="s">
        <v>4551</v>
      </c>
      <c r="Y1062" t="s">
        <v>4552</v>
      </c>
      <c r="Z1062">
        <v>0</v>
      </c>
      <c r="AA1062">
        <v>1</v>
      </c>
      <c r="AB1062">
        <v>0</v>
      </c>
      <c r="AC1062">
        <v>0</v>
      </c>
      <c r="AF1062">
        <v>1918</v>
      </c>
      <c r="AG1062">
        <v>1925</v>
      </c>
      <c r="AO1062" t="b">
        <v>1</v>
      </c>
      <c r="AP1062" t="s">
        <v>4473</v>
      </c>
      <c r="AQ1062">
        <v>1979</v>
      </c>
      <c r="AR1062">
        <v>2016</v>
      </c>
      <c r="AS1062" t="s">
        <v>4553</v>
      </c>
      <c r="AT1062">
        <v>6.8062970568103998</v>
      </c>
      <c r="AU1062">
        <f t="shared" si="50"/>
        <v>1.9E-2</v>
      </c>
    </row>
    <row r="1063" spans="1:47" x14ac:dyDescent="0.3">
      <c r="A1063">
        <v>1061</v>
      </c>
      <c r="B1063" t="s">
        <v>4554</v>
      </c>
      <c r="C1063" t="s">
        <v>4555</v>
      </c>
      <c r="D1063">
        <v>210</v>
      </c>
      <c r="E1063" t="s">
        <v>4467</v>
      </c>
      <c r="F1063" t="str">
        <f>VLOOKUP(E1063,country_continent!A:C,2,FALSE)</f>
        <v>Netherlands</v>
      </c>
      <c r="G1063" t="str">
        <f>VLOOKUP(E1063,country_continent!A:C,3,FALSE)</f>
        <v>Europe</v>
      </c>
      <c r="H1063" t="s">
        <v>4556</v>
      </c>
      <c r="I1063" s="1">
        <v>9348</v>
      </c>
      <c r="J1063" s="3">
        <f t="shared" si="48"/>
        <v>9348</v>
      </c>
      <c r="K1063" s="1">
        <v>9564</v>
      </c>
      <c r="L1063" s="3">
        <f t="shared" si="49"/>
        <v>9564</v>
      </c>
      <c r="M1063" t="s">
        <v>49</v>
      </c>
      <c r="N1063" t="s">
        <v>49</v>
      </c>
      <c r="O1063" t="s">
        <v>49</v>
      </c>
      <c r="P1063">
        <v>0</v>
      </c>
      <c r="Q1063" t="s">
        <v>50</v>
      </c>
      <c r="R1063" t="s">
        <v>51</v>
      </c>
      <c r="S1063">
        <v>1869</v>
      </c>
      <c r="T1063">
        <v>1944</v>
      </c>
      <c r="U1063" t="s">
        <v>4557</v>
      </c>
      <c r="V1063" t="s">
        <v>4558</v>
      </c>
      <c r="W1063" s="1">
        <v>16333</v>
      </c>
      <c r="X1063" s="2">
        <v>16333</v>
      </c>
      <c r="Y1063" t="s">
        <v>4559</v>
      </c>
      <c r="Z1063">
        <v>0</v>
      </c>
      <c r="AA1063">
        <v>1</v>
      </c>
      <c r="AB1063">
        <v>0</v>
      </c>
      <c r="AC1063">
        <v>0</v>
      </c>
      <c r="AF1063">
        <v>1925</v>
      </c>
      <c r="AG1063">
        <v>1926</v>
      </c>
      <c r="AO1063" t="b">
        <v>1</v>
      </c>
      <c r="AP1063" t="s">
        <v>4473</v>
      </c>
      <c r="AQ1063">
        <v>1979</v>
      </c>
      <c r="AR1063">
        <v>2016</v>
      </c>
      <c r="AS1063" t="s">
        <v>4560</v>
      </c>
      <c r="AT1063">
        <v>0.59137577002053299</v>
      </c>
      <c r="AU1063">
        <f t="shared" si="50"/>
        <v>2E-3</v>
      </c>
    </row>
    <row r="1064" spans="1:47" x14ac:dyDescent="0.3">
      <c r="A1064">
        <v>1062</v>
      </c>
      <c r="B1064" t="s">
        <v>4561</v>
      </c>
      <c r="C1064" t="s">
        <v>4562</v>
      </c>
      <c r="D1064">
        <v>210</v>
      </c>
      <c r="E1064" t="s">
        <v>4467</v>
      </c>
      <c r="F1064" t="str">
        <f>VLOOKUP(E1064,country_continent!A:C,2,FALSE)</f>
        <v>Netherlands</v>
      </c>
      <c r="G1064" t="str">
        <f>VLOOKUP(E1064,country_continent!A:C,3,FALSE)</f>
        <v>Europe</v>
      </c>
      <c r="H1064" t="s">
        <v>4563</v>
      </c>
      <c r="I1064" s="1">
        <v>9564</v>
      </c>
      <c r="J1064" s="3">
        <f t="shared" si="48"/>
        <v>9564</v>
      </c>
      <c r="K1064" s="1">
        <v>10776</v>
      </c>
      <c r="L1064" s="3">
        <f t="shared" si="49"/>
        <v>10776</v>
      </c>
      <c r="M1064" t="s">
        <v>49</v>
      </c>
      <c r="N1064" t="s">
        <v>49</v>
      </c>
      <c r="O1064" t="s">
        <v>49</v>
      </c>
      <c r="P1064">
        <v>0</v>
      </c>
      <c r="Q1064" t="s">
        <v>50</v>
      </c>
      <c r="R1064" t="s">
        <v>51</v>
      </c>
      <c r="S1064">
        <v>1870</v>
      </c>
      <c r="T1064">
        <v>1960</v>
      </c>
      <c r="U1064" t="s">
        <v>4564</v>
      </c>
      <c r="V1064" t="s">
        <v>4565</v>
      </c>
      <c r="Y1064" t="s">
        <v>4566</v>
      </c>
      <c r="Z1064">
        <v>0</v>
      </c>
      <c r="AA1064">
        <v>1</v>
      </c>
      <c r="AB1064">
        <v>0</v>
      </c>
      <c r="AC1064">
        <v>0</v>
      </c>
      <c r="AF1064">
        <v>1926</v>
      </c>
      <c r="AG1064">
        <v>1929</v>
      </c>
      <c r="AO1064" t="b">
        <v>1</v>
      </c>
      <c r="AP1064" t="s">
        <v>4473</v>
      </c>
      <c r="AQ1064">
        <v>1979</v>
      </c>
      <c r="AR1064">
        <v>2016</v>
      </c>
      <c r="AS1064" t="s">
        <v>4567</v>
      </c>
      <c r="AT1064">
        <v>3.3182751540041</v>
      </c>
      <c r="AU1064">
        <f t="shared" si="50"/>
        <v>8.9999999999999993E-3</v>
      </c>
    </row>
    <row r="1065" spans="1:47" x14ac:dyDescent="0.3">
      <c r="A1065">
        <v>1063</v>
      </c>
      <c r="B1065" t="s">
        <v>4568</v>
      </c>
      <c r="C1065" t="s">
        <v>4548</v>
      </c>
      <c r="D1065">
        <v>210</v>
      </c>
      <c r="E1065" t="s">
        <v>4467</v>
      </c>
      <c r="F1065" t="str">
        <f>VLOOKUP(E1065,country_continent!A:C,2,FALSE)</f>
        <v>Netherlands</v>
      </c>
      <c r="G1065" t="str">
        <f>VLOOKUP(E1065,country_continent!A:C,3,FALSE)</f>
        <v>Europe</v>
      </c>
      <c r="H1065" t="s">
        <v>4549</v>
      </c>
      <c r="I1065" s="1">
        <v>10815</v>
      </c>
      <c r="J1065" s="3">
        <f t="shared" si="48"/>
        <v>10815</v>
      </c>
      <c r="K1065" s="1">
        <v>12169</v>
      </c>
      <c r="L1065" s="3">
        <f t="shared" si="49"/>
        <v>12169</v>
      </c>
      <c r="M1065" t="s">
        <v>49</v>
      </c>
      <c r="N1065" t="s">
        <v>49</v>
      </c>
      <c r="O1065" t="s">
        <v>49</v>
      </c>
      <c r="P1065">
        <v>1</v>
      </c>
      <c r="Q1065" t="s">
        <v>50</v>
      </c>
      <c r="R1065" t="s">
        <v>51</v>
      </c>
      <c r="S1065">
        <v>1873</v>
      </c>
      <c r="T1065">
        <v>1936</v>
      </c>
      <c r="U1065" t="s">
        <v>4550</v>
      </c>
      <c r="V1065" t="s">
        <v>4551</v>
      </c>
      <c r="Y1065" t="s">
        <v>4552</v>
      </c>
      <c r="Z1065">
        <v>0</v>
      </c>
      <c r="AA1065">
        <v>1</v>
      </c>
      <c r="AB1065">
        <v>0</v>
      </c>
      <c r="AC1065">
        <v>0</v>
      </c>
      <c r="AF1065">
        <v>1929</v>
      </c>
      <c r="AG1065">
        <v>1933</v>
      </c>
      <c r="AO1065" t="b">
        <v>1</v>
      </c>
      <c r="AP1065" t="s">
        <v>4473</v>
      </c>
      <c r="AQ1065">
        <v>1979</v>
      </c>
      <c r="AR1065">
        <v>2016</v>
      </c>
      <c r="AS1065" t="s">
        <v>4569</v>
      </c>
      <c r="AT1065">
        <v>3.7070499657768599</v>
      </c>
      <c r="AU1065">
        <f t="shared" si="50"/>
        <v>0.01</v>
      </c>
    </row>
    <row r="1066" spans="1:47" x14ac:dyDescent="0.3">
      <c r="A1066">
        <v>1064</v>
      </c>
      <c r="B1066" t="s">
        <v>4570</v>
      </c>
      <c r="C1066" t="s">
        <v>4555</v>
      </c>
      <c r="D1066">
        <v>210</v>
      </c>
      <c r="E1066" t="s">
        <v>4467</v>
      </c>
      <c r="F1066" t="str">
        <f>VLOOKUP(E1066,country_continent!A:C,2,FALSE)</f>
        <v>Netherlands</v>
      </c>
      <c r="G1066" t="str">
        <f>VLOOKUP(E1066,country_continent!A:C,3,FALSE)</f>
        <v>Europe</v>
      </c>
      <c r="H1066" t="s">
        <v>4556</v>
      </c>
      <c r="I1066" s="1">
        <v>12200</v>
      </c>
      <c r="J1066" s="3">
        <f t="shared" si="48"/>
        <v>12200</v>
      </c>
      <c r="K1066" s="1">
        <v>14453</v>
      </c>
      <c r="L1066" s="3">
        <f t="shared" si="49"/>
        <v>14453</v>
      </c>
      <c r="M1066" t="s">
        <v>49</v>
      </c>
      <c r="N1066" t="s">
        <v>49</v>
      </c>
      <c r="O1066" t="s">
        <v>49</v>
      </c>
      <c r="P1066">
        <v>1</v>
      </c>
      <c r="Q1066" t="s">
        <v>463</v>
      </c>
      <c r="R1066" t="s">
        <v>51</v>
      </c>
      <c r="S1066">
        <v>1869</v>
      </c>
      <c r="T1066">
        <v>1944</v>
      </c>
      <c r="U1066" t="s">
        <v>4557</v>
      </c>
      <c r="V1066" t="s">
        <v>4558</v>
      </c>
      <c r="W1066" s="1">
        <v>16333</v>
      </c>
      <c r="X1066" s="2">
        <v>16333</v>
      </c>
      <c r="Y1066" t="s">
        <v>4559</v>
      </c>
      <c r="Z1066">
        <v>0</v>
      </c>
      <c r="AA1066">
        <v>1</v>
      </c>
      <c r="AB1066">
        <v>0</v>
      </c>
      <c r="AC1066">
        <v>2</v>
      </c>
      <c r="AF1066">
        <v>1933</v>
      </c>
      <c r="AG1066">
        <v>1939</v>
      </c>
      <c r="AO1066" t="b">
        <v>1</v>
      </c>
      <c r="AP1066" t="s">
        <v>4473</v>
      </c>
      <c r="AQ1066">
        <v>1979</v>
      </c>
      <c r="AR1066">
        <v>2016</v>
      </c>
      <c r="AS1066" t="s">
        <v>4571</v>
      </c>
      <c r="AT1066">
        <v>6.16837782340862</v>
      </c>
      <c r="AU1066">
        <f t="shared" si="50"/>
        <v>1.7000000000000001E-2</v>
      </c>
    </row>
    <row r="1067" spans="1:47" x14ac:dyDescent="0.3">
      <c r="A1067">
        <v>1065</v>
      </c>
      <c r="B1067" t="s">
        <v>4572</v>
      </c>
      <c r="C1067" t="s">
        <v>4562</v>
      </c>
      <c r="D1067">
        <v>210</v>
      </c>
      <c r="E1067" t="s">
        <v>4467</v>
      </c>
      <c r="F1067" t="str">
        <f>VLOOKUP(E1067,country_continent!A:C,2,FALSE)</f>
        <v>Netherlands</v>
      </c>
      <c r="G1067" t="str">
        <f>VLOOKUP(E1067,country_continent!A:C,3,FALSE)</f>
        <v>Europe</v>
      </c>
      <c r="H1067" t="s">
        <v>4563</v>
      </c>
      <c r="I1067" s="1">
        <v>14467</v>
      </c>
      <c r="J1067" s="3">
        <f t="shared" si="48"/>
        <v>14467</v>
      </c>
      <c r="K1067" s="1">
        <v>14745</v>
      </c>
      <c r="L1067" s="3">
        <f t="shared" si="49"/>
        <v>14745</v>
      </c>
      <c r="M1067" t="s">
        <v>49</v>
      </c>
      <c r="N1067" t="s">
        <v>633</v>
      </c>
      <c r="O1067" t="s">
        <v>634</v>
      </c>
      <c r="P1067">
        <v>1</v>
      </c>
      <c r="Q1067" t="s">
        <v>362</v>
      </c>
      <c r="R1067" t="s">
        <v>51</v>
      </c>
      <c r="S1067">
        <v>1870</v>
      </c>
      <c r="T1067">
        <v>1960</v>
      </c>
      <c r="U1067" t="s">
        <v>4564</v>
      </c>
      <c r="V1067" t="s">
        <v>4565</v>
      </c>
      <c r="Y1067" t="s">
        <v>4566</v>
      </c>
      <c r="Z1067">
        <v>0</v>
      </c>
      <c r="AA1067">
        <v>4</v>
      </c>
      <c r="AB1067">
        <v>9</v>
      </c>
      <c r="AC1067">
        <v>1</v>
      </c>
      <c r="AF1067">
        <v>1939</v>
      </c>
      <c r="AG1067">
        <v>1940</v>
      </c>
      <c r="AO1067" t="b">
        <v>1</v>
      </c>
      <c r="AP1067" t="s">
        <v>4473</v>
      </c>
      <c r="AQ1067">
        <v>1979</v>
      </c>
      <c r="AR1067">
        <v>2016</v>
      </c>
      <c r="AS1067" t="s">
        <v>4573</v>
      </c>
      <c r="AT1067">
        <v>0.76112251882272397</v>
      </c>
      <c r="AU1067">
        <f t="shared" si="50"/>
        <v>2E-3</v>
      </c>
    </row>
    <row r="1068" spans="1:47" x14ac:dyDescent="0.3">
      <c r="A1068">
        <v>1066</v>
      </c>
      <c r="B1068" t="s">
        <v>4574</v>
      </c>
      <c r="C1068" t="s">
        <v>4575</v>
      </c>
      <c r="D1068">
        <v>210</v>
      </c>
      <c r="E1068" t="s">
        <v>4467</v>
      </c>
      <c r="F1068" t="str">
        <f>VLOOKUP(E1068,country_continent!A:C,2,FALSE)</f>
        <v>Netherlands</v>
      </c>
      <c r="G1068" t="str">
        <f>VLOOKUP(E1068,country_continent!A:C,3,FALSE)</f>
        <v>Europe</v>
      </c>
      <c r="H1068" t="s">
        <v>4576</v>
      </c>
      <c r="I1068" s="1">
        <v>16612</v>
      </c>
      <c r="J1068" s="3">
        <f t="shared" si="48"/>
        <v>16612</v>
      </c>
      <c r="K1068" s="1">
        <v>16939</v>
      </c>
      <c r="L1068" s="3">
        <f t="shared" si="49"/>
        <v>16939</v>
      </c>
      <c r="M1068" t="s">
        <v>49</v>
      </c>
      <c r="N1068" t="s">
        <v>49</v>
      </c>
      <c r="O1068" t="s">
        <v>49</v>
      </c>
      <c r="P1068">
        <v>0</v>
      </c>
      <c r="Q1068" t="s">
        <v>50</v>
      </c>
      <c r="R1068" t="s">
        <v>51</v>
      </c>
      <c r="S1068">
        <v>1894</v>
      </c>
      <c r="T1068">
        <v>1977</v>
      </c>
      <c r="U1068" t="s">
        <v>4577</v>
      </c>
      <c r="V1068" t="s">
        <v>4578</v>
      </c>
      <c r="Z1068">
        <v>0</v>
      </c>
      <c r="AA1068">
        <v>1</v>
      </c>
      <c r="AB1068">
        <v>0</v>
      </c>
      <c r="AC1068">
        <v>0</v>
      </c>
      <c r="AF1068">
        <v>1945</v>
      </c>
      <c r="AG1068">
        <v>1946</v>
      </c>
      <c r="AO1068" t="b">
        <v>1</v>
      </c>
      <c r="AP1068" t="s">
        <v>4473</v>
      </c>
      <c r="AQ1068">
        <v>1979</v>
      </c>
      <c r="AR1068">
        <v>2016</v>
      </c>
      <c r="AS1068" t="s">
        <v>4579</v>
      </c>
      <c r="AT1068">
        <v>0.89527720739219696</v>
      </c>
      <c r="AU1068">
        <f t="shared" si="50"/>
        <v>2E-3</v>
      </c>
    </row>
    <row r="1069" spans="1:47" x14ac:dyDescent="0.3">
      <c r="A1069">
        <v>1067</v>
      </c>
      <c r="B1069" t="s">
        <v>4580</v>
      </c>
      <c r="C1069" t="s">
        <v>4581</v>
      </c>
      <c r="D1069">
        <v>210</v>
      </c>
      <c r="E1069" t="s">
        <v>4467</v>
      </c>
      <c r="F1069" t="str">
        <f>VLOOKUP(E1069,country_continent!A:C,2,FALSE)</f>
        <v>Netherlands</v>
      </c>
      <c r="G1069" t="str">
        <f>VLOOKUP(E1069,country_continent!A:C,3,FALSE)</f>
        <v>Europe</v>
      </c>
      <c r="H1069" t="s">
        <v>4582</v>
      </c>
      <c r="I1069" s="1">
        <v>16986</v>
      </c>
      <c r="J1069" s="3">
        <f t="shared" si="48"/>
        <v>16986</v>
      </c>
      <c r="K1069" s="1">
        <v>17721</v>
      </c>
      <c r="L1069" s="3">
        <f t="shared" si="49"/>
        <v>17721</v>
      </c>
      <c r="M1069" t="s">
        <v>49</v>
      </c>
      <c r="N1069" t="s">
        <v>49</v>
      </c>
      <c r="O1069" t="s">
        <v>49</v>
      </c>
      <c r="P1069">
        <v>0</v>
      </c>
      <c r="Q1069" t="s">
        <v>50</v>
      </c>
      <c r="R1069" t="s">
        <v>51</v>
      </c>
      <c r="S1069">
        <v>1902</v>
      </c>
      <c r="T1069">
        <v>1977</v>
      </c>
      <c r="U1069" s="1">
        <v>833</v>
      </c>
      <c r="V1069" s="2">
        <v>833</v>
      </c>
      <c r="Y1069" t="s">
        <v>4583</v>
      </c>
      <c r="Z1069">
        <v>0</v>
      </c>
      <c r="AA1069">
        <v>1</v>
      </c>
      <c r="AB1069">
        <v>0</v>
      </c>
      <c r="AC1069">
        <v>0</v>
      </c>
      <c r="AF1069">
        <v>1946</v>
      </c>
      <c r="AG1069">
        <v>1948</v>
      </c>
      <c r="AO1069" t="b">
        <v>1</v>
      </c>
      <c r="AP1069" t="s">
        <v>4473</v>
      </c>
      <c r="AQ1069">
        <v>1979</v>
      </c>
      <c r="AR1069">
        <v>2016</v>
      </c>
      <c r="AS1069" t="s">
        <v>4584</v>
      </c>
      <c r="AT1069">
        <v>2.0123203285420899</v>
      </c>
      <c r="AU1069">
        <f t="shared" si="50"/>
        <v>6.0000000000000001E-3</v>
      </c>
    </row>
    <row r="1070" spans="1:47" x14ac:dyDescent="0.3">
      <c r="A1070">
        <v>1068</v>
      </c>
      <c r="B1070" t="s">
        <v>4585</v>
      </c>
      <c r="C1070" t="s">
        <v>4586</v>
      </c>
      <c r="D1070">
        <v>210</v>
      </c>
      <c r="E1070" t="s">
        <v>4467</v>
      </c>
      <c r="F1070" t="str">
        <f>VLOOKUP(E1070,country_continent!A:C,2,FALSE)</f>
        <v>Netherlands</v>
      </c>
      <c r="G1070" t="str">
        <f>VLOOKUP(E1070,country_continent!A:C,3,FALSE)</f>
        <v>Europe</v>
      </c>
      <c r="H1070" t="s">
        <v>4587</v>
      </c>
      <c r="I1070" s="1">
        <v>17752</v>
      </c>
      <c r="J1070" s="3">
        <f t="shared" si="48"/>
        <v>17752</v>
      </c>
      <c r="K1070" s="1">
        <v>21541</v>
      </c>
      <c r="L1070" s="3">
        <f t="shared" si="49"/>
        <v>21541</v>
      </c>
      <c r="M1070" t="s">
        <v>49</v>
      </c>
      <c r="N1070" t="s">
        <v>49</v>
      </c>
      <c r="O1070" t="s">
        <v>49</v>
      </c>
      <c r="P1070">
        <v>0</v>
      </c>
      <c r="Q1070" t="s">
        <v>50</v>
      </c>
      <c r="R1070" t="s">
        <v>51</v>
      </c>
      <c r="S1070">
        <v>1886</v>
      </c>
      <c r="T1070">
        <v>1988</v>
      </c>
      <c r="U1070" t="s">
        <v>4588</v>
      </c>
      <c r="V1070" t="s">
        <v>4589</v>
      </c>
      <c r="W1070" s="1">
        <v>32277</v>
      </c>
      <c r="X1070" s="2">
        <v>32277</v>
      </c>
      <c r="Y1070" t="s">
        <v>4590</v>
      </c>
      <c r="Z1070">
        <v>0</v>
      </c>
      <c r="AA1070">
        <v>1</v>
      </c>
      <c r="AB1070">
        <v>0</v>
      </c>
      <c r="AC1070">
        <v>0</v>
      </c>
      <c r="AF1070">
        <v>1948</v>
      </c>
      <c r="AG1070">
        <v>1958</v>
      </c>
      <c r="AO1070" t="b">
        <v>1</v>
      </c>
      <c r="AP1070" t="s">
        <v>4473</v>
      </c>
      <c r="AQ1070">
        <v>1979</v>
      </c>
      <c r="AR1070">
        <v>2016</v>
      </c>
      <c r="AS1070" t="s">
        <v>4591</v>
      </c>
      <c r="AT1070">
        <v>10.3737166324435</v>
      </c>
      <c r="AU1070">
        <f t="shared" si="50"/>
        <v>2.8000000000000001E-2</v>
      </c>
    </row>
    <row r="1071" spans="1:47" x14ac:dyDescent="0.3">
      <c r="A1071">
        <v>1069</v>
      </c>
      <c r="B1071" t="s">
        <v>4592</v>
      </c>
      <c r="C1071" t="s">
        <v>4581</v>
      </c>
      <c r="D1071">
        <v>210</v>
      </c>
      <c r="E1071" t="s">
        <v>4467</v>
      </c>
      <c r="F1071" t="str">
        <f>VLOOKUP(E1071,country_continent!A:C,2,FALSE)</f>
        <v>Netherlands</v>
      </c>
      <c r="G1071" t="str">
        <f>VLOOKUP(E1071,country_continent!A:C,3,FALSE)</f>
        <v>Europe</v>
      </c>
      <c r="H1071" t="s">
        <v>4582</v>
      </c>
      <c r="I1071" s="1">
        <v>21541</v>
      </c>
      <c r="J1071" s="3">
        <f t="shared" si="48"/>
        <v>21541</v>
      </c>
      <c r="K1071" s="1">
        <v>21689</v>
      </c>
      <c r="L1071" s="3">
        <f t="shared" si="49"/>
        <v>21689</v>
      </c>
      <c r="M1071" t="s">
        <v>49</v>
      </c>
      <c r="N1071" t="s">
        <v>49</v>
      </c>
      <c r="O1071" t="s">
        <v>49</v>
      </c>
      <c r="P1071">
        <v>1</v>
      </c>
      <c r="Q1071" t="s">
        <v>50</v>
      </c>
      <c r="R1071" t="s">
        <v>51</v>
      </c>
      <c r="S1071">
        <v>1902</v>
      </c>
      <c r="T1071">
        <v>1977</v>
      </c>
      <c r="U1071" s="1">
        <v>833</v>
      </c>
      <c r="V1071" s="2">
        <v>833</v>
      </c>
      <c r="Y1071" t="s">
        <v>4583</v>
      </c>
      <c r="Z1071">
        <v>0</v>
      </c>
      <c r="AA1071">
        <v>1</v>
      </c>
      <c r="AB1071">
        <v>0</v>
      </c>
      <c r="AC1071">
        <v>0</v>
      </c>
      <c r="AF1071">
        <v>1958</v>
      </c>
      <c r="AG1071">
        <v>1959</v>
      </c>
      <c r="AO1071" t="b">
        <v>1</v>
      </c>
      <c r="AP1071" t="s">
        <v>4473</v>
      </c>
      <c r="AQ1071">
        <v>1979</v>
      </c>
      <c r="AR1071">
        <v>2016</v>
      </c>
      <c r="AS1071" t="s">
        <v>4593</v>
      </c>
      <c r="AT1071">
        <v>0.40520191649555098</v>
      </c>
      <c r="AU1071">
        <f t="shared" si="50"/>
        <v>1E-3</v>
      </c>
    </row>
    <row r="1072" spans="1:47" x14ac:dyDescent="0.3">
      <c r="A1072">
        <v>1070</v>
      </c>
      <c r="B1072" t="s">
        <v>4594</v>
      </c>
      <c r="C1072" t="s">
        <v>4595</v>
      </c>
      <c r="D1072">
        <v>210</v>
      </c>
      <c r="E1072" t="s">
        <v>4467</v>
      </c>
      <c r="F1072" t="str">
        <f>VLOOKUP(E1072,country_continent!A:C,2,FALSE)</f>
        <v>Netherlands</v>
      </c>
      <c r="G1072" t="str">
        <f>VLOOKUP(E1072,country_continent!A:C,3,FALSE)</f>
        <v>Europe</v>
      </c>
      <c r="H1072" t="s">
        <v>4596</v>
      </c>
      <c r="I1072" s="1">
        <v>21689</v>
      </c>
      <c r="J1072" s="3">
        <f t="shared" si="48"/>
        <v>21689</v>
      </c>
      <c r="K1072" s="1">
        <v>23146</v>
      </c>
      <c r="L1072" s="3">
        <f t="shared" si="49"/>
        <v>23146</v>
      </c>
      <c r="M1072" t="s">
        <v>49</v>
      </c>
      <c r="N1072" t="s">
        <v>49</v>
      </c>
      <c r="O1072" t="s">
        <v>49</v>
      </c>
      <c r="P1072">
        <v>0</v>
      </c>
      <c r="Q1072" t="s">
        <v>50</v>
      </c>
      <c r="R1072" t="s">
        <v>51</v>
      </c>
      <c r="S1072">
        <v>1901</v>
      </c>
      <c r="T1072">
        <v>1985</v>
      </c>
      <c r="U1072" s="1">
        <v>604</v>
      </c>
      <c r="V1072" s="2">
        <v>604</v>
      </c>
      <c r="W1072" s="1">
        <v>31232</v>
      </c>
      <c r="X1072" s="2">
        <v>31232</v>
      </c>
      <c r="Y1072" t="s">
        <v>4597</v>
      </c>
      <c r="Z1072">
        <v>0</v>
      </c>
      <c r="AA1072">
        <v>1</v>
      </c>
      <c r="AB1072">
        <v>0</v>
      </c>
      <c r="AC1072">
        <v>0</v>
      </c>
      <c r="AF1072">
        <v>1959</v>
      </c>
      <c r="AG1072">
        <v>1963</v>
      </c>
      <c r="AO1072" t="b">
        <v>1</v>
      </c>
      <c r="AP1072" t="s">
        <v>4473</v>
      </c>
      <c r="AQ1072">
        <v>1979</v>
      </c>
      <c r="AR1072">
        <v>2016</v>
      </c>
      <c r="AS1072" t="s">
        <v>4598</v>
      </c>
      <c r="AT1072">
        <v>3.98904859685147</v>
      </c>
      <c r="AU1072">
        <f t="shared" si="50"/>
        <v>1.0999999999999999E-2</v>
      </c>
    </row>
    <row r="1073" spans="1:47" x14ac:dyDescent="0.3">
      <c r="A1073">
        <v>1071</v>
      </c>
      <c r="B1073" t="s">
        <v>4599</v>
      </c>
      <c r="C1073" t="s">
        <v>4600</v>
      </c>
      <c r="D1073">
        <v>210</v>
      </c>
      <c r="E1073" t="s">
        <v>4467</v>
      </c>
      <c r="F1073" t="str">
        <f>VLOOKUP(E1073,country_continent!A:C,2,FALSE)</f>
        <v>Netherlands</v>
      </c>
      <c r="G1073" t="str">
        <f>VLOOKUP(E1073,country_continent!A:C,3,FALSE)</f>
        <v>Europe</v>
      </c>
      <c r="H1073" t="s">
        <v>4601</v>
      </c>
      <c r="I1073" s="1">
        <v>23216</v>
      </c>
      <c r="J1073" s="3">
        <f t="shared" si="48"/>
        <v>23216</v>
      </c>
      <c r="K1073" s="1">
        <v>23799</v>
      </c>
      <c r="L1073" s="3">
        <f t="shared" si="49"/>
        <v>23799</v>
      </c>
      <c r="M1073" t="s">
        <v>49</v>
      </c>
      <c r="N1073" t="s">
        <v>49</v>
      </c>
      <c r="O1073" t="s">
        <v>49</v>
      </c>
      <c r="P1073">
        <v>0</v>
      </c>
      <c r="Q1073" t="s">
        <v>50</v>
      </c>
      <c r="R1073" t="s">
        <v>51</v>
      </c>
      <c r="S1073">
        <v>1917</v>
      </c>
      <c r="T1073">
        <v>1975</v>
      </c>
      <c r="U1073" s="1">
        <v>6262</v>
      </c>
      <c r="V1073" s="2">
        <v>6262</v>
      </c>
      <c r="Y1073" t="s">
        <v>4602</v>
      </c>
      <c r="Z1073">
        <v>0</v>
      </c>
      <c r="AA1073">
        <v>1</v>
      </c>
      <c r="AB1073">
        <v>0</v>
      </c>
      <c r="AC1073">
        <v>0</v>
      </c>
      <c r="AF1073">
        <v>1963</v>
      </c>
      <c r="AG1073">
        <v>1965</v>
      </c>
      <c r="AO1073" t="b">
        <v>1</v>
      </c>
      <c r="AP1073" t="s">
        <v>4473</v>
      </c>
      <c r="AQ1073">
        <v>1979</v>
      </c>
      <c r="AR1073">
        <v>2016</v>
      </c>
      <c r="AS1073" t="s">
        <v>4603</v>
      </c>
      <c r="AT1073">
        <v>1.59616700889801</v>
      </c>
      <c r="AU1073">
        <f t="shared" si="50"/>
        <v>4.0000000000000001E-3</v>
      </c>
    </row>
    <row r="1074" spans="1:47" x14ac:dyDescent="0.3">
      <c r="A1074">
        <v>1072</v>
      </c>
      <c r="B1074" t="s">
        <v>4604</v>
      </c>
      <c r="C1074" t="s">
        <v>4605</v>
      </c>
      <c r="D1074">
        <v>210</v>
      </c>
      <c r="E1074" t="s">
        <v>4467</v>
      </c>
      <c r="F1074" t="str">
        <f>VLOOKUP(E1074,country_continent!A:C,2,FALSE)</f>
        <v>Netherlands</v>
      </c>
      <c r="G1074" t="str">
        <f>VLOOKUP(E1074,country_continent!A:C,3,FALSE)</f>
        <v>Europe</v>
      </c>
      <c r="H1074" t="s">
        <v>4606</v>
      </c>
      <c r="I1074" s="1">
        <v>23859</v>
      </c>
      <c r="J1074" s="3">
        <f t="shared" si="48"/>
        <v>23859</v>
      </c>
      <c r="K1074" s="1">
        <v>24394</v>
      </c>
      <c r="L1074" s="3">
        <f t="shared" si="49"/>
        <v>24394</v>
      </c>
      <c r="M1074" t="s">
        <v>49</v>
      </c>
      <c r="N1074" t="s">
        <v>49</v>
      </c>
      <c r="O1074" t="s">
        <v>49</v>
      </c>
      <c r="P1074">
        <v>0</v>
      </c>
      <c r="Q1074" t="s">
        <v>50</v>
      </c>
      <c r="R1074" t="s">
        <v>51</v>
      </c>
      <c r="S1074">
        <v>1914</v>
      </c>
      <c r="T1074">
        <v>1971</v>
      </c>
      <c r="U1074" s="1">
        <v>5313</v>
      </c>
      <c r="V1074" s="2">
        <v>5313</v>
      </c>
      <c r="Y1074" t="s">
        <v>4607</v>
      </c>
      <c r="Z1074">
        <v>0</v>
      </c>
      <c r="AA1074">
        <v>1</v>
      </c>
      <c r="AB1074">
        <v>0</v>
      </c>
      <c r="AC1074">
        <v>0</v>
      </c>
      <c r="AF1074">
        <v>1965</v>
      </c>
      <c r="AG1074">
        <v>1966</v>
      </c>
      <c r="AO1074" t="b">
        <v>1</v>
      </c>
      <c r="AP1074" t="s">
        <v>4473</v>
      </c>
      <c r="AQ1074">
        <v>1979</v>
      </c>
      <c r="AR1074">
        <v>2016</v>
      </c>
      <c r="AS1074" t="s">
        <v>4608</v>
      </c>
      <c r="AT1074">
        <v>1.4647501711156701</v>
      </c>
      <c r="AU1074">
        <f t="shared" si="50"/>
        <v>4.0000000000000001E-3</v>
      </c>
    </row>
    <row r="1075" spans="1:47" x14ac:dyDescent="0.3">
      <c r="A1075">
        <v>1073</v>
      </c>
      <c r="B1075" t="s">
        <v>4609</v>
      </c>
      <c r="C1075" t="s">
        <v>4610</v>
      </c>
      <c r="D1075">
        <v>210</v>
      </c>
      <c r="E1075" t="s">
        <v>4467</v>
      </c>
      <c r="F1075" t="str">
        <f>VLOOKUP(E1075,country_continent!A:C,2,FALSE)</f>
        <v>Netherlands</v>
      </c>
      <c r="G1075" t="str">
        <f>VLOOKUP(E1075,country_continent!A:C,3,FALSE)</f>
        <v>Europe</v>
      </c>
      <c r="H1075" t="s">
        <v>4611</v>
      </c>
      <c r="I1075" s="1">
        <v>24433</v>
      </c>
      <c r="J1075" s="3">
        <f t="shared" si="48"/>
        <v>24433</v>
      </c>
      <c r="K1075" s="1">
        <v>24518</v>
      </c>
      <c r="L1075" s="3">
        <f t="shared" si="49"/>
        <v>24518</v>
      </c>
      <c r="M1075" t="s">
        <v>49</v>
      </c>
      <c r="N1075" t="s">
        <v>49</v>
      </c>
      <c r="O1075" t="s">
        <v>49</v>
      </c>
      <c r="P1075">
        <v>0</v>
      </c>
      <c r="Q1075" t="s">
        <v>50</v>
      </c>
      <c r="R1075" t="s">
        <v>51</v>
      </c>
      <c r="S1075">
        <v>1918</v>
      </c>
      <c r="T1075">
        <v>2001</v>
      </c>
      <c r="U1075" s="1">
        <v>6814</v>
      </c>
      <c r="V1075" s="2">
        <v>6814</v>
      </c>
      <c r="Y1075" t="s">
        <v>4612</v>
      </c>
      <c r="Z1075">
        <v>0</v>
      </c>
      <c r="AA1075">
        <v>1</v>
      </c>
      <c r="AB1075">
        <v>0</v>
      </c>
      <c r="AC1075">
        <v>0</v>
      </c>
      <c r="AF1075">
        <v>1966</v>
      </c>
      <c r="AG1075">
        <v>1967</v>
      </c>
      <c r="AO1075" t="b">
        <v>1</v>
      </c>
      <c r="AP1075" t="s">
        <v>4473</v>
      </c>
      <c r="AQ1075">
        <v>1979</v>
      </c>
      <c r="AR1075">
        <v>2016</v>
      </c>
      <c r="AS1075" t="s">
        <v>4613</v>
      </c>
      <c r="AT1075">
        <v>0.23271731690622799</v>
      </c>
      <c r="AU1075">
        <f t="shared" si="50"/>
        <v>1E-3</v>
      </c>
    </row>
    <row r="1076" spans="1:47" x14ac:dyDescent="0.3">
      <c r="A1076">
        <v>1074</v>
      </c>
      <c r="B1076" t="s">
        <v>4614</v>
      </c>
      <c r="C1076" t="s">
        <v>4615</v>
      </c>
      <c r="D1076">
        <v>210</v>
      </c>
      <c r="E1076" t="s">
        <v>4467</v>
      </c>
      <c r="F1076" t="str">
        <f>VLOOKUP(E1076,country_continent!A:C,2,FALSE)</f>
        <v>Netherlands</v>
      </c>
      <c r="G1076" t="str">
        <f>VLOOKUP(E1076,country_continent!A:C,3,FALSE)</f>
        <v>Europe</v>
      </c>
      <c r="H1076" t="s">
        <v>4616</v>
      </c>
      <c r="I1076" s="1">
        <v>24565</v>
      </c>
      <c r="J1076" s="3">
        <f t="shared" si="48"/>
        <v>24565</v>
      </c>
      <c r="K1076" s="1">
        <v>26052</v>
      </c>
      <c r="L1076" s="3">
        <f t="shared" si="49"/>
        <v>26052</v>
      </c>
      <c r="M1076" t="s">
        <v>49</v>
      </c>
      <c r="N1076" t="s">
        <v>49</v>
      </c>
      <c r="O1076" t="s">
        <v>49</v>
      </c>
      <c r="P1076">
        <v>0</v>
      </c>
      <c r="Q1076" t="s">
        <v>50</v>
      </c>
      <c r="R1076" t="s">
        <v>51</v>
      </c>
      <c r="S1076">
        <v>1915</v>
      </c>
      <c r="T1076">
        <v>-777</v>
      </c>
      <c r="U1076" s="1">
        <v>5572</v>
      </c>
      <c r="V1076" s="2">
        <v>5572</v>
      </c>
      <c r="Y1076" t="s">
        <v>4617</v>
      </c>
      <c r="Z1076">
        <v>0</v>
      </c>
      <c r="AA1076">
        <v>1</v>
      </c>
      <c r="AB1076">
        <v>0</v>
      </c>
      <c r="AC1076">
        <v>0</v>
      </c>
      <c r="AF1076">
        <v>1967</v>
      </c>
      <c r="AG1076">
        <v>1971</v>
      </c>
      <c r="AO1076" t="b">
        <v>1</v>
      </c>
      <c r="AP1076" t="s">
        <v>4473</v>
      </c>
      <c r="AQ1076">
        <v>1979</v>
      </c>
      <c r="AR1076">
        <v>2016</v>
      </c>
      <c r="AS1076" t="s">
        <v>4618</v>
      </c>
      <c r="AT1076">
        <v>4.0711841204654302</v>
      </c>
      <c r="AU1076">
        <f t="shared" si="50"/>
        <v>1.0999999999999999E-2</v>
      </c>
    </row>
    <row r="1077" spans="1:47" x14ac:dyDescent="0.3">
      <c r="A1077">
        <v>1075</v>
      </c>
      <c r="B1077" t="s">
        <v>4619</v>
      </c>
      <c r="C1077" t="s">
        <v>4620</v>
      </c>
      <c r="D1077">
        <v>210</v>
      </c>
      <c r="E1077" t="s">
        <v>4467</v>
      </c>
      <c r="F1077" t="str">
        <f>VLOOKUP(E1077,country_continent!A:C,2,FALSE)</f>
        <v>Netherlands</v>
      </c>
      <c r="G1077" t="str">
        <f>VLOOKUP(E1077,country_continent!A:C,3,FALSE)</f>
        <v>Europe</v>
      </c>
      <c r="H1077" t="s">
        <v>4621</v>
      </c>
      <c r="I1077" s="1">
        <v>26120</v>
      </c>
      <c r="J1077" s="3">
        <f t="shared" si="48"/>
        <v>26120</v>
      </c>
      <c r="K1077" s="1">
        <v>26795</v>
      </c>
      <c r="L1077" s="3">
        <f t="shared" si="49"/>
        <v>26795</v>
      </c>
      <c r="M1077" t="s">
        <v>49</v>
      </c>
      <c r="N1077" t="s">
        <v>49</v>
      </c>
      <c r="O1077" t="s">
        <v>49</v>
      </c>
      <c r="P1077">
        <v>0</v>
      </c>
      <c r="Q1077" t="s">
        <v>50</v>
      </c>
      <c r="R1077" t="s">
        <v>51</v>
      </c>
      <c r="S1077">
        <v>1920</v>
      </c>
      <c r="T1077">
        <v>2001</v>
      </c>
      <c r="U1077" s="1">
        <v>7401</v>
      </c>
      <c r="V1077" s="2">
        <v>7401</v>
      </c>
      <c r="Y1077" t="s">
        <v>4622</v>
      </c>
      <c r="Z1077">
        <v>0</v>
      </c>
      <c r="AA1077">
        <v>1</v>
      </c>
      <c r="AB1077">
        <v>0</v>
      </c>
      <c r="AC1077">
        <v>0</v>
      </c>
      <c r="AF1077">
        <v>1971</v>
      </c>
      <c r="AG1077">
        <v>1973</v>
      </c>
      <c r="AO1077" t="b">
        <v>1</v>
      </c>
      <c r="AP1077" t="s">
        <v>4473</v>
      </c>
      <c r="AQ1077">
        <v>1979</v>
      </c>
      <c r="AR1077">
        <v>2016</v>
      </c>
      <c r="AS1077" t="s">
        <v>4623</v>
      </c>
      <c r="AT1077">
        <v>1.84804928131416</v>
      </c>
      <c r="AU1077">
        <f t="shared" si="50"/>
        <v>5.0000000000000001E-3</v>
      </c>
    </row>
    <row r="1078" spans="1:47" x14ac:dyDescent="0.3">
      <c r="A1078">
        <v>1076</v>
      </c>
      <c r="B1078" t="s">
        <v>4624</v>
      </c>
      <c r="C1078" t="s">
        <v>4625</v>
      </c>
      <c r="D1078">
        <v>210</v>
      </c>
      <c r="E1078" t="s">
        <v>4467</v>
      </c>
      <c r="F1078" t="str">
        <f>VLOOKUP(E1078,country_continent!A:C,2,FALSE)</f>
        <v>Netherlands</v>
      </c>
      <c r="G1078" t="str">
        <f>VLOOKUP(E1078,country_continent!A:C,3,FALSE)</f>
        <v>Europe</v>
      </c>
      <c r="H1078" t="s">
        <v>4626</v>
      </c>
      <c r="I1078" s="1">
        <v>26795</v>
      </c>
      <c r="J1078" s="3">
        <f t="shared" si="48"/>
        <v>26795</v>
      </c>
      <c r="K1078" s="1">
        <v>28478</v>
      </c>
      <c r="L1078" s="3">
        <f t="shared" si="49"/>
        <v>28478</v>
      </c>
      <c r="M1078" t="s">
        <v>49</v>
      </c>
      <c r="N1078" t="s">
        <v>49</v>
      </c>
      <c r="O1078" t="s">
        <v>49</v>
      </c>
      <c r="P1078">
        <v>0</v>
      </c>
      <c r="Q1078" t="s">
        <v>50</v>
      </c>
      <c r="R1078" t="s">
        <v>51</v>
      </c>
      <c r="S1078">
        <v>1919</v>
      </c>
      <c r="T1078">
        <v>1987</v>
      </c>
      <c r="U1078" s="1">
        <v>7161</v>
      </c>
      <c r="V1078" s="2">
        <v>7161</v>
      </c>
      <c r="W1078" s="1">
        <v>32135</v>
      </c>
      <c r="X1078" s="2">
        <v>32135</v>
      </c>
      <c r="Y1078" t="s">
        <v>4627</v>
      </c>
      <c r="Z1078">
        <v>0</v>
      </c>
      <c r="AA1078">
        <v>1</v>
      </c>
      <c r="AB1078">
        <v>0</v>
      </c>
      <c r="AC1078">
        <v>0</v>
      </c>
      <c r="AF1078">
        <v>1973</v>
      </c>
      <c r="AG1078">
        <v>1977</v>
      </c>
      <c r="AO1078" t="b">
        <v>1</v>
      </c>
      <c r="AP1078" t="s">
        <v>4473</v>
      </c>
      <c r="AQ1078">
        <v>1979</v>
      </c>
      <c r="AR1078">
        <v>2016</v>
      </c>
      <c r="AS1078" t="s">
        <v>4628</v>
      </c>
      <c r="AT1078">
        <v>4.60780287474332</v>
      </c>
      <c r="AU1078">
        <f t="shared" si="50"/>
        <v>1.2999999999999999E-2</v>
      </c>
    </row>
    <row r="1079" spans="1:47" x14ac:dyDescent="0.3">
      <c r="A1079">
        <v>1077</v>
      </c>
      <c r="B1079" t="s">
        <v>4629</v>
      </c>
      <c r="C1079" t="s">
        <v>4630</v>
      </c>
      <c r="D1079">
        <v>210</v>
      </c>
      <c r="E1079" t="s">
        <v>4467</v>
      </c>
      <c r="F1079" t="str">
        <f>VLOOKUP(E1079,country_continent!A:C,2,FALSE)</f>
        <v>Netherlands</v>
      </c>
      <c r="G1079" t="str">
        <f>VLOOKUP(E1079,country_continent!A:C,3,FALSE)</f>
        <v>Europe</v>
      </c>
      <c r="H1079" t="s">
        <v>4631</v>
      </c>
      <c r="I1079" s="1">
        <v>28478</v>
      </c>
      <c r="J1079" s="3">
        <f t="shared" si="48"/>
        <v>28478</v>
      </c>
      <c r="K1079" s="1">
        <v>30259</v>
      </c>
      <c r="L1079" s="3">
        <f t="shared" si="49"/>
        <v>30259</v>
      </c>
      <c r="M1079" t="s">
        <v>49</v>
      </c>
      <c r="N1079" t="s">
        <v>49</v>
      </c>
      <c r="O1079" t="s">
        <v>49</v>
      </c>
      <c r="P1079">
        <v>0</v>
      </c>
      <c r="Q1079" t="s">
        <v>50</v>
      </c>
      <c r="R1079" t="s">
        <v>51</v>
      </c>
      <c r="S1079">
        <v>1931</v>
      </c>
      <c r="T1079">
        <v>-777</v>
      </c>
      <c r="U1079" s="1">
        <v>11356</v>
      </c>
      <c r="V1079" s="2">
        <v>11356</v>
      </c>
      <c r="Y1079" t="s">
        <v>4632</v>
      </c>
      <c r="Z1079">
        <v>0</v>
      </c>
      <c r="AA1079">
        <v>1</v>
      </c>
      <c r="AB1079">
        <v>0</v>
      </c>
      <c r="AC1079">
        <v>0</v>
      </c>
      <c r="AF1079">
        <v>1977</v>
      </c>
      <c r="AG1079">
        <v>1982</v>
      </c>
      <c r="AO1079" t="b">
        <v>1</v>
      </c>
      <c r="AP1079" t="s">
        <v>4473</v>
      </c>
      <c r="AQ1079">
        <v>1979</v>
      </c>
      <c r="AR1079">
        <v>2016</v>
      </c>
      <c r="AS1079" t="s">
        <v>4633</v>
      </c>
      <c r="AT1079">
        <v>4.8761122518822697</v>
      </c>
      <c r="AU1079">
        <f t="shared" si="50"/>
        <v>1.2999999999999999E-2</v>
      </c>
    </row>
    <row r="1080" spans="1:47" x14ac:dyDescent="0.3">
      <c r="A1080">
        <v>1078</v>
      </c>
      <c r="B1080" t="s">
        <v>4634</v>
      </c>
      <c r="C1080" t="s">
        <v>4635</v>
      </c>
      <c r="D1080">
        <v>210</v>
      </c>
      <c r="E1080" t="s">
        <v>4467</v>
      </c>
      <c r="F1080" t="str">
        <f>VLOOKUP(E1080,country_continent!A:C,2,FALSE)</f>
        <v>Netherlands</v>
      </c>
      <c r="G1080" t="str">
        <f>VLOOKUP(E1080,country_continent!A:C,3,FALSE)</f>
        <v>Europe</v>
      </c>
      <c r="H1080" t="s">
        <v>4636</v>
      </c>
      <c r="I1080" s="1">
        <v>30259</v>
      </c>
      <c r="J1080" s="3">
        <f t="shared" si="48"/>
        <v>30259</v>
      </c>
      <c r="K1080" s="1">
        <v>34568</v>
      </c>
      <c r="L1080" s="3">
        <f t="shared" si="49"/>
        <v>34568</v>
      </c>
      <c r="M1080" t="s">
        <v>49</v>
      </c>
      <c r="N1080" t="s">
        <v>49</v>
      </c>
      <c r="O1080" t="s">
        <v>49</v>
      </c>
      <c r="P1080">
        <v>0</v>
      </c>
      <c r="Q1080" t="s">
        <v>50</v>
      </c>
      <c r="R1080" t="s">
        <v>51</v>
      </c>
      <c r="S1080">
        <v>1939</v>
      </c>
      <c r="T1080">
        <v>-777</v>
      </c>
      <c r="U1080" s="1">
        <v>14372</v>
      </c>
      <c r="V1080" s="2">
        <v>14372</v>
      </c>
      <c r="Y1080" t="s">
        <v>4637</v>
      </c>
      <c r="Z1080">
        <v>0</v>
      </c>
      <c r="AA1080">
        <v>1</v>
      </c>
      <c r="AB1080">
        <v>0</v>
      </c>
      <c r="AC1080">
        <v>0</v>
      </c>
      <c r="AF1080">
        <v>1982</v>
      </c>
      <c r="AG1080">
        <v>1994</v>
      </c>
      <c r="AO1080" t="b">
        <v>1</v>
      </c>
      <c r="AP1080" t="s">
        <v>4473</v>
      </c>
      <c r="AQ1080">
        <v>1979</v>
      </c>
      <c r="AR1080">
        <v>2016</v>
      </c>
      <c r="AS1080" t="s">
        <v>4638</v>
      </c>
      <c r="AT1080">
        <v>11.7973990417522</v>
      </c>
      <c r="AU1080">
        <f t="shared" si="50"/>
        <v>3.2000000000000001E-2</v>
      </c>
    </row>
    <row r="1081" spans="1:47" x14ac:dyDescent="0.3">
      <c r="A1081">
        <v>1079</v>
      </c>
      <c r="B1081" t="s">
        <v>4639</v>
      </c>
      <c r="C1081" t="s">
        <v>4640</v>
      </c>
      <c r="D1081">
        <v>210</v>
      </c>
      <c r="E1081" t="s">
        <v>4467</v>
      </c>
      <c r="F1081" t="str">
        <f>VLOOKUP(E1081,country_continent!A:C,2,FALSE)</f>
        <v>Netherlands</v>
      </c>
      <c r="G1081" t="str">
        <f>VLOOKUP(E1081,country_continent!A:C,3,FALSE)</f>
        <v>Europe</v>
      </c>
      <c r="H1081" t="s">
        <v>4641</v>
      </c>
      <c r="I1081" s="1">
        <v>34568</v>
      </c>
      <c r="J1081" s="3">
        <f t="shared" si="48"/>
        <v>34568</v>
      </c>
      <c r="K1081" s="1">
        <v>37459</v>
      </c>
      <c r="L1081" s="3">
        <f t="shared" si="49"/>
        <v>37459</v>
      </c>
      <c r="M1081" t="s">
        <v>49</v>
      </c>
      <c r="N1081" t="s">
        <v>49</v>
      </c>
      <c r="O1081" t="s">
        <v>49</v>
      </c>
      <c r="P1081">
        <v>0</v>
      </c>
      <c r="Q1081" t="s">
        <v>50</v>
      </c>
      <c r="R1081" t="s">
        <v>51</v>
      </c>
      <c r="S1081">
        <v>1938</v>
      </c>
      <c r="T1081">
        <v>-777</v>
      </c>
      <c r="U1081" s="1">
        <v>14152</v>
      </c>
      <c r="V1081" s="2">
        <v>14152</v>
      </c>
      <c r="Y1081" t="s">
        <v>4642</v>
      </c>
      <c r="Z1081">
        <v>0</v>
      </c>
      <c r="AA1081">
        <v>1</v>
      </c>
      <c r="AB1081">
        <v>0</v>
      </c>
      <c r="AC1081">
        <v>0</v>
      </c>
      <c r="AF1081">
        <v>1994</v>
      </c>
      <c r="AG1081">
        <v>2002</v>
      </c>
      <c r="AO1081" t="b">
        <v>1</v>
      </c>
      <c r="AP1081" t="s">
        <v>4473</v>
      </c>
      <c r="AQ1081">
        <v>1979</v>
      </c>
      <c r="AR1081">
        <v>2016</v>
      </c>
      <c r="AS1081" t="s">
        <v>4643</v>
      </c>
      <c r="AT1081">
        <v>7.9151266255988997</v>
      </c>
      <c r="AU1081">
        <f t="shared" si="50"/>
        <v>2.1999999999999999E-2</v>
      </c>
    </row>
    <row r="1082" spans="1:47" x14ac:dyDescent="0.3">
      <c r="A1082">
        <v>1080</v>
      </c>
      <c r="B1082" t="s">
        <v>4644</v>
      </c>
      <c r="C1082" t="s">
        <v>4645</v>
      </c>
      <c r="D1082">
        <v>210</v>
      </c>
      <c r="E1082" t="s">
        <v>4467</v>
      </c>
      <c r="F1082" t="str">
        <f>VLOOKUP(E1082,country_continent!A:C,2,FALSE)</f>
        <v>Netherlands</v>
      </c>
      <c r="G1082" t="str">
        <f>VLOOKUP(E1082,country_continent!A:C,3,FALSE)</f>
        <v>Europe</v>
      </c>
      <c r="H1082" t="s">
        <v>4646</v>
      </c>
      <c r="I1082" s="1">
        <v>37459</v>
      </c>
      <c r="J1082" s="3">
        <f t="shared" si="48"/>
        <v>37459</v>
      </c>
      <c r="K1082" s="1">
        <v>40465</v>
      </c>
      <c r="L1082" s="3">
        <f t="shared" si="49"/>
        <v>40465</v>
      </c>
      <c r="M1082" t="s">
        <v>49</v>
      </c>
      <c r="N1082" t="s">
        <v>49</v>
      </c>
      <c r="O1082" t="s">
        <v>49</v>
      </c>
      <c r="P1082">
        <v>0</v>
      </c>
      <c r="Q1082" t="s">
        <v>50</v>
      </c>
      <c r="R1082" t="s">
        <v>51</v>
      </c>
      <c r="S1082">
        <v>1956</v>
      </c>
      <c r="T1082">
        <v>-777</v>
      </c>
      <c r="U1082" s="1">
        <v>20582</v>
      </c>
      <c r="V1082" s="2">
        <v>20582</v>
      </c>
      <c r="Y1082" t="s">
        <v>4647</v>
      </c>
      <c r="Z1082">
        <v>0</v>
      </c>
      <c r="AA1082">
        <v>1</v>
      </c>
      <c r="AB1082">
        <v>0</v>
      </c>
      <c r="AC1082">
        <v>0</v>
      </c>
      <c r="AF1082">
        <v>2002</v>
      </c>
      <c r="AG1082">
        <v>2010</v>
      </c>
      <c r="AO1082" t="b">
        <v>1</v>
      </c>
      <c r="AP1082" t="s">
        <v>4473</v>
      </c>
      <c r="AQ1082">
        <v>1979</v>
      </c>
      <c r="AR1082">
        <v>2016</v>
      </c>
      <c r="AS1082" t="s">
        <v>4648</v>
      </c>
      <c r="AT1082">
        <v>8.2299794661190901</v>
      </c>
      <c r="AU1082">
        <f t="shared" si="50"/>
        <v>2.3E-2</v>
      </c>
    </row>
    <row r="1083" spans="1:47" x14ac:dyDescent="0.3">
      <c r="A1083">
        <v>1081</v>
      </c>
      <c r="B1083" t="s">
        <v>4649</v>
      </c>
      <c r="C1083" t="s">
        <v>4650</v>
      </c>
      <c r="D1083">
        <v>210</v>
      </c>
      <c r="E1083" t="s">
        <v>4467</v>
      </c>
      <c r="F1083" t="str">
        <f>VLOOKUP(E1083,country_continent!A:C,2,FALSE)</f>
        <v>Netherlands</v>
      </c>
      <c r="G1083" t="str">
        <f>VLOOKUP(E1083,country_continent!A:C,3,FALSE)</f>
        <v>Europe</v>
      </c>
      <c r="H1083" t="s">
        <v>4651</v>
      </c>
      <c r="I1083" s="1">
        <v>40465</v>
      </c>
      <c r="J1083" s="3">
        <f t="shared" si="48"/>
        <v>40465</v>
      </c>
      <c r="K1083" s="1">
        <v>42369</v>
      </c>
      <c r="L1083" s="3">
        <f t="shared" si="49"/>
        <v>42369</v>
      </c>
      <c r="M1083" t="s">
        <v>49</v>
      </c>
      <c r="N1083" t="s">
        <v>173</v>
      </c>
      <c r="O1083" t="s">
        <v>173</v>
      </c>
      <c r="P1083">
        <v>0</v>
      </c>
      <c r="Q1083" t="s">
        <v>174</v>
      </c>
      <c r="R1083" t="s">
        <v>51</v>
      </c>
      <c r="S1083">
        <v>1967</v>
      </c>
      <c r="T1083">
        <v>-777</v>
      </c>
      <c r="U1083" s="1">
        <v>24517</v>
      </c>
      <c r="V1083" s="2">
        <v>24517</v>
      </c>
      <c r="Z1083">
        <v>0</v>
      </c>
      <c r="AA1083">
        <v>-888</v>
      </c>
      <c r="AB1083">
        <v>-888</v>
      </c>
      <c r="AC1083">
        <v>-888</v>
      </c>
      <c r="AF1083">
        <v>2010</v>
      </c>
      <c r="AG1083">
        <v>2015</v>
      </c>
      <c r="AO1083" t="b">
        <v>1</v>
      </c>
      <c r="AP1083" t="s">
        <v>4473</v>
      </c>
      <c r="AQ1083">
        <v>1979</v>
      </c>
      <c r="AR1083">
        <v>2016</v>
      </c>
      <c r="AS1083" t="s">
        <v>4652</v>
      </c>
      <c r="AT1083">
        <v>5.2128678986995203</v>
      </c>
      <c r="AU1083">
        <f t="shared" si="50"/>
        <v>1.4E-2</v>
      </c>
    </row>
    <row r="1084" spans="1:47" x14ac:dyDescent="0.3">
      <c r="A1084">
        <v>1082</v>
      </c>
      <c r="B1084" t="s">
        <v>4653</v>
      </c>
      <c r="C1084" t="s">
        <v>4654</v>
      </c>
      <c r="D1084">
        <v>211</v>
      </c>
      <c r="E1084" t="s">
        <v>4655</v>
      </c>
      <c r="F1084" t="str">
        <f>VLOOKUP(E1084,country_continent!A:C,2,FALSE)</f>
        <v>Belgium</v>
      </c>
      <c r="G1084" t="str">
        <f>VLOOKUP(E1084,country_continent!A:C,3,FALSE)</f>
        <v>Europe</v>
      </c>
      <c r="H1084" t="s">
        <v>4656</v>
      </c>
      <c r="I1084" t="s">
        <v>4657</v>
      </c>
      <c r="J1084" s="3" t="str">
        <f t="shared" si="48"/>
        <v>1871/12/07</v>
      </c>
      <c r="K1084" t="s">
        <v>4658</v>
      </c>
      <c r="L1084" s="3" t="str">
        <f t="shared" si="49"/>
        <v>1878/06/19</v>
      </c>
      <c r="M1084" t="s">
        <v>49</v>
      </c>
      <c r="N1084" t="s">
        <v>49</v>
      </c>
      <c r="O1084" t="s">
        <v>49</v>
      </c>
      <c r="P1084">
        <v>0</v>
      </c>
      <c r="Q1084" t="s">
        <v>50</v>
      </c>
      <c r="R1084" t="s">
        <v>51</v>
      </c>
      <c r="S1084">
        <v>1810</v>
      </c>
      <c r="T1084">
        <v>1886</v>
      </c>
      <c r="Z1084">
        <v>0</v>
      </c>
      <c r="AA1084">
        <v>1</v>
      </c>
      <c r="AB1084">
        <v>0</v>
      </c>
      <c r="AC1084">
        <v>0</v>
      </c>
      <c r="AF1084">
        <v>1871</v>
      </c>
      <c r="AG1084">
        <v>1878</v>
      </c>
      <c r="AO1084" t="b">
        <v>1</v>
      </c>
      <c r="AP1084" t="s">
        <v>4202</v>
      </c>
      <c r="AQ1084">
        <v>1945</v>
      </c>
      <c r="AR1084">
        <v>1961</v>
      </c>
      <c r="AS1084" t="s">
        <v>4659</v>
      </c>
      <c r="AT1084">
        <v>6.5325119780971903</v>
      </c>
      <c r="AU1084">
        <f t="shared" si="50"/>
        <v>1.7999999999999999E-2</v>
      </c>
    </row>
    <row r="1085" spans="1:47" x14ac:dyDescent="0.3">
      <c r="A1085">
        <v>1083</v>
      </c>
      <c r="B1085" t="s">
        <v>4660</v>
      </c>
      <c r="C1085" t="s">
        <v>4661</v>
      </c>
      <c r="D1085">
        <v>211</v>
      </c>
      <c r="E1085" t="s">
        <v>4655</v>
      </c>
      <c r="F1085" t="str">
        <f>VLOOKUP(E1085,country_continent!A:C,2,FALSE)</f>
        <v>Belgium</v>
      </c>
      <c r="G1085" t="str">
        <f>VLOOKUP(E1085,country_continent!A:C,3,FALSE)</f>
        <v>Europe</v>
      </c>
      <c r="H1085" t="s">
        <v>4662</v>
      </c>
      <c r="I1085" t="s">
        <v>4658</v>
      </c>
      <c r="J1085" s="3" t="str">
        <f t="shared" si="48"/>
        <v>1878/06/19</v>
      </c>
      <c r="K1085" t="s">
        <v>4663</v>
      </c>
      <c r="L1085" s="3" t="str">
        <f t="shared" si="49"/>
        <v>1884/06/16</v>
      </c>
      <c r="M1085" t="s">
        <v>49</v>
      </c>
      <c r="N1085" t="s">
        <v>49</v>
      </c>
      <c r="O1085" t="s">
        <v>49</v>
      </c>
      <c r="P1085">
        <v>1</v>
      </c>
      <c r="Q1085" t="s">
        <v>50</v>
      </c>
      <c r="R1085" t="s">
        <v>51</v>
      </c>
      <c r="S1085">
        <v>1812</v>
      </c>
      <c r="T1085">
        <v>1896</v>
      </c>
      <c r="U1085" t="s">
        <v>4664</v>
      </c>
      <c r="V1085" t="s">
        <v>4665</v>
      </c>
      <c r="W1085" t="s">
        <v>4666</v>
      </c>
      <c r="X1085" t="s">
        <v>4667</v>
      </c>
      <c r="Z1085">
        <v>0</v>
      </c>
      <c r="AA1085">
        <v>1</v>
      </c>
      <c r="AB1085">
        <v>0</v>
      </c>
      <c r="AC1085">
        <v>0</v>
      </c>
      <c r="AF1085">
        <v>1878</v>
      </c>
      <c r="AG1085">
        <v>1884</v>
      </c>
      <c r="AO1085" t="b">
        <v>1</v>
      </c>
      <c r="AP1085" t="s">
        <v>4202</v>
      </c>
      <c r="AQ1085">
        <v>1945</v>
      </c>
      <c r="AR1085">
        <v>1961</v>
      </c>
      <c r="AS1085" t="s">
        <v>4668</v>
      </c>
      <c r="AT1085">
        <v>5.9931553730321596</v>
      </c>
      <c r="AU1085">
        <f t="shared" si="50"/>
        <v>1.6E-2</v>
      </c>
    </row>
    <row r="1086" spans="1:47" x14ac:dyDescent="0.3">
      <c r="A1086">
        <v>1084</v>
      </c>
      <c r="B1086" t="s">
        <v>4669</v>
      </c>
      <c r="C1086" t="s">
        <v>4654</v>
      </c>
      <c r="D1086">
        <v>211</v>
      </c>
      <c r="E1086" t="s">
        <v>4655</v>
      </c>
      <c r="F1086" t="str">
        <f>VLOOKUP(E1086,country_continent!A:C,2,FALSE)</f>
        <v>Belgium</v>
      </c>
      <c r="G1086" t="str">
        <f>VLOOKUP(E1086,country_continent!A:C,3,FALSE)</f>
        <v>Europe</v>
      </c>
      <c r="H1086" t="s">
        <v>4656</v>
      </c>
      <c r="I1086" t="s">
        <v>4663</v>
      </c>
      <c r="J1086" s="3" t="str">
        <f t="shared" si="48"/>
        <v>1884/06/16</v>
      </c>
      <c r="K1086" t="s">
        <v>4670</v>
      </c>
      <c r="L1086" s="3" t="str">
        <f t="shared" si="49"/>
        <v>1884/10/26</v>
      </c>
      <c r="M1086" t="s">
        <v>49</v>
      </c>
      <c r="N1086" t="s">
        <v>49</v>
      </c>
      <c r="O1086" t="s">
        <v>49</v>
      </c>
      <c r="P1086">
        <v>1</v>
      </c>
      <c r="Q1086" t="s">
        <v>50</v>
      </c>
      <c r="R1086" t="s">
        <v>51</v>
      </c>
      <c r="S1086">
        <v>1810</v>
      </c>
      <c r="T1086">
        <v>1886</v>
      </c>
      <c r="Z1086">
        <v>0</v>
      </c>
      <c r="AA1086">
        <v>1</v>
      </c>
      <c r="AB1086">
        <v>0</v>
      </c>
      <c r="AC1086">
        <v>0</v>
      </c>
      <c r="AF1086">
        <v>1884</v>
      </c>
      <c r="AG1086">
        <v>1884</v>
      </c>
      <c r="AO1086" t="b">
        <v>1</v>
      </c>
      <c r="AP1086" t="s">
        <v>4202</v>
      </c>
      <c r="AQ1086">
        <v>1945</v>
      </c>
      <c r="AR1086">
        <v>1961</v>
      </c>
      <c r="AS1086" t="s">
        <v>4671</v>
      </c>
      <c r="AT1086">
        <v>0.36139630390143701</v>
      </c>
      <c r="AU1086">
        <f t="shared" si="50"/>
        <v>1E-3</v>
      </c>
    </row>
    <row r="1087" spans="1:47" x14ac:dyDescent="0.3">
      <c r="A1087">
        <v>1085</v>
      </c>
      <c r="B1087" t="s">
        <v>4672</v>
      </c>
      <c r="C1087" t="s">
        <v>4673</v>
      </c>
      <c r="D1087">
        <v>211</v>
      </c>
      <c r="E1087" t="s">
        <v>4655</v>
      </c>
      <c r="F1087" t="str">
        <f>VLOOKUP(E1087,country_continent!A:C,2,FALSE)</f>
        <v>Belgium</v>
      </c>
      <c r="G1087" t="str">
        <f>VLOOKUP(E1087,country_continent!A:C,3,FALSE)</f>
        <v>Europe</v>
      </c>
      <c r="H1087" t="s">
        <v>4674</v>
      </c>
      <c r="I1087" t="s">
        <v>4670</v>
      </c>
      <c r="J1087" s="3" t="str">
        <f t="shared" si="48"/>
        <v>1884/10/26</v>
      </c>
      <c r="K1087" t="s">
        <v>4675</v>
      </c>
      <c r="L1087" s="3" t="str">
        <f t="shared" si="49"/>
        <v>1894/03/26</v>
      </c>
      <c r="M1087" t="s">
        <v>49</v>
      </c>
      <c r="N1087" t="s">
        <v>49</v>
      </c>
      <c r="O1087" t="s">
        <v>49</v>
      </c>
      <c r="P1087">
        <v>0</v>
      </c>
      <c r="Q1087" t="s">
        <v>50</v>
      </c>
      <c r="R1087" t="s">
        <v>51</v>
      </c>
      <c r="S1087">
        <v>1829</v>
      </c>
      <c r="T1087">
        <v>1912</v>
      </c>
      <c r="U1087" t="s">
        <v>4676</v>
      </c>
      <c r="V1087" t="s">
        <v>4677</v>
      </c>
      <c r="W1087" s="1">
        <v>4663</v>
      </c>
      <c r="X1087" s="2">
        <v>4663</v>
      </c>
      <c r="Z1087">
        <v>0</v>
      </c>
      <c r="AA1087">
        <v>1</v>
      </c>
      <c r="AB1087">
        <v>0</v>
      </c>
      <c r="AC1087">
        <v>0</v>
      </c>
      <c r="AF1087">
        <v>1884</v>
      </c>
      <c r="AG1087">
        <v>1894</v>
      </c>
      <c r="AO1087" t="b">
        <v>1</v>
      </c>
      <c r="AP1087" t="s">
        <v>4202</v>
      </c>
      <c r="AQ1087">
        <v>1945</v>
      </c>
      <c r="AR1087">
        <v>1961</v>
      </c>
      <c r="AS1087" t="s">
        <v>4678</v>
      </c>
      <c r="AT1087">
        <v>9.4127310061601595</v>
      </c>
      <c r="AU1087">
        <f t="shared" si="50"/>
        <v>2.5999999999999999E-2</v>
      </c>
    </row>
    <row r="1088" spans="1:47" x14ac:dyDescent="0.3">
      <c r="A1088">
        <v>1086</v>
      </c>
      <c r="B1088" t="s">
        <v>4679</v>
      </c>
      <c r="C1088" t="s">
        <v>4680</v>
      </c>
      <c r="D1088">
        <v>211</v>
      </c>
      <c r="E1088" t="s">
        <v>4655</v>
      </c>
      <c r="F1088" t="str">
        <f>VLOOKUP(E1088,country_continent!A:C,2,FALSE)</f>
        <v>Belgium</v>
      </c>
      <c r="G1088" t="str">
        <f>VLOOKUP(E1088,country_continent!A:C,3,FALSE)</f>
        <v>Europe</v>
      </c>
      <c r="H1088" t="s">
        <v>4681</v>
      </c>
      <c r="I1088" t="s">
        <v>4675</v>
      </c>
      <c r="J1088" s="3" t="str">
        <f t="shared" si="48"/>
        <v>1894/03/26</v>
      </c>
      <c r="K1088" t="s">
        <v>4682</v>
      </c>
      <c r="L1088" s="3" t="str">
        <f t="shared" si="49"/>
        <v>1896/02/25</v>
      </c>
      <c r="M1088" t="s">
        <v>49</v>
      </c>
      <c r="N1088" t="s">
        <v>49</v>
      </c>
      <c r="O1088" t="s">
        <v>49</v>
      </c>
      <c r="P1088">
        <v>0</v>
      </c>
      <c r="Q1088" t="s">
        <v>111</v>
      </c>
      <c r="R1088" t="s">
        <v>51</v>
      </c>
      <c r="S1088">
        <v>1844</v>
      </c>
      <c r="T1088">
        <v>1897</v>
      </c>
      <c r="U1088" t="s">
        <v>4683</v>
      </c>
      <c r="V1088" t="s">
        <v>4684</v>
      </c>
      <c r="W1088" t="s">
        <v>4685</v>
      </c>
      <c r="X1088" t="s">
        <v>4686</v>
      </c>
      <c r="Z1088">
        <v>0</v>
      </c>
      <c r="AA1088">
        <v>1</v>
      </c>
      <c r="AB1088">
        <v>0</v>
      </c>
      <c r="AC1088">
        <v>-777</v>
      </c>
      <c r="AF1088">
        <v>1894</v>
      </c>
      <c r="AG1088">
        <v>1896</v>
      </c>
      <c r="AO1088" t="b">
        <v>1</v>
      </c>
      <c r="AP1088" t="s">
        <v>4202</v>
      </c>
      <c r="AQ1088">
        <v>1945</v>
      </c>
      <c r="AR1088">
        <v>1961</v>
      </c>
      <c r="AS1088" t="s">
        <v>4687</v>
      </c>
      <c r="AT1088">
        <v>1.9192334017796</v>
      </c>
      <c r="AU1088">
        <f t="shared" si="50"/>
        <v>5.0000000000000001E-3</v>
      </c>
    </row>
    <row r="1089" spans="1:47" x14ac:dyDescent="0.3">
      <c r="A1089">
        <v>1087</v>
      </c>
      <c r="B1089" t="s">
        <v>4688</v>
      </c>
      <c r="C1089" t="s">
        <v>4689</v>
      </c>
      <c r="D1089">
        <v>211</v>
      </c>
      <c r="E1089" t="s">
        <v>4655</v>
      </c>
      <c r="F1089" t="str">
        <f>VLOOKUP(E1089,country_continent!A:C,2,FALSE)</f>
        <v>Belgium</v>
      </c>
      <c r="G1089" t="str">
        <f>VLOOKUP(E1089,country_continent!A:C,3,FALSE)</f>
        <v>Europe</v>
      </c>
      <c r="H1089" t="s">
        <v>4690</v>
      </c>
      <c r="I1089" t="s">
        <v>4682</v>
      </c>
      <c r="J1089" s="3" t="str">
        <f t="shared" si="48"/>
        <v>1896/02/25</v>
      </c>
      <c r="K1089" t="s">
        <v>4691</v>
      </c>
      <c r="L1089" s="3" t="str">
        <f t="shared" si="49"/>
        <v>1899/01/24</v>
      </c>
      <c r="M1089" t="s">
        <v>49</v>
      </c>
      <c r="N1089" t="s">
        <v>49</v>
      </c>
      <c r="O1089" t="s">
        <v>49</v>
      </c>
      <c r="P1089">
        <v>0</v>
      </c>
      <c r="Q1089" t="s">
        <v>50</v>
      </c>
      <c r="R1089" t="s">
        <v>51</v>
      </c>
      <c r="S1089">
        <v>1843</v>
      </c>
      <c r="T1089">
        <v>1913</v>
      </c>
      <c r="Z1089">
        <v>0</v>
      </c>
      <c r="AA1089">
        <v>1</v>
      </c>
      <c r="AB1089">
        <v>0</v>
      </c>
      <c r="AC1089">
        <v>0</v>
      </c>
      <c r="AF1089">
        <v>1896</v>
      </c>
      <c r="AG1089">
        <v>1899</v>
      </c>
      <c r="AO1089" t="b">
        <v>1</v>
      </c>
      <c r="AP1089" t="s">
        <v>4202</v>
      </c>
      <c r="AQ1089">
        <v>1945</v>
      </c>
      <c r="AR1089">
        <v>1961</v>
      </c>
      <c r="AS1089" t="s">
        <v>4692</v>
      </c>
      <c r="AT1089">
        <v>2.91307323750855</v>
      </c>
      <c r="AU1089">
        <f t="shared" si="50"/>
        <v>8.0000000000000002E-3</v>
      </c>
    </row>
    <row r="1090" spans="1:47" x14ac:dyDescent="0.3">
      <c r="A1090">
        <v>1088</v>
      </c>
      <c r="B1090" t="s">
        <v>4693</v>
      </c>
      <c r="C1090" t="s">
        <v>4694</v>
      </c>
      <c r="D1090">
        <v>211</v>
      </c>
      <c r="E1090" t="s">
        <v>4655</v>
      </c>
      <c r="F1090" t="str">
        <f>VLOOKUP(E1090,country_continent!A:C,2,FALSE)</f>
        <v>Belgium</v>
      </c>
      <c r="G1090" t="str">
        <f>VLOOKUP(E1090,country_continent!A:C,3,FALSE)</f>
        <v>Europe</v>
      </c>
      <c r="H1090" t="s">
        <v>4695</v>
      </c>
      <c r="I1090" t="s">
        <v>4691</v>
      </c>
      <c r="J1090" s="3" t="str">
        <f t="shared" si="48"/>
        <v>1899/01/24</v>
      </c>
      <c r="K1090" t="s">
        <v>4696</v>
      </c>
      <c r="L1090" s="3" t="str">
        <f t="shared" si="49"/>
        <v>1899/08/05</v>
      </c>
      <c r="M1090" t="s">
        <v>49</v>
      </c>
      <c r="N1090" t="s">
        <v>49</v>
      </c>
      <c r="O1090" t="s">
        <v>49</v>
      </c>
      <c r="P1090">
        <v>0</v>
      </c>
      <c r="Q1090" t="s">
        <v>50</v>
      </c>
      <c r="R1090" t="s">
        <v>51</v>
      </c>
      <c r="S1090">
        <v>1843</v>
      </c>
      <c r="T1090">
        <v>1917</v>
      </c>
      <c r="Z1090">
        <v>0</v>
      </c>
      <c r="AA1090">
        <v>1</v>
      </c>
      <c r="AB1090">
        <v>0</v>
      </c>
      <c r="AC1090">
        <v>0</v>
      </c>
      <c r="AF1090">
        <v>1899</v>
      </c>
      <c r="AG1090">
        <v>1899</v>
      </c>
      <c r="AO1090" t="b">
        <v>1</v>
      </c>
      <c r="AP1090" t="s">
        <v>4202</v>
      </c>
      <c r="AQ1090">
        <v>1945</v>
      </c>
      <c r="AR1090">
        <v>1961</v>
      </c>
      <c r="AS1090" t="s">
        <v>4697</v>
      </c>
      <c r="AT1090">
        <v>0.52840520191649498</v>
      </c>
      <c r="AU1090">
        <f t="shared" si="50"/>
        <v>1E-3</v>
      </c>
    </row>
    <row r="1091" spans="1:47" x14ac:dyDescent="0.3">
      <c r="A1091">
        <v>1089</v>
      </c>
      <c r="B1091" t="s">
        <v>4698</v>
      </c>
      <c r="C1091" t="s">
        <v>4689</v>
      </c>
      <c r="D1091">
        <v>211</v>
      </c>
      <c r="E1091" t="s">
        <v>4655</v>
      </c>
      <c r="F1091" t="str">
        <f>VLOOKUP(E1091,country_continent!A:C,2,FALSE)</f>
        <v>Belgium</v>
      </c>
      <c r="G1091" t="str">
        <f>VLOOKUP(E1091,country_continent!A:C,3,FALSE)</f>
        <v>Europe</v>
      </c>
      <c r="H1091" t="s">
        <v>4690</v>
      </c>
      <c r="I1091" t="s">
        <v>4696</v>
      </c>
      <c r="J1091" s="3" t="str">
        <f t="shared" ref="J1091:J1154" si="51">IF(ISNUMBER(SEARCH("-", I1091)), SUBSTITUTE(I1091, "-", "/"), I1091)</f>
        <v>1899/08/05</v>
      </c>
      <c r="K1091" s="1">
        <v>2679</v>
      </c>
      <c r="L1091" s="3">
        <f t="shared" ref="L1091:L1154" si="52">IF(ISNUMBER(SEARCH("-", K1091)), SUBSTITUTE(K1091, "-", "/"), K1091)</f>
        <v>2679</v>
      </c>
      <c r="M1091" t="s">
        <v>49</v>
      </c>
      <c r="N1091" t="s">
        <v>49</v>
      </c>
      <c r="O1091" t="s">
        <v>49</v>
      </c>
      <c r="P1091">
        <v>1</v>
      </c>
      <c r="Q1091" t="s">
        <v>50</v>
      </c>
      <c r="R1091" t="s">
        <v>51</v>
      </c>
      <c r="S1091">
        <v>1843</v>
      </c>
      <c r="T1091">
        <v>1913</v>
      </c>
      <c r="Z1091">
        <v>0</v>
      </c>
      <c r="AA1091">
        <v>1</v>
      </c>
      <c r="AB1091">
        <v>0</v>
      </c>
      <c r="AC1091">
        <v>0</v>
      </c>
      <c r="AF1091">
        <v>1899</v>
      </c>
      <c r="AG1091">
        <v>1907</v>
      </c>
      <c r="AO1091" t="b">
        <v>1</v>
      </c>
      <c r="AP1091" t="s">
        <v>4202</v>
      </c>
      <c r="AQ1091">
        <v>1945</v>
      </c>
      <c r="AR1091">
        <v>1961</v>
      </c>
      <c r="AS1091" t="s">
        <v>4699</v>
      </c>
      <c r="AT1091">
        <v>7.7371663244353099</v>
      </c>
      <c r="AU1091">
        <f t="shared" si="50"/>
        <v>2.1000000000000001E-2</v>
      </c>
    </row>
    <row r="1092" spans="1:47" x14ac:dyDescent="0.3">
      <c r="A1092">
        <v>1090</v>
      </c>
      <c r="B1092" t="s">
        <v>4700</v>
      </c>
      <c r="C1092" t="s">
        <v>4701</v>
      </c>
      <c r="D1092">
        <v>211</v>
      </c>
      <c r="E1092" t="s">
        <v>4655</v>
      </c>
      <c r="F1092" t="str">
        <f>VLOOKUP(E1092,country_continent!A:C,2,FALSE)</f>
        <v>Belgium</v>
      </c>
      <c r="G1092" t="str">
        <f>VLOOKUP(E1092,country_continent!A:C,3,FALSE)</f>
        <v>Europe</v>
      </c>
      <c r="H1092" t="s">
        <v>4702</v>
      </c>
      <c r="I1092" s="1">
        <v>2679</v>
      </c>
      <c r="J1092" s="3">
        <f t="shared" si="51"/>
        <v>2679</v>
      </c>
      <c r="K1092" s="1">
        <v>2922</v>
      </c>
      <c r="L1092" s="3">
        <f t="shared" si="52"/>
        <v>2922</v>
      </c>
      <c r="M1092" t="s">
        <v>49</v>
      </c>
      <c r="N1092" t="s">
        <v>110</v>
      </c>
      <c r="O1092" t="s">
        <v>49</v>
      </c>
      <c r="P1092">
        <v>0</v>
      </c>
      <c r="Q1092" t="s">
        <v>111</v>
      </c>
      <c r="R1092" t="s">
        <v>51</v>
      </c>
      <c r="S1092">
        <v>1857</v>
      </c>
      <c r="T1092">
        <v>1907</v>
      </c>
      <c r="U1092" t="s">
        <v>4703</v>
      </c>
      <c r="V1092" t="s">
        <v>4704</v>
      </c>
      <c r="Z1092">
        <v>0</v>
      </c>
      <c r="AA1092">
        <v>2</v>
      </c>
      <c r="AB1092">
        <v>0</v>
      </c>
      <c r="AC1092">
        <v>-777</v>
      </c>
      <c r="AF1092">
        <v>1907</v>
      </c>
      <c r="AG1092">
        <v>1907</v>
      </c>
      <c r="AO1092" t="b">
        <v>1</v>
      </c>
      <c r="AP1092" t="s">
        <v>4202</v>
      </c>
      <c r="AQ1092">
        <v>1945</v>
      </c>
      <c r="AR1092">
        <v>1961</v>
      </c>
      <c r="AS1092" t="s">
        <v>4705</v>
      </c>
      <c r="AT1092">
        <v>0.66529774127310004</v>
      </c>
      <c r="AU1092">
        <f t="shared" ref="AU1092:AU1155" si="53">ROUND(AT1092/365,3)</f>
        <v>2E-3</v>
      </c>
    </row>
    <row r="1093" spans="1:47" x14ac:dyDescent="0.3">
      <c r="A1093">
        <v>1091</v>
      </c>
      <c r="B1093" t="s">
        <v>4706</v>
      </c>
      <c r="C1093" t="s">
        <v>4707</v>
      </c>
      <c r="D1093">
        <v>211</v>
      </c>
      <c r="E1093" t="s">
        <v>4655</v>
      </c>
      <c r="F1093" t="str">
        <f>VLOOKUP(E1093,country_continent!A:C,2,FALSE)</f>
        <v>Belgium</v>
      </c>
      <c r="G1093" t="str">
        <f>VLOOKUP(E1093,country_continent!A:C,3,FALSE)</f>
        <v>Europe</v>
      </c>
      <c r="H1093" t="s">
        <v>4708</v>
      </c>
      <c r="I1093" s="1">
        <v>2931</v>
      </c>
      <c r="J1093" s="3">
        <f t="shared" si="51"/>
        <v>2931</v>
      </c>
      <c r="K1093" s="1">
        <v>4186</v>
      </c>
      <c r="L1093" s="3">
        <f t="shared" si="52"/>
        <v>4186</v>
      </c>
      <c r="M1093" t="s">
        <v>49</v>
      </c>
      <c r="N1093" t="s">
        <v>49</v>
      </c>
      <c r="O1093" t="s">
        <v>49</v>
      </c>
      <c r="P1093">
        <v>0</v>
      </c>
      <c r="Q1093" t="s">
        <v>50</v>
      </c>
      <c r="R1093" t="s">
        <v>51</v>
      </c>
      <c r="S1093">
        <v>1851</v>
      </c>
      <c r="T1093">
        <v>1917</v>
      </c>
      <c r="U1093" t="s">
        <v>4709</v>
      </c>
      <c r="V1093" t="s">
        <v>4710</v>
      </c>
      <c r="Z1093">
        <v>0</v>
      </c>
      <c r="AA1093">
        <v>1</v>
      </c>
      <c r="AB1093">
        <v>0</v>
      </c>
      <c r="AC1093">
        <v>0</v>
      </c>
      <c r="AF1093">
        <v>1908</v>
      </c>
      <c r="AG1093">
        <v>1911</v>
      </c>
      <c r="AO1093" t="b">
        <v>1</v>
      </c>
      <c r="AP1093" t="s">
        <v>4202</v>
      </c>
      <c r="AQ1093">
        <v>1945</v>
      </c>
      <c r="AR1093">
        <v>1961</v>
      </c>
      <c r="AS1093" t="s">
        <v>4711</v>
      </c>
      <c r="AT1093">
        <v>3.4360027378507798</v>
      </c>
      <c r="AU1093">
        <f t="shared" si="53"/>
        <v>8.9999999999999993E-3</v>
      </c>
    </row>
    <row r="1094" spans="1:47" x14ac:dyDescent="0.3">
      <c r="A1094">
        <v>1092</v>
      </c>
      <c r="B1094" t="s">
        <v>4712</v>
      </c>
      <c r="C1094" t="s">
        <v>4713</v>
      </c>
      <c r="D1094">
        <v>211</v>
      </c>
      <c r="E1094" t="s">
        <v>4655</v>
      </c>
      <c r="F1094" t="str">
        <f>VLOOKUP(E1094,country_continent!A:C,2,FALSE)</f>
        <v>Belgium</v>
      </c>
      <c r="G1094" t="str">
        <f>VLOOKUP(E1094,country_continent!A:C,3,FALSE)</f>
        <v>Europe</v>
      </c>
      <c r="H1094" t="s">
        <v>4714</v>
      </c>
      <c r="I1094" s="1">
        <v>4186</v>
      </c>
      <c r="J1094" s="3">
        <f t="shared" si="51"/>
        <v>4186</v>
      </c>
      <c r="K1094" s="1">
        <v>5327</v>
      </c>
      <c r="L1094" s="3">
        <f t="shared" si="52"/>
        <v>5327</v>
      </c>
      <c r="M1094" t="s">
        <v>49</v>
      </c>
      <c r="N1094" t="s">
        <v>633</v>
      </c>
      <c r="O1094" t="s">
        <v>347</v>
      </c>
      <c r="P1094">
        <v>0</v>
      </c>
      <c r="Q1094" t="s">
        <v>362</v>
      </c>
      <c r="R1094" t="s">
        <v>51</v>
      </c>
      <c r="S1094">
        <v>1860</v>
      </c>
      <c r="T1094">
        <v>1940</v>
      </c>
      <c r="U1094" t="s">
        <v>4715</v>
      </c>
      <c r="V1094" t="s">
        <v>4716</v>
      </c>
      <c r="W1094" s="1">
        <v>14859</v>
      </c>
      <c r="X1094" s="2">
        <v>14859</v>
      </c>
      <c r="Z1094">
        <v>0</v>
      </c>
      <c r="AA1094">
        <v>4</v>
      </c>
      <c r="AB1094">
        <v>-999</v>
      </c>
      <c r="AC1094">
        <v>1</v>
      </c>
      <c r="AF1094">
        <v>1911</v>
      </c>
      <c r="AG1094">
        <v>1914</v>
      </c>
      <c r="AO1094" t="b">
        <v>1</v>
      </c>
      <c r="AP1094" t="s">
        <v>4202</v>
      </c>
      <c r="AQ1094">
        <v>1945</v>
      </c>
      <c r="AR1094">
        <v>1961</v>
      </c>
      <c r="AS1094" t="s">
        <v>4717</v>
      </c>
      <c r="AT1094">
        <v>3.1238877481177201</v>
      </c>
      <c r="AU1094">
        <f t="shared" si="53"/>
        <v>8.9999999999999993E-3</v>
      </c>
    </row>
    <row r="1095" spans="1:47" x14ac:dyDescent="0.3">
      <c r="A1095">
        <v>1093</v>
      </c>
      <c r="B1095" t="s">
        <v>4718</v>
      </c>
      <c r="C1095" t="s">
        <v>4719</v>
      </c>
      <c r="D1095">
        <v>211</v>
      </c>
      <c r="E1095" t="s">
        <v>4655</v>
      </c>
      <c r="F1095" t="str">
        <f>VLOOKUP(E1095,country_continent!A:C,2,FALSE)</f>
        <v>Belgium</v>
      </c>
      <c r="G1095" t="str">
        <f>VLOOKUP(E1095,country_continent!A:C,3,FALSE)</f>
        <v>Europe</v>
      </c>
      <c r="H1095" t="s">
        <v>4720</v>
      </c>
      <c r="I1095" s="1">
        <v>5352</v>
      </c>
      <c r="J1095" s="3">
        <f t="shared" si="51"/>
        <v>5352</v>
      </c>
      <c r="K1095" s="1">
        <v>5445</v>
      </c>
      <c r="L1095" s="3">
        <f t="shared" si="52"/>
        <v>5445</v>
      </c>
      <c r="M1095" t="s">
        <v>637</v>
      </c>
      <c r="N1095" t="s">
        <v>49</v>
      </c>
      <c r="O1095" t="s">
        <v>49</v>
      </c>
      <c r="P1095">
        <v>0</v>
      </c>
      <c r="Q1095" t="s">
        <v>50</v>
      </c>
      <c r="R1095" t="s">
        <v>51</v>
      </c>
      <c r="S1095">
        <v>1843</v>
      </c>
      <c r="T1095">
        <v>1916</v>
      </c>
      <c r="U1095" t="s">
        <v>4721</v>
      </c>
      <c r="V1095" t="s">
        <v>4722</v>
      </c>
      <c r="W1095" s="1">
        <v>5954</v>
      </c>
      <c r="X1095" s="2">
        <v>5954</v>
      </c>
      <c r="Z1095">
        <v>2</v>
      </c>
      <c r="AA1095">
        <v>1</v>
      </c>
      <c r="AB1095">
        <v>0</v>
      </c>
      <c r="AC1095">
        <v>0</v>
      </c>
      <c r="AF1095">
        <v>1914</v>
      </c>
      <c r="AG1095">
        <v>1914</v>
      </c>
      <c r="AO1095" t="b">
        <v>1</v>
      </c>
      <c r="AP1095" t="s">
        <v>4202</v>
      </c>
      <c r="AQ1095">
        <v>1945</v>
      </c>
      <c r="AR1095">
        <v>1961</v>
      </c>
      <c r="AS1095" t="s">
        <v>4723</v>
      </c>
      <c r="AT1095">
        <v>0.25462012320328498</v>
      </c>
      <c r="AU1095">
        <f t="shared" si="53"/>
        <v>1E-3</v>
      </c>
    </row>
    <row r="1096" spans="1:47" x14ac:dyDescent="0.3">
      <c r="A1096">
        <v>1094</v>
      </c>
      <c r="B1096" t="s">
        <v>4724</v>
      </c>
      <c r="C1096" t="s">
        <v>4725</v>
      </c>
      <c r="D1096">
        <v>211</v>
      </c>
      <c r="E1096" t="s">
        <v>4655</v>
      </c>
      <c r="F1096" t="str">
        <f>VLOOKUP(E1096,country_continent!A:C,2,FALSE)</f>
        <v>Belgium</v>
      </c>
      <c r="G1096" t="str">
        <f>VLOOKUP(E1096,country_continent!A:C,3,FALSE)</f>
        <v>Europe</v>
      </c>
      <c r="H1096" t="s">
        <v>4726</v>
      </c>
      <c r="I1096" s="1">
        <v>5445</v>
      </c>
      <c r="J1096" s="3">
        <f t="shared" si="51"/>
        <v>5445</v>
      </c>
      <c r="K1096" s="1">
        <v>6318</v>
      </c>
      <c r="L1096" s="3">
        <f t="shared" si="52"/>
        <v>6318</v>
      </c>
      <c r="M1096" t="s">
        <v>49</v>
      </c>
      <c r="N1096" t="s">
        <v>110</v>
      </c>
      <c r="O1096" t="s">
        <v>49</v>
      </c>
      <c r="P1096">
        <v>0</v>
      </c>
      <c r="Q1096" t="s">
        <v>111</v>
      </c>
      <c r="R1096" t="s">
        <v>51</v>
      </c>
      <c r="S1096">
        <v>1844</v>
      </c>
      <c r="T1096">
        <v>1917</v>
      </c>
      <c r="W1096" s="1">
        <v>6318</v>
      </c>
      <c r="X1096" s="2">
        <v>6318</v>
      </c>
      <c r="Z1096">
        <v>0</v>
      </c>
      <c r="AA1096">
        <v>2</v>
      </c>
      <c r="AB1096">
        <v>0</v>
      </c>
      <c r="AC1096">
        <v>-777</v>
      </c>
      <c r="AF1096">
        <v>1914</v>
      </c>
      <c r="AG1096">
        <v>1917</v>
      </c>
      <c r="AO1096" t="b">
        <v>1</v>
      </c>
      <c r="AP1096" t="s">
        <v>4202</v>
      </c>
      <c r="AQ1096">
        <v>1945</v>
      </c>
      <c r="AR1096">
        <v>1961</v>
      </c>
      <c r="AS1096" t="s">
        <v>4727</v>
      </c>
      <c r="AT1096">
        <v>2.3901437371663201</v>
      </c>
      <c r="AU1096">
        <f t="shared" si="53"/>
        <v>7.0000000000000001E-3</v>
      </c>
    </row>
    <row r="1097" spans="1:47" x14ac:dyDescent="0.3">
      <c r="A1097">
        <v>1095</v>
      </c>
      <c r="B1097" t="s">
        <v>4728</v>
      </c>
      <c r="C1097" t="s">
        <v>4729</v>
      </c>
      <c r="D1097">
        <v>211</v>
      </c>
      <c r="E1097" t="s">
        <v>4655</v>
      </c>
      <c r="F1097" t="str">
        <f>VLOOKUP(E1097,country_continent!A:C,2,FALSE)</f>
        <v>Belgium</v>
      </c>
      <c r="G1097" t="str">
        <f>VLOOKUP(E1097,country_continent!A:C,3,FALSE)</f>
        <v>Europe</v>
      </c>
      <c r="H1097" t="s">
        <v>4730</v>
      </c>
      <c r="I1097" s="1">
        <v>6318</v>
      </c>
      <c r="J1097" s="3">
        <f t="shared" si="51"/>
        <v>6318</v>
      </c>
      <c r="K1097" s="1">
        <v>6890</v>
      </c>
      <c r="L1097" s="3">
        <f t="shared" si="52"/>
        <v>6890</v>
      </c>
      <c r="M1097" t="s">
        <v>49</v>
      </c>
      <c r="N1097" t="s">
        <v>633</v>
      </c>
      <c r="O1097" t="s">
        <v>347</v>
      </c>
      <c r="P1097">
        <v>0</v>
      </c>
      <c r="Q1097" t="s">
        <v>50</v>
      </c>
      <c r="R1097" t="s">
        <v>51</v>
      </c>
      <c r="S1097">
        <v>1844</v>
      </c>
      <c r="T1097">
        <v>1936</v>
      </c>
      <c r="U1097" t="s">
        <v>4731</v>
      </c>
      <c r="V1097" t="s">
        <v>4732</v>
      </c>
      <c r="W1097" s="1">
        <v>13274</v>
      </c>
      <c r="X1097" s="2">
        <v>13274</v>
      </c>
      <c r="Z1097">
        <v>0</v>
      </c>
      <c r="AA1097">
        <v>4</v>
      </c>
      <c r="AB1097">
        <v>-999</v>
      </c>
      <c r="AC1097">
        <v>0</v>
      </c>
      <c r="AF1097">
        <v>1917</v>
      </c>
      <c r="AG1097">
        <v>1918</v>
      </c>
      <c r="AO1097" t="b">
        <v>1</v>
      </c>
      <c r="AP1097" t="s">
        <v>4202</v>
      </c>
      <c r="AQ1097">
        <v>1945</v>
      </c>
      <c r="AR1097">
        <v>1961</v>
      </c>
      <c r="AS1097" t="s">
        <v>4733</v>
      </c>
      <c r="AT1097">
        <v>1.5660506502395599</v>
      </c>
      <c r="AU1097">
        <f t="shared" si="53"/>
        <v>4.0000000000000001E-3</v>
      </c>
    </row>
    <row r="1098" spans="1:47" x14ac:dyDescent="0.3">
      <c r="A1098">
        <v>1096</v>
      </c>
      <c r="B1098" t="s">
        <v>4734</v>
      </c>
      <c r="C1098" t="s">
        <v>4735</v>
      </c>
      <c r="D1098">
        <v>211</v>
      </c>
      <c r="E1098" t="s">
        <v>4655</v>
      </c>
      <c r="F1098" t="str">
        <f>VLOOKUP(E1098,country_continent!A:C,2,FALSE)</f>
        <v>Belgium</v>
      </c>
      <c r="G1098" t="str">
        <f>VLOOKUP(E1098,country_continent!A:C,3,FALSE)</f>
        <v>Europe</v>
      </c>
      <c r="H1098" t="s">
        <v>4736</v>
      </c>
      <c r="I1098" s="1">
        <v>6890</v>
      </c>
      <c r="J1098" s="3">
        <f t="shared" si="51"/>
        <v>6890</v>
      </c>
      <c r="K1098" s="1">
        <v>6892</v>
      </c>
      <c r="L1098" s="3">
        <f t="shared" si="52"/>
        <v>6892</v>
      </c>
      <c r="M1098" t="s">
        <v>49</v>
      </c>
      <c r="N1098" t="s">
        <v>49</v>
      </c>
      <c r="O1098" t="s">
        <v>49</v>
      </c>
      <c r="P1098">
        <v>0</v>
      </c>
      <c r="Q1098" t="s">
        <v>50</v>
      </c>
      <c r="R1098" t="s">
        <v>51</v>
      </c>
      <c r="S1098">
        <v>1852</v>
      </c>
      <c r="T1098">
        <v>1926</v>
      </c>
      <c r="U1098" t="s">
        <v>4737</v>
      </c>
      <c r="V1098" t="s">
        <v>4738</v>
      </c>
      <c r="Z1098">
        <v>0</v>
      </c>
      <c r="AA1098">
        <v>1</v>
      </c>
      <c r="AB1098">
        <v>0</v>
      </c>
      <c r="AC1098">
        <v>0</v>
      </c>
      <c r="AF1098">
        <v>1918</v>
      </c>
      <c r="AG1098">
        <v>1918</v>
      </c>
      <c r="AO1098" t="b">
        <v>1</v>
      </c>
      <c r="AP1098" t="s">
        <v>4202</v>
      </c>
      <c r="AQ1098">
        <v>1945</v>
      </c>
      <c r="AR1098">
        <v>1961</v>
      </c>
      <c r="AS1098" t="s">
        <v>4739</v>
      </c>
      <c r="AT1098">
        <v>5.4757015742641999E-3</v>
      </c>
      <c r="AU1098">
        <f t="shared" si="53"/>
        <v>0</v>
      </c>
    </row>
    <row r="1099" spans="1:47" x14ac:dyDescent="0.3">
      <c r="A1099">
        <v>1097</v>
      </c>
      <c r="B1099" t="s">
        <v>4740</v>
      </c>
      <c r="C1099" t="s">
        <v>4741</v>
      </c>
      <c r="D1099">
        <v>211</v>
      </c>
      <c r="E1099" t="s">
        <v>4655</v>
      </c>
      <c r="F1099" t="str">
        <f>VLOOKUP(E1099,country_continent!A:C,2,FALSE)</f>
        <v>Belgium</v>
      </c>
      <c r="G1099" t="str">
        <f>VLOOKUP(E1099,country_continent!A:C,3,FALSE)</f>
        <v>Europe</v>
      </c>
      <c r="H1099" t="s">
        <v>4742</v>
      </c>
      <c r="I1099" s="1">
        <v>6901</v>
      </c>
      <c r="J1099" s="3">
        <f t="shared" si="51"/>
        <v>6901</v>
      </c>
      <c r="K1099" s="1">
        <v>7613</v>
      </c>
      <c r="L1099" s="3">
        <f t="shared" si="52"/>
        <v>7613</v>
      </c>
      <c r="M1099" t="s">
        <v>49</v>
      </c>
      <c r="N1099" t="s">
        <v>49</v>
      </c>
      <c r="O1099" t="s">
        <v>49</v>
      </c>
      <c r="P1099">
        <v>0</v>
      </c>
      <c r="Q1099" t="s">
        <v>50</v>
      </c>
      <c r="R1099" t="s">
        <v>51</v>
      </c>
      <c r="S1099">
        <v>1876</v>
      </c>
      <c r="T1099">
        <v>1929</v>
      </c>
      <c r="U1099" t="s">
        <v>4743</v>
      </c>
      <c r="V1099" t="s">
        <v>4744</v>
      </c>
      <c r="W1099" s="1">
        <v>10881</v>
      </c>
      <c r="X1099" s="2">
        <v>10881</v>
      </c>
      <c r="Z1099">
        <v>0</v>
      </c>
      <c r="AA1099">
        <v>1</v>
      </c>
      <c r="AB1099">
        <v>0</v>
      </c>
      <c r="AC1099">
        <v>0</v>
      </c>
      <c r="AF1099">
        <v>1918</v>
      </c>
      <c r="AG1099">
        <v>1920</v>
      </c>
      <c r="AO1099" t="b">
        <v>1</v>
      </c>
      <c r="AP1099" t="s">
        <v>4202</v>
      </c>
      <c r="AQ1099">
        <v>1945</v>
      </c>
      <c r="AR1099">
        <v>1961</v>
      </c>
      <c r="AS1099" t="s">
        <v>4745</v>
      </c>
      <c r="AT1099">
        <v>1.9493497604380501</v>
      </c>
      <c r="AU1099">
        <f t="shared" si="53"/>
        <v>5.0000000000000001E-3</v>
      </c>
    </row>
    <row r="1100" spans="1:47" x14ac:dyDescent="0.3">
      <c r="A1100">
        <v>1098</v>
      </c>
      <c r="B1100" t="s">
        <v>4746</v>
      </c>
      <c r="C1100" t="s">
        <v>4747</v>
      </c>
      <c r="D1100">
        <v>211</v>
      </c>
      <c r="E1100" t="s">
        <v>4655</v>
      </c>
      <c r="F1100" t="str">
        <f>VLOOKUP(E1100,country_continent!A:C,2,FALSE)</f>
        <v>Belgium</v>
      </c>
      <c r="G1100" t="str">
        <f>VLOOKUP(E1100,country_continent!A:C,3,FALSE)</f>
        <v>Europe</v>
      </c>
      <c r="H1100" t="s">
        <v>4748</v>
      </c>
      <c r="I1100" s="1">
        <v>7628</v>
      </c>
      <c r="J1100" s="3">
        <f t="shared" si="51"/>
        <v>7628</v>
      </c>
      <c r="K1100" s="1">
        <v>7994</v>
      </c>
      <c r="L1100" s="3">
        <f t="shared" si="52"/>
        <v>7994</v>
      </c>
      <c r="M1100" t="s">
        <v>49</v>
      </c>
      <c r="N1100" t="s">
        <v>49</v>
      </c>
      <c r="O1100" t="s">
        <v>49</v>
      </c>
      <c r="P1100">
        <v>0</v>
      </c>
      <c r="Q1100" t="s">
        <v>50</v>
      </c>
      <c r="R1100" t="s">
        <v>51</v>
      </c>
      <c r="S1100">
        <v>1869</v>
      </c>
      <c r="T1100">
        <v>1951</v>
      </c>
      <c r="U1100" t="s">
        <v>4749</v>
      </c>
      <c r="V1100" t="s">
        <v>4750</v>
      </c>
      <c r="W1100" s="1">
        <v>18754</v>
      </c>
      <c r="X1100" s="2">
        <v>18754</v>
      </c>
      <c r="Z1100">
        <v>0</v>
      </c>
      <c r="AA1100">
        <v>1</v>
      </c>
      <c r="AB1100">
        <v>0</v>
      </c>
      <c r="AC1100">
        <v>0</v>
      </c>
      <c r="AF1100">
        <v>1920</v>
      </c>
      <c r="AG1100">
        <v>1921</v>
      </c>
      <c r="AO1100" t="b">
        <v>1</v>
      </c>
      <c r="AP1100" t="s">
        <v>4202</v>
      </c>
      <c r="AQ1100">
        <v>1945</v>
      </c>
      <c r="AR1100">
        <v>1961</v>
      </c>
      <c r="AS1100" t="s">
        <v>4751</v>
      </c>
      <c r="AT1100">
        <v>1.0020533880903399</v>
      </c>
      <c r="AU1100">
        <f t="shared" si="53"/>
        <v>3.0000000000000001E-3</v>
      </c>
    </row>
    <row r="1101" spans="1:47" x14ac:dyDescent="0.3">
      <c r="A1101">
        <v>1099</v>
      </c>
      <c r="B1101" t="s">
        <v>4752</v>
      </c>
      <c r="C1101" t="s">
        <v>4753</v>
      </c>
      <c r="D1101">
        <v>211</v>
      </c>
      <c r="E1101" t="s">
        <v>4655</v>
      </c>
      <c r="F1101" t="str">
        <f>VLOOKUP(E1101,country_continent!A:C,2,FALSE)</f>
        <v>Belgium</v>
      </c>
      <c r="G1101" t="str">
        <f>VLOOKUP(E1101,country_continent!A:C,3,FALSE)</f>
        <v>Europe</v>
      </c>
      <c r="H1101" t="s">
        <v>4754</v>
      </c>
      <c r="I1101" s="1">
        <v>8020</v>
      </c>
      <c r="J1101" s="3">
        <f t="shared" si="51"/>
        <v>8020</v>
      </c>
      <c r="K1101" s="1">
        <v>9227</v>
      </c>
      <c r="L1101" s="3">
        <f t="shared" si="52"/>
        <v>9227</v>
      </c>
      <c r="M1101" t="s">
        <v>49</v>
      </c>
      <c r="N1101" t="s">
        <v>49</v>
      </c>
      <c r="O1101" t="s">
        <v>49</v>
      </c>
      <c r="P1101">
        <v>0</v>
      </c>
      <c r="Q1101" t="s">
        <v>50</v>
      </c>
      <c r="R1101" t="s">
        <v>51</v>
      </c>
      <c r="S1101">
        <v>1873</v>
      </c>
      <c r="T1101">
        <v>1944</v>
      </c>
      <c r="Z1101">
        <v>0</v>
      </c>
      <c r="AA1101">
        <v>1</v>
      </c>
      <c r="AB1101">
        <v>0</v>
      </c>
      <c r="AC1101">
        <v>0</v>
      </c>
      <c r="AF1101">
        <v>1921</v>
      </c>
      <c r="AG1101">
        <v>1925</v>
      </c>
      <c r="AO1101" t="b">
        <v>1</v>
      </c>
      <c r="AP1101" t="s">
        <v>4202</v>
      </c>
      <c r="AQ1101">
        <v>1945</v>
      </c>
      <c r="AR1101">
        <v>1961</v>
      </c>
      <c r="AS1101" t="s">
        <v>4755</v>
      </c>
      <c r="AT1101">
        <v>3.3045859000684401</v>
      </c>
      <c r="AU1101">
        <f t="shared" si="53"/>
        <v>8.9999999999999993E-3</v>
      </c>
    </row>
    <row r="1102" spans="1:47" x14ac:dyDescent="0.3">
      <c r="A1102">
        <v>1100</v>
      </c>
      <c r="B1102" t="s">
        <v>4756</v>
      </c>
      <c r="C1102" t="s">
        <v>4757</v>
      </c>
      <c r="D1102">
        <v>211</v>
      </c>
      <c r="E1102" t="s">
        <v>4655</v>
      </c>
      <c r="F1102" t="str">
        <f>VLOOKUP(E1102,country_continent!A:C,2,FALSE)</f>
        <v>Belgium</v>
      </c>
      <c r="G1102" t="str">
        <f>VLOOKUP(E1102,country_continent!A:C,3,FALSE)</f>
        <v>Europe</v>
      </c>
      <c r="H1102" t="s">
        <v>4758</v>
      </c>
      <c r="I1102" s="1">
        <v>9265</v>
      </c>
      <c r="J1102" s="3">
        <f t="shared" si="51"/>
        <v>9265</v>
      </c>
      <c r="K1102" s="1">
        <v>9274</v>
      </c>
      <c r="L1102" s="3">
        <f t="shared" si="52"/>
        <v>9274</v>
      </c>
      <c r="M1102" t="s">
        <v>49</v>
      </c>
      <c r="N1102" t="s">
        <v>49</v>
      </c>
      <c r="O1102" t="s">
        <v>49</v>
      </c>
      <c r="P1102">
        <v>0</v>
      </c>
      <c r="Q1102" t="s">
        <v>50</v>
      </c>
      <c r="R1102" t="s">
        <v>51</v>
      </c>
      <c r="S1102">
        <v>1871</v>
      </c>
      <c r="T1102">
        <v>1961</v>
      </c>
      <c r="Z1102">
        <v>0</v>
      </c>
      <c r="AA1102">
        <v>1</v>
      </c>
      <c r="AB1102">
        <v>0</v>
      </c>
      <c r="AC1102">
        <v>0</v>
      </c>
      <c r="AF1102">
        <v>1925</v>
      </c>
      <c r="AG1102">
        <v>1925</v>
      </c>
      <c r="AO1102" t="b">
        <v>1</v>
      </c>
      <c r="AP1102" t="s">
        <v>4202</v>
      </c>
      <c r="AQ1102">
        <v>1945</v>
      </c>
      <c r="AR1102">
        <v>1961</v>
      </c>
      <c r="AS1102" t="s">
        <v>4759</v>
      </c>
      <c r="AT1102">
        <v>2.4640657084188899E-2</v>
      </c>
      <c r="AU1102">
        <f t="shared" si="53"/>
        <v>0</v>
      </c>
    </row>
    <row r="1103" spans="1:47" x14ac:dyDescent="0.3">
      <c r="A1103">
        <v>1101</v>
      </c>
      <c r="B1103" t="s">
        <v>4760</v>
      </c>
      <c r="C1103" t="s">
        <v>4761</v>
      </c>
      <c r="D1103">
        <v>211</v>
      </c>
      <c r="E1103" t="s">
        <v>4655</v>
      </c>
      <c r="F1103" t="str">
        <f>VLOOKUP(E1103,country_continent!A:C,2,FALSE)</f>
        <v>Belgium</v>
      </c>
      <c r="G1103" t="str">
        <f>VLOOKUP(E1103,country_continent!A:C,3,FALSE)</f>
        <v>Europe</v>
      </c>
      <c r="H1103" t="s">
        <v>4762</v>
      </c>
      <c r="I1103" s="1">
        <v>9300</v>
      </c>
      <c r="J1103" s="3">
        <f t="shared" si="51"/>
        <v>9300</v>
      </c>
      <c r="K1103" s="1">
        <v>9623</v>
      </c>
      <c r="L1103" s="3">
        <f t="shared" si="52"/>
        <v>9623</v>
      </c>
      <c r="M1103" t="s">
        <v>49</v>
      </c>
      <c r="N1103" t="s">
        <v>228</v>
      </c>
      <c r="O1103" t="s">
        <v>49</v>
      </c>
      <c r="P1103">
        <v>0</v>
      </c>
      <c r="Q1103" t="s">
        <v>50</v>
      </c>
      <c r="R1103" t="s">
        <v>51</v>
      </c>
      <c r="S1103">
        <v>1868</v>
      </c>
      <c r="T1103">
        <v>1937</v>
      </c>
      <c r="Z1103">
        <v>0</v>
      </c>
      <c r="AA1103">
        <v>2.0999998999999998</v>
      </c>
      <c r="AB1103">
        <v>0</v>
      </c>
      <c r="AC1103">
        <v>0</v>
      </c>
      <c r="AF1103">
        <v>1925</v>
      </c>
      <c r="AG1103">
        <v>1926</v>
      </c>
      <c r="AO1103" t="b">
        <v>1</v>
      </c>
      <c r="AP1103" t="s">
        <v>4202</v>
      </c>
      <c r="AQ1103">
        <v>1945</v>
      </c>
      <c r="AR1103">
        <v>1961</v>
      </c>
      <c r="AS1103" t="s">
        <v>4763</v>
      </c>
      <c r="AT1103">
        <v>0.88432580424366802</v>
      </c>
      <c r="AU1103">
        <f t="shared" si="53"/>
        <v>2E-3</v>
      </c>
    </row>
    <row r="1104" spans="1:47" x14ac:dyDescent="0.3">
      <c r="A1104">
        <v>1102</v>
      </c>
      <c r="B1104" t="s">
        <v>4764</v>
      </c>
      <c r="C1104" t="s">
        <v>4765</v>
      </c>
      <c r="D1104">
        <v>211</v>
      </c>
      <c r="E1104" t="s">
        <v>4655</v>
      </c>
      <c r="F1104" t="str">
        <f>VLOOKUP(E1104,country_continent!A:C,2,FALSE)</f>
        <v>Belgium</v>
      </c>
      <c r="G1104" t="str">
        <f>VLOOKUP(E1104,country_continent!A:C,3,FALSE)</f>
        <v>Europe</v>
      </c>
      <c r="H1104" t="s">
        <v>4766</v>
      </c>
      <c r="I1104" s="1">
        <v>9637</v>
      </c>
      <c r="J1104" s="3">
        <f t="shared" si="51"/>
        <v>9637</v>
      </c>
      <c r="K1104" s="1">
        <v>11464</v>
      </c>
      <c r="L1104" s="3">
        <f t="shared" si="52"/>
        <v>11464</v>
      </c>
      <c r="M1104" t="s">
        <v>49</v>
      </c>
      <c r="N1104" t="s">
        <v>49</v>
      </c>
      <c r="O1104" t="s">
        <v>49</v>
      </c>
      <c r="P1104">
        <v>0</v>
      </c>
      <c r="Q1104" t="s">
        <v>50</v>
      </c>
      <c r="R1104" t="s">
        <v>51</v>
      </c>
      <c r="S1104">
        <v>1870</v>
      </c>
      <c r="T1104">
        <v>1939</v>
      </c>
      <c r="U1104" t="s">
        <v>4767</v>
      </c>
      <c r="V1104" t="s">
        <v>4768</v>
      </c>
      <c r="W1104" s="1">
        <v>14291</v>
      </c>
      <c r="X1104" s="2">
        <v>14291</v>
      </c>
      <c r="Z1104">
        <v>0</v>
      </c>
      <c r="AA1104">
        <v>1</v>
      </c>
      <c r="AB1104">
        <v>0</v>
      </c>
      <c r="AC1104">
        <v>0</v>
      </c>
      <c r="AF1104">
        <v>1926</v>
      </c>
      <c r="AG1104">
        <v>1931</v>
      </c>
      <c r="AO1104" t="b">
        <v>1</v>
      </c>
      <c r="AP1104" t="s">
        <v>4202</v>
      </c>
      <c r="AQ1104">
        <v>1945</v>
      </c>
      <c r="AR1104">
        <v>1961</v>
      </c>
      <c r="AS1104" t="s">
        <v>4769</v>
      </c>
      <c r="AT1104">
        <v>5.0020533880903404</v>
      </c>
      <c r="AU1104">
        <f t="shared" si="53"/>
        <v>1.4E-2</v>
      </c>
    </row>
    <row r="1105" spans="1:47" x14ac:dyDescent="0.3">
      <c r="A1105">
        <v>1103</v>
      </c>
      <c r="B1105" t="s">
        <v>4770</v>
      </c>
      <c r="C1105" t="s">
        <v>4771</v>
      </c>
      <c r="D1105">
        <v>211</v>
      </c>
      <c r="E1105" t="s">
        <v>4655</v>
      </c>
      <c r="F1105" t="str">
        <f>VLOOKUP(E1105,country_continent!A:C,2,FALSE)</f>
        <v>Belgium</v>
      </c>
      <c r="G1105" t="str">
        <f>VLOOKUP(E1105,country_continent!A:C,3,FALSE)</f>
        <v>Europe</v>
      </c>
      <c r="H1105" t="s">
        <v>4772</v>
      </c>
      <c r="I1105" s="1">
        <v>11479</v>
      </c>
      <c r="J1105" s="3">
        <f t="shared" si="51"/>
        <v>11479</v>
      </c>
      <c r="K1105" s="1">
        <v>11980</v>
      </c>
      <c r="L1105" s="3">
        <f t="shared" si="52"/>
        <v>11980</v>
      </c>
      <c r="M1105" t="s">
        <v>49</v>
      </c>
      <c r="N1105" t="s">
        <v>49</v>
      </c>
      <c r="O1105" t="s">
        <v>49</v>
      </c>
      <c r="P1105">
        <v>0</v>
      </c>
      <c r="Q1105" t="s">
        <v>50</v>
      </c>
      <c r="R1105" t="s">
        <v>51</v>
      </c>
      <c r="S1105">
        <v>1862</v>
      </c>
      <c r="T1105">
        <v>1934</v>
      </c>
      <c r="Z1105">
        <v>0</v>
      </c>
      <c r="AA1105">
        <v>1</v>
      </c>
      <c r="AB1105">
        <v>0</v>
      </c>
      <c r="AC1105">
        <v>0</v>
      </c>
      <c r="AF1105">
        <v>1931</v>
      </c>
      <c r="AG1105">
        <v>1932</v>
      </c>
      <c r="AO1105" t="b">
        <v>1</v>
      </c>
      <c r="AP1105" t="s">
        <v>4202</v>
      </c>
      <c r="AQ1105">
        <v>1945</v>
      </c>
      <c r="AR1105">
        <v>1961</v>
      </c>
      <c r="AS1105" t="s">
        <v>4773</v>
      </c>
      <c r="AT1105">
        <v>1.37166324435318</v>
      </c>
      <c r="AU1105">
        <f t="shared" si="53"/>
        <v>4.0000000000000001E-3</v>
      </c>
    </row>
    <row r="1106" spans="1:47" x14ac:dyDescent="0.3">
      <c r="A1106">
        <v>1104</v>
      </c>
      <c r="B1106" t="s">
        <v>4774</v>
      </c>
      <c r="C1106" t="s">
        <v>4713</v>
      </c>
      <c r="D1106">
        <v>211</v>
      </c>
      <c r="E1106" t="s">
        <v>4655</v>
      </c>
      <c r="F1106" t="str">
        <f>VLOOKUP(E1106,country_continent!A:C,2,FALSE)</f>
        <v>Belgium</v>
      </c>
      <c r="G1106" t="str">
        <f>VLOOKUP(E1106,country_continent!A:C,3,FALSE)</f>
        <v>Europe</v>
      </c>
      <c r="H1106" t="s">
        <v>4714</v>
      </c>
      <c r="I1106" s="1">
        <v>11984</v>
      </c>
      <c r="J1106" s="3">
        <f t="shared" si="51"/>
        <v>11984</v>
      </c>
      <c r="K1106" s="1">
        <v>12736</v>
      </c>
      <c r="L1106" s="3">
        <f t="shared" si="52"/>
        <v>12736</v>
      </c>
      <c r="M1106" t="s">
        <v>49</v>
      </c>
      <c r="N1106" t="s">
        <v>49</v>
      </c>
      <c r="O1106" t="s">
        <v>49</v>
      </c>
      <c r="P1106">
        <v>1</v>
      </c>
      <c r="Q1106" t="s">
        <v>50</v>
      </c>
      <c r="R1106" t="s">
        <v>51</v>
      </c>
      <c r="S1106">
        <v>1860</v>
      </c>
      <c r="T1106">
        <v>1940</v>
      </c>
      <c r="U1106" t="s">
        <v>4715</v>
      </c>
      <c r="V1106" t="s">
        <v>4716</v>
      </c>
      <c r="W1106" s="1">
        <v>14859</v>
      </c>
      <c r="X1106" s="2">
        <v>14859</v>
      </c>
      <c r="Z1106">
        <v>0</v>
      </c>
      <c r="AA1106">
        <v>1</v>
      </c>
      <c r="AB1106">
        <v>0</v>
      </c>
      <c r="AC1106">
        <v>0</v>
      </c>
      <c r="AF1106">
        <v>1932</v>
      </c>
      <c r="AG1106">
        <v>1934</v>
      </c>
      <c r="AO1106" t="b">
        <v>1</v>
      </c>
      <c r="AP1106" t="s">
        <v>4202</v>
      </c>
      <c r="AQ1106">
        <v>1945</v>
      </c>
      <c r="AR1106">
        <v>1961</v>
      </c>
      <c r="AS1106" t="s">
        <v>4775</v>
      </c>
      <c r="AT1106">
        <v>2.0588637919233399</v>
      </c>
      <c r="AU1106">
        <f t="shared" si="53"/>
        <v>6.0000000000000001E-3</v>
      </c>
    </row>
    <row r="1107" spans="1:47" x14ac:dyDescent="0.3">
      <c r="A1107">
        <v>1105</v>
      </c>
      <c r="B1107" t="s">
        <v>4776</v>
      </c>
      <c r="C1107" t="s">
        <v>4753</v>
      </c>
      <c r="D1107">
        <v>211</v>
      </c>
      <c r="E1107" t="s">
        <v>4655</v>
      </c>
      <c r="F1107" t="str">
        <f>VLOOKUP(E1107,country_continent!A:C,2,FALSE)</f>
        <v>Belgium</v>
      </c>
      <c r="G1107" t="str">
        <f>VLOOKUP(E1107,country_continent!A:C,3,FALSE)</f>
        <v>Europe</v>
      </c>
      <c r="H1107" t="s">
        <v>4754</v>
      </c>
      <c r="I1107" s="1">
        <v>12742</v>
      </c>
      <c r="J1107" s="3">
        <f t="shared" si="51"/>
        <v>12742</v>
      </c>
      <c r="K1107" s="1">
        <v>12862</v>
      </c>
      <c r="L1107" s="3">
        <f t="shared" si="52"/>
        <v>12862</v>
      </c>
      <c r="M1107" t="s">
        <v>49</v>
      </c>
      <c r="N1107" t="s">
        <v>49</v>
      </c>
      <c r="O1107" t="s">
        <v>49</v>
      </c>
      <c r="P1107">
        <v>1</v>
      </c>
      <c r="Q1107" t="s">
        <v>50</v>
      </c>
      <c r="R1107" t="s">
        <v>51</v>
      </c>
      <c r="S1107">
        <v>1873</v>
      </c>
      <c r="T1107">
        <v>1944</v>
      </c>
      <c r="Z1107">
        <v>0</v>
      </c>
      <c r="AA1107">
        <v>1</v>
      </c>
      <c r="AB1107">
        <v>0</v>
      </c>
      <c r="AC1107">
        <v>0</v>
      </c>
      <c r="AF1107">
        <v>1934</v>
      </c>
      <c r="AG1107">
        <v>1935</v>
      </c>
      <c r="AO1107" t="b">
        <v>1</v>
      </c>
      <c r="AP1107" t="s">
        <v>4202</v>
      </c>
      <c r="AQ1107">
        <v>1945</v>
      </c>
      <c r="AR1107">
        <v>1961</v>
      </c>
      <c r="AS1107" t="s">
        <v>4777</v>
      </c>
      <c r="AT1107">
        <v>0.32854209445585197</v>
      </c>
      <c r="AU1107">
        <f t="shared" si="53"/>
        <v>1E-3</v>
      </c>
    </row>
    <row r="1108" spans="1:47" x14ac:dyDescent="0.3">
      <c r="A1108">
        <v>1106</v>
      </c>
      <c r="B1108" t="s">
        <v>4778</v>
      </c>
      <c r="C1108" t="s">
        <v>4779</v>
      </c>
      <c r="D1108">
        <v>211</v>
      </c>
      <c r="E1108" t="s">
        <v>4655</v>
      </c>
      <c r="F1108" t="str">
        <f>VLOOKUP(E1108,country_continent!A:C,2,FALSE)</f>
        <v>Belgium</v>
      </c>
      <c r="G1108" t="str">
        <f>VLOOKUP(E1108,country_continent!A:C,3,FALSE)</f>
        <v>Europe</v>
      </c>
      <c r="H1108" t="s">
        <v>4780</v>
      </c>
      <c r="I1108" s="1">
        <v>12869</v>
      </c>
      <c r="J1108" s="3">
        <f t="shared" si="51"/>
        <v>12869</v>
      </c>
      <c r="K1108" s="1">
        <v>13813</v>
      </c>
      <c r="L1108" s="3">
        <f t="shared" si="52"/>
        <v>13813</v>
      </c>
      <c r="M1108" t="s">
        <v>49</v>
      </c>
      <c r="N1108" t="s">
        <v>49</v>
      </c>
      <c r="O1108" t="s">
        <v>49</v>
      </c>
      <c r="P1108">
        <v>0</v>
      </c>
      <c r="Q1108" t="s">
        <v>50</v>
      </c>
      <c r="R1108" t="s">
        <v>51</v>
      </c>
      <c r="S1108">
        <v>1893</v>
      </c>
      <c r="T1108">
        <v>1973</v>
      </c>
      <c r="Z1108">
        <v>0</v>
      </c>
      <c r="AA1108">
        <v>1</v>
      </c>
      <c r="AB1108">
        <v>0</v>
      </c>
      <c r="AC1108">
        <v>0</v>
      </c>
      <c r="AF1108">
        <v>1935</v>
      </c>
      <c r="AG1108">
        <v>1937</v>
      </c>
      <c r="AO1108" t="b">
        <v>1</v>
      </c>
      <c r="AP1108" t="s">
        <v>4202</v>
      </c>
      <c r="AQ1108">
        <v>1945</v>
      </c>
      <c r="AR1108">
        <v>1961</v>
      </c>
      <c r="AS1108" t="s">
        <v>4781</v>
      </c>
      <c r="AT1108">
        <v>2.5845311430527</v>
      </c>
      <c r="AU1108">
        <f t="shared" si="53"/>
        <v>7.0000000000000001E-3</v>
      </c>
    </row>
    <row r="1109" spans="1:47" x14ac:dyDescent="0.3">
      <c r="A1109">
        <v>1107</v>
      </c>
      <c r="B1109" t="s">
        <v>4782</v>
      </c>
      <c r="C1109" t="s">
        <v>4783</v>
      </c>
      <c r="D1109">
        <v>211</v>
      </c>
      <c r="E1109" t="s">
        <v>4655</v>
      </c>
      <c r="F1109" t="str">
        <f>VLOOKUP(E1109,country_continent!A:C,2,FALSE)</f>
        <v>Belgium</v>
      </c>
      <c r="G1109" t="str">
        <f>VLOOKUP(E1109,country_continent!A:C,3,FALSE)</f>
        <v>Europe</v>
      </c>
      <c r="H1109" t="s">
        <v>4784</v>
      </c>
      <c r="I1109" s="1">
        <v>13843</v>
      </c>
      <c r="J1109" s="3">
        <f t="shared" si="51"/>
        <v>13843</v>
      </c>
      <c r="K1109" s="1">
        <v>14013</v>
      </c>
      <c r="L1109" s="3">
        <f t="shared" si="52"/>
        <v>14013</v>
      </c>
      <c r="M1109" t="s">
        <v>49</v>
      </c>
      <c r="N1109" t="s">
        <v>49</v>
      </c>
      <c r="O1109" t="s">
        <v>49</v>
      </c>
      <c r="P1109">
        <v>0</v>
      </c>
      <c r="Q1109" t="s">
        <v>50</v>
      </c>
      <c r="R1109" t="s">
        <v>51</v>
      </c>
      <c r="S1109">
        <v>1872</v>
      </c>
      <c r="T1109">
        <v>1944</v>
      </c>
      <c r="U1109" t="s">
        <v>4785</v>
      </c>
      <c r="V1109" t="s">
        <v>4786</v>
      </c>
      <c r="W1109" s="1">
        <v>16134</v>
      </c>
      <c r="X1109" s="2">
        <v>16134</v>
      </c>
      <c r="Z1109">
        <v>0</v>
      </c>
      <c r="AA1109">
        <v>1</v>
      </c>
      <c r="AB1109">
        <v>0</v>
      </c>
      <c r="AC1109">
        <v>0</v>
      </c>
      <c r="AF1109">
        <v>1937</v>
      </c>
      <c r="AG1109">
        <v>1938</v>
      </c>
      <c r="AO1109" t="b">
        <v>1</v>
      </c>
      <c r="AP1109" t="s">
        <v>4202</v>
      </c>
      <c r="AQ1109">
        <v>1945</v>
      </c>
      <c r="AR1109">
        <v>1961</v>
      </c>
      <c r="AS1109" t="s">
        <v>4787</v>
      </c>
      <c r="AT1109">
        <v>0.46543463381245698</v>
      </c>
      <c r="AU1109">
        <f t="shared" si="53"/>
        <v>1E-3</v>
      </c>
    </row>
    <row r="1110" spans="1:47" x14ac:dyDescent="0.3">
      <c r="A1110">
        <v>1108</v>
      </c>
      <c r="B1110" t="s">
        <v>4788</v>
      </c>
      <c r="C1110" t="s">
        <v>4789</v>
      </c>
      <c r="D1110">
        <v>211</v>
      </c>
      <c r="E1110" t="s">
        <v>4655</v>
      </c>
      <c r="F1110" t="str">
        <f>VLOOKUP(E1110,country_continent!A:C,2,FALSE)</f>
        <v>Belgium</v>
      </c>
      <c r="G1110" t="str">
        <f>VLOOKUP(E1110,country_continent!A:C,3,FALSE)</f>
        <v>Europe</v>
      </c>
      <c r="H1110" t="s">
        <v>4790</v>
      </c>
      <c r="I1110" s="1">
        <v>14015</v>
      </c>
      <c r="J1110" s="3">
        <f t="shared" si="51"/>
        <v>14015</v>
      </c>
      <c r="K1110" s="1">
        <v>14285</v>
      </c>
      <c r="L1110" s="3">
        <f t="shared" si="52"/>
        <v>14285</v>
      </c>
      <c r="M1110" t="s">
        <v>49</v>
      </c>
      <c r="N1110" t="s">
        <v>49</v>
      </c>
      <c r="O1110" t="s">
        <v>49</v>
      </c>
      <c r="P1110">
        <v>0</v>
      </c>
      <c r="Q1110" t="s">
        <v>50</v>
      </c>
      <c r="R1110" t="s">
        <v>51</v>
      </c>
      <c r="S1110">
        <v>1899</v>
      </c>
      <c r="T1110">
        <v>1972</v>
      </c>
      <c r="W1110" s="1">
        <v>26511</v>
      </c>
      <c r="X1110" s="2">
        <v>26511</v>
      </c>
      <c r="Y1110" t="s">
        <v>4791</v>
      </c>
      <c r="Z1110">
        <v>0</v>
      </c>
      <c r="AA1110">
        <v>1</v>
      </c>
      <c r="AB1110">
        <v>0</v>
      </c>
      <c r="AC1110">
        <v>0</v>
      </c>
      <c r="AF1110">
        <v>1938</v>
      </c>
      <c r="AG1110">
        <v>1939</v>
      </c>
      <c r="AO1110" t="b">
        <v>1</v>
      </c>
      <c r="AP1110" t="s">
        <v>4202</v>
      </c>
      <c r="AQ1110">
        <v>1945</v>
      </c>
      <c r="AR1110">
        <v>1961</v>
      </c>
      <c r="AS1110" t="s">
        <v>4792</v>
      </c>
      <c r="AT1110">
        <v>0.73921971252566698</v>
      </c>
      <c r="AU1110">
        <f t="shared" si="53"/>
        <v>2E-3</v>
      </c>
    </row>
    <row r="1111" spans="1:47" x14ac:dyDescent="0.3">
      <c r="A1111">
        <v>1109</v>
      </c>
      <c r="B1111" t="s">
        <v>4793</v>
      </c>
      <c r="C1111" t="s">
        <v>4794</v>
      </c>
      <c r="D1111">
        <v>211</v>
      </c>
      <c r="E1111" t="s">
        <v>4655</v>
      </c>
      <c r="F1111" t="str">
        <f>VLOOKUP(E1111,country_continent!A:C,2,FALSE)</f>
        <v>Belgium</v>
      </c>
      <c r="G1111" t="str">
        <f>VLOOKUP(E1111,country_continent!A:C,3,FALSE)</f>
        <v>Europe</v>
      </c>
      <c r="H1111" t="s">
        <v>4795</v>
      </c>
      <c r="I1111" s="1">
        <v>14285</v>
      </c>
      <c r="J1111" s="3">
        <f t="shared" si="51"/>
        <v>14285</v>
      </c>
      <c r="K1111" s="1">
        <v>14759</v>
      </c>
      <c r="L1111" s="3">
        <f t="shared" si="52"/>
        <v>14759</v>
      </c>
      <c r="M1111" t="s">
        <v>49</v>
      </c>
      <c r="N1111" t="s">
        <v>633</v>
      </c>
      <c r="O1111" t="s">
        <v>634</v>
      </c>
      <c r="P1111">
        <v>0</v>
      </c>
      <c r="Q1111" t="s">
        <v>362</v>
      </c>
      <c r="R1111" t="s">
        <v>51</v>
      </c>
      <c r="S1111">
        <v>1883</v>
      </c>
      <c r="T1111">
        <v>1963</v>
      </c>
      <c r="Z1111">
        <v>0</v>
      </c>
      <c r="AA1111">
        <v>4</v>
      </c>
      <c r="AB1111">
        <v>9</v>
      </c>
      <c r="AC1111">
        <v>1</v>
      </c>
      <c r="AF1111">
        <v>1939</v>
      </c>
      <c r="AG1111">
        <v>1940</v>
      </c>
      <c r="AO1111" t="b">
        <v>1</v>
      </c>
      <c r="AP1111" t="s">
        <v>4202</v>
      </c>
      <c r="AQ1111">
        <v>1945</v>
      </c>
      <c r="AR1111">
        <v>1961</v>
      </c>
      <c r="AS1111" t="s">
        <v>4796</v>
      </c>
      <c r="AT1111">
        <v>1.2977412731006099</v>
      </c>
      <c r="AU1111">
        <f t="shared" si="53"/>
        <v>4.0000000000000001E-3</v>
      </c>
    </row>
    <row r="1112" spans="1:47" x14ac:dyDescent="0.3">
      <c r="A1112">
        <v>1110</v>
      </c>
      <c r="B1112" t="s">
        <v>4797</v>
      </c>
      <c r="C1112" t="s">
        <v>4794</v>
      </c>
      <c r="D1112">
        <v>211</v>
      </c>
      <c r="E1112" t="s">
        <v>4655</v>
      </c>
      <c r="F1112" t="str">
        <f>VLOOKUP(E1112,country_continent!A:C,2,FALSE)</f>
        <v>Belgium</v>
      </c>
      <c r="G1112" t="str">
        <f>VLOOKUP(E1112,country_continent!A:C,3,FALSE)</f>
        <v>Europe</v>
      </c>
      <c r="H1112" t="s">
        <v>4795</v>
      </c>
      <c r="I1112" s="1">
        <v>16318</v>
      </c>
      <c r="J1112" s="3">
        <f t="shared" si="51"/>
        <v>16318</v>
      </c>
      <c r="K1112" s="1">
        <v>16475</v>
      </c>
      <c r="L1112" s="3">
        <f t="shared" si="52"/>
        <v>16475</v>
      </c>
      <c r="M1112" t="s">
        <v>49</v>
      </c>
      <c r="N1112" t="s">
        <v>49</v>
      </c>
      <c r="O1112" t="s">
        <v>49</v>
      </c>
      <c r="P1112">
        <v>1</v>
      </c>
      <c r="Q1112" t="s">
        <v>50</v>
      </c>
      <c r="R1112" t="s">
        <v>51</v>
      </c>
      <c r="S1112">
        <v>1883</v>
      </c>
      <c r="T1112">
        <v>1963</v>
      </c>
      <c r="Z1112">
        <v>0</v>
      </c>
      <c r="AA1112">
        <v>1</v>
      </c>
      <c r="AB1112">
        <v>0</v>
      </c>
      <c r="AC1112">
        <v>0</v>
      </c>
      <c r="AF1112">
        <v>1944</v>
      </c>
      <c r="AG1112">
        <v>1945</v>
      </c>
      <c r="AO1112" t="b">
        <v>1</v>
      </c>
      <c r="AP1112" t="s">
        <v>4202</v>
      </c>
      <c r="AQ1112">
        <v>1945</v>
      </c>
      <c r="AR1112">
        <v>1961</v>
      </c>
      <c r="AS1112" t="s">
        <v>4798</v>
      </c>
      <c r="AT1112">
        <v>0.42984257357973898</v>
      </c>
      <c r="AU1112">
        <f t="shared" si="53"/>
        <v>1E-3</v>
      </c>
    </row>
    <row r="1113" spans="1:47" x14ac:dyDescent="0.3">
      <c r="A1113">
        <v>1111</v>
      </c>
      <c r="B1113" t="s">
        <v>4799</v>
      </c>
      <c r="C1113" t="s">
        <v>4800</v>
      </c>
      <c r="D1113">
        <v>211</v>
      </c>
      <c r="E1113" t="s">
        <v>4655</v>
      </c>
      <c r="F1113" t="str">
        <f>VLOOKUP(E1113,country_continent!A:C,2,FALSE)</f>
        <v>Belgium</v>
      </c>
      <c r="G1113" t="str">
        <f>VLOOKUP(E1113,country_continent!A:C,3,FALSE)</f>
        <v>Europe</v>
      </c>
      <c r="H1113" t="s">
        <v>4801</v>
      </c>
      <c r="I1113" s="1">
        <v>16479</v>
      </c>
      <c r="J1113" s="3">
        <f t="shared" si="51"/>
        <v>16479</v>
      </c>
      <c r="K1113" s="1">
        <v>16851</v>
      </c>
      <c r="L1113" s="3">
        <f t="shared" si="52"/>
        <v>16851</v>
      </c>
      <c r="M1113" t="s">
        <v>49</v>
      </c>
      <c r="N1113" t="s">
        <v>49</v>
      </c>
      <c r="O1113" t="s">
        <v>49</v>
      </c>
      <c r="P1113">
        <v>0</v>
      </c>
      <c r="Q1113" t="s">
        <v>50</v>
      </c>
      <c r="R1113" t="s">
        <v>51</v>
      </c>
      <c r="S1113">
        <v>1898</v>
      </c>
      <c r="T1113">
        <v>1975</v>
      </c>
      <c r="Z1113">
        <v>0</v>
      </c>
      <c r="AA1113">
        <v>1</v>
      </c>
      <c r="AB1113">
        <v>0</v>
      </c>
      <c r="AC1113">
        <v>0</v>
      </c>
      <c r="AF1113">
        <v>1945</v>
      </c>
      <c r="AG1113">
        <v>1946</v>
      </c>
      <c r="AN1113">
        <v>8</v>
      </c>
      <c r="AO1113" t="b">
        <v>1</v>
      </c>
      <c r="AP1113" t="s">
        <v>4202</v>
      </c>
      <c r="AQ1113">
        <v>1945</v>
      </c>
      <c r="AR1113">
        <v>1961</v>
      </c>
      <c r="AS1113" t="s">
        <v>4802</v>
      </c>
      <c r="AT1113">
        <v>1.0184804928131399</v>
      </c>
      <c r="AU1113">
        <f t="shared" si="53"/>
        <v>3.0000000000000001E-3</v>
      </c>
    </row>
    <row r="1114" spans="1:47" x14ac:dyDescent="0.3">
      <c r="A1114">
        <v>1112</v>
      </c>
      <c r="B1114" t="s">
        <v>4803</v>
      </c>
      <c r="C1114" t="s">
        <v>4789</v>
      </c>
      <c r="D1114">
        <v>211</v>
      </c>
      <c r="E1114" t="s">
        <v>4655</v>
      </c>
      <c r="F1114" t="str">
        <f>VLOOKUP(E1114,country_continent!A:C,2,FALSE)</f>
        <v>Belgium</v>
      </c>
      <c r="G1114" t="str">
        <f>VLOOKUP(E1114,country_continent!A:C,3,FALSE)</f>
        <v>Europe</v>
      </c>
      <c r="H1114" t="s">
        <v>4790</v>
      </c>
      <c r="I1114" s="1">
        <v>16873</v>
      </c>
      <c r="J1114" s="3">
        <f t="shared" si="51"/>
        <v>16873</v>
      </c>
      <c r="K1114" s="1">
        <v>16882</v>
      </c>
      <c r="L1114" s="3">
        <f t="shared" si="52"/>
        <v>16882</v>
      </c>
      <c r="M1114" t="s">
        <v>49</v>
      </c>
      <c r="N1114" t="s">
        <v>49</v>
      </c>
      <c r="O1114" t="s">
        <v>49</v>
      </c>
      <c r="P1114">
        <v>1</v>
      </c>
      <c r="Q1114" t="s">
        <v>50</v>
      </c>
      <c r="R1114" t="s">
        <v>51</v>
      </c>
      <c r="S1114">
        <v>1899</v>
      </c>
      <c r="T1114">
        <v>1972</v>
      </c>
      <c r="W1114" s="1">
        <v>26511</v>
      </c>
      <c r="X1114" s="2">
        <v>26511</v>
      </c>
      <c r="Y1114" t="s">
        <v>4791</v>
      </c>
      <c r="Z1114">
        <v>0</v>
      </c>
      <c r="AA1114">
        <v>1</v>
      </c>
      <c r="AB1114">
        <v>0</v>
      </c>
      <c r="AC1114">
        <v>0</v>
      </c>
      <c r="AF1114">
        <v>1946</v>
      </c>
      <c r="AG1114">
        <v>1946</v>
      </c>
      <c r="AN1114">
        <v>8</v>
      </c>
      <c r="AO1114" t="b">
        <v>1</v>
      </c>
      <c r="AP1114" t="s">
        <v>4202</v>
      </c>
      <c r="AQ1114">
        <v>1945</v>
      </c>
      <c r="AR1114">
        <v>1961</v>
      </c>
      <c r="AS1114" t="s">
        <v>4759</v>
      </c>
      <c r="AT1114">
        <v>2.4640657084188899E-2</v>
      </c>
      <c r="AU1114">
        <f t="shared" si="53"/>
        <v>0</v>
      </c>
    </row>
    <row r="1115" spans="1:47" x14ac:dyDescent="0.3">
      <c r="A1115">
        <v>1113</v>
      </c>
      <c r="B1115" t="s">
        <v>4804</v>
      </c>
      <c r="C1115" t="s">
        <v>4800</v>
      </c>
      <c r="D1115">
        <v>211</v>
      </c>
      <c r="E1115" t="s">
        <v>4655</v>
      </c>
      <c r="F1115" t="str">
        <f>VLOOKUP(E1115,country_continent!A:C,2,FALSE)</f>
        <v>Belgium</v>
      </c>
      <c r="G1115" t="str">
        <f>VLOOKUP(E1115,country_continent!A:C,3,FALSE)</f>
        <v>Europe</v>
      </c>
      <c r="H1115" t="s">
        <v>4801</v>
      </c>
      <c r="I1115" s="1">
        <v>16892</v>
      </c>
      <c r="J1115" s="3">
        <f t="shared" si="51"/>
        <v>16892</v>
      </c>
      <c r="K1115" s="1">
        <v>16992</v>
      </c>
      <c r="L1115" s="3">
        <f t="shared" si="52"/>
        <v>16992</v>
      </c>
      <c r="M1115" t="s">
        <v>49</v>
      </c>
      <c r="N1115" t="s">
        <v>49</v>
      </c>
      <c r="O1115" t="s">
        <v>49</v>
      </c>
      <c r="P1115">
        <v>1</v>
      </c>
      <c r="Q1115" t="s">
        <v>50</v>
      </c>
      <c r="R1115" t="s">
        <v>51</v>
      </c>
      <c r="S1115">
        <v>1898</v>
      </c>
      <c r="T1115">
        <v>1975</v>
      </c>
      <c r="Z1115">
        <v>0</v>
      </c>
      <c r="AA1115">
        <v>1</v>
      </c>
      <c r="AB1115">
        <v>0</v>
      </c>
      <c r="AC1115">
        <v>0</v>
      </c>
      <c r="AF1115">
        <v>1946</v>
      </c>
      <c r="AG1115">
        <v>1946</v>
      </c>
      <c r="AN1115">
        <v>8</v>
      </c>
      <c r="AO1115" t="b">
        <v>1</v>
      </c>
      <c r="AP1115" t="s">
        <v>4202</v>
      </c>
      <c r="AQ1115">
        <v>1945</v>
      </c>
      <c r="AR1115">
        <v>1961</v>
      </c>
      <c r="AS1115" t="s">
        <v>4805</v>
      </c>
      <c r="AT1115">
        <v>0.27378507871321001</v>
      </c>
      <c r="AU1115">
        <f t="shared" si="53"/>
        <v>1E-3</v>
      </c>
    </row>
    <row r="1116" spans="1:47" x14ac:dyDescent="0.3">
      <c r="A1116">
        <v>1114</v>
      </c>
      <c r="B1116" t="s">
        <v>4806</v>
      </c>
      <c r="C1116" t="s">
        <v>4807</v>
      </c>
      <c r="D1116">
        <v>211</v>
      </c>
      <c r="E1116" t="s">
        <v>4655</v>
      </c>
      <c r="F1116" t="str">
        <f>VLOOKUP(E1116,country_continent!A:C,2,FALSE)</f>
        <v>Belgium</v>
      </c>
      <c r="G1116" t="str">
        <f>VLOOKUP(E1116,country_continent!A:C,3,FALSE)</f>
        <v>Europe</v>
      </c>
      <c r="H1116" t="s">
        <v>4808</v>
      </c>
      <c r="I1116" s="1">
        <v>17016</v>
      </c>
      <c r="J1116" s="3">
        <f t="shared" si="51"/>
        <v>17016</v>
      </c>
      <c r="K1116" s="1">
        <v>17238</v>
      </c>
      <c r="L1116" s="3">
        <f t="shared" si="52"/>
        <v>17238</v>
      </c>
      <c r="M1116" t="s">
        <v>49</v>
      </c>
      <c r="N1116" t="s">
        <v>49</v>
      </c>
      <c r="O1116" t="s">
        <v>49</v>
      </c>
      <c r="P1116">
        <v>0</v>
      </c>
      <c r="Q1116" t="s">
        <v>50</v>
      </c>
      <c r="R1116" t="s">
        <v>51</v>
      </c>
      <c r="S1116">
        <v>1871</v>
      </c>
      <c r="T1116">
        <v>1968</v>
      </c>
      <c r="U1116" t="s">
        <v>4809</v>
      </c>
      <c r="V1116" t="s">
        <v>4810</v>
      </c>
      <c r="W1116" s="1">
        <v>24893</v>
      </c>
      <c r="X1116" s="2">
        <v>24893</v>
      </c>
      <c r="Z1116">
        <v>0</v>
      </c>
      <c r="AA1116">
        <v>1</v>
      </c>
      <c r="AB1116">
        <v>0</v>
      </c>
      <c r="AC1116">
        <v>0</v>
      </c>
      <c r="AF1116">
        <v>1946</v>
      </c>
      <c r="AG1116">
        <v>1947</v>
      </c>
      <c r="AN1116">
        <v>8</v>
      </c>
      <c r="AO1116" t="b">
        <v>1</v>
      </c>
      <c r="AP1116" t="s">
        <v>4202</v>
      </c>
      <c r="AQ1116">
        <v>1945</v>
      </c>
      <c r="AR1116">
        <v>1961</v>
      </c>
      <c r="AS1116" t="s">
        <v>4811</v>
      </c>
      <c r="AT1116">
        <v>0.60780287474332595</v>
      </c>
      <c r="AU1116">
        <f t="shared" si="53"/>
        <v>2E-3</v>
      </c>
    </row>
    <row r="1117" spans="1:47" x14ac:dyDescent="0.3">
      <c r="A1117">
        <v>1115</v>
      </c>
      <c r="B1117" t="s">
        <v>4812</v>
      </c>
      <c r="C1117" t="s">
        <v>4789</v>
      </c>
      <c r="D1117">
        <v>211</v>
      </c>
      <c r="E1117" t="s">
        <v>4655</v>
      </c>
      <c r="F1117" t="str">
        <f>VLOOKUP(E1117,country_continent!A:C,2,FALSE)</f>
        <v>Belgium</v>
      </c>
      <c r="G1117" t="str">
        <f>VLOOKUP(E1117,country_continent!A:C,3,FALSE)</f>
        <v>Europe</v>
      </c>
      <c r="H1117" t="s">
        <v>4790</v>
      </c>
      <c r="I1117" s="1">
        <v>17245</v>
      </c>
      <c r="J1117" s="3">
        <f t="shared" si="51"/>
        <v>17245</v>
      </c>
      <c r="K1117" s="1">
        <v>18077</v>
      </c>
      <c r="L1117" s="3">
        <f t="shared" si="52"/>
        <v>18077</v>
      </c>
      <c r="M1117" t="s">
        <v>49</v>
      </c>
      <c r="N1117" t="s">
        <v>49</v>
      </c>
      <c r="O1117" t="s">
        <v>49</v>
      </c>
      <c r="P1117">
        <v>2</v>
      </c>
      <c r="Q1117" t="s">
        <v>50</v>
      </c>
      <c r="R1117" t="s">
        <v>51</v>
      </c>
      <c r="S1117">
        <v>1899</v>
      </c>
      <c r="T1117">
        <v>1972</v>
      </c>
      <c r="W1117" s="1">
        <v>26511</v>
      </c>
      <c r="X1117" s="2">
        <v>26511</v>
      </c>
      <c r="Y1117" t="s">
        <v>4791</v>
      </c>
      <c r="Z1117">
        <v>0</v>
      </c>
      <c r="AA1117">
        <v>1</v>
      </c>
      <c r="AB1117">
        <v>0</v>
      </c>
      <c r="AC1117">
        <v>0</v>
      </c>
      <c r="AF1117">
        <v>1947</v>
      </c>
      <c r="AG1117">
        <v>1949</v>
      </c>
      <c r="AN1117">
        <v>8</v>
      </c>
      <c r="AO1117" t="b">
        <v>1</v>
      </c>
      <c r="AP1117" t="s">
        <v>4202</v>
      </c>
      <c r="AQ1117">
        <v>1945</v>
      </c>
      <c r="AR1117">
        <v>1961</v>
      </c>
      <c r="AS1117" t="s">
        <v>4813</v>
      </c>
      <c r="AT1117">
        <v>2.2778918548939</v>
      </c>
      <c r="AU1117">
        <f t="shared" si="53"/>
        <v>6.0000000000000001E-3</v>
      </c>
    </row>
    <row r="1118" spans="1:47" x14ac:dyDescent="0.3">
      <c r="A1118">
        <v>1116</v>
      </c>
      <c r="B1118" t="s">
        <v>4814</v>
      </c>
      <c r="C1118" t="s">
        <v>4815</v>
      </c>
      <c r="D1118">
        <v>211</v>
      </c>
      <c r="E1118" t="s">
        <v>4655</v>
      </c>
      <c r="F1118" t="str">
        <f>VLOOKUP(E1118,country_continent!A:C,2,FALSE)</f>
        <v>Belgium</v>
      </c>
      <c r="G1118" t="str">
        <f>VLOOKUP(E1118,country_continent!A:C,3,FALSE)</f>
        <v>Europe</v>
      </c>
      <c r="H1118" t="s">
        <v>4816</v>
      </c>
      <c r="I1118" s="1">
        <v>18120</v>
      </c>
      <c r="J1118" s="3">
        <f t="shared" si="51"/>
        <v>18120</v>
      </c>
      <c r="K1118" s="1">
        <v>18340</v>
      </c>
      <c r="L1118" s="3">
        <f t="shared" si="52"/>
        <v>18340</v>
      </c>
      <c r="M1118" t="s">
        <v>49</v>
      </c>
      <c r="N1118" t="s">
        <v>49</v>
      </c>
      <c r="O1118" t="s">
        <v>49</v>
      </c>
      <c r="P1118">
        <v>0</v>
      </c>
      <c r="Q1118" t="s">
        <v>50</v>
      </c>
      <c r="R1118" t="s">
        <v>51</v>
      </c>
      <c r="S1118">
        <v>1905</v>
      </c>
      <c r="T1118">
        <v>1988</v>
      </c>
      <c r="U1118" s="1">
        <v>1918</v>
      </c>
      <c r="V1118" s="2">
        <v>1918</v>
      </c>
      <c r="W1118" s="1">
        <v>32145</v>
      </c>
      <c r="X1118" s="2">
        <v>32145</v>
      </c>
      <c r="Z1118">
        <v>0</v>
      </c>
      <c r="AA1118">
        <v>1</v>
      </c>
      <c r="AB1118">
        <v>0</v>
      </c>
      <c r="AC1118">
        <v>0</v>
      </c>
      <c r="AD1118" t="s">
        <v>4817</v>
      </c>
      <c r="AE1118">
        <v>0</v>
      </c>
      <c r="AF1118">
        <v>1949</v>
      </c>
      <c r="AG1118">
        <v>1950</v>
      </c>
      <c r="AN1118">
        <v>8</v>
      </c>
      <c r="AO1118" t="b">
        <v>1</v>
      </c>
      <c r="AP1118" t="s">
        <v>4202</v>
      </c>
      <c r="AQ1118">
        <v>1945</v>
      </c>
      <c r="AR1118">
        <v>1961</v>
      </c>
      <c r="AS1118" t="s">
        <v>4818</v>
      </c>
      <c r="AT1118">
        <v>0.60232717316906204</v>
      </c>
      <c r="AU1118">
        <f t="shared" si="53"/>
        <v>2E-3</v>
      </c>
    </row>
    <row r="1119" spans="1:47" x14ac:dyDescent="0.3">
      <c r="A1119">
        <v>1117</v>
      </c>
      <c r="B1119" t="s">
        <v>4819</v>
      </c>
      <c r="C1119" t="s">
        <v>4820</v>
      </c>
      <c r="D1119">
        <v>211</v>
      </c>
      <c r="E1119" t="s">
        <v>4655</v>
      </c>
      <c r="F1119" t="str">
        <f>VLOOKUP(E1119,country_continent!A:C,2,FALSE)</f>
        <v>Belgium</v>
      </c>
      <c r="G1119" t="str">
        <f>VLOOKUP(E1119,country_continent!A:C,3,FALSE)</f>
        <v>Europe</v>
      </c>
      <c r="H1119" t="s">
        <v>4821</v>
      </c>
      <c r="I1119" s="1">
        <v>18422</v>
      </c>
      <c r="J1119" s="3">
        <f t="shared" si="51"/>
        <v>18422</v>
      </c>
      <c r="K1119" s="1">
        <v>18486</v>
      </c>
      <c r="L1119" s="3">
        <f t="shared" si="52"/>
        <v>18486</v>
      </c>
      <c r="M1119" t="s">
        <v>49</v>
      </c>
      <c r="N1119" t="s">
        <v>49</v>
      </c>
      <c r="O1119" t="s">
        <v>49</v>
      </c>
      <c r="P1119">
        <v>0</v>
      </c>
      <c r="Q1119" t="s">
        <v>50</v>
      </c>
      <c r="R1119" t="s">
        <v>51</v>
      </c>
      <c r="S1119">
        <v>1900</v>
      </c>
      <c r="T1119">
        <v>1977</v>
      </c>
      <c r="U1119" s="1">
        <v>101</v>
      </c>
      <c r="V1119" s="2">
        <v>101</v>
      </c>
      <c r="W1119" s="1">
        <v>28408</v>
      </c>
      <c r="X1119" s="2">
        <v>28408</v>
      </c>
      <c r="Z1119">
        <v>0</v>
      </c>
      <c r="AA1119">
        <v>1</v>
      </c>
      <c r="AB1119">
        <v>0</v>
      </c>
      <c r="AC1119">
        <v>0</v>
      </c>
      <c r="AF1119">
        <v>1950</v>
      </c>
      <c r="AG1119">
        <v>1950</v>
      </c>
      <c r="AN1119">
        <v>8</v>
      </c>
      <c r="AO1119" t="b">
        <v>1</v>
      </c>
      <c r="AP1119" t="s">
        <v>4202</v>
      </c>
      <c r="AQ1119">
        <v>1945</v>
      </c>
      <c r="AR1119">
        <v>1961</v>
      </c>
      <c r="AS1119" t="s">
        <v>4822</v>
      </c>
      <c r="AT1119">
        <v>0.17522245037645401</v>
      </c>
      <c r="AU1119">
        <f t="shared" si="53"/>
        <v>0</v>
      </c>
    </row>
    <row r="1120" spans="1:47" x14ac:dyDescent="0.3">
      <c r="A1120">
        <v>1118</v>
      </c>
      <c r="B1120" t="s">
        <v>4823</v>
      </c>
      <c r="C1120" t="s">
        <v>4824</v>
      </c>
      <c r="D1120">
        <v>211</v>
      </c>
      <c r="E1120" t="s">
        <v>4655</v>
      </c>
      <c r="F1120" t="str">
        <f>VLOOKUP(E1120,country_continent!A:C,2,FALSE)</f>
        <v>Belgium</v>
      </c>
      <c r="G1120" t="str">
        <f>VLOOKUP(E1120,country_continent!A:C,3,FALSE)</f>
        <v>Europe</v>
      </c>
      <c r="H1120" t="s">
        <v>4825</v>
      </c>
      <c r="I1120" s="1">
        <v>18490</v>
      </c>
      <c r="J1120" s="3">
        <f t="shared" si="51"/>
        <v>18490</v>
      </c>
      <c r="K1120" s="1">
        <v>19002</v>
      </c>
      <c r="L1120" s="3">
        <f t="shared" si="52"/>
        <v>19002</v>
      </c>
      <c r="M1120" t="s">
        <v>49</v>
      </c>
      <c r="N1120" t="s">
        <v>49</v>
      </c>
      <c r="O1120" t="s">
        <v>49</v>
      </c>
      <c r="P1120">
        <v>0</v>
      </c>
      <c r="Q1120" t="s">
        <v>50</v>
      </c>
      <c r="R1120" t="s">
        <v>51</v>
      </c>
      <c r="S1120">
        <v>1884</v>
      </c>
      <c r="T1120">
        <v>1968</v>
      </c>
      <c r="U1120" t="s">
        <v>4826</v>
      </c>
      <c r="V1120" t="s">
        <v>4827</v>
      </c>
      <c r="W1120" s="1">
        <v>24841</v>
      </c>
      <c r="X1120" s="2">
        <v>24841</v>
      </c>
      <c r="Z1120">
        <v>0</v>
      </c>
      <c r="AA1120">
        <v>1</v>
      </c>
      <c r="AB1120">
        <v>0</v>
      </c>
      <c r="AC1120">
        <v>0</v>
      </c>
      <c r="AF1120">
        <v>1950</v>
      </c>
      <c r="AG1120">
        <v>1952</v>
      </c>
      <c r="AN1120">
        <v>8.67</v>
      </c>
      <c r="AO1120" t="b">
        <v>1</v>
      </c>
      <c r="AP1120" t="s">
        <v>4202</v>
      </c>
      <c r="AQ1120">
        <v>1945</v>
      </c>
      <c r="AR1120">
        <v>1961</v>
      </c>
      <c r="AS1120" t="s">
        <v>4828</v>
      </c>
      <c r="AT1120">
        <v>1.4017796030116301</v>
      </c>
      <c r="AU1120">
        <f t="shared" si="53"/>
        <v>4.0000000000000001E-3</v>
      </c>
    </row>
    <row r="1121" spans="1:47" x14ac:dyDescent="0.3">
      <c r="A1121">
        <v>1119</v>
      </c>
      <c r="B1121" t="s">
        <v>4829</v>
      </c>
      <c r="C1121" t="s">
        <v>4830</v>
      </c>
      <c r="D1121">
        <v>211</v>
      </c>
      <c r="E1121" t="s">
        <v>4655</v>
      </c>
      <c r="F1121" t="str">
        <f>VLOOKUP(E1121,country_continent!A:C,2,FALSE)</f>
        <v>Belgium</v>
      </c>
      <c r="G1121" t="str">
        <f>VLOOKUP(E1121,country_continent!A:C,3,FALSE)</f>
        <v>Europe</v>
      </c>
      <c r="H1121" t="s">
        <v>4831</v>
      </c>
      <c r="I1121" s="1">
        <v>19008</v>
      </c>
      <c r="J1121" s="3">
        <f t="shared" si="51"/>
        <v>19008</v>
      </c>
      <c r="K1121" s="1">
        <v>19826</v>
      </c>
      <c r="L1121" s="3">
        <f t="shared" si="52"/>
        <v>19826</v>
      </c>
      <c r="M1121" t="s">
        <v>49</v>
      </c>
      <c r="N1121" t="s">
        <v>49</v>
      </c>
      <c r="O1121" t="s">
        <v>49</v>
      </c>
      <c r="P1121">
        <v>0</v>
      </c>
      <c r="Q1121" t="s">
        <v>50</v>
      </c>
      <c r="R1121" t="s">
        <v>51</v>
      </c>
      <c r="S1121">
        <v>1907</v>
      </c>
      <c r="T1121">
        <v>1991</v>
      </c>
      <c r="Z1121">
        <v>0</v>
      </c>
      <c r="AA1121">
        <v>1</v>
      </c>
      <c r="AB1121">
        <v>0</v>
      </c>
      <c r="AC1121">
        <v>0</v>
      </c>
      <c r="AF1121">
        <v>1952</v>
      </c>
      <c r="AG1121">
        <v>1954</v>
      </c>
      <c r="AN1121">
        <v>9</v>
      </c>
      <c r="AO1121" t="b">
        <v>1</v>
      </c>
      <c r="AP1121" t="s">
        <v>4202</v>
      </c>
      <c r="AQ1121">
        <v>1945</v>
      </c>
      <c r="AR1121">
        <v>1961</v>
      </c>
      <c r="AS1121" t="s">
        <v>4832</v>
      </c>
      <c r="AT1121">
        <v>2.2395619438740502</v>
      </c>
      <c r="AU1121">
        <f t="shared" si="53"/>
        <v>6.0000000000000001E-3</v>
      </c>
    </row>
    <row r="1122" spans="1:47" x14ac:dyDescent="0.3">
      <c r="A1122">
        <v>1120</v>
      </c>
      <c r="B1122" t="s">
        <v>4833</v>
      </c>
      <c r="C1122" t="s">
        <v>4800</v>
      </c>
      <c r="D1122">
        <v>211</v>
      </c>
      <c r="E1122" t="s">
        <v>4655</v>
      </c>
      <c r="F1122" t="str">
        <f>VLOOKUP(E1122,country_continent!A:C,2,FALSE)</f>
        <v>Belgium</v>
      </c>
      <c r="G1122" t="str">
        <f>VLOOKUP(E1122,country_continent!A:C,3,FALSE)</f>
        <v>Europe</v>
      </c>
      <c r="H1122" t="s">
        <v>4801</v>
      </c>
      <c r="I1122" s="1">
        <v>19836</v>
      </c>
      <c r="J1122" s="3">
        <f t="shared" si="51"/>
        <v>19836</v>
      </c>
      <c r="K1122" s="1">
        <v>21338</v>
      </c>
      <c r="L1122" s="3">
        <f t="shared" si="52"/>
        <v>21338</v>
      </c>
      <c r="M1122" t="s">
        <v>49</v>
      </c>
      <c r="N1122" t="s">
        <v>49</v>
      </c>
      <c r="O1122" t="s">
        <v>49</v>
      </c>
      <c r="P1122">
        <v>2</v>
      </c>
      <c r="Q1122" t="s">
        <v>50</v>
      </c>
      <c r="R1122" t="s">
        <v>51</v>
      </c>
      <c r="S1122">
        <v>1898</v>
      </c>
      <c r="T1122">
        <v>1975</v>
      </c>
      <c r="Z1122">
        <v>0</v>
      </c>
      <c r="AA1122">
        <v>1</v>
      </c>
      <c r="AB1122">
        <v>0</v>
      </c>
      <c r="AC1122">
        <v>0</v>
      </c>
      <c r="AF1122">
        <v>1954</v>
      </c>
      <c r="AG1122">
        <v>1958</v>
      </c>
      <c r="AN1122">
        <v>9</v>
      </c>
      <c r="AO1122" t="b">
        <v>1</v>
      </c>
      <c r="AP1122" t="s">
        <v>4202</v>
      </c>
      <c r="AQ1122">
        <v>1945</v>
      </c>
      <c r="AR1122">
        <v>1961</v>
      </c>
      <c r="AS1122" t="s">
        <v>4834</v>
      </c>
      <c r="AT1122">
        <v>4.1122518822724103</v>
      </c>
      <c r="AU1122">
        <f t="shared" si="53"/>
        <v>1.0999999999999999E-2</v>
      </c>
    </row>
    <row r="1123" spans="1:47" x14ac:dyDescent="0.3">
      <c r="A1123">
        <v>1121</v>
      </c>
      <c r="B1123" t="s">
        <v>4835</v>
      </c>
      <c r="C1123" t="s">
        <v>4815</v>
      </c>
      <c r="D1123">
        <v>211</v>
      </c>
      <c r="E1123" t="s">
        <v>4655</v>
      </c>
      <c r="F1123" t="str">
        <f>VLOOKUP(E1123,country_continent!A:C,2,FALSE)</f>
        <v>Belgium</v>
      </c>
      <c r="G1123" t="str">
        <f>VLOOKUP(E1123,country_continent!A:C,3,FALSE)</f>
        <v>Europe</v>
      </c>
      <c r="H1123" t="s">
        <v>4816</v>
      </c>
      <c r="I1123" s="1">
        <v>21361</v>
      </c>
      <c r="J1123" s="3">
        <f t="shared" si="51"/>
        <v>21361</v>
      </c>
      <c r="K1123" s="1">
        <v>22367</v>
      </c>
      <c r="L1123" s="3">
        <f t="shared" si="52"/>
        <v>22367</v>
      </c>
      <c r="M1123" t="s">
        <v>49</v>
      </c>
      <c r="N1123" t="s">
        <v>49</v>
      </c>
      <c r="O1123" t="s">
        <v>49</v>
      </c>
      <c r="P1123">
        <v>1</v>
      </c>
      <c r="Q1123" t="s">
        <v>50</v>
      </c>
      <c r="R1123" t="s">
        <v>51</v>
      </c>
      <c r="S1123">
        <v>1905</v>
      </c>
      <c r="T1123">
        <v>1988</v>
      </c>
      <c r="U1123" s="1">
        <v>1918</v>
      </c>
      <c r="V1123" s="2">
        <v>1918</v>
      </c>
      <c r="W1123" s="1">
        <v>32145</v>
      </c>
      <c r="X1123" s="2">
        <v>32145</v>
      </c>
      <c r="Z1123">
        <v>0</v>
      </c>
      <c r="AA1123">
        <v>1</v>
      </c>
      <c r="AB1123">
        <v>0</v>
      </c>
      <c r="AC1123">
        <v>0</v>
      </c>
      <c r="AD1123" t="s">
        <v>4817</v>
      </c>
      <c r="AE1123">
        <v>0</v>
      </c>
      <c r="AF1123">
        <v>1958</v>
      </c>
      <c r="AG1123">
        <v>1961</v>
      </c>
      <c r="AH1123">
        <v>4.6302571341074898</v>
      </c>
      <c r="AJ1123">
        <v>1.3154686942770699</v>
      </c>
      <c r="AK1123">
        <v>33.200000000000003</v>
      </c>
      <c r="AL1123">
        <v>0.33220594581809298</v>
      </c>
      <c r="AN1123">
        <v>9</v>
      </c>
      <c r="AO1123" t="b">
        <v>1</v>
      </c>
      <c r="AP1123" t="s">
        <v>4202</v>
      </c>
      <c r="AQ1123">
        <v>1945</v>
      </c>
      <c r="AR1123">
        <v>1961</v>
      </c>
      <c r="AS1123" t="s">
        <v>4836</v>
      </c>
      <c r="AT1123">
        <v>2.75427789185489</v>
      </c>
      <c r="AU1123">
        <f t="shared" si="53"/>
        <v>8.0000000000000002E-3</v>
      </c>
    </row>
    <row r="1124" spans="1:47" x14ac:dyDescent="0.3">
      <c r="A1124">
        <v>1122</v>
      </c>
      <c r="B1124" t="s">
        <v>4837</v>
      </c>
      <c r="C1124" t="s">
        <v>4838</v>
      </c>
      <c r="D1124">
        <v>211</v>
      </c>
      <c r="E1124" t="s">
        <v>4655</v>
      </c>
      <c r="F1124" t="str">
        <f>VLOOKUP(E1124,country_continent!A:C,2,FALSE)</f>
        <v>Belgium</v>
      </c>
      <c r="G1124" t="str">
        <f>VLOOKUP(E1124,country_continent!A:C,3,FALSE)</f>
        <v>Europe</v>
      </c>
      <c r="H1124" t="s">
        <v>4839</v>
      </c>
      <c r="I1124" s="1">
        <v>22396</v>
      </c>
      <c r="J1124" s="3">
        <f t="shared" si="51"/>
        <v>22396</v>
      </c>
      <c r="K1124" s="1">
        <v>23950</v>
      </c>
      <c r="L1124" s="3">
        <f t="shared" si="52"/>
        <v>23950</v>
      </c>
      <c r="M1124" t="s">
        <v>49</v>
      </c>
      <c r="N1124" t="s">
        <v>49</v>
      </c>
      <c r="O1124" t="s">
        <v>49</v>
      </c>
      <c r="P1124">
        <v>0</v>
      </c>
      <c r="Q1124" t="s">
        <v>50</v>
      </c>
      <c r="R1124" t="s">
        <v>51</v>
      </c>
      <c r="S1124">
        <v>1914</v>
      </c>
      <c r="T1124">
        <v>1973</v>
      </c>
      <c r="Z1124">
        <v>0</v>
      </c>
      <c r="AA1124">
        <v>1</v>
      </c>
      <c r="AB1124">
        <v>0</v>
      </c>
      <c r="AC1124">
        <v>0</v>
      </c>
      <c r="AF1124">
        <v>1961</v>
      </c>
      <c r="AG1124">
        <v>1965</v>
      </c>
      <c r="AH1124">
        <v>4.3144458419994702</v>
      </c>
      <c r="AI1124">
        <v>1645</v>
      </c>
      <c r="AJ1124">
        <v>3.1504193672963301</v>
      </c>
      <c r="AK1124">
        <v>30.1</v>
      </c>
      <c r="AL1124">
        <v>0.66649644014143905</v>
      </c>
      <c r="AN1124">
        <v>9</v>
      </c>
      <c r="AO1124" t="b">
        <v>1</v>
      </c>
      <c r="AP1124" t="s">
        <v>4202</v>
      </c>
      <c r="AQ1124">
        <v>1945</v>
      </c>
      <c r="AR1124">
        <v>1961</v>
      </c>
      <c r="AS1124" t="s">
        <v>4840</v>
      </c>
      <c r="AT1124">
        <v>4.2546201232032796</v>
      </c>
      <c r="AU1124">
        <f t="shared" si="53"/>
        <v>1.2E-2</v>
      </c>
    </row>
    <row r="1125" spans="1:47" x14ac:dyDescent="0.3">
      <c r="A1125">
        <v>1123</v>
      </c>
      <c r="B1125" t="s">
        <v>4841</v>
      </c>
      <c r="C1125" t="s">
        <v>4842</v>
      </c>
      <c r="D1125">
        <v>211</v>
      </c>
      <c r="E1125" t="s">
        <v>4655</v>
      </c>
      <c r="F1125" t="str">
        <f>VLOOKUP(E1125,country_continent!A:C,2,FALSE)</f>
        <v>Belgium</v>
      </c>
      <c r="G1125" t="str">
        <f>VLOOKUP(E1125,country_continent!A:C,3,FALSE)</f>
        <v>Europe</v>
      </c>
      <c r="H1125" t="s">
        <v>4843</v>
      </c>
      <c r="I1125" s="1">
        <v>23950</v>
      </c>
      <c r="J1125" s="3">
        <f t="shared" si="51"/>
        <v>23950</v>
      </c>
      <c r="K1125" s="1">
        <v>24149</v>
      </c>
      <c r="L1125" s="3">
        <f t="shared" si="52"/>
        <v>24149</v>
      </c>
      <c r="M1125" t="s">
        <v>49</v>
      </c>
      <c r="N1125" t="s">
        <v>49</v>
      </c>
      <c r="O1125" t="s">
        <v>49</v>
      </c>
      <c r="P1125">
        <v>0</v>
      </c>
      <c r="Q1125" t="s">
        <v>50</v>
      </c>
      <c r="R1125" t="s">
        <v>51</v>
      </c>
      <c r="S1125">
        <v>1911</v>
      </c>
      <c r="T1125">
        <v>2009</v>
      </c>
      <c r="Z1125">
        <v>0</v>
      </c>
      <c r="AA1125">
        <v>1</v>
      </c>
      <c r="AB1125">
        <v>0</v>
      </c>
      <c r="AC1125">
        <v>0</v>
      </c>
      <c r="AF1125">
        <v>1965</v>
      </c>
      <c r="AG1125">
        <v>1966</v>
      </c>
      <c r="AH1125">
        <v>2.5429535572792901</v>
      </c>
      <c r="AI1125">
        <v>1910</v>
      </c>
      <c r="AJ1125">
        <v>4.5933639350182203</v>
      </c>
      <c r="AK1125">
        <v>27.45</v>
      </c>
      <c r="AL1125">
        <v>0.79180028441096995</v>
      </c>
      <c r="AN1125">
        <v>9</v>
      </c>
      <c r="AO1125" t="b">
        <v>1</v>
      </c>
      <c r="AP1125" t="s">
        <v>4202</v>
      </c>
      <c r="AQ1125">
        <v>1945</v>
      </c>
      <c r="AR1125">
        <v>1961</v>
      </c>
      <c r="AS1125" t="s">
        <v>4844</v>
      </c>
      <c r="AT1125">
        <v>0.54483230663928806</v>
      </c>
      <c r="AU1125">
        <f t="shared" si="53"/>
        <v>1E-3</v>
      </c>
    </row>
    <row r="1126" spans="1:47" x14ac:dyDescent="0.3">
      <c r="A1126">
        <v>1124</v>
      </c>
      <c r="B1126" t="s">
        <v>4845</v>
      </c>
      <c r="C1126" t="s">
        <v>4846</v>
      </c>
      <c r="D1126">
        <v>211</v>
      </c>
      <c r="E1126" t="s">
        <v>4655</v>
      </c>
      <c r="F1126" t="str">
        <f>VLOOKUP(E1126,country_continent!A:C,2,FALSE)</f>
        <v>Belgium</v>
      </c>
      <c r="G1126" t="str">
        <f>VLOOKUP(E1126,country_continent!A:C,3,FALSE)</f>
        <v>Europe</v>
      </c>
      <c r="H1126" t="s">
        <v>4847</v>
      </c>
      <c r="I1126" s="1">
        <v>24185</v>
      </c>
      <c r="J1126" s="3">
        <f t="shared" si="51"/>
        <v>24185</v>
      </c>
      <c r="K1126" s="1">
        <v>25005</v>
      </c>
      <c r="L1126" s="3">
        <f t="shared" si="52"/>
        <v>25005</v>
      </c>
      <c r="M1126" t="s">
        <v>49</v>
      </c>
      <c r="N1126" t="s">
        <v>49</v>
      </c>
      <c r="O1126" t="s">
        <v>49</v>
      </c>
      <c r="P1126">
        <v>0</v>
      </c>
      <c r="Q1126" t="s">
        <v>50</v>
      </c>
      <c r="R1126" t="s">
        <v>51</v>
      </c>
      <c r="S1126">
        <v>1919</v>
      </c>
      <c r="T1126">
        <v>2001</v>
      </c>
      <c r="U1126" s="1">
        <v>7082</v>
      </c>
      <c r="V1126" s="2">
        <v>7082</v>
      </c>
      <c r="Z1126">
        <v>0</v>
      </c>
      <c r="AA1126">
        <v>1</v>
      </c>
      <c r="AB1126">
        <v>0</v>
      </c>
      <c r="AC1126">
        <v>0</v>
      </c>
      <c r="AF1126">
        <v>1966</v>
      </c>
      <c r="AG1126">
        <v>1968</v>
      </c>
      <c r="AH1126">
        <v>3.1793608531717701</v>
      </c>
      <c r="AI1126">
        <v>2140</v>
      </c>
      <c r="AJ1126">
        <v>3.2999117156008202</v>
      </c>
      <c r="AK1126">
        <v>26.233333333333299</v>
      </c>
      <c r="AL1126">
        <v>0.54183340991224804</v>
      </c>
      <c r="AN1126">
        <v>9</v>
      </c>
      <c r="AO1126" t="b">
        <v>1</v>
      </c>
      <c r="AP1126" t="s">
        <v>4202</v>
      </c>
      <c r="AQ1126">
        <v>1945</v>
      </c>
      <c r="AR1126">
        <v>1961</v>
      </c>
      <c r="AS1126" t="s">
        <v>4848</v>
      </c>
      <c r="AT1126">
        <v>2.2450376454483201</v>
      </c>
      <c r="AU1126">
        <f t="shared" si="53"/>
        <v>6.0000000000000001E-3</v>
      </c>
    </row>
    <row r="1127" spans="1:47" x14ac:dyDescent="0.3">
      <c r="A1127">
        <v>1125</v>
      </c>
      <c r="B1127" t="s">
        <v>4849</v>
      </c>
      <c r="C1127" t="s">
        <v>4815</v>
      </c>
      <c r="D1127">
        <v>211</v>
      </c>
      <c r="E1127" t="s">
        <v>4655</v>
      </c>
      <c r="F1127" t="str">
        <f>VLOOKUP(E1127,country_continent!A:C,2,FALSE)</f>
        <v>Belgium</v>
      </c>
      <c r="G1127" t="str">
        <f>VLOOKUP(E1127,country_continent!A:C,3,FALSE)</f>
        <v>Europe</v>
      </c>
      <c r="H1127" t="s">
        <v>4816</v>
      </c>
      <c r="I1127" s="1">
        <v>25006</v>
      </c>
      <c r="J1127" s="3">
        <f t="shared" si="51"/>
        <v>25006</v>
      </c>
      <c r="K1127" s="1">
        <v>26690</v>
      </c>
      <c r="L1127" s="3">
        <f t="shared" si="52"/>
        <v>26690</v>
      </c>
      <c r="M1127" t="s">
        <v>49</v>
      </c>
      <c r="N1127" t="s">
        <v>49</v>
      </c>
      <c r="O1127" t="s">
        <v>49</v>
      </c>
      <c r="P1127">
        <v>2</v>
      </c>
      <c r="Q1127" t="s">
        <v>50</v>
      </c>
      <c r="R1127" t="s">
        <v>51</v>
      </c>
      <c r="S1127">
        <v>1905</v>
      </c>
      <c r="T1127">
        <v>1988</v>
      </c>
      <c r="U1127" s="1">
        <v>1918</v>
      </c>
      <c r="V1127" s="2">
        <v>1918</v>
      </c>
      <c r="W1127" s="1">
        <v>32145</v>
      </c>
      <c r="X1127" s="2">
        <v>32145</v>
      </c>
      <c r="Z1127">
        <v>0</v>
      </c>
      <c r="AA1127">
        <v>1</v>
      </c>
      <c r="AB1127">
        <v>0</v>
      </c>
      <c r="AC1127">
        <v>0</v>
      </c>
      <c r="AD1127" t="s">
        <v>4817</v>
      </c>
      <c r="AE1127">
        <v>0</v>
      </c>
      <c r="AF1127">
        <v>1968</v>
      </c>
      <c r="AG1127">
        <v>1973</v>
      </c>
      <c r="AH1127">
        <v>5.1815398149528598</v>
      </c>
      <c r="AI1127">
        <v>3188.3333333333298</v>
      </c>
      <c r="AJ1127">
        <v>4.9455558214724098</v>
      </c>
      <c r="AK1127">
        <v>23.316666666666599</v>
      </c>
      <c r="AL1127">
        <v>0.27727770217741998</v>
      </c>
      <c r="AM1127">
        <v>0.13980690262116999</v>
      </c>
      <c r="AN1127">
        <v>9.67</v>
      </c>
      <c r="AO1127" t="b">
        <v>1</v>
      </c>
      <c r="AP1127" t="s">
        <v>4202</v>
      </c>
      <c r="AQ1127">
        <v>1945</v>
      </c>
      <c r="AR1127">
        <v>1961</v>
      </c>
      <c r="AS1127" t="s">
        <v>4850</v>
      </c>
      <c r="AT1127">
        <v>4.6105407255304502</v>
      </c>
      <c r="AU1127">
        <f t="shared" si="53"/>
        <v>1.2999999999999999E-2</v>
      </c>
    </row>
    <row r="1128" spans="1:47" x14ac:dyDescent="0.3">
      <c r="A1128">
        <v>1126</v>
      </c>
      <c r="B1128" t="s">
        <v>4851</v>
      </c>
      <c r="C1128" t="s">
        <v>4852</v>
      </c>
      <c r="D1128">
        <v>211</v>
      </c>
      <c r="E1128" t="s">
        <v>4655</v>
      </c>
      <c r="F1128" t="str">
        <f>VLOOKUP(E1128,country_continent!A:C,2,FALSE)</f>
        <v>Belgium</v>
      </c>
      <c r="G1128" t="str">
        <f>VLOOKUP(E1128,country_continent!A:C,3,FALSE)</f>
        <v>Europe</v>
      </c>
      <c r="H1128" t="s">
        <v>4853</v>
      </c>
      <c r="I1128" s="1">
        <v>26690</v>
      </c>
      <c r="J1128" s="3">
        <f t="shared" si="51"/>
        <v>26690</v>
      </c>
      <c r="K1128" s="1">
        <v>27143</v>
      </c>
      <c r="L1128" s="3">
        <f t="shared" si="52"/>
        <v>27143</v>
      </c>
      <c r="M1128" t="s">
        <v>49</v>
      </c>
      <c r="N1128" t="s">
        <v>49</v>
      </c>
      <c r="O1128" t="s">
        <v>49</v>
      </c>
      <c r="P1128">
        <v>0</v>
      </c>
      <c r="Q1128" t="s">
        <v>50</v>
      </c>
      <c r="R1128" t="s">
        <v>51</v>
      </c>
      <c r="S1128">
        <v>1915</v>
      </c>
      <c r="T1128">
        <v>1997</v>
      </c>
      <c r="Z1128">
        <v>0</v>
      </c>
      <c r="AA1128">
        <v>1</v>
      </c>
      <c r="AB1128">
        <v>0</v>
      </c>
      <c r="AC1128">
        <v>0</v>
      </c>
      <c r="AF1128">
        <v>1973</v>
      </c>
      <c r="AG1128">
        <v>1974</v>
      </c>
      <c r="AH1128">
        <v>5.14213328568413</v>
      </c>
      <c r="AI1128">
        <v>5345</v>
      </c>
      <c r="AJ1128">
        <v>9.4876631380546694</v>
      </c>
      <c r="AK1128">
        <v>20.25</v>
      </c>
      <c r="AL1128">
        <v>0.31464621514580099</v>
      </c>
      <c r="AM1128">
        <v>0.12815921400234201</v>
      </c>
      <c r="AN1128">
        <v>10</v>
      </c>
      <c r="AO1128" t="b">
        <v>1</v>
      </c>
      <c r="AP1128" t="s">
        <v>4202</v>
      </c>
      <c r="AQ1128">
        <v>1945</v>
      </c>
      <c r="AR1128">
        <v>1961</v>
      </c>
      <c r="AS1128" t="s">
        <v>4854</v>
      </c>
      <c r="AT1128">
        <v>1.2402464065708401</v>
      </c>
      <c r="AU1128">
        <f t="shared" si="53"/>
        <v>3.0000000000000001E-3</v>
      </c>
    </row>
    <row r="1129" spans="1:47" x14ac:dyDescent="0.3">
      <c r="A1129">
        <v>1127</v>
      </c>
      <c r="B1129" t="s">
        <v>4855</v>
      </c>
      <c r="C1129" t="s">
        <v>4856</v>
      </c>
      <c r="D1129">
        <v>211</v>
      </c>
      <c r="E1129" t="s">
        <v>4655</v>
      </c>
      <c r="F1129" t="str">
        <f>VLOOKUP(E1129,country_continent!A:C,2,FALSE)</f>
        <v>Belgium</v>
      </c>
      <c r="G1129" t="str">
        <f>VLOOKUP(E1129,country_continent!A:C,3,FALSE)</f>
        <v>Europe</v>
      </c>
      <c r="H1129" t="s">
        <v>4857</v>
      </c>
      <c r="I1129" s="1">
        <v>27144</v>
      </c>
      <c r="J1129" s="3">
        <f t="shared" si="51"/>
        <v>27144</v>
      </c>
      <c r="K1129" s="1">
        <v>28783</v>
      </c>
      <c r="L1129" s="3">
        <f t="shared" si="52"/>
        <v>28783</v>
      </c>
      <c r="M1129" t="s">
        <v>49</v>
      </c>
      <c r="N1129" t="s">
        <v>49</v>
      </c>
      <c r="O1129" t="s">
        <v>49</v>
      </c>
      <c r="P1129">
        <v>0</v>
      </c>
      <c r="Q1129" t="s">
        <v>50</v>
      </c>
      <c r="R1129" t="s">
        <v>51</v>
      </c>
      <c r="S1129">
        <v>1922</v>
      </c>
      <c r="T1129">
        <v>-777</v>
      </c>
      <c r="Z1129">
        <v>0</v>
      </c>
      <c r="AA1129">
        <v>1</v>
      </c>
      <c r="AB1129">
        <v>0</v>
      </c>
      <c r="AC1129">
        <v>0</v>
      </c>
      <c r="AF1129">
        <v>1974</v>
      </c>
      <c r="AG1129">
        <v>1978</v>
      </c>
      <c r="AH1129">
        <v>2.14001135355034</v>
      </c>
      <c r="AI1129">
        <v>7654</v>
      </c>
      <c r="AJ1129">
        <v>8.9069272233913992</v>
      </c>
      <c r="AK1129">
        <v>17.7</v>
      </c>
      <c r="AL1129">
        <v>0.199813175587608</v>
      </c>
      <c r="AM1129">
        <v>0.20678194381965001</v>
      </c>
      <c r="AN1129">
        <v>10</v>
      </c>
      <c r="AO1129" t="b">
        <v>1</v>
      </c>
      <c r="AP1129" t="s">
        <v>4202</v>
      </c>
      <c r="AQ1129">
        <v>1945</v>
      </c>
      <c r="AR1129">
        <v>1961</v>
      </c>
      <c r="AS1129" t="s">
        <v>4858</v>
      </c>
      <c r="AT1129">
        <v>4.4873374401095099</v>
      </c>
      <c r="AU1129">
        <f t="shared" si="53"/>
        <v>1.2E-2</v>
      </c>
    </row>
    <row r="1130" spans="1:47" x14ac:dyDescent="0.3">
      <c r="A1130">
        <v>1128</v>
      </c>
      <c r="B1130" t="s">
        <v>4859</v>
      </c>
      <c r="C1130" t="s">
        <v>4846</v>
      </c>
      <c r="D1130">
        <v>211</v>
      </c>
      <c r="E1130" t="s">
        <v>4655</v>
      </c>
      <c r="F1130" t="str">
        <f>VLOOKUP(E1130,country_continent!A:C,2,FALSE)</f>
        <v>Belgium</v>
      </c>
      <c r="G1130" t="str">
        <f>VLOOKUP(E1130,country_continent!A:C,3,FALSE)</f>
        <v>Europe</v>
      </c>
      <c r="H1130" t="s">
        <v>4847</v>
      </c>
      <c r="I1130" s="1">
        <v>28783</v>
      </c>
      <c r="J1130" s="3">
        <f t="shared" si="51"/>
        <v>28783</v>
      </c>
      <c r="K1130" s="1">
        <v>28948</v>
      </c>
      <c r="L1130" s="3">
        <f t="shared" si="52"/>
        <v>28948</v>
      </c>
      <c r="M1130" t="s">
        <v>49</v>
      </c>
      <c r="N1130" t="s">
        <v>49</v>
      </c>
      <c r="O1130" t="s">
        <v>49</v>
      </c>
      <c r="P1130">
        <v>1</v>
      </c>
      <c r="Q1130" t="s">
        <v>50</v>
      </c>
      <c r="R1130" t="s">
        <v>51</v>
      </c>
      <c r="S1130">
        <v>1919</v>
      </c>
      <c r="T1130">
        <v>2001</v>
      </c>
      <c r="U1130" s="1">
        <v>7082</v>
      </c>
      <c r="V1130" s="2">
        <v>7082</v>
      </c>
      <c r="Z1130">
        <v>0</v>
      </c>
      <c r="AA1130">
        <v>1</v>
      </c>
      <c r="AB1130">
        <v>0</v>
      </c>
      <c r="AC1130">
        <v>0</v>
      </c>
      <c r="AF1130">
        <v>1978</v>
      </c>
      <c r="AG1130">
        <v>1979</v>
      </c>
      <c r="AH1130">
        <v>2.4975588607970698</v>
      </c>
      <c r="AI1130">
        <v>10645</v>
      </c>
      <c r="AJ1130">
        <v>4.4642456445443299</v>
      </c>
      <c r="AK1130">
        <v>15.55</v>
      </c>
      <c r="AL1130">
        <v>9.1591255538129399E-2</v>
      </c>
      <c r="AM1130">
        <v>0.14963810213006601</v>
      </c>
      <c r="AN1130">
        <v>10</v>
      </c>
      <c r="AO1130" t="b">
        <v>1</v>
      </c>
      <c r="AP1130" t="s">
        <v>4202</v>
      </c>
      <c r="AQ1130">
        <v>1945</v>
      </c>
      <c r="AR1130">
        <v>1961</v>
      </c>
      <c r="AS1130" t="s">
        <v>4860</v>
      </c>
      <c r="AT1130">
        <v>0.45174537987679603</v>
      </c>
      <c r="AU1130">
        <f t="shared" si="53"/>
        <v>1E-3</v>
      </c>
    </row>
    <row r="1131" spans="1:47" x14ac:dyDescent="0.3">
      <c r="A1131">
        <v>1129</v>
      </c>
      <c r="B1131" t="s">
        <v>4861</v>
      </c>
      <c r="C1131" t="s">
        <v>4862</v>
      </c>
      <c r="D1131">
        <v>211</v>
      </c>
      <c r="E1131" t="s">
        <v>4655</v>
      </c>
      <c r="F1131" t="str">
        <f>VLOOKUP(E1131,country_continent!A:C,2,FALSE)</f>
        <v>Belgium</v>
      </c>
      <c r="G1131" t="str">
        <f>VLOOKUP(E1131,country_continent!A:C,3,FALSE)</f>
        <v>Europe</v>
      </c>
      <c r="H1131" t="s">
        <v>4863</v>
      </c>
      <c r="I1131" s="1">
        <v>28948</v>
      </c>
      <c r="J1131" s="3">
        <f t="shared" si="51"/>
        <v>28948</v>
      </c>
      <c r="K1131" s="1">
        <v>29682</v>
      </c>
      <c r="L1131" s="3">
        <f t="shared" si="52"/>
        <v>29682</v>
      </c>
      <c r="M1131" t="s">
        <v>49</v>
      </c>
      <c r="N1131" t="s">
        <v>49</v>
      </c>
      <c r="O1131" t="s">
        <v>49</v>
      </c>
      <c r="P1131">
        <v>0</v>
      </c>
      <c r="Q1131" t="s">
        <v>50</v>
      </c>
      <c r="R1131" t="s">
        <v>51</v>
      </c>
      <c r="S1131">
        <v>1936</v>
      </c>
      <c r="T1131">
        <v>-777</v>
      </c>
      <c r="U1131" s="1">
        <v>13259</v>
      </c>
      <c r="V1131" s="2">
        <v>13259</v>
      </c>
      <c r="Y1131" t="s">
        <v>4864</v>
      </c>
      <c r="Z1131">
        <v>0</v>
      </c>
      <c r="AA1131">
        <v>1</v>
      </c>
      <c r="AB1131">
        <v>0</v>
      </c>
      <c r="AC1131">
        <v>0</v>
      </c>
      <c r="AF1131">
        <v>1979</v>
      </c>
      <c r="AG1131">
        <v>1981</v>
      </c>
      <c r="AH1131">
        <v>2.10049404505593</v>
      </c>
      <c r="AI1131">
        <v>12966.666666666601</v>
      </c>
      <c r="AJ1131">
        <v>4.5903450733167004</v>
      </c>
      <c r="AK1131">
        <v>14.533333333333299</v>
      </c>
      <c r="AL1131">
        <v>6.5818854302969507E-2</v>
      </c>
      <c r="AM1131">
        <v>0.15876191641983201</v>
      </c>
      <c r="AN1131">
        <v>10</v>
      </c>
      <c r="AO1131" t="b">
        <v>1</v>
      </c>
      <c r="AP1131" t="s">
        <v>4202</v>
      </c>
      <c r="AQ1131">
        <v>1945</v>
      </c>
      <c r="AR1131">
        <v>1961</v>
      </c>
      <c r="AS1131" t="s">
        <v>4865</v>
      </c>
      <c r="AT1131">
        <v>2.00958247775496</v>
      </c>
      <c r="AU1131">
        <f t="shared" si="53"/>
        <v>6.0000000000000001E-3</v>
      </c>
    </row>
    <row r="1132" spans="1:47" x14ac:dyDescent="0.3">
      <c r="A1132">
        <v>1130</v>
      </c>
      <c r="B1132" t="s">
        <v>4866</v>
      </c>
      <c r="C1132" t="s">
        <v>4867</v>
      </c>
      <c r="D1132">
        <v>211</v>
      </c>
      <c r="E1132" t="s">
        <v>4655</v>
      </c>
      <c r="F1132" t="str">
        <f>VLOOKUP(E1132,country_continent!A:C,2,FALSE)</f>
        <v>Belgium</v>
      </c>
      <c r="G1132" t="str">
        <f>VLOOKUP(E1132,country_continent!A:C,3,FALSE)</f>
        <v>Europe</v>
      </c>
      <c r="H1132" t="s">
        <v>4868</v>
      </c>
      <c r="I1132" s="1">
        <v>29682</v>
      </c>
      <c r="J1132" s="3">
        <f t="shared" si="51"/>
        <v>29682</v>
      </c>
      <c r="K1132" s="1">
        <v>29937</v>
      </c>
      <c r="L1132" s="3">
        <f t="shared" si="52"/>
        <v>29937</v>
      </c>
      <c r="M1132" t="s">
        <v>49</v>
      </c>
      <c r="N1132" t="s">
        <v>49</v>
      </c>
      <c r="O1132" t="s">
        <v>49</v>
      </c>
      <c r="P1132">
        <v>0</v>
      </c>
      <c r="Q1132" t="s">
        <v>50</v>
      </c>
      <c r="R1132" t="s">
        <v>51</v>
      </c>
      <c r="S1132">
        <v>1933</v>
      </c>
      <c r="T1132">
        <v>-777</v>
      </c>
      <c r="Y1132" t="s">
        <v>4869</v>
      </c>
      <c r="Z1132">
        <v>0</v>
      </c>
      <c r="AA1132">
        <v>1</v>
      </c>
      <c r="AB1132">
        <v>0</v>
      </c>
      <c r="AC1132">
        <v>0</v>
      </c>
      <c r="AD1132" t="s">
        <v>4870</v>
      </c>
      <c r="AE1132">
        <v>1</v>
      </c>
      <c r="AF1132">
        <v>1981</v>
      </c>
      <c r="AG1132">
        <v>1981</v>
      </c>
      <c r="AH1132">
        <v>-0.276653761516925</v>
      </c>
      <c r="AI1132">
        <v>13190</v>
      </c>
      <c r="AJ1132">
        <v>5.1391969839844904</v>
      </c>
      <c r="AK1132">
        <v>13.9</v>
      </c>
      <c r="AL1132">
        <v>-2.6371543402261E-3</v>
      </c>
      <c r="AM1132">
        <v>0.20220167007262099</v>
      </c>
      <c r="AN1132">
        <v>10</v>
      </c>
      <c r="AO1132" t="b">
        <v>1</v>
      </c>
      <c r="AP1132" t="s">
        <v>4202</v>
      </c>
      <c r="AQ1132">
        <v>1945</v>
      </c>
      <c r="AR1132">
        <v>1961</v>
      </c>
      <c r="AS1132" t="s">
        <v>4871</v>
      </c>
      <c r="AT1132">
        <v>0.69815195071868497</v>
      </c>
      <c r="AU1132">
        <f t="shared" si="53"/>
        <v>2E-3</v>
      </c>
    </row>
    <row r="1133" spans="1:47" x14ac:dyDescent="0.3">
      <c r="A1133">
        <v>1131</v>
      </c>
      <c r="B1133" t="s">
        <v>4872</v>
      </c>
      <c r="C1133" t="s">
        <v>4862</v>
      </c>
      <c r="D1133">
        <v>211</v>
      </c>
      <c r="E1133" t="s">
        <v>4655</v>
      </c>
      <c r="F1133" t="str">
        <f>VLOOKUP(E1133,country_continent!A:C,2,FALSE)</f>
        <v>Belgium</v>
      </c>
      <c r="G1133" t="str">
        <f>VLOOKUP(E1133,country_continent!A:C,3,FALSE)</f>
        <v>Europe</v>
      </c>
      <c r="H1133" t="s">
        <v>4863</v>
      </c>
      <c r="I1133" s="1">
        <v>29937</v>
      </c>
      <c r="J1133" s="3">
        <f t="shared" si="51"/>
        <v>29937</v>
      </c>
      <c r="K1133" s="1">
        <v>33670</v>
      </c>
      <c r="L1133" s="3">
        <f t="shared" si="52"/>
        <v>33670</v>
      </c>
      <c r="M1133" t="s">
        <v>49</v>
      </c>
      <c r="N1133" t="s">
        <v>49</v>
      </c>
      <c r="O1133" t="s">
        <v>49</v>
      </c>
      <c r="P1133">
        <v>1</v>
      </c>
      <c r="Q1133" t="s">
        <v>50</v>
      </c>
      <c r="R1133" t="s">
        <v>51</v>
      </c>
      <c r="S1133">
        <v>1936</v>
      </c>
      <c r="T1133">
        <v>-777</v>
      </c>
      <c r="U1133" s="1">
        <v>13259</v>
      </c>
      <c r="V1133" s="2">
        <v>13259</v>
      </c>
      <c r="Y1133" t="s">
        <v>4864</v>
      </c>
      <c r="Z1133">
        <v>0</v>
      </c>
      <c r="AA1133">
        <v>1</v>
      </c>
      <c r="AB1133">
        <v>0</v>
      </c>
      <c r="AC1133">
        <v>0</v>
      </c>
      <c r="AF1133">
        <v>1981</v>
      </c>
      <c r="AG1133">
        <v>1992</v>
      </c>
      <c r="AH1133">
        <v>1.8042396342456499</v>
      </c>
      <c r="AI1133">
        <v>14403.333333333299</v>
      </c>
      <c r="AJ1133">
        <v>4.0791512476519003</v>
      </c>
      <c r="AK1133">
        <v>11.341666666666599</v>
      </c>
      <c r="AL1133">
        <v>0.155678649750395</v>
      </c>
      <c r="AM1133">
        <v>0.10928888331110501</v>
      </c>
      <c r="AN1133">
        <v>10</v>
      </c>
      <c r="AO1133" t="b">
        <v>1</v>
      </c>
      <c r="AP1133" t="s">
        <v>4202</v>
      </c>
      <c r="AQ1133">
        <v>1945</v>
      </c>
      <c r="AR1133">
        <v>1961</v>
      </c>
      <c r="AS1133" t="s">
        <v>4873</v>
      </c>
      <c r="AT1133">
        <v>10.220396988364101</v>
      </c>
      <c r="AU1133">
        <f t="shared" si="53"/>
        <v>2.8000000000000001E-2</v>
      </c>
    </row>
    <row r="1134" spans="1:47" x14ac:dyDescent="0.3">
      <c r="A1134">
        <v>1132</v>
      </c>
      <c r="B1134" t="s">
        <v>4874</v>
      </c>
      <c r="C1134" t="s">
        <v>4875</v>
      </c>
      <c r="D1134">
        <v>211</v>
      </c>
      <c r="E1134" t="s">
        <v>4655</v>
      </c>
      <c r="F1134" t="str">
        <f>VLOOKUP(E1134,country_continent!A:C,2,FALSE)</f>
        <v>Belgium</v>
      </c>
      <c r="G1134" t="str">
        <f>VLOOKUP(E1134,country_continent!A:C,3,FALSE)</f>
        <v>Europe</v>
      </c>
      <c r="H1134" t="s">
        <v>4876</v>
      </c>
      <c r="I1134" s="1">
        <v>33670</v>
      </c>
      <c r="J1134" s="3">
        <f t="shared" si="51"/>
        <v>33670</v>
      </c>
      <c r="K1134" s="1">
        <v>36353</v>
      </c>
      <c r="L1134" s="3">
        <f t="shared" si="52"/>
        <v>36353</v>
      </c>
      <c r="M1134" t="s">
        <v>49</v>
      </c>
      <c r="N1134" t="s">
        <v>49</v>
      </c>
      <c r="O1134" t="s">
        <v>49</v>
      </c>
      <c r="P1134">
        <v>0</v>
      </c>
      <c r="Q1134" t="s">
        <v>50</v>
      </c>
      <c r="R1134" t="s">
        <v>51</v>
      </c>
      <c r="S1134">
        <v>1940</v>
      </c>
      <c r="T1134">
        <v>-777</v>
      </c>
      <c r="U1134" s="1">
        <v>14830</v>
      </c>
      <c r="V1134" s="2">
        <v>14830</v>
      </c>
      <c r="Y1134" t="s">
        <v>4877</v>
      </c>
      <c r="Z1134">
        <v>0</v>
      </c>
      <c r="AA1134">
        <v>1</v>
      </c>
      <c r="AB1134">
        <v>0</v>
      </c>
      <c r="AC1134">
        <v>0</v>
      </c>
      <c r="AF1134">
        <v>1992</v>
      </c>
      <c r="AG1134">
        <v>1999</v>
      </c>
      <c r="AH1134">
        <v>1.8209896913446499</v>
      </c>
      <c r="AI1134">
        <v>26031.25</v>
      </c>
      <c r="AJ1134">
        <v>1.79645274925612</v>
      </c>
      <c r="AK1134">
        <v>7.5250000000000004</v>
      </c>
      <c r="AL1134">
        <v>0.27426096753903201</v>
      </c>
      <c r="AM1134">
        <v>2.2815099645979699E-2</v>
      </c>
      <c r="AN1134">
        <v>10</v>
      </c>
      <c r="AO1134" t="b">
        <v>1</v>
      </c>
      <c r="AP1134" t="s">
        <v>4202</v>
      </c>
      <c r="AQ1134">
        <v>1945</v>
      </c>
      <c r="AR1134">
        <v>1961</v>
      </c>
      <c r="AS1134" t="s">
        <v>4878</v>
      </c>
      <c r="AT1134">
        <v>7.3456536618754198</v>
      </c>
      <c r="AU1134">
        <f t="shared" si="53"/>
        <v>0.02</v>
      </c>
    </row>
    <row r="1135" spans="1:47" x14ac:dyDescent="0.3">
      <c r="A1135">
        <v>1133</v>
      </c>
      <c r="B1135" t="s">
        <v>4879</v>
      </c>
      <c r="C1135" t="s">
        <v>4880</v>
      </c>
      <c r="D1135">
        <v>211</v>
      </c>
      <c r="E1135" t="s">
        <v>4655</v>
      </c>
      <c r="F1135" t="str">
        <f>VLOOKUP(E1135,country_continent!A:C,2,FALSE)</f>
        <v>Belgium</v>
      </c>
      <c r="G1135" t="str">
        <f>VLOOKUP(E1135,country_continent!A:C,3,FALSE)</f>
        <v>Europe</v>
      </c>
      <c r="H1135" t="s">
        <v>4881</v>
      </c>
      <c r="I1135" s="1">
        <v>36353</v>
      </c>
      <c r="J1135" s="3">
        <f t="shared" si="51"/>
        <v>36353</v>
      </c>
      <c r="K1135" s="1">
        <v>39527</v>
      </c>
      <c r="L1135" s="3">
        <f t="shared" si="52"/>
        <v>39527</v>
      </c>
      <c r="M1135" t="s">
        <v>49</v>
      </c>
      <c r="N1135" t="s">
        <v>49</v>
      </c>
      <c r="O1135" t="s">
        <v>49</v>
      </c>
      <c r="P1135">
        <v>0</v>
      </c>
      <c r="Q1135" t="s">
        <v>50</v>
      </c>
      <c r="R1135" t="s">
        <v>51</v>
      </c>
      <c r="S1135">
        <v>1953</v>
      </c>
      <c r="T1135">
        <v>-777</v>
      </c>
      <c r="Z1135">
        <v>0</v>
      </c>
      <c r="AA1135">
        <v>1</v>
      </c>
      <c r="AB1135">
        <v>0</v>
      </c>
      <c r="AC1135">
        <v>0</v>
      </c>
      <c r="AF1135">
        <v>1999</v>
      </c>
      <c r="AG1135">
        <v>2008</v>
      </c>
      <c r="AH1135">
        <v>1.87289411566626</v>
      </c>
      <c r="AI1135">
        <v>32743</v>
      </c>
      <c r="AJ1135">
        <v>1.8189772963124999</v>
      </c>
      <c r="AK1135">
        <v>5.31</v>
      </c>
      <c r="AL1135">
        <v>0.48492784672102801</v>
      </c>
      <c r="AM1135">
        <v>2.0207877458609299E-2</v>
      </c>
      <c r="AN1135">
        <v>9.6</v>
      </c>
      <c r="AO1135" t="b">
        <v>1</v>
      </c>
      <c r="AP1135" t="s">
        <v>4202</v>
      </c>
      <c r="AQ1135">
        <v>1945</v>
      </c>
      <c r="AR1135">
        <v>1961</v>
      </c>
      <c r="AS1135" t="s">
        <v>4882</v>
      </c>
      <c r="AT1135">
        <v>8.68993839835729</v>
      </c>
      <c r="AU1135">
        <f t="shared" si="53"/>
        <v>2.4E-2</v>
      </c>
    </row>
    <row r="1136" spans="1:47" x14ac:dyDescent="0.3">
      <c r="A1136">
        <v>1134</v>
      </c>
      <c r="B1136" t="s">
        <v>4883</v>
      </c>
      <c r="C1136" t="s">
        <v>4884</v>
      </c>
      <c r="D1136">
        <v>211</v>
      </c>
      <c r="E1136" t="s">
        <v>4655</v>
      </c>
      <c r="F1136" t="str">
        <f>VLOOKUP(E1136,country_continent!A:C,2,FALSE)</f>
        <v>Belgium</v>
      </c>
      <c r="G1136" t="str">
        <f>VLOOKUP(E1136,country_continent!A:C,3,FALSE)</f>
        <v>Europe</v>
      </c>
      <c r="H1136" t="s">
        <v>4885</v>
      </c>
      <c r="I1136" s="1">
        <v>39527</v>
      </c>
      <c r="J1136" s="3">
        <f t="shared" si="51"/>
        <v>39527</v>
      </c>
      <c r="K1136" s="1">
        <v>39812</v>
      </c>
      <c r="L1136" s="3">
        <f t="shared" si="52"/>
        <v>39812</v>
      </c>
      <c r="M1136" t="s">
        <v>49</v>
      </c>
      <c r="N1136" t="s">
        <v>49</v>
      </c>
      <c r="O1136" t="s">
        <v>49</v>
      </c>
      <c r="P1136">
        <v>0</v>
      </c>
      <c r="Q1136" t="s">
        <v>50</v>
      </c>
      <c r="R1136" t="s">
        <v>51</v>
      </c>
      <c r="S1136">
        <v>1960</v>
      </c>
      <c r="T1136">
        <v>-777</v>
      </c>
      <c r="Z1136">
        <v>0</v>
      </c>
      <c r="AA1136">
        <v>1</v>
      </c>
      <c r="AB1136">
        <v>0</v>
      </c>
      <c r="AC1136">
        <v>0</v>
      </c>
      <c r="AF1136">
        <v>2008</v>
      </c>
      <c r="AG1136">
        <v>2008</v>
      </c>
      <c r="AH1136">
        <v>-0.34347613690825002</v>
      </c>
      <c r="AI1136">
        <v>46570</v>
      </c>
      <c r="AJ1136">
        <v>1.90886937353629</v>
      </c>
      <c r="AK1136">
        <v>4.7</v>
      </c>
      <c r="AL1136">
        <v>0.78997684548014901</v>
      </c>
      <c r="AM1136">
        <v>1.8362627205681901E-2</v>
      </c>
      <c r="AN1136">
        <v>8</v>
      </c>
      <c r="AO1136" t="b">
        <v>1</v>
      </c>
      <c r="AP1136" t="s">
        <v>4202</v>
      </c>
      <c r="AQ1136">
        <v>1945</v>
      </c>
      <c r="AR1136">
        <v>1961</v>
      </c>
      <c r="AS1136" t="s">
        <v>4886</v>
      </c>
      <c r="AT1136">
        <v>0.780287474332648</v>
      </c>
      <c r="AU1136">
        <f t="shared" si="53"/>
        <v>2E-3</v>
      </c>
    </row>
    <row r="1137" spans="1:47" x14ac:dyDescent="0.3">
      <c r="A1137">
        <v>1135</v>
      </c>
      <c r="B1137" t="s">
        <v>4887</v>
      </c>
      <c r="C1137" t="s">
        <v>4888</v>
      </c>
      <c r="D1137">
        <v>211</v>
      </c>
      <c r="E1137" t="s">
        <v>4655</v>
      </c>
      <c r="F1137" t="str">
        <f>VLOOKUP(E1137,country_continent!A:C,2,FALSE)</f>
        <v>Belgium</v>
      </c>
      <c r="G1137" t="str">
        <f>VLOOKUP(E1137,country_continent!A:C,3,FALSE)</f>
        <v>Europe</v>
      </c>
      <c r="H1137" t="s">
        <v>4889</v>
      </c>
      <c r="I1137" s="1">
        <v>39812</v>
      </c>
      <c r="J1137" s="3">
        <f t="shared" si="51"/>
        <v>39812</v>
      </c>
      <c r="K1137" s="1">
        <v>40142</v>
      </c>
      <c r="L1137" s="3">
        <f t="shared" si="52"/>
        <v>40142</v>
      </c>
      <c r="M1137" t="s">
        <v>49</v>
      </c>
      <c r="N1137" t="s">
        <v>49</v>
      </c>
      <c r="O1137" t="s">
        <v>49</v>
      </c>
      <c r="P1137">
        <v>0</v>
      </c>
      <c r="Q1137" t="s">
        <v>50</v>
      </c>
      <c r="R1137" t="s">
        <v>51</v>
      </c>
      <c r="S1137">
        <v>1947</v>
      </c>
      <c r="T1137">
        <v>-777</v>
      </c>
      <c r="Z1137">
        <v>0</v>
      </c>
      <c r="AA1137">
        <v>1</v>
      </c>
      <c r="AB1137">
        <v>0</v>
      </c>
      <c r="AC1137">
        <v>0</v>
      </c>
      <c r="AF1137">
        <v>2008</v>
      </c>
      <c r="AG1137">
        <v>2009</v>
      </c>
      <c r="AH1137">
        <v>-1.5180054270669601</v>
      </c>
      <c r="AI1137">
        <v>46845</v>
      </c>
      <c r="AJ1137">
        <v>1.3453452739096701</v>
      </c>
      <c r="AK1137">
        <v>4.6500000000000004</v>
      </c>
      <c r="AL1137">
        <v>0.79728820905000497</v>
      </c>
      <c r="AM1137">
        <v>1.7839727107003801E-2</v>
      </c>
      <c r="AN1137">
        <v>8</v>
      </c>
      <c r="AO1137" t="b">
        <v>1</v>
      </c>
      <c r="AP1137" t="s">
        <v>4202</v>
      </c>
      <c r="AQ1137">
        <v>1945</v>
      </c>
      <c r="AR1137">
        <v>1961</v>
      </c>
      <c r="AS1137" t="s">
        <v>4890</v>
      </c>
      <c r="AT1137">
        <v>0.90349075975359305</v>
      </c>
      <c r="AU1137">
        <f t="shared" si="53"/>
        <v>2E-3</v>
      </c>
    </row>
    <row r="1138" spans="1:47" x14ac:dyDescent="0.3">
      <c r="A1138">
        <v>1136</v>
      </c>
      <c r="B1138" t="s">
        <v>4891</v>
      </c>
      <c r="C1138" t="s">
        <v>4884</v>
      </c>
      <c r="D1138">
        <v>211</v>
      </c>
      <c r="E1138" t="s">
        <v>4655</v>
      </c>
      <c r="F1138" t="str">
        <f>VLOOKUP(E1138,country_continent!A:C,2,FALSE)</f>
        <v>Belgium</v>
      </c>
      <c r="G1138" t="str">
        <f>VLOOKUP(E1138,country_continent!A:C,3,FALSE)</f>
        <v>Europe</v>
      </c>
      <c r="H1138" t="s">
        <v>4885</v>
      </c>
      <c r="I1138" s="1">
        <v>40142</v>
      </c>
      <c r="J1138" s="3">
        <f t="shared" si="51"/>
        <v>40142</v>
      </c>
      <c r="K1138" s="1">
        <v>40883</v>
      </c>
      <c r="L1138" s="3">
        <f t="shared" si="52"/>
        <v>40883</v>
      </c>
      <c r="M1138" t="s">
        <v>49</v>
      </c>
      <c r="N1138" t="s">
        <v>49</v>
      </c>
      <c r="O1138" t="s">
        <v>49</v>
      </c>
      <c r="P1138">
        <v>1</v>
      </c>
      <c r="Q1138" t="s">
        <v>50</v>
      </c>
      <c r="R1138" t="s">
        <v>51</v>
      </c>
      <c r="S1138">
        <v>1960</v>
      </c>
      <c r="T1138">
        <v>-777</v>
      </c>
      <c r="Z1138">
        <v>0</v>
      </c>
      <c r="AA1138">
        <v>1</v>
      </c>
      <c r="AB1138">
        <v>0</v>
      </c>
      <c r="AC1138">
        <v>0</v>
      </c>
      <c r="AF1138">
        <v>2009</v>
      </c>
      <c r="AG1138">
        <v>2011</v>
      </c>
      <c r="AH1138">
        <v>-0.100911457659056</v>
      </c>
      <c r="AI1138">
        <v>46983.333333333299</v>
      </c>
      <c r="AJ1138">
        <v>1.5924824475904999</v>
      </c>
      <c r="AK1138">
        <v>4.5</v>
      </c>
      <c r="AL1138">
        <v>1.0064139553184499</v>
      </c>
      <c r="AM1138">
        <v>4.3378051928265798E-2</v>
      </c>
      <c r="AN1138">
        <v>8</v>
      </c>
      <c r="AO1138" t="b">
        <v>1</v>
      </c>
      <c r="AP1138" t="s">
        <v>4202</v>
      </c>
      <c r="AQ1138">
        <v>1945</v>
      </c>
      <c r="AR1138">
        <v>1961</v>
      </c>
      <c r="AS1138" t="s">
        <v>4892</v>
      </c>
      <c r="AT1138">
        <v>2.0287474332648801</v>
      </c>
      <c r="AU1138">
        <f t="shared" si="53"/>
        <v>6.0000000000000001E-3</v>
      </c>
    </row>
    <row r="1139" spans="1:47" x14ac:dyDescent="0.3">
      <c r="A1139">
        <v>1137</v>
      </c>
      <c r="B1139" t="s">
        <v>4893</v>
      </c>
      <c r="C1139" t="s">
        <v>4894</v>
      </c>
      <c r="D1139">
        <v>211</v>
      </c>
      <c r="E1139" t="s">
        <v>4655</v>
      </c>
      <c r="F1139" t="str">
        <f>VLOOKUP(E1139,country_continent!A:C,2,FALSE)</f>
        <v>Belgium</v>
      </c>
      <c r="G1139" t="str">
        <f>VLOOKUP(E1139,country_continent!A:C,3,FALSE)</f>
        <v>Europe</v>
      </c>
      <c r="H1139" t="s">
        <v>4895</v>
      </c>
      <c r="I1139" s="1">
        <v>40883</v>
      </c>
      <c r="J1139" s="3">
        <f t="shared" si="51"/>
        <v>40883</v>
      </c>
      <c r="K1139" s="1">
        <v>41923</v>
      </c>
      <c r="L1139" s="3">
        <f t="shared" si="52"/>
        <v>41923</v>
      </c>
      <c r="M1139" t="s">
        <v>49</v>
      </c>
      <c r="N1139" t="s">
        <v>49</v>
      </c>
      <c r="O1139" t="s">
        <v>49</v>
      </c>
      <c r="P1139">
        <v>0</v>
      </c>
      <c r="Q1139" t="s">
        <v>50</v>
      </c>
      <c r="R1139" t="s">
        <v>51</v>
      </c>
      <c r="S1139">
        <v>1951</v>
      </c>
      <c r="T1139">
        <v>-777</v>
      </c>
      <c r="U1139" s="1">
        <v>18827</v>
      </c>
      <c r="V1139" s="2">
        <v>18827</v>
      </c>
      <c r="Z1139">
        <v>0</v>
      </c>
      <c r="AA1139">
        <v>1</v>
      </c>
      <c r="AB1139">
        <v>0</v>
      </c>
      <c r="AC1139">
        <v>0</v>
      </c>
      <c r="AF1139">
        <v>2011</v>
      </c>
      <c r="AG1139">
        <v>2014</v>
      </c>
      <c r="AH1139">
        <v>0.33961084352817</v>
      </c>
      <c r="AI1139">
        <v>47472.5</v>
      </c>
      <c r="AJ1139">
        <v>1.6877858855238099</v>
      </c>
      <c r="AK1139">
        <v>4.2749999999999897</v>
      </c>
      <c r="AL1139">
        <v>0.70910897837075304</v>
      </c>
      <c r="AM1139">
        <v>6.41117250935484E-2</v>
      </c>
      <c r="AN1139">
        <v>8</v>
      </c>
      <c r="AO1139" t="b">
        <v>1</v>
      </c>
      <c r="AP1139" t="s">
        <v>4202</v>
      </c>
      <c r="AQ1139">
        <v>1945</v>
      </c>
      <c r="AR1139">
        <v>1961</v>
      </c>
      <c r="AS1139" t="s">
        <v>4896</v>
      </c>
      <c r="AT1139">
        <v>2.8473648186173799</v>
      </c>
      <c r="AU1139">
        <f t="shared" si="53"/>
        <v>8.0000000000000002E-3</v>
      </c>
    </row>
    <row r="1140" spans="1:47" x14ac:dyDescent="0.3">
      <c r="A1140">
        <v>1138</v>
      </c>
      <c r="B1140" t="s">
        <v>4897</v>
      </c>
      <c r="C1140" t="s">
        <v>4898</v>
      </c>
      <c r="D1140">
        <v>211</v>
      </c>
      <c r="E1140" t="s">
        <v>4655</v>
      </c>
      <c r="F1140" t="str">
        <f>VLOOKUP(E1140,country_continent!A:C,2,FALSE)</f>
        <v>Belgium</v>
      </c>
      <c r="G1140" t="str">
        <f>VLOOKUP(E1140,country_continent!A:C,3,FALSE)</f>
        <v>Europe</v>
      </c>
      <c r="H1140" t="s">
        <v>4899</v>
      </c>
      <c r="I1140" s="1">
        <v>41923</v>
      </c>
      <c r="J1140" s="3">
        <f t="shared" si="51"/>
        <v>41923</v>
      </c>
      <c r="K1140" s="1">
        <v>42369</v>
      </c>
      <c r="L1140" s="3">
        <f t="shared" si="52"/>
        <v>42369</v>
      </c>
      <c r="M1140" t="s">
        <v>49</v>
      </c>
      <c r="N1140" t="s">
        <v>173</v>
      </c>
      <c r="O1140" t="s">
        <v>173</v>
      </c>
      <c r="P1140">
        <v>0</v>
      </c>
      <c r="Q1140" t="s">
        <v>174</v>
      </c>
      <c r="R1140" t="s">
        <v>51</v>
      </c>
      <c r="S1140">
        <v>1975</v>
      </c>
      <c r="T1140">
        <v>-777</v>
      </c>
      <c r="U1140" s="1">
        <v>27749</v>
      </c>
      <c r="V1140" s="2">
        <v>27749</v>
      </c>
      <c r="Z1140">
        <v>0</v>
      </c>
      <c r="AA1140">
        <v>-888</v>
      </c>
      <c r="AB1140">
        <v>-888</v>
      </c>
      <c r="AC1140">
        <v>-888</v>
      </c>
      <c r="AF1140">
        <v>2014</v>
      </c>
      <c r="AG1140">
        <v>2015</v>
      </c>
      <c r="AH1140">
        <v>1.10132549055541</v>
      </c>
      <c r="AI1140">
        <v>46785</v>
      </c>
      <c r="AJ1140">
        <v>0.98111712961588105</v>
      </c>
      <c r="AK1140">
        <v>4.1500000000000004</v>
      </c>
      <c r="AL1140">
        <v>0.51168776507650005</v>
      </c>
      <c r="AM1140">
        <v>5.1679179977339798E-2</v>
      </c>
      <c r="AN1140">
        <v>8</v>
      </c>
      <c r="AO1140" t="b">
        <v>1</v>
      </c>
      <c r="AP1140" t="s">
        <v>4202</v>
      </c>
      <c r="AQ1140">
        <v>1945</v>
      </c>
      <c r="AR1140">
        <v>1961</v>
      </c>
      <c r="AS1140" t="s">
        <v>4900</v>
      </c>
      <c r="AT1140">
        <v>1.22108145106091</v>
      </c>
      <c r="AU1140">
        <f t="shared" si="53"/>
        <v>3.0000000000000001E-3</v>
      </c>
    </row>
    <row r="1141" spans="1:47" x14ac:dyDescent="0.3">
      <c r="A1141">
        <v>1139</v>
      </c>
      <c r="B1141" t="s">
        <v>4901</v>
      </c>
      <c r="C1141" t="s">
        <v>4902</v>
      </c>
      <c r="D1141">
        <v>212</v>
      </c>
      <c r="E1141" t="s">
        <v>4903</v>
      </c>
      <c r="F1141" t="str">
        <f>VLOOKUP(E1141,country_continent!A:C,2,FALSE)</f>
        <v>Luxembourg</v>
      </c>
      <c r="G1141" t="str">
        <f>VLOOKUP(E1141,country_continent!A:C,3,FALSE)</f>
        <v>Europe</v>
      </c>
      <c r="H1141" t="s">
        <v>4904</v>
      </c>
      <c r="I1141" t="s">
        <v>4905</v>
      </c>
      <c r="J1141" s="3" t="str">
        <f t="shared" si="51"/>
        <v>1874/12/26</v>
      </c>
      <c r="K1141" t="s">
        <v>4906</v>
      </c>
      <c r="L1141" s="3" t="str">
        <f t="shared" si="52"/>
        <v>1885/02/20</v>
      </c>
      <c r="M1141" t="s">
        <v>49</v>
      </c>
      <c r="N1141" t="s">
        <v>49</v>
      </c>
      <c r="O1141" t="s">
        <v>49</v>
      </c>
      <c r="P1141">
        <v>0</v>
      </c>
      <c r="Q1141" t="s">
        <v>50</v>
      </c>
      <c r="R1141" t="s">
        <v>51</v>
      </c>
      <c r="S1141">
        <v>1834</v>
      </c>
      <c r="T1141">
        <v>1915</v>
      </c>
      <c r="Y1141" t="s">
        <v>4907</v>
      </c>
      <c r="Z1141">
        <v>0</v>
      </c>
      <c r="AA1141">
        <v>1</v>
      </c>
      <c r="AB1141">
        <v>0</v>
      </c>
      <c r="AC1141">
        <v>0</v>
      </c>
      <c r="AF1141">
        <v>1874</v>
      </c>
      <c r="AG1141">
        <v>1885</v>
      </c>
      <c r="AO1141" t="b">
        <v>0</v>
      </c>
      <c r="AT1141">
        <v>3709</v>
      </c>
      <c r="AU1141">
        <f t="shared" si="53"/>
        <v>10.162000000000001</v>
      </c>
    </row>
    <row r="1142" spans="1:47" x14ac:dyDescent="0.3">
      <c r="A1142">
        <v>1140</v>
      </c>
      <c r="B1142" t="s">
        <v>4908</v>
      </c>
      <c r="C1142" t="s">
        <v>4909</v>
      </c>
      <c r="D1142">
        <v>212</v>
      </c>
      <c r="E1142" t="s">
        <v>4903</v>
      </c>
      <c r="F1142" t="str">
        <f>VLOOKUP(E1142,country_continent!A:C,2,FALSE)</f>
        <v>Luxembourg</v>
      </c>
      <c r="G1142" t="str">
        <f>VLOOKUP(E1142,country_continent!A:C,3,FALSE)</f>
        <v>Europe</v>
      </c>
      <c r="H1142" t="s">
        <v>4910</v>
      </c>
      <c r="I1142" t="s">
        <v>4906</v>
      </c>
      <c r="J1142" s="3" t="str">
        <f t="shared" si="51"/>
        <v>1885/02/20</v>
      </c>
      <c r="K1142" t="s">
        <v>4911</v>
      </c>
      <c r="L1142" s="3" t="str">
        <f t="shared" si="52"/>
        <v>1888/09/22</v>
      </c>
      <c r="M1142" t="s">
        <v>49</v>
      </c>
      <c r="N1142" t="s">
        <v>49</v>
      </c>
      <c r="O1142" t="s">
        <v>49</v>
      </c>
      <c r="P1142">
        <v>0</v>
      </c>
      <c r="Q1142" t="s">
        <v>50</v>
      </c>
      <c r="R1142" t="s">
        <v>51</v>
      </c>
      <c r="S1142">
        <v>1817</v>
      </c>
      <c r="T1142">
        <v>1904</v>
      </c>
      <c r="Y1142" t="s">
        <v>4912</v>
      </c>
      <c r="Z1142">
        <v>0</v>
      </c>
      <c r="AA1142">
        <v>1</v>
      </c>
      <c r="AB1142">
        <v>0</v>
      </c>
      <c r="AC1142">
        <v>0</v>
      </c>
      <c r="AF1142">
        <v>1885</v>
      </c>
      <c r="AG1142">
        <v>1888</v>
      </c>
      <c r="AO1142" t="b">
        <v>0</v>
      </c>
      <c r="AT1142">
        <v>1310</v>
      </c>
      <c r="AU1142">
        <f t="shared" si="53"/>
        <v>3.589</v>
      </c>
    </row>
    <row r="1143" spans="1:47" x14ac:dyDescent="0.3">
      <c r="A1143">
        <v>1141</v>
      </c>
      <c r="B1143" t="s">
        <v>4913</v>
      </c>
      <c r="C1143" t="s">
        <v>4914</v>
      </c>
      <c r="D1143">
        <v>212</v>
      </c>
      <c r="E1143" t="s">
        <v>4903</v>
      </c>
      <c r="F1143" t="str">
        <f>VLOOKUP(E1143,country_continent!A:C,2,FALSE)</f>
        <v>Luxembourg</v>
      </c>
      <c r="G1143" t="str">
        <f>VLOOKUP(E1143,country_continent!A:C,3,FALSE)</f>
        <v>Europe</v>
      </c>
      <c r="H1143" t="s">
        <v>4915</v>
      </c>
      <c r="I1143" t="s">
        <v>4911</v>
      </c>
      <c r="J1143" s="3" t="str">
        <f t="shared" si="51"/>
        <v>1888/09/22</v>
      </c>
      <c r="K1143" s="1">
        <v>5764</v>
      </c>
      <c r="L1143" s="3">
        <f t="shared" si="52"/>
        <v>5764</v>
      </c>
      <c r="M1143" t="s">
        <v>49</v>
      </c>
      <c r="N1143" t="s">
        <v>110</v>
      </c>
      <c r="O1143" t="s">
        <v>49</v>
      </c>
      <c r="P1143">
        <v>0</v>
      </c>
      <c r="Q1143" t="s">
        <v>111</v>
      </c>
      <c r="R1143" t="s">
        <v>51</v>
      </c>
      <c r="S1143">
        <v>1841</v>
      </c>
      <c r="T1143">
        <v>1915</v>
      </c>
      <c r="U1143" t="s">
        <v>4916</v>
      </c>
      <c r="V1143" t="s">
        <v>4917</v>
      </c>
      <c r="Y1143" t="s">
        <v>4918</v>
      </c>
      <c r="Z1143">
        <v>0</v>
      </c>
      <c r="AA1143">
        <v>2</v>
      </c>
      <c r="AB1143">
        <v>0</v>
      </c>
      <c r="AC1143">
        <v>-777</v>
      </c>
      <c r="AF1143">
        <v>1888</v>
      </c>
      <c r="AG1143">
        <v>1915</v>
      </c>
      <c r="AO1143" t="b">
        <v>0</v>
      </c>
      <c r="AT1143">
        <v>9880</v>
      </c>
      <c r="AU1143">
        <f t="shared" si="53"/>
        <v>27.068000000000001</v>
      </c>
    </row>
    <row r="1144" spans="1:47" x14ac:dyDescent="0.3">
      <c r="A1144">
        <v>1142</v>
      </c>
      <c r="B1144" t="s">
        <v>4919</v>
      </c>
      <c r="C1144" t="s">
        <v>4920</v>
      </c>
      <c r="D1144">
        <v>212</v>
      </c>
      <c r="E1144" t="s">
        <v>4903</v>
      </c>
      <c r="F1144" t="str">
        <f>VLOOKUP(E1144,country_continent!A:C,2,FALSE)</f>
        <v>Luxembourg</v>
      </c>
      <c r="G1144" t="str">
        <f>VLOOKUP(E1144,country_continent!A:C,3,FALSE)</f>
        <v>Europe</v>
      </c>
      <c r="H1144" t="s">
        <v>4921</v>
      </c>
      <c r="I1144" s="1">
        <v>5764</v>
      </c>
      <c r="J1144" s="3">
        <f t="shared" si="51"/>
        <v>5764</v>
      </c>
      <c r="K1144" s="1">
        <v>5789</v>
      </c>
      <c r="L1144" s="3">
        <f t="shared" si="52"/>
        <v>5789</v>
      </c>
      <c r="M1144" t="s">
        <v>49</v>
      </c>
      <c r="N1144" t="s">
        <v>49</v>
      </c>
      <c r="O1144" t="s">
        <v>49</v>
      </c>
      <c r="P1144">
        <v>0</v>
      </c>
      <c r="Q1144" t="s">
        <v>50</v>
      </c>
      <c r="R1144" t="s">
        <v>51</v>
      </c>
      <c r="S1144">
        <v>1843</v>
      </c>
      <c r="T1144">
        <v>1926</v>
      </c>
      <c r="Y1144" t="s">
        <v>4922</v>
      </c>
      <c r="Z1144">
        <v>0</v>
      </c>
      <c r="AA1144">
        <v>1</v>
      </c>
      <c r="AB1144">
        <v>0</v>
      </c>
      <c r="AC1144">
        <v>0</v>
      </c>
      <c r="AF1144">
        <v>1915</v>
      </c>
      <c r="AG1144">
        <v>1915</v>
      </c>
      <c r="AO1144" t="b">
        <v>0</v>
      </c>
      <c r="AT1144">
        <v>25</v>
      </c>
      <c r="AU1144">
        <f t="shared" si="53"/>
        <v>6.8000000000000005E-2</v>
      </c>
    </row>
    <row r="1145" spans="1:47" x14ac:dyDescent="0.3">
      <c r="A1145">
        <v>1143</v>
      </c>
      <c r="B1145" t="s">
        <v>4923</v>
      </c>
      <c r="C1145" t="s">
        <v>4924</v>
      </c>
      <c r="D1145">
        <v>212</v>
      </c>
      <c r="E1145" t="s">
        <v>4903</v>
      </c>
      <c r="F1145" t="str">
        <f>VLOOKUP(E1145,country_continent!A:C,2,FALSE)</f>
        <v>Luxembourg</v>
      </c>
      <c r="G1145" t="str">
        <f>VLOOKUP(E1145,country_continent!A:C,3,FALSE)</f>
        <v>Europe</v>
      </c>
      <c r="H1145" t="s">
        <v>4925</v>
      </c>
      <c r="I1145" s="1">
        <v>5789</v>
      </c>
      <c r="J1145" s="3">
        <f t="shared" si="51"/>
        <v>5789</v>
      </c>
      <c r="K1145" s="1">
        <v>5899</v>
      </c>
      <c r="L1145" s="3">
        <f t="shared" si="52"/>
        <v>5899</v>
      </c>
      <c r="M1145" t="s">
        <v>49</v>
      </c>
      <c r="N1145" t="s">
        <v>49</v>
      </c>
      <c r="O1145" t="s">
        <v>49</v>
      </c>
      <c r="P1145">
        <v>0</v>
      </c>
      <c r="Q1145" t="s">
        <v>50</v>
      </c>
      <c r="R1145" t="s">
        <v>51</v>
      </c>
      <c r="S1145">
        <v>1878</v>
      </c>
      <c r="T1145">
        <v>1946</v>
      </c>
      <c r="Y1145" t="s">
        <v>4926</v>
      </c>
      <c r="Z1145">
        <v>0</v>
      </c>
      <c r="AA1145">
        <v>1</v>
      </c>
      <c r="AB1145">
        <v>0</v>
      </c>
      <c r="AC1145">
        <v>0</v>
      </c>
      <c r="AF1145">
        <v>1915</v>
      </c>
      <c r="AG1145">
        <v>1916</v>
      </c>
      <c r="AO1145" t="b">
        <v>0</v>
      </c>
      <c r="AT1145">
        <v>110</v>
      </c>
      <c r="AU1145">
        <f t="shared" si="53"/>
        <v>0.30099999999999999</v>
      </c>
    </row>
    <row r="1146" spans="1:47" x14ac:dyDescent="0.3">
      <c r="A1146">
        <v>1144</v>
      </c>
      <c r="B1146" t="s">
        <v>4927</v>
      </c>
      <c r="C1146" t="s">
        <v>4928</v>
      </c>
      <c r="D1146">
        <v>212</v>
      </c>
      <c r="E1146" t="s">
        <v>4903</v>
      </c>
      <c r="F1146" t="str">
        <f>VLOOKUP(E1146,country_continent!A:C,2,FALSE)</f>
        <v>Luxembourg</v>
      </c>
      <c r="G1146" t="str">
        <f>VLOOKUP(E1146,country_continent!A:C,3,FALSE)</f>
        <v>Europe</v>
      </c>
      <c r="H1146" t="s">
        <v>4929</v>
      </c>
      <c r="I1146" s="1">
        <v>5899</v>
      </c>
      <c r="J1146" s="3">
        <f t="shared" si="51"/>
        <v>5899</v>
      </c>
      <c r="K1146" s="1">
        <v>6380</v>
      </c>
      <c r="L1146" s="3">
        <f t="shared" si="52"/>
        <v>6380</v>
      </c>
      <c r="M1146" t="s">
        <v>49</v>
      </c>
      <c r="N1146" t="s">
        <v>49</v>
      </c>
      <c r="O1146" t="s">
        <v>49</v>
      </c>
      <c r="P1146">
        <v>0</v>
      </c>
      <c r="Q1146" t="s">
        <v>50</v>
      </c>
      <c r="R1146" t="s">
        <v>51</v>
      </c>
      <c r="S1146">
        <v>1844</v>
      </c>
      <c r="T1146">
        <v>1930</v>
      </c>
      <c r="U1146" t="s">
        <v>4930</v>
      </c>
      <c r="V1146" t="s">
        <v>4931</v>
      </c>
      <c r="Y1146" t="s">
        <v>4932</v>
      </c>
      <c r="Z1146">
        <v>0</v>
      </c>
      <c r="AA1146">
        <v>1</v>
      </c>
      <c r="AB1146">
        <v>0</v>
      </c>
      <c r="AC1146">
        <v>0</v>
      </c>
      <c r="AF1146">
        <v>1916</v>
      </c>
      <c r="AG1146">
        <v>1917</v>
      </c>
      <c r="AO1146" t="b">
        <v>0</v>
      </c>
      <c r="AT1146">
        <v>481</v>
      </c>
      <c r="AU1146">
        <f t="shared" si="53"/>
        <v>1.3180000000000001</v>
      </c>
    </row>
    <row r="1147" spans="1:47" x14ac:dyDescent="0.3">
      <c r="A1147">
        <v>1145</v>
      </c>
      <c r="B1147" t="s">
        <v>4933</v>
      </c>
      <c r="C1147" t="s">
        <v>4934</v>
      </c>
      <c r="D1147">
        <v>212</v>
      </c>
      <c r="E1147" t="s">
        <v>4903</v>
      </c>
      <c r="F1147" t="str">
        <f>VLOOKUP(E1147,country_continent!A:C,2,FALSE)</f>
        <v>Luxembourg</v>
      </c>
      <c r="G1147" t="str">
        <f>VLOOKUP(E1147,country_continent!A:C,3,FALSE)</f>
        <v>Europe</v>
      </c>
      <c r="H1147" t="s">
        <v>4935</v>
      </c>
      <c r="I1147" s="1">
        <v>6380</v>
      </c>
      <c r="J1147" s="3">
        <f t="shared" si="51"/>
        <v>6380</v>
      </c>
      <c r="K1147" s="1">
        <v>6846</v>
      </c>
      <c r="L1147" s="3">
        <f t="shared" si="52"/>
        <v>6846</v>
      </c>
      <c r="M1147" t="s">
        <v>49</v>
      </c>
      <c r="N1147" t="s">
        <v>49</v>
      </c>
      <c r="O1147" t="s">
        <v>49</v>
      </c>
      <c r="P1147">
        <v>0</v>
      </c>
      <c r="Q1147" t="s">
        <v>50</v>
      </c>
      <c r="R1147" t="s">
        <v>51</v>
      </c>
      <c r="S1147">
        <v>1869</v>
      </c>
      <c r="T1147">
        <v>1952</v>
      </c>
      <c r="Y1147" t="s">
        <v>4936</v>
      </c>
      <c r="Z1147">
        <v>0</v>
      </c>
      <c r="AA1147">
        <v>1</v>
      </c>
      <c r="AB1147">
        <v>0</v>
      </c>
      <c r="AC1147">
        <v>0</v>
      </c>
      <c r="AF1147">
        <v>1917</v>
      </c>
      <c r="AG1147">
        <v>1918</v>
      </c>
      <c r="AO1147" t="b">
        <v>0</v>
      </c>
      <c r="AT1147">
        <v>466</v>
      </c>
      <c r="AU1147">
        <f t="shared" si="53"/>
        <v>1.2769999999999999</v>
      </c>
    </row>
    <row r="1148" spans="1:47" x14ac:dyDescent="0.3">
      <c r="A1148">
        <v>1146</v>
      </c>
      <c r="B1148" t="s">
        <v>4937</v>
      </c>
      <c r="C1148" t="s">
        <v>4938</v>
      </c>
      <c r="D1148">
        <v>212</v>
      </c>
      <c r="E1148" t="s">
        <v>4903</v>
      </c>
      <c r="F1148" t="str">
        <f>VLOOKUP(E1148,country_continent!A:C,2,FALSE)</f>
        <v>Luxembourg</v>
      </c>
      <c r="G1148" t="str">
        <f>VLOOKUP(E1148,country_continent!A:C,3,FALSE)</f>
        <v>Europe</v>
      </c>
      <c r="H1148" t="s">
        <v>4939</v>
      </c>
      <c r="I1148" s="1">
        <v>6846</v>
      </c>
      <c r="J1148" s="3">
        <f t="shared" si="51"/>
        <v>6846</v>
      </c>
      <c r="K1148" s="1">
        <v>9192</v>
      </c>
      <c r="L1148" s="3">
        <f t="shared" si="52"/>
        <v>9192</v>
      </c>
      <c r="M1148" t="s">
        <v>49</v>
      </c>
      <c r="N1148" t="s">
        <v>49</v>
      </c>
      <c r="O1148" t="s">
        <v>49</v>
      </c>
      <c r="P1148">
        <v>0</v>
      </c>
      <c r="Q1148" t="s">
        <v>50</v>
      </c>
      <c r="R1148" t="s">
        <v>51</v>
      </c>
      <c r="S1148">
        <v>1874</v>
      </c>
      <c r="T1148">
        <v>1973</v>
      </c>
      <c r="Y1148" t="s">
        <v>4940</v>
      </c>
      <c r="Z1148">
        <v>0</v>
      </c>
      <c r="AA1148">
        <v>1</v>
      </c>
      <c r="AB1148">
        <v>0</v>
      </c>
      <c r="AC1148">
        <v>0</v>
      </c>
      <c r="AF1148">
        <v>1918</v>
      </c>
      <c r="AG1148">
        <v>1925</v>
      </c>
      <c r="AO1148" t="b">
        <v>0</v>
      </c>
      <c r="AT1148">
        <v>2346</v>
      </c>
      <c r="AU1148">
        <f t="shared" si="53"/>
        <v>6.4269999999999996</v>
      </c>
    </row>
    <row r="1149" spans="1:47" x14ac:dyDescent="0.3">
      <c r="A1149">
        <v>1147</v>
      </c>
      <c r="B1149" t="s">
        <v>4941</v>
      </c>
      <c r="C1149" t="s">
        <v>4942</v>
      </c>
      <c r="D1149">
        <v>212</v>
      </c>
      <c r="E1149" t="s">
        <v>4903</v>
      </c>
      <c r="F1149" t="str">
        <f>VLOOKUP(E1149,country_continent!A:C,2,FALSE)</f>
        <v>Luxembourg</v>
      </c>
      <c r="G1149" t="str">
        <f>VLOOKUP(E1149,country_continent!A:C,3,FALSE)</f>
        <v>Europe</v>
      </c>
      <c r="H1149" t="s">
        <v>4943</v>
      </c>
      <c r="I1149" s="1">
        <v>9192</v>
      </c>
      <c r="J1149" s="3">
        <f t="shared" si="51"/>
        <v>9192</v>
      </c>
      <c r="K1149" s="1">
        <v>9679</v>
      </c>
      <c r="L1149" s="3">
        <f t="shared" si="52"/>
        <v>9679</v>
      </c>
      <c r="M1149" t="s">
        <v>49</v>
      </c>
      <c r="N1149" t="s">
        <v>49</v>
      </c>
      <c r="O1149" t="s">
        <v>49</v>
      </c>
      <c r="P1149">
        <v>0</v>
      </c>
      <c r="Q1149" t="s">
        <v>50</v>
      </c>
      <c r="R1149" t="s">
        <v>51</v>
      </c>
      <c r="S1149">
        <v>1886</v>
      </c>
      <c r="T1149">
        <v>1950</v>
      </c>
      <c r="Y1149" t="s">
        <v>4944</v>
      </c>
      <c r="Z1149">
        <v>0</v>
      </c>
      <c r="AA1149">
        <v>1</v>
      </c>
      <c r="AB1149">
        <v>0</v>
      </c>
      <c r="AC1149">
        <v>0</v>
      </c>
      <c r="AF1149">
        <v>1925</v>
      </c>
      <c r="AG1149">
        <v>1926</v>
      </c>
      <c r="AO1149" t="b">
        <v>0</v>
      </c>
      <c r="AT1149">
        <v>487</v>
      </c>
      <c r="AU1149">
        <f t="shared" si="53"/>
        <v>1.3340000000000001</v>
      </c>
    </row>
    <row r="1150" spans="1:47" x14ac:dyDescent="0.3">
      <c r="A1150">
        <v>1148</v>
      </c>
      <c r="B1150" t="s">
        <v>4945</v>
      </c>
      <c r="C1150" t="s">
        <v>4946</v>
      </c>
      <c r="D1150">
        <v>212</v>
      </c>
      <c r="E1150" t="s">
        <v>4903</v>
      </c>
      <c r="F1150" t="str">
        <f>VLOOKUP(E1150,country_continent!A:C,2,FALSE)</f>
        <v>Luxembourg</v>
      </c>
      <c r="G1150" t="str">
        <f>VLOOKUP(E1150,country_continent!A:C,3,FALSE)</f>
        <v>Europe</v>
      </c>
      <c r="H1150" t="s">
        <v>4947</v>
      </c>
      <c r="I1150" s="1">
        <v>9694</v>
      </c>
      <c r="J1150" s="3">
        <f t="shared" si="51"/>
        <v>9694</v>
      </c>
      <c r="K1150" s="1">
        <v>13807</v>
      </c>
      <c r="L1150" s="3">
        <f t="shared" si="52"/>
        <v>13807</v>
      </c>
      <c r="M1150" t="s">
        <v>49</v>
      </c>
      <c r="N1150" t="s">
        <v>49</v>
      </c>
      <c r="O1150" t="s">
        <v>49</v>
      </c>
      <c r="P1150">
        <v>0</v>
      </c>
      <c r="Q1150" t="s">
        <v>50</v>
      </c>
      <c r="R1150" t="s">
        <v>51</v>
      </c>
      <c r="S1150">
        <v>1887</v>
      </c>
      <c r="T1150">
        <v>1975</v>
      </c>
      <c r="U1150" t="s">
        <v>4948</v>
      </c>
      <c r="V1150" t="s">
        <v>4949</v>
      </c>
      <c r="Y1150" t="s">
        <v>4950</v>
      </c>
      <c r="Z1150">
        <v>0</v>
      </c>
      <c r="AA1150">
        <v>1</v>
      </c>
      <c r="AB1150">
        <v>0</v>
      </c>
      <c r="AC1150">
        <v>0</v>
      </c>
      <c r="AF1150">
        <v>1926</v>
      </c>
      <c r="AG1150">
        <v>1937</v>
      </c>
      <c r="AO1150" t="b">
        <v>0</v>
      </c>
      <c r="AT1150">
        <v>4113</v>
      </c>
      <c r="AU1150">
        <f t="shared" si="53"/>
        <v>11.268000000000001</v>
      </c>
    </row>
    <row r="1151" spans="1:47" x14ac:dyDescent="0.3">
      <c r="A1151">
        <v>1149</v>
      </c>
      <c r="B1151" t="s">
        <v>4951</v>
      </c>
      <c r="C1151" t="s">
        <v>4952</v>
      </c>
      <c r="D1151">
        <v>212</v>
      </c>
      <c r="E1151" t="s">
        <v>4903</v>
      </c>
      <c r="F1151" t="str">
        <f>VLOOKUP(E1151,country_continent!A:C,2,FALSE)</f>
        <v>Luxembourg</v>
      </c>
      <c r="G1151" t="str">
        <f>VLOOKUP(E1151,country_continent!A:C,3,FALSE)</f>
        <v>Europe</v>
      </c>
      <c r="H1151" t="s">
        <v>4953</v>
      </c>
      <c r="I1151" s="1">
        <v>13824</v>
      </c>
      <c r="J1151" s="3">
        <f t="shared" si="51"/>
        <v>13824</v>
      </c>
      <c r="K1151" s="1">
        <v>14741</v>
      </c>
      <c r="L1151" s="3">
        <f t="shared" si="52"/>
        <v>14741</v>
      </c>
      <c r="M1151" t="s">
        <v>49</v>
      </c>
      <c r="N1151" t="s">
        <v>633</v>
      </c>
      <c r="O1151" t="s">
        <v>634</v>
      </c>
      <c r="P1151">
        <v>0</v>
      </c>
      <c r="Q1151" t="s">
        <v>362</v>
      </c>
      <c r="R1151" t="s">
        <v>51</v>
      </c>
      <c r="S1151">
        <v>1885</v>
      </c>
      <c r="T1151">
        <v>1953</v>
      </c>
      <c r="U1151" t="s">
        <v>4954</v>
      </c>
      <c r="V1151" t="s">
        <v>4955</v>
      </c>
      <c r="Y1151" t="s">
        <v>4956</v>
      </c>
      <c r="Z1151">
        <v>0</v>
      </c>
      <c r="AA1151">
        <v>4</v>
      </c>
      <c r="AB1151">
        <v>9</v>
      </c>
      <c r="AC1151">
        <v>1</v>
      </c>
      <c r="AF1151">
        <v>1937</v>
      </c>
      <c r="AG1151">
        <v>1940</v>
      </c>
      <c r="AO1151" t="b">
        <v>0</v>
      </c>
      <c r="AT1151">
        <v>917</v>
      </c>
      <c r="AU1151">
        <f t="shared" si="53"/>
        <v>2.512</v>
      </c>
    </row>
    <row r="1152" spans="1:47" x14ac:dyDescent="0.3">
      <c r="A1152">
        <v>1150</v>
      </c>
      <c r="B1152" t="s">
        <v>4957</v>
      </c>
      <c r="C1152" t="s">
        <v>4952</v>
      </c>
      <c r="D1152">
        <v>212</v>
      </c>
      <c r="E1152" t="s">
        <v>4903</v>
      </c>
      <c r="F1152" t="str">
        <f>VLOOKUP(E1152,country_continent!A:C,2,FALSE)</f>
        <v>Luxembourg</v>
      </c>
      <c r="G1152" t="str">
        <f>VLOOKUP(E1152,country_continent!A:C,3,FALSE)</f>
        <v>Europe</v>
      </c>
      <c r="H1152" t="s">
        <v>4953</v>
      </c>
      <c r="I1152" s="1">
        <v>16566</v>
      </c>
      <c r="J1152" s="3">
        <f t="shared" si="51"/>
        <v>16566</v>
      </c>
      <c r="K1152" s="1">
        <v>19715</v>
      </c>
      <c r="L1152" s="3">
        <f t="shared" si="52"/>
        <v>19715</v>
      </c>
      <c r="M1152" t="s">
        <v>49</v>
      </c>
      <c r="N1152" t="s">
        <v>110</v>
      </c>
      <c r="O1152" t="s">
        <v>49</v>
      </c>
      <c r="P1152">
        <v>1</v>
      </c>
      <c r="Q1152" t="s">
        <v>111</v>
      </c>
      <c r="R1152" t="s">
        <v>51</v>
      </c>
      <c r="S1152">
        <v>1885</v>
      </c>
      <c r="T1152">
        <v>1953</v>
      </c>
      <c r="U1152" t="s">
        <v>4954</v>
      </c>
      <c r="V1152" t="s">
        <v>4955</v>
      </c>
      <c r="Y1152" t="s">
        <v>4956</v>
      </c>
      <c r="Z1152">
        <v>0</v>
      </c>
      <c r="AA1152">
        <v>2</v>
      </c>
      <c r="AB1152">
        <v>0</v>
      </c>
      <c r="AC1152">
        <v>-777</v>
      </c>
      <c r="AF1152">
        <v>1945</v>
      </c>
      <c r="AG1152">
        <v>1953</v>
      </c>
      <c r="AN1152">
        <v>10</v>
      </c>
      <c r="AO1152" t="b">
        <v>0</v>
      </c>
      <c r="AT1152">
        <v>3149</v>
      </c>
      <c r="AU1152">
        <f t="shared" si="53"/>
        <v>8.6270000000000007</v>
      </c>
    </row>
    <row r="1153" spans="1:47" x14ac:dyDescent="0.3">
      <c r="A1153">
        <v>1151</v>
      </c>
      <c r="B1153" t="s">
        <v>4958</v>
      </c>
      <c r="C1153" t="s">
        <v>4946</v>
      </c>
      <c r="D1153">
        <v>212</v>
      </c>
      <c r="E1153" t="s">
        <v>4903</v>
      </c>
      <c r="F1153" t="str">
        <f>VLOOKUP(E1153,country_continent!A:C,2,FALSE)</f>
        <v>Luxembourg</v>
      </c>
      <c r="G1153" t="str">
        <f>VLOOKUP(E1153,country_continent!A:C,3,FALSE)</f>
        <v>Europe</v>
      </c>
      <c r="H1153" t="s">
        <v>4947</v>
      </c>
      <c r="I1153" s="1">
        <v>19721</v>
      </c>
      <c r="J1153" s="3">
        <f t="shared" si="51"/>
        <v>19721</v>
      </c>
      <c r="K1153" s="1">
        <v>21270</v>
      </c>
      <c r="L1153" s="3">
        <f t="shared" si="52"/>
        <v>21270</v>
      </c>
      <c r="M1153" t="s">
        <v>49</v>
      </c>
      <c r="N1153" t="s">
        <v>49</v>
      </c>
      <c r="O1153" t="s">
        <v>49</v>
      </c>
      <c r="P1153">
        <v>1</v>
      </c>
      <c r="Q1153" t="s">
        <v>50</v>
      </c>
      <c r="R1153" t="s">
        <v>51</v>
      </c>
      <c r="S1153">
        <v>1887</v>
      </c>
      <c r="T1153">
        <v>1975</v>
      </c>
      <c r="U1153" t="s">
        <v>4948</v>
      </c>
      <c r="V1153" t="s">
        <v>4949</v>
      </c>
      <c r="Y1153" t="s">
        <v>4950</v>
      </c>
      <c r="Z1153">
        <v>0</v>
      </c>
      <c r="AA1153">
        <v>1</v>
      </c>
      <c r="AB1153">
        <v>0</v>
      </c>
      <c r="AC1153">
        <v>0</v>
      </c>
      <c r="AF1153">
        <v>1953</v>
      </c>
      <c r="AG1153">
        <v>1958</v>
      </c>
      <c r="AN1153">
        <v>10</v>
      </c>
      <c r="AO1153" t="b">
        <v>0</v>
      </c>
      <c r="AT1153">
        <v>1549</v>
      </c>
      <c r="AU1153">
        <f t="shared" si="53"/>
        <v>4.2439999999999998</v>
      </c>
    </row>
    <row r="1154" spans="1:47" x14ac:dyDescent="0.3">
      <c r="A1154">
        <v>1152</v>
      </c>
      <c r="B1154" t="s">
        <v>4959</v>
      </c>
      <c r="C1154" t="s">
        <v>4960</v>
      </c>
      <c r="D1154">
        <v>212</v>
      </c>
      <c r="E1154" t="s">
        <v>4903</v>
      </c>
      <c r="F1154" t="str">
        <f>VLOOKUP(E1154,country_continent!A:C,2,FALSE)</f>
        <v>Luxembourg</v>
      </c>
      <c r="G1154" t="str">
        <f>VLOOKUP(E1154,country_continent!A:C,3,FALSE)</f>
        <v>Europe</v>
      </c>
      <c r="H1154" t="s">
        <v>4961</v>
      </c>
      <c r="I1154" s="1">
        <v>21275</v>
      </c>
      <c r="J1154" s="3">
        <f t="shared" si="51"/>
        <v>21275</v>
      </c>
      <c r="K1154" s="1">
        <v>21604</v>
      </c>
      <c r="L1154" s="3">
        <f t="shared" si="52"/>
        <v>21604</v>
      </c>
      <c r="M1154" t="s">
        <v>49</v>
      </c>
      <c r="N1154" t="s">
        <v>110</v>
      </c>
      <c r="O1154" t="s">
        <v>49</v>
      </c>
      <c r="P1154">
        <v>0</v>
      </c>
      <c r="Q1154" t="s">
        <v>111</v>
      </c>
      <c r="R1154" t="s">
        <v>51</v>
      </c>
      <c r="S1154">
        <v>1892</v>
      </c>
      <c r="T1154">
        <v>1959</v>
      </c>
      <c r="U1154" t="s">
        <v>4962</v>
      </c>
      <c r="V1154" t="s">
        <v>4963</v>
      </c>
      <c r="Y1154" t="s">
        <v>4964</v>
      </c>
      <c r="Z1154">
        <v>0</v>
      </c>
      <c r="AA1154">
        <v>2</v>
      </c>
      <c r="AB1154">
        <v>0</v>
      </c>
      <c r="AC1154">
        <v>-777</v>
      </c>
      <c r="AF1154">
        <v>1958</v>
      </c>
      <c r="AG1154">
        <v>1959</v>
      </c>
      <c r="AN1154">
        <v>10</v>
      </c>
      <c r="AO1154" t="b">
        <v>0</v>
      </c>
      <c r="AT1154">
        <v>329</v>
      </c>
      <c r="AU1154">
        <f t="shared" si="53"/>
        <v>0.90100000000000002</v>
      </c>
    </row>
    <row r="1155" spans="1:47" x14ac:dyDescent="0.3">
      <c r="A1155">
        <v>1153</v>
      </c>
      <c r="B1155" t="s">
        <v>4965</v>
      </c>
      <c r="C1155" t="s">
        <v>4966</v>
      </c>
      <c r="D1155">
        <v>212</v>
      </c>
      <c r="E1155" t="s">
        <v>4903</v>
      </c>
      <c r="F1155" t="str">
        <f>VLOOKUP(E1155,country_continent!A:C,2,FALSE)</f>
        <v>Luxembourg</v>
      </c>
      <c r="G1155" t="str">
        <f>VLOOKUP(E1155,country_continent!A:C,3,FALSE)</f>
        <v>Europe</v>
      </c>
      <c r="H1155" t="s">
        <v>4967</v>
      </c>
      <c r="I1155" s="1">
        <v>21616</v>
      </c>
      <c r="J1155" s="3">
        <f t="shared" ref="J1155:J1218" si="54">IF(ISNUMBER(SEARCH("-", I1155)), SUBSTITUTE(I1155, "-", "/"), I1155)</f>
        <v>21616</v>
      </c>
      <c r="K1155" s="1">
        <v>27176</v>
      </c>
      <c r="L1155" s="3">
        <f t="shared" ref="L1155:L1218" si="55">IF(ISNUMBER(SEARCH("-", K1155)), SUBSTITUTE(K1155, "-", "/"), K1155)</f>
        <v>27176</v>
      </c>
      <c r="M1155" t="s">
        <v>49</v>
      </c>
      <c r="N1155" t="s">
        <v>49</v>
      </c>
      <c r="O1155" t="s">
        <v>49</v>
      </c>
      <c r="P1155">
        <v>0</v>
      </c>
      <c r="Q1155" t="s">
        <v>50</v>
      </c>
      <c r="R1155" t="s">
        <v>51</v>
      </c>
      <c r="S1155">
        <v>1913</v>
      </c>
      <c r="T1155">
        <v>2002</v>
      </c>
      <c r="U1155" s="1">
        <v>5112</v>
      </c>
      <c r="V1155" s="2">
        <v>5112</v>
      </c>
      <c r="Y1155" t="s">
        <v>4968</v>
      </c>
      <c r="Z1155">
        <v>0</v>
      </c>
      <c r="AA1155">
        <v>1</v>
      </c>
      <c r="AB1155">
        <v>0</v>
      </c>
      <c r="AC1155">
        <v>0</v>
      </c>
      <c r="AF1155">
        <v>1959</v>
      </c>
      <c r="AG1155">
        <v>1974</v>
      </c>
      <c r="AH1155">
        <v>3.0043401572528401</v>
      </c>
      <c r="AI1155">
        <v>3036.9230769230699</v>
      </c>
      <c r="AJ1155">
        <v>5.4194818181684896</v>
      </c>
      <c r="AK1155">
        <v>26.626666666666601</v>
      </c>
      <c r="AL1155">
        <v>0.87829417632495099</v>
      </c>
      <c r="AM1155">
        <v>5.5389371979879899E-2</v>
      </c>
      <c r="AN1155">
        <v>10</v>
      </c>
      <c r="AO1155" t="b">
        <v>0</v>
      </c>
      <c r="AT1155">
        <v>5560</v>
      </c>
      <c r="AU1155">
        <f t="shared" si="53"/>
        <v>15.233000000000001</v>
      </c>
    </row>
    <row r="1156" spans="1:47" x14ac:dyDescent="0.3">
      <c r="A1156">
        <v>1154</v>
      </c>
      <c r="B1156" t="s">
        <v>4969</v>
      </c>
      <c r="C1156" t="s">
        <v>4970</v>
      </c>
      <c r="D1156">
        <v>212</v>
      </c>
      <c r="E1156" t="s">
        <v>4903</v>
      </c>
      <c r="F1156" t="str">
        <f>VLOOKUP(E1156,country_continent!A:C,2,FALSE)</f>
        <v>Luxembourg</v>
      </c>
      <c r="G1156" t="str">
        <f>VLOOKUP(E1156,country_continent!A:C,3,FALSE)</f>
        <v>Europe</v>
      </c>
      <c r="H1156" t="s">
        <v>4971</v>
      </c>
      <c r="I1156" s="1">
        <v>27195</v>
      </c>
      <c r="J1156" s="3">
        <f t="shared" si="54"/>
        <v>27195</v>
      </c>
      <c r="K1156" s="1">
        <v>29055</v>
      </c>
      <c r="L1156" s="3">
        <f t="shared" si="55"/>
        <v>29055</v>
      </c>
      <c r="M1156" t="s">
        <v>49</v>
      </c>
      <c r="N1156" t="s">
        <v>49</v>
      </c>
      <c r="O1156" t="s">
        <v>49</v>
      </c>
      <c r="P1156">
        <v>0</v>
      </c>
      <c r="Q1156" t="s">
        <v>50</v>
      </c>
      <c r="R1156" t="s">
        <v>51</v>
      </c>
      <c r="S1156">
        <v>1928</v>
      </c>
      <c r="T1156">
        <v>2007</v>
      </c>
      <c r="U1156" s="1">
        <v>10474</v>
      </c>
      <c r="V1156" s="2">
        <v>10474</v>
      </c>
      <c r="Y1156" t="s">
        <v>4972</v>
      </c>
      <c r="Z1156">
        <v>0</v>
      </c>
      <c r="AA1156">
        <v>1</v>
      </c>
      <c r="AB1156">
        <v>0</v>
      </c>
      <c r="AC1156">
        <v>0</v>
      </c>
      <c r="AF1156">
        <v>1974</v>
      </c>
      <c r="AG1156">
        <v>1979</v>
      </c>
      <c r="AH1156">
        <v>0.78199869693888002</v>
      </c>
      <c r="AI1156">
        <v>9285</v>
      </c>
      <c r="AJ1156">
        <v>6.8329520606587897</v>
      </c>
      <c r="AK1156">
        <v>15.6</v>
      </c>
      <c r="AL1156">
        <v>0.57980030666126403</v>
      </c>
      <c r="AM1156">
        <v>0.117584741874146</v>
      </c>
      <c r="AN1156">
        <v>10</v>
      </c>
      <c r="AO1156" t="b">
        <v>0</v>
      </c>
      <c r="AT1156">
        <v>1860</v>
      </c>
      <c r="AU1156">
        <f t="shared" ref="AU1156:AU1219" si="56">ROUND(AT1156/365,3)</f>
        <v>5.0960000000000001</v>
      </c>
    </row>
    <row r="1157" spans="1:47" x14ac:dyDescent="0.3">
      <c r="A1157">
        <v>1155</v>
      </c>
      <c r="B1157" t="s">
        <v>4973</v>
      </c>
      <c r="C1157" t="s">
        <v>4966</v>
      </c>
      <c r="D1157">
        <v>212</v>
      </c>
      <c r="E1157" t="s">
        <v>4903</v>
      </c>
      <c r="F1157" t="str">
        <f>VLOOKUP(E1157,country_continent!A:C,2,FALSE)</f>
        <v>Luxembourg</v>
      </c>
      <c r="G1157" t="str">
        <f>VLOOKUP(E1157,country_continent!A:C,3,FALSE)</f>
        <v>Europe</v>
      </c>
      <c r="H1157" t="s">
        <v>4967</v>
      </c>
      <c r="I1157" s="1">
        <v>29055</v>
      </c>
      <c r="J1157" s="3">
        <f t="shared" si="54"/>
        <v>29055</v>
      </c>
      <c r="K1157" s="1">
        <v>30883</v>
      </c>
      <c r="L1157" s="3">
        <f t="shared" si="55"/>
        <v>30883</v>
      </c>
      <c r="M1157" t="s">
        <v>49</v>
      </c>
      <c r="N1157" t="s">
        <v>49</v>
      </c>
      <c r="O1157" t="s">
        <v>49</v>
      </c>
      <c r="P1157">
        <v>1</v>
      </c>
      <c r="Q1157" t="s">
        <v>50</v>
      </c>
      <c r="R1157" t="s">
        <v>51</v>
      </c>
      <c r="S1157">
        <v>1913</v>
      </c>
      <c r="T1157">
        <v>2002</v>
      </c>
      <c r="U1157" s="1">
        <v>5112</v>
      </c>
      <c r="V1157" s="2">
        <v>5112</v>
      </c>
      <c r="Y1157" t="s">
        <v>4968</v>
      </c>
      <c r="Z1157">
        <v>0</v>
      </c>
      <c r="AA1157">
        <v>1</v>
      </c>
      <c r="AB1157">
        <v>0</v>
      </c>
      <c r="AC1157">
        <v>0</v>
      </c>
      <c r="AF1157">
        <v>1979</v>
      </c>
      <c r="AG1157">
        <v>1984</v>
      </c>
      <c r="AH1157">
        <v>1.9721543150610501</v>
      </c>
      <c r="AI1157">
        <v>14151.666666666601</v>
      </c>
      <c r="AJ1157">
        <v>7.24922311899586</v>
      </c>
      <c r="AK1157">
        <v>12.733333333333301</v>
      </c>
      <c r="AL1157">
        <v>0.182738670836227</v>
      </c>
      <c r="AM1157">
        <v>4.8334612617297303E-2</v>
      </c>
      <c r="AN1157">
        <v>10</v>
      </c>
      <c r="AO1157" t="b">
        <v>0</v>
      </c>
      <c r="AT1157">
        <v>1828</v>
      </c>
      <c r="AU1157">
        <f t="shared" si="56"/>
        <v>5.008</v>
      </c>
    </row>
    <row r="1158" spans="1:47" x14ac:dyDescent="0.3">
      <c r="A1158">
        <v>1156</v>
      </c>
      <c r="B1158" t="s">
        <v>4974</v>
      </c>
      <c r="C1158" t="s">
        <v>4975</v>
      </c>
      <c r="D1158">
        <v>212</v>
      </c>
      <c r="E1158" t="s">
        <v>4903</v>
      </c>
      <c r="F1158" t="str">
        <f>VLOOKUP(E1158,country_continent!A:C,2,FALSE)</f>
        <v>Luxembourg</v>
      </c>
      <c r="G1158" t="str">
        <f>VLOOKUP(E1158,country_continent!A:C,3,FALSE)</f>
        <v>Europe</v>
      </c>
      <c r="H1158" t="s">
        <v>4976</v>
      </c>
      <c r="I1158" s="1">
        <v>30883</v>
      </c>
      <c r="J1158" s="3">
        <f t="shared" si="54"/>
        <v>30883</v>
      </c>
      <c r="K1158" s="1">
        <v>34719</v>
      </c>
      <c r="L1158" s="3">
        <f t="shared" si="55"/>
        <v>34719</v>
      </c>
      <c r="M1158" t="s">
        <v>49</v>
      </c>
      <c r="N1158" t="s">
        <v>49</v>
      </c>
      <c r="O1158" t="s">
        <v>49</v>
      </c>
      <c r="P1158">
        <v>0</v>
      </c>
      <c r="Q1158" t="s">
        <v>50</v>
      </c>
      <c r="R1158" t="s">
        <v>51</v>
      </c>
      <c r="S1158">
        <v>1937</v>
      </c>
      <c r="T1158">
        <v>-777</v>
      </c>
      <c r="U1158" s="1">
        <v>13653</v>
      </c>
      <c r="V1158" s="2">
        <v>13653</v>
      </c>
      <c r="Y1158" t="s">
        <v>4977</v>
      </c>
      <c r="Z1158">
        <v>0</v>
      </c>
      <c r="AA1158">
        <v>1</v>
      </c>
      <c r="AB1158">
        <v>0</v>
      </c>
      <c r="AC1158">
        <v>0</v>
      </c>
      <c r="AF1158">
        <v>1984</v>
      </c>
      <c r="AG1158">
        <v>1995</v>
      </c>
      <c r="AH1158">
        <v>4.5654999557143201</v>
      </c>
      <c r="AI1158">
        <v>29048.333333333299</v>
      </c>
      <c r="AJ1158">
        <v>2.8490974782878</v>
      </c>
      <c r="AK1158">
        <v>9.0083333333333293</v>
      </c>
      <c r="AL1158">
        <v>0.92664876850100897</v>
      </c>
      <c r="AM1158">
        <v>3.2134229513694698E-2</v>
      </c>
      <c r="AN1158">
        <v>10</v>
      </c>
      <c r="AO1158" t="b">
        <v>0</v>
      </c>
      <c r="AT1158">
        <v>3836</v>
      </c>
      <c r="AU1158">
        <f t="shared" si="56"/>
        <v>10.51</v>
      </c>
    </row>
    <row r="1159" spans="1:47" x14ac:dyDescent="0.3">
      <c r="A1159">
        <v>1157</v>
      </c>
      <c r="B1159" t="s">
        <v>4978</v>
      </c>
      <c r="C1159" t="s">
        <v>4979</v>
      </c>
      <c r="D1159">
        <v>212</v>
      </c>
      <c r="E1159" t="s">
        <v>4903</v>
      </c>
      <c r="F1159" t="str">
        <f>VLOOKUP(E1159,country_continent!A:C,2,FALSE)</f>
        <v>Luxembourg</v>
      </c>
      <c r="G1159" t="str">
        <f>VLOOKUP(E1159,country_continent!A:C,3,FALSE)</f>
        <v>Europe</v>
      </c>
      <c r="H1159" t="s">
        <v>4980</v>
      </c>
      <c r="I1159" s="1">
        <v>34719</v>
      </c>
      <c r="J1159" s="3">
        <f t="shared" si="54"/>
        <v>34719</v>
      </c>
      <c r="K1159" s="1">
        <v>41612</v>
      </c>
      <c r="L1159" s="3">
        <f t="shared" si="55"/>
        <v>41612</v>
      </c>
      <c r="M1159" t="s">
        <v>49</v>
      </c>
      <c r="N1159" t="s">
        <v>49</v>
      </c>
      <c r="O1159" t="s">
        <v>49</v>
      </c>
      <c r="P1159">
        <v>0</v>
      </c>
      <c r="Q1159" t="s">
        <v>50</v>
      </c>
      <c r="R1159" t="s">
        <v>51</v>
      </c>
      <c r="S1159">
        <v>1954</v>
      </c>
      <c r="T1159">
        <v>-777</v>
      </c>
      <c r="Z1159">
        <v>0</v>
      </c>
      <c r="AA1159">
        <v>1</v>
      </c>
      <c r="AB1159">
        <v>0</v>
      </c>
      <c r="AC1159">
        <v>0</v>
      </c>
      <c r="AF1159">
        <v>1995</v>
      </c>
      <c r="AG1159">
        <v>2013</v>
      </c>
      <c r="AH1159">
        <v>1.8564609639352301</v>
      </c>
      <c r="AI1159">
        <v>62914.736842105202</v>
      </c>
      <c r="AJ1159">
        <v>3.0483434049384899</v>
      </c>
      <c r="AK1159">
        <v>3.9894736842105201</v>
      </c>
      <c r="AL1159">
        <v>1.5737981224955</v>
      </c>
      <c r="AM1159">
        <v>4.9918003074914501E-2</v>
      </c>
      <c r="AN1159">
        <v>10</v>
      </c>
      <c r="AO1159" t="b">
        <v>0</v>
      </c>
      <c r="AT1159">
        <v>6893</v>
      </c>
      <c r="AU1159">
        <f t="shared" si="56"/>
        <v>18.885000000000002</v>
      </c>
    </row>
    <row r="1160" spans="1:47" x14ac:dyDescent="0.3">
      <c r="A1160">
        <v>1158</v>
      </c>
      <c r="B1160" t="s">
        <v>4981</v>
      </c>
      <c r="C1160" t="s">
        <v>4982</v>
      </c>
      <c r="D1160">
        <v>212</v>
      </c>
      <c r="E1160" t="s">
        <v>4903</v>
      </c>
      <c r="F1160" t="str">
        <f>VLOOKUP(E1160,country_continent!A:C,2,FALSE)</f>
        <v>Luxembourg</v>
      </c>
      <c r="G1160" t="str">
        <f>VLOOKUP(E1160,country_continent!A:C,3,FALSE)</f>
        <v>Europe</v>
      </c>
      <c r="H1160" t="s">
        <v>4983</v>
      </c>
      <c r="I1160" s="1">
        <v>41612</v>
      </c>
      <c r="J1160" s="3">
        <f t="shared" si="54"/>
        <v>41612</v>
      </c>
      <c r="K1160" s="1">
        <v>42369</v>
      </c>
      <c r="L1160" s="3">
        <f t="shared" si="55"/>
        <v>42369</v>
      </c>
      <c r="M1160" t="s">
        <v>49</v>
      </c>
      <c r="N1160" t="s">
        <v>173</v>
      </c>
      <c r="O1160" t="s">
        <v>173</v>
      </c>
      <c r="P1160">
        <v>0</v>
      </c>
      <c r="Q1160" t="s">
        <v>174</v>
      </c>
      <c r="R1160" t="s">
        <v>51</v>
      </c>
      <c r="S1160">
        <v>1973</v>
      </c>
      <c r="T1160">
        <v>-777</v>
      </c>
      <c r="U1160" s="1">
        <v>26726</v>
      </c>
      <c r="V1160" s="2">
        <v>26726</v>
      </c>
      <c r="Z1160">
        <v>0</v>
      </c>
      <c r="AA1160">
        <v>-888</v>
      </c>
      <c r="AB1160">
        <v>-888</v>
      </c>
      <c r="AC1160">
        <v>-888</v>
      </c>
      <c r="AF1160">
        <v>2013</v>
      </c>
      <c r="AG1160">
        <v>2015</v>
      </c>
      <c r="AH1160">
        <v>0.31058012370742899</v>
      </c>
      <c r="AI1160">
        <v>81816.666666666599</v>
      </c>
      <c r="AJ1160">
        <v>2.4306358069791401</v>
      </c>
      <c r="AK1160">
        <v>2.6</v>
      </c>
      <c r="AL1160">
        <v>2.34270204632042</v>
      </c>
      <c r="AM1160">
        <v>4.2923434504671502E-2</v>
      </c>
      <c r="AN1160">
        <v>10</v>
      </c>
      <c r="AO1160" t="b">
        <v>0</v>
      </c>
      <c r="AT1160">
        <v>757</v>
      </c>
      <c r="AU1160">
        <f t="shared" si="56"/>
        <v>2.0739999999999998</v>
      </c>
    </row>
    <row r="1161" spans="1:47" x14ac:dyDescent="0.3">
      <c r="A1161">
        <v>1159</v>
      </c>
      <c r="B1161" t="s">
        <v>4984</v>
      </c>
      <c r="C1161" t="s">
        <v>4985</v>
      </c>
      <c r="D1161">
        <v>220</v>
      </c>
      <c r="E1161" t="s">
        <v>4986</v>
      </c>
      <c r="F1161" t="str">
        <f>VLOOKUP(E1161,country_continent!A:C,2,FALSE)</f>
        <v>France</v>
      </c>
      <c r="G1161" t="str">
        <f>VLOOKUP(E1161,country_continent!A:C,3,FALSE)</f>
        <v>Europe</v>
      </c>
      <c r="H1161" t="s">
        <v>4987</v>
      </c>
      <c r="I1161" t="s">
        <v>14309</v>
      </c>
      <c r="J1161" s="3" t="str">
        <f t="shared" si="54"/>
        <v>1874/05/22</v>
      </c>
      <c r="K1161" t="s">
        <v>4990</v>
      </c>
      <c r="L1161" s="3" t="str">
        <f t="shared" si="55"/>
        <v>1875/02/25</v>
      </c>
      <c r="M1161" t="s">
        <v>49</v>
      </c>
      <c r="N1161" t="s">
        <v>49</v>
      </c>
      <c r="O1161" t="s">
        <v>49</v>
      </c>
      <c r="P1161">
        <v>0</v>
      </c>
      <c r="Q1161" t="s">
        <v>50</v>
      </c>
      <c r="R1161" t="s">
        <v>51</v>
      </c>
      <c r="S1161">
        <v>1810</v>
      </c>
      <c r="T1161">
        <v>1882</v>
      </c>
      <c r="Y1161" t="s">
        <v>4991</v>
      </c>
      <c r="Z1161">
        <v>0</v>
      </c>
      <c r="AA1161">
        <v>1</v>
      </c>
      <c r="AB1161">
        <v>0</v>
      </c>
      <c r="AC1161">
        <v>0</v>
      </c>
      <c r="AF1161">
        <v>1874</v>
      </c>
      <c r="AG1161">
        <v>1875</v>
      </c>
      <c r="AO1161" t="b">
        <v>1</v>
      </c>
      <c r="AP1161" t="s">
        <v>958</v>
      </c>
      <c r="AQ1161">
        <v>1966</v>
      </c>
      <c r="AR1161">
        <v>2016</v>
      </c>
      <c r="AS1161" t="s">
        <v>4992</v>
      </c>
      <c r="AT1161">
        <v>0.76386036960985604</v>
      </c>
      <c r="AU1161">
        <f t="shared" si="56"/>
        <v>2E-3</v>
      </c>
    </row>
    <row r="1162" spans="1:47" x14ac:dyDescent="0.3">
      <c r="A1162">
        <v>1160</v>
      </c>
      <c r="B1162" t="s">
        <v>4993</v>
      </c>
      <c r="C1162" t="s">
        <v>4994</v>
      </c>
      <c r="D1162">
        <v>220</v>
      </c>
      <c r="E1162" t="s">
        <v>4986</v>
      </c>
      <c r="F1162" t="str">
        <f>VLOOKUP(E1162,country_continent!A:C,2,FALSE)</f>
        <v>France</v>
      </c>
      <c r="G1162" t="str">
        <f>VLOOKUP(E1162,country_continent!A:C,3,FALSE)</f>
        <v>Europe</v>
      </c>
      <c r="H1162" t="s">
        <v>4995</v>
      </c>
      <c r="I1162" t="s">
        <v>4996</v>
      </c>
      <c r="J1162" s="3" t="str">
        <f t="shared" si="54"/>
        <v>1875/03/10</v>
      </c>
      <c r="K1162" t="s">
        <v>4997</v>
      </c>
      <c r="L1162" s="3" t="str">
        <f t="shared" si="55"/>
        <v>1876/02/21</v>
      </c>
      <c r="M1162" t="s">
        <v>49</v>
      </c>
      <c r="N1162" t="s">
        <v>49</v>
      </c>
      <c r="O1162" t="s">
        <v>49</v>
      </c>
      <c r="P1162">
        <v>0</v>
      </c>
      <c r="Q1162" t="s">
        <v>50</v>
      </c>
      <c r="R1162" t="s">
        <v>51</v>
      </c>
      <c r="S1162">
        <v>1818</v>
      </c>
      <c r="T1162">
        <v>1898</v>
      </c>
      <c r="Y1162" t="s">
        <v>4998</v>
      </c>
      <c r="Z1162">
        <v>0</v>
      </c>
      <c r="AA1162">
        <v>1</v>
      </c>
      <c r="AB1162">
        <v>0</v>
      </c>
      <c r="AC1162">
        <v>0</v>
      </c>
      <c r="AF1162">
        <v>1875</v>
      </c>
      <c r="AG1162">
        <v>1876</v>
      </c>
      <c r="AO1162" t="b">
        <v>1</v>
      </c>
      <c r="AP1162" t="s">
        <v>958</v>
      </c>
      <c r="AQ1162">
        <v>1966</v>
      </c>
      <c r="AR1162">
        <v>2016</v>
      </c>
      <c r="AS1162" t="s">
        <v>4999</v>
      </c>
      <c r="AT1162">
        <v>0.95277207392197105</v>
      </c>
      <c r="AU1162">
        <f t="shared" si="56"/>
        <v>3.0000000000000001E-3</v>
      </c>
    </row>
    <row r="1163" spans="1:47" x14ac:dyDescent="0.3">
      <c r="A1163">
        <v>1161</v>
      </c>
      <c r="B1163" t="s">
        <v>5000</v>
      </c>
      <c r="C1163" t="s">
        <v>5001</v>
      </c>
      <c r="D1163">
        <v>220</v>
      </c>
      <c r="E1163" t="s">
        <v>4986</v>
      </c>
      <c r="F1163" t="str">
        <f>VLOOKUP(E1163,country_continent!A:C,2,FALSE)</f>
        <v>France</v>
      </c>
      <c r="G1163" t="str">
        <f>VLOOKUP(E1163,country_continent!A:C,3,FALSE)</f>
        <v>Europe</v>
      </c>
      <c r="H1163" t="s">
        <v>5002</v>
      </c>
      <c r="I1163" t="s">
        <v>5003</v>
      </c>
      <c r="J1163" s="3" t="str">
        <f t="shared" si="54"/>
        <v>1876/02/22</v>
      </c>
      <c r="K1163" t="s">
        <v>5004</v>
      </c>
      <c r="L1163" s="3" t="str">
        <f t="shared" si="55"/>
        <v>1876/12/12</v>
      </c>
      <c r="M1163" t="s">
        <v>49</v>
      </c>
      <c r="N1163" t="s">
        <v>49</v>
      </c>
      <c r="O1163" t="s">
        <v>49</v>
      </c>
      <c r="P1163">
        <v>1</v>
      </c>
      <c r="Q1163" t="s">
        <v>50</v>
      </c>
      <c r="R1163" t="s">
        <v>51</v>
      </c>
      <c r="S1163">
        <v>1798</v>
      </c>
      <c r="T1163">
        <v>1881</v>
      </c>
      <c r="Z1163">
        <v>0</v>
      </c>
      <c r="AA1163">
        <v>1</v>
      </c>
      <c r="AB1163">
        <v>0</v>
      </c>
      <c r="AC1163">
        <v>0</v>
      </c>
      <c r="AF1163">
        <v>1876</v>
      </c>
      <c r="AG1163">
        <v>1876</v>
      </c>
      <c r="AO1163" t="b">
        <v>1</v>
      </c>
      <c r="AP1163" t="s">
        <v>958</v>
      </c>
      <c r="AQ1163">
        <v>1966</v>
      </c>
      <c r="AR1163">
        <v>2016</v>
      </c>
      <c r="AS1163" t="s">
        <v>5005</v>
      </c>
      <c r="AT1163">
        <v>0.80492813141683695</v>
      </c>
      <c r="AU1163">
        <f t="shared" si="56"/>
        <v>2E-3</v>
      </c>
    </row>
    <row r="1164" spans="1:47" x14ac:dyDescent="0.3">
      <c r="A1164">
        <v>1162</v>
      </c>
      <c r="B1164" t="s">
        <v>5006</v>
      </c>
      <c r="C1164" t="s">
        <v>5007</v>
      </c>
      <c r="D1164">
        <v>220</v>
      </c>
      <c r="E1164" t="s">
        <v>4986</v>
      </c>
      <c r="F1164" t="str">
        <f>VLOOKUP(E1164,country_continent!A:C,2,FALSE)</f>
        <v>France</v>
      </c>
      <c r="G1164" t="str">
        <f>VLOOKUP(E1164,country_continent!A:C,3,FALSE)</f>
        <v>Europe</v>
      </c>
      <c r="H1164" t="s">
        <v>5008</v>
      </c>
      <c r="I1164" t="s">
        <v>5004</v>
      </c>
      <c r="J1164" s="3" t="str">
        <f t="shared" si="54"/>
        <v>1876/12/12</v>
      </c>
      <c r="K1164" t="s">
        <v>5009</v>
      </c>
      <c r="L1164" s="3" t="str">
        <f t="shared" si="55"/>
        <v>1877/05/16</v>
      </c>
      <c r="M1164" t="s">
        <v>49</v>
      </c>
      <c r="N1164" t="s">
        <v>49</v>
      </c>
      <c r="O1164" t="s">
        <v>49</v>
      </c>
      <c r="P1164">
        <v>0</v>
      </c>
      <c r="Q1164" t="s">
        <v>50</v>
      </c>
      <c r="R1164" t="s">
        <v>51</v>
      </c>
      <c r="S1164">
        <v>1814</v>
      </c>
      <c r="T1164">
        <v>1896</v>
      </c>
      <c r="Y1164" t="s">
        <v>5010</v>
      </c>
      <c r="Z1164">
        <v>0</v>
      </c>
      <c r="AA1164">
        <v>1</v>
      </c>
      <c r="AB1164">
        <v>0</v>
      </c>
      <c r="AC1164">
        <v>0</v>
      </c>
      <c r="AF1164">
        <v>1876</v>
      </c>
      <c r="AG1164">
        <v>1877</v>
      </c>
      <c r="AO1164" t="b">
        <v>1</v>
      </c>
      <c r="AP1164" t="s">
        <v>958</v>
      </c>
      <c r="AQ1164">
        <v>1966</v>
      </c>
      <c r="AR1164">
        <v>2016</v>
      </c>
      <c r="AS1164" t="s">
        <v>5011</v>
      </c>
      <c r="AT1164">
        <v>0.42436687200547502</v>
      </c>
      <c r="AU1164">
        <f t="shared" si="56"/>
        <v>1E-3</v>
      </c>
    </row>
    <row r="1165" spans="1:47" x14ac:dyDescent="0.3">
      <c r="A1165">
        <v>1163</v>
      </c>
      <c r="B1165" t="s">
        <v>5012</v>
      </c>
      <c r="C1165" t="s">
        <v>5013</v>
      </c>
      <c r="D1165">
        <v>220</v>
      </c>
      <c r="E1165" t="s">
        <v>4986</v>
      </c>
      <c r="F1165" t="str">
        <f>VLOOKUP(E1165,country_continent!A:C,2,FALSE)</f>
        <v>France</v>
      </c>
      <c r="G1165" t="str">
        <f>VLOOKUP(E1165,country_continent!A:C,3,FALSE)</f>
        <v>Europe</v>
      </c>
      <c r="H1165" t="s">
        <v>5014</v>
      </c>
      <c r="I1165" t="s">
        <v>5015</v>
      </c>
      <c r="J1165" s="3" t="str">
        <f t="shared" si="54"/>
        <v>1877/05/18</v>
      </c>
      <c r="K1165" t="s">
        <v>5016</v>
      </c>
      <c r="L1165" s="3" t="str">
        <f t="shared" si="55"/>
        <v>1877/11/23</v>
      </c>
      <c r="M1165" t="s">
        <v>49</v>
      </c>
      <c r="N1165" t="s">
        <v>49</v>
      </c>
      <c r="O1165" t="s">
        <v>49</v>
      </c>
      <c r="P1165">
        <v>1</v>
      </c>
      <c r="Q1165" t="s">
        <v>50</v>
      </c>
      <c r="R1165" t="s">
        <v>51</v>
      </c>
      <c r="S1165">
        <v>1821</v>
      </c>
      <c r="T1165">
        <v>1901</v>
      </c>
      <c r="Z1165">
        <v>0</v>
      </c>
      <c r="AA1165">
        <v>1</v>
      </c>
      <c r="AB1165">
        <v>0</v>
      </c>
      <c r="AC1165">
        <v>0</v>
      </c>
      <c r="AF1165">
        <v>1877</v>
      </c>
      <c r="AG1165">
        <v>1877</v>
      </c>
      <c r="AO1165" t="b">
        <v>1</v>
      </c>
      <c r="AP1165" t="s">
        <v>958</v>
      </c>
      <c r="AQ1165">
        <v>1966</v>
      </c>
      <c r="AR1165">
        <v>2016</v>
      </c>
      <c r="AS1165" t="s">
        <v>5017</v>
      </c>
      <c r="AT1165">
        <v>0.51745379876796704</v>
      </c>
      <c r="AU1165">
        <f t="shared" si="56"/>
        <v>1E-3</v>
      </c>
    </row>
    <row r="1166" spans="1:47" x14ac:dyDescent="0.3">
      <c r="A1166">
        <v>1164</v>
      </c>
      <c r="B1166" t="s">
        <v>5018</v>
      </c>
      <c r="C1166" t="s">
        <v>5019</v>
      </c>
      <c r="D1166">
        <v>220</v>
      </c>
      <c r="E1166" t="s">
        <v>4986</v>
      </c>
      <c r="F1166" t="str">
        <f>VLOOKUP(E1166,country_continent!A:C,2,FALSE)</f>
        <v>France</v>
      </c>
      <c r="G1166" t="str">
        <f>VLOOKUP(E1166,country_continent!A:C,3,FALSE)</f>
        <v>Europe</v>
      </c>
      <c r="H1166" t="s">
        <v>5020</v>
      </c>
      <c r="I1166" t="s">
        <v>5016</v>
      </c>
      <c r="J1166" s="3" t="str">
        <f t="shared" si="54"/>
        <v>1877/11/23</v>
      </c>
      <c r="K1166" t="s">
        <v>5021</v>
      </c>
      <c r="L1166" s="3" t="str">
        <f t="shared" si="55"/>
        <v>1877/12/12</v>
      </c>
      <c r="M1166" t="s">
        <v>49</v>
      </c>
      <c r="N1166" t="s">
        <v>49</v>
      </c>
      <c r="O1166" t="s">
        <v>49</v>
      </c>
      <c r="P1166">
        <v>0</v>
      </c>
      <c r="Q1166" t="s">
        <v>50</v>
      </c>
      <c r="R1166" t="s">
        <v>51</v>
      </c>
      <c r="S1166">
        <v>1813</v>
      </c>
      <c r="T1166">
        <v>1899</v>
      </c>
      <c r="Y1166" t="s">
        <v>5022</v>
      </c>
      <c r="Z1166">
        <v>0</v>
      </c>
      <c r="AA1166">
        <v>1</v>
      </c>
      <c r="AB1166">
        <v>0</v>
      </c>
      <c r="AC1166">
        <v>0</v>
      </c>
      <c r="AF1166">
        <v>1877</v>
      </c>
      <c r="AG1166">
        <v>1877</v>
      </c>
      <c r="AO1166" t="b">
        <v>1</v>
      </c>
      <c r="AP1166" t="s">
        <v>958</v>
      </c>
      <c r="AQ1166">
        <v>1966</v>
      </c>
      <c r="AR1166">
        <v>2016</v>
      </c>
      <c r="AS1166" t="s">
        <v>5023</v>
      </c>
      <c r="AT1166">
        <v>5.20191649555099E-2</v>
      </c>
      <c r="AU1166">
        <f t="shared" si="56"/>
        <v>0</v>
      </c>
    </row>
    <row r="1167" spans="1:47" x14ac:dyDescent="0.3">
      <c r="A1167">
        <v>1165</v>
      </c>
      <c r="B1167" t="s">
        <v>5024</v>
      </c>
      <c r="C1167" t="s">
        <v>5001</v>
      </c>
      <c r="D1167">
        <v>220</v>
      </c>
      <c r="E1167" t="s">
        <v>4986</v>
      </c>
      <c r="F1167" t="str">
        <f>VLOOKUP(E1167,country_continent!A:C,2,FALSE)</f>
        <v>France</v>
      </c>
      <c r="G1167" t="str">
        <f>VLOOKUP(E1167,country_continent!A:C,3,FALSE)</f>
        <v>Europe</v>
      </c>
      <c r="H1167" t="s">
        <v>5002</v>
      </c>
      <c r="I1167" t="s">
        <v>5025</v>
      </c>
      <c r="J1167" s="3" t="str">
        <f t="shared" si="54"/>
        <v>1877/12/14</v>
      </c>
      <c r="K1167" t="s">
        <v>5026</v>
      </c>
      <c r="L1167" s="3" t="str">
        <f t="shared" si="55"/>
        <v>1879/01/30</v>
      </c>
      <c r="M1167" t="s">
        <v>49</v>
      </c>
      <c r="N1167" t="s">
        <v>49</v>
      </c>
      <c r="O1167" t="s">
        <v>49</v>
      </c>
      <c r="P1167">
        <v>2</v>
      </c>
      <c r="Q1167" t="s">
        <v>50</v>
      </c>
      <c r="R1167" t="s">
        <v>51</v>
      </c>
      <c r="S1167">
        <v>1798</v>
      </c>
      <c r="T1167">
        <v>1881</v>
      </c>
      <c r="Z1167">
        <v>0</v>
      </c>
      <c r="AA1167">
        <v>1</v>
      </c>
      <c r="AB1167">
        <v>0</v>
      </c>
      <c r="AC1167">
        <v>0</v>
      </c>
      <c r="AF1167">
        <v>1877</v>
      </c>
      <c r="AG1167">
        <v>1879</v>
      </c>
      <c r="AO1167" t="b">
        <v>1</v>
      </c>
      <c r="AP1167" t="s">
        <v>958</v>
      </c>
      <c r="AQ1167">
        <v>1966</v>
      </c>
      <c r="AR1167">
        <v>2016</v>
      </c>
      <c r="AS1167" t="s">
        <v>5027</v>
      </c>
      <c r="AT1167">
        <v>1.12799452429842</v>
      </c>
      <c r="AU1167">
        <f t="shared" si="56"/>
        <v>3.0000000000000001E-3</v>
      </c>
    </row>
    <row r="1168" spans="1:47" x14ac:dyDescent="0.3">
      <c r="A1168">
        <v>1166</v>
      </c>
      <c r="B1168" t="s">
        <v>5028</v>
      </c>
      <c r="C1168" t="s">
        <v>5029</v>
      </c>
      <c r="D1168">
        <v>220</v>
      </c>
      <c r="E1168" t="s">
        <v>4986</v>
      </c>
      <c r="F1168" t="str">
        <f>VLOOKUP(E1168,country_continent!A:C,2,FALSE)</f>
        <v>France</v>
      </c>
      <c r="G1168" t="str">
        <f>VLOOKUP(E1168,country_continent!A:C,3,FALSE)</f>
        <v>Europe</v>
      </c>
      <c r="H1168" t="s">
        <v>5030</v>
      </c>
      <c r="I1168" t="s">
        <v>5031</v>
      </c>
      <c r="J1168" s="3" t="str">
        <f t="shared" si="54"/>
        <v>1879/02/04</v>
      </c>
      <c r="K1168" t="s">
        <v>5032</v>
      </c>
      <c r="L1168" s="3" t="str">
        <f t="shared" si="55"/>
        <v>1879/12/21</v>
      </c>
      <c r="M1168" t="s">
        <v>49</v>
      </c>
      <c r="N1168" t="s">
        <v>49</v>
      </c>
      <c r="O1168" t="s">
        <v>49</v>
      </c>
      <c r="P1168">
        <v>0</v>
      </c>
      <c r="Q1168" t="s">
        <v>50</v>
      </c>
      <c r="R1168" t="s">
        <v>51</v>
      </c>
      <c r="S1168">
        <v>1826</v>
      </c>
      <c r="T1168">
        <v>1894</v>
      </c>
      <c r="Y1168" t="s">
        <v>5034</v>
      </c>
      <c r="Z1168">
        <v>0</v>
      </c>
      <c r="AA1168">
        <v>1</v>
      </c>
      <c r="AB1168">
        <v>0</v>
      </c>
      <c r="AC1168">
        <v>0</v>
      </c>
      <c r="AF1168">
        <v>1879</v>
      </c>
      <c r="AG1168">
        <v>1879</v>
      </c>
      <c r="AO1168" t="b">
        <v>1</v>
      </c>
      <c r="AP1168" t="s">
        <v>958</v>
      </c>
      <c r="AQ1168">
        <v>1966</v>
      </c>
      <c r="AR1168">
        <v>2016</v>
      </c>
      <c r="AS1168" t="s">
        <v>5035</v>
      </c>
      <c r="AT1168">
        <v>0.87611225188227204</v>
      </c>
      <c r="AU1168">
        <f t="shared" si="56"/>
        <v>2E-3</v>
      </c>
    </row>
    <row r="1169" spans="1:47" x14ac:dyDescent="0.3">
      <c r="A1169">
        <v>1167</v>
      </c>
      <c r="B1169" t="s">
        <v>5036</v>
      </c>
      <c r="C1169" t="s">
        <v>5037</v>
      </c>
      <c r="D1169">
        <v>220</v>
      </c>
      <c r="E1169" t="s">
        <v>4986</v>
      </c>
      <c r="F1169" t="str">
        <f>VLOOKUP(E1169,country_continent!A:C,2,FALSE)</f>
        <v>France</v>
      </c>
      <c r="G1169" t="str">
        <f>VLOOKUP(E1169,country_continent!A:C,3,FALSE)</f>
        <v>Europe</v>
      </c>
      <c r="H1169" t="s">
        <v>5038</v>
      </c>
      <c r="I1169" t="s">
        <v>5039</v>
      </c>
      <c r="J1169" s="3" t="str">
        <f t="shared" si="54"/>
        <v>1879/12/29</v>
      </c>
      <c r="K1169" t="s">
        <v>5040</v>
      </c>
      <c r="L1169" s="3" t="str">
        <f t="shared" si="55"/>
        <v>1880/09/19</v>
      </c>
      <c r="M1169" t="s">
        <v>49</v>
      </c>
      <c r="N1169" t="s">
        <v>49</v>
      </c>
      <c r="O1169" t="s">
        <v>49</v>
      </c>
      <c r="P1169">
        <v>0</v>
      </c>
      <c r="Q1169" t="s">
        <v>50</v>
      </c>
      <c r="R1169" t="s">
        <v>51</v>
      </c>
      <c r="S1169">
        <v>1828</v>
      </c>
      <c r="T1169">
        <v>1923</v>
      </c>
      <c r="Y1169" t="s">
        <v>5041</v>
      </c>
      <c r="Z1169">
        <v>0</v>
      </c>
      <c r="AA1169">
        <v>1</v>
      </c>
      <c r="AB1169">
        <v>0</v>
      </c>
      <c r="AC1169">
        <v>0</v>
      </c>
      <c r="AF1169">
        <v>1879</v>
      </c>
      <c r="AG1169">
        <v>1880</v>
      </c>
      <c r="AO1169" t="b">
        <v>1</v>
      </c>
      <c r="AP1169" t="s">
        <v>958</v>
      </c>
      <c r="AQ1169">
        <v>1966</v>
      </c>
      <c r="AR1169">
        <v>2016</v>
      </c>
      <c r="AS1169" t="s">
        <v>5042</v>
      </c>
      <c r="AT1169">
        <v>0.72553045859000598</v>
      </c>
      <c r="AU1169">
        <f t="shared" si="56"/>
        <v>2E-3</v>
      </c>
    </row>
    <row r="1170" spans="1:47" x14ac:dyDescent="0.3">
      <c r="A1170">
        <v>1168</v>
      </c>
      <c r="B1170" t="s">
        <v>5043</v>
      </c>
      <c r="C1170" t="s">
        <v>5044</v>
      </c>
      <c r="D1170">
        <v>220</v>
      </c>
      <c r="E1170" t="s">
        <v>4986</v>
      </c>
      <c r="F1170" t="str">
        <f>VLOOKUP(E1170,country_continent!A:C,2,FALSE)</f>
        <v>France</v>
      </c>
      <c r="G1170" t="str">
        <f>VLOOKUP(E1170,country_continent!A:C,3,FALSE)</f>
        <v>Europe</v>
      </c>
      <c r="H1170" t="s">
        <v>5045</v>
      </c>
      <c r="I1170" t="s">
        <v>5046</v>
      </c>
      <c r="J1170" s="3" t="str">
        <f t="shared" si="54"/>
        <v>1880/09/22</v>
      </c>
      <c r="K1170" t="s">
        <v>5047</v>
      </c>
      <c r="L1170" s="3" t="str">
        <f t="shared" si="55"/>
        <v>1881/11/10</v>
      </c>
      <c r="M1170" t="s">
        <v>49</v>
      </c>
      <c r="N1170" t="s">
        <v>49</v>
      </c>
      <c r="O1170" t="s">
        <v>49</v>
      </c>
      <c r="P1170">
        <v>0</v>
      </c>
      <c r="Q1170" t="s">
        <v>50</v>
      </c>
      <c r="R1170" t="s">
        <v>51</v>
      </c>
      <c r="S1170">
        <v>1832</v>
      </c>
      <c r="T1170">
        <v>1893</v>
      </c>
      <c r="Y1170" t="s">
        <v>5048</v>
      </c>
      <c r="Z1170">
        <v>0</v>
      </c>
      <c r="AA1170">
        <v>1</v>
      </c>
      <c r="AB1170">
        <v>0</v>
      </c>
      <c r="AC1170">
        <v>0</v>
      </c>
      <c r="AF1170">
        <v>1880</v>
      </c>
      <c r="AG1170">
        <v>1881</v>
      </c>
      <c r="AO1170" t="b">
        <v>1</v>
      </c>
      <c r="AP1170" t="s">
        <v>958</v>
      </c>
      <c r="AQ1170">
        <v>1966</v>
      </c>
      <c r="AR1170">
        <v>2016</v>
      </c>
      <c r="AS1170" t="s">
        <v>5049</v>
      </c>
      <c r="AT1170">
        <v>1.1334702258726801</v>
      </c>
      <c r="AU1170">
        <f t="shared" si="56"/>
        <v>3.0000000000000001E-3</v>
      </c>
    </row>
    <row r="1171" spans="1:47" x14ac:dyDescent="0.3">
      <c r="A1171">
        <v>1169</v>
      </c>
      <c r="B1171" t="s">
        <v>5050</v>
      </c>
      <c r="C1171" t="s">
        <v>5051</v>
      </c>
      <c r="D1171">
        <v>220</v>
      </c>
      <c r="E1171" t="s">
        <v>4986</v>
      </c>
      <c r="F1171" t="str">
        <f>VLOOKUP(E1171,country_continent!A:C,2,FALSE)</f>
        <v>France</v>
      </c>
      <c r="G1171" t="str">
        <f>VLOOKUP(E1171,country_continent!A:C,3,FALSE)</f>
        <v>Europe</v>
      </c>
      <c r="H1171" t="s">
        <v>5052</v>
      </c>
      <c r="I1171" t="s">
        <v>5053</v>
      </c>
      <c r="J1171" s="3" t="str">
        <f t="shared" si="54"/>
        <v>1881/11/14</v>
      </c>
      <c r="K1171" t="s">
        <v>5054</v>
      </c>
      <c r="L1171" s="3" t="str">
        <f t="shared" si="55"/>
        <v>1882/01/26</v>
      </c>
      <c r="M1171" t="s">
        <v>49</v>
      </c>
      <c r="N1171" t="s">
        <v>49</v>
      </c>
      <c r="O1171" t="s">
        <v>49</v>
      </c>
      <c r="P1171">
        <v>0</v>
      </c>
      <c r="Q1171" t="s">
        <v>50</v>
      </c>
      <c r="R1171" t="s">
        <v>51</v>
      </c>
      <c r="S1171">
        <v>1838</v>
      </c>
      <c r="T1171">
        <v>1882</v>
      </c>
      <c r="U1171" t="s">
        <v>5055</v>
      </c>
      <c r="V1171" t="s">
        <v>5056</v>
      </c>
      <c r="W1171" t="s">
        <v>5057</v>
      </c>
      <c r="X1171" t="s">
        <v>5058</v>
      </c>
      <c r="Y1171" t="s">
        <v>5059</v>
      </c>
      <c r="Z1171">
        <v>0</v>
      </c>
      <c r="AA1171">
        <v>1</v>
      </c>
      <c r="AB1171">
        <v>0</v>
      </c>
      <c r="AC1171">
        <v>0</v>
      </c>
      <c r="AF1171">
        <v>1881</v>
      </c>
      <c r="AG1171">
        <v>1882</v>
      </c>
      <c r="AO1171" t="b">
        <v>1</v>
      </c>
      <c r="AP1171" t="s">
        <v>958</v>
      </c>
      <c r="AQ1171">
        <v>1966</v>
      </c>
      <c r="AR1171">
        <v>2016</v>
      </c>
      <c r="AS1171" t="s">
        <v>5060</v>
      </c>
      <c r="AT1171">
        <v>0.19986310746064301</v>
      </c>
      <c r="AU1171">
        <f t="shared" si="56"/>
        <v>1E-3</v>
      </c>
    </row>
    <row r="1172" spans="1:47" x14ac:dyDescent="0.3">
      <c r="A1172">
        <v>1170</v>
      </c>
      <c r="B1172" t="s">
        <v>5061</v>
      </c>
      <c r="C1172" t="s">
        <v>5037</v>
      </c>
      <c r="D1172">
        <v>220</v>
      </c>
      <c r="E1172" t="s">
        <v>4986</v>
      </c>
      <c r="F1172" t="str">
        <f>VLOOKUP(E1172,country_continent!A:C,2,FALSE)</f>
        <v>France</v>
      </c>
      <c r="G1172" t="str">
        <f>VLOOKUP(E1172,country_continent!A:C,3,FALSE)</f>
        <v>Europe</v>
      </c>
      <c r="H1172" t="s">
        <v>5038</v>
      </c>
      <c r="I1172" t="s">
        <v>5062</v>
      </c>
      <c r="J1172" s="3" t="str">
        <f t="shared" si="54"/>
        <v>1882/01/31</v>
      </c>
      <c r="K1172" t="s">
        <v>5063</v>
      </c>
      <c r="L1172" s="3" t="str">
        <f t="shared" si="55"/>
        <v>1882/07/29</v>
      </c>
      <c r="M1172" t="s">
        <v>49</v>
      </c>
      <c r="N1172" t="s">
        <v>49</v>
      </c>
      <c r="O1172" t="s">
        <v>49</v>
      </c>
      <c r="P1172">
        <v>1</v>
      </c>
      <c r="Q1172" t="s">
        <v>50</v>
      </c>
      <c r="R1172" t="s">
        <v>51</v>
      </c>
      <c r="S1172">
        <v>1828</v>
      </c>
      <c r="T1172">
        <v>1923</v>
      </c>
      <c r="Y1172" t="s">
        <v>5041</v>
      </c>
      <c r="Z1172">
        <v>0</v>
      </c>
      <c r="AA1172">
        <v>1</v>
      </c>
      <c r="AB1172">
        <v>0</v>
      </c>
      <c r="AC1172">
        <v>0</v>
      </c>
      <c r="AF1172">
        <v>1882</v>
      </c>
      <c r="AG1172">
        <v>1882</v>
      </c>
      <c r="AO1172" t="b">
        <v>1</v>
      </c>
      <c r="AP1172" t="s">
        <v>958</v>
      </c>
      <c r="AQ1172">
        <v>1966</v>
      </c>
      <c r="AR1172">
        <v>2016</v>
      </c>
      <c r="AS1172" t="s">
        <v>5064</v>
      </c>
      <c r="AT1172">
        <v>0.49007529089664598</v>
      </c>
      <c r="AU1172">
        <f t="shared" si="56"/>
        <v>1E-3</v>
      </c>
    </row>
    <row r="1173" spans="1:47" x14ac:dyDescent="0.3">
      <c r="A1173">
        <v>1171</v>
      </c>
      <c r="B1173" t="s">
        <v>5065</v>
      </c>
      <c r="C1173" t="s">
        <v>5066</v>
      </c>
      <c r="D1173">
        <v>220</v>
      </c>
      <c r="E1173" t="s">
        <v>4986</v>
      </c>
      <c r="F1173" t="str">
        <f>VLOOKUP(E1173,country_continent!A:C,2,FALSE)</f>
        <v>France</v>
      </c>
      <c r="G1173" t="str">
        <f>VLOOKUP(E1173,country_continent!A:C,3,FALSE)</f>
        <v>Europe</v>
      </c>
      <c r="H1173" t="s">
        <v>5067</v>
      </c>
      <c r="I1173" t="s">
        <v>5068</v>
      </c>
      <c r="J1173" s="3" t="str">
        <f t="shared" si="54"/>
        <v>1882/08/08</v>
      </c>
      <c r="K1173" t="s">
        <v>5069</v>
      </c>
      <c r="L1173" s="3" t="str">
        <f t="shared" si="55"/>
        <v>1883/01/28</v>
      </c>
      <c r="M1173" t="s">
        <v>49</v>
      </c>
      <c r="N1173" t="s">
        <v>49</v>
      </c>
      <c r="O1173" t="s">
        <v>49</v>
      </c>
      <c r="P1173">
        <v>0</v>
      </c>
      <c r="Q1173" t="s">
        <v>50</v>
      </c>
      <c r="R1173" t="s">
        <v>51</v>
      </c>
      <c r="S1173">
        <v>1812</v>
      </c>
      <c r="T1173">
        <v>1888</v>
      </c>
      <c r="Y1173" t="s">
        <v>5070</v>
      </c>
      <c r="Z1173">
        <v>0</v>
      </c>
      <c r="AA1173">
        <v>1</v>
      </c>
      <c r="AB1173">
        <v>0</v>
      </c>
      <c r="AC1173">
        <v>0</v>
      </c>
      <c r="AF1173">
        <v>1882</v>
      </c>
      <c r="AG1173">
        <v>1883</v>
      </c>
      <c r="AO1173" t="b">
        <v>1</v>
      </c>
      <c r="AP1173" t="s">
        <v>958</v>
      </c>
      <c r="AQ1173">
        <v>1966</v>
      </c>
      <c r="AR1173">
        <v>2016</v>
      </c>
      <c r="AS1173" t="s">
        <v>5071</v>
      </c>
      <c r="AT1173">
        <v>0.47364818617385301</v>
      </c>
      <c r="AU1173">
        <f t="shared" si="56"/>
        <v>1E-3</v>
      </c>
    </row>
    <row r="1174" spans="1:47" x14ac:dyDescent="0.3">
      <c r="A1174">
        <v>1172</v>
      </c>
      <c r="B1174" t="s">
        <v>5072</v>
      </c>
      <c r="C1174" t="s">
        <v>5073</v>
      </c>
      <c r="D1174">
        <v>220</v>
      </c>
      <c r="E1174" t="s">
        <v>4986</v>
      </c>
      <c r="F1174" t="str">
        <f>VLOOKUP(E1174,country_continent!A:C,2,FALSE)</f>
        <v>France</v>
      </c>
      <c r="G1174" t="str">
        <f>VLOOKUP(E1174,country_continent!A:C,3,FALSE)</f>
        <v>Europe</v>
      </c>
      <c r="H1174" t="s">
        <v>5074</v>
      </c>
      <c r="I1174" t="s">
        <v>5075</v>
      </c>
      <c r="J1174" s="3" t="str">
        <f t="shared" si="54"/>
        <v>1883/01/29</v>
      </c>
      <c r="K1174" t="s">
        <v>5076</v>
      </c>
      <c r="L1174" s="3" t="str">
        <f t="shared" si="55"/>
        <v>1883/02/18</v>
      </c>
      <c r="M1174" t="s">
        <v>49</v>
      </c>
      <c r="N1174" t="s">
        <v>49</v>
      </c>
      <c r="O1174" t="s">
        <v>49</v>
      </c>
      <c r="P1174">
        <v>0</v>
      </c>
      <c r="Q1174" t="s">
        <v>50</v>
      </c>
      <c r="R1174" t="s">
        <v>51</v>
      </c>
      <c r="S1174">
        <v>1841</v>
      </c>
      <c r="T1174">
        <v>1931</v>
      </c>
      <c r="U1174" t="s">
        <v>5077</v>
      </c>
      <c r="V1174" t="s">
        <v>5078</v>
      </c>
      <c r="W1174" s="1">
        <v>11496</v>
      </c>
      <c r="X1174" s="2">
        <v>11496</v>
      </c>
      <c r="Y1174" t="s">
        <v>5079</v>
      </c>
      <c r="Z1174">
        <v>0</v>
      </c>
      <c r="AA1174">
        <v>1</v>
      </c>
      <c r="AB1174">
        <v>0</v>
      </c>
      <c r="AC1174">
        <v>0</v>
      </c>
      <c r="AF1174">
        <v>1883</v>
      </c>
      <c r="AG1174">
        <v>1883</v>
      </c>
      <c r="AO1174" t="b">
        <v>1</v>
      </c>
      <c r="AP1174" t="s">
        <v>958</v>
      </c>
      <c r="AQ1174">
        <v>1966</v>
      </c>
      <c r="AR1174">
        <v>2016</v>
      </c>
      <c r="AS1174" t="s">
        <v>5080</v>
      </c>
      <c r="AT1174">
        <v>5.4757015742642003E-2</v>
      </c>
      <c r="AU1174">
        <f t="shared" si="56"/>
        <v>0</v>
      </c>
    </row>
    <row r="1175" spans="1:47" x14ac:dyDescent="0.3">
      <c r="A1175">
        <v>1173</v>
      </c>
      <c r="B1175" t="s">
        <v>5081</v>
      </c>
      <c r="C1175" t="s">
        <v>5044</v>
      </c>
      <c r="D1175">
        <v>220</v>
      </c>
      <c r="E1175" t="s">
        <v>4986</v>
      </c>
      <c r="F1175" t="str">
        <f>VLOOKUP(E1175,country_continent!A:C,2,FALSE)</f>
        <v>France</v>
      </c>
      <c r="G1175" t="str">
        <f>VLOOKUP(E1175,country_continent!A:C,3,FALSE)</f>
        <v>Europe</v>
      </c>
      <c r="H1175" t="s">
        <v>5045</v>
      </c>
      <c r="I1175" t="s">
        <v>5082</v>
      </c>
      <c r="J1175" s="3" t="str">
        <f t="shared" si="54"/>
        <v>1883/02/19</v>
      </c>
      <c r="K1175" t="s">
        <v>5083</v>
      </c>
      <c r="L1175" s="3" t="str">
        <f t="shared" si="55"/>
        <v>1885/03/30</v>
      </c>
      <c r="M1175" t="s">
        <v>49</v>
      </c>
      <c r="N1175" t="s">
        <v>49</v>
      </c>
      <c r="O1175" t="s">
        <v>49</v>
      </c>
      <c r="P1175">
        <v>1</v>
      </c>
      <c r="Q1175" t="s">
        <v>50</v>
      </c>
      <c r="R1175" t="s">
        <v>51</v>
      </c>
      <c r="S1175">
        <v>1832</v>
      </c>
      <c r="T1175">
        <v>1893</v>
      </c>
      <c r="Y1175" t="s">
        <v>5048</v>
      </c>
      <c r="Z1175">
        <v>0</v>
      </c>
      <c r="AA1175">
        <v>1</v>
      </c>
      <c r="AB1175">
        <v>0</v>
      </c>
      <c r="AC1175">
        <v>0</v>
      </c>
      <c r="AF1175">
        <v>1883</v>
      </c>
      <c r="AG1175">
        <v>1885</v>
      </c>
      <c r="AO1175" t="b">
        <v>1</v>
      </c>
      <c r="AP1175" t="s">
        <v>958</v>
      </c>
      <c r="AQ1175">
        <v>1966</v>
      </c>
      <c r="AR1175">
        <v>2016</v>
      </c>
      <c r="AS1175" t="s">
        <v>5084</v>
      </c>
      <c r="AT1175">
        <v>2.10814510609171</v>
      </c>
      <c r="AU1175">
        <f t="shared" si="56"/>
        <v>6.0000000000000001E-3</v>
      </c>
    </row>
    <row r="1176" spans="1:47" x14ac:dyDescent="0.3">
      <c r="A1176">
        <v>1174</v>
      </c>
      <c r="B1176" t="s">
        <v>5085</v>
      </c>
      <c r="C1176" t="s">
        <v>5086</v>
      </c>
      <c r="D1176">
        <v>220</v>
      </c>
      <c r="E1176" t="s">
        <v>4986</v>
      </c>
      <c r="F1176" t="str">
        <f>VLOOKUP(E1176,country_continent!A:C,2,FALSE)</f>
        <v>France</v>
      </c>
      <c r="G1176" t="str">
        <f>VLOOKUP(E1176,country_continent!A:C,3,FALSE)</f>
        <v>Europe</v>
      </c>
      <c r="H1176" t="s">
        <v>5087</v>
      </c>
      <c r="I1176" t="s">
        <v>1154</v>
      </c>
      <c r="J1176" s="3" t="str">
        <f t="shared" si="54"/>
        <v>1885/04/06</v>
      </c>
      <c r="K1176" t="s">
        <v>5088</v>
      </c>
      <c r="L1176" s="3" t="str">
        <f t="shared" si="55"/>
        <v>1885/12/29</v>
      </c>
      <c r="M1176" t="s">
        <v>49</v>
      </c>
      <c r="N1176" t="s">
        <v>49</v>
      </c>
      <c r="O1176" t="s">
        <v>49</v>
      </c>
      <c r="P1176">
        <v>0</v>
      </c>
      <c r="Q1176" t="s">
        <v>50</v>
      </c>
      <c r="R1176" t="s">
        <v>51</v>
      </c>
      <c r="S1176">
        <v>1835</v>
      </c>
      <c r="T1176">
        <v>1912</v>
      </c>
      <c r="Y1176" t="s">
        <v>5089</v>
      </c>
      <c r="Z1176">
        <v>0</v>
      </c>
      <c r="AA1176">
        <v>1</v>
      </c>
      <c r="AB1176">
        <v>0</v>
      </c>
      <c r="AC1176">
        <v>0</v>
      </c>
      <c r="AF1176">
        <v>1885</v>
      </c>
      <c r="AG1176">
        <v>1885</v>
      </c>
      <c r="AO1176" t="b">
        <v>1</v>
      </c>
      <c r="AP1176" t="s">
        <v>958</v>
      </c>
      <c r="AQ1176">
        <v>1966</v>
      </c>
      <c r="AR1176">
        <v>2016</v>
      </c>
      <c r="AS1176" t="s">
        <v>5090</v>
      </c>
      <c r="AT1176">
        <v>0.731006160164271</v>
      </c>
      <c r="AU1176">
        <f t="shared" si="56"/>
        <v>2E-3</v>
      </c>
    </row>
    <row r="1177" spans="1:47" x14ac:dyDescent="0.3">
      <c r="A1177">
        <v>1175</v>
      </c>
      <c r="B1177" t="s">
        <v>5091</v>
      </c>
      <c r="C1177" t="s">
        <v>5037</v>
      </c>
      <c r="D1177">
        <v>220</v>
      </c>
      <c r="E1177" t="s">
        <v>4986</v>
      </c>
      <c r="F1177" t="str">
        <f>VLOOKUP(E1177,country_continent!A:C,2,FALSE)</f>
        <v>France</v>
      </c>
      <c r="G1177" t="str">
        <f>VLOOKUP(E1177,country_continent!A:C,3,FALSE)</f>
        <v>Europe</v>
      </c>
      <c r="H1177" t="s">
        <v>5038</v>
      </c>
      <c r="I1177" t="s">
        <v>5092</v>
      </c>
      <c r="J1177" s="3" t="str">
        <f t="shared" si="54"/>
        <v>1886/01/07</v>
      </c>
      <c r="K1177" t="s">
        <v>5093</v>
      </c>
      <c r="L1177" s="3" t="str">
        <f t="shared" si="55"/>
        <v>1886/12/03</v>
      </c>
      <c r="M1177" t="s">
        <v>49</v>
      </c>
      <c r="N1177" t="s">
        <v>49</v>
      </c>
      <c r="O1177" t="s">
        <v>49</v>
      </c>
      <c r="P1177">
        <v>2</v>
      </c>
      <c r="Q1177" t="s">
        <v>50</v>
      </c>
      <c r="R1177" t="s">
        <v>51</v>
      </c>
      <c r="S1177">
        <v>1828</v>
      </c>
      <c r="T1177">
        <v>1923</v>
      </c>
      <c r="Y1177" t="s">
        <v>5041</v>
      </c>
      <c r="Z1177">
        <v>0</v>
      </c>
      <c r="AA1177">
        <v>1</v>
      </c>
      <c r="AB1177">
        <v>0</v>
      </c>
      <c r="AC1177">
        <v>0</v>
      </c>
      <c r="AF1177">
        <v>1886</v>
      </c>
      <c r="AG1177">
        <v>1886</v>
      </c>
      <c r="AO1177" t="b">
        <v>1</v>
      </c>
      <c r="AP1177" t="s">
        <v>958</v>
      </c>
      <c r="AQ1177">
        <v>1966</v>
      </c>
      <c r="AR1177">
        <v>2016</v>
      </c>
      <c r="AS1177" t="s">
        <v>5094</v>
      </c>
      <c r="AT1177">
        <v>0.90349075975359305</v>
      </c>
      <c r="AU1177">
        <f t="shared" si="56"/>
        <v>2E-3</v>
      </c>
    </row>
    <row r="1178" spans="1:47" x14ac:dyDescent="0.3">
      <c r="A1178">
        <v>1176</v>
      </c>
      <c r="B1178" t="s">
        <v>5095</v>
      </c>
      <c r="C1178" t="s">
        <v>5096</v>
      </c>
      <c r="D1178">
        <v>220</v>
      </c>
      <c r="E1178" t="s">
        <v>4986</v>
      </c>
      <c r="F1178" t="str">
        <f>VLOOKUP(E1178,country_continent!A:C,2,FALSE)</f>
        <v>France</v>
      </c>
      <c r="G1178" t="str">
        <f>VLOOKUP(E1178,country_continent!A:C,3,FALSE)</f>
        <v>Europe</v>
      </c>
      <c r="H1178" t="s">
        <v>5097</v>
      </c>
      <c r="I1178" t="s">
        <v>5098</v>
      </c>
      <c r="J1178" s="3" t="str">
        <f t="shared" si="54"/>
        <v>1886/12/16</v>
      </c>
      <c r="K1178" t="s">
        <v>5099</v>
      </c>
      <c r="L1178" s="3" t="str">
        <f t="shared" si="55"/>
        <v>1887/05/17</v>
      </c>
      <c r="M1178" t="s">
        <v>49</v>
      </c>
      <c r="N1178" t="s">
        <v>49</v>
      </c>
      <c r="O1178" t="s">
        <v>49</v>
      </c>
      <c r="P1178">
        <v>0</v>
      </c>
      <c r="Q1178" t="s">
        <v>50</v>
      </c>
      <c r="R1178" t="s">
        <v>51</v>
      </c>
      <c r="S1178">
        <v>1828</v>
      </c>
      <c r="T1178">
        <v>1905</v>
      </c>
      <c r="Y1178" t="s">
        <v>5100</v>
      </c>
      <c r="Z1178">
        <v>0</v>
      </c>
      <c r="AA1178">
        <v>1</v>
      </c>
      <c r="AB1178">
        <v>0</v>
      </c>
      <c r="AC1178">
        <v>0</v>
      </c>
      <c r="AF1178">
        <v>1886</v>
      </c>
      <c r="AG1178">
        <v>1887</v>
      </c>
      <c r="AO1178" t="b">
        <v>1</v>
      </c>
      <c r="AP1178" t="s">
        <v>958</v>
      </c>
      <c r="AQ1178">
        <v>1966</v>
      </c>
      <c r="AR1178">
        <v>2016</v>
      </c>
      <c r="AS1178" t="s">
        <v>5101</v>
      </c>
      <c r="AT1178">
        <v>0.41615331964407898</v>
      </c>
      <c r="AU1178">
        <f t="shared" si="56"/>
        <v>1E-3</v>
      </c>
    </row>
    <row r="1179" spans="1:47" x14ac:dyDescent="0.3">
      <c r="A1179">
        <v>1177</v>
      </c>
      <c r="B1179" t="s">
        <v>5102</v>
      </c>
      <c r="C1179" t="s">
        <v>5103</v>
      </c>
      <c r="D1179">
        <v>220</v>
      </c>
      <c r="E1179" t="s">
        <v>4986</v>
      </c>
      <c r="F1179" t="str">
        <f>VLOOKUP(E1179,country_continent!A:C,2,FALSE)</f>
        <v>France</v>
      </c>
      <c r="G1179" t="str">
        <f>VLOOKUP(E1179,country_continent!A:C,3,FALSE)</f>
        <v>Europe</v>
      </c>
      <c r="H1179" t="s">
        <v>5104</v>
      </c>
      <c r="I1179" t="s">
        <v>5105</v>
      </c>
      <c r="J1179" s="3" t="str">
        <f t="shared" si="54"/>
        <v>1887/05/29</v>
      </c>
      <c r="K1179" t="s">
        <v>5106</v>
      </c>
      <c r="L1179" s="3" t="str">
        <f t="shared" si="55"/>
        <v>1887/11/19</v>
      </c>
      <c r="M1179" t="s">
        <v>49</v>
      </c>
      <c r="N1179" t="s">
        <v>49</v>
      </c>
      <c r="O1179" t="s">
        <v>49</v>
      </c>
      <c r="P1179">
        <v>0</v>
      </c>
      <c r="Q1179" t="s">
        <v>50</v>
      </c>
      <c r="R1179" t="s">
        <v>51</v>
      </c>
      <c r="S1179">
        <v>1842</v>
      </c>
      <c r="T1179">
        <v>1911</v>
      </c>
      <c r="Z1179">
        <v>0</v>
      </c>
      <c r="AA1179">
        <v>1</v>
      </c>
      <c r="AB1179">
        <v>0</v>
      </c>
      <c r="AC1179">
        <v>0</v>
      </c>
      <c r="AF1179">
        <v>1887</v>
      </c>
      <c r="AG1179">
        <v>1887</v>
      </c>
      <c r="AO1179" t="b">
        <v>1</v>
      </c>
      <c r="AP1179" t="s">
        <v>958</v>
      </c>
      <c r="AQ1179">
        <v>1966</v>
      </c>
      <c r="AR1179">
        <v>2016</v>
      </c>
      <c r="AS1179" t="s">
        <v>5107</v>
      </c>
      <c r="AT1179">
        <v>0.47638603696098503</v>
      </c>
      <c r="AU1179">
        <f t="shared" si="56"/>
        <v>1E-3</v>
      </c>
    </row>
    <row r="1180" spans="1:47" x14ac:dyDescent="0.3">
      <c r="A1180">
        <v>1178</v>
      </c>
      <c r="B1180" t="s">
        <v>5108</v>
      </c>
      <c r="C1180" t="s">
        <v>5109</v>
      </c>
      <c r="D1180">
        <v>220</v>
      </c>
      <c r="E1180" t="s">
        <v>4986</v>
      </c>
      <c r="F1180" t="str">
        <f>VLOOKUP(E1180,country_continent!A:C,2,FALSE)</f>
        <v>France</v>
      </c>
      <c r="G1180" t="str">
        <f>VLOOKUP(E1180,country_continent!A:C,3,FALSE)</f>
        <v>Europe</v>
      </c>
      <c r="H1180" t="s">
        <v>5110</v>
      </c>
      <c r="I1180" t="s">
        <v>5111</v>
      </c>
      <c r="J1180" s="3" t="str">
        <f t="shared" si="54"/>
        <v>1887/12/11</v>
      </c>
      <c r="K1180" t="s">
        <v>5112</v>
      </c>
      <c r="L1180" s="3" t="str">
        <f t="shared" si="55"/>
        <v>1888/04/03</v>
      </c>
      <c r="M1180" t="s">
        <v>49</v>
      </c>
      <c r="N1180" t="s">
        <v>49</v>
      </c>
      <c r="O1180" t="s">
        <v>49</v>
      </c>
      <c r="P1180">
        <v>0</v>
      </c>
      <c r="Q1180" t="s">
        <v>50</v>
      </c>
      <c r="R1180" t="s">
        <v>51</v>
      </c>
      <c r="S1180">
        <v>1837</v>
      </c>
      <c r="T1180">
        <v>1893</v>
      </c>
      <c r="Z1180">
        <v>0</v>
      </c>
      <c r="AA1180">
        <v>1</v>
      </c>
      <c r="AB1180">
        <v>0</v>
      </c>
      <c r="AC1180">
        <v>0</v>
      </c>
      <c r="AF1180">
        <v>1887</v>
      </c>
      <c r="AG1180">
        <v>1888</v>
      </c>
      <c r="AO1180" t="b">
        <v>1</v>
      </c>
      <c r="AP1180" t="s">
        <v>958</v>
      </c>
      <c r="AQ1180">
        <v>1966</v>
      </c>
      <c r="AR1180">
        <v>2016</v>
      </c>
      <c r="AS1180" t="s">
        <v>5113</v>
      </c>
      <c r="AT1180">
        <v>0.31211498973305901</v>
      </c>
      <c r="AU1180">
        <f t="shared" si="56"/>
        <v>1E-3</v>
      </c>
    </row>
    <row r="1181" spans="1:47" x14ac:dyDescent="0.3">
      <c r="A1181">
        <v>1179</v>
      </c>
      <c r="B1181" t="s">
        <v>5114</v>
      </c>
      <c r="C1181" t="s">
        <v>5115</v>
      </c>
      <c r="D1181">
        <v>220</v>
      </c>
      <c r="E1181" t="s">
        <v>4986</v>
      </c>
      <c r="F1181" t="str">
        <f>VLOOKUP(E1181,country_continent!A:C,2,FALSE)</f>
        <v>France</v>
      </c>
      <c r="G1181" t="str">
        <f>VLOOKUP(E1181,country_continent!A:C,3,FALSE)</f>
        <v>Europe</v>
      </c>
      <c r="H1181" t="s">
        <v>5116</v>
      </c>
      <c r="I1181" t="s">
        <v>5112</v>
      </c>
      <c r="J1181" s="3" t="str">
        <f t="shared" si="54"/>
        <v>1888/04/03</v>
      </c>
      <c r="K1181" t="s">
        <v>5117</v>
      </c>
      <c r="L1181" s="3" t="str">
        <f t="shared" si="55"/>
        <v>1889/02/21</v>
      </c>
      <c r="M1181" t="s">
        <v>49</v>
      </c>
      <c r="N1181" t="s">
        <v>49</v>
      </c>
      <c r="O1181" t="s">
        <v>49</v>
      </c>
      <c r="P1181">
        <v>0</v>
      </c>
      <c r="Q1181" t="s">
        <v>50</v>
      </c>
      <c r="R1181" t="s">
        <v>51</v>
      </c>
      <c r="S1181">
        <v>1828</v>
      </c>
      <c r="T1181">
        <v>1896</v>
      </c>
      <c r="Y1181" t="s">
        <v>5118</v>
      </c>
      <c r="Z1181">
        <v>0</v>
      </c>
      <c r="AA1181">
        <v>1</v>
      </c>
      <c r="AB1181">
        <v>0</v>
      </c>
      <c r="AC1181">
        <v>0</v>
      </c>
      <c r="AF1181">
        <v>1888</v>
      </c>
      <c r="AG1181">
        <v>1889</v>
      </c>
      <c r="AO1181" t="b">
        <v>1</v>
      </c>
      <c r="AP1181" t="s">
        <v>958</v>
      </c>
      <c r="AQ1181">
        <v>1966</v>
      </c>
      <c r="AR1181">
        <v>2016</v>
      </c>
      <c r="AS1181" t="s">
        <v>5119</v>
      </c>
      <c r="AT1181">
        <v>0.88706365503079998</v>
      </c>
      <c r="AU1181">
        <f t="shared" si="56"/>
        <v>2E-3</v>
      </c>
    </row>
    <row r="1182" spans="1:47" x14ac:dyDescent="0.3">
      <c r="A1182">
        <v>1180</v>
      </c>
      <c r="B1182" t="s">
        <v>5120</v>
      </c>
      <c r="C1182" t="s">
        <v>5109</v>
      </c>
      <c r="D1182">
        <v>220</v>
      </c>
      <c r="E1182" t="s">
        <v>4986</v>
      </c>
      <c r="F1182" t="str">
        <f>VLOOKUP(E1182,country_continent!A:C,2,FALSE)</f>
        <v>France</v>
      </c>
      <c r="G1182" t="str">
        <f>VLOOKUP(E1182,country_continent!A:C,3,FALSE)</f>
        <v>Europe</v>
      </c>
      <c r="H1182" t="s">
        <v>5110</v>
      </c>
      <c r="I1182" t="s">
        <v>5117</v>
      </c>
      <c r="J1182" s="3" t="str">
        <f t="shared" si="54"/>
        <v>1889/02/21</v>
      </c>
      <c r="K1182" t="s">
        <v>5121</v>
      </c>
      <c r="L1182" s="3" t="str">
        <f t="shared" si="55"/>
        <v>1890/03/13</v>
      </c>
      <c r="M1182" t="s">
        <v>49</v>
      </c>
      <c r="N1182" t="s">
        <v>49</v>
      </c>
      <c r="O1182" t="s">
        <v>49</v>
      </c>
      <c r="P1182">
        <v>1</v>
      </c>
      <c r="Q1182" t="s">
        <v>50</v>
      </c>
      <c r="R1182" t="s">
        <v>51</v>
      </c>
      <c r="S1182">
        <v>1837</v>
      </c>
      <c r="T1182">
        <v>1893</v>
      </c>
      <c r="Z1182">
        <v>0</v>
      </c>
      <c r="AA1182">
        <v>1</v>
      </c>
      <c r="AB1182">
        <v>0</v>
      </c>
      <c r="AC1182">
        <v>0</v>
      </c>
      <c r="AF1182">
        <v>1889</v>
      </c>
      <c r="AG1182">
        <v>1890</v>
      </c>
      <c r="AO1182" t="b">
        <v>1</v>
      </c>
      <c r="AP1182" t="s">
        <v>958</v>
      </c>
      <c r="AQ1182">
        <v>1966</v>
      </c>
      <c r="AR1182">
        <v>2016</v>
      </c>
      <c r="AS1182" t="s">
        <v>5122</v>
      </c>
      <c r="AT1182">
        <v>1.0540725530458499</v>
      </c>
      <c r="AU1182">
        <f t="shared" si="56"/>
        <v>3.0000000000000001E-3</v>
      </c>
    </row>
    <row r="1183" spans="1:47" x14ac:dyDescent="0.3">
      <c r="A1183">
        <v>1181</v>
      </c>
      <c r="B1183" t="s">
        <v>5123</v>
      </c>
      <c r="C1183" t="s">
        <v>5037</v>
      </c>
      <c r="D1183">
        <v>220</v>
      </c>
      <c r="E1183" t="s">
        <v>4986</v>
      </c>
      <c r="F1183" t="str">
        <f>VLOOKUP(E1183,country_continent!A:C,2,FALSE)</f>
        <v>France</v>
      </c>
      <c r="G1183" t="str">
        <f>VLOOKUP(E1183,country_continent!A:C,3,FALSE)</f>
        <v>Europe</v>
      </c>
      <c r="H1183" t="s">
        <v>5038</v>
      </c>
      <c r="I1183" t="s">
        <v>5124</v>
      </c>
      <c r="J1183" s="3" t="str">
        <f t="shared" si="54"/>
        <v>1890/03/17</v>
      </c>
      <c r="K1183" t="s">
        <v>5125</v>
      </c>
      <c r="L1183" s="3" t="str">
        <f t="shared" si="55"/>
        <v>1892/02/20</v>
      </c>
      <c r="M1183" t="s">
        <v>49</v>
      </c>
      <c r="N1183" t="s">
        <v>49</v>
      </c>
      <c r="O1183" t="s">
        <v>49</v>
      </c>
      <c r="P1183">
        <v>3</v>
      </c>
      <c r="Q1183" t="s">
        <v>50</v>
      </c>
      <c r="R1183" t="s">
        <v>51</v>
      </c>
      <c r="S1183">
        <v>1828</v>
      </c>
      <c r="T1183">
        <v>1923</v>
      </c>
      <c r="Y1183" t="s">
        <v>5041</v>
      </c>
      <c r="Z1183">
        <v>0</v>
      </c>
      <c r="AA1183">
        <v>1</v>
      </c>
      <c r="AB1183">
        <v>0</v>
      </c>
      <c r="AC1183">
        <v>0</v>
      </c>
      <c r="AF1183">
        <v>1890</v>
      </c>
      <c r="AG1183">
        <v>1892</v>
      </c>
      <c r="AO1183" t="b">
        <v>1</v>
      </c>
      <c r="AP1183" t="s">
        <v>958</v>
      </c>
      <c r="AQ1183">
        <v>1966</v>
      </c>
      <c r="AR1183">
        <v>2016</v>
      </c>
      <c r="AS1183" t="s">
        <v>5126</v>
      </c>
      <c r="AT1183">
        <v>1.93018480492813</v>
      </c>
      <c r="AU1183">
        <f t="shared" si="56"/>
        <v>5.0000000000000001E-3</v>
      </c>
    </row>
    <row r="1184" spans="1:47" x14ac:dyDescent="0.3">
      <c r="A1184">
        <v>1182</v>
      </c>
      <c r="B1184" t="s">
        <v>5127</v>
      </c>
      <c r="C1184" t="s">
        <v>5128</v>
      </c>
      <c r="D1184">
        <v>220</v>
      </c>
      <c r="E1184" t="s">
        <v>4986</v>
      </c>
      <c r="F1184" t="str">
        <f>VLOOKUP(E1184,country_continent!A:C,2,FALSE)</f>
        <v>France</v>
      </c>
      <c r="G1184" t="str">
        <f>VLOOKUP(E1184,country_continent!A:C,3,FALSE)</f>
        <v>Europe</v>
      </c>
      <c r="H1184" t="s">
        <v>5129</v>
      </c>
      <c r="I1184" t="s">
        <v>5130</v>
      </c>
      <c r="J1184" s="3" t="str">
        <f t="shared" si="54"/>
        <v>1892/02/27</v>
      </c>
      <c r="K1184" t="s">
        <v>5131</v>
      </c>
      <c r="L1184" s="3" t="str">
        <f t="shared" si="55"/>
        <v>1892/11/29</v>
      </c>
      <c r="M1184" t="s">
        <v>49</v>
      </c>
      <c r="N1184" t="s">
        <v>49</v>
      </c>
      <c r="O1184" t="s">
        <v>49</v>
      </c>
      <c r="P1184">
        <v>0</v>
      </c>
      <c r="Q1184" t="s">
        <v>50</v>
      </c>
      <c r="R1184" t="s">
        <v>51</v>
      </c>
      <c r="S1184">
        <v>1838</v>
      </c>
      <c r="T1184">
        <v>1929</v>
      </c>
      <c r="U1184" t="s">
        <v>5132</v>
      </c>
      <c r="V1184" t="s">
        <v>5133</v>
      </c>
      <c r="W1184" s="1">
        <v>10947</v>
      </c>
      <c r="X1184" s="2">
        <v>10947</v>
      </c>
      <c r="Y1184" t="s">
        <v>5134</v>
      </c>
      <c r="Z1184">
        <v>0</v>
      </c>
      <c r="AA1184">
        <v>1</v>
      </c>
      <c r="AB1184">
        <v>0</v>
      </c>
      <c r="AC1184">
        <v>0</v>
      </c>
      <c r="AF1184">
        <v>1892</v>
      </c>
      <c r="AG1184">
        <v>1892</v>
      </c>
      <c r="AO1184" t="b">
        <v>1</v>
      </c>
      <c r="AP1184" t="s">
        <v>958</v>
      </c>
      <c r="AQ1184">
        <v>1966</v>
      </c>
      <c r="AR1184">
        <v>2016</v>
      </c>
      <c r="AS1184" t="s">
        <v>5135</v>
      </c>
      <c r="AT1184">
        <v>0.75564681724845995</v>
      </c>
      <c r="AU1184">
        <f t="shared" si="56"/>
        <v>2E-3</v>
      </c>
    </row>
    <row r="1185" spans="1:47" x14ac:dyDescent="0.3">
      <c r="A1185">
        <v>1183</v>
      </c>
      <c r="B1185" t="s">
        <v>5136</v>
      </c>
      <c r="C1185" t="s">
        <v>5137</v>
      </c>
      <c r="D1185">
        <v>220</v>
      </c>
      <c r="E1185" t="s">
        <v>4986</v>
      </c>
      <c r="F1185" t="str">
        <f>VLOOKUP(E1185,country_continent!A:C,2,FALSE)</f>
        <v>France</v>
      </c>
      <c r="G1185" t="str">
        <f>VLOOKUP(E1185,country_continent!A:C,3,FALSE)</f>
        <v>Europe</v>
      </c>
      <c r="H1185" t="s">
        <v>5138</v>
      </c>
      <c r="I1185" t="s">
        <v>5139</v>
      </c>
      <c r="J1185" s="3" t="str">
        <f t="shared" si="54"/>
        <v>1892/12/06</v>
      </c>
      <c r="K1185" t="s">
        <v>5140</v>
      </c>
      <c r="L1185" s="3" t="str">
        <f t="shared" si="55"/>
        <v>1893/04/04</v>
      </c>
      <c r="M1185" t="s">
        <v>49</v>
      </c>
      <c r="N1185" t="s">
        <v>49</v>
      </c>
      <c r="O1185" t="s">
        <v>49</v>
      </c>
      <c r="P1185">
        <v>0</v>
      </c>
      <c r="Q1185" t="s">
        <v>50</v>
      </c>
      <c r="R1185" t="s">
        <v>51</v>
      </c>
      <c r="S1185">
        <v>1842</v>
      </c>
      <c r="T1185">
        <v>1923</v>
      </c>
      <c r="Y1185" t="s">
        <v>5141</v>
      </c>
      <c r="Z1185">
        <v>0</v>
      </c>
      <c r="AA1185">
        <v>1</v>
      </c>
      <c r="AB1185">
        <v>0</v>
      </c>
      <c r="AC1185">
        <v>0</v>
      </c>
      <c r="AF1185">
        <v>1892</v>
      </c>
      <c r="AG1185">
        <v>1893</v>
      </c>
      <c r="AO1185" t="b">
        <v>1</v>
      </c>
      <c r="AP1185" t="s">
        <v>958</v>
      </c>
      <c r="AQ1185">
        <v>1966</v>
      </c>
      <c r="AR1185">
        <v>2016</v>
      </c>
      <c r="AS1185" t="s">
        <v>5142</v>
      </c>
      <c r="AT1185">
        <v>0.32580424366872002</v>
      </c>
      <c r="AU1185">
        <f t="shared" si="56"/>
        <v>1E-3</v>
      </c>
    </row>
    <row r="1186" spans="1:47" x14ac:dyDescent="0.3">
      <c r="A1186">
        <v>1184</v>
      </c>
      <c r="B1186" t="s">
        <v>5143</v>
      </c>
      <c r="C1186" t="s">
        <v>5144</v>
      </c>
      <c r="D1186">
        <v>220</v>
      </c>
      <c r="E1186" t="s">
        <v>4986</v>
      </c>
      <c r="F1186" t="str">
        <f>VLOOKUP(E1186,country_continent!A:C,2,FALSE)</f>
        <v>France</v>
      </c>
      <c r="G1186" t="str">
        <f>VLOOKUP(E1186,country_continent!A:C,3,FALSE)</f>
        <v>Europe</v>
      </c>
      <c r="H1186" t="s">
        <v>5145</v>
      </c>
      <c r="I1186" t="s">
        <v>5140</v>
      </c>
      <c r="J1186" s="3" t="str">
        <f t="shared" si="54"/>
        <v>1893/04/04</v>
      </c>
      <c r="K1186" t="s">
        <v>5146</v>
      </c>
      <c r="L1186" s="3" t="str">
        <f t="shared" si="55"/>
        <v>1893/11/25</v>
      </c>
      <c r="M1186" t="s">
        <v>49</v>
      </c>
      <c r="N1186" t="s">
        <v>49</v>
      </c>
      <c r="O1186" t="s">
        <v>49</v>
      </c>
      <c r="P1186">
        <v>0</v>
      </c>
      <c r="Q1186" t="s">
        <v>50</v>
      </c>
      <c r="R1186" t="s">
        <v>51</v>
      </c>
      <c r="S1186">
        <v>1851</v>
      </c>
      <c r="T1186">
        <v>1923</v>
      </c>
      <c r="U1186" t="s">
        <v>5147</v>
      </c>
      <c r="V1186" t="s">
        <v>5148</v>
      </c>
      <c r="W1186" s="1">
        <v>8605</v>
      </c>
      <c r="X1186" s="2">
        <v>8605</v>
      </c>
      <c r="Y1186" t="s">
        <v>5149</v>
      </c>
      <c r="Z1186">
        <v>0</v>
      </c>
      <c r="AA1186">
        <v>1</v>
      </c>
      <c r="AB1186">
        <v>0</v>
      </c>
      <c r="AC1186">
        <v>0</v>
      </c>
      <c r="AF1186">
        <v>1893</v>
      </c>
      <c r="AG1186">
        <v>1893</v>
      </c>
      <c r="AO1186" t="b">
        <v>1</v>
      </c>
      <c r="AP1186" t="s">
        <v>958</v>
      </c>
      <c r="AQ1186">
        <v>1966</v>
      </c>
      <c r="AR1186">
        <v>2016</v>
      </c>
      <c r="AS1186" t="s">
        <v>5150</v>
      </c>
      <c r="AT1186">
        <v>0.64339493497604305</v>
      </c>
      <c r="AU1186">
        <f t="shared" si="56"/>
        <v>2E-3</v>
      </c>
    </row>
    <row r="1187" spans="1:47" x14ac:dyDescent="0.3">
      <c r="A1187">
        <v>1185</v>
      </c>
      <c r="B1187" t="s">
        <v>5151</v>
      </c>
      <c r="C1187" t="s">
        <v>5152</v>
      </c>
      <c r="D1187">
        <v>220</v>
      </c>
      <c r="E1187" t="s">
        <v>4986</v>
      </c>
      <c r="F1187" t="str">
        <f>VLOOKUP(E1187,country_continent!A:C,2,FALSE)</f>
        <v>France</v>
      </c>
      <c r="G1187" t="str">
        <f>VLOOKUP(E1187,country_continent!A:C,3,FALSE)</f>
        <v>Europe</v>
      </c>
      <c r="H1187" t="s">
        <v>5153</v>
      </c>
      <c r="I1187" t="s">
        <v>5154</v>
      </c>
      <c r="J1187" s="3" t="str">
        <f t="shared" si="54"/>
        <v>1893/12/03</v>
      </c>
      <c r="K1187" t="s">
        <v>5155</v>
      </c>
      <c r="L1187" s="3" t="str">
        <f t="shared" si="55"/>
        <v>1894/05/22</v>
      </c>
      <c r="M1187" t="s">
        <v>49</v>
      </c>
      <c r="N1187" t="s">
        <v>49</v>
      </c>
      <c r="O1187" t="s">
        <v>49</v>
      </c>
      <c r="P1187">
        <v>0</v>
      </c>
      <c r="Q1187" t="s">
        <v>50</v>
      </c>
      <c r="R1187" t="s">
        <v>51</v>
      </c>
      <c r="S1187">
        <v>1847</v>
      </c>
      <c r="T1187">
        <v>1907</v>
      </c>
      <c r="U1187" t="s">
        <v>5156</v>
      </c>
      <c r="V1187" t="s">
        <v>5157</v>
      </c>
      <c r="W1187" s="1">
        <v>2627</v>
      </c>
      <c r="X1187" s="2">
        <v>2627</v>
      </c>
      <c r="Y1187" t="s">
        <v>5158</v>
      </c>
      <c r="Z1187">
        <v>0</v>
      </c>
      <c r="AA1187">
        <v>1</v>
      </c>
      <c r="AB1187">
        <v>0</v>
      </c>
      <c r="AC1187">
        <v>0</v>
      </c>
      <c r="AF1187">
        <v>1893</v>
      </c>
      <c r="AG1187">
        <v>1894</v>
      </c>
      <c r="AO1187" t="b">
        <v>1</v>
      </c>
      <c r="AP1187" t="s">
        <v>958</v>
      </c>
      <c r="AQ1187">
        <v>1966</v>
      </c>
      <c r="AR1187">
        <v>2016</v>
      </c>
      <c r="AS1187" t="s">
        <v>5159</v>
      </c>
      <c r="AT1187">
        <v>0.46543463381245698</v>
      </c>
      <c r="AU1187">
        <f t="shared" si="56"/>
        <v>1E-3</v>
      </c>
    </row>
    <row r="1188" spans="1:47" x14ac:dyDescent="0.3">
      <c r="A1188">
        <v>1186</v>
      </c>
      <c r="B1188" t="s">
        <v>5160</v>
      </c>
      <c r="C1188" t="s">
        <v>5144</v>
      </c>
      <c r="D1188">
        <v>220</v>
      </c>
      <c r="E1188" t="s">
        <v>4986</v>
      </c>
      <c r="F1188" t="str">
        <f>VLOOKUP(E1188,country_continent!A:C,2,FALSE)</f>
        <v>France</v>
      </c>
      <c r="G1188" t="str">
        <f>VLOOKUP(E1188,country_continent!A:C,3,FALSE)</f>
        <v>Europe</v>
      </c>
      <c r="H1188" t="s">
        <v>5145</v>
      </c>
      <c r="I1188" t="s">
        <v>5161</v>
      </c>
      <c r="J1188" s="3" t="str">
        <f t="shared" si="54"/>
        <v>1894/05/30</v>
      </c>
      <c r="K1188" t="s">
        <v>5162</v>
      </c>
      <c r="L1188" s="3" t="str">
        <f t="shared" si="55"/>
        <v>1895/01/14</v>
      </c>
      <c r="M1188" t="s">
        <v>49</v>
      </c>
      <c r="N1188" t="s">
        <v>49</v>
      </c>
      <c r="O1188" t="s">
        <v>49</v>
      </c>
      <c r="P1188">
        <v>1</v>
      </c>
      <c r="Q1188" t="s">
        <v>50</v>
      </c>
      <c r="R1188" t="s">
        <v>51</v>
      </c>
      <c r="S1188">
        <v>1851</v>
      </c>
      <c r="T1188">
        <v>1923</v>
      </c>
      <c r="U1188" t="s">
        <v>5147</v>
      </c>
      <c r="V1188" t="s">
        <v>5148</v>
      </c>
      <c r="W1188" s="1">
        <v>8605</v>
      </c>
      <c r="X1188" s="2">
        <v>8605</v>
      </c>
      <c r="Y1188" t="s">
        <v>5149</v>
      </c>
      <c r="Z1188">
        <v>0</v>
      </c>
      <c r="AA1188">
        <v>1</v>
      </c>
      <c r="AB1188">
        <v>0</v>
      </c>
      <c r="AC1188">
        <v>0</v>
      </c>
      <c r="AF1188">
        <v>1894</v>
      </c>
      <c r="AG1188">
        <v>1895</v>
      </c>
      <c r="AO1188" t="b">
        <v>1</v>
      </c>
      <c r="AP1188" t="s">
        <v>958</v>
      </c>
      <c r="AQ1188">
        <v>1966</v>
      </c>
      <c r="AR1188">
        <v>2016</v>
      </c>
      <c r="AS1188" t="s">
        <v>5163</v>
      </c>
      <c r="AT1188">
        <v>0.62696783025325098</v>
      </c>
      <c r="AU1188">
        <f t="shared" si="56"/>
        <v>2E-3</v>
      </c>
    </row>
    <row r="1189" spans="1:47" x14ac:dyDescent="0.3">
      <c r="A1189">
        <v>1187</v>
      </c>
      <c r="B1189" t="s">
        <v>5164</v>
      </c>
      <c r="C1189" t="s">
        <v>5137</v>
      </c>
      <c r="D1189">
        <v>220</v>
      </c>
      <c r="E1189" t="s">
        <v>4986</v>
      </c>
      <c r="F1189" t="str">
        <f>VLOOKUP(E1189,country_continent!A:C,2,FALSE)</f>
        <v>France</v>
      </c>
      <c r="G1189" t="str">
        <f>VLOOKUP(E1189,country_continent!A:C,3,FALSE)</f>
        <v>Europe</v>
      </c>
      <c r="H1189" t="s">
        <v>5138</v>
      </c>
      <c r="I1189" t="s">
        <v>5165</v>
      </c>
      <c r="J1189" s="3" t="str">
        <f t="shared" si="54"/>
        <v>1895/01/27</v>
      </c>
      <c r="K1189" t="s">
        <v>5166</v>
      </c>
      <c r="L1189" s="3" t="str">
        <f t="shared" si="55"/>
        <v>1895/10/28</v>
      </c>
      <c r="M1189" t="s">
        <v>49</v>
      </c>
      <c r="N1189" t="s">
        <v>49</v>
      </c>
      <c r="O1189" t="s">
        <v>49</v>
      </c>
      <c r="P1189">
        <v>1</v>
      </c>
      <c r="Q1189" t="s">
        <v>50</v>
      </c>
      <c r="R1189" t="s">
        <v>51</v>
      </c>
      <c r="S1189">
        <v>1842</v>
      </c>
      <c r="T1189">
        <v>1923</v>
      </c>
      <c r="Y1189" t="s">
        <v>5141</v>
      </c>
      <c r="Z1189">
        <v>0</v>
      </c>
      <c r="AA1189">
        <v>1</v>
      </c>
      <c r="AB1189">
        <v>0</v>
      </c>
      <c r="AC1189">
        <v>0</v>
      </c>
      <c r="AF1189">
        <v>1895</v>
      </c>
      <c r="AG1189">
        <v>1895</v>
      </c>
      <c r="AO1189" t="b">
        <v>1</v>
      </c>
      <c r="AP1189" t="s">
        <v>958</v>
      </c>
      <c r="AQ1189">
        <v>1966</v>
      </c>
      <c r="AR1189">
        <v>2016</v>
      </c>
      <c r="AS1189" t="s">
        <v>5167</v>
      </c>
      <c r="AT1189">
        <v>0.75017111567419503</v>
      </c>
      <c r="AU1189">
        <f t="shared" si="56"/>
        <v>2E-3</v>
      </c>
    </row>
    <row r="1190" spans="1:47" x14ac:dyDescent="0.3">
      <c r="A1190">
        <v>1188</v>
      </c>
      <c r="B1190" t="s">
        <v>5168</v>
      </c>
      <c r="C1190" t="s">
        <v>5169</v>
      </c>
      <c r="D1190">
        <v>220</v>
      </c>
      <c r="E1190" t="s">
        <v>4986</v>
      </c>
      <c r="F1190" t="str">
        <f>VLOOKUP(E1190,country_continent!A:C,2,FALSE)</f>
        <v>France</v>
      </c>
      <c r="G1190" t="str">
        <f>VLOOKUP(E1190,country_continent!A:C,3,FALSE)</f>
        <v>Europe</v>
      </c>
      <c r="H1190" t="s">
        <v>5170</v>
      </c>
      <c r="I1190" t="s">
        <v>5171</v>
      </c>
      <c r="J1190" s="3" t="str">
        <f t="shared" si="54"/>
        <v>1895/11/01</v>
      </c>
      <c r="K1190" t="s">
        <v>5172</v>
      </c>
      <c r="L1190" s="3" t="str">
        <f t="shared" si="55"/>
        <v>1896/04/22</v>
      </c>
      <c r="M1190" t="s">
        <v>49</v>
      </c>
      <c r="N1190" t="s">
        <v>49</v>
      </c>
      <c r="O1190" t="s">
        <v>49</v>
      </c>
      <c r="P1190">
        <v>0</v>
      </c>
      <c r="Q1190" t="s">
        <v>50</v>
      </c>
      <c r="R1190" t="s">
        <v>51</v>
      </c>
      <c r="S1190">
        <v>1851</v>
      </c>
      <c r="T1190">
        <v>1925</v>
      </c>
      <c r="Y1190" t="s">
        <v>5173</v>
      </c>
      <c r="Z1190">
        <v>0</v>
      </c>
      <c r="AA1190">
        <v>1</v>
      </c>
      <c r="AB1190">
        <v>0</v>
      </c>
      <c r="AC1190">
        <v>0</v>
      </c>
      <c r="AF1190">
        <v>1895</v>
      </c>
      <c r="AG1190">
        <v>1896</v>
      </c>
      <c r="AO1190" t="b">
        <v>1</v>
      </c>
      <c r="AP1190" t="s">
        <v>958</v>
      </c>
      <c r="AQ1190">
        <v>1966</v>
      </c>
      <c r="AR1190">
        <v>2016</v>
      </c>
      <c r="AS1190" t="s">
        <v>5071</v>
      </c>
      <c r="AT1190">
        <v>0.47364818617385301</v>
      </c>
      <c r="AU1190">
        <f t="shared" si="56"/>
        <v>1E-3</v>
      </c>
    </row>
    <row r="1191" spans="1:47" x14ac:dyDescent="0.3">
      <c r="A1191">
        <v>1189</v>
      </c>
      <c r="B1191" t="s">
        <v>5174</v>
      </c>
      <c r="C1191" t="s">
        <v>5175</v>
      </c>
      <c r="D1191">
        <v>220</v>
      </c>
      <c r="E1191" t="s">
        <v>4986</v>
      </c>
      <c r="F1191" t="str">
        <f>VLOOKUP(E1191,country_continent!A:C,2,FALSE)</f>
        <v>France</v>
      </c>
      <c r="G1191" t="str">
        <f>VLOOKUP(E1191,country_continent!A:C,3,FALSE)</f>
        <v>Europe</v>
      </c>
      <c r="H1191" t="s">
        <v>5176</v>
      </c>
      <c r="I1191" t="s">
        <v>5177</v>
      </c>
      <c r="J1191" s="3" t="str">
        <f t="shared" si="54"/>
        <v>1896/04/29</v>
      </c>
      <c r="K1191" t="s">
        <v>5178</v>
      </c>
      <c r="L1191" s="3" t="str">
        <f t="shared" si="55"/>
        <v>1898/06/14</v>
      </c>
      <c r="M1191" t="s">
        <v>49</v>
      </c>
      <c r="N1191" t="s">
        <v>49</v>
      </c>
      <c r="O1191" t="s">
        <v>49</v>
      </c>
      <c r="P1191">
        <v>0</v>
      </c>
      <c r="Q1191" t="s">
        <v>50</v>
      </c>
      <c r="R1191" t="s">
        <v>51</v>
      </c>
      <c r="S1191">
        <v>1838</v>
      </c>
      <c r="T1191">
        <v>1925</v>
      </c>
      <c r="Y1191" t="s">
        <v>5179</v>
      </c>
      <c r="Z1191">
        <v>0</v>
      </c>
      <c r="AA1191">
        <v>1</v>
      </c>
      <c r="AB1191">
        <v>0</v>
      </c>
      <c r="AC1191">
        <v>0</v>
      </c>
      <c r="AF1191">
        <v>1896</v>
      </c>
      <c r="AG1191">
        <v>1898</v>
      </c>
      <c r="AO1191" t="b">
        <v>1</v>
      </c>
      <c r="AP1191" t="s">
        <v>958</v>
      </c>
      <c r="AQ1191">
        <v>1966</v>
      </c>
      <c r="AR1191">
        <v>2016</v>
      </c>
      <c r="AS1191" t="s">
        <v>5180</v>
      </c>
      <c r="AT1191">
        <v>2.12457221081451</v>
      </c>
      <c r="AU1191">
        <f t="shared" si="56"/>
        <v>6.0000000000000001E-3</v>
      </c>
    </row>
    <row r="1192" spans="1:47" x14ac:dyDescent="0.3">
      <c r="A1192">
        <v>1190</v>
      </c>
      <c r="B1192" t="s">
        <v>5181</v>
      </c>
      <c r="C1192" t="s">
        <v>5086</v>
      </c>
      <c r="D1192">
        <v>220</v>
      </c>
      <c r="E1192" t="s">
        <v>4986</v>
      </c>
      <c r="F1192" t="str">
        <f>VLOOKUP(E1192,country_continent!A:C,2,FALSE)</f>
        <v>France</v>
      </c>
      <c r="G1192" t="str">
        <f>VLOOKUP(E1192,country_continent!A:C,3,FALSE)</f>
        <v>Europe</v>
      </c>
      <c r="H1192" t="s">
        <v>5087</v>
      </c>
      <c r="I1192" t="s">
        <v>5182</v>
      </c>
      <c r="J1192" s="3" t="str">
        <f t="shared" si="54"/>
        <v>1898/06/27</v>
      </c>
      <c r="K1192" t="s">
        <v>5183</v>
      </c>
      <c r="L1192" s="3" t="str">
        <f t="shared" si="55"/>
        <v>1898/10/25</v>
      </c>
      <c r="M1192" t="s">
        <v>49</v>
      </c>
      <c r="N1192" t="s">
        <v>49</v>
      </c>
      <c r="O1192" t="s">
        <v>49</v>
      </c>
      <c r="P1192">
        <v>1</v>
      </c>
      <c r="Q1192" t="s">
        <v>50</v>
      </c>
      <c r="R1192" t="s">
        <v>51</v>
      </c>
      <c r="S1192">
        <v>1835</v>
      </c>
      <c r="T1192">
        <v>1912</v>
      </c>
      <c r="Y1192" t="s">
        <v>5089</v>
      </c>
      <c r="Z1192">
        <v>0</v>
      </c>
      <c r="AA1192">
        <v>1</v>
      </c>
      <c r="AB1192">
        <v>0</v>
      </c>
      <c r="AC1192">
        <v>0</v>
      </c>
      <c r="AF1192">
        <v>1898</v>
      </c>
      <c r="AG1192">
        <v>1898</v>
      </c>
      <c r="AO1192" t="b">
        <v>1</v>
      </c>
      <c r="AP1192" t="s">
        <v>958</v>
      </c>
      <c r="AQ1192">
        <v>1966</v>
      </c>
      <c r="AR1192">
        <v>2016</v>
      </c>
      <c r="AS1192" t="s">
        <v>5184</v>
      </c>
      <c r="AT1192">
        <v>0.32854209445585197</v>
      </c>
      <c r="AU1192">
        <f t="shared" si="56"/>
        <v>1E-3</v>
      </c>
    </row>
    <row r="1193" spans="1:47" x14ac:dyDescent="0.3">
      <c r="A1193">
        <v>1191</v>
      </c>
      <c r="B1193" t="s">
        <v>5185</v>
      </c>
      <c r="C1193" t="s">
        <v>5144</v>
      </c>
      <c r="D1193">
        <v>220</v>
      </c>
      <c r="E1193" t="s">
        <v>4986</v>
      </c>
      <c r="F1193" t="str">
        <f>VLOOKUP(E1193,country_continent!A:C,2,FALSE)</f>
        <v>France</v>
      </c>
      <c r="G1193" t="str">
        <f>VLOOKUP(E1193,country_continent!A:C,3,FALSE)</f>
        <v>Europe</v>
      </c>
      <c r="H1193" t="s">
        <v>5145</v>
      </c>
      <c r="I1193" t="s">
        <v>5186</v>
      </c>
      <c r="J1193" s="3" t="str">
        <f t="shared" si="54"/>
        <v>1898/10/31</v>
      </c>
      <c r="K1193" t="s">
        <v>5187</v>
      </c>
      <c r="L1193" s="3" t="str">
        <f t="shared" si="55"/>
        <v>1899/06/12</v>
      </c>
      <c r="M1193" t="s">
        <v>49</v>
      </c>
      <c r="N1193" t="s">
        <v>49</v>
      </c>
      <c r="O1193" t="s">
        <v>49</v>
      </c>
      <c r="P1193">
        <v>2</v>
      </c>
      <c r="Q1193" t="s">
        <v>50</v>
      </c>
      <c r="R1193" t="s">
        <v>51</v>
      </c>
      <c r="S1193">
        <v>1851</v>
      </c>
      <c r="T1193">
        <v>1923</v>
      </c>
      <c r="U1193" t="s">
        <v>5147</v>
      </c>
      <c r="V1193" t="s">
        <v>5148</v>
      </c>
      <c r="W1193" s="1">
        <v>8605</v>
      </c>
      <c r="X1193" s="2">
        <v>8605</v>
      </c>
      <c r="Y1193" t="s">
        <v>5149</v>
      </c>
      <c r="Z1193">
        <v>0</v>
      </c>
      <c r="AA1193">
        <v>1</v>
      </c>
      <c r="AB1193">
        <v>0</v>
      </c>
      <c r="AC1193">
        <v>0</v>
      </c>
      <c r="AF1193">
        <v>1898</v>
      </c>
      <c r="AG1193">
        <v>1899</v>
      </c>
      <c r="AO1193" t="b">
        <v>1</v>
      </c>
      <c r="AP1193" t="s">
        <v>958</v>
      </c>
      <c r="AQ1193">
        <v>1966</v>
      </c>
      <c r="AR1193">
        <v>2016</v>
      </c>
      <c r="AS1193" t="s">
        <v>5188</v>
      </c>
      <c r="AT1193">
        <v>0.61327857631758997</v>
      </c>
      <c r="AU1193">
        <f t="shared" si="56"/>
        <v>2E-3</v>
      </c>
    </row>
    <row r="1194" spans="1:47" x14ac:dyDescent="0.3">
      <c r="A1194">
        <v>1192</v>
      </c>
      <c r="B1194" t="s">
        <v>5189</v>
      </c>
      <c r="C1194" t="s">
        <v>5190</v>
      </c>
      <c r="D1194">
        <v>220</v>
      </c>
      <c r="E1194" t="s">
        <v>4986</v>
      </c>
      <c r="F1194" t="str">
        <f>VLOOKUP(E1194,country_continent!A:C,2,FALSE)</f>
        <v>France</v>
      </c>
      <c r="G1194" t="str">
        <f>VLOOKUP(E1194,country_continent!A:C,3,FALSE)</f>
        <v>Europe</v>
      </c>
      <c r="H1194" t="s">
        <v>5191</v>
      </c>
      <c r="I1194" t="s">
        <v>5192</v>
      </c>
      <c r="J1194" s="3" t="str">
        <f t="shared" si="54"/>
        <v>1899/06/22</v>
      </c>
      <c r="K1194" s="1">
        <v>879</v>
      </c>
      <c r="L1194" s="3">
        <f t="shared" si="55"/>
        <v>879</v>
      </c>
      <c r="M1194" t="s">
        <v>49</v>
      </c>
      <c r="N1194" t="s">
        <v>228</v>
      </c>
      <c r="O1194" t="s">
        <v>49</v>
      </c>
      <c r="P1194">
        <v>0</v>
      </c>
      <c r="Q1194" t="s">
        <v>50</v>
      </c>
      <c r="R1194" t="s">
        <v>51</v>
      </c>
      <c r="S1194">
        <v>1846</v>
      </c>
      <c r="T1194">
        <v>1904</v>
      </c>
      <c r="W1194" s="1">
        <v>1684</v>
      </c>
      <c r="X1194" s="2">
        <v>1684</v>
      </c>
      <c r="Z1194">
        <v>0</v>
      </c>
      <c r="AA1194">
        <v>2.0999998999999998</v>
      </c>
      <c r="AB1194">
        <v>0</v>
      </c>
      <c r="AC1194">
        <v>0</v>
      </c>
      <c r="AF1194">
        <v>1899</v>
      </c>
      <c r="AG1194">
        <v>1902</v>
      </c>
      <c r="AO1194" t="b">
        <v>1</v>
      </c>
      <c r="AP1194" t="s">
        <v>958</v>
      </c>
      <c r="AQ1194">
        <v>1966</v>
      </c>
      <c r="AR1194">
        <v>2016</v>
      </c>
      <c r="AS1194" t="s">
        <v>5193</v>
      </c>
      <c r="AT1194">
        <v>2.9295003422313401</v>
      </c>
      <c r="AU1194">
        <f t="shared" si="56"/>
        <v>8.0000000000000002E-3</v>
      </c>
    </row>
    <row r="1195" spans="1:47" x14ac:dyDescent="0.3">
      <c r="A1195">
        <v>1193</v>
      </c>
      <c r="B1195" t="s">
        <v>5194</v>
      </c>
      <c r="C1195" t="s">
        <v>5195</v>
      </c>
      <c r="D1195">
        <v>220</v>
      </c>
      <c r="E1195" t="s">
        <v>4986</v>
      </c>
      <c r="F1195" t="str">
        <f>VLOOKUP(E1195,country_continent!A:C,2,FALSE)</f>
        <v>France</v>
      </c>
      <c r="G1195" t="str">
        <f>VLOOKUP(E1195,country_continent!A:C,3,FALSE)</f>
        <v>Europe</v>
      </c>
      <c r="H1195" t="s">
        <v>5196</v>
      </c>
      <c r="I1195" s="1">
        <v>889</v>
      </c>
      <c r="J1195" s="3">
        <f t="shared" si="54"/>
        <v>889</v>
      </c>
      <c r="K1195" s="1">
        <v>1846</v>
      </c>
      <c r="L1195" s="3">
        <f t="shared" si="55"/>
        <v>1846</v>
      </c>
      <c r="M1195" t="s">
        <v>49</v>
      </c>
      <c r="N1195" t="s">
        <v>49</v>
      </c>
      <c r="O1195" t="s">
        <v>49</v>
      </c>
      <c r="P1195">
        <v>0</v>
      </c>
      <c r="Q1195" t="s">
        <v>50</v>
      </c>
      <c r="R1195" t="s">
        <v>51</v>
      </c>
      <c r="S1195">
        <v>1835</v>
      </c>
      <c r="T1195">
        <v>1921</v>
      </c>
      <c r="Y1195" t="s">
        <v>5197</v>
      </c>
      <c r="Z1195">
        <v>0</v>
      </c>
      <c r="AA1195">
        <v>1</v>
      </c>
      <c r="AB1195">
        <v>0</v>
      </c>
      <c r="AC1195">
        <v>0</v>
      </c>
      <c r="AF1195">
        <v>1902</v>
      </c>
      <c r="AG1195">
        <v>1905</v>
      </c>
      <c r="AO1195" t="b">
        <v>1</v>
      </c>
      <c r="AP1195" t="s">
        <v>958</v>
      </c>
      <c r="AQ1195">
        <v>1966</v>
      </c>
      <c r="AR1195">
        <v>2016</v>
      </c>
      <c r="AS1195" t="s">
        <v>5198</v>
      </c>
      <c r="AT1195">
        <v>2.62012320328542</v>
      </c>
      <c r="AU1195">
        <f t="shared" si="56"/>
        <v>7.0000000000000001E-3</v>
      </c>
    </row>
    <row r="1196" spans="1:47" x14ac:dyDescent="0.3">
      <c r="A1196">
        <v>1194</v>
      </c>
      <c r="B1196" t="s">
        <v>5199</v>
      </c>
      <c r="C1196" t="s">
        <v>5103</v>
      </c>
      <c r="D1196">
        <v>220</v>
      </c>
      <c r="E1196" t="s">
        <v>4986</v>
      </c>
      <c r="F1196" t="str">
        <f>VLOOKUP(E1196,country_continent!A:C,2,FALSE)</f>
        <v>France</v>
      </c>
      <c r="G1196" t="str">
        <f>VLOOKUP(E1196,country_continent!A:C,3,FALSE)</f>
        <v>Europe</v>
      </c>
      <c r="H1196" t="s">
        <v>5104</v>
      </c>
      <c r="I1196" s="1">
        <v>1851</v>
      </c>
      <c r="J1196" s="3">
        <f t="shared" si="54"/>
        <v>1851</v>
      </c>
      <c r="K1196" s="1">
        <v>2258</v>
      </c>
      <c r="L1196" s="3">
        <f t="shared" si="55"/>
        <v>2258</v>
      </c>
      <c r="M1196" t="s">
        <v>49</v>
      </c>
      <c r="N1196" t="s">
        <v>49</v>
      </c>
      <c r="O1196" t="s">
        <v>49</v>
      </c>
      <c r="P1196">
        <v>1</v>
      </c>
      <c r="Q1196" t="s">
        <v>50</v>
      </c>
      <c r="R1196" t="s">
        <v>51</v>
      </c>
      <c r="S1196">
        <v>1842</v>
      </c>
      <c r="T1196">
        <v>1911</v>
      </c>
      <c r="Z1196">
        <v>0</v>
      </c>
      <c r="AA1196">
        <v>1</v>
      </c>
      <c r="AB1196">
        <v>0</v>
      </c>
      <c r="AC1196">
        <v>0</v>
      </c>
      <c r="AF1196">
        <v>1905</v>
      </c>
      <c r="AG1196">
        <v>1906</v>
      </c>
      <c r="AO1196" t="b">
        <v>1</v>
      </c>
      <c r="AP1196" t="s">
        <v>958</v>
      </c>
      <c r="AQ1196">
        <v>1966</v>
      </c>
      <c r="AR1196">
        <v>2016</v>
      </c>
      <c r="AS1196" t="s">
        <v>5200</v>
      </c>
      <c r="AT1196">
        <v>1.1143052703627601</v>
      </c>
      <c r="AU1196">
        <f t="shared" si="56"/>
        <v>3.0000000000000001E-3</v>
      </c>
    </row>
    <row r="1197" spans="1:47" x14ac:dyDescent="0.3">
      <c r="A1197">
        <v>1195</v>
      </c>
      <c r="B1197" t="s">
        <v>5201</v>
      </c>
      <c r="C1197" t="s">
        <v>5202</v>
      </c>
      <c r="D1197">
        <v>220</v>
      </c>
      <c r="E1197" t="s">
        <v>4986</v>
      </c>
      <c r="F1197" t="str">
        <f>VLOOKUP(E1197,country_continent!A:C,2,FALSE)</f>
        <v>France</v>
      </c>
      <c r="G1197" t="str">
        <f>VLOOKUP(E1197,country_continent!A:C,3,FALSE)</f>
        <v>Europe</v>
      </c>
      <c r="H1197" t="s">
        <v>5203</v>
      </c>
      <c r="I1197" s="1">
        <v>2263</v>
      </c>
      <c r="J1197" s="3">
        <f t="shared" si="54"/>
        <v>2263</v>
      </c>
      <c r="K1197" s="1">
        <v>2483</v>
      </c>
      <c r="L1197" s="3">
        <f t="shared" si="55"/>
        <v>2483</v>
      </c>
      <c r="M1197" t="s">
        <v>49</v>
      </c>
      <c r="N1197" t="s">
        <v>49</v>
      </c>
      <c r="O1197" t="s">
        <v>49</v>
      </c>
      <c r="P1197">
        <v>0</v>
      </c>
      <c r="Q1197" t="s">
        <v>50</v>
      </c>
      <c r="R1197" t="s">
        <v>51</v>
      </c>
      <c r="S1197">
        <v>1840</v>
      </c>
      <c r="T1197">
        <v>1915</v>
      </c>
      <c r="Y1197" t="s">
        <v>5204</v>
      </c>
      <c r="Z1197">
        <v>0</v>
      </c>
      <c r="AA1197">
        <v>1</v>
      </c>
      <c r="AB1197">
        <v>0</v>
      </c>
      <c r="AC1197">
        <v>0</v>
      </c>
      <c r="AF1197">
        <v>1906</v>
      </c>
      <c r="AG1197">
        <v>1906</v>
      </c>
      <c r="AO1197" t="b">
        <v>1</v>
      </c>
      <c r="AP1197" t="s">
        <v>958</v>
      </c>
      <c r="AQ1197">
        <v>1966</v>
      </c>
      <c r="AR1197">
        <v>2016</v>
      </c>
      <c r="AS1197" t="s">
        <v>5205</v>
      </c>
      <c r="AT1197">
        <v>0.60232717316906204</v>
      </c>
      <c r="AU1197">
        <f t="shared" si="56"/>
        <v>2E-3</v>
      </c>
    </row>
    <row r="1198" spans="1:47" x14ac:dyDescent="0.3">
      <c r="A1198">
        <v>1196</v>
      </c>
      <c r="B1198" t="s">
        <v>5206</v>
      </c>
      <c r="C1198" t="s">
        <v>5207</v>
      </c>
      <c r="D1198">
        <v>220</v>
      </c>
      <c r="E1198" t="s">
        <v>4986</v>
      </c>
      <c r="F1198" t="str">
        <f>VLOOKUP(E1198,country_continent!A:C,2,FALSE)</f>
        <v>France</v>
      </c>
      <c r="G1198" t="str">
        <f>VLOOKUP(E1198,country_continent!A:C,3,FALSE)</f>
        <v>Europe</v>
      </c>
      <c r="H1198" t="s">
        <v>5208</v>
      </c>
      <c r="I1198" s="1">
        <v>2493</v>
      </c>
      <c r="J1198" s="3">
        <f t="shared" si="54"/>
        <v>2493</v>
      </c>
      <c r="K1198" s="1">
        <v>3489</v>
      </c>
      <c r="L1198" s="3">
        <f t="shared" si="55"/>
        <v>3489</v>
      </c>
      <c r="M1198" t="s">
        <v>49</v>
      </c>
      <c r="N1198" t="s">
        <v>49</v>
      </c>
      <c r="O1198" t="s">
        <v>49</v>
      </c>
      <c r="P1198">
        <v>0</v>
      </c>
      <c r="Q1198" t="s">
        <v>50</v>
      </c>
      <c r="R1198" t="s">
        <v>51</v>
      </c>
      <c r="S1198">
        <v>1841</v>
      </c>
      <c r="T1198">
        <v>1929</v>
      </c>
      <c r="U1198" t="s">
        <v>5209</v>
      </c>
      <c r="V1198" t="s">
        <v>5210</v>
      </c>
      <c r="W1198" s="1">
        <v>10921</v>
      </c>
      <c r="X1198" s="2">
        <v>10921</v>
      </c>
      <c r="Y1198" t="s">
        <v>5211</v>
      </c>
      <c r="Z1198">
        <v>0</v>
      </c>
      <c r="AA1198">
        <v>1</v>
      </c>
      <c r="AB1198">
        <v>0</v>
      </c>
      <c r="AC1198">
        <v>0</v>
      </c>
      <c r="AF1198">
        <v>1906</v>
      </c>
      <c r="AG1198">
        <v>1909</v>
      </c>
      <c r="AO1198" t="b">
        <v>1</v>
      </c>
      <c r="AP1198" t="s">
        <v>958</v>
      </c>
      <c r="AQ1198">
        <v>1966</v>
      </c>
      <c r="AR1198">
        <v>2016</v>
      </c>
      <c r="AS1198" t="s">
        <v>5212</v>
      </c>
      <c r="AT1198">
        <v>2.7268993839835698</v>
      </c>
      <c r="AU1198">
        <f t="shared" si="56"/>
        <v>7.0000000000000001E-3</v>
      </c>
    </row>
    <row r="1199" spans="1:47" x14ac:dyDescent="0.3">
      <c r="A1199">
        <v>1197</v>
      </c>
      <c r="B1199" t="s">
        <v>5213</v>
      </c>
      <c r="C1199" t="s">
        <v>5214</v>
      </c>
      <c r="D1199">
        <v>220</v>
      </c>
      <c r="E1199" t="s">
        <v>4986</v>
      </c>
      <c r="F1199" t="str">
        <f>VLOOKUP(E1199,country_continent!A:C,2,FALSE)</f>
        <v>France</v>
      </c>
      <c r="G1199" t="str">
        <f>VLOOKUP(E1199,country_continent!A:C,3,FALSE)</f>
        <v>Europe</v>
      </c>
      <c r="H1199" t="s">
        <v>5215</v>
      </c>
      <c r="I1199" s="1">
        <v>3493</v>
      </c>
      <c r="J1199" s="3">
        <f t="shared" si="54"/>
        <v>3493</v>
      </c>
      <c r="K1199" s="1">
        <v>4073</v>
      </c>
      <c r="L1199" s="3">
        <f t="shared" si="55"/>
        <v>4073</v>
      </c>
      <c r="M1199" t="s">
        <v>49</v>
      </c>
      <c r="N1199" t="s">
        <v>49</v>
      </c>
      <c r="O1199" t="s">
        <v>49</v>
      </c>
      <c r="P1199">
        <v>0</v>
      </c>
      <c r="Q1199" t="s">
        <v>50</v>
      </c>
      <c r="R1199" t="s">
        <v>51</v>
      </c>
      <c r="S1199">
        <v>1862</v>
      </c>
      <c r="T1199">
        <v>1932</v>
      </c>
      <c r="U1199" t="s">
        <v>5216</v>
      </c>
      <c r="V1199" t="s">
        <v>5217</v>
      </c>
      <c r="W1199" s="1">
        <v>11755</v>
      </c>
      <c r="X1199" s="2">
        <v>11755</v>
      </c>
      <c r="Y1199" t="s">
        <v>5218</v>
      </c>
      <c r="Z1199">
        <v>0</v>
      </c>
      <c r="AA1199">
        <v>1</v>
      </c>
      <c r="AB1199">
        <v>0</v>
      </c>
      <c r="AC1199">
        <v>0</v>
      </c>
      <c r="AF1199">
        <v>1909</v>
      </c>
      <c r="AG1199">
        <v>1911</v>
      </c>
      <c r="AO1199" t="b">
        <v>1</v>
      </c>
      <c r="AP1199" t="s">
        <v>958</v>
      </c>
      <c r="AQ1199">
        <v>1966</v>
      </c>
      <c r="AR1199">
        <v>2016</v>
      </c>
      <c r="AS1199" t="s">
        <v>5219</v>
      </c>
      <c r="AT1199">
        <v>1.58795345653661</v>
      </c>
      <c r="AU1199">
        <f t="shared" si="56"/>
        <v>4.0000000000000001E-3</v>
      </c>
    </row>
    <row r="1200" spans="1:47" x14ac:dyDescent="0.3">
      <c r="A1200">
        <v>1198</v>
      </c>
      <c r="B1200" t="s">
        <v>5220</v>
      </c>
      <c r="C1200" t="s">
        <v>5221</v>
      </c>
      <c r="D1200">
        <v>220</v>
      </c>
      <c r="E1200" t="s">
        <v>4986</v>
      </c>
      <c r="F1200" t="str">
        <f>VLOOKUP(E1200,country_continent!A:C,2,FALSE)</f>
        <v>France</v>
      </c>
      <c r="G1200" t="str">
        <f>VLOOKUP(E1200,country_continent!A:C,3,FALSE)</f>
        <v>Europe</v>
      </c>
      <c r="H1200" t="s">
        <v>5222</v>
      </c>
      <c r="I1200" s="1">
        <v>4081</v>
      </c>
      <c r="J1200" s="3">
        <f t="shared" si="54"/>
        <v>4081</v>
      </c>
      <c r="K1200" s="1">
        <v>4191</v>
      </c>
      <c r="L1200" s="3">
        <f t="shared" si="55"/>
        <v>4191</v>
      </c>
      <c r="M1200" t="s">
        <v>49</v>
      </c>
      <c r="N1200" t="s">
        <v>49</v>
      </c>
      <c r="O1200" t="s">
        <v>49</v>
      </c>
      <c r="P1200">
        <v>0</v>
      </c>
      <c r="Q1200" t="s">
        <v>50</v>
      </c>
      <c r="R1200" t="s">
        <v>51</v>
      </c>
      <c r="S1200">
        <v>1846</v>
      </c>
      <c r="T1200">
        <v>1929</v>
      </c>
      <c r="Y1200" t="s">
        <v>5223</v>
      </c>
      <c r="Z1200">
        <v>0</v>
      </c>
      <c r="AA1200">
        <v>1</v>
      </c>
      <c r="AB1200">
        <v>0</v>
      </c>
      <c r="AC1200">
        <v>0</v>
      </c>
      <c r="AF1200">
        <v>1911</v>
      </c>
      <c r="AG1200">
        <v>1911</v>
      </c>
      <c r="AO1200" t="b">
        <v>1</v>
      </c>
      <c r="AP1200" t="s">
        <v>958</v>
      </c>
      <c r="AQ1200">
        <v>1966</v>
      </c>
      <c r="AR1200">
        <v>2016</v>
      </c>
      <c r="AS1200" t="s">
        <v>5224</v>
      </c>
      <c r="AT1200">
        <v>0.30116358658453102</v>
      </c>
      <c r="AU1200">
        <f t="shared" si="56"/>
        <v>1E-3</v>
      </c>
    </row>
    <row r="1201" spans="1:47" x14ac:dyDescent="0.3">
      <c r="A1201">
        <v>1199</v>
      </c>
      <c r="B1201" t="s">
        <v>5225</v>
      </c>
      <c r="C1201" t="s">
        <v>5226</v>
      </c>
      <c r="D1201">
        <v>220</v>
      </c>
      <c r="E1201" t="s">
        <v>4986</v>
      </c>
      <c r="F1201" t="str">
        <f>VLOOKUP(E1201,country_continent!A:C,2,FALSE)</f>
        <v>France</v>
      </c>
      <c r="G1201" t="str">
        <f>VLOOKUP(E1201,country_continent!A:C,3,FALSE)</f>
        <v>Europe</v>
      </c>
      <c r="H1201" t="s">
        <v>5227</v>
      </c>
      <c r="I1201" s="1">
        <v>4196</v>
      </c>
      <c r="J1201" s="3">
        <f t="shared" si="54"/>
        <v>4196</v>
      </c>
      <c r="K1201" s="1">
        <v>4393</v>
      </c>
      <c r="L1201" s="3">
        <f t="shared" si="55"/>
        <v>4393</v>
      </c>
      <c r="M1201" t="s">
        <v>49</v>
      </c>
      <c r="N1201" t="s">
        <v>49</v>
      </c>
      <c r="O1201" t="s">
        <v>49</v>
      </c>
      <c r="P1201">
        <v>0</v>
      </c>
      <c r="Q1201" t="s">
        <v>50</v>
      </c>
      <c r="R1201" t="s">
        <v>51</v>
      </c>
      <c r="S1201">
        <v>1863</v>
      </c>
      <c r="T1201">
        <v>1934</v>
      </c>
      <c r="Z1201">
        <v>0</v>
      </c>
      <c r="AA1201">
        <v>1</v>
      </c>
      <c r="AB1201">
        <v>0</v>
      </c>
      <c r="AC1201">
        <v>0</v>
      </c>
      <c r="AF1201">
        <v>1911</v>
      </c>
      <c r="AG1201">
        <v>1912</v>
      </c>
      <c r="AO1201" t="b">
        <v>1</v>
      </c>
      <c r="AP1201" t="s">
        <v>958</v>
      </c>
      <c r="AQ1201">
        <v>1966</v>
      </c>
      <c r="AR1201">
        <v>2016</v>
      </c>
      <c r="AS1201" t="s">
        <v>5228</v>
      </c>
      <c r="AT1201">
        <v>0.53935660506502303</v>
      </c>
      <c r="AU1201">
        <f t="shared" si="56"/>
        <v>1E-3</v>
      </c>
    </row>
    <row r="1202" spans="1:47" x14ac:dyDescent="0.3">
      <c r="A1202">
        <v>1200</v>
      </c>
      <c r="B1202" t="s">
        <v>5229</v>
      </c>
      <c r="C1202" t="s">
        <v>5230</v>
      </c>
      <c r="D1202">
        <v>220</v>
      </c>
      <c r="E1202" t="s">
        <v>4986</v>
      </c>
      <c r="F1202" t="str">
        <f>VLOOKUP(E1202,country_continent!A:C,2,FALSE)</f>
        <v>France</v>
      </c>
      <c r="G1202" t="str">
        <f>VLOOKUP(E1202,country_continent!A:C,3,FALSE)</f>
        <v>Europe</v>
      </c>
      <c r="H1202" t="s">
        <v>5231</v>
      </c>
      <c r="I1202" s="1">
        <v>4397</v>
      </c>
      <c r="J1202" s="3">
        <f t="shared" si="54"/>
        <v>4397</v>
      </c>
      <c r="K1202" s="1">
        <v>4767</v>
      </c>
      <c r="L1202" s="3">
        <f t="shared" si="55"/>
        <v>4767</v>
      </c>
      <c r="M1202" t="s">
        <v>49</v>
      </c>
      <c r="N1202" t="s">
        <v>49</v>
      </c>
      <c r="O1202" t="s">
        <v>49</v>
      </c>
      <c r="P1202">
        <v>0</v>
      </c>
      <c r="Q1202" t="s">
        <v>50</v>
      </c>
      <c r="R1202" t="s">
        <v>51</v>
      </c>
      <c r="S1202">
        <v>1860</v>
      </c>
      <c r="T1202">
        <v>1934</v>
      </c>
      <c r="U1202" t="s">
        <v>5232</v>
      </c>
      <c r="V1202" t="s">
        <v>5233</v>
      </c>
      <c r="W1202" s="1">
        <v>12707</v>
      </c>
      <c r="X1202" s="2">
        <v>12707</v>
      </c>
      <c r="Y1202" t="s">
        <v>5234</v>
      </c>
      <c r="Z1202">
        <v>0</v>
      </c>
      <c r="AA1202">
        <v>1</v>
      </c>
      <c r="AB1202">
        <v>0</v>
      </c>
      <c r="AC1202">
        <v>0</v>
      </c>
      <c r="AF1202">
        <v>1912</v>
      </c>
      <c r="AG1202">
        <v>1913</v>
      </c>
      <c r="AO1202" t="b">
        <v>1</v>
      </c>
      <c r="AP1202" t="s">
        <v>958</v>
      </c>
      <c r="AQ1202">
        <v>1966</v>
      </c>
      <c r="AR1202">
        <v>2016</v>
      </c>
      <c r="AS1202" t="s">
        <v>5235</v>
      </c>
      <c r="AT1202">
        <v>1.01300479123887</v>
      </c>
      <c r="AU1202">
        <f t="shared" si="56"/>
        <v>3.0000000000000001E-3</v>
      </c>
    </row>
    <row r="1203" spans="1:47" x14ac:dyDescent="0.3">
      <c r="A1203">
        <v>1201</v>
      </c>
      <c r="B1203" t="s">
        <v>5236</v>
      </c>
      <c r="C1203" t="s">
        <v>5214</v>
      </c>
      <c r="D1203">
        <v>220</v>
      </c>
      <c r="E1203" t="s">
        <v>4986</v>
      </c>
      <c r="F1203" t="str">
        <f>VLOOKUP(E1203,country_continent!A:C,2,FALSE)</f>
        <v>France</v>
      </c>
      <c r="G1203" t="str">
        <f>VLOOKUP(E1203,country_continent!A:C,3,FALSE)</f>
        <v>Europe</v>
      </c>
      <c r="H1203" t="s">
        <v>5215</v>
      </c>
      <c r="I1203" s="1">
        <v>4767</v>
      </c>
      <c r="J1203" s="3">
        <f t="shared" si="54"/>
        <v>4767</v>
      </c>
      <c r="K1203" s="1">
        <v>4826</v>
      </c>
      <c r="L1203" s="3">
        <f t="shared" si="55"/>
        <v>4826</v>
      </c>
      <c r="M1203" t="s">
        <v>49</v>
      </c>
      <c r="N1203" t="s">
        <v>49</v>
      </c>
      <c r="O1203" t="s">
        <v>49</v>
      </c>
      <c r="P1203">
        <v>1</v>
      </c>
      <c r="Q1203" t="s">
        <v>50</v>
      </c>
      <c r="R1203" t="s">
        <v>51</v>
      </c>
      <c r="S1203">
        <v>1862</v>
      </c>
      <c r="T1203">
        <v>1932</v>
      </c>
      <c r="U1203" t="s">
        <v>5216</v>
      </c>
      <c r="V1203" t="s">
        <v>5217</v>
      </c>
      <c r="W1203" s="1">
        <v>11755</v>
      </c>
      <c r="X1203" s="2">
        <v>11755</v>
      </c>
      <c r="Y1203" t="s">
        <v>5218</v>
      </c>
      <c r="Z1203">
        <v>0</v>
      </c>
      <c r="AA1203">
        <v>1</v>
      </c>
      <c r="AB1203">
        <v>0</v>
      </c>
      <c r="AC1203">
        <v>0</v>
      </c>
      <c r="AF1203">
        <v>1913</v>
      </c>
      <c r="AG1203">
        <v>1913</v>
      </c>
      <c r="AO1203" t="b">
        <v>1</v>
      </c>
      <c r="AP1203" t="s">
        <v>958</v>
      </c>
      <c r="AQ1203">
        <v>1966</v>
      </c>
      <c r="AR1203">
        <v>2016</v>
      </c>
      <c r="AS1203" t="s">
        <v>5237</v>
      </c>
      <c r="AT1203">
        <v>0.161533196440793</v>
      </c>
      <c r="AU1203">
        <f t="shared" si="56"/>
        <v>0</v>
      </c>
    </row>
    <row r="1204" spans="1:47" x14ac:dyDescent="0.3">
      <c r="A1204">
        <v>1202</v>
      </c>
      <c r="B1204" t="s">
        <v>5238</v>
      </c>
      <c r="C1204" t="s">
        <v>5239</v>
      </c>
      <c r="D1204">
        <v>220</v>
      </c>
      <c r="E1204" t="s">
        <v>4986</v>
      </c>
      <c r="F1204" t="str">
        <f>VLOOKUP(E1204,country_continent!A:C,2,FALSE)</f>
        <v>France</v>
      </c>
      <c r="G1204" t="str">
        <f>VLOOKUP(E1204,country_continent!A:C,3,FALSE)</f>
        <v>Europe</v>
      </c>
      <c r="H1204" t="s">
        <v>5240</v>
      </c>
      <c r="I1204" s="1">
        <v>4832</v>
      </c>
      <c r="J1204" s="3">
        <f t="shared" si="54"/>
        <v>4832</v>
      </c>
      <c r="K1204" s="1">
        <v>5085</v>
      </c>
      <c r="L1204" s="3">
        <f t="shared" si="55"/>
        <v>5085</v>
      </c>
      <c r="M1204" t="s">
        <v>49</v>
      </c>
      <c r="N1204" t="s">
        <v>49</v>
      </c>
      <c r="O1204" t="s">
        <v>49</v>
      </c>
      <c r="P1204">
        <v>0</v>
      </c>
      <c r="Q1204" t="s">
        <v>50</v>
      </c>
      <c r="R1204" t="s">
        <v>51</v>
      </c>
      <c r="S1204">
        <v>1862</v>
      </c>
      <c r="T1204">
        <v>1934</v>
      </c>
      <c r="U1204" t="s">
        <v>5241</v>
      </c>
      <c r="V1204" t="s">
        <v>5242</v>
      </c>
      <c r="W1204" s="1">
        <v>12701</v>
      </c>
      <c r="X1204" s="2">
        <v>12701</v>
      </c>
      <c r="Y1204" t="s">
        <v>5243</v>
      </c>
      <c r="Z1204">
        <v>0</v>
      </c>
      <c r="AA1204">
        <v>1</v>
      </c>
      <c r="AB1204">
        <v>0</v>
      </c>
      <c r="AC1204">
        <v>0</v>
      </c>
      <c r="AF1204">
        <v>1913</v>
      </c>
      <c r="AG1204">
        <v>1913</v>
      </c>
      <c r="AO1204" t="b">
        <v>1</v>
      </c>
      <c r="AP1204" t="s">
        <v>958</v>
      </c>
      <c r="AQ1204">
        <v>1966</v>
      </c>
      <c r="AR1204">
        <v>2016</v>
      </c>
      <c r="AS1204" t="s">
        <v>5244</v>
      </c>
      <c r="AT1204">
        <v>0.69267624914442105</v>
      </c>
      <c r="AU1204">
        <f t="shared" si="56"/>
        <v>2E-3</v>
      </c>
    </row>
    <row r="1205" spans="1:47" x14ac:dyDescent="0.3">
      <c r="A1205">
        <v>1203</v>
      </c>
      <c r="B1205" t="s">
        <v>5245</v>
      </c>
      <c r="C1205" t="s">
        <v>5246</v>
      </c>
      <c r="D1205">
        <v>220</v>
      </c>
      <c r="E1205" t="s">
        <v>4986</v>
      </c>
      <c r="F1205" t="str">
        <f>VLOOKUP(E1205,country_continent!A:C,2,FALSE)</f>
        <v>France</v>
      </c>
      <c r="G1205" t="str">
        <f>VLOOKUP(E1205,country_continent!A:C,3,FALSE)</f>
        <v>Europe</v>
      </c>
      <c r="H1205" t="s">
        <v>5247</v>
      </c>
      <c r="I1205" s="1">
        <v>5091</v>
      </c>
      <c r="J1205" s="3">
        <f t="shared" si="54"/>
        <v>5091</v>
      </c>
      <c r="K1205" s="1">
        <v>5269</v>
      </c>
      <c r="L1205" s="3">
        <f t="shared" si="55"/>
        <v>5269</v>
      </c>
      <c r="M1205" t="s">
        <v>49</v>
      </c>
      <c r="N1205" t="s">
        <v>49</v>
      </c>
      <c r="O1205" t="s">
        <v>49</v>
      </c>
      <c r="P1205">
        <v>0</v>
      </c>
      <c r="Q1205" t="s">
        <v>50</v>
      </c>
      <c r="R1205" t="s">
        <v>51</v>
      </c>
      <c r="S1205">
        <v>1863</v>
      </c>
      <c r="T1205">
        <v>1937</v>
      </c>
      <c r="U1205" t="s">
        <v>5248</v>
      </c>
      <c r="V1205" t="s">
        <v>5249</v>
      </c>
      <c r="W1205" s="1">
        <v>13684</v>
      </c>
      <c r="X1205" s="2">
        <v>13684</v>
      </c>
      <c r="Y1205" t="s">
        <v>5250</v>
      </c>
      <c r="Z1205">
        <v>0</v>
      </c>
      <c r="AA1205">
        <v>1</v>
      </c>
      <c r="AB1205">
        <v>0</v>
      </c>
      <c r="AC1205">
        <v>0</v>
      </c>
      <c r="AF1205">
        <v>1913</v>
      </c>
      <c r="AG1205">
        <v>1914</v>
      </c>
      <c r="AO1205" t="b">
        <v>1</v>
      </c>
      <c r="AP1205" t="s">
        <v>958</v>
      </c>
      <c r="AQ1205">
        <v>1966</v>
      </c>
      <c r="AR1205">
        <v>2016</v>
      </c>
      <c r="AS1205" t="s">
        <v>5251</v>
      </c>
      <c r="AT1205">
        <v>0.48733744010951402</v>
      </c>
      <c r="AU1205">
        <f t="shared" si="56"/>
        <v>1E-3</v>
      </c>
    </row>
    <row r="1206" spans="1:47" x14ac:dyDescent="0.3">
      <c r="A1206">
        <v>1204</v>
      </c>
      <c r="B1206" t="s">
        <v>5252</v>
      </c>
      <c r="C1206" t="s">
        <v>5253</v>
      </c>
      <c r="D1206">
        <v>220</v>
      </c>
      <c r="E1206" t="s">
        <v>4986</v>
      </c>
      <c r="F1206" t="str">
        <f>VLOOKUP(E1206,country_continent!A:C,2,FALSE)</f>
        <v>France</v>
      </c>
      <c r="G1206" t="str">
        <f>VLOOKUP(E1206,country_continent!A:C,3,FALSE)</f>
        <v>Europe</v>
      </c>
      <c r="H1206" t="s">
        <v>5254</v>
      </c>
      <c r="I1206" s="1">
        <v>5274</v>
      </c>
      <c r="J1206" s="3">
        <f t="shared" si="54"/>
        <v>5274</v>
      </c>
      <c r="K1206" s="1">
        <v>5781</v>
      </c>
      <c r="L1206" s="3">
        <f t="shared" si="55"/>
        <v>5781</v>
      </c>
      <c r="M1206" t="s">
        <v>49</v>
      </c>
      <c r="N1206" t="s">
        <v>49</v>
      </c>
      <c r="O1206" t="s">
        <v>49</v>
      </c>
      <c r="P1206">
        <v>0</v>
      </c>
      <c r="Q1206" t="s">
        <v>50</v>
      </c>
      <c r="R1206" t="s">
        <v>51</v>
      </c>
      <c r="S1206">
        <v>1863</v>
      </c>
      <c r="T1206">
        <v>1925</v>
      </c>
      <c r="Y1206" t="s">
        <v>5255</v>
      </c>
      <c r="Z1206">
        <v>0</v>
      </c>
      <c r="AA1206">
        <v>1</v>
      </c>
      <c r="AB1206">
        <v>0</v>
      </c>
      <c r="AC1206">
        <v>0</v>
      </c>
      <c r="AF1206">
        <v>1914</v>
      </c>
      <c r="AG1206">
        <v>1915</v>
      </c>
      <c r="AO1206" t="b">
        <v>1</v>
      </c>
      <c r="AP1206" t="s">
        <v>958</v>
      </c>
      <c r="AQ1206">
        <v>1966</v>
      </c>
      <c r="AR1206">
        <v>2016</v>
      </c>
      <c r="AS1206" t="s">
        <v>5256</v>
      </c>
      <c r="AT1206">
        <v>1.38809034907597</v>
      </c>
      <c r="AU1206">
        <f t="shared" si="56"/>
        <v>4.0000000000000001E-3</v>
      </c>
    </row>
    <row r="1207" spans="1:47" x14ac:dyDescent="0.3">
      <c r="A1207">
        <v>1205</v>
      </c>
      <c r="B1207" t="s">
        <v>5257</v>
      </c>
      <c r="C1207" t="s">
        <v>5214</v>
      </c>
      <c r="D1207">
        <v>220</v>
      </c>
      <c r="E1207" t="s">
        <v>4986</v>
      </c>
      <c r="F1207" t="str">
        <f>VLOOKUP(E1207,country_continent!A:C,2,FALSE)</f>
        <v>France</v>
      </c>
      <c r="G1207" t="str">
        <f>VLOOKUP(E1207,country_continent!A:C,3,FALSE)</f>
        <v>Europe</v>
      </c>
      <c r="H1207" t="s">
        <v>5215</v>
      </c>
      <c r="I1207" s="1">
        <v>5781</v>
      </c>
      <c r="J1207" s="3">
        <f t="shared" si="54"/>
        <v>5781</v>
      </c>
      <c r="K1207" s="1">
        <v>6286</v>
      </c>
      <c r="L1207" s="3">
        <f t="shared" si="55"/>
        <v>6286</v>
      </c>
      <c r="M1207" t="s">
        <v>49</v>
      </c>
      <c r="N1207" t="s">
        <v>49</v>
      </c>
      <c r="O1207" t="s">
        <v>49</v>
      </c>
      <c r="P1207">
        <v>2</v>
      </c>
      <c r="Q1207" t="s">
        <v>50</v>
      </c>
      <c r="R1207" t="s">
        <v>51</v>
      </c>
      <c r="S1207">
        <v>1862</v>
      </c>
      <c r="T1207">
        <v>1932</v>
      </c>
      <c r="U1207" t="s">
        <v>5216</v>
      </c>
      <c r="V1207" t="s">
        <v>5217</v>
      </c>
      <c r="W1207" s="1">
        <v>11755</v>
      </c>
      <c r="X1207" s="2">
        <v>11755</v>
      </c>
      <c r="Y1207" t="s">
        <v>5218</v>
      </c>
      <c r="Z1207">
        <v>0</v>
      </c>
      <c r="AA1207">
        <v>1</v>
      </c>
      <c r="AB1207">
        <v>0</v>
      </c>
      <c r="AC1207">
        <v>0</v>
      </c>
      <c r="AF1207">
        <v>1915</v>
      </c>
      <c r="AG1207">
        <v>1917</v>
      </c>
      <c r="AO1207" t="b">
        <v>1</v>
      </c>
      <c r="AP1207" t="s">
        <v>958</v>
      </c>
      <c r="AQ1207">
        <v>1966</v>
      </c>
      <c r="AR1207">
        <v>2016</v>
      </c>
      <c r="AS1207" t="s">
        <v>5258</v>
      </c>
      <c r="AT1207">
        <v>1.38261464750171</v>
      </c>
      <c r="AU1207">
        <f t="shared" si="56"/>
        <v>4.0000000000000001E-3</v>
      </c>
    </row>
    <row r="1208" spans="1:47" x14ac:dyDescent="0.3">
      <c r="A1208">
        <v>1206</v>
      </c>
      <c r="B1208" t="s">
        <v>5259</v>
      </c>
      <c r="C1208" t="s">
        <v>5137</v>
      </c>
      <c r="D1208">
        <v>220</v>
      </c>
      <c r="E1208" t="s">
        <v>4986</v>
      </c>
      <c r="F1208" t="str">
        <f>VLOOKUP(E1208,country_continent!A:C,2,FALSE)</f>
        <v>France</v>
      </c>
      <c r="G1208" t="str">
        <f>VLOOKUP(E1208,country_continent!A:C,3,FALSE)</f>
        <v>Europe</v>
      </c>
      <c r="H1208" t="s">
        <v>5138</v>
      </c>
      <c r="I1208" s="1">
        <v>6289</v>
      </c>
      <c r="J1208" s="3">
        <f t="shared" si="54"/>
        <v>6289</v>
      </c>
      <c r="K1208" s="1">
        <v>6460</v>
      </c>
      <c r="L1208" s="3">
        <f t="shared" si="55"/>
        <v>6460</v>
      </c>
      <c r="M1208" t="s">
        <v>49</v>
      </c>
      <c r="N1208" t="s">
        <v>49</v>
      </c>
      <c r="O1208" t="s">
        <v>49</v>
      </c>
      <c r="P1208">
        <v>2</v>
      </c>
      <c r="Q1208" t="s">
        <v>50</v>
      </c>
      <c r="R1208" t="s">
        <v>51</v>
      </c>
      <c r="S1208">
        <v>1842</v>
      </c>
      <c r="T1208">
        <v>1923</v>
      </c>
      <c r="Y1208" t="s">
        <v>5141</v>
      </c>
      <c r="Z1208">
        <v>0</v>
      </c>
      <c r="AA1208">
        <v>1</v>
      </c>
      <c r="AB1208">
        <v>0</v>
      </c>
      <c r="AC1208">
        <v>0</v>
      </c>
      <c r="AF1208">
        <v>1917</v>
      </c>
      <c r="AG1208">
        <v>1917</v>
      </c>
      <c r="AO1208" t="b">
        <v>1</v>
      </c>
      <c r="AP1208" t="s">
        <v>958</v>
      </c>
      <c r="AQ1208">
        <v>1966</v>
      </c>
      <c r="AR1208">
        <v>2016</v>
      </c>
      <c r="AS1208" t="s">
        <v>5260</v>
      </c>
      <c r="AT1208">
        <v>0.46817248459958899</v>
      </c>
      <c r="AU1208">
        <f t="shared" si="56"/>
        <v>1E-3</v>
      </c>
    </row>
    <row r="1209" spans="1:47" x14ac:dyDescent="0.3">
      <c r="A1209">
        <v>1207</v>
      </c>
      <c r="B1209" t="s">
        <v>5261</v>
      </c>
      <c r="C1209" t="s">
        <v>5262</v>
      </c>
      <c r="D1209">
        <v>220</v>
      </c>
      <c r="E1209" t="s">
        <v>4986</v>
      </c>
      <c r="F1209" t="str">
        <f>VLOOKUP(E1209,country_continent!A:C,2,FALSE)</f>
        <v>France</v>
      </c>
      <c r="G1209" t="str">
        <f>VLOOKUP(E1209,country_continent!A:C,3,FALSE)</f>
        <v>Europe</v>
      </c>
      <c r="H1209" t="s">
        <v>5263</v>
      </c>
      <c r="I1209" s="1">
        <v>6465</v>
      </c>
      <c r="J1209" s="3">
        <f t="shared" si="54"/>
        <v>6465</v>
      </c>
      <c r="K1209" s="1">
        <v>6527</v>
      </c>
      <c r="L1209" s="3">
        <f t="shared" si="55"/>
        <v>6527</v>
      </c>
      <c r="M1209" t="s">
        <v>49</v>
      </c>
      <c r="N1209" t="s">
        <v>49</v>
      </c>
      <c r="O1209" t="s">
        <v>49</v>
      </c>
      <c r="P1209">
        <v>0</v>
      </c>
      <c r="Q1209" t="s">
        <v>50</v>
      </c>
      <c r="R1209" t="s">
        <v>51</v>
      </c>
      <c r="S1209">
        <v>1863</v>
      </c>
      <c r="T1209">
        <v>1933</v>
      </c>
      <c r="Y1209" t="s">
        <v>5264</v>
      </c>
      <c r="Z1209">
        <v>0</v>
      </c>
      <c r="AA1209">
        <v>1</v>
      </c>
      <c r="AB1209">
        <v>0</v>
      </c>
      <c r="AC1209">
        <v>0</v>
      </c>
      <c r="AF1209">
        <v>1917</v>
      </c>
      <c r="AG1209">
        <v>1917</v>
      </c>
      <c r="AO1209" t="b">
        <v>1</v>
      </c>
      <c r="AP1209" t="s">
        <v>958</v>
      </c>
      <c r="AQ1209">
        <v>1966</v>
      </c>
      <c r="AR1209">
        <v>2016</v>
      </c>
      <c r="AS1209" t="s">
        <v>5265</v>
      </c>
      <c r="AT1209">
        <v>0.16974674880219001</v>
      </c>
      <c r="AU1209">
        <f t="shared" si="56"/>
        <v>0</v>
      </c>
    </row>
    <row r="1210" spans="1:47" x14ac:dyDescent="0.3">
      <c r="A1210">
        <v>1208</v>
      </c>
      <c r="B1210" t="s">
        <v>5266</v>
      </c>
      <c r="C1210" t="s">
        <v>5207</v>
      </c>
      <c r="D1210">
        <v>220</v>
      </c>
      <c r="E1210" t="s">
        <v>4986</v>
      </c>
      <c r="F1210" t="str">
        <f>VLOOKUP(E1210,country_continent!A:C,2,FALSE)</f>
        <v>France</v>
      </c>
      <c r="G1210" t="str">
        <f>VLOOKUP(E1210,country_continent!A:C,3,FALSE)</f>
        <v>Europe</v>
      </c>
      <c r="H1210" t="s">
        <v>5208</v>
      </c>
      <c r="I1210" s="1">
        <v>6530</v>
      </c>
      <c r="J1210" s="3">
        <f t="shared" si="54"/>
        <v>6530</v>
      </c>
      <c r="K1210" s="1">
        <v>7324</v>
      </c>
      <c r="L1210" s="3">
        <f t="shared" si="55"/>
        <v>7324</v>
      </c>
      <c r="M1210" t="s">
        <v>49</v>
      </c>
      <c r="N1210" t="s">
        <v>49</v>
      </c>
      <c r="O1210" t="s">
        <v>49</v>
      </c>
      <c r="P1210">
        <v>1</v>
      </c>
      <c r="Q1210" t="s">
        <v>50</v>
      </c>
      <c r="R1210" t="s">
        <v>51</v>
      </c>
      <c r="S1210">
        <v>1841</v>
      </c>
      <c r="T1210">
        <v>1929</v>
      </c>
      <c r="U1210" t="s">
        <v>5209</v>
      </c>
      <c r="V1210" t="s">
        <v>5210</v>
      </c>
      <c r="W1210" s="1">
        <v>10921</v>
      </c>
      <c r="X1210" s="2">
        <v>10921</v>
      </c>
      <c r="Y1210" t="s">
        <v>5211</v>
      </c>
      <c r="Z1210">
        <v>0</v>
      </c>
      <c r="AA1210">
        <v>1</v>
      </c>
      <c r="AB1210">
        <v>0</v>
      </c>
      <c r="AC1210">
        <v>0</v>
      </c>
      <c r="AF1210">
        <v>1917</v>
      </c>
      <c r="AG1210">
        <v>1920</v>
      </c>
      <c r="AO1210" t="b">
        <v>1</v>
      </c>
      <c r="AP1210" t="s">
        <v>958</v>
      </c>
      <c r="AQ1210">
        <v>1966</v>
      </c>
      <c r="AR1210">
        <v>2016</v>
      </c>
      <c r="AS1210" t="s">
        <v>5267</v>
      </c>
      <c r="AT1210">
        <v>2.1738535249828801</v>
      </c>
      <c r="AU1210">
        <f t="shared" si="56"/>
        <v>6.0000000000000001E-3</v>
      </c>
    </row>
    <row r="1211" spans="1:47" x14ac:dyDescent="0.3">
      <c r="A1211">
        <v>1209</v>
      </c>
      <c r="B1211" t="s">
        <v>5268</v>
      </c>
      <c r="C1211" t="s">
        <v>5269</v>
      </c>
      <c r="D1211">
        <v>220</v>
      </c>
      <c r="E1211" t="s">
        <v>4986</v>
      </c>
      <c r="F1211" t="str">
        <f>VLOOKUP(E1211,country_continent!A:C,2,FALSE)</f>
        <v>France</v>
      </c>
      <c r="G1211" t="str">
        <f>VLOOKUP(E1211,country_continent!A:C,3,FALSE)</f>
        <v>Europe</v>
      </c>
      <c r="H1211" t="s">
        <v>5270</v>
      </c>
      <c r="I1211" s="1">
        <v>7324</v>
      </c>
      <c r="J1211" s="3">
        <f t="shared" si="54"/>
        <v>7324</v>
      </c>
      <c r="K1211" s="1">
        <v>7552</v>
      </c>
      <c r="L1211" s="3">
        <f t="shared" si="55"/>
        <v>7552</v>
      </c>
      <c r="M1211" t="s">
        <v>49</v>
      </c>
      <c r="N1211" t="s">
        <v>49</v>
      </c>
      <c r="O1211" t="s">
        <v>49</v>
      </c>
      <c r="P1211">
        <v>0</v>
      </c>
      <c r="Q1211" t="s">
        <v>50</v>
      </c>
      <c r="R1211" t="s">
        <v>51</v>
      </c>
      <c r="S1211">
        <v>1859</v>
      </c>
      <c r="T1211">
        <v>1943</v>
      </c>
      <c r="U1211" t="s">
        <v>5271</v>
      </c>
      <c r="V1211" t="s">
        <v>5272</v>
      </c>
      <c r="W1211" s="1">
        <v>15803</v>
      </c>
      <c r="X1211" s="2">
        <v>15803</v>
      </c>
      <c r="Y1211" t="s">
        <v>5273</v>
      </c>
      <c r="Z1211">
        <v>0</v>
      </c>
      <c r="AA1211">
        <v>1</v>
      </c>
      <c r="AB1211">
        <v>0</v>
      </c>
      <c r="AC1211">
        <v>0</v>
      </c>
      <c r="AF1211">
        <v>1920</v>
      </c>
      <c r="AG1211">
        <v>1920</v>
      </c>
      <c r="AO1211" t="b">
        <v>1</v>
      </c>
      <c r="AP1211" t="s">
        <v>958</v>
      </c>
      <c r="AQ1211">
        <v>1966</v>
      </c>
      <c r="AR1211">
        <v>2016</v>
      </c>
      <c r="AS1211" t="s">
        <v>5274</v>
      </c>
      <c r="AT1211">
        <v>0.62422997946611902</v>
      </c>
      <c r="AU1211">
        <f t="shared" si="56"/>
        <v>2E-3</v>
      </c>
    </row>
    <row r="1212" spans="1:47" x14ac:dyDescent="0.3">
      <c r="A1212">
        <v>1210</v>
      </c>
      <c r="B1212" t="s">
        <v>5275</v>
      </c>
      <c r="C1212" t="s">
        <v>5276</v>
      </c>
      <c r="D1212">
        <v>220</v>
      </c>
      <c r="E1212" t="s">
        <v>4986</v>
      </c>
      <c r="F1212" t="str">
        <f>VLOOKUP(E1212,country_continent!A:C,2,FALSE)</f>
        <v>France</v>
      </c>
      <c r="G1212" t="str">
        <f>VLOOKUP(E1212,country_continent!A:C,3,FALSE)</f>
        <v>Europe</v>
      </c>
      <c r="H1212" t="s">
        <v>5277</v>
      </c>
      <c r="I1212" s="1">
        <v>7552</v>
      </c>
      <c r="J1212" s="3">
        <f t="shared" si="54"/>
        <v>7552</v>
      </c>
      <c r="K1212" s="1">
        <v>7687</v>
      </c>
      <c r="L1212" s="3">
        <f t="shared" si="55"/>
        <v>7687</v>
      </c>
      <c r="M1212" t="s">
        <v>49</v>
      </c>
      <c r="N1212" t="s">
        <v>49</v>
      </c>
      <c r="O1212" t="s">
        <v>49</v>
      </c>
      <c r="P1212">
        <v>0</v>
      </c>
      <c r="Q1212" t="s">
        <v>50</v>
      </c>
      <c r="R1212" t="s">
        <v>51</v>
      </c>
      <c r="S1212">
        <v>1857</v>
      </c>
      <c r="T1212">
        <v>1933</v>
      </c>
      <c r="Y1212" t="s">
        <v>5278</v>
      </c>
      <c r="Z1212">
        <v>0</v>
      </c>
      <c r="AA1212">
        <v>1</v>
      </c>
      <c r="AB1212">
        <v>0</v>
      </c>
      <c r="AC1212">
        <v>0</v>
      </c>
      <c r="AF1212">
        <v>1920</v>
      </c>
      <c r="AG1212">
        <v>1921</v>
      </c>
      <c r="AO1212" t="b">
        <v>1</v>
      </c>
      <c r="AP1212" t="s">
        <v>958</v>
      </c>
      <c r="AQ1212">
        <v>1966</v>
      </c>
      <c r="AR1212">
        <v>2016</v>
      </c>
      <c r="AS1212" t="s">
        <v>5279</v>
      </c>
      <c r="AT1212">
        <v>0.36960985626283299</v>
      </c>
      <c r="AU1212">
        <f t="shared" si="56"/>
        <v>1E-3</v>
      </c>
    </row>
    <row r="1213" spans="1:47" x14ac:dyDescent="0.3">
      <c r="A1213">
        <v>1211</v>
      </c>
      <c r="B1213" t="s">
        <v>5280</v>
      </c>
      <c r="C1213" t="s">
        <v>5214</v>
      </c>
      <c r="D1213">
        <v>220</v>
      </c>
      <c r="E1213" t="s">
        <v>4986</v>
      </c>
      <c r="F1213" t="str">
        <f>VLOOKUP(E1213,country_continent!A:C,2,FALSE)</f>
        <v>France</v>
      </c>
      <c r="G1213" t="str">
        <f>VLOOKUP(E1213,country_continent!A:C,3,FALSE)</f>
        <v>Europe</v>
      </c>
      <c r="H1213" t="s">
        <v>5215</v>
      </c>
      <c r="I1213" s="1">
        <v>7687</v>
      </c>
      <c r="J1213" s="3">
        <f t="shared" si="54"/>
        <v>7687</v>
      </c>
      <c r="K1213" s="1">
        <v>8052</v>
      </c>
      <c r="L1213" s="3">
        <f t="shared" si="55"/>
        <v>8052</v>
      </c>
      <c r="M1213" t="s">
        <v>49</v>
      </c>
      <c r="N1213" t="s">
        <v>49</v>
      </c>
      <c r="O1213" t="s">
        <v>49</v>
      </c>
      <c r="P1213">
        <v>3</v>
      </c>
      <c r="Q1213" t="s">
        <v>50</v>
      </c>
      <c r="R1213" t="s">
        <v>51</v>
      </c>
      <c r="S1213">
        <v>1862</v>
      </c>
      <c r="T1213">
        <v>1932</v>
      </c>
      <c r="U1213" t="s">
        <v>5216</v>
      </c>
      <c r="V1213" t="s">
        <v>5217</v>
      </c>
      <c r="W1213" s="1">
        <v>11755</v>
      </c>
      <c r="X1213" s="2">
        <v>11755</v>
      </c>
      <c r="Y1213" t="s">
        <v>5218</v>
      </c>
      <c r="Z1213">
        <v>0</v>
      </c>
      <c r="AA1213">
        <v>1</v>
      </c>
      <c r="AB1213">
        <v>0</v>
      </c>
      <c r="AC1213">
        <v>0</v>
      </c>
      <c r="AF1213">
        <v>1921</v>
      </c>
      <c r="AG1213">
        <v>1922</v>
      </c>
      <c r="AO1213" t="b">
        <v>1</v>
      </c>
      <c r="AP1213" t="s">
        <v>958</v>
      </c>
      <c r="AQ1213">
        <v>1966</v>
      </c>
      <c r="AR1213">
        <v>2016</v>
      </c>
      <c r="AS1213" t="s">
        <v>5281</v>
      </c>
      <c r="AT1213">
        <v>0.99931553730321698</v>
      </c>
      <c r="AU1213">
        <f t="shared" si="56"/>
        <v>3.0000000000000001E-3</v>
      </c>
    </row>
    <row r="1214" spans="1:47" x14ac:dyDescent="0.3">
      <c r="A1214">
        <v>1212</v>
      </c>
      <c r="B1214" t="s">
        <v>5282</v>
      </c>
      <c r="C1214" t="s">
        <v>5230</v>
      </c>
      <c r="D1214">
        <v>220</v>
      </c>
      <c r="E1214" t="s">
        <v>4986</v>
      </c>
      <c r="F1214" t="str">
        <f>VLOOKUP(E1214,country_continent!A:C,2,FALSE)</f>
        <v>France</v>
      </c>
      <c r="G1214" t="str">
        <f>VLOOKUP(E1214,country_continent!A:C,3,FALSE)</f>
        <v>Europe</v>
      </c>
      <c r="H1214" t="s">
        <v>5231</v>
      </c>
      <c r="I1214" s="1">
        <v>8052</v>
      </c>
      <c r="J1214" s="3">
        <f t="shared" si="54"/>
        <v>8052</v>
      </c>
      <c r="K1214" s="1">
        <v>8926</v>
      </c>
      <c r="L1214" s="3">
        <f t="shared" si="55"/>
        <v>8926</v>
      </c>
      <c r="M1214" t="s">
        <v>49</v>
      </c>
      <c r="N1214" t="s">
        <v>49</v>
      </c>
      <c r="O1214" t="s">
        <v>49</v>
      </c>
      <c r="P1214">
        <v>1</v>
      </c>
      <c r="Q1214" t="s">
        <v>50</v>
      </c>
      <c r="R1214" t="s">
        <v>51</v>
      </c>
      <c r="S1214">
        <v>1860</v>
      </c>
      <c r="T1214">
        <v>1934</v>
      </c>
      <c r="U1214" t="s">
        <v>5232</v>
      </c>
      <c r="V1214" t="s">
        <v>5233</v>
      </c>
      <c r="W1214" s="1">
        <v>12707</v>
      </c>
      <c r="X1214" s="2">
        <v>12707</v>
      </c>
      <c r="Y1214" t="s">
        <v>5234</v>
      </c>
      <c r="Z1214">
        <v>0</v>
      </c>
      <c r="AA1214">
        <v>1</v>
      </c>
      <c r="AB1214">
        <v>0</v>
      </c>
      <c r="AC1214">
        <v>0</v>
      </c>
      <c r="AF1214">
        <v>1922</v>
      </c>
      <c r="AG1214">
        <v>1924</v>
      </c>
      <c r="AO1214" t="b">
        <v>1</v>
      </c>
      <c r="AP1214" t="s">
        <v>958</v>
      </c>
      <c r="AQ1214">
        <v>1966</v>
      </c>
      <c r="AR1214">
        <v>2016</v>
      </c>
      <c r="AS1214" t="s">
        <v>5283</v>
      </c>
      <c r="AT1214">
        <v>2.39288158795345</v>
      </c>
      <c r="AU1214">
        <f t="shared" si="56"/>
        <v>7.0000000000000001E-3</v>
      </c>
    </row>
    <row r="1215" spans="1:47" x14ac:dyDescent="0.3">
      <c r="A1215">
        <v>1213</v>
      </c>
      <c r="B1215" t="s">
        <v>5284</v>
      </c>
      <c r="C1215" t="s">
        <v>5285</v>
      </c>
      <c r="D1215">
        <v>220</v>
      </c>
      <c r="E1215" t="s">
        <v>4986</v>
      </c>
      <c r="F1215" t="str">
        <f>VLOOKUP(E1215,country_continent!A:C,2,FALSE)</f>
        <v>France</v>
      </c>
      <c r="G1215" t="str">
        <f>VLOOKUP(E1215,country_continent!A:C,3,FALSE)</f>
        <v>Europe</v>
      </c>
      <c r="H1215" t="s">
        <v>5286</v>
      </c>
      <c r="I1215" s="1">
        <v>8926</v>
      </c>
      <c r="J1215" s="3">
        <f t="shared" si="54"/>
        <v>8926</v>
      </c>
      <c r="K1215" s="1">
        <v>8932</v>
      </c>
      <c r="L1215" s="3">
        <f t="shared" si="55"/>
        <v>8932</v>
      </c>
      <c r="M1215" t="s">
        <v>49</v>
      </c>
      <c r="N1215" t="s">
        <v>49</v>
      </c>
      <c r="O1215" t="s">
        <v>49</v>
      </c>
      <c r="P1215">
        <v>0</v>
      </c>
      <c r="Q1215" t="s">
        <v>50</v>
      </c>
      <c r="R1215" t="s">
        <v>51</v>
      </c>
      <c r="S1215">
        <v>1874</v>
      </c>
      <c r="T1215">
        <v>1958</v>
      </c>
      <c r="Y1215" t="s">
        <v>5287</v>
      </c>
      <c r="Z1215">
        <v>0</v>
      </c>
      <c r="AA1215">
        <v>1</v>
      </c>
      <c r="AB1215">
        <v>0</v>
      </c>
      <c r="AC1215">
        <v>0</v>
      </c>
      <c r="AF1215">
        <v>1924</v>
      </c>
      <c r="AG1215">
        <v>1924</v>
      </c>
      <c r="AO1215" t="b">
        <v>1</v>
      </c>
      <c r="AP1215" t="s">
        <v>958</v>
      </c>
      <c r="AQ1215">
        <v>1966</v>
      </c>
      <c r="AR1215">
        <v>2016</v>
      </c>
      <c r="AS1215" t="s">
        <v>5288</v>
      </c>
      <c r="AT1215">
        <v>1.6427104722792601E-2</v>
      </c>
      <c r="AU1215">
        <f t="shared" si="56"/>
        <v>0</v>
      </c>
    </row>
    <row r="1216" spans="1:47" x14ac:dyDescent="0.3">
      <c r="A1216">
        <v>1214</v>
      </c>
      <c r="B1216" t="s">
        <v>5289</v>
      </c>
      <c r="C1216" t="s">
        <v>5290</v>
      </c>
      <c r="D1216">
        <v>220</v>
      </c>
      <c r="E1216" t="s">
        <v>4986</v>
      </c>
      <c r="F1216" t="str">
        <f>VLOOKUP(E1216,country_continent!A:C,2,FALSE)</f>
        <v>France</v>
      </c>
      <c r="G1216" t="str">
        <f>VLOOKUP(E1216,country_continent!A:C,3,FALSE)</f>
        <v>Europe</v>
      </c>
      <c r="H1216" t="s">
        <v>5291</v>
      </c>
      <c r="I1216" s="1">
        <v>8932</v>
      </c>
      <c r="J1216" s="3">
        <f t="shared" si="54"/>
        <v>8932</v>
      </c>
      <c r="K1216" s="1">
        <v>9239</v>
      </c>
      <c r="L1216" s="3">
        <f t="shared" si="55"/>
        <v>9239</v>
      </c>
      <c r="M1216" t="s">
        <v>49</v>
      </c>
      <c r="N1216" t="s">
        <v>49</v>
      </c>
      <c r="O1216" t="s">
        <v>49</v>
      </c>
      <c r="P1216">
        <v>0</v>
      </c>
      <c r="Q1216" t="s">
        <v>50</v>
      </c>
      <c r="R1216" t="s">
        <v>51</v>
      </c>
      <c r="S1216">
        <v>1872</v>
      </c>
      <c r="T1216">
        <v>1957</v>
      </c>
      <c r="Y1216" t="s">
        <v>5292</v>
      </c>
      <c r="Z1216">
        <v>0</v>
      </c>
      <c r="AA1216">
        <v>1</v>
      </c>
      <c r="AB1216">
        <v>0</v>
      </c>
      <c r="AC1216">
        <v>0</v>
      </c>
      <c r="AF1216">
        <v>1924</v>
      </c>
      <c r="AG1216">
        <v>1925</v>
      </c>
      <c r="AO1216" t="b">
        <v>1</v>
      </c>
      <c r="AP1216" t="s">
        <v>958</v>
      </c>
      <c r="AQ1216">
        <v>1966</v>
      </c>
      <c r="AR1216">
        <v>2016</v>
      </c>
      <c r="AS1216" t="s">
        <v>5293</v>
      </c>
      <c r="AT1216">
        <v>0.84052019164955505</v>
      </c>
      <c r="AU1216">
        <f t="shared" si="56"/>
        <v>2E-3</v>
      </c>
    </row>
    <row r="1217" spans="1:47" x14ac:dyDescent="0.3">
      <c r="A1217">
        <v>1215</v>
      </c>
      <c r="B1217" t="s">
        <v>5294</v>
      </c>
      <c r="C1217" t="s">
        <v>5262</v>
      </c>
      <c r="D1217">
        <v>220</v>
      </c>
      <c r="E1217" t="s">
        <v>4986</v>
      </c>
      <c r="F1217" t="str">
        <f>VLOOKUP(E1217,country_continent!A:C,2,FALSE)</f>
        <v>France</v>
      </c>
      <c r="G1217" t="str">
        <f>VLOOKUP(E1217,country_continent!A:C,3,FALSE)</f>
        <v>Europe</v>
      </c>
      <c r="H1217" t="s">
        <v>5263</v>
      </c>
      <c r="I1217" s="1">
        <v>9239</v>
      </c>
      <c r="J1217" s="3">
        <f t="shared" si="54"/>
        <v>9239</v>
      </c>
      <c r="K1217" s="1">
        <v>9438</v>
      </c>
      <c r="L1217" s="3">
        <f t="shared" si="55"/>
        <v>9438</v>
      </c>
      <c r="M1217" t="s">
        <v>49</v>
      </c>
      <c r="N1217" t="s">
        <v>49</v>
      </c>
      <c r="O1217" t="s">
        <v>49</v>
      </c>
      <c r="P1217">
        <v>1</v>
      </c>
      <c r="Q1217" t="s">
        <v>50</v>
      </c>
      <c r="R1217" t="s">
        <v>51</v>
      </c>
      <c r="S1217">
        <v>1863</v>
      </c>
      <c r="T1217">
        <v>1933</v>
      </c>
      <c r="Y1217" t="s">
        <v>5264</v>
      </c>
      <c r="Z1217">
        <v>0</v>
      </c>
      <c r="AA1217">
        <v>1</v>
      </c>
      <c r="AB1217">
        <v>0</v>
      </c>
      <c r="AC1217">
        <v>0</v>
      </c>
      <c r="AF1217">
        <v>1925</v>
      </c>
      <c r="AG1217">
        <v>1925</v>
      </c>
      <c r="AO1217" t="b">
        <v>1</v>
      </c>
      <c r="AP1217" t="s">
        <v>958</v>
      </c>
      <c r="AQ1217">
        <v>1966</v>
      </c>
      <c r="AR1217">
        <v>2016</v>
      </c>
      <c r="AS1217" t="s">
        <v>5295</v>
      </c>
      <c r="AT1217">
        <v>0.54483230663928806</v>
      </c>
      <c r="AU1217">
        <f t="shared" si="56"/>
        <v>1E-3</v>
      </c>
    </row>
    <row r="1218" spans="1:47" x14ac:dyDescent="0.3">
      <c r="A1218">
        <v>1216</v>
      </c>
      <c r="B1218" t="s">
        <v>5296</v>
      </c>
      <c r="C1218" t="s">
        <v>5214</v>
      </c>
      <c r="D1218">
        <v>220</v>
      </c>
      <c r="E1218" t="s">
        <v>4986</v>
      </c>
      <c r="F1218" t="str">
        <f>VLOOKUP(E1218,country_continent!A:C,2,FALSE)</f>
        <v>France</v>
      </c>
      <c r="G1218" t="str">
        <f>VLOOKUP(E1218,country_continent!A:C,3,FALSE)</f>
        <v>Europe</v>
      </c>
      <c r="H1218" t="s">
        <v>5215</v>
      </c>
      <c r="I1218" s="1">
        <v>9465</v>
      </c>
      <c r="J1218" s="3">
        <f t="shared" si="54"/>
        <v>9465</v>
      </c>
      <c r="K1218" s="1">
        <v>9698</v>
      </c>
      <c r="L1218" s="3">
        <f t="shared" si="55"/>
        <v>9698</v>
      </c>
      <c r="M1218" t="s">
        <v>49</v>
      </c>
      <c r="N1218" t="s">
        <v>49</v>
      </c>
      <c r="O1218" t="s">
        <v>49</v>
      </c>
      <c r="P1218">
        <v>4</v>
      </c>
      <c r="Q1218" t="s">
        <v>50</v>
      </c>
      <c r="R1218" t="s">
        <v>51</v>
      </c>
      <c r="S1218">
        <v>1862</v>
      </c>
      <c r="T1218">
        <v>1932</v>
      </c>
      <c r="U1218" t="s">
        <v>5216</v>
      </c>
      <c r="V1218" t="s">
        <v>5217</v>
      </c>
      <c r="W1218" s="1">
        <v>11755</v>
      </c>
      <c r="X1218" s="2">
        <v>11755</v>
      </c>
      <c r="Y1218" t="s">
        <v>5218</v>
      </c>
      <c r="Z1218">
        <v>0</v>
      </c>
      <c r="AA1218">
        <v>1</v>
      </c>
      <c r="AB1218">
        <v>0</v>
      </c>
      <c r="AC1218">
        <v>0</v>
      </c>
      <c r="AF1218">
        <v>1925</v>
      </c>
      <c r="AG1218">
        <v>1926</v>
      </c>
      <c r="AO1218" t="b">
        <v>1</v>
      </c>
      <c r="AP1218" t="s">
        <v>958</v>
      </c>
      <c r="AQ1218">
        <v>1966</v>
      </c>
      <c r="AR1218">
        <v>2016</v>
      </c>
      <c r="AS1218" t="s">
        <v>5297</v>
      </c>
      <c r="AT1218">
        <v>0.63791923340177903</v>
      </c>
      <c r="AU1218">
        <f t="shared" si="56"/>
        <v>2E-3</v>
      </c>
    </row>
    <row r="1219" spans="1:47" x14ac:dyDescent="0.3">
      <c r="A1219">
        <v>1217</v>
      </c>
      <c r="B1219" t="s">
        <v>5298</v>
      </c>
      <c r="C1219" t="s">
        <v>5290</v>
      </c>
      <c r="D1219">
        <v>220</v>
      </c>
      <c r="E1219" t="s">
        <v>4986</v>
      </c>
      <c r="F1219" t="str">
        <f>VLOOKUP(E1219,country_continent!A:C,2,FALSE)</f>
        <v>France</v>
      </c>
      <c r="G1219" t="str">
        <f>VLOOKUP(E1219,country_continent!A:C,3,FALSE)</f>
        <v>Europe</v>
      </c>
      <c r="H1219" t="s">
        <v>5291</v>
      </c>
      <c r="I1219" s="1">
        <v>9698</v>
      </c>
      <c r="J1219" s="3">
        <f t="shared" ref="J1219:J1282" si="57">IF(ISNUMBER(SEARCH("-", I1219)), SUBSTITUTE(I1219, "-", "/"), I1219)</f>
        <v>9698</v>
      </c>
      <c r="K1219" s="1">
        <v>9702</v>
      </c>
      <c r="L1219" s="3">
        <f t="shared" ref="L1219:L1282" si="58">IF(ISNUMBER(SEARCH("-", K1219)), SUBSTITUTE(K1219, "-", "/"), K1219)</f>
        <v>9702</v>
      </c>
      <c r="M1219" t="s">
        <v>49</v>
      </c>
      <c r="N1219" t="s">
        <v>49</v>
      </c>
      <c r="O1219" t="s">
        <v>49</v>
      </c>
      <c r="P1219">
        <v>1</v>
      </c>
      <c r="Q1219" t="s">
        <v>50</v>
      </c>
      <c r="R1219" t="s">
        <v>51</v>
      </c>
      <c r="S1219">
        <v>1872</v>
      </c>
      <c r="T1219">
        <v>1957</v>
      </c>
      <c r="Y1219" t="s">
        <v>5292</v>
      </c>
      <c r="Z1219">
        <v>0</v>
      </c>
      <c r="AA1219">
        <v>1</v>
      </c>
      <c r="AB1219">
        <v>0</v>
      </c>
      <c r="AC1219">
        <v>0</v>
      </c>
      <c r="AF1219">
        <v>1926</v>
      </c>
      <c r="AG1219">
        <v>1926</v>
      </c>
      <c r="AO1219" t="b">
        <v>1</v>
      </c>
      <c r="AP1219" t="s">
        <v>958</v>
      </c>
      <c r="AQ1219">
        <v>1966</v>
      </c>
      <c r="AR1219">
        <v>2016</v>
      </c>
      <c r="AS1219" t="s">
        <v>5299</v>
      </c>
      <c r="AT1219">
        <v>1.09514031485284E-2</v>
      </c>
      <c r="AU1219">
        <f t="shared" si="56"/>
        <v>0</v>
      </c>
    </row>
    <row r="1220" spans="1:47" x14ac:dyDescent="0.3">
      <c r="A1220">
        <v>1218</v>
      </c>
      <c r="B1220" t="s">
        <v>5300</v>
      </c>
      <c r="C1220" t="s">
        <v>5230</v>
      </c>
      <c r="D1220">
        <v>220</v>
      </c>
      <c r="E1220" t="s">
        <v>4986</v>
      </c>
      <c r="F1220" t="str">
        <f>VLOOKUP(E1220,country_continent!A:C,2,FALSE)</f>
        <v>France</v>
      </c>
      <c r="G1220" t="str">
        <f>VLOOKUP(E1220,country_continent!A:C,3,FALSE)</f>
        <v>Europe</v>
      </c>
      <c r="H1220" t="s">
        <v>5231</v>
      </c>
      <c r="I1220" s="1">
        <v>9702</v>
      </c>
      <c r="J1220" s="3">
        <f t="shared" si="57"/>
        <v>9702</v>
      </c>
      <c r="K1220" s="1">
        <v>10802</v>
      </c>
      <c r="L1220" s="3">
        <f t="shared" si="58"/>
        <v>10802</v>
      </c>
      <c r="M1220" t="s">
        <v>49</v>
      </c>
      <c r="N1220" t="s">
        <v>49</v>
      </c>
      <c r="O1220" t="s">
        <v>49</v>
      </c>
      <c r="P1220">
        <v>2</v>
      </c>
      <c r="Q1220" t="s">
        <v>50</v>
      </c>
      <c r="R1220" t="s">
        <v>51</v>
      </c>
      <c r="S1220">
        <v>1860</v>
      </c>
      <c r="T1220">
        <v>1934</v>
      </c>
      <c r="U1220" t="s">
        <v>5232</v>
      </c>
      <c r="V1220" t="s">
        <v>5233</v>
      </c>
      <c r="W1220" s="1">
        <v>12707</v>
      </c>
      <c r="X1220" s="2">
        <v>12707</v>
      </c>
      <c r="Y1220" t="s">
        <v>5234</v>
      </c>
      <c r="Z1220">
        <v>0</v>
      </c>
      <c r="AA1220">
        <v>1</v>
      </c>
      <c r="AB1220">
        <v>0</v>
      </c>
      <c r="AC1220">
        <v>0</v>
      </c>
      <c r="AF1220">
        <v>1926</v>
      </c>
      <c r="AG1220">
        <v>1929</v>
      </c>
      <c r="AO1220" t="b">
        <v>1</v>
      </c>
      <c r="AP1220" t="s">
        <v>958</v>
      </c>
      <c r="AQ1220">
        <v>1966</v>
      </c>
      <c r="AR1220">
        <v>2016</v>
      </c>
      <c r="AS1220" t="s">
        <v>5301</v>
      </c>
      <c r="AT1220">
        <v>3.0116358658453102</v>
      </c>
      <c r="AU1220">
        <f t="shared" ref="AU1220:AU1283" si="59">ROUND(AT1220/365,3)</f>
        <v>8.0000000000000002E-3</v>
      </c>
    </row>
    <row r="1221" spans="1:47" x14ac:dyDescent="0.3">
      <c r="A1221">
        <v>1219</v>
      </c>
      <c r="B1221" t="s">
        <v>5302</v>
      </c>
      <c r="C1221" t="s">
        <v>5214</v>
      </c>
      <c r="D1221">
        <v>220</v>
      </c>
      <c r="E1221" t="s">
        <v>4986</v>
      </c>
      <c r="F1221" t="str">
        <f>VLOOKUP(E1221,country_continent!A:C,2,FALSE)</f>
        <v>France</v>
      </c>
      <c r="G1221" t="str">
        <f>VLOOKUP(E1221,country_continent!A:C,3,FALSE)</f>
        <v>Europe</v>
      </c>
      <c r="H1221" t="s">
        <v>5215</v>
      </c>
      <c r="I1221" s="1">
        <v>10802</v>
      </c>
      <c r="J1221" s="3">
        <f t="shared" si="57"/>
        <v>10802</v>
      </c>
      <c r="K1221" s="1">
        <v>10900</v>
      </c>
      <c r="L1221" s="3">
        <f t="shared" si="58"/>
        <v>10900</v>
      </c>
      <c r="M1221" t="s">
        <v>49</v>
      </c>
      <c r="N1221" t="s">
        <v>49</v>
      </c>
      <c r="O1221" t="s">
        <v>49</v>
      </c>
      <c r="P1221">
        <v>5</v>
      </c>
      <c r="Q1221" t="s">
        <v>50</v>
      </c>
      <c r="R1221" t="s">
        <v>51</v>
      </c>
      <c r="S1221">
        <v>1862</v>
      </c>
      <c r="T1221">
        <v>1932</v>
      </c>
      <c r="U1221" t="s">
        <v>5216</v>
      </c>
      <c r="V1221" t="s">
        <v>5217</v>
      </c>
      <c r="W1221" s="1">
        <v>11755</v>
      </c>
      <c r="X1221" s="2">
        <v>11755</v>
      </c>
      <c r="Y1221" t="s">
        <v>5218</v>
      </c>
      <c r="Z1221">
        <v>0</v>
      </c>
      <c r="AA1221">
        <v>1</v>
      </c>
      <c r="AB1221">
        <v>0</v>
      </c>
      <c r="AC1221">
        <v>0</v>
      </c>
      <c r="AF1221">
        <v>1929</v>
      </c>
      <c r="AG1221">
        <v>1929</v>
      </c>
      <c r="AO1221" t="b">
        <v>1</v>
      </c>
      <c r="AP1221" t="s">
        <v>958</v>
      </c>
      <c r="AQ1221">
        <v>1966</v>
      </c>
      <c r="AR1221">
        <v>2016</v>
      </c>
      <c r="AS1221" t="s">
        <v>5303</v>
      </c>
      <c r="AT1221">
        <v>0.26830937713894498</v>
      </c>
      <c r="AU1221">
        <f t="shared" si="59"/>
        <v>1E-3</v>
      </c>
    </row>
    <row r="1222" spans="1:47" x14ac:dyDescent="0.3">
      <c r="A1222">
        <v>1220</v>
      </c>
      <c r="B1222" t="s">
        <v>5304</v>
      </c>
      <c r="C1222" t="s">
        <v>5305</v>
      </c>
      <c r="D1222">
        <v>220</v>
      </c>
      <c r="E1222" t="s">
        <v>4986</v>
      </c>
      <c r="F1222" t="str">
        <f>VLOOKUP(E1222,country_continent!A:C,2,FALSE)</f>
        <v>France</v>
      </c>
      <c r="G1222" t="str">
        <f>VLOOKUP(E1222,country_continent!A:C,3,FALSE)</f>
        <v>Europe</v>
      </c>
      <c r="H1222" t="s">
        <v>5306</v>
      </c>
      <c r="I1222" s="1">
        <v>10900</v>
      </c>
      <c r="J1222" s="3">
        <f t="shared" si="57"/>
        <v>10900</v>
      </c>
      <c r="K1222" s="1">
        <v>11010</v>
      </c>
      <c r="L1222" s="3">
        <f t="shared" si="58"/>
        <v>11010</v>
      </c>
      <c r="M1222" t="s">
        <v>49</v>
      </c>
      <c r="N1222" t="s">
        <v>49</v>
      </c>
      <c r="O1222" t="s">
        <v>49</v>
      </c>
      <c r="P1222">
        <v>0</v>
      </c>
      <c r="Q1222" t="s">
        <v>50</v>
      </c>
      <c r="R1222" t="s">
        <v>51</v>
      </c>
      <c r="S1222">
        <v>1876</v>
      </c>
      <c r="T1222">
        <v>1945</v>
      </c>
      <c r="Y1222" t="s">
        <v>5307</v>
      </c>
      <c r="Z1222">
        <v>0</v>
      </c>
      <c r="AA1222">
        <v>1</v>
      </c>
      <c r="AB1222">
        <v>0</v>
      </c>
      <c r="AC1222">
        <v>0</v>
      </c>
      <c r="AF1222">
        <v>1929</v>
      </c>
      <c r="AG1222">
        <v>1930</v>
      </c>
      <c r="AO1222" t="b">
        <v>1</v>
      </c>
      <c r="AP1222" t="s">
        <v>958</v>
      </c>
      <c r="AQ1222">
        <v>1966</v>
      </c>
      <c r="AR1222">
        <v>2016</v>
      </c>
      <c r="AS1222" t="s">
        <v>5224</v>
      </c>
      <c r="AT1222">
        <v>0.30116358658453102</v>
      </c>
      <c r="AU1222">
        <f t="shared" si="59"/>
        <v>1E-3</v>
      </c>
    </row>
    <row r="1223" spans="1:47" x14ac:dyDescent="0.3">
      <c r="A1223">
        <v>1221</v>
      </c>
      <c r="B1223" t="s">
        <v>5308</v>
      </c>
      <c r="C1223" t="s">
        <v>5309</v>
      </c>
      <c r="D1223">
        <v>220</v>
      </c>
      <c r="E1223" t="s">
        <v>4986</v>
      </c>
      <c r="F1223" t="str">
        <f>VLOOKUP(E1223,country_continent!A:C,2,FALSE)</f>
        <v>France</v>
      </c>
      <c r="G1223" t="str">
        <f>VLOOKUP(E1223,country_continent!A:C,3,FALSE)</f>
        <v>Europe</v>
      </c>
      <c r="H1223" t="s">
        <v>5310</v>
      </c>
      <c r="I1223" s="1">
        <v>11010</v>
      </c>
      <c r="J1223" s="3">
        <f t="shared" si="57"/>
        <v>11010</v>
      </c>
      <c r="K1223" s="1">
        <v>11019</v>
      </c>
      <c r="L1223" s="3">
        <f t="shared" si="58"/>
        <v>11019</v>
      </c>
      <c r="M1223" t="s">
        <v>49</v>
      </c>
      <c r="N1223" t="s">
        <v>49</v>
      </c>
      <c r="O1223" t="s">
        <v>49</v>
      </c>
      <c r="P1223">
        <v>0</v>
      </c>
      <c r="Q1223" t="s">
        <v>50</v>
      </c>
      <c r="R1223" t="s">
        <v>51</v>
      </c>
      <c r="S1223">
        <v>1885</v>
      </c>
      <c r="T1223">
        <v>1963</v>
      </c>
      <c r="Y1223" t="s">
        <v>5311</v>
      </c>
      <c r="Z1223">
        <v>0</v>
      </c>
      <c r="AA1223">
        <v>1</v>
      </c>
      <c r="AB1223">
        <v>0</v>
      </c>
      <c r="AC1223">
        <v>0</v>
      </c>
      <c r="AF1223">
        <v>1930</v>
      </c>
      <c r="AG1223">
        <v>1930</v>
      </c>
      <c r="AO1223" t="b">
        <v>1</v>
      </c>
      <c r="AP1223" t="s">
        <v>958</v>
      </c>
      <c r="AQ1223">
        <v>1966</v>
      </c>
      <c r="AR1223">
        <v>2016</v>
      </c>
      <c r="AS1223" t="s">
        <v>5312</v>
      </c>
      <c r="AT1223">
        <v>2.4640657084188899E-2</v>
      </c>
      <c r="AU1223">
        <f t="shared" si="59"/>
        <v>0</v>
      </c>
    </row>
    <row r="1224" spans="1:47" x14ac:dyDescent="0.3">
      <c r="A1224">
        <v>1222</v>
      </c>
      <c r="B1224" t="s">
        <v>5313</v>
      </c>
      <c r="C1224" t="s">
        <v>5305</v>
      </c>
      <c r="D1224">
        <v>220</v>
      </c>
      <c r="E1224" t="s">
        <v>4986</v>
      </c>
      <c r="F1224" t="str">
        <f>VLOOKUP(E1224,country_continent!A:C,2,FALSE)</f>
        <v>France</v>
      </c>
      <c r="G1224" t="str">
        <f>VLOOKUP(E1224,country_continent!A:C,3,FALSE)</f>
        <v>Europe</v>
      </c>
      <c r="H1224" t="s">
        <v>5306</v>
      </c>
      <c r="I1224" s="1">
        <v>11019</v>
      </c>
      <c r="J1224" s="3">
        <f t="shared" si="57"/>
        <v>11019</v>
      </c>
      <c r="K1224" s="1">
        <v>11305</v>
      </c>
      <c r="L1224" s="3">
        <f t="shared" si="58"/>
        <v>11305</v>
      </c>
      <c r="M1224" t="s">
        <v>49</v>
      </c>
      <c r="N1224" t="s">
        <v>49</v>
      </c>
      <c r="O1224" t="s">
        <v>49</v>
      </c>
      <c r="P1224">
        <v>1</v>
      </c>
      <c r="Q1224" t="s">
        <v>50</v>
      </c>
      <c r="R1224" t="s">
        <v>51</v>
      </c>
      <c r="S1224">
        <v>1876</v>
      </c>
      <c r="T1224">
        <v>1945</v>
      </c>
      <c r="Y1224" t="s">
        <v>5307</v>
      </c>
      <c r="Z1224">
        <v>0</v>
      </c>
      <c r="AA1224">
        <v>1</v>
      </c>
      <c r="AB1224">
        <v>0</v>
      </c>
      <c r="AC1224">
        <v>0</v>
      </c>
      <c r="AF1224">
        <v>1930</v>
      </c>
      <c r="AG1224">
        <v>1930</v>
      </c>
      <c r="AO1224" t="b">
        <v>1</v>
      </c>
      <c r="AP1224" t="s">
        <v>958</v>
      </c>
      <c r="AQ1224">
        <v>1966</v>
      </c>
      <c r="AR1224">
        <v>2016</v>
      </c>
      <c r="AS1224" t="s">
        <v>5314</v>
      </c>
      <c r="AT1224">
        <v>0.78302532511978096</v>
      </c>
      <c r="AU1224">
        <f t="shared" si="59"/>
        <v>2E-3</v>
      </c>
    </row>
    <row r="1225" spans="1:47" x14ac:dyDescent="0.3">
      <c r="A1225">
        <v>1223</v>
      </c>
      <c r="B1225" t="s">
        <v>5315</v>
      </c>
      <c r="C1225" t="s">
        <v>5316</v>
      </c>
      <c r="D1225">
        <v>220</v>
      </c>
      <c r="E1225" t="s">
        <v>4986</v>
      </c>
      <c r="F1225" t="str">
        <f>VLOOKUP(E1225,country_continent!A:C,2,FALSE)</f>
        <v>France</v>
      </c>
      <c r="G1225" t="str">
        <f>VLOOKUP(E1225,country_continent!A:C,3,FALSE)</f>
        <v>Europe</v>
      </c>
      <c r="H1225" t="s">
        <v>5317</v>
      </c>
      <c r="I1225" s="1">
        <v>11305</v>
      </c>
      <c r="J1225" s="3">
        <f t="shared" si="57"/>
        <v>11305</v>
      </c>
      <c r="K1225" s="1">
        <v>11350</v>
      </c>
      <c r="L1225" s="3">
        <f t="shared" si="58"/>
        <v>11350</v>
      </c>
      <c r="M1225" t="s">
        <v>49</v>
      </c>
      <c r="N1225" t="s">
        <v>49</v>
      </c>
      <c r="O1225" t="s">
        <v>49</v>
      </c>
      <c r="P1225">
        <v>0</v>
      </c>
      <c r="Q1225" t="s">
        <v>50</v>
      </c>
      <c r="R1225" t="s">
        <v>51</v>
      </c>
      <c r="S1225">
        <v>1868</v>
      </c>
      <c r="T1225">
        <v>1950</v>
      </c>
      <c r="Y1225" t="s">
        <v>5318</v>
      </c>
      <c r="Z1225">
        <v>0</v>
      </c>
      <c r="AA1225">
        <v>1</v>
      </c>
      <c r="AB1225">
        <v>0</v>
      </c>
      <c r="AC1225">
        <v>0</v>
      </c>
      <c r="AF1225">
        <v>1930</v>
      </c>
      <c r="AG1225">
        <v>1931</v>
      </c>
      <c r="AO1225" t="b">
        <v>1</v>
      </c>
      <c r="AP1225" t="s">
        <v>958</v>
      </c>
      <c r="AQ1225">
        <v>1966</v>
      </c>
      <c r="AR1225">
        <v>2016</v>
      </c>
      <c r="AS1225" t="s">
        <v>5319</v>
      </c>
      <c r="AT1225">
        <v>0.123203285420944</v>
      </c>
      <c r="AU1225">
        <f t="shared" si="59"/>
        <v>0</v>
      </c>
    </row>
    <row r="1226" spans="1:47" x14ac:dyDescent="0.3">
      <c r="A1226">
        <v>1224</v>
      </c>
      <c r="B1226" t="s">
        <v>5320</v>
      </c>
      <c r="C1226" t="s">
        <v>5321</v>
      </c>
      <c r="D1226">
        <v>220</v>
      </c>
      <c r="E1226" t="s">
        <v>4986</v>
      </c>
      <c r="F1226" t="str">
        <f>VLOOKUP(E1226,country_continent!A:C,2,FALSE)</f>
        <v>France</v>
      </c>
      <c r="G1226" t="str">
        <f>VLOOKUP(E1226,country_continent!A:C,3,FALSE)</f>
        <v>Europe</v>
      </c>
      <c r="H1226" t="s">
        <v>5322</v>
      </c>
      <c r="I1226" s="1">
        <v>11350</v>
      </c>
      <c r="J1226" s="3">
        <f t="shared" si="57"/>
        <v>11350</v>
      </c>
      <c r="K1226" s="1">
        <v>11742</v>
      </c>
      <c r="L1226" s="3">
        <f t="shared" si="58"/>
        <v>11742</v>
      </c>
      <c r="M1226" t="s">
        <v>49</v>
      </c>
      <c r="N1226" t="s">
        <v>49</v>
      </c>
      <c r="O1226" t="s">
        <v>49</v>
      </c>
      <c r="P1226">
        <v>0</v>
      </c>
      <c r="Q1226" t="s">
        <v>50</v>
      </c>
      <c r="R1226" t="s">
        <v>51</v>
      </c>
      <c r="S1226">
        <v>1883</v>
      </c>
      <c r="T1226">
        <v>1945</v>
      </c>
      <c r="U1226" t="s">
        <v>5323</v>
      </c>
      <c r="V1226" t="s">
        <v>5324</v>
      </c>
      <c r="W1226" s="1">
        <v>16725</v>
      </c>
      <c r="X1226" s="2">
        <v>16725</v>
      </c>
      <c r="Y1226" t="s">
        <v>5325</v>
      </c>
      <c r="Z1226">
        <v>0</v>
      </c>
      <c r="AA1226">
        <v>1</v>
      </c>
      <c r="AB1226">
        <v>0</v>
      </c>
      <c r="AC1226">
        <v>0</v>
      </c>
      <c r="AF1226">
        <v>1931</v>
      </c>
      <c r="AG1226">
        <v>1932</v>
      </c>
      <c r="AO1226" t="b">
        <v>1</v>
      </c>
      <c r="AP1226" t="s">
        <v>958</v>
      </c>
      <c r="AQ1226">
        <v>1966</v>
      </c>
      <c r="AR1226">
        <v>2016</v>
      </c>
      <c r="AS1226" t="s">
        <v>5326</v>
      </c>
      <c r="AT1226">
        <v>1.0732375085557799</v>
      </c>
      <c r="AU1226">
        <f t="shared" si="59"/>
        <v>3.0000000000000001E-3</v>
      </c>
    </row>
    <row r="1227" spans="1:47" x14ac:dyDescent="0.3">
      <c r="A1227">
        <v>1225</v>
      </c>
      <c r="B1227" t="s">
        <v>5327</v>
      </c>
      <c r="C1227" t="s">
        <v>5305</v>
      </c>
      <c r="D1227">
        <v>220</v>
      </c>
      <c r="E1227" t="s">
        <v>4986</v>
      </c>
      <c r="F1227" t="str">
        <f>VLOOKUP(E1227,country_continent!A:C,2,FALSE)</f>
        <v>France</v>
      </c>
      <c r="G1227" t="str">
        <f>VLOOKUP(E1227,country_continent!A:C,3,FALSE)</f>
        <v>Europe</v>
      </c>
      <c r="H1227" t="s">
        <v>5306</v>
      </c>
      <c r="I1227" s="1">
        <v>11742</v>
      </c>
      <c r="J1227" s="3">
        <f t="shared" si="57"/>
        <v>11742</v>
      </c>
      <c r="K1227" s="1">
        <v>11844</v>
      </c>
      <c r="L1227" s="3">
        <f t="shared" si="58"/>
        <v>11844</v>
      </c>
      <c r="M1227" t="s">
        <v>49</v>
      </c>
      <c r="N1227" t="s">
        <v>49</v>
      </c>
      <c r="O1227" t="s">
        <v>49</v>
      </c>
      <c r="P1227">
        <v>2</v>
      </c>
      <c r="Q1227" t="s">
        <v>50</v>
      </c>
      <c r="R1227" t="s">
        <v>51</v>
      </c>
      <c r="S1227">
        <v>1876</v>
      </c>
      <c r="T1227">
        <v>1945</v>
      </c>
      <c r="Y1227" t="s">
        <v>5307</v>
      </c>
      <c r="Z1227">
        <v>0</v>
      </c>
      <c r="AA1227">
        <v>1</v>
      </c>
      <c r="AB1227">
        <v>0</v>
      </c>
      <c r="AC1227">
        <v>0</v>
      </c>
      <c r="AF1227">
        <v>1932</v>
      </c>
      <c r="AG1227">
        <v>1932</v>
      </c>
      <c r="AO1227" t="b">
        <v>1</v>
      </c>
      <c r="AP1227" t="s">
        <v>958</v>
      </c>
      <c r="AQ1227">
        <v>1966</v>
      </c>
      <c r="AR1227">
        <v>2016</v>
      </c>
      <c r="AS1227" t="s">
        <v>5328</v>
      </c>
      <c r="AT1227">
        <v>0.27926078028747398</v>
      </c>
      <c r="AU1227">
        <f t="shared" si="59"/>
        <v>1E-3</v>
      </c>
    </row>
    <row r="1228" spans="1:47" x14ac:dyDescent="0.3">
      <c r="A1228">
        <v>1226</v>
      </c>
      <c r="B1228" t="s">
        <v>5329</v>
      </c>
      <c r="C1228" t="s">
        <v>5290</v>
      </c>
      <c r="D1228">
        <v>220</v>
      </c>
      <c r="E1228" t="s">
        <v>4986</v>
      </c>
      <c r="F1228" t="str">
        <f>VLOOKUP(E1228,country_continent!A:C,2,FALSE)</f>
        <v>France</v>
      </c>
      <c r="G1228" t="str">
        <f>VLOOKUP(E1228,country_continent!A:C,3,FALSE)</f>
        <v>Europe</v>
      </c>
      <c r="H1228" t="s">
        <v>5291</v>
      </c>
      <c r="I1228" s="1">
        <v>11844</v>
      </c>
      <c r="J1228" s="3">
        <f t="shared" si="57"/>
        <v>11844</v>
      </c>
      <c r="K1228" s="1">
        <v>12043</v>
      </c>
      <c r="L1228" s="3">
        <f t="shared" si="58"/>
        <v>12043</v>
      </c>
      <c r="M1228" t="s">
        <v>49</v>
      </c>
      <c r="N1228" t="s">
        <v>49</v>
      </c>
      <c r="O1228" t="s">
        <v>49</v>
      </c>
      <c r="P1228">
        <v>2</v>
      </c>
      <c r="Q1228" t="s">
        <v>50</v>
      </c>
      <c r="R1228" t="s">
        <v>51</v>
      </c>
      <c r="S1228">
        <v>1872</v>
      </c>
      <c r="T1228">
        <v>1957</v>
      </c>
      <c r="Y1228" t="s">
        <v>5292</v>
      </c>
      <c r="Z1228">
        <v>0</v>
      </c>
      <c r="AA1228">
        <v>1</v>
      </c>
      <c r="AB1228">
        <v>0</v>
      </c>
      <c r="AC1228">
        <v>0</v>
      </c>
      <c r="AF1228">
        <v>1932</v>
      </c>
      <c r="AG1228">
        <v>1932</v>
      </c>
      <c r="AO1228" t="b">
        <v>1</v>
      </c>
      <c r="AP1228" t="s">
        <v>958</v>
      </c>
      <c r="AQ1228">
        <v>1966</v>
      </c>
      <c r="AR1228">
        <v>2016</v>
      </c>
      <c r="AS1228" t="s">
        <v>5295</v>
      </c>
      <c r="AT1228">
        <v>0.54483230663928806</v>
      </c>
      <c r="AU1228">
        <f t="shared" si="59"/>
        <v>1E-3</v>
      </c>
    </row>
    <row r="1229" spans="1:47" x14ac:dyDescent="0.3">
      <c r="A1229">
        <v>1227</v>
      </c>
      <c r="B1229" t="s">
        <v>5330</v>
      </c>
      <c r="C1229" t="s">
        <v>5331</v>
      </c>
      <c r="D1229">
        <v>220</v>
      </c>
      <c r="E1229" t="s">
        <v>4986</v>
      </c>
      <c r="F1229" t="str">
        <f>VLOOKUP(E1229,country_continent!A:C,2,FALSE)</f>
        <v>France</v>
      </c>
      <c r="G1229" t="str">
        <f>VLOOKUP(E1229,country_continent!A:C,3,FALSE)</f>
        <v>Europe</v>
      </c>
      <c r="H1229" t="s">
        <v>5332</v>
      </c>
      <c r="I1229" s="1">
        <v>12043</v>
      </c>
      <c r="J1229" s="3">
        <f t="shared" si="57"/>
        <v>12043</v>
      </c>
      <c r="K1229" s="1">
        <v>12085</v>
      </c>
      <c r="L1229" s="3">
        <f t="shared" si="58"/>
        <v>12085</v>
      </c>
      <c r="M1229" t="s">
        <v>49</v>
      </c>
      <c r="N1229" t="s">
        <v>49</v>
      </c>
      <c r="O1229" t="s">
        <v>49</v>
      </c>
      <c r="P1229">
        <v>0</v>
      </c>
      <c r="Q1229" t="s">
        <v>50</v>
      </c>
      <c r="R1229" t="s">
        <v>51</v>
      </c>
      <c r="S1229">
        <v>1873</v>
      </c>
      <c r="T1229">
        <v>1972</v>
      </c>
      <c r="U1229" t="s">
        <v>5333</v>
      </c>
      <c r="V1229" t="s">
        <v>5334</v>
      </c>
      <c r="Y1229" t="s">
        <v>5335</v>
      </c>
      <c r="Z1229">
        <v>0</v>
      </c>
      <c r="AA1229">
        <v>1</v>
      </c>
      <c r="AB1229">
        <v>0</v>
      </c>
      <c r="AC1229">
        <v>0</v>
      </c>
      <c r="AF1229">
        <v>1932</v>
      </c>
      <c r="AG1229">
        <v>1933</v>
      </c>
      <c r="AO1229" t="b">
        <v>1</v>
      </c>
      <c r="AP1229" t="s">
        <v>958</v>
      </c>
      <c r="AQ1229">
        <v>1966</v>
      </c>
      <c r="AR1229">
        <v>2016</v>
      </c>
      <c r="AS1229" t="s">
        <v>5336</v>
      </c>
      <c r="AT1229">
        <v>0.114989733059548</v>
      </c>
      <c r="AU1229">
        <f t="shared" si="59"/>
        <v>0</v>
      </c>
    </row>
    <row r="1230" spans="1:47" x14ac:dyDescent="0.3">
      <c r="A1230">
        <v>1228</v>
      </c>
      <c r="B1230" t="s">
        <v>5337</v>
      </c>
      <c r="C1230" t="s">
        <v>5338</v>
      </c>
      <c r="D1230">
        <v>220</v>
      </c>
      <c r="E1230" t="s">
        <v>4986</v>
      </c>
      <c r="F1230" t="str">
        <f>VLOOKUP(E1230,country_continent!A:C,2,FALSE)</f>
        <v>France</v>
      </c>
      <c r="G1230" t="str">
        <f>VLOOKUP(E1230,country_continent!A:C,3,FALSE)</f>
        <v>Europe</v>
      </c>
      <c r="H1230" t="s">
        <v>5339</v>
      </c>
      <c r="I1230" s="1">
        <v>12085</v>
      </c>
      <c r="J1230" s="3">
        <f t="shared" si="57"/>
        <v>12085</v>
      </c>
      <c r="K1230" s="1">
        <v>12351</v>
      </c>
      <c r="L1230" s="3">
        <f t="shared" si="58"/>
        <v>12351</v>
      </c>
      <c r="M1230" t="s">
        <v>49</v>
      </c>
      <c r="N1230" t="s">
        <v>49</v>
      </c>
      <c r="O1230" t="s">
        <v>49</v>
      </c>
      <c r="P1230">
        <v>0</v>
      </c>
      <c r="Q1230" t="s">
        <v>50</v>
      </c>
      <c r="R1230" t="s">
        <v>51</v>
      </c>
      <c r="S1230">
        <v>1884</v>
      </c>
      <c r="T1230">
        <v>1970</v>
      </c>
      <c r="U1230" t="s">
        <v>5340</v>
      </c>
      <c r="V1230" t="s">
        <v>5341</v>
      </c>
      <c r="W1230" s="1">
        <v>25851</v>
      </c>
      <c r="X1230" s="2">
        <v>25851</v>
      </c>
      <c r="Y1230" t="s">
        <v>5342</v>
      </c>
      <c r="Z1230">
        <v>0</v>
      </c>
      <c r="AA1230">
        <v>1</v>
      </c>
      <c r="AB1230">
        <v>0</v>
      </c>
      <c r="AC1230">
        <v>0</v>
      </c>
      <c r="AF1230">
        <v>1933</v>
      </c>
      <c r="AG1230">
        <v>1933</v>
      </c>
      <c r="AO1230" t="b">
        <v>1</v>
      </c>
      <c r="AP1230" t="s">
        <v>958</v>
      </c>
      <c r="AQ1230">
        <v>1966</v>
      </c>
      <c r="AR1230">
        <v>2016</v>
      </c>
      <c r="AS1230" t="s">
        <v>5343</v>
      </c>
      <c r="AT1230">
        <v>0.72826830937713805</v>
      </c>
      <c r="AU1230">
        <f t="shared" si="59"/>
        <v>2E-3</v>
      </c>
    </row>
    <row r="1231" spans="1:47" x14ac:dyDescent="0.3">
      <c r="A1231">
        <v>1229</v>
      </c>
      <c r="B1231" t="s">
        <v>5344</v>
      </c>
      <c r="C1231" t="s">
        <v>5345</v>
      </c>
      <c r="D1231">
        <v>220</v>
      </c>
      <c r="E1231" t="s">
        <v>4986</v>
      </c>
      <c r="F1231" t="str">
        <f>VLOOKUP(E1231,country_continent!A:C,2,FALSE)</f>
        <v>France</v>
      </c>
      <c r="G1231" t="str">
        <f>VLOOKUP(E1231,country_continent!A:C,3,FALSE)</f>
        <v>Europe</v>
      </c>
      <c r="H1231" t="s">
        <v>5346</v>
      </c>
      <c r="I1231" s="1">
        <v>12351</v>
      </c>
      <c r="J1231" s="3">
        <f t="shared" si="57"/>
        <v>12351</v>
      </c>
      <c r="K1231" s="1">
        <v>12380</v>
      </c>
      <c r="L1231" s="3">
        <f t="shared" si="58"/>
        <v>12380</v>
      </c>
      <c r="M1231" t="s">
        <v>49</v>
      </c>
      <c r="N1231" t="s">
        <v>49</v>
      </c>
      <c r="O1231" t="s">
        <v>49</v>
      </c>
      <c r="P1231">
        <v>0</v>
      </c>
      <c r="Q1231" t="s">
        <v>50</v>
      </c>
      <c r="R1231" t="s">
        <v>51</v>
      </c>
      <c r="S1231">
        <v>1872</v>
      </c>
      <c r="T1231">
        <v>1962</v>
      </c>
      <c r="Y1231" t="s">
        <v>5347</v>
      </c>
      <c r="Z1231">
        <v>0</v>
      </c>
      <c r="AA1231">
        <v>1</v>
      </c>
      <c r="AB1231">
        <v>0</v>
      </c>
      <c r="AC1231">
        <v>0</v>
      </c>
      <c r="AF1231">
        <v>1933</v>
      </c>
      <c r="AG1231">
        <v>1933</v>
      </c>
      <c r="AO1231" t="b">
        <v>1</v>
      </c>
      <c r="AP1231" t="s">
        <v>958</v>
      </c>
      <c r="AQ1231">
        <v>1966</v>
      </c>
      <c r="AR1231">
        <v>2016</v>
      </c>
      <c r="AS1231" t="s">
        <v>5348</v>
      </c>
      <c r="AT1231">
        <v>7.9397672826830898E-2</v>
      </c>
      <c r="AU1231">
        <f t="shared" si="59"/>
        <v>0</v>
      </c>
    </row>
    <row r="1232" spans="1:47" x14ac:dyDescent="0.3">
      <c r="A1232">
        <v>1230</v>
      </c>
      <c r="B1232" t="s">
        <v>5349</v>
      </c>
      <c r="C1232" t="s">
        <v>5309</v>
      </c>
      <c r="D1232">
        <v>220</v>
      </c>
      <c r="E1232" t="s">
        <v>4986</v>
      </c>
      <c r="F1232" t="str">
        <f>VLOOKUP(E1232,country_continent!A:C,2,FALSE)</f>
        <v>France</v>
      </c>
      <c r="G1232" t="str">
        <f>VLOOKUP(E1232,country_continent!A:C,3,FALSE)</f>
        <v>Europe</v>
      </c>
      <c r="H1232" t="s">
        <v>5310</v>
      </c>
      <c r="I1232" s="1">
        <v>12380</v>
      </c>
      <c r="J1232" s="3">
        <f t="shared" si="57"/>
        <v>12380</v>
      </c>
      <c r="K1232" s="1">
        <v>12449</v>
      </c>
      <c r="L1232" s="3">
        <f t="shared" si="58"/>
        <v>12449</v>
      </c>
      <c r="M1232" t="s">
        <v>49</v>
      </c>
      <c r="N1232" t="s">
        <v>49</v>
      </c>
      <c r="O1232" t="s">
        <v>49</v>
      </c>
      <c r="P1232">
        <v>1</v>
      </c>
      <c r="Q1232" t="s">
        <v>50</v>
      </c>
      <c r="R1232" t="s">
        <v>51</v>
      </c>
      <c r="S1232">
        <v>1885</v>
      </c>
      <c r="T1232">
        <v>1963</v>
      </c>
      <c r="Y1232" t="s">
        <v>5311</v>
      </c>
      <c r="Z1232">
        <v>0</v>
      </c>
      <c r="AA1232">
        <v>1</v>
      </c>
      <c r="AB1232">
        <v>0</v>
      </c>
      <c r="AC1232">
        <v>0</v>
      </c>
      <c r="AF1232">
        <v>1933</v>
      </c>
      <c r="AG1232">
        <v>1934</v>
      </c>
      <c r="AO1232" t="b">
        <v>1</v>
      </c>
      <c r="AP1232" t="s">
        <v>958</v>
      </c>
      <c r="AQ1232">
        <v>1966</v>
      </c>
      <c r="AR1232">
        <v>2016</v>
      </c>
      <c r="AS1232" t="s">
        <v>5350</v>
      </c>
      <c r="AT1232">
        <v>0.18891170431211499</v>
      </c>
      <c r="AU1232">
        <f t="shared" si="59"/>
        <v>1E-3</v>
      </c>
    </row>
    <row r="1233" spans="1:47" x14ac:dyDescent="0.3">
      <c r="A1233">
        <v>1231</v>
      </c>
      <c r="B1233" t="s">
        <v>5351</v>
      </c>
      <c r="C1233" t="s">
        <v>5338</v>
      </c>
      <c r="D1233">
        <v>220</v>
      </c>
      <c r="E1233" t="s">
        <v>4986</v>
      </c>
      <c r="F1233" t="str">
        <f>VLOOKUP(E1233,country_continent!A:C,2,FALSE)</f>
        <v>France</v>
      </c>
      <c r="G1233" t="str">
        <f>VLOOKUP(E1233,country_continent!A:C,3,FALSE)</f>
        <v>Europe</v>
      </c>
      <c r="H1233" t="s">
        <v>5339</v>
      </c>
      <c r="I1233" s="1">
        <v>12449</v>
      </c>
      <c r="J1233" s="3">
        <f t="shared" si="57"/>
        <v>12449</v>
      </c>
      <c r="K1233" s="1">
        <v>12459</v>
      </c>
      <c r="L1233" s="3">
        <f t="shared" si="58"/>
        <v>12459</v>
      </c>
      <c r="M1233" t="s">
        <v>49</v>
      </c>
      <c r="N1233" t="s">
        <v>49</v>
      </c>
      <c r="O1233" t="s">
        <v>49</v>
      </c>
      <c r="P1233">
        <v>1</v>
      </c>
      <c r="Q1233" t="s">
        <v>50</v>
      </c>
      <c r="R1233" t="s">
        <v>51</v>
      </c>
      <c r="S1233">
        <v>1884</v>
      </c>
      <c r="T1233">
        <v>1970</v>
      </c>
      <c r="U1233" t="s">
        <v>5340</v>
      </c>
      <c r="V1233" t="s">
        <v>5341</v>
      </c>
      <c r="W1233" s="1">
        <v>25851</v>
      </c>
      <c r="X1233" s="2">
        <v>25851</v>
      </c>
      <c r="Y1233" t="s">
        <v>5342</v>
      </c>
      <c r="Z1233">
        <v>0</v>
      </c>
      <c r="AA1233">
        <v>1</v>
      </c>
      <c r="AB1233">
        <v>0</v>
      </c>
      <c r="AC1233">
        <v>0</v>
      </c>
      <c r="AF1233">
        <v>1934</v>
      </c>
      <c r="AG1233">
        <v>1934</v>
      </c>
      <c r="AO1233" t="b">
        <v>1</v>
      </c>
      <c r="AP1233" t="s">
        <v>958</v>
      </c>
      <c r="AQ1233">
        <v>1966</v>
      </c>
      <c r="AR1233">
        <v>2016</v>
      </c>
      <c r="AS1233" t="s">
        <v>5352</v>
      </c>
      <c r="AT1233">
        <v>2.7378507871321001E-2</v>
      </c>
      <c r="AU1233">
        <f t="shared" si="59"/>
        <v>0</v>
      </c>
    </row>
    <row r="1234" spans="1:47" x14ac:dyDescent="0.3">
      <c r="A1234">
        <v>1232</v>
      </c>
      <c r="B1234" t="s">
        <v>5353</v>
      </c>
      <c r="C1234" t="s">
        <v>5246</v>
      </c>
      <c r="D1234">
        <v>220</v>
      </c>
      <c r="E1234" t="s">
        <v>4986</v>
      </c>
      <c r="F1234" t="str">
        <f>VLOOKUP(E1234,country_continent!A:C,2,FALSE)</f>
        <v>France</v>
      </c>
      <c r="G1234" t="str">
        <f>VLOOKUP(E1234,country_continent!A:C,3,FALSE)</f>
        <v>Europe</v>
      </c>
      <c r="H1234" t="s">
        <v>5247</v>
      </c>
      <c r="I1234" s="1">
        <v>12459</v>
      </c>
      <c r="J1234" s="3">
        <f t="shared" si="57"/>
        <v>12459</v>
      </c>
      <c r="K1234" s="1">
        <v>12733</v>
      </c>
      <c r="L1234" s="3">
        <f t="shared" si="58"/>
        <v>12733</v>
      </c>
      <c r="M1234" t="s">
        <v>49</v>
      </c>
      <c r="N1234" t="s">
        <v>49</v>
      </c>
      <c r="O1234" t="s">
        <v>49</v>
      </c>
      <c r="P1234">
        <v>1</v>
      </c>
      <c r="Q1234" t="s">
        <v>50</v>
      </c>
      <c r="R1234" t="s">
        <v>51</v>
      </c>
      <c r="S1234">
        <v>1863</v>
      </c>
      <c r="T1234">
        <v>1937</v>
      </c>
      <c r="U1234" t="s">
        <v>5248</v>
      </c>
      <c r="V1234" t="s">
        <v>5249</v>
      </c>
      <c r="W1234" s="1">
        <v>13684</v>
      </c>
      <c r="X1234" s="2">
        <v>13684</v>
      </c>
      <c r="Y1234" t="s">
        <v>5250</v>
      </c>
      <c r="Z1234">
        <v>0</v>
      </c>
      <c r="AA1234">
        <v>1</v>
      </c>
      <c r="AB1234">
        <v>0</v>
      </c>
      <c r="AC1234">
        <v>0</v>
      </c>
      <c r="AF1234">
        <v>1934</v>
      </c>
      <c r="AG1234">
        <v>1934</v>
      </c>
      <c r="AO1234" t="b">
        <v>1</v>
      </c>
      <c r="AP1234" t="s">
        <v>958</v>
      </c>
      <c r="AQ1234">
        <v>1966</v>
      </c>
      <c r="AR1234">
        <v>2016</v>
      </c>
      <c r="AS1234" t="s">
        <v>5167</v>
      </c>
      <c r="AT1234">
        <v>0.75017111567419503</v>
      </c>
      <c r="AU1234">
        <f t="shared" si="59"/>
        <v>2E-3</v>
      </c>
    </row>
    <row r="1235" spans="1:47" x14ac:dyDescent="0.3">
      <c r="A1235">
        <v>1233</v>
      </c>
      <c r="B1235" t="s">
        <v>5354</v>
      </c>
      <c r="C1235" t="s">
        <v>5355</v>
      </c>
      <c r="D1235">
        <v>220</v>
      </c>
      <c r="E1235" t="s">
        <v>4986</v>
      </c>
      <c r="F1235" t="str">
        <f>VLOOKUP(E1235,country_continent!A:C,2,FALSE)</f>
        <v>France</v>
      </c>
      <c r="G1235" t="str">
        <f>VLOOKUP(E1235,country_continent!A:C,3,FALSE)</f>
        <v>Europe</v>
      </c>
      <c r="H1235" t="s">
        <v>5356</v>
      </c>
      <c r="I1235" s="1">
        <v>12733</v>
      </c>
      <c r="J1235" s="3">
        <f t="shared" si="57"/>
        <v>12733</v>
      </c>
      <c r="K1235" s="1">
        <v>12934</v>
      </c>
      <c r="L1235" s="3">
        <f t="shared" si="58"/>
        <v>12934</v>
      </c>
      <c r="M1235" t="s">
        <v>49</v>
      </c>
      <c r="N1235" t="s">
        <v>49</v>
      </c>
      <c r="O1235" t="s">
        <v>49</v>
      </c>
      <c r="P1235">
        <v>0</v>
      </c>
      <c r="Q1235" t="s">
        <v>50</v>
      </c>
      <c r="R1235" t="s">
        <v>51</v>
      </c>
      <c r="S1235">
        <v>1889</v>
      </c>
      <c r="T1235">
        <v>1958</v>
      </c>
      <c r="U1235" t="s">
        <v>5357</v>
      </c>
      <c r="V1235" t="s">
        <v>5358</v>
      </c>
      <c r="W1235" s="1">
        <v>21349</v>
      </c>
      <c r="X1235" s="2">
        <v>21349</v>
      </c>
      <c r="Y1235" t="s">
        <v>5359</v>
      </c>
      <c r="Z1235">
        <v>0</v>
      </c>
      <c r="AA1235">
        <v>1</v>
      </c>
      <c r="AB1235">
        <v>0</v>
      </c>
      <c r="AC1235">
        <v>0</v>
      </c>
      <c r="AF1235">
        <v>1934</v>
      </c>
      <c r="AG1235">
        <v>1935</v>
      </c>
      <c r="AO1235" t="b">
        <v>1</v>
      </c>
      <c r="AP1235" t="s">
        <v>958</v>
      </c>
      <c r="AQ1235">
        <v>1966</v>
      </c>
      <c r="AR1235">
        <v>2016</v>
      </c>
      <c r="AS1235" t="s">
        <v>5360</v>
      </c>
      <c r="AT1235">
        <v>0.55030800821355197</v>
      </c>
      <c r="AU1235">
        <f t="shared" si="59"/>
        <v>2E-3</v>
      </c>
    </row>
    <row r="1236" spans="1:47" x14ac:dyDescent="0.3">
      <c r="A1236">
        <v>1234</v>
      </c>
      <c r="B1236" t="s">
        <v>5361</v>
      </c>
      <c r="C1236" t="s">
        <v>5362</v>
      </c>
      <c r="D1236">
        <v>220</v>
      </c>
      <c r="E1236" t="s">
        <v>4986</v>
      </c>
      <c r="F1236" t="str">
        <f>VLOOKUP(E1236,country_continent!A:C,2,FALSE)</f>
        <v>France</v>
      </c>
      <c r="G1236" t="str">
        <f>VLOOKUP(E1236,country_continent!A:C,3,FALSE)</f>
        <v>Europe</v>
      </c>
      <c r="H1236" t="s">
        <v>5363</v>
      </c>
      <c r="I1236" s="1">
        <v>12936</v>
      </c>
      <c r="J1236" s="3">
        <f t="shared" si="57"/>
        <v>12936</v>
      </c>
      <c r="K1236" s="1">
        <v>12939</v>
      </c>
      <c r="L1236" s="3">
        <f t="shared" si="58"/>
        <v>12939</v>
      </c>
      <c r="M1236" t="s">
        <v>49</v>
      </c>
      <c r="N1236" t="s">
        <v>49</v>
      </c>
      <c r="O1236" t="s">
        <v>49</v>
      </c>
      <c r="P1236">
        <v>0</v>
      </c>
      <c r="Q1236" t="s">
        <v>50</v>
      </c>
      <c r="R1236" t="s">
        <v>51</v>
      </c>
      <c r="S1236">
        <v>1874</v>
      </c>
      <c r="T1236">
        <v>1959</v>
      </c>
      <c r="Y1236" t="s">
        <v>5364</v>
      </c>
      <c r="Z1236">
        <v>0</v>
      </c>
      <c r="AA1236">
        <v>1</v>
      </c>
      <c r="AB1236">
        <v>0</v>
      </c>
      <c r="AC1236">
        <v>0</v>
      </c>
      <c r="AF1236">
        <v>1935</v>
      </c>
      <c r="AG1236">
        <v>1935</v>
      </c>
      <c r="AO1236" t="b">
        <v>1</v>
      </c>
      <c r="AP1236" t="s">
        <v>958</v>
      </c>
      <c r="AQ1236">
        <v>1966</v>
      </c>
      <c r="AR1236">
        <v>2016</v>
      </c>
      <c r="AS1236" t="s">
        <v>5365</v>
      </c>
      <c r="AT1236">
        <v>8.2135523613963007E-3</v>
      </c>
      <c r="AU1236">
        <f t="shared" si="59"/>
        <v>0</v>
      </c>
    </row>
    <row r="1237" spans="1:47" x14ac:dyDescent="0.3">
      <c r="A1237">
        <v>1235</v>
      </c>
      <c r="B1237" t="s">
        <v>5366</v>
      </c>
      <c r="C1237" t="s">
        <v>5321</v>
      </c>
      <c r="D1237">
        <v>220</v>
      </c>
      <c r="E1237" t="s">
        <v>4986</v>
      </c>
      <c r="F1237" t="str">
        <f>VLOOKUP(E1237,country_continent!A:C,2,FALSE)</f>
        <v>France</v>
      </c>
      <c r="G1237" t="str">
        <f>VLOOKUP(E1237,country_continent!A:C,3,FALSE)</f>
        <v>Europe</v>
      </c>
      <c r="H1237" t="s">
        <v>5322</v>
      </c>
      <c r="I1237" s="1">
        <v>12942</v>
      </c>
      <c r="J1237" s="3">
        <f t="shared" si="57"/>
        <v>12942</v>
      </c>
      <c r="K1237" s="1">
        <v>13174</v>
      </c>
      <c r="L1237" s="3">
        <f t="shared" si="58"/>
        <v>13174</v>
      </c>
      <c r="M1237" t="s">
        <v>49</v>
      </c>
      <c r="N1237" t="s">
        <v>49</v>
      </c>
      <c r="O1237" t="s">
        <v>49</v>
      </c>
      <c r="P1237">
        <v>1</v>
      </c>
      <c r="Q1237" t="s">
        <v>50</v>
      </c>
      <c r="R1237" t="s">
        <v>51</v>
      </c>
      <c r="S1237">
        <v>1883</v>
      </c>
      <c r="T1237">
        <v>1945</v>
      </c>
      <c r="U1237" t="s">
        <v>5323</v>
      </c>
      <c r="V1237" t="s">
        <v>5324</v>
      </c>
      <c r="W1237" s="1">
        <v>16725</v>
      </c>
      <c r="X1237" s="2">
        <v>16725</v>
      </c>
      <c r="Y1237" t="s">
        <v>5325</v>
      </c>
      <c r="Z1237">
        <v>0</v>
      </c>
      <c r="AA1237">
        <v>1</v>
      </c>
      <c r="AB1237">
        <v>0</v>
      </c>
      <c r="AC1237">
        <v>0</v>
      </c>
      <c r="AF1237">
        <v>1935</v>
      </c>
      <c r="AG1237">
        <v>1936</v>
      </c>
      <c r="AO1237" t="b">
        <v>1</v>
      </c>
      <c r="AP1237" t="s">
        <v>958</v>
      </c>
      <c r="AQ1237">
        <v>1966</v>
      </c>
      <c r="AR1237">
        <v>2016</v>
      </c>
      <c r="AS1237" t="s">
        <v>5367</v>
      </c>
      <c r="AT1237">
        <v>0.63518138261464696</v>
      </c>
      <c r="AU1237">
        <f t="shared" si="59"/>
        <v>2E-3</v>
      </c>
    </row>
    <row r="1238" spans="1:47" x14ac:dyDescent="0.3">
      <c r="A1238">
        <v>1236</v>
      </c>
      <c r="B1238" t="s">
        <v>5368</v>
      </c>
      <c r="C1238" t="s">
        <v>5345</v>
      </c>
      <c r="D1238">
        <v>220</v>
      </c>
      <c r="E1238" t="s">
        <v>4986</v>
      </c>
      <c r="F1238" t="str">
        <f>VLOOKUP(E1238,country_continent!A:C,2,FALSE)</f>
        <v>France</v>
      </c>
      <c r="G1238" t="str">
        <f>VLOOKUP(E1238,country_continent!A:C,3,FALSE)</f>
        <v>Europe</v>
      </c>
      <c r="H1238" t="s">
        <v>5346</v>
      </c>
      <c r="I1238" s="1">
        <v>13174</v>
      </c>
      <c r="J1238" s="3">
        <f t="shared" si="57"/>
        <v>13174</v>
      </c>
      <c r="K1238" s="1">
        <v>13304</v>
      </c>
      <c r="L1238" s="3">
        <f t="shared" si="58"/>
        <v>13304</v>
      </c>
      <c r="M1238" t="s">
        <v>49</v>
      </c>
      <c r="N1238" t="s">
        <v>49</v>
      </c>
      <c r="O1238" t="s">
        <v>49</v>
      </c>
      <c r="P1238">
        <v>1</v>
      </c>
      <c r="Q1238" t="s">
        <v>50</v>
      </c>
      <c r="R1238" t="s">
        <v>51</v>
      </c>
      <c r="S1238">
        <v>1872</v>
      </c>
      <c r="T1238">
        <v>1962</v>
      </c>
      <c r="Y1238" t="s">
        <v>5347</v>
      </c>
      <c r="Z1238">
        <v>0</v>
      </c>
      <c r="AA1238">
        <v>1</v>
      </c>
      <c r="AB1238">
        <v>0</v>
      </c>
      <c r="AC1238">
        <v>0</v>
      </c>
      <c r="AF1238">
        <v>1936</v>
      </c>
      <c r="AG1238">
        <v>1936</v>
      </c>
      <c r="AO1238" t="b">
        <v>1</v>
      </c>
      <c r="AP1238" t="s">
        <v>958</v>
      </c>
      <c r="AQ1238">
        <v>1966</v>
      </c>
      <c r="AR1238">
        <v>2016</v>
      </c>
      <c r="AS1238" t="s">
        <v>5369</v>
      </c>
      <c r="AT1238">
        <v>0.35592060232717299</v>
      </c>
      <c r="AU1238">
        <f t="shared" si="59"/>
        <v>1E-3</v>
      </c>
    </row>
    <row r="1239" spans="1:47" x14ac:dyDescent="0.3">
      <c r="A1239">
        <v>1237</v>
      </c>
      <c r="B1239" t="s">
        <v>5370</v>
      </c>
      <c r="C1239" t="s">
        <v>5371</v>
      </c>
      <c r="D1239">
        <v>220</v>
      </c>
      <c r="E1239" t="s">
        <v>4986</v>
      </c>
      <c r="F1239" t="str">
        <f>VLOOKUP(E1239,country_continent!A:C,2,FALSE)</f>
        <v>France</v>
      </c>
      <c r="G1239" t="str">
        <f>VLOOKUP(E1239,country_continent!A:C,3,FALSE)</f>
        <v>Europe</v>
      </c>
      <c r="H1239" t="s">
        <v>5372</v>
      </c>
      <c r="I1239" s="1">
        <v>13304</v>
      </c>
      <c r="J1239" s="3">
        <f t="shared" si="57"/>
        <v>13304</v>
      </c>
      <c r="K1239" s="1">
        <v>13689</v>
      </c>
      <c r="L1239" s="3">
        <f t="shared" si="58"/>
        <v>13689</v>
      </c>
      <c r="M1239" t="s">
        <v>49</v>
      </c>
      <c r="N1239" t="s">
        <v>49</v>
      </c>
      <c r="O1239" t="s">
        <v>49</v>
      </c>
      <c r="P1239">
        <v>0</v>
      </c>
      <c r="Q1239" t="s">
        <v>50</v>
      </c>
      <c r="R1239" t="s">
        <v>51</v>
      </c>
      <c r="S1239">
        <v>1872</v>
      </c>
      <c r="T1239">
        <v>1950</v>
      </c>
      <c r="U1239" t="s">
        <v>5373</v>
      </c>
      <c r="V1239" t="s">
        <v>5374</v>
      </c>
      <c r="W1239" s="1">
        <v>18352</v>
      </c>
      <c r="X1239" s="2">
        <v>18352</v>
      </c>
      <c r="Y1239" t="s">
        <v>5375</v>
      </c>
      <c r="Z1239">
        <v>0</v>
      </c>
      <c r="AA1239">
        <v>1</v>
      </c>
      <c r="AB1239">
        <v>0</v>
      </c>
      <c r="AC1239">
        <v>0</v>
      </c>
      <c r="AF1239">
        <v>1936</v>
      </c>
      <c r="AG1239">
        <v>1937</v>
      </c>
      <c r="AO1239" t="b">
        <v>1</v>
      </c>
      <c r="AP1239" t="s">
        <v>958</v>
      </c>
      <c r="AQ1239">
        <v>1966</v>
      </c>
      <c r="AR1239">
        <v>2016</v>
      </c>
      <c r="AS1239" t="s">
        <v>5122</v>
      </c>
      <c r="AT1239">
        <v>1.0540725530458499</v>
      </c>
      <c r="AU1239">
        <f t="shared" si="59"/>
        <v>3.0000000000000001E-3</v>
      </c>
    </row>
    <row r="1240" spans="1:47" x14ac:dyDescent="0.3">
      <c r="A1240">
        <v>1238</v>
      </c>
      <c r="B1240" t="s">
        <v>5376</v>
      </c>
      <c r="C1240" t="s">
        <v>5309</v>
      </c>
      <c r="D1240">
        <v>220</v>
      </c>
      <c r="E1240" t="s">
        <v>4986</v>
      </c>
      <c r="F1240" t="str">
        <f>VLOOKUP(E1240,country_continent!A:C,2,FALSE)</f>
        <v>France</v>
      </c>
      <c r="G1240" t="str">
        <f>VLOOKUP(E1240,country_continent!A:C,3,FALSE)</f>
        <v>Europe</v>
      </c>
      <c r="H1240" t="s">
        <v>5310</v>
      </c>
      <c r="I1240" s="1">
        <v>13689</v>
      </c>
      <c r="J1240" s="3">
        <f t="shared" si="57"/>
        <v>13689</v>
      </c>
      <c r="K1240" s="1">
        <v>13951</v>
      </c>
      <c r="L1240" s="3">
        <f t="shared" si="58"/>
        <v>13951</v>
      </c>
      <c r="M1240" t="s">
        <v>49</v>
      </c>
      <c r="N1240" t="s">
        <v>49</v>
      </c>
      <c r="O1240" t="s">
        <v>49</v>
      </c>
      <c r="P1240">
        <v>2</v>
      </c>
      <c r="Q1240" t="s">
        <v>50</v>
      </c>
      <c r="R1240" t="s">
        <v>51</v>
      </c>
      <c r="S1240">
        <v>1885</v>
      </c>
      <c r="T1240">
        <v>1963</v>
      </c>
      <c r="Y1240" t="s">
        <v>5311</v>
      </c>
      <c r="Z1240">
        <v>0</v>
      </c>
      <c r="AA1240">
        <v>1</v>
      </c>
      <c r="AB1240">
        <v>0</v>
      </c>
      <c r="AC1240">
        <v>0</v>
      </c>
      <c r="AF1240">
        <v>1937</v>
      </c>
      <c r="AG1240">
        <v>1938</v>
      </c>
      <c r="AO1240" t="b">
        <v>1</v>
      </c>
      <c r="AP1240" t="s">
        <v>958</v>
      </c>
      <c r="AQ1240">
        <v>1966</v>
      </c>
      <c r="AR1240">
        <v>2016</v>
      </c>
      <c r="AS1240" t="s">
        <v>5377</v>
      </c>
      <c r="AT1240">
        <v>0.71731690622861</v>
      </c>
      <c r="AU1240">
        <f t="shared" si="59"/>
        <v>2E-3</v>
      </c>
    </row>
    <row r="1241" spans="1:47" x14ac:dyDescent="0.3">
      <c r="A1241">
        <v>1239</v>
      </c>
      <c r="B1241" t="s">
        <v>5378</v>
      </c>
      <c r="C1241" t="s">
        <v>5371</v>
      </c>
      <c r="D1241">
        <v>220</v>
      </c>
      <c r="E1241" t="s">
        <v>4986</v>
      </c>
      <c r="F1241" t="str">
        <f>VLOOKUP(E1241,country_continent!A:C,2,FALSE)</f>
        <v>France</v>
      </c>
      <c r="G1241" t="str">
        <f>VLOOKUP(E1241,country_continent!A:C,3,FALSE)</f>
        <v>Europe</v>
      </c>
      <c r="H1241" t="s">
        <v>5372</v>
      </c>
      <c r="I1241" s="1">
        <v>13951</v>
      </c>
      <c r="J1241" s="3">
        <f t="shared" si="57"/>
        <v>13951</v>
      </c>
      <c r="K1241" s="1">
        <v>13980</v>
      </c>
      <c r="L1241" s="3">
        <f t="shared" si="58"/>
        <v>13980</v>
      </c>
      <c r="M1241" t="s">
        <v>49</v>
      </c>
      <c r="N1241" t="s">
        <v>49</v>
      </c>
      <c r="O1241" t="s">
        <v>49</v>
      </c>
      <c r="P1241">
        <v>1</v>
      </c>
      <c r="Q1241" t="s">
        <v>50</v>
      </c>
      <c r="R1241" t="s">
        <v>51</v>
      </c>
      <c r="S1241">
        <v>1872</v>
      </c>
      <c r="T1241">
        <v>1950</v>
      </c>
      <c r="U1241" t="s">
        <v>5373</v>
      </c>
      <c r="V1241" t="s">
        <v>5374</v>
      </c>
      <c r="W1241" s="1">
        <v>18352</v>
      </c>
      <c r="X1241" s="2">
        <v>18352</v>
      </c>
      <c r="Y1241" t="s">
        <v>5375</v>
      </c>
      <c r="Z1241">
        <v>0</v>
      </c>
      <c r="AA1241">
        <v>1</v>
      </c>
      <c r="AB1241">
        <v>0</v>
      </c>
      <c r="AC1241">
        <v>0</v>
      </c>
      <c r="AF1241">
        <v>1938</v>
      </c>
      <c r="AG1241">
        <v>1938</v>
      </c>
      <c r="AO1241" t="b">
        <v>1</v>
      </c>
      <c r="AP1241" t="s">
        <v>958</v>
      </c>
      <c r="AQ1241">
        <v>1966</v>
      </c>
      <c r="AR1241">
        <v>2016</v>
      </c>
      <c r="AS1241" t="s">
        <v>5348</v>
      </c>
      <c r="AT1241">
        <v>7.9397672826830898E-2</v>
      </c>
      <c r="AU1241">
        <f t="shared" si="59"/>
        <v>0</v>
      </c>
    </row>
    <row r="1242" spans="1:47" x14ac:dyDescent="0.3">
      <c r="A1242">
        <v>1240</v>
      </c>
      <c r="B1242" t="s">
        <v>5379</v>
      </c>
      <c r="C1242" t="s">
        <v>5338</v>
      </c>
      <c r="D1242">
        <v>220</v>
      </c>
      <c r="E1242" t="s">
        <v>4986</v>
      </c>
      <c r="F1242" t="str">
        <f>VLOOKUP(E1242,country_continent!A:C,2,FALSE)</f>
        <v>France</v>
      </c>
      <c r="G1242" t="str">
        <f>VLOOKUP(E1242,country_continent!A:C,3,FALSE)</f>
        <v>Europe</v>
      </c>
      <c r="H1242" t="s">
        <v>5339</v>
      </c>
      <c r="I1242" s="1">
        <v>13980</v>
      </c>
      <c r="J1242" s="3">
        <f t="shared" si="57"/>
        <v>13980</v>
      </c>
      <c r="K1242" s="1">
        <v>14691</v>
      </c>
      <c r="L1242" s="3">
        <f t="shared" si="58"/>
        <v>14691</v>
      </c>
      <c r="M1242" t="s">
        <v>49</v>
      </c>
      <c r="N1242" t="s">
        <v>49</v>
      </c>
      <c r="O1242" t="s">
        <v>49</v>
      </c>
      <c r="P1242">
        <v>2</v>
      </c>
      <c r="Q1242" t="s">
        <v>50</v>
      </c>
      <c r="R1242" t="s">
        <v>51</v>
      </c>
      <c r="S1242">
        <v>1884</v>
      </c>
      <c r="T1242">
        <v>1970</v>
      </c>
      <c r="U1242" t="s">
        <v>5340</v>
      </c>
      <c r="V1242" t="s">
        <v>5341</v>
      </c>
      <c r="W1242" s="1">
        <v>25851</v>
      </c>
      <c r="X1242" s="2">
        <v>25851</v>
      </c>
      <c r="Y1242" t="s">
        <v>5342</v>
      </c>
      <c r="Z1242">
        <v>0</v>
      </c>
      <c r="AA1242">
        <v>1</v>
      </c>
      <c r="AB1242">
        <v>0</v>
      </c>
      <c r="AC1242">
        <v>0</v>
      </c>
      <c r="AF1242">
        <v>1938</v>
      </c>
      <c r="AG1242">
        <v>1940</v>
      </c>
      <c r="AO1242" t="b">
        <v>1</v>
      </c>
      <c r="AP1242" t="s">
        <v>958</v>
      </c>
      <c r="AQ1242">
        <v>1966</v>
      </c>
      <c r="AR1242">
        <v>2016</v>
      </c>
      <c r="AS1242" t="s">
        <v>5380</v>
      </c>
      <c r="AT1242">
        <v>1.94661190965092</v>
      </c>
      <c r="AU1242">
        <f t="shared" si="59"/>
        <v>5.0000000000000001E-3</v>
      </c>
    </row>
    <row r="1243" spans="1:47" x14ac:dyDescent="0.3">
      <c r="A1243">
        <v>1241</v>
      </c>
      <c r="B1243" t="s">
        <v>5381</v>
      </c>
      <c r="C1243" t="s">
        <v>5382</v>
      </c>
      <c r="D1243">
        <v>220</v>
      </c>
      <c r="E1243" t="s">
        <v>4986</v>
      </c>
      <c r="F1243" t="str">
        <f>VLOOKUP(E1243,country_continent!A:C,2,FALSE)</f>
        <v>France</v>
      </c>
      <c r="G1243" t="str">
        <f>VLOOKUP(E1243,country_continent!A:C,3,FALSE)</f>
        <v>Europe</v>
      </c>
      <c r="H1243" t="s">
        <v>5383</v>
      </c>
      <c r="I1243" s="1">
        <v>14691</v>
      </c>
      <c r="J1243" s="3">
        <f t="shared" si="57"/>
        <v>14691</v>
      </c>
      <c r="K1243" s="1">
        <v>14773</v>
      </c>
      <c r="L1243" s="3">
        <f t="shared" si="58"/>
        <v>14773</v>
      </c>
      <c r="M1243" t="s">
        <v>49</v>
      </c>
      <c r="N1243" t="s">
        <v>49</v>
      </c>
      <c r="O1243" t="s">
        <v>49</v>
      </c>
      <c r="P1243">
        <v>0</v>
      </c>
      <c r="Q1243" t="s">
        <v>463</v>
      </c>
      <c r="R1243" t="s">
        <v>51</v>
      </c>
      <c r="S1243">
        <v>1878</v>
      </c>
      <c r="T1243">
        <v>1966</v>
      </c>
      <c r="Y1243" t="s">
        <v>5384</v>
      </c>
      <c r="Z1243">
        <v>0</v>
      </c>
      <c r="AA1243">
        <v>1</v>
      </c>
      <c r="AB1243">
        <v>0</v>
      </c>
      <c r="AC1243">
        <v>2</v>
      </c>
      <c r="AF1243">
        <v>1940</v>
      </c>
      <c r="AG1243">
        <v>1940</v>
      </c>
      <c r="AO1243" t="b">
        <v>1</v>
      </c>
      <c r="AP1243" t="s">
        <v>958</v>
      </c>
      <c r="AQ1243">
        <v>1966</v>
      </c>
      <c r="AR1243">
        <v>2016</v>
      </c>
      <c r="AS1243" t="s">
        <v>5385</v>
      </c>
      <c r="AT1243">
        <v>0.22450376454483201</v>
      </c>
      <c r="AU1243">
        <f t="shared" si="59"/>
        <v>1E-3</v>
      </c>
    </row>
    <row r="1244" spans="1:47" x14ac:dyDescent="0.3">
      <c r="A1244">
        <v>1242</v>
      </c>
      <c r="B1244" t="s">
        <v>5386</v>
      </c>
      <c r="C1244" t="s">
        <v>5387</v>
      </c>
      <c r="D1244">
        <v>220</v>
      </c>
      <c r="E1244" t="s">
        <v>4986</v>
      </c>
      <c r="F1244" t="str">
        <f>VLOOKUP(E1244,country_continent!A:C,2,FALSE)</f>
        <v>France</v>
      </c>
      <c r="G1244" t="str">
        <f>VLOOKUP(E1244,country_continent!A:C,3,FALSE)</f>
        <v>Europe</v>
      </c>
      <c r="H1244" t="s">
        <v>5388</v>
      </c>
      <c r="I1244" s="1">
        <v>14779</v>
      </c>
      <c r="J1244" s="3">
        <f t="shared" si="57"/>
        <v>14779</v>
      </c>
      <c r="K1244" s="1">
        <v>15449</v>
      </c>
      <c r="L1244" s="3">
        <f t="shared" si="58"/>
        <v>15449</v>
      </c>
      <c r="M1244" t="s">
        <v>49</v>
      </c>
      <c r="N1244" t="s">
        <v>49</v>
      </c>
      <c r="O1244" t="s">
        <v>49</v>
      </c>
      <c r="P1244">
        <v>0</v>
      </c>
      <c r="Q1244" t="s">
        <v>50</v>
      </c>
      <c r="R1244" t="s">
        <v>51</v>
      </c>
      <c r="S1244">
        <v>1856</v>
      </c>
      <c r="T1244">
        <v>1951</v>
      </c>
      <c r="U1244" t="s">
        <v>5389</v>
      </c>
      <c r="V1244" t="s">
        <v>5390</v>
      </c>
      <c r="W1244" s="1">
        <v>18832</v>
      </c>
      <c r="X1244" s="2">
        <v>18832</v>
      </c>
      <c r="Y1244" t="s">
        <v>5391</v>
      </c>
      <c r="Z1244">
        <v>0</v>
      </c>
      <c r="AA1244">
        <v>1</v>
      </c>
      <c r="AB1244">
        <v>0</v>
      </c>
      <c r="AC1244">
        <v>0</v>
      </c>
      <c r="AF1244">
        <v>1940</v>
      </c>
      <c r="AG1244">
        <v>1942</v>
      </c>
      <c r="AO1244" t="b">
        <v>1</v>
      </c>
      <c r="AP1244" t="s">
        <v>958</v>
      </c>
      <c r="AQ1244">
        <v>1966</v>
      </c>
      <c r="AR1244">
        <v>2016</v>
      </c>
      <c r="AS1244" t="s">
        <v>5392</v>
      </c>
      <c r="AT1244">
        <v>1.8343600273784999</v>
      </c>
      <c r="AU1244">
        <f t="shared" si="59"/>
        <v>5.0000000000000001E-3</v>
      </c>
    </row>
    <row r="1245" spans="1:47" x14ac:dyDescent="0.3">
      <c r="A1245">
        <v>1243</v>
      </c>
      <c r="B1245" t="s">
        <v>5393</v>
      </c>
      <c r="C1245" t="s">
        <v>5321</v>
      </c>
      <c r="D1245">
        <v>220</v>
      </c>
      <c r="E1245" t="s">
        <v>4986</v>
      </c>
      <c r="F1245" t="str">
        <f>VLOOKUP(E1245,country_continent!A:C,2,FALSE)</f>
        <v>France</v>
      </c>
      <c r="G1245" t="str">
        <f>VLOOKUP(E1245,country_continent!A:C,3,FALSE)</f>
        <v>Europe</v>
      </c>
      <c r="H1245" t="s">
        <v>5322</v>
      </c>
      <c r="I1245" s="1">
        <v>15449</v>
      </c>
      <c r="J1245" s="3">
        <f t="shared" si="57"/>
        <v>15449</v>
      </c>
      <c r="K1245" s="1">
        <v>16301</v>
      </c>
      <c r="L1245" s="3">
        <f t="shared" si="58"/>
        <v>16301</v>
      </c>
      <c r="M1245" t="s">
        <v>49</v>
      </c>
      <c r="N1245" t="s">
        <v>633</v>
      </c>
      <c r="O1245" t="s">
        <v>634</v>
      </c>
      <c r="P1245">
        <v>3</v>
      </c>
      <c r="Q1245" t="s">
        <v>463</v>
      </c>
      <c r="R1245" t="s">
        <v>51</v>
      </c>
      <c r="S1245">
        <v>1883</v>
      </c>
      <c r="T1245">
        <v>1945</v>
      </c>
      <c r="U1245" t="s">
        <v>5323</v>
      </c>
      <c r="V1245" t="s">
        <v>5324</v>
      </c>
      <c r="W1245" s="1">
        <v>16725</v>
      </c>
      <c r="X1245" s="2">
        <v>16725</v>
      </c>
      <c r="Y1245" t="s">
        <v>5325</v>
      </c>
      <c r="Z1245">
        <v>0</v>
      </c>
      <c r="AA1245">
        <v>4</v>
      </c>
      <c r="AB1245">
        <v>9</v>
      </c>
      <c r="AC1245">
        <v>2</v>
      </c>
      <c r="AF1245">
        <v>1942</v>
      </c>
      <c r="AG1245">
        <v>1944</v>
      </c>
      <c r="AO1245" t="b">
        <v>1</v>
      </c>
      <c r="AP1245" t="s">
        <v>958</v>
      </c>
      <c r="AQ1245">
        <v>1966</v>
      </c>
      <c r="AR1245">
        <v>2016</v>
      </c>
      <c r="AS1245" t="s">
        <v>5394</v>
      </c>
      <c r="AT1245">
        <v>2.3326488706365498</v>
      </c>
      <c r="AU1245">
        <f t="shared" si="59"/>
        <v>6.0000000000000001E-3</v>
      </c>
    </row>
    <row r="1246" spans="1:47" x14ac:dyDescent="0.3">
      <c r="A1246">
        <v>1244</v>
      </c>
      <c r="B1246" t="s">
        <v>5395</v>
      </c>
      <c r="C1246" t="s">
        <v>5396</v>
      </c>
      <c r="D1246">
        <v>220</v>
      </c>
      <c r="E1246" t="s">
        <v>4986</v>
      </c>
      <c r="F1246" t="str">
        <f>VLOOKUP(E1246,country_continent!A:C,2,FALSE)</f>
        <v>France</v>
      </c>
      <c r="G1246" t="str">
        <f>VLOOKUP(E1246,country_continent!A:C,3,FALSE)</f>
        <v>Europe</v>
      </c>
      <c r="H1246" t="s">
        <v>5397</v>
      </c>
      <c r="I1246" s="1">
        <v>16325</v>
      </c>
      <c r="J1246" s="3">
        <f t="shared" si="57"/>
        <v>16325</v>
      </c>
      <c r="K1246" s="1">
        <v>16822</v>
      </c>
      <c r="L1246" s="3">
        <f t="shared" si="58"/>
        <v>16822</v>
      </c>
      <c r="M1246" t="s">
        <v>49</v>
      </c>
      <c r="N1246" t="s">
        <v>49</v>
      </c>
      <c r="O1246" t="s">
        <v>49</v>
      </c>
      <c r="P1246">
        <v>0</v>
      </c>
      <c r="Q1246" t="s">
        <v>50</v>
      </c>
      <c r="R1246" t="s">
        <v>51</v>
      </c>
      <c r="S1246">
        <v>1890</v>
      </c>
      <c r="T1246">
        <v>1970</v>
      </c>
      <c r="U1246" t="s">
        <v>5398</v>
      </c>
      <c r="V1246" t="s">
        <v>5399</v>
      </c>
      <c r="W1246" s="1">
        <v>25881</v>
      </c>
      <c r="X1246" s="2">
        <v>25881</v>
      </c>
      <c r="Y1246" t="s">
        <v>5400</v>
      </c>
      <c r="Z1246">
        <v>0</v>
      </c>
      <c r="AA1246">
        <v>1</v>
      </c>
      <c r="AB1246">
        <v>0</v>
      </c>
      <c r="AC1246">
        <v>0</v>
      </c>
      <c r="AF1246">
        <v>1944</v>
      </c>
      <c r="AG1246">
        <v>1946</v>
      </c>
      <c r="AO1246" t="b">
        <v>1</v>
      </c>
      <c r="AP1246" t="s">
        <v>958</v>
      </c>
      <c r="AQ1246">
        <v>1966</v>
      </c>
      <c r="AR1246">
        <v>2016</v>
      </c>
      <c r="AS1246" t="s">
        <v>5401</v>
      </c>
      <c r="AT1246">
        <v>1.3607118412046499</v>
      </c>
      <c r="AU1246">
        <f t="shared" si="59"/>
        <v>4.0000000000000001E-3</v>
      </c>
    </row>
    <row r="1247" spans="1:47" x14ac:dyDescent="0.3">
      <c r="A1247">
        <v>1245</v>
      </c>
      <c r="B1247" t="s">
        <v>5402</v>
      </c>
      <c r="C1247" t="s">
        <v>5403</v>
      </c>
      <c r="D1247">
        <v>220</v>
      </c>
      <c r="E1247" t="s">
        <v>4986</v>
      </c>
      <c r="F1247" t="str">
        <f>VLOOKUP(E1247,country_continent!A:C,2,FALSE)</f>
        <v>France</v>
      </c>
      <c r="G1247" t="str">
        <f>VLOOKUP(E1247,country_continent!A:C,3,FALSE)</f>
        <v>Europe</v>
      </c>
      <c r="H1247" t="s">
        <v>5404</v>
      </c>
      <c r="I1247" s="1">
        <v>16828</v>
      </c>
      <c r="J1247" s="3">
        <f t="shared" si="57"/>
        <v>16828</v>
      </c>
      <c r="K1247" s="1">
        <v>16965</v>
      </c>
      <c r="L1247" s="3">
        <f t="shared" si="58"/>
        <v>16965</v>
      </c>
      <c r="M1247" t="s">
        <v>49</v>
      </c>
      <c r="N1247" t="s">
        <v>49</v>
      </c>
      <c r="O1247" t="s">
        <v>49</v>
      </c>
      <c r="P1247">
        <v>0</v>
      </c>
      <c r="Q1247" t="s">
        <v>50</v>
      </c>
      <c r="R1247" t="s">
        <v>51</v>
      </c>
      <c r="S1247">
        <v>1884</v>
      </c>
      <c r="T1247">
        <v>1977</v>
      </c>
      <c r="U1247" t="s">
        <v>5405</v>
      </c>
      <c r="V1247" t="s">
        <v>5406</v>
      </c>
      <c r="W1247" s="1">
        <v>28454</v>
      </c>
      <c r="X1247" s="2">
        <v>28454</v>
      </c>
      <c r="Y1247" t="s">
        <v>5407</v>
      </c>
      <c r="Z1247">
        <v>0</v>
      </c>
      <c r="AA1247">
        <v>1</v>
      </c>
      <c r="AB1247">
        <v>0</v>
      </c>
      <c r="AC1247">
        <v>0</v>
      </c>
      <c r="AF1247">
        <v>1946</v>
      </c>
      <c r="AG1247">
        <v>1946</v>
      </c>
      <c r="AO1247" t="b">
        <v>1</v>
      </c>
      <c r="AP1247" t="s">
        <v>958</v>
      </c>
      <c r="AQ1247">
        <v>1966</v>
      </c>
      <c r="AR1247">
        <v>2016</v>
      </c>
      <c r="AS1247" t="s">
        <v>5408</v>
      </c>
      <c r="AT1247">
        <v>0.37508555783709702</v>
      </c>
      <c r="AU1247">
        <f t="shared" si="59"/>
        <v>1E-3</v>
      </c>
    </row>
    <row r="1248" spans="1:47" x14ac:dyDescent="0.3">
      <c r="A1248">
        <v>1246</v>
      </c>
      <c r="B1248" t="s">
        <v>5409</v>
      </c>
      <c r="C1248" t="s">
        <v>5410</v>
      </c>
      <c r="D1248">
        <v>220</v>
      </c>
      <c r="E1248" t="s">
        <v>4986</v>
      </c>
      <c r="F1248" t="str">
        <f>VLOOKUP(E1248,country_continent!A:C,2,FALSE)</f>
        <v>France</v>
      </c>
      <c r="G1248" t="str">
        <f>VLOOKUP(E1248,country_continent!A:C,3,FALSE)</f>
        <v>Europe</v>
      </c>
      <c r="H1248" t="s">
        <v>5411</v>
      </c>
      <c r="I1248" s="1">
        <v>16977</v>
      </c>
      <c r="J1248" s="3">
        <f t="shared" si="57"/>
        <v>16977</v>
      </c>
      <c r="K1248" s="1">
        <v>17134</v>
      </c>
      <c r="L1248" s="3">
        <f t="shared" si="58"/>
        <v>17134</v>
      </c>
      <c r="M1248" t="s">
        <v>49</v>
      </c>
      <c r="N1248" t="s">
        <v>49</v>
      </c>
      <c r="O1248" t="s">
        <v>49</v>
      </c>
      <c r="P1248">
        <v>0</v>
      </c>
      <c r="Q1248" t="s">
        <v>50</v>
      </c>
      <c r="R1248" t="s">
        <v>51</v>
      </c>
      <c r="S1248">
        <v>1899</v>
      </c>
      <c r="T1248">
        <v>1983</v>
      </c>
      <c r="U1248" t="s">
        <v>5412</v>
      </c>
      <c r="V1248" t="s">
        <v>5413</v>
      </c>
      <c r="W1248" s="1">
        <v>30343</v>
      </c>
      <c r="X1248" s="2">
        <v>30343</v>
      </c>
      <c r="Y1248" t="s">
        <v>5414</v>
      </c>
      <c r="Z1248">
        <v>0</v>
      </c>
      <c r="AA1248">
        <v>1</v>
      </c>
      <c r="AB1248">
        <v>0</v>
      </c>
      <c r="AC1248">
        <v>0</v>
      </c>
      <c r="AF1248">
        <v>1946</v>
      </c>
      <c r="AG1248">
        <v>1946</v>
      </c>
      <c r="AO1248" t="b">
        <v>1</v>
      </c>
      <c r="AP1248" t="s">
        <v>958</v>
      </c>
      <c r="AQ1248">
        <v>1966</v>
      </c>
      <c r="AR1248">
        <v>2016</v>
      </c>
      <c r="AS1248" t="s">
        <v>5415</v>
      </c>
      <c r="AT1248">
        <v>0.42984257357973898</v>
      </c>
      <c r="AU1248">
        <f t="shared" si="59"/>
        <v>1E-3</v>
      </c>
    </row>
    <row r="1249" spans="1:47" x14ac:dyDescent="0.3">
      <c r="A1249">
        <v>1247</v>
      </c>
      <c r="B1249" t="s">
        <v>5416</v>
      </c>
      <c r="C1249" t="s">
        <v>5371</v>
      </c>
      <c r="D1249">
        <v>220</v>
      </c>
      <c r="E1249" t="s">
        <v>4986</v>
      </c>
      <c r="F1249" t="str">
        <f>VLOOKUP(E1249,country_continent!A:C,2,FALSE)</f>
        <v>France</v>
      </c>
      <c r="G1249" t="str">
        <f>VLOOKUP(E1249,country_continent!A:C,3,FALSE)</f>
        <v>Europe</v>
      </c>
      <c r="H1249" t="s">
        <v>5372</v>
      </c>
      <c r="I1249" s="1">
        <v>17152</v>
      </c>
      <c r="J1249" s="3">
        <f t="shared" si="57"/>
        <v>17152</v>
      </c>
      <c r="K1249" s="1">
        <v>17183</v>
      </c>
      <c r="L1249" s="3">
        <f t="shared" si="58"/>
        <v>17183</v>
      </c>
      <c r="M1249" t="s">
        <v>49</v>
      </c>
      <c r="N1249" t="s">
        <v>49</v>
      </c>
      <c r="O1249" t="s">
        <v>49</v>
      </c>
      <c r="P1249">
        <v>2</v>
      </c>
      <c r="Q1249" t="s">
        <v>50</v>
      </c>
      <c r="R1249" t="s">
        <v>51</v>
      </c>
      <c r="S1249">
        <v>1872</v>
      </c>
      <c r="T1249">
        <v>1950</v>
      </c>
      <c r="U1249" t="s">
        <v>5373</v>
      </c>
      <c r="V1249" t="s">
        <v>5374</v>
      </c>
      <c r="W1249" s="1">
        <v>18352</v>
      </c>
      <c r="X1249" s="2">
        <v>18352</v>
      </c>
      <c r="Y1249" t="s">
        <v>5375</v>
      </c>
      <c r="Z1249">
        <v>0</v>
      </c>
      <c r="AA1249">
        <v>1</v>
      </c>
      <c r="AB1249">
        <v>0</v>
      </c>
      <c r="AC1249">
        <v>0</v>
      </c>
      <c r="AF1249">
        <v>1946</v>
      </c>
      <c r="AG1249">
        <v>1947</v>
      </c>
      <c r="AO1249" t="b">
        <v>1</v>
      </c>
      <c r="AP1249" t="s">
        <v>958</v>
      </c>
      <c r="AQ1249">
        <v>1966</v>
      </c>
      <c r="AR1249">
        <v>2016</v>
      </c>
      <c r="AS1249" t="s">
        <v>5417</v>
      </c>
      <c r="AT1249">
        <v>8.4873374401095103E-2</v>
      </c>
      <c r="AU1249">
        <f t="shared" si="59"/>
        <v>0</v>
      </c>
    </row>
    <row r="1250" spans="1:47" x14ac:dyDescent="0.3">
      <c r="A1250">
        <v>1248</v>
      </c>
      <c r="B1250" t="s">
        <v>5418</v>
      </c>
      <c r="C1250" t="s">
        <v>5419</v>
      </c>
      <c r="D1250">
        <v>220</v>
      </c>
      <c r="E1250" t="s">
        <v>4986</v>
      </c>
      <c r="F1250" t="str">
        <f>VLOOKUP(E1250,country_continent!A:C,2,FALSE)</f>
        <v>France</v>
      </c>
      <c r="G1250" t="str">
        <f>VLOOKUP(E1250,country_continent!A:C,3,FALSE)</f>
        <v>Europe</v>
      </c>
      <c r="H1250" t="s">
        <v>5420</v>
      </c>
      <c r="I1250" s="1">
        <v>17189</v>
      </c>
      <c r="J1250" s="3">
        <f t="shared" si="57"/>
        <v>17189</v>
      </c>
      <c r="K1250" s="1">
        <v>17490</v>
      </c>
      <c r="L1250" s="3">
        <f t="shared" si="58"/>
        <v>17490</v>
      </c>
      <c r="M1250" t="s">
        <v>49</v>
      </c>
      <c r="N1250" t="s">
        <v>49</v>
      </c>
      <c r="O1250" t="s">
        <v>49</v>
      </c>
      <c r="P1250">
        <v>0</v>
      </c>
      <c r="Q1250" t="s">
        <v>50</v>
      </c>
      <c r="R1250" t="s">
        <v>51</v>
      </c>
      <c r="S1250">
        <v>1888</v>
      </c>
      <c r="T1250">
        <v>1961</v>
      </c>
      <c r="U1250" t="s">
        <v>5421</v>
      </c>
      <c r="V1250" t="s">
        <v>5422</v>
      </c>
      <c r="W1250" s="1">
        <v>22568</v>
      </c>
      <c r="X1250" s="2">
        <v>22568</v>
      </c>
      <c r="Y1250" t="s">
        <v>5423</v>
      </c>
      <c r="Z1250">
        <v>0</v>
      </c>
      <c r="AA1250">
        <v>1</v>
      </c>
      <c r="AB1250">
        <v>0</v>
      </c>
      <c r="AC1250">
        <v>0</v>
      </c>
      <c r="AF1250">
        <v>1947</v>
      </c>
      <c r="AG1250">
        <v>1947</v>
      </c>
      <c r="AO1250" t="b">
        <v>1</v>
      </c>
      <c r="AP1250" t="s">
        <v>958</v>
      </c>
      <c r="AQ1250">
        <v>1966</v>
      </c>
      <c r="AR1250">
        <v>2016</v>
      </c>
      <c r="AS1250" t="s">
        <v>5424</v>
      </c>
      <c r="AT1250">
        <v>0.82409308692676198</v>
      </c>
      <c r="AU1250">
        <f t="shared" si="59"/>
        <v>2E-3</v>
      </c>
    </row>
    <row r="1251" spans="1:47" x14ac:dyDescent="0.3">
      <c r="A1251">
        <v>1249</v>
      </c>
      <c r="B1251" t="s">
        <v>5425</v>
      </c>
      <c r="C1251" t="s">
        <v>5426</v>
      </c>
      <c r="D1251">
        <v>220</v>
      </c>
      <c r="E1251" t="s">
        <v>4986</v>
      </c>
      <c r="F1251" t="str">
        <f>VLOOKUP(E1251,country_continent!A:C,2,FALSE)</f>
        <v>France</v>
      </c>
      <c r="G1251" t="str">
        <f>VLOOKUP(E1251,country_continent!A:C,3,FALSE)</f>
        <v>Europe</v>
      </c>
      <c r="H1251" t="s">
        <v>5427</v>
      </c>
      <c r="I1251" s="1">
        <v>17495</v>
      </c>
      <c r="J1251" s="3">
        <f t="shared" si="57"/>
        <v>17495</v>
      </c>
      <c r="K1251" s="1">
        <v>17733</v>
      </c>
      <c r="L1251" s="3">
        <f t="shared" si="58"/>
        <v>17733</v>
      </c>
      <c r="M1251" t="s">
        <v>49</v>
      </c>
      <c r="N1251" t="s">
        <v>49</v>
      </c>
      <c r="O1251" t="s">
        <v>49</v>
      </c>
      <c r="P1251">
        <v>0</v>
      </c>
      <c r="Q1251" t="s">
        <v>50</v>
      </c>
      <c r="R1251" t="s">
        <v>51</v>
      </c>
      <c r="S1251">
        <v>1886</v>
      </c>
      <c r="T1251">
        <v>1963</v>
      </c>
      <c r="Y1251" t="s">
        <v>5428</v>
      </c>
      <c r="Z1251">
        <v>0</v>
      </c>
      <c r="AA1251">
        <v>1</v>
      </c>
      <c r="AB1251">
        <v>0</v>
      </c>
      <c r="AC1251">
        <v>0</v>
      </c>
      <c r="AF1251">
        <v>1947</v>
      </c>
      <c r="AG1251">
        <v>1948</v>
      </c>
      <c r="AO1251" t="b">
        <v>1</v>
      </c>
      <c r="AP1251" t="s">
        <v>958</v>
      </c>
      <c r="AQ1251">
        <v>1966</v>
      </c>
      <c r="AR1251">
        <v>2016</v>
      </c>
      <c r="AS1251" t="s">
        <v>5429</v>
      </c>
      <c r="AT1251">
        <v>0.65160848733744003</v>
      </c>
      <c r="AU1251">
        <f t="shared" si="59"/>
        <v>2E-3</v>
      </c>
    </row>
    <row r="1252" spans="1:47" x14ac:dyDescent="0.3">
      <c r="A1252">
        <v>1250</v>
      </c>
      <c r="B1252" t="s">
        <v>5430</v>
      </c>
      <c r="C1252" t="s">
        <v>5431</v>
      </c>
      <c r="D1252">
        <v>220</v>
      </c>
      <c r="E1252" t="s">
        <v>4986</v>
      </c>
      <c r="F1252" t="str">
        <f>VLOOKUP(E1252,country_continent!A:C,2,FALSE)</f>
        <v>France</v>
      </c>
      <c r="G1252" t="str">
        <f>VLOOKUP(E1252,country_continent!A:C,3,FALSE)</f>
        <v>Europe</v>
      </c>
      <c r="H1252" t="s">
        <v>5432</v>
      </c>
      <c r="I1252" s="1">
        <v>17741</v>
      </c>
      <c r="J1252" s="3">
        <f t="shared" si="57"/>
        <v>17741</v>
      </c>
      <c r="K1252" s="1">
        <v>17772</v>
      </c>
      <c r="L1252" s="3">
        <f t="shared" si="58"/>
        <v>17772</v>
      </c>
      <c r="M1252" t="s">
        <v>49</v>
      </c>
      <c r="N1252" t="s">
        <v>49</v>
      </c>
      <c r="O1252" t="s">
        <v>49</v>
      </c>
      <c r="P1252">
        <v>0</v>
      </c>
      <c r="Q1252" t="s">
        <v>50</v>
      </c>
      <c r="R1252" t="s">
        <v>51</v>
      </c>
      <c r="S1252">
        <v>1897</v>
      </c>
      <c r="T1252">
        <v>1974</v>
      </c>
      <c r="Y1252" t="s">
        <v>5433</v>
      </c>
      <c r="Z1252">
        <v>0</v>
      </c>
      <c r="AA1252">
        <v>1</v>
      </c>
      <c r="AB1252">
        <v>0</v>
      </c>
      <c r="AC1252">
        <v>0</v>
      </c>
      <c r="AF1252">
        <v>1948</v>
      </c>
      <c r="AG1252">
        <v>1948</v>
      </c>
      <c r="AO1252" t="b">
        <v>1</v>
      </c>
      <c r="AP1252" t="s">
        <v>958</v>
      </c>
      <c r="AQ1252">
        <v>1966</v>
      </c>
      <c r="AR1252">
        <v>2016</v>
      </c>
      <c r="AS1252" t="s">
        <v>5417</v>
      </c>
      <c r="AT1252">
        <v>8.4873374401095103E-2</v>
      </c>
      <c r="AU1252">
        <f t="shared" si="59"/>
        <v>0</v>
      </c>
    </row>
    <row r="1253" spans="1:47" x14ac:dyDescent="0.3">
      <c r="A1253">
        <v>1251</v>
      </c>
      <c r="B1253" t="s">
        <v>5434</v>
      </c>
      <c r="C1253" t="s">
        <v>5426</v>
      </c>
      <c r="D1253">
        <v>220</v>
      </c>
      <c r="E1253" t="s">
        <v>4986</v>
      </c>
      <c r="F1253" t="str">
        <f>VLOOKUP(E1253,country_continent!A:C,2,FALSE)</f>
        <v>France</v>
      </c>
      <c r="G1253" t="str">
        <f>VLOOKUP(E1253,country_continent!A:C,3,FALSE)</f>
        <v>Europe</v>
      </c>
      <c r="H1253" t="s">
        <v>5427</v>
      </c>
      <c r="I1253" s="1">
        <v>17776</v>
      </c>
      <c r="J1253" s="3">
        <f t="shared" si="57"/>
        <v>17776</v>
      </c>
      <c r="K1253" s="1">
        <v>17784</v>
      </c>
      <c r="L1253" s="3">
        <f t="shared" si="58"/>
        <v>17784</v>
      </c>
      <c r="M1253" t="s">
        <v>49</v>
      </c>
      <c r="N1253" t="s">
        <v>49</v>
      </c>
      <c r="O1253" t="s">
        <v>49</v>
      </c>
      <c r="P1253">
        <v>1</v>
      </c>
      <c r="Q1253" t="s">
        <v>50</v>
      </c>
      <c r="R1253" t="s">
        <v>51</v>
      </c>
      <c r="S1253">
        <v>1886</v>
      </c>
      <c r="T1253">
        <v>1963</v>
      </c>
      <c r="Y1253" t="s">
        <v>5428</v>
      </c>
      <c r="Z1253">
        <v>0</v>
      </c>
      <c r="AA1253">
        <v>1</v>
      </c>
      <c r="AB1253">
        <v>0</v>
      </c>
      <c r="AC1253">
        <v>0</v>
      </c>
      <c r="AF1253">
        <v>1948</v>
      </c>
      <c r="AG1253">
        <v>1948</v>
      </c>
      <c r="AO1253" t="b">
        <v>1</v>
      </c>
      <c r="AP1253" t="s">
        <v>958</v>
      </c>
      <c r="AQ1253">
        <v>1966</v>
      </c>
      <c r="AR1253">
        <v>2016</v>
      </c>
      <c r="AS1253" t="s">
        <v>5435</v>
      </c>
      <c r="AT1253">
        <v>2.19028062970568E-2</v>
      </c>
      <c r="AU1253">
        <f t="shared" si="59"/>
        <v>0</v>
      </c>
    </row>
    <row r="1254" spans="1:47" x14ac:dyDescent="0.3">
      <c r="A1254">
        <v>1252</v>
      </c>
      <c r="B1254" t="s">
        <v>5436</v>
      </c>
      <c r="C1254" t="s">
        <v>5437</v>
      </c>
      <c r="D1254">
        <v>220</v>
      </c>
      <c r="E1254" t="s">
        <v>4986</v>
      </c>
      <c r="F1254" t="str">
        <f>VLOOKUP(E1254,country_continent!A:C,2,FALSE)</f>
        <v>France</v>
      </c>
      <c r="G1254" t="str">
        <f>VLOOKUP(E1254,country_continent!A:C,3,FALSE)</f>
        <v>Europe</v>
      </c>
      <c r="H1254" t="s">
        <v>5438</v>
      </c>
      <c r="I1254" s="1">
        <v>17789</v>
      </c>
      <c r="J1254" s="3">
        <f t="shared" si="57"/>
        <v>17789</v>
      </c>
      <c r="K1254" s="1">
        <v>18177</v>
      </c>
      <c r="L1254" s="3">
        <f t="shared" si="58"/>
        <v>18177</v>
      </c>
      <c r="M1254" t="s">
        <v>49</v>
      </c>
      <c r="N1254" t="s">
        <v>49</v>
      </c>
      <c r="O1254" t="s">
        <v>49</v>
      </c>
      <c r="P1254">
        <v>0</v>
      </c>
      <c r="Q1254" t="s">
        <v>50</v>
      </c>
      <c r="R1254" t="s">
        <v>51</v>
      </c>
      <c r="S1254">
        <v>1884</v>
      </c>
      <c r="T1254">
        <v>1970</v>
      </c>
      <c r="Y1254" t="s">
        <v>5439</v>
      </c>
      <c r="Z1254">
        <v>0</v>
      </c>
      <c r="AA1254">
        <v>1</v>
      </c>
      <c r="AB1254">
        <v>0</v>
      </c>
      <c r="AC1254">
        <v>0</v>
      </c>
      <c r="AF1254">
        <v>1948</v>
      </c>
      <c r="AG1254">
        <v>1949</v>
      </c>
      <c r="AO1254" t="b">
        <v>1</v>
      </c>
      <c r="AP1254" t="s">
        <v>958</v>
      </c>
      <c r="AQ1254">
        <v>1966</v>
      </c>
      <c r="AR1254">
        <v>2016</v>
      </c>
      <c r="AS1254" t="s">
        <v>5440</v>
      </c>
      <c r="AT1254">
        <v>1.0622861054072501</v>
      </c>
      <c r="AU1254">
        <f t="shared" si="59"/>
        <v>3.0000000000000001E-3</v>
      </c>
    </row>
    <row r="1255" spans="1:47" x14ac:dyDescent="0.3">
      <c r="A1255">
        <v>1253</v>
      </c>
      <c r="B1255" t="s">
        <v>5441</v>
      </c>
      <c r="C1255" t="s">
        <v>5410</v>
      </c>
      <c r="D1255">
        <v>220</v>
      </c>
      <c r="E1255" t="s">
        <v>4986</v>
      </c>
      <c r="F1255" t="str">
        <f>VLOOKUP(E1255,country_continent!A:C,2,FALSE)</f>
        <v>France</v>
      </c>
      <c r="G1255" t="str">
        <f>VLOOKUP(E1255,country_continent!A:C,3,FALSE)</f>
        <v>Europe</v>
      </c>
      <c r="H1255" t="s">
        <v>5411</v>
      </c>
      <c r="I1255" s="1">
        <v>18199</v>
      </c>
      <c r="J1255" s="3">
        <f t="shared" si="57"/>
        <v>18199</v>
      </c>
      <c r="K1255" s="1">
        <v>18438</v>
      </c>
      <c r="L1255" s="3">
        <f t="shared" si="58"/>
        <v>18438</v>
      </c>
      <c r="M1255" t="s">
        <v>49</v>
      </c>
      <c r="N1255" t="s">
        <v>49</v>
      </c>
      <c r="O1255" t="s">
        <v>49</v>
      </c>
      <c r="P1255">
        <v>1</v>
      </c>
      <c r="Q1255" t="s">
        <v>50</v>
      </c>
      <c r="R1255" t="s">
        <v>51</v>
      </c>
      <c r="S1255">
        <v>1899</v>
      </c>
      <c r="T1255">
        <v>1983</v>
      </c>
      <c r="U1255" t="s">
        <v>5412</v>
      </c>
      <c r="V1255" t="s">
        <v>5413</v>
      </c>
      <c r="W1255" s="1">
        <v>30343</v>
      </c>
      <c r="X1255" s="2">
        <v>30343</v>
      </c>
      <c r="Y1255" t="s">
        <v>5414</v>
      </c>
      <c r="Z1255">
        <v>0</v>
      </c>
      <c r="AA1255">
        <v>1</v>
      </c>
      <c r="AB1255">
        <v>0</v>
      </c>
      <c r="AC1255">
        <v>0</v>
      </c>
      <c r="AF1255">
        <v>1949</v>
      </c>
      <c r="AG1255">
        <v>1950</v>
      </c>
      <c r="AO1255" t="b">
        <v>1</v>
      </c>
      <c r="AP1255" t="s">
        <v>958</v>
      </c>
      <c r="AQ1255">
        <v>1966</v>
      </c>
      <c r="AR1255">
        <v>2016</v>
      </c>
      <c r="AS1255" t="s">
        <v>5442</v>
      </c>
      <c r="AT1255">
        <v>0.65434633812457199</v>
      </c>
      <c r="AU1255">
        <f t="shared" si="59"/>
        <v>2E-3</v>
      </c>
    </row>
    <row r="1256" spans="1:47" x14ac:dyDescent="0.3">
      <c r="A1256">
        <v>1254</v>
      </c>
      <c r="B1256" t="s">
        <v>5443</v>
      </c>
      <c r="C1256" t="s">
        <v>5437</v>
      </c>
      <c r="D1256">
        <v>220</v>
      </c>
      <c r="E1256" t="s">
        <v>4986</v>
      </c>
      <c r="F1256" t="str">
        <f>VLOOKUP(E1256,country_continent!A:C,2,FALSE)</f>
        <v>France</v>
      </c>
      <c r="G1256" t="str">
        <f>VLOOKUP(E1256,country_continent!A:C,3,FALSE)</f>
        <v>Europe</v>
      </c>
      <c r="H1256" t="s">
        <v>5438</v>
      </c>
      <c r="I1256" s="1">
        <v>18444</v>
      </c>
      <c r="J1256" s="3">
        <f t="shared" si="57"/>
        <v>18444</v>
      </c>
      <c r="K1256" s="1">
        <v>18448</v>
      </c>
      <c r="L1256" s="3">
        <f t="shared" si="58"/>
        <v>18448</v>
      </c>
      <c r="M1256" t="s">
        <v>49</v>
      </c>
      <c r="N1256" t="s">
        <v>49</v>
      </c>
      <c r="O1256" t="s">
        <v>49</v>
      </c>
      <c r="P1256">
        <v>1</v>
      </c>
      <c r="Q1256" t="s">
        <v>50</v>
      </c>
      <c r="R1256" t="s">
        <v>51</v>
      </c>
      <c r="S1256">
        <v>1884</v>
      </c>
      <c r="T1256">
        <v>1970</v>
      </c>
      <c r="Y1256" t="s">
        <v>5439</v>
      </c>
      <c r="Z1256">
        <v>0</v>
      </c>
      <c r="AA1256">
        <v>1</v>
      </c>
      <c r="AB1256">
        <v>0</v>
      </c>
      <c r="AC1256">
        <v>0</v>
      </c>
      <c r="AF1256">
        <v>1950</v>
      </c>
      <c r="AG1256">
        <v>1950</v>
      </c>
      <c r="AO1256" t="b">
        <v>1</v>
      </c>
      <c r="AP1256" t="s">
        <v>958</v>
      </c>
      <c r="AQ1256">
        <v>1966</v>
      </c>
      <c r="AR1256">
        <v>2016</v>
      </c>
      <c r="AS1256" t="s">
        <v>5299</v>
      </c>
      <c r="AT1256">
        <v>1.09514031485284E-2</v>
      </c>
      <c r="AU1256">
        <f t="shared" si="59"/>
        <v>0</v>
      </c>
    </row>
    <row r="1257" spans="1:47" x14ac:dyDescent="0.3">
      <c r="A1257">
        <v>1255</v>
      </c>
      <c r="B1257" t="s">
        <v>5444</v>
      </c>
      <c r="C1257" t="s">
        <v>5445</v>
      </c>
      <c r="D1257">
        <v>220</v>
      </c>
      <c r="E1257" t="s">
        <v>4986</v>
      </c>
      <c r="F1257" t="str">
        <f>VLOOKUP(E1257,country_continent!A:C,2,FALSE)</f>
        <v>France</v>
      </c>
      <c r="G1257" t="str">
        <f>VLOOKUP(E1257,country_continent!A:C,3,FALSE)</f>
        <v>Europe</v>
      </c>
      <c r="H1257" t="s">
        <v>5446</v>
      </c>
      <c r="I1257" s="1">
        <v>18455</v>
      </c>
      <c r="J1257" s="3">
        <f t="shared" si="57"/>
        <v>18455</v>
      </c>
      <c r="K1257" s="1">
        <v>18687</v>
      </c>
      <c r="L1257" s="3">
        <f t="shared" si="58"/>
        <v>18687</v>
      </c>
      <c r="M1257" t="s">
        <v>49</v>
      </c>
      <c r="N1257" t="s">
        <v>49</v>
      </c>
      <c r="O1257" t="s">
        <v>49</v>
      </c>
      <c r="P1257">
        <v>0</v>
      </c>
      <c r="Q1257" t="s">
        <v>50</v>
      </c>
      <c r="R1257" t="s">
        <v>51</v>
      </c>
      <c r="S1257">
        <v>1901</v>
      </c>
      <c r="T1257">
        <v>1993</v>
      </c>
      <c r="U1257" s="1">
        <v>471</v>
      </c>
      <c r="V1257" s="2">
        <v>471</v>
      </c>
      <c r="W1257" s="1">
        <v>33982</v>
      </c>
      <c r="X1257" s="2">
        <v>33982</v>
      </c>
      <c r="Y1257" t="s">
        <v>5447</v>
      </c>
      <c r="Z1257">
        <v>0</v>
      </c>
      <c r="AA1257">
        <v>1</v>
      </c>
      <c r="AB1257">
        <v>0</v>
      </c>
      <c r="AC1257">
        <v>0</v>
      </c>
      <c r="AF1257">
        <v>1950</v>
      </c>
      <c r="AG1257">
        <v>1951</v>
      </c>
      <c r="AO1257" t="b">
        <v>1</v>
      </c>
      <c r="AP1257" t="s">
        <v>958</v>
      </c>
      <c r="AQ1257">
        <v>1966</v>
      </c>
      <c r="AR1257">
        <v>2016</v>
      </c>
      <c r="AS1257" t="s">
        <v>5367</v>
      </c>
      <c r="AT1257">
        <v>0.63518138261464696</v>
      </c>
      <c r="AU1257">
        <f t="shared" si="59"/>
        <v>2E-3</v>
      </c>
    </row>
    <row r="1258" spans="1:47" x14ac:dyDescent="0.3">
      <c r="A1258">
        <v>1256</v>
      </c>
      <c r="B1258" t="s">
        <v>5448</v>
      </c>
      <c r="C1258" t="s">
        <v>5437</v>
      </c>
      <c r="D1258">
        <v>220</v>
      </c>
      <c r="E1258" t="s">
        <v>4986</v>
      </c>
      <c r="F1258" t="str">
        <f>VLOOKUP(E1258,country_continent!A:C,2,FALSE)</f>
        <v>France</v>
      </c>
      <c r="G1258" t="str">
        <f>VLOOKUP(E1258,country_continent!A:C,3,FALSE)</f>
        <v>Europe</v>
      </c>
      <c r="H1258" t="s">
        <v>5438</v>
      </c>
      <c r="I1258" s="1">
        <v>18696</v>
      </c>
      <c r="J1258" s="3">
        <f t="shared" si="57"/>
        <v>18696</v>
      </c>
      <c r="K1258" s="1">
        <v>18819</v>
      </c>
      <c r="L1258" s="3">
        <f t="shared" si="58"/>
        <v>18819</v>
      </c>
      <c r="M1258" t="s">
        <v>49</v>
      </c>
      <c r="N1258" t="s">
        <v>49</v>
      </c>
      <c r="O1258" t="s">
        <v>49</v>
      </c>
      <c r="P1258">
        <v>2</v>
      </c>
      <c r="Q1258" t="s">
        <v>50</v>
      </c>
      <c r="R1258" t="s">
        <v>51</v>
      </c>
      <c r="S1258">
        <v>1884</v>
      </c>
      <c r="T1258">
        <v>1970</v>
      </c>
      <c r="Y1258" t="s">
        <v>5439</v>
      </c>
      <c r="Z1258">
        <v>0</v>
      </c>
      <c r="AA1258">
        <v>1</v>
      </c>
      <c r="AB1258">
        <v>0</v>
      </c>
      <c r="AC1258">
        <v>0</v>
      </c>
      <c r="AF1258">
        <v>1951</v>
      </c>
      <c r="AG1258">
        <v>1951</v>
      </c>
      <c r="AO1258" t="b">
        <v>1</v>
      </c>
      <c r="AP1258" t="s">
        <v>958</v>
      </c>
      <c r="AQ1258">
        <v>1966</v>
      </c>
      <c r="AR1258">
        <v>2016</v>
      </c>
      <c r="AS1258" t="s">
        <v>5449</v>
      </c>
      <c r="AT1258">
        <v>0.33675564681724801</v>
      </c>
      <c r="AU1258">
        <f t="shared" si="59"/>
        <v>1E-3</v>
      </c>
    </row>
    <row r="1259" spans="1:47" x14ac:dyDescent="0.3">
      <c r="A1259">
        <v>1257</v>
      </c>
      <c r="B1259" t="s">
        <v>5450</v>
      </c>
      <c r="C1259" t="s">
        <v>5445</v>
      </c>
      <c r="D1259">
        <v>220</v>
      </c>
      <c r="E1259" t="s">
        <v>4986</v>
      </c>
      <c r="F1259" t="str">
        <f>VLOOKUP(E1259,country_continent!A:C,2,FALSE)</f>
        <v>France</v>
      </c>
      <c r="G1259" t="str">
        <f>VLOOKUP(E1259,country_continent!A:C,3,FALSE)</f>
        <v>Europe</v>
      </c>
      <c r="H1259" t="s">
        <v>5446</v>
      </c>
      <c r="I1259" s="1">
        <v>18848</v>
      </c>
      <c r="J1259" s="3">
        <f t="shared" si="57"/>
        <v>18848</v>
      </c>
      <c r="K1259" s="1">
        <v>19001</v>
      </c>
      <c r="L1259" s="3">
        <f t="shared" si="58"/>
        <v>19001</v>
      </c>
      <c r="M1259" t="s">
        <v>49</v>
      </c>
      <c r="N1259" t="s">
        <v>49</v>
      </c>
      <c r="O1259" t="s">
        <v>49</v>
      </c>
      <c r="P1259">
        <v>1</v>
      </c>
      <c r="Q1259" t="s">
        <v>50</v>
      </c>
      <c r="R1259" t="s">
        <v>51</v>
      </c>
      <c r="S1259">
        <v>1901</v>
      </c>
      <c r="T1259">
        <v>1993</v>
      </c>
      <c r="U1259" s="1">
        <v>471</v>
      </c>
      <c r="V1259" s="2">
        <v>471</v>
      </c>
      <c r="W1259" s="1">
        <v>33982</v>
      </c>
      <c r="X1259" s="2">
        <v>33982</v>
      </c>
      <c r="Y1259" t="s">
        <v>5447</v>
      </c>
      <c r="Z1259">
        <v>0</v>
      </c>
      <c r="AA1259">
        <v>1</v>
      </c>
      <c r="AB1259">
        <v>0</v>
      </c>
      <c r="AC1259">
        <v>0</v>
      </c>
      <c r="AF1259">
        <v>1951</v>
      </c>
      <c r="AG1259">
        <v>1952</v>
      </c>
      <c r="AO1259" t="b">
        <v>1</v>
      </c>
      <c r="AP1259" t="s">
        <v>958</v>
      </c>
      <c r="AQ1259">
        <v>1966</v>
      </c>
      <c r="AR1259">
        <v>2016</v>
      </c>
      <c r="AS1259" t="s">
        <v>5451</v>
      </c>
      <c r="AT1259">
        <v>0.41889117043121099</v>
      </c>
      <c r="AU1259">
        <f t="shared" si="59"/>
        <v>1E-3</v>
      </c>
    </row>
    <row r="1260" spans="1:47" x14ac:dyDescent="0.3">
      <c r="A1260">
        <v>1258</v>
      </c>
      <c r="B1260" t="s">
        <v>5452</v>
      </c>
      <c r="C1260" t="s">
        <v>5453</v>
      </c>
      <c r="D1260">
        <v>220</v>
      </c>
      <c r="E1260" t="s">
        <v>4986</v>
      </c>
      <c r="F1260" t="str">
        <f>VLOOKUP(E1260,country_continent!A:C,2,FALSE)</f>
        <v>France</v>
      </c>
      <c r="G1260" t="str">
        <f>VLOOKUP(E1260,country_continent!A:C,3,FALSE)</f>
        <v>Europe</v>
      </c>
      <c r="H1260" t="s">
        <v>5454</v>
      </c>
      <c r="I1260" s="1">
        <v>19011</v>
      </c>
      <c r="J1260" s="3">
        <f t="shared" si="57"/>
        <v>19011</v>
      </c>
      <c r="K1260" s="1">
        <v>19053</v>
      </c>
      <c r="L1260" s="3">
        <f t="shared" si="58"/>
        <v>19053</v>
      </c>
      <c r="M1260" t="s">
        <v>49</v>
      </c>
      <c r="N1260" t="s">
        <v>49</v>
      </c>
      <c r="O1260" t="s">
        <v>49</v>
      </c>
      <c r="P1260">
        <v>0</v>
      </c>
      <c r="Q1260" t="s">
        <v>50</v>
      </c>
      <c r="R1260" t="s">
        <v>51</v>
      </c>
      <c r="S1260">
        <v>1908</v>
      </c>
      <c r="T1260">
        <v>1988</v>
      </c>
      <c r="U1260" s="1">
        <v>3153</v>
      </c>
      <c r="V1260" s="2">
        <v>3153</v>
      </c>
      <c r="W1260" s="1">
        <v>32232</v>
      </c>
      <c r="X1260" s="2">
        <v>32232</v>
      </c>
      <c r="Y1260" t="s">
        <v>5455</v>
      </c>
      <c r="Z1260">
        <v>0</v>
      </c>
      <c r="AA1260">
        <v>1</v>
      </c>
      <c r="AB1260">
        <v>0</v>
      </c>
      <c r="AC1260">
        <v>0</v>
      </c>
      <c r="AF1260">
        <v>1952</v>
      </c>
      <c r="AG1260">
        <v>1952</v>
      </c>
      <c r="AO1260" t="b">
        <v>1</v>
      </c>
      <c r="AP1260" t="s">
        <v>958</v>
      </c>
      <c r="AQ1260">
        <v>1966</v>
      </c>
      <c r="AR1260">
        <v>2016</v>
      </c>
      <c r="AS1260" t="s">
        <v>5336</v>
      </c>
      <c r="AT1260">
        <v>0.114989733059548</v>
      </c>
      <c r="AU1260">
        <f t="shared" si="59"/>
        <v>0</v>
      </c>
    </row>
    <row r="1261" spans="1:47" x14ac:dyDescent="0.3">
      <c r="A1261">
        <v>1259</v>
      </c>
      <c r="B1261" t="s">
        <v>5456</v>
      </c>
      <c r="C1261" t="s">
        <v>5457</v>
      </c>
      <c r="D1261">
        <v>220</v>
      </c>
      <c r="E1261" t="s">
        <v>4986</v>
      </c>
      <c r="F1261" t="str">
        <f>VLOOKUP(E1261,country_continent!A:C,2,FALSE)</f>
        <v>France</v>
      </c>
      <c r="G1261" t="str">
        <f>VLOOKUP(E1261,country_continent!A:C,3,FALSE)</f>
        <v>Europe</v>
      </c>
      <c r="H1261" t="s">
        <v>5458</v>
      </c>
      <c r="I1261" s="1">
        <v>19060</v>
      </c>
      <c r="J1261" s="3">
        <f t="shared" si="57"/>
        <v>19060</v>
      </c>
      <c r="K1261" s="1">
        <v>19351</v>
      </c>
      <c r="L1261" s="3">
        <f t="shared" si="58"/>
        <v>19351</v>
      </c>
      <c r="M1261" t="s">
        <v>49</v>
      </c>
      <c r="N1261" t="s">
        <v>49</v>
      </c>
      <c r="O1261" t="s">
        <v>49</v>
      </c>
      <c r="P1261">
        <v>0</v>
      </c>
      <c r="Q1261" t="s">
        <v>50</v>
      </c>
      <c r="R1261" t="s">
        <v>51</v>
      </c>
      <c r="S1261">
        <v>1891</v>
      </c>
      <c r="T1261">
        <v>1994</v>
      </c>
      <c r="U1261" t="s">
        <v>5459</v>
      </c>
      <c r="V1261" t="s">
        <v>5460</v>
      </c>
      <c r="W1261" s="1">
        <v>34681</v>
      </c>
      <c r="X1261" s="2">
        <v>34681</v>
      </c>
      <c r="Y1261" t="s">
        <v>5461</v>
      </c>
      <c r="Z1261">
        <v>0</v>
      </c>
      <c r="AA1261">
        <v>1</v>
      </c>
      <c r="AB1261">
        <v>0</v>
      </c>
      <c r="AC1261">
        <v>0</v>
      </c>
      <c r="AF1261">
        <v>1952</v>
      </c>
      <c r="AG1261">
        <v>1952</v>
      </c>
      <c r="AO1261" t="b">
        <v>1</v>
      </c>
      <c r="AP1261" t="s">
        <v>958</v>
      </c>
      <c r="AQ1261">
        <v>1966</v>
      </c>
      <c r="AR1261">
        <v>2016</v>
      </c>
      <c r="AS1261" t="s">
        <v>5462</v>
      </c>
      <c r="AT1261">
        <v>0.79671457905544096</v>
      </c>
      <c r="AU1261">
        <f t="shared" si="59"/>
        <v>2E-3</v>
      </c>
    </row>
    <row r="1262" spans="1:47" x14ac:dyDescent="0.3">
      <c r="A1262">
        <v>1260</v>
      </c>
      <c r="B1262" t="s">
        <v>5463</v>
      </c>
      <c r="C1262" t="s">
        <v>5464</v>
      </c>
      <c r="D1262">
        <v>220</v>
      </c>
      <c r="E1262" t="s">
        <v>4986</v>
      </c>
      <c r="F1262" t="str">
        <f>VLOOKUP(E1262,country_continent!A:C,2,FALSE)</f>
        <v>France</v>
      </c>
      <c r="G1262" t="str">
        <f>VLOOKUP(E1262,country_continent!A:C,3,FALSE)</f>
        <v>Europe</v>
      </c>
      <c r="H1262" t="s">
        <v>5465</v>
      </c>
      <c r="I1262" s="1">
        <v>19366</v>
      </c>
      <c r="J1262" s="3">
        <f t="shared" si="57"/>
        <v>19366</v>
      </c>
      <c r="K1262" s="1">
        <v>19500</v>
      </c>
      <c r="L1262" s="3">
        <f t="shared" si="58"/>
        <v>19500</v>
      </c>
      <c r="M1262" t="s">
        <v>49</v>
      </c>
      <c r="N1262" t="s">
        <v>49</v>
      </c>
      <c r="O1262" t="s">
        <v>49</v>
      </c>
      <c r="P1262">
        <v>0</v>
      </c>
      <c r="Q1262" t="s">
        <v>50</v>
      </c>
      <c r="R1262" t="s">
        <v>51</v>
      </c>
      <c r="S1262">
        <v>1895</v>
      </c>
      <c r="T1262">
        <v>1972</v>
      </c>
      <c r="Y1262" t="s">
        <v>5466</v>
      </c>
      <c r="Z1262">
        <v>0</v>
      </c>
      <c r="AA1262">
        <v>1</v>
      </c>
      <c r="AB1262">
        <v>0</v>
      </c>
      <c r="AC1262">
        <v>0</v>
      </c>
      <c r="AF1262">
        <v>1953</v>
      </c>
      <c r="AG1262">
        <v>1953</v>
      </c>
      <c r="AO1262" t="b">
        <v>1</v>
      </c>
      <c r="AP1262" t="s">
        <v>958</v>
      </c>
      <c r="AQ1262">
        <v>1966</v>
      </c>
      <c r="AR1262">
        <v>2016</v>
      </c>
      <c r="AS1262" t="s">
        <v>5467</v>
      </c>
      <c r="AT1262">
        <v>0.36687200547570098</v>
      </c>
      <c r="AU1262">
        <f t="shared" si="59"/>
        <v>1E-3</v>
      </c>
    </row>
    <row r="1263" spans="1:47" x14ac:dyDescent="0.3">
      <c r="A1263">
        <v>1261</v>
      </c>
      <c r="B1263" t="s">
        <v>5468</v>
      </c>
      <c r="C1263" t="s">
        <v>5469</v>
      </c>
      <c r="D1263">
        <v>220</v>
      </c>
      <c r="E1263" t="s">
        <v>4986</v>
      </c>
      <c r="F1263" t="str">
        <f>VLOOKUP(E1263,country_continent!A:C,2,FALSE)</f>
        <v>France</v>
      </c>
      <c r="G1263" t="str">
        <f>VLOOKUP(E1263,country_continent!A:C,3,FALSE)</f>
        <v>Europe</v>
      </c>
      <c r="H1263" t="s">
        <v>5470</v>
      </c>
      <c r="I1263" s="1">
        <v>19536</v>
      </c>
      <c r="J1263" s="3">
        <f t="shared" si="57"/>
        <v>19536</v>
      </c>
      <c r="K1263" s="1">
        <v>19887</v>
      </c>
      <c r="L1263" s="3">
        <f t="shared" si="58"/>
        <v>19887</v>
      </c>
      <c r="M1263" t="s">
        <v>49</v>
      </c>
      <c r="N1263" t="s">
        <v>49</v>
      </c>
      <c r="O1263" t="s">
        <v>49</v>
      </c>
      <c r="P1263">
        <v>0</v>
      </c>
      <c r="Q1263" t="s">
        <v>50</v>
      </c>
      <c r="R1263" t="s">
        <v>51</v>
      </c>
      <c r="S1263">
        <v>1889</v>
      </c>
      <c r="T1263">
        <v>1975</v>
      </c>
      <c r="Y1263" t="s">
        <v>5471</v>
      </c>
      <c r="Z1263">
        <v>0</v>
      </c>
      <c r="AA1263">
        <v>1</v>
      </c>
      <c r="AB1263">
        <v>0</v>
      </c>
      <c r="AC1263">
        <v>0</v>
      </c>
      <c r="AF1263">
        <v>1953</v>
      </c>
      <c r="AG1263">
        <v>1954</v>
      </c>
      <c r="AO1263" t="b">
        <v>1</v>
      </c>
      <c r="AP1263" t="s">
        <v>958</v>
      </c>
      <c r="AQ1263">
        <v>1966</v>
      </c>
      <c r="AR1263">
        <v>2016</v>
      </c>
      <c r="AS1263" t="s">
        <v>5472</v>
      </c>
      <c r="AT1263">
        <v>0.96098562628336703</v>
      </c>
      <c r="AU1263">
        <f t="shared" si="59"/>
        <v>3.0000000000000001E-3</v>
      </c>
    </row>
    <row r="1264" spans="1:47" x14ac:dyDescent="0.3">
      <c r="A1264">
        <v>1262</v>
      </c>
      <c r="B1264" t="s">
        <v>5473</v>
      </c>
      <c r="C1264" t="s">
        <v>5474</v>
      </c>
      <c r="D1264">
        <v>220</v>
      </c>
      <c r="E1264" t="s">
        <v>4986</v>
      </c>
      <c r="F1264" t="str">
        <f>VLOOKUP(E1264,country_continent!A:C,2,FALSE)</f>
        <v>France</v>
      </c>
      <c r="G1264" t="str">
        <f>VLOOKUP(E1264,country_continent!A:C,3,FALSE)</f>
        <v>Europe</v>
      </c>
      <c r="H1264" t="s">
        <v>5475</v>
      </c>
      <c r="I1264" s="1">
        <v>19893</v>
      </c>
      <c r="J1264" s="3">
        <f t="shared" si="57"/>
        <v>19893</v>
      </c>
      <c r="K1264" s="1">
        <v>20125</v>
      </c>
      <c r="L1264" s="3">
        <f t="shared" si="58"/>
        <v>20125</v>
      </c>
      <c r="M1264" t="s">
        <v>49</v>
      </c>
      <c r="N1264" t="s">
        <v>49</v>
      </c>
      <c r="O1264" t="s">
        <v>49</v>
      </c>
      <c r="P1264">
        <v>0</v>
      </c>
      <c r="Q1264" t="s">
        <v>50</v>
      </c>
      <c r="R1264" t="s">
        <v>51</v>
      </c>
      <c r="S1264">
        <v>1907</v>
      </c>
      <c r="T1264">
        <v>1982</v>
      </c>
      <c r="U1264" s="1">
        <v>2568</v>
      </c>
      <c r="V1264" s="2">
        <v>2568</v>
      </c>
      <c r="W1264" s="1">
        <v>30242</v>
      </c>
      <c r="X1264" s="2">
        <v>30242</v>
      </c>
      <c r="Z1264">
        <v>0</v>
      </c>
      <c r="AA1264">
        <v>1</v>
      </c>
      <c r="AB1264">
        <v>0</v>
      </c>
      <c r="AC1264">
        <v>0</v>
      </c>
      <c r="AF1264">
        <v>1954</v>
      </c>
      <c r="AG1264">
        <v>1955</v>
      </c>
      <c r="AO1264" t="b">
        <v>1</v>
      </c>
      <c r="AP1264" t="s">
        <v>958</v>
      </c>
      <c r="AQ1264">
        <v>1966</v>
      </c>
      <c r="AR1264">
        <v>2016</v>
      </c>
      <c r="AS1264" t="s">
        <v>5367</v>
      </c>
      <c r="AT1264">
        <v>0.63518138261464696</v>
      </c>
      <c r="AU1264">
        <f t="shared" si="59"/>
        <v>2E-3</v>
      </c>
    </row>
    <row r="1265" spans="1:47" x14ac:dyDescent="0.3">
      <c r="A1265">
        <v>1263</v>
      </c>
      <c r="B1265" t="s">
        <v>5476</v>
      </c>
      <c r="C1265" t="s">
        <v>5453</v>
      </c>
      <c r="D1265">
        <v>220</v>
      </c>
      <c r="E1265" t="s">
        <v>4986</v>
      </c>
      <c r="F1265" t="str">
        <f>VLOOKUP(E1265,country_continent!A:C,2,FALSE)</f>
        <v>France</v>
      </c>
      <c r="G1265" t="str">
        <f>VLOOKUP(E1265,country_continent!A:C,3,FALSE)</f>
        <v>Europe</v>
      </c>
      <c r="H1265" t="s">
        <v>5454</v>
      </c>
      <c r="I1265" s="1">
        <v>20143</v>
      </c>
      <c r="J1265" s="3">
        <f t="shared" si="57"/>
        <v>20143</v>
      </c>
      <c r="K1265" s="1">
        <v>20473</v>
      </c>
      <c r="L1265" s="3">
        <f t="shared" si="58"/>
        <v>20473</v>
      </c>
      <c r="M1265" t="s">
        <v>49</v>
      </c>
      <c r="N1265" t="s">
        <v>49</v>
      </c>
      <c r="O1265" t="s">
        <v>49</v>
      </c>
      <c r="P1265">
        <v>1</v>
      </c>
      <c r="Q1265" t="s">
        <v>50</v>
      </c>
      <c r="R1265" t="s">
        <v>51</v>
      </c>
      <c r="S1265">
        <v>1908</v>
      </c>
      <c r="T1265">
        <v>1988</v>
      </c>
      <c r="U1265" s="1">
        <v>3153</v>
      </c>
      <c r="V1265" s="2">
        <v>3153</v>
      </c>
      <c r="W1265" s="1">
        <v>32232</v>
      </c>
      <c r="X1265" s="2">
        <v>32232</v>
      </c>
      <c r="Y1265" t="s">
        <v>5455</v>
      </c>
      <c r="Z1265">
        <v>0</v>
      </c>
      <c r="AA1265">
        <v>1</v>
      </c>
      <c r="AB1265">
        <v>0</v>
      </c>
      <c r="AC1265">
        <v>0</v>
      </c>
      <c r="AF1265">
        <v>1955</v>
      </c>
      <c r="AG1265">
        <v>1956</v>
      </c>
      <c r="AO1265" t="b">
        <v>1</v>
      </c>
      <c r="AP1265" t="s">
        <v>958</v>
      </c>
      <c r="AQ1265">
        <v>1966</v>
      </c>
      <c r="AR1265">
        <v>2016</v>
      </c>
      <c r="AS1265" t="s">
        <v>5094</v>
      </c>
      <c r="AT1265">
        <v>0.90349075975359305</v>
      </c>
      <c r="AU1265">
        <f t="shared" si="59"/>
        <v>2E-3</v>
      </c>
    </row>
    <row r="1266" spans="1:47" x14ac:dyDescent="0.3">
      <c r="A1266">
        <v>1264</v>
      </c>
      <c r="B1266" t="s">
        <v>5477</v>
      </c>
      <c r="C1266" t="s">
        <v>5478</v>
      </c>
      <c r="D1266">
        <v>220</v>
      </c>
      <c r="E1266" t="s">
        <v>4986</v>
      </c>
      <c r="F1266" t="str">
        <f>VLOOKUP(E1266,country_continent!A:C,2,FALSE)</f>
        <v>France</v>
      </c>
      <c r="G1266" t="str">
        <f>VLOOKUP(E1266,country_continent!A:C,3,FALSE)</f>
        <v>Europe</v>
      </c>
      <c r="H1266" t="s">
        <v>5479</v>
      </c>
      <c r="I1266" s="1">
        <v>20485</v>
      </c>
      <c r="J1266" s="3">
        <f t="shared" si="57"/>
        <v>20485</v>
      </c>
      <c r="K1266" s="1">
        <v>20984</v>
      </c>
      <c r="L1266" s="3">
        <f t="shared" si="58"/>
        <v>20984</v>
      </c>
      <c r="M1266" t="s">
        <v>49</v>
      </c>
      <c r="N1266" t="s">
        <v>49</v>
      </c>
      <c r="O1266" t="s">
        <v>49</v>
      </c>
      <c r="P1266">
        <v>0</v>
      </c>
      <c r="Q1266" t="s">
        <v>50</v>
      </c>
      <c r="R1266" t="s">
        <v>51</v>
      </c>
      <c r="S1266">
        <v>1905</v>
      </c>
      <c r="T1266">
        <v>1975</v>
      </c>
      <c r="U1266" s="1">
        <v>2192</v>
      </c>
      <c r="V1266" s="2">
        <v>2192</v>
      </c>
      <c r="W1266" s="1">
        <v>27670</v>
      </c>
      <c r="X1266" s="2">
        <v>27670</v>
      </c>
      <c r="Y1266" t="s">
        <v>5480</v>
      </c>
      <c r="Z1266">
        <v>0</v>
      </c>
      <c r="AA1266">
        <v>1</v>
      </c>
      <c r="AB1266">
        <v>0</v>
      </c>
      <c r="AC1266">
        <v>0</v>
      </c>
      <c r="AF1266">
        <v>1956</v>
      </c>
      <c r="AG1266">
        <v>1957</v>
      </c>
      <c r="AO1266" t="b">
        <v>1</v>
      </c>
      <c r="AP1266" t="s">
        <v>958</v>
      </c>
      <c r="AQ1266">
        <v>1966</v>
      </c>
      <c r="AR1266">
        <v>2016</v>
      </c>
      <c r="AS1266" t="s">
        <v>5481</v>
      </c>
      <c r="AT1266">
        <v>1.3661875427789101</v>
      </c>
      <c r="AU1266">
        <f t="shared" si="59"/>
        <v>4.0000000000000001E-3</v>
      </c>
    </row>
    <row r="1267" spans="1:47" x14ac:dyDescent="0.3">
      <c r="A1267">
        <v>1265</v>
      </c>
      <c r="B1267" t="s">
        <v>5482</v>
      </c>
      <c r="C1267" t="s">
        <v>5483</v>
      </c>
      <c r="D1267">
        <v>220</v>
      </c>
      <c r="E1267" t="s">
        <v>4986</v>
      </c>
      <c r="F1267" t="str">
        <f>VLOOKUP(E1267,country_continent!A:C,2,FALSE)</f>
        <v>France</v>
      </c>
      <c r="G1267" t="str">
        <f>VLOOKUP(E1267,country_continent!A:C,3,FALSE)</f>
        <v>Europe</v>
      </c>
      <c r="H1267" t="s">
        <v>5484</v>
      </c>
      <c r="I1267" s="1">
        <v>20984</v>
      </c>
      <c r="J1267" s="3">
        <f t="shared" si="57"/>
        <v>20984</v>
      </c>
      <c r="K1267" s="1">
        <v>21129</v>
      </c>
      <c r="L1267" s="3">
        <f t="shared" si="58"/>
        <v>21129</v>
      </c>
      <c r="M1267" t="s">
        <v>49</v>
      </c>
      <c r="N1267" t="s">
        <v>49</v>
      </c>
      <c r="O1267" t="s">
        <v>49</v>
      </c>
      <c r="P1267">
        <v>0</v>
      </c>
      <c r="Q1267" t="s">
        <v>50</v>
      </c>
      <c r="R1267" t="s">
        <v>51</v>
      </c>
      <c r="S1267">
        <v>1914</v>
      </c>
      <c r="T1267">
        <v>1993</v>
      </c>
      <c r="Y1267" t="s">
        <v>5485</v>
      </c>
      <c r="Z1267">
        <v>0</v>
      </c>
      <c r="AA1267">
        <v>1</v>
      </c>
      <c r="AB1267">
        <v>0</v>
      </c>
      <c r="AC1267">
        <v>0</v>
      </c>
      <c r="AF1267">
        <v>1957</v>
      </c>
      <c r="AG1267">
        <v>1957</v>
      </c>
      <c r="AO1267" t="b">
        <v>1</v>
      </c>
      <c r="AP1267" t="s">
        <v>958</v>
      </c>
      <c r="AQ1267">
        <v>1966</v>
      </c>
      <c r="AR1267">
        <v>2016</v>
      </c>
      <c r="AS1267" t="s">
        <v>5486</v>
      </c>
      <c r="AT1267">
        <v>0.396988364134154</v>
      </c>
      <c r="AU1267">
        <f t="shared" si="59"/>
        <v>1E-3</v>
      </c>
    </row>
    <row r="1268" spans="1:47" x14ac:dyDescent="0.3">
      <c r="A1268">
        <v>1266</v>
      </c>
      <c r="B1268" t="s">
        <v>5487</v>
      </c>
      <c r="C1268" t="s">
        <v>5488</v>
      </c>
      <c r="D1268">
        <v>220</v>
      </c>
      <c r="E1268" t="s">
        <v>4986</v>
      </c>
      <c r="F1268" t="str">
        <f>VLOOKUP(E1268,country_continent!A:C,2,FALSE)</f>
        <v>France</v>
      </c>
      <c r="G1268" t="str">
        <f>VLOOKUP(E1268,country_continent!A:C,3,FALSE)</f>
        <v>Europe</v>
      </c>
      <c r="H1268" t="s">
        <v>5489</v>
      </c>
      <c r="I1268" s="1">
        <v>21130</v>
      </c>
      <c r="J1268" s="3">
        <f t="shared" si="57"/>
        <v>21130</v>
      </c>
      <c r="K1268" s="1">
        <v>21318</v>
      </c>
      <c r="L1268" s="3">
        <f t="shared" si="58"/>
        <v>21318</v>
      </c>
      <c r="M1268" t="s">
        <v>49</v>
      </c>
      <c r="N1268" t="s">
        <v>49</v>
      </c>
      <c r="O1268" t="s">
        <v>49</v>
      </c>
      <c r="P1268">
        <v>0</v>
      </c>
      <c r="Q1268" t="s">
        <v>50</v>
      </c>
      <c r="R1268" t="s">
        <v>51</v>
      </c>
      <c r="S1268">
        <v>1919</v>
      </c>
      <c r="T1268">
        <v>1970</v>
      </c>
      <c r="Y1268" t="s">
        <v>5490</v>
      </c>
      <c r="Z1268">
        <v>0</v>
      </c>
      <c r="AA1268">
        <v>1</v>
      </c>
      <c r="AB1268">
        <v>0</v>
      </c>
      <c r="AC1268">
        <v>0</v>
      </c>
      <c r="AF1268">
        <v>1957</v>
      </c>
      <c r="AG1268">
        <v>1958</v>
      </c>
      <c r="AO1268" t="b">
        <v>1</v>
      </c>
      <c r="AP1268" t="s">
        <v>958</v>
      </c>
      <c r="AQ1268">
        <v>1966</v>
      </c>
      <c r="AR1268">
        <v>2016</v>
      </c>
      <c r="AS1268" t="s">
        <v>5491</v>
      </c>
      <c r="AT1268">
        <v>0.51471594798083498</v>
      </c>
      <c r="AU1268">
        <f t="shared" si="59"/>
        <v>1E-3</v>
      </c>
    </row>
    <row r="1269" spans="1:47" x14ac:dyDescent="0.3">
      <c r="A1269">
        <v>1267</v>
      </c>
      <c r="B1269" t="s">
        <v>5492</v>
      </c>
      <c r="C1269" t="s">
        <v>5493</v>
      </c>
      <c r="D1269">
        <v>220</v>
      </c>
      <c r="E1269" t="s">
        <v>4986</v>
      </c>
      <c r="F1269" t="str">
        <f>VLOOKUP(E1269,country_continent!A:C,2,FALSE)</f>
        <v>France</v>
      </c>
      <c r="G1269" t="str">
        <f>VLOOKUP(E1269,country_continent!A:C,3,FALSE)</f>
        <v>Europe</v>
      </c>
      <c r="H1269" t="s">
        <v>5494</v>
      </c>
      <c r="I1269" s="1">
        <v>21319</v>
      </c>
      <c r="J1269" s="3">
        <f t="shared" si="57"/>
        <v>21319</v>
      </c>
      <c r="K1269" s="1">
        <v>21336</v>
      </c>
      <c r="L1269" s="3">
        <f t="shared" si="58"/>
        <v>21336</v>
      </c>
      <c r="M1269" t="s">
        <v>49</v>
      </c>
      <c r="N1269" t="s">
        <v>49</v>
      </c>
      <c r="O1269" t="s">
        <v>49</v>
      </c>
      <c r="P1269">
        <v>0</v>
      </c>
      <c r="Q1269" t="s">
        <v>50</v>
      </c>
      <c r="R1269" t="s">
        <v>51</v>
      </c>
      <c r="S1269">
        <v>1907</v>
      </c>
      <c r="T1269">
        <v>2000</v>
      </c>
      <c r="U1269" s="1">
        <v>2593</v>
      </c>
      <c r="V1269" s="2">
        <v>2593</v>
      </c>
      <c r="W1269" s="1">
        <v>36704</v>
      </c>
      <c r="X1269" s="2">
        <v>36704</v>
      </c>
      <c r="Y1269" t="s">
        <v>5495</v>
      </c>
      <c r="Z1269">
        <v>0</v>
      </c>
      <c r="AA1269">
        <v>1</v>
      </c>
      <c r="AB1269">
        <v>0</v>
      </c>
      <c r="AC1269">
        <v>0</v>
      </c>
      <c r="AF1269">
        <v>1958</v>
      </c>
      <c r="AG1269">
        <v>1958</v>
      </c>
      <c r="AO1269" t="b">
        <v>1</v>
      </c>
      <c r="AP1269" t="s">
        <v>958</v>
      </c>
      <c r="AQ1269">
        <v>1966</v>
      </c>
      <c r="AR1269">
        <v>2016</v>
      </c>
      <c r="AS1269" t="s">
        <v>5496</v>
      </c>
      <c r="AT1269">
        <v>4.6543463381245702E-2</v>
      </c>
      <c r="AU1269">
        <f t="shared" si="59"/>
        <v>0</v>
      </c>
    </row>
    <row r="1270" spans="1:47" x14ac:dyDescent="0.3">
      <c r="A1270">
        <v>1268</v>
      </c>
      <c r="B1270" t="s">
        <v>5497</v>
      </c>
      <c r="C1270" t="s">
        <v>5396</v>
      </c>
      <c r="D1270">
        <v>220</v>
      </c>
      <c r="E1270" t="s">
        <v>4986</v>
      </c>
      <c r="F1270" t="str">
        <f>VLOOKUP(E1270,country_continent!A:C,2,FALSE)</f>
        <v>France</v>
      </c>
      <c r="G1270" t="str">
        <f>VLOOKUP(E1270,country_continent!A:C,3,FALSE)</f>
        <v>Europe</v>
      </c>
      <c r="H1270" t="s">
        <v>5397</v>
      </c>
      <c r="I1270" s="1">
        <v>21337</v>
      </c>
      <c r="J1270" s="3">
        <f t="shared" si="57"/>
        <v>21337</v>
      </c>
      <c r="K1270" s="1">
        <v>25320</v>
      </c>
      <c r="L1270" s="3">
        <f t="shared" si="58"/>
        <v>25320</v>
      </c>
      <c r="M1270" t="s">
        <v>49</v>
      </c>
      <c r="N1270" t="s">
        <v>49</v>
      </c>
      <c r="O1270" t="s">
        <v>49</v>
      </c>
      <c r="P1270">
        <v>1</v>
      </c>
      <c r="Q1270" t="s">
        <v>50</v>
      </c>
      <c r="R1270" t="s">
        <v>51</v>
      </c>
      <c r="S1270">
        <v>1890</v>
      </c>
      <c r="T1270">
        <v>1970</v>
      </c>
      <c r="U1270" t="s">
        <v>5398</v>
      </c>
      <c r="V1270" t="s">
        <v>5399</v>
      </c>
      <c r="W1270" s="1">
        <v>25881</v>
      </c>
      <c r="X1270" s="2">
        <v>25881</v>
      </c>
      <c r="Y1270" t="s">
        <v>5400</v>
      </c>
      <c r="Z1270">
        <v>0</v>
      </c>
      <c r="AA1270">
        <v>1</v>
      </c>
      <c r="AB1270">
        <v>0</v>
      </c>
      <c r="AC1270">
        <v>0</v>
      </c>
      <c r="AF1270">
        <v>1958</v>
      </c>
      <c r="AG1270">
        <v>1969</v>
      </c>
      <c r="AO1270" t="b">
        <v>1</v>
      </c>
      <c r="AP1270" t="s">
        <v>958</v>
      </c>
      <c r="AQ1270">
        <v>1966</v>
      </c>
      <c r="AR1270">
        <v>2016</v>
      </c>
      <c r="AS1270" t="s">
        <v>5498</v>
      </c>
      <c r="AT1270">
        <v>10.9048596851471</v>
      </c>
      <c r="AU1270">
        <f t="shared" si="59"/>
        <v>0.03</v>
      </c>
    </row>
    <row r="1271" spans="1:47" x14ac:dyDescent="0.3">
      <c r="A1271">
        <v>1269</v>
      </c>
      <c r="B1271" t="s">
        <v>5499</v>
      </c>
      <c r="C1271" t="s">
        <v>5500</v>
      </c>
      <c r="D1271">
        <v>220</v>
      </c>
      <c r="E1271" t="s">
        <v>4986</v>
      </c>
      <c r="F1271" t="str">
        <f>VLOOKUP(E1271,country_continent!A:C,2,FALSE)</f>
        <v>France</v>
      </c>
      <c r="G1271" t="str">
        <f>VLOOKUP(E1271,country_continent!A:C,3,FALSE)</f>
        <v>Europe</v>
      </c>
      <c r="H1271" t="s">
        <v>5501</v>
      </c>
      <c r="I1271" s="1">
        <v>25320</v>
      </c>
      <c r="J1271" s="3">
        <f t="shared" si="57"/>
        <v>25320</v>
      </c>
      <c r="K1271" s="1">
        <v>25374</v>
      </c>
      <c r="L1271" s="3">
        <f t="shared" si="58"/>
        <v>25374</v>
      </c>
      <c r="M1271" t="s">
        <v>49</v>
      </c>
      <c r="N1271" t="s">
        <v>49</v>
      </c>
      <c r="O1271" t="s">
        <v>49</v>
      </c>
      <c r="P1271">
        <v>0</v>
      </c>
      <c r="Q1271" t="s">
        <v>50</v>
      </c>
      <c r="R1271" t="s">
        <v>51</v>
      </c>
      <c r="S1271">
        <v>1909</v>
      </c>
      <c r="T1271">
        <v>1996</v>
      </c>
      <c r="U1271" s="1">
        <v>3395</v>
      </c>
      <c r="V1271" s="2">
        <v>3395</v>
      </c>
      <c r="W1271" s="1">
        <v>35408</v>
      </c>
      <c r="X1271" s="2">
        <v>35408</v>
      </c>
      <c r="Y1271" t="s">
        <v>5502</v>
      </c>
      <c r="Z1271">
        <v>0</v>
      </c>
      <c r="AA1271">
        <v>1</v>
      </c>
      <c r="AB1271">
        <v>0</v>
      </c>
      <c r="AC1271">
        <v>0</v>
      </c>
      <c r="AF1271">
        <v>1969</v>
      </c>
      <c r="AG1271">
        <v>1969</v>
      </c>
      <c r="AO1271" t="b">
        <v>1</v>
      </c>
      <c r="AP1271" t="s">
        <v>958</v>
      </c>
      <c r="AQ1271">
        <v>1966</v>
      </c>
      <c r="AR1271">
        <v>2016</v>
      </c>
      <c r="AS1271" t="s">
        <v>5503</v>
      </c>
      <c r="AT1271">
        <v>0.147843942505133</v>
      </c>
      <c r="AU1271">
        <f t="shared" si="59"/>
        <v>0</v>
      </c>
    </row>
    <row r="1272" spans="1:47" x14ac:dyDescent="0.3">
      <c r="A1272">
        <v>1270</v>
      </c>
      <c r="B1272" t="s">
        <v>5504</v>
      </c>
      <c r="C1272" t="s">
        <v>5505</v>
      </c>
      <c r="D1272">
        <v>220</v>
      </c>
      <c r="E1272" t="s">
        <v>4986</v>
      </c>
      <c r="F1272" t="str">
        <f>VLOOKUP(E1272,country_continent!A:C,2,FALSE)</f>
        <v>France</v>
      </c>
      <c r="G1272" t="str">
        <f>VLOOKUP(E1272,country_continent!A:C,3,FALSE)</f>
        <v>Europe</v>
      </c>
      <c r="H1272" t="s">
        <v>5506</v>
      </c>
      <c r="I1272" s="1">
        <v>25374</v>
      </c>
      <c r="J1272" s="3">
        <f t="shared" si="57"/>
        <v>25374</v>
      </c>
      <c r="K1272" s="1">
        <v>27121</v>
      </c>
      <c r="L1272" s="3">
        <f t="shared" si="58"/>
        <v>27121</v>
      </c>
      <c r="M1272" t="s">
        <v>49</v>
      </c>
      <c r="N1272" t="s">
        <v>110</v>
      </c>
      <c r="O1272" t="s">
        <v>49</v>
      </c>
      <c r="P1272">
        <v>0</v>
      </c>
      <c r="Q1272" t="s">
        <v>111</v>
      </c>
      <c r="R1272" t="s">
        <v>51</v>
      </c>
      <c r="S1272">
        <v>1911</v>
      </c>
      <c r="T1272">
        <v>1974</v>
      </c>
      <c r="U1272" s="1">
        <v>4204</v>
      </c>
      <c r="V1272" s="2">
        <v>4204</v>
      </c>
      <c r="W1272" s="1">
        <v>27121</v>
      </c>
      <c r="X1272" s="2">
        <v>27121</v>
      </c>
      <c r="Y1272" t="s">
        <v>5507</v>
      </c>
      <c r="Z1272">
        <v>0</v>
      </c>
      <c r="AA1272">
        <v>2</v>
      </c>
      <c r="AB1272">
        <v>0</v>
      </c>
      <c r="AC1272">
        <v>-777</v>
      </c>
      <c r="AF1272">
        <v>1969</v>
      </c>
      <c r="AG1272">
        <v>1974</v>
      </c>
      <c r="AO1272" t="b">
        <v>1</v>
      </c>
      <c r="AP1272" t="s">
        <v>958</v>
      </c>
      <c r="AQ1272">
        <v>1966</v>
      </c>
      <c r="AR1272">
        <v>2016</v>
      </c>
      <c r="AS1272" t="s">
        <v>5508</v>
      </c>
      <c r="AT1272">
        <v>4.7830253251197803</v>
      </c>
      <c r="AU1272">
        <f t="shared" si="59"/>
        <v>1.2999999999999999E-2</v>
      </c>
    </row>
    <row r="1273" spans="1:47" x14ac:dyDescent="0.3">
      <c r="A1273">
        <v>1271</v>
      </c>
      <c r="B1273" t="s">
        <v>5509</v>
      </c>
      <c r="C1273" t="s">
        <v>5500</v>
      </c>
      <c r="D1273">
        <v>220</v>
      </c>
      <c r="E1273" t="s">
        <v>4986</v>
      </c>
      <c r="F1273" t="str">
        <f>VLOOKUP(E1273,country_continent!A:C,2,FALSE)</f>
        <v>France</v>
      </c>
      <c r="G1273" t="str">
        <f>VLOOKUP(E1273,country_continent!A:C,3,FALSE)</f>
        <v>Europe</v>
      </c>
      <c r="H1273" t="s">
        <v>5501</v>
      </c>
      <c r="I1273" s="1">
        <v>27121</v>
      </c>
      <c r="J1273" s="3">
        <f t="shared" si="57"/>
        <v>27121</v>
      </c>
      <c r="K1273" s="1">
        <v>27176</v>
      </c>
      <c r="L1273" s="3">
        <f t="shared" si="58"/>
        <v>27176</v>
      </c>
      <c r="M1273" t="s">
        <v>49</v>
      </c>
      <c r="N1273" t="s">
        <v>49</v>
      </c>
      <c r="O1273" t="s">
        <v>49</v>
      </c>
      <c r="P1273">
        <v>1</v>
      </c>
      <c r="Q1273" t="s">
        <v>50</v>
      </c>
      <c r="R1273" t="s">
        <v>51</v>
      </c>
      <c r="S1273">
        <v>1909</v>
      </c>
      <c r="T1273">
        <v>1996</v>
      </c>
      <c r="U1273" s="1">
        <v>3395</v>
      </c>
      <c r="V1273" s="2">
        <v>3395</v>
      </c>
      <c r="W1273" s="1">
        <v>35408</v>
      </c>
      <c r="X1273" s="2">
        <v>35408</v>
      </c>
      <c r="Y1273" t="s">
        <v>5502</v>
      </c>
      <c r="Z1273">
        <v>0</v>
      </c>
      <c r="AA1273">
        <v>1</v>
      </c>
      <c r="AB1273">
        <v>0</v>
      </c>
      <c r="AC1273">
        <v>0</v>
      </c>
      <c r="AF1273">
        <v>1974</v>
      </c>
      <c r="AG1273">
        <v>1974</v>
      </c>
      <c r="AO1273" t="b">
        <v>1</v>
      </c>
      <c r="AP1273" t="s">
        <v>958</v>
      </c>
      <c r="AQ1273">
        <v>1966</v>
      </c>
      <c r="AR1273">
        <v>2016</v>
      </c>
      <c r="AS1273" t="s">
        <v>5510</v>
      </c>
      <c r="AT1273">
        <v>0.15058179329226501</v>
      </c>
      <c r="AU1273">
        <f t="shared" si="59"/>
        <v>0</v>
      </c>
    </row>
    <row r="1274" spans="1:47" x14ac:dyDescent="0.3">
      <c r="A1274">
        <v>1272</v>
      </c>
      <c r="B1274" t="s">
        <v>5511</v>
      </c>
      <c r="C1274" t="s">
        <v>5512</v>
      </c>
      <c r="D1274">
        <v>220</v>
      </c>
      <c r="E1274" t="s">
        <v>4986</v>
      </c>
      <c r="F1274" t="str">
        <f>VLOOKUP(E1274,country_continent!A:C,2,FALSE)</f>
        <v>France</v>
      </c>
      <c r="G1274" t="str">
        <f>VLOOKUP(E1274,country_continent!A:C,3,FALSE)</f>
        <v>Europe</v>
      </c>
      <c r="H1274" t="s">
        <v>5513</v>
      </c>
      <c r="I1274" s="1">
        <v>27176</v>
      </c>
      <c r="J1274" s="3">
        <f t="shared" si="57"/>
        <v>27176</v>
      </c>
      <c r="K1274" s="1">
        <v>29727</v>
      </c>
      <c r="L1274" s="3">
        <f t="shared" si="58"/>
        <v>29727</v>
      </c>
      <c r="M1274" t="s">
        <v>49</v>
      </c>
      <c r="N1274" t="s">
        <v>49</v>
      </c>
      <c r="O1274" t="s">
        <v>49</v>
      </c>
      <c r="P1274">
        <v>0</v>
      </c>
      <c r="Q1274" t="s">
        <v>50</v>
      </c>
      <c r="R1274" t="s">
        <v>51</v>
      </c>
      <c r="S1274">
        <v>1926</v>
      </c>
      <c r="T1274">
        <v>-777</v>
      </c>
      <c r="U1274" s="1">
        <v>9530</v>
      </c>
      <c r="V1274" s="2">
        <v>9530</v>
      </c>
      <c r="Z1274">
        <v>0</v>
      </c>
      <c r="AA1274">
        <v>1</v>
      </c>
      <c r="AB1274">
        <v>0</v>
      </c>
      <c r="AC1274">
        <v>0</v>
      </c>
      <c r="AF1274">
        <v>1974</v>
      </c>
      <c r="AG1274">
        <v>1981</v>
      </c>
      <c r="AO1274" t="b">
        <v>1</v>
      </c>
      <c r="AP1274" t="s">
        <v>958</v>
      </c>
      <c r="AQ1274">
        <v>1966</v>
      </c>
      <c r="AR1274">
        <v>2016</v>
      </c>
      <c r="AS1274" t="s">
        <v>5514</v>
      </c>
      <c r="AT1274">
        <v>6.9842573579739904</v>
      </c>
      <c r="AU1274">
        <f t="shared" si="59"/>
        <v>1.9E-2</v>
      </c>
    </row>
    <row r="1275" spans="1:47" x14ac:dyDescent="0.3">
      <c r="A1275">
        <v>1273</v>
      </c>
      <c r="B1275" t="s">
        <v>5515</v>
      </c>
      <c r="C1275" t="s">
        <v>5516</v>
      </c>
      <c r="D1275">
        <v>220</v>
      </c>
      <c r="E1275" t="s">
        <v>4986</v>
      </c>
      <c r="F1275" t="str">
        <f>VLOOKUP(E1275,country_continent!A:C,2,FALSE)</f>
        <v>France</v>
      </c>
      <c r="G1275" t="str">
        <f>VLOOKUP(E1275,country_continent!A:C,3,FALSE)</f>
        <v>Europe</v>
      </c>
      <c r="H1275" t="s">
        <v>5517</v>
      </c>
      <c r="I1275" s="1">
        <v>29727</v>
      </c>
      <c r="J1275" s="3">
        <f t="shared" si="57"/>
        <v>29727</v>
      </c>
      <c r="K1275" s="1">
        <v>34836</v>
      </c>
      <c r="L1275" s="3">
        <f t="shared" si="58"/>
        <v>34836</v>
      </c>
      <c r="M1275" t="s">
        <v>49</v>
      </c>
      <c r="N1275" t="s">
        <v>49</v>
      </c>
      <c r="O1275" t="s">
        <v>49</v>
      </c>
      <c r="P1275">
        <v>0</v>
      </c>
      <c r="Q1275" t="s">
        <v>50</v>
      </c>
      <c r="R1275" t="s">
        <v>51</v>
      </c>
      <c r="S1275">
        <v>1916</v>
      </c>
      <c r="T1275">
        <v>1996</v>
      </c>
      <c r="U1275" s="1">
        <v>6144</v>
      </c>
      <c r="V1275" s="2">
        <v>6144</v>
      </c>
      <c r="W1275" s="1">
        <v>35072</v>
      </c>
      <c r="X1275" s="2">
        <v>35072</v>
      </c>
      <c r="Y1275" t="s">
        <v>5518</v>
      </c>
      <c r="Z1275">
        <v>0</v>
      </c>
      <c r="AA1275">
        <v>1</v>
      </c>
      <c r="AB1275">
        <v>0</v>
      </c>
      <c r="AC1275">
        <v>0</v>
      </c>
      <c r="AF1275">
        <v>1981</v>
      </c>
      <c r="AG1275">
        <v>1995</v>
      </c>
      <c r="AO1275" t="b">
        <v>1</v>
      </c>
      <c r="AP1275" t="s">
        <v>958</v>
      </c>
      <c r="AQ1275">
        <v>1966</v>
      </c>
      <c r="AR1275">
        <v>2016</v>
      </c>
      <c r="AS1275" t="s">
        <v>5519</v>
      </c>
      <c r="AT1275">
        <v>13.987679671457901</v>
      </c>
      <c r="AU1275">
        <f t="shared" si="59"/>
        <v>3.7999999999999999E-2</v>
      </c>
    </row>
    <row r="1276" spans="1:47" x14ac:dyDescent="0.3">
      <c r="A1276">
        <v>1274</v>
      </c>
      <c r="B1276" t="s">
        <v>5520</v>
      </c>
      <c r="C1276" t="s">
        <v>5521</v>
      </c>
      <c r="D1276">
        <v>220</v>
      </c>
      <c r="E1276" t="s">
        <v>4986</v>
      </c>
      <c r="F1276" t="str">
        <f>VLOOKUP(E1276,country_continent!A:C,2,FALSE)</f>
        <v>France</v>
      </c>
      <c r="G1276" t="str">
        <f>VLOOKUP(E1276,country_continent!A:C,3,FALSE)</f>
        <v>Europe</v>
      </c>
      <c r="H1276" t="s">
        <v>5522</v>
      </c>
      <c r="I1276" s="1">
        <v>34836</v>
      </c>
      <c r="J1276" s="3">
        <f t="shared" si="57"/>
        <v>34836</v>
      </c>
      <c r="K1276" s="1">
        <v>39218</v>
      </c>
      <c r="L1276" s="3">
        <f t="shared" si="58"/>
        <v>39218</v>
      </c>
      <c r="M1276" t="s">
        <v>49</v>
      </c>
      <c r="N1276" t="s">
        <v>49</v>
      </c>
      <c r="O1276" t="s">
        <v>49</v>
      </c>
      <c r="P1276">
        <v>0</v>
      </c>
      <c r="Q1276" t="s">
        <v>50</v>
      </c>
      <c r="R1276" t="s">
        <v>51</v>
      </c>
      <c r="S1276">
        <v>1932</v>
      </c>
      <c r="T1276">
        <v>-777</v>
      </c>
      <c r="U1276" s="1">
        <v>12022</v>
      </c>
      <c r="V1276" s="2">
        <v>12022</v>
      </c>
      <c r="Y1276" t="s">
        <v>5523</v>
      </c>
      <c r="Z1276">
        <v>0</v>
      </c>
      <c r="AA1276">
        <v>1</v>
      </c>
      <c r="AB1276">
        <v>0</v>
      </c>
      <c r="AC1276">
        <v>0</v>
      </c>
      <c r="AF1276">
        <v>1995</v>
      </c>
      <c r="AG1276">
        <v>2007</v>
      </c>
      <c r="AO1276" t="b">
        <v>1</v>
      </c>
      <c r="AP1276" t="s">
        <v>958</v>
      </c>
      <c r="AQ1276">
        <v>1966</v>
      </c>
      <c r="AR1276">
        <v>2016</v>
      </c>
      <c r="AS1276" t="s">
        <v>5524</v>
      </c>
      <c r="AT1276">
        <v>11.9972621492128</v>
      </c>
      <c r="AU1276">
        <f t="shared" si="59"/>
        <v>3.3000000000000002E-2</v>
      </c>
    </row>
    <row r="1277" spans="1:47" x14ac:dyDescent="0.3">
      <c r="A1277">
        <v>1275</v>
      </c>
      <c r="B1277" t="s">
        <v>5525</v>
      </c>
      <c r="C1277" t="s">
        <v>5526</v>
      </c>
      <c r="D1277">
        <v>220</v>
      </c>
      <c r="E1277" t="s">
        <v>4986</v>
      </c>
      <c r="F1277" t="str">
        <f>VLOOKUP(E1277,country_continent!A:C,2,FALSE)</f>
        <v>France</v>
      </c>
      <c r="G1277" t="str">
        <f>VLOOKUP(E1277,country_continent!A:C,3,FALSE)</f>
        <v>Europe</v>
      </c>
      <c r="H1277" t="s">
        <v>5527</v>
      </c>
      <c r="I1277" s="1">
        <v>39218</v>
      </c>
      <c r="J1277" s="3">
        <f t="shared" si="57"/>
        <v>39218</v>
      </c>
      <c r="K1277" s="1">
        <v>41044</v>
      </c>
      <c r="L1277" s="3">
        <f t="shared" si="58"/>
        <v>41044</v>
      </c>
      <c r="M1277" t="s">
        <v>49</v>
      </c>
      <c r="N1277" t="s">
        <v>49</v>
      </c>
      <c r="O1277" t="s">
        <v>49</v>
      </c>
      <c r="P1277">
        <v>0</v>
      </c>
      <c r="Q1277" t="s">
        <v>50</v>
      </c>
      <c r="R1277" t="s">
        <v>51</v>
      </c>
      <c r="S1277">
        <v>1955</v>
      </c>
      <c r="T1277">
        <v>-777</v>
      </c>
      <c r="Z1277">
        <v>0</v>
      </c>
      <c r="AA1277">
        <v>1</v>
      </c>
      <c r="AB1277">
        <v>0</v>
      </c>
      <c r="AC1277">
        <v>0</v>
      </c>
      <c r="AF1277">
        <v>2007</v>
      </c>
      <c r="AG1277">
        <v>2012</v>
      </c>
      <c r="AO1277" t="b">
        <v>1</v>
      </c>
      <c r="AP1277" t="s">
        <v>958</v>
      </c>
      <c r="AQ1277">
        <v>1966</v>
      </c>
      <c r="AR1277">
        <v>2016</v>
      </c>
      <c r="AS1277" t="s">
        <v>5528</v>
      </c>
      <c r="AT1277">
        <v>4.9993155373032101</v>
      </c>
      <c r="AU1277">
        <f t="shared" si="59"/>
        <v>1.4E-2</v>
      </c>
    </row>
    <row r="1278" spans="1:47" x14ac:dyDescent="0.3">
      <c r="A1278">
        <v>1276</v>
      </c>
      <c r="B1278" t="s">
        <v>5529</v>
      </c>
      <c r="C1278" t="s">
        <v>5530</v>
      </c>
      <c r="D1278">
        <v>220</v>
      </c>
      <c r="E1278" t="s">
        <v>4986</v>
      </c>
      <c r="F1278" t="str">
        <f>VLOOKUP(E1278,country_continent!A:C,2,FALSE)</f>
        <v>France</v>
      </c>
      <c r="G1278" t="str">
        <f>VLOOKUP(E1278,country_continent!A:C,3,FALSE)</f>
        <v>Europe</v>
      </c>
      <c r="H1278" t="s">
        <v>5531</v>
      </c>
      <c r="I1278" s="1">
        <v>41044</v>
      </c>
      <c r="J1278" s="3">
        <f t="shared" si="57"/>
        <v>41044</v>
      </c>
      <c r="K1278" s="1">
        <v>42369</v>
      </c>
      <c r="L1278" s="3">
        <f t="shared" si="58"/>
        <v>42369</v>
      </c>
      <c r="M1278" t="s">
        <v>49</v>
      </c>
      <c r="N1278" t="s">
        <v>173</v>
      </c>
      <c r="O1278" t="s">
        <v>173</v>
      </c>
      <c r="P1278">
        <v>0</v>
      </c>
      <c r="Q1278" t="s">
        <v>174</v>
      </c>
      <c r="R1278" t="s">
        <v>51</v>
      </c>
      <c r="S1278">
        <v>1954</v>
      </c>
      <c r="T1278">
        <v>-777</v>
      </c>
      <c r="U1278" s="1">
        <v>19948</v>
      </c>
      <c r="V1278" s="2">
        <v>19948</v>
      </c>
      <c r="Z1278">
        <v>0</v>
      </c>
      <c r="AA1278">
        <v>-888</v>
      </c>
      <c r="AB1278">
        <v>-888</v>
      </c>
      <c r="AC1278">
        <v>-888</v>
      </c>
      <c r="AF1278">
        <v>2012</v>
      </c>
      <c r="AG1278">
        <v>2015</v>
      </c>
      <c r="AO1278" t="b">
        <v>1</v>
      </c>
      <c r="AP1278" t="s">
        <v>958</v>
      </c>
      <c r="AQ1278">
        <v>1966</v>
      </c>
      <c r="AR1278">
        <v>2016</v>
      </c>
      <c r="AS1278" t="s">
        <v>5532</v>
      </c>
      <c r="AT1278">
        <v>3.6276522929500299</v>
      </c>
      <c r="AU1278">
        <f t="shared" si="59"/>
        <v>0.01</v>
      </c>
    </row>
    <row r="1279" spans="1:47" x14ac:dyDescent="0.3">
      <c r="A1279">
        <v>1277</v>
      </c>
      <c r="B1279" t="s">
        <v>5533</v>
      </c>
      <c r="C1279" t="s">
        <v>5534</v>
      </c>
      <c r="D1279">
        <v>225</v>
      </c>
      <c r="E1279" t="s">
        <v>5535</v>
      </c>
      <c r="F1279" t="str">
        <f>VLOOKUP(E1279,country_continent!A:C,2,FALSE)</f>
        <v>Switzerland</v>
      </c>
      <c r="G1279" t="str">
        <f>VLOOKUP(E1279,country_continent!A:C,3,FALSE)</f>
        <v>Europe</v>
      </c>
      <c r="H1279" t="s">
        <v>5536</v>
      </c>
      <c r="I1279" t="s">
        <v>5537</v>
      </c>
      <c r="J1279" s="3" t="str">
        <f t="shared" si="57"/>
        <v>1875/01/01</v>
      </c>
      <c r="K1279" t="s">
        <v>5538</v>
      </c>
      <c r="L1279" s="3" t="str">
        <f t="shared" si="58"/>
        <v>1875/12/31</v>
      </c>
      <c r="M1279" t="s">
        <v>49</v>
      </c>
      <c r="N1279" t="s">
        <v>49</v>
      </c>
      <c r="O1279" t="s">
        <v>49</v>
      </c>
      <c r="P1279">
        <v>0</v>
      </c>
      <c r="Q1279" t="s">
        <v>50</v>
      </c>
      <c r="R1279" t="s">
        <v>51</v>
      </c>
      <c r="S1279">
        <v>1825</v>
      </c>
      <c r="T1279">
        <v>1878</v>
      </c>
      <c r="Z1279">
        <v>0</v>
      </c>
      <c r="AA1279">
        <v>1</v>
      </c>
      <c r="AB1279">
        <v>0</v>
      </c>
      <c r="AC1279">
        <v>0</v>
      </c>
      <c r="AF1279">
        <v>1875</v>
      </c>
      <c r="AG1279">
        <v>1875</v>
      </c>
      <c r="AO1279" t="b">
        <v>0</v>
      </c>
      <c r="AT1279">
        <v>364</v>
      </c>
      <c r="AU1279">
        <f t="shared" si="59"/>
        <v>0.997</v>
      </c>
    </row>
    <row r="1280" spans="1:47" x14ac:dyDescent="0.3">
      <c r="A1280">
        <v>1278</v>
      </c>
      <c r="B1280" t="s">
        <v>5539</v>
      </c>
      <c r="C1280" t="s">
        <v>5540</v>
      </c>
      <c r="D1280">
        <v>225</v>
      </c>
      <c r="E1280" t="s">
        <v>5535</v>
      </c>
      <c r="F1280" t="str">
        <f>VLOOKUP(E1280,country_continent!A:C,2,FALSE)</f>
        <v>Switzerland</v>
      </c>
      <c r="G1280" t="str">
        <f>VLOOKUP(E1280,country_continent!A:C,3,FALSE)</f>
        <v>Europe</v>
      </c>
      <c r="H1280" t="s">
        <v>5541</v>
      </c>
      <c r="I1280" t="s">
        <v>5542</v>
      </c>
      <c r="J1280" s="3" t="str">
        <f t="shared" si="57"/>
        <v>1876/01/01</v>
      </c>
      <c r="K1280" t="s">
        <v>5543</v>
      </c>
      <c r="L1280" s="3" t="str">
        <f t="shared" si="58"/>
        <v>1876/12/31</v>
      </c>
      <c r="M1280" t="s">
        <v>49</v>
      </c>
      <c r="N1280" t="s">
        <v>49</v>
      </c>
      <c r="O1280" t="s">
        <v>49</v>
      </c>
      <c r="P1280">
        <v>2</v>
      </c>
      <c r="Q1280" t="s">
        <v>50</v>
      </c>
      <c r="R1280" t="s">
        <v>51</v>
      </c>
      <c r="S1280">
        <v>1825</v>
      </c>
      <c r="T1280">
        <v>1899</v>
      </c>
      <c r="U1280" t="s">
        <v>5544</v>
      </c>
      <c r="V1280" t="s">
        <v>5545</v>
      </c>
      <c r="Z1280">
        <v>0</v>
      </c>
      <c r="AA1280">
        <v>1</v>
      </c>
      <c r="AB1280">
        <v>0</v>
      </c>
      <c r="AC1280">
        <v>0</v>
      </c>
      <c r="AF1280">
        <v>1876</v>
      </c>
      <c r="AG1280">
        <v>1876</v>
      </c>
      <c r="AO1280" t="b">
        <v>0</v>
      </c>
      <c r="AT1280">
        <v>365</v>
      </c>
      <c r="AU1280">
        <f t="shared" si="59"/>
        <v>1</v>
      </c>
    </row>
    <row r="1281" spans="1:47" x14ac:dyDescent="0.3">
      <c r="A1281">
        <v>1279</v>
      </c>
      <c r="B1281" t="s">
        <v>5546</v>
      </c>
      <c r="C1281" t="s">
        <v>5547</v>
      </c>
      <c r="D1281">
        <v>225</v>
      </c>
      <c r="E1281" t="s">
        <v>5535</v>
      </c>
      <c r="F1281" t="str">
        <f>VLOOKUP(E1281,country_continent!A:C,2,FALSE)</f>
        <v>Switzerland</v>
      </c>
      <c r="G1281" t="str">
        <f>VLOOKUP(E1281,country_continent!A:C,3,FALSE)</f>
        <v>Europe</v>
      </c>
      <c r="H1281" t="s">
        <v>5548</v>
      </c>
      <c r="I1281" t="s">
        <v>5549</v>
      </c>
      <c r="J1281" s="3" t="str">
        <f t="shared" si="57"/>
        <v>1877/01/01</v>
      </c>
      <c r="K1281" t="s">
        <v>5550</v>
      </c>
      <c r="L1281" s="3" t="str">
        <f t="shared" si="58"/>
        <v>1877/12/31</v>
      </c>
      <c r="M1281" t="s">
        <v>49</v>
      </c>
      <c r="N1281" t="s">
        <v>49</v>
      </c>
      <c r="O1281" t="s">
        <v>49</v>
      </c>
      <c r="P1281">
        <v>0</v>
      </c>
      <c r="Q1281" t="s">
        <v>50</v>
      </c>
      <c r="R1281" t="s">
        <v>51</v>
      </c>
      <c r="S1281">
        <v>1825</v>
      </c>
      <c r="T1281">
        <v>1879</v>
      </c>
      <c r="U1281" t="s">
        <v>5551</v>
      </c>
      <c r="V1281" t="s">
        <v>5552</v>
      </c>
      <c r="Z1281">
        <v>0</v>
      </c>
      <c r="AA1281">
        <v>1</v>
      </c>
      <c r="AB1281">
        <v>0</v>
      </c>
      <c r="AC1281">
        <v>0</v>
      </c>
      <c r="AF1281">
        <v>1877</v>
      </c>
      <c r="AG1281">
        <v>1877</v>
      </c>
      <c r="AO1281" t="b">
        <v>0</v>
      </c>
      <c r="AT1281">
        <v>364</v>
      </c>
      <c r="AU1281">
        <f t="shared" si="59"/>
        <v>0.997</v>
      </c>
    </row>
    <row r="1282" spans="1:47" x14ac:dyDescent="0.3">
      <c r="A1282">
        <v>1280</v>
      </c>
      <c r="B1282" t="s">
        <v>5553</v>
      </c>
      <c r="C1282" t="s">
        <v>5554</v>
      </c>
      <c r="D1282">
        <v>225</v>
      </c>
      <c r="E1282" t="s">
        <v>5535</v>
      </c>
      <c r="F1282" t="str">
        <f>VLOOKUP(E1282,country_continent!A:C,2,FALSE)</f>
        <v>Switzerland</v>
      </c>
      <c r="G1282" t="str">
        <f>VLOOKUP(E1282,country_continent!A:C,3,FALSE)</f>
        <v>Europe</v>
      </c>
      <c r="H1282" t="s">
        <v>5555</v>
      </c>
      <c r="I1282" t="s">
        <v>5556</v>
      </c>
      <c r="J1282" s="3" t="str">
        <f t="shared" si="57"/>
        <v>1878/01/01</v>
      </c>
      <c r="K1282" t="s">
        <v>5557</v>
      </c>
      <c r="L1282" s="3" t="str">
        <f t="shared" si="58"/>
        <v>1878/12/31</v>
      </c>
      <c r="M1282" t="s">
        <v>49</v>
      </c>
      <c r="N1282" t="s">
        <v>49</v>
      </c>
      <c r="O1282" t="s">
        <v>49</v>
      </c>
      <c r="P1282">
        <v>3</v>
      </c>
      <c r="Q1282" t="s">
        <v>50</v>
      </c>
      <c r="R1282" t="s">
        <v>51</v>
      </c>
      <c r="S1282">
        <v>1823</v>
      </c>
      <c r="T1282">
        <v>1895</v>
      </c>
      <c r="U1282" t="s">
        <v>5558</v>
      </c>
      <c r="V1282" t="s">
        <v>5559</v>
      </c>
      <c r="Z1282">
        <v>0</v>
      </c>
      <c r="AA1282">
        <v>1</v>
      </c>
      <c r="AB1282">
        <v>0</v>
      </c>
      <c r="AC1282">
        <v>0</v>
      </c>
      <c r="AF1282">
        <v>1878</v>
      </c>
      <c r="AG1282">
        <v>1878</v>
      </c>
      <c r="AO1282" t="b">
        <v>0</v>
      </c>
      <c r="AT1282">
        <v>364</v>
      </c>
      <c r="AU1282">
        <f t="shared" si="59"/>
        <v>0.997</v>
      </c>
    </row>
    <row r="1283" spans="1:47" x14ac:dyDescent="0.3">
      <c r="A1283">
        <v>1281</v>
      </c>
      <c r="B1283" t="s">
        <v>5560</v>
      </c>
      <c r="C1283" t="s">
        <v>5561</v>
      </c>
      <c r="D1283">
        <v>225</v>
      </c>
      <c r="E1283" t="s">
        <v>5535</v>
      </c>
      <c r="F1283" t="str">
        <f>VLOOKUP(E1283,country_continent!A:C,2,FALSE)</f>
        <v>Switzerland</v>
      </c>
      <c r="G1283" t="str">
        <f>VLOOKUP(E1283,country_continent!A:C,3,FALSE)</f>
        <v>Europe</v>
      </c>
      <c r="H1283" t="s">
        <v>5562</v>
      </c>
      <c r="I1283" t="s">
        <v>2345</v>
      </c>
      <c r="J1283" s="3" t="str">
        <f t="shared" ref="J1283:J1346" si="60">IF(ISNUMBER(SEARCH("-", I1283)), SUBSTITUTE(I1283, "-", "/"), I1283)</f>
        <v>1879/01/01</v>
      </c>
      <c r="K1283" t="s">
        <v>5563</v>
      </c>
      <c r="L1283" s="3" t="str">
        <f t="shared" ref="L1283:L1346" si="61">IF(ISNUMBER(SEARCH("-", K1283)), SUBSTITUTE(K1283, "-", "/"), K1283)</f>
        <v>1879/12/31</v>
      </c>
      <c r="M1283" t="s">
        <v>49</v>
      </c>
      <c r="N1283" t="s">
        <v>49</v>
      </c>
      <c r="O1283" t="s">
        <v>49</v>
      </c>
      <c r="P1283">
        <v>0</v>
      </c>
      <c r="Q1283" t="s">
        <v>50</v>
      </c>
      <c r="R1283" t="s">
        <v>51</v>
      </c>
      <c r="S1283">
        <v>1822</v>
      </c>
      <c r="T1283">
        <v>1907</v>
      </c>
      <c r="U1283" t="s">
        <v>5564</v>
      </c>
      <c r="V1283" t="s">
        <v>5565</v>
      </c>
      <c r="Z1283">
        <v>0</v>
      </c>
      <c r="AA1283">
        <v>1</v>
      </c>
      <c r="AB1283">
        <v>0</v>
      </c>
      <c r="AC1283">
        <v>0</v>
      </c>
      <c r="AF1283">
        <v>1879</v>
      </c>
      <c r="AG1283">
        <v>1879</v>
      </c>
      <c r="AO1283" t="b">
        <v>0</v>
      </c>
      <c r="AT1283">
        <v>364</v>
      </c>
      <c r="AU1283">
        <f t="shared" si="59"/>
        <v>0.997</v>
      </c>
    </row>
    <row r="1284" spans="1:47" x14ac:dyDescent="0.3">
      <c r="A1284">
        <v>1282</v>
      </c>
      <c r="B1284" t="s">
        <v>5566</v>
      </c>
      <c r="C1284" t="s">
        <v>5540</v>
      </c>
      <c r="D1284">
        <v>225</v>
      </c>
      <c r="E1284" t="s">
        <v>5535</v>
      </c>
      <c r="F1284" t="str">
        <f>VLOOKUP(E1284,country_continent!A:C,2,FALSE)</f>
        <v>Switzerland</v>
      </c>
      <c r="G1284" t="str">
        <f>VLOOKUP(E1284,country_continent!A:C,3,FALSE)</f>
        <v>Europe</v>
      </c>
      <c r="H1284" t="s">
        <v>5541</v>
      </c>
      <c r="I1284" t="s">
        <v>5567</v>
      </c>
      <c r="J1284" s="3" t="str">
        <f t="shared" si="60"/>
        <v>1880/01/01</v>
      </c>
      <c r="K1284" t="s">
        <v>5568</v>
      </c>
      <c r="L1284" s="3" t="str">
        <f t="shared" si="61"/>
        <v>1880/12/31</v>
      </c>
      <c r="M1284" t="s">
        <v>49</v>
      </c>
      <c r="N1284" t="s">
        <v>49</v>
      </c>
      <c r="O1284" t="s">
        <v>49</v>
      </c>
      <c r="P1284">
        <v>3</v>
      </c>
      <c r="Q1284" t="s">
        <v>50</v>
      </c>
      <c r="R1284" t="s">
        <v>51</v>
      </c>
      <c r="S1284">
        <v>1825</v>
      </c>
      <c r="T1284">
        <v>1899</v>
      </c>
      <c r="U1284" t="s">
        <v>5544</v>
      </c>
      <c r="V1284" t="s">
        <v>5545</v>
      </c>
      <c r="Z1284">
        <v>0</v>
      </c>
      <c r="AA1284">
        <v>1</v>
      </c>
      <c r="AB1284">
        <v>0</v>
      </c>
      <c r="AC1284">
        <v>0</v>
      </c>
      <c r="AF1284">
        <v>1880</v>
      </c>
      <c r="AG1284">
        <v>1880</v>
      </c>
      <c r="AO1284" t="b">
        <v>0</v>
      </c>
      <c r="AT1284">
        <v>365</v>
      </c>
      <c r="AU1284">
        <f t="shared" ref="AU1284:AU1347" si="62">ROUND(AT1284/365,3)</f>
        <v>1</v>
      </c>
    </row>
    <row r="1285" spans="1:47" x14ac:dyDescent="0.3">
      <c r="A1285">
        <v>1283</v>
      </c>
      <c r="B1285" t="s">
        <v>5569</v>
      </c>
      <c r="C1285" t="s">
        <v>5570</v>
      </c>
      <c r="D1285">
        <v>225</v>
      </c>
      <c r="E1285" t="s">
        <v>5535</v>
      </c>
      <c r="F1285" t="str">
        <f>VLOOKUP(E1285,country_continent!A:C,2,FALSE)</f>
        <v>Switzerland</v>
      </c>
      <c r="G1285" t="str">
        <f>VLOOKUP(E1285,country_continent!A:C,3,FALSE)</f>
        <v>Europe</v>
      </c>
      <c r="H1285" t="s">
        <v>5571</v>
      </c>
      <c r="I1285" t="s">
        <v>5572</v>
      </c>
      <c r="J1285" s="3" t="str">
        <f t="shared" si="60"/>
        <v>1881/01/01</v>
      </c>
      <c r="K1285" t="s">
        <v>5574</v>
      </c>
      <c r="L1285" s="3" t="str">
        <f t="shared" si="61"/>
        <v>1881/12/31</v>
      </c>
      <c r="M1285" t="s">
        <v>49</v>
      </c>
      <c r="N1285" t="s">
        <v>49</v>
      </c>
      <c r="O1285" t="s">
        <v>49</v>
      </c>
      <c r="P1285">
        <v>0</v>
      </c>
      <c r="Q1285" t="s">
        <v>50</v>
      </c>
      <c r="R1285" t="s">
        <v>51</v>
      </c>
      <c r="S1285">
        <v>1844</v>
      </c>
      <c r="T1285">
        <v>1899</v>
      </c>
      <c r="U1285" t="s">
        <v>5575</v>
      </c>
      <c r="V1285" t="s">
        <v>5576</v>
      </c>
      <c r="Z1285">
        <v>0</v>
      </c>
      <c r="AA1285">
        <v>1</v>
      </c>
      <c r="AB1285">
        <v>0</v>
      </c>
      <c r="AC1285">
        <v>0</v>
      </c>
      <c r="AF1285">
        <v>1881</v>
      </c>
      <c r="AG1285">
        <v>1881</v>
      </c>
      <c r="AO1285" t="b">
        <v>0</v>
      </c>
      <c r="AT1285">
        <v>364</v>
      </c>
      <c r="AU1285">
        <f t="shared" si="62"/>
        <v>0.997</v>
      </c>
    </row>
    <row r="1286" spans="1:47" x14ac:dyDescent="0.3">
      <c r="A1286">
        <v>1284</v>
      </c>
      <c r="B1286" t="s">
        <v>5577</v>
      </c>
      <c r="C1286" t="s">
        <v>5578</v>
      </c>
      <c r="D1286">
        <v>225</v>
      </c>
      <c r="E1286" t="s">
        <v>5535</v>
      </c>
      <c r="F1286" t="str">
        <f>VLOOKUP(E1286,country_continent!A:C,2,FALSE)</f>
        <v>Switzerland</v>
      </c>
      <c r="G1286" t="str">
        <f>VLOOKUP(E1286,country_continent!A:C,3,FALSE)</f>
        <v>Europe</v>
      </c>
      <c r="H1286" t="s">
        <v>5579</v>
      </c>
      <c r="I1286" t="s">
        <v>5580</v>
      </c>
      <c r="J1286" s="3" t="str">
        <f t="shared" si="60"/>
        <v>1882/01/01</v>
      </c>
      <c r="K1286" t="s">
        <v>5057</v>
      </c>
      <c r="L1286" s="3" t="str">
        <f t="shared" si="61"/>
        <v>1882/12/31</v>
      </c>
      <c r="M1286" t="s">
        <v>49</v>
      </c>
      <c r="N1286" t="s">
        <v>49</v>
      </c>
      <c r="O1286" t="s">
        <v>49</v>
      </c>
      <c r="P1286">
        <v>0</v>
      </c>
      <c r="Q1286" t="s">
        <v>50</v>
      </c>
      <c r="R1286" t="s">
        <v>51</v>
      </c>
      <c r="S1286">
        <v>1825</v>
      </c>
      <c r="T1286">
        <v>1896</v>
      </c>
      <c r="U1286" t="s">
        <v>5581</v>
      </c>
      <c r="V1286" t="s">
        <v>5582</v>
      </c>
      <c r="Z1286">
        <v>0</v>
      </c>
      <c r="AA1286">
        <v>1</v>
      </c>
      <c r="AB1286">
        <v>0</v>
      </c>
      <c r="AC1286">
        <v>0</v>
      </c>
      <c r="AF1286">
        <v>1882</v>
      </c>
      <c r="AG1286">
        <v>1882</v>
      </c>
      <c r="AO1286" t="b">
        <v>0</v>
      </c>
      <c r="AT1286">
        <v>364</v>
      </c>
      <c r="AU1286">
        <f t="shared" si="62"/>
        <v>0.997</v>
      </c>
    </row>
    <row r="1287" spans="1:47" x14ac:dyDescent="0.3">
      <c r="A1287">
        <v>1285</v>
      </c>
      <c r="B1287" t="s">
        <v>5583</v>
      </c>
      <c r="C1287" t="s">
        <v>5584</v>
      </c>
      <c r="D1287">
        <v>225</v>
      </c>
      <c r="E1287" t="s">
        <v>5535</v>
      </c>
      <c r="F1287" t="str">
        <f>VLOOKUP(E1287,country_continent!A:C,2,FALSE)</f>
        <v>Switzerland</v>
      </c>
      <c r="G1287" t="str">
        <f>VLOOKUP(E1287,country_continent!A:C,3,FALSE)</f>
        <v>Europe</v>
      </c>
      <c r="H1287" t="s">
        <v>5585</v>
      </c>
      <c r="I1287" t="s">
        <v>5586</v>
      </c>
      <c r="J1287" s="3" t="str">
        <f t="shared" si="60"/>
        <v>1883/01/01</v>
      </c>
      <c r="K1287" t="s">
        <v>5588</v>
      </c>
      <c r="L1287" s="3" t="str">
        <f t="shared" si="61"/>
        <v>1883/12/31</v>
      </c>
      <c r="M1287" t="s">
        <v>49</v>
      </c>
      <c r="N1287" t="s">
        <v>49</v>
      </c>
      <c r="O1287" t="s">
        <v>49</v>
      </c>
      <c r="P1287">
        <v>0</v>
      </c>
      <c r="Q1287" t="s">
        <v>50</v>
      </c>
      <c r="R1287" t="s">
        <v>51</v>
      </c>
      <c r="S1287">
        <v>1834</v>
      </c>
      <c r="T1287">
        <v>1893</v>
      </c>
      <c r="U1287" t="s">
        <v>5589</v>
      </c>
      <c r="V1287" t="s">
        <v>5590</v>
      </c>
      <c r="Y1287" t="s">
        <v>5591</v>
      </c>
      <c r="Z1287">
        <v>0</v>
      </c>
      <c r="AA1287">
        <v>1</v>
      </c>
      <c r="AB1287">
        <v>0</v>
      </c>
      <c r="AC1287">
        <v>0</v>
      </c>
      <c r="AF1287">
        <v>1883</v>
      </c>
      <c r="AG1287">
        <v>1883</v>
      </c>
      <c r="AO1287" t="b">
        <v>0</v>
      </c>
      <c r="AT1287">
        <v>364</v>
      </c>
      <c r="AU1287">
        <f t="shared" si="62"/>
        <v>0.997</v>
      </c>
    </row>
    <row r="1288" spans="1:47" x14ac:dyDescent="0.3">
      <c r="A1288">
        <v>1286</v>
      </c>
      <c r="B1288" t="s">
        <v>5592</v>
      </c>
      <c r="C1288" t="s">
        <v>5540</v>
      </c>
      <c r="D1288">
        <v>225</v>
      </c>
      <c r="E1288" t="s">
        <v>5535</v>
      </c>
      <c r="F1288" t="str">
        <f>VLOOKUP(E1288,country_continent!A:C,2,FALSE)</f>
        <v>Switzerland</v>
      </c>
      <c r="G1288" t="str">
        <f>VLOOKUP(E1288,country_continent!A:C,3,FALSE)</f>
        <v>Europe</v>
      </c>
      <c r="H1288" t="s">
        <v>5541</v>
      </c>
      <c r="I1288" t="s">
        <v>5593</v>
      </c>
      <c r="J1288" s="3" t="str">
        <f t="shared" si="60"/>
        <v>1884/01/01</v>
      </c>
      <c r="K1288" t="s">
        <v>5594</v>
      </c>
      <c r="L1288" s="3" t="str">
        <f t="shared" si="61"/>
        <v>1884/12/31</v>
      </c>
      <c r="M1288" t="s">
        <v>49</v>
      </c>
      <c r="N1288" t="s">
        <v>49</v>
      </c>
      <c r="O1288" t="s">
        <v>49</v>
      </c>
      <c r="P1288">
        <v>4</v>
      </c>
      <c r="Q1288" t="s">
        <v>50</v>
      </c>
      <c r="R1288" t="s">
        <v>51</v>
      </c>
      <c r="S1288">
        <v>1825</v>
      </c>
      <c r="T1288">
        <v>1899</v>
      </c>
      <c r="U1288" t="s">
        <v>5544</v>
      </c>
      <c r="V1288" t="s">
        <v>5545</v>
      </c>
      <c r="Z1288">
        <v>0</v>
      </c>
      <c r="AA1288">
        <v>1</v>
      </c>
      <c r="AB1288">
        <v>0</v>
      </c>
      <c r="AC1288">
        <v>0</v>
      </c>
      <c r="AF1288">
        <v>1884</v>
      </c>
      <c r="AG1288">
        <v>1884</v>
      </c>
      <c r="AO1288" t="b">
        <v>0</v>
      </c>
      <c r="AT1288">
        <v>365</v>
      </c>
      <c r="AU1288">
        <f t="shared" si="62"/>
        <v>1</v>
      </c>
    </row>
    <row r="1289" spans="1:47" x14ac:dyDescent="0.3">
      <c r="A1289">
        <v>1287</v>
      </c>
      <c r="B1289" t="s">
        <v>5595</v>
      </c>
      <c r="C1289" t="s">
        <v>5554</v>
      </c>
      <c r="D1289">
        <v>225</v>
      </c>
      <c r="E1289" t="s">
        <v>5535</v>
      </c>
      <c r="F1289" t="str">
        <f>VLOOKUP(E1289,country_continent!A:C,2,FALSE)</f>
        <v>Switzerland</v>
      </c>
      <c r="G1289" t="str">
        <f>VLOOKUP(E1289,country_continent!A:C,3,FALSE)</f>
        <v>Europe</v>
      </c>
      <c r="H1289" t="s">
        <v>5555</v>
      </c>
      <c r="I1289" t="s">
        <v>5596</v>
      </c>
      <c r="J1289" s="3" t="str">
        <f t="shared" si="60"/>
        <v>1885/01/01</v>
      </c>
      <c r="K1289" t="s">
        <v>5597</v>
      </c>
      <c r="L1289" s="3" t="str">
        <f t="shared" si="61"/>
        <v>1885/12/31</v>
      </c>
      <c r="M1289" t="s">
        <v>49</v>
      </c>
      <c r="N1289" t="s">
        <v>49</v>
      </c>
      <c r="O1289" t="s">
        <v>49</v>
      </c>
      <c r="P1289">
        <v>4</v>
      </c>
      <c r="Q1289" t="s">
        <v>50</v>
      </c>
      <c r="R1289" t="s">
        <v>51</v>
      </c>
      <c r="S1289">
        <v>1823</v>
      </c>
      <c r="T1289">
        <v>1895</v>
      </c>
      <c r="U1289" t="s">
        <v>5558</v>
      </c>
      <c r="V1289" t="s">
        <v>5559</v>
      </c>
      <c r="Z1289">
        <v>0</v>
      </c>
      <c r="AA1289">
        <v>1</v>
      </c>
      <c r="AB1289">
        <v>0</v>
      </c>
      <c r="AC1289">
        <v>0</v>
      </c>
      <c r="AF1289">
        <v>1885</v>
      </c>
      <c r="AG1289">
        <v>1885</v>
      </c>
      <c r="AO1289" t="b">
        <v>0</v>
      </c>
      <c r="AT1289">
        <v>364</v>
      </c>
      <c r="AU1289">
        <f t="shared" si="62"/>
        <v>0.997</v>
      </c>
    </row>
    <row r="1290" spans="1:47" x14ac:dyDescent="0.3">
      <c r="A1290">
        <v>1288</v>
      </c>
      <c r="B1290" t="s">
        <v>5598</v>
      </c>
      <c r="C1290" t="s">
        <v>5599</v>
      </c>
      <c r="D1290">
        <v>225</v>
      </c>
      <c r="E1290" t="s">
        <v>5535</v>
      </c>
      <c r="F1290" t="str">
        <f>VLOOKUP(E1290,country_continent!A:C,2,FALSE)</f>
        <v>Switzerland</v>
      </c>
      <c r="G1290" t="str">
        <f>VLOOKUP(E1290,country_continent!A:C,3,FALSE)</f>
        <v>Europe</v>
      </c>
      <c r="H1290" t="s">
        <v>5600</v>
      </c>
      <c r="I1290" t="s">
        <v>5601</v>
      </c>
      <c r="J1290" s="3" t="str">
        <f t="shared" si="60"/>
        <v>1886/01/01</v>
      </c>
      <c r="K1290" t="s">
        <v>5602</v>
      </c>
      <c r="L1290" s="3" t="str">
        <f t="shared" si="61"/>
        <v>1886/12/31</v>
      </c>
      <c r="M1290" t="s">
        <v>49</v>
      </c>
      <c r="N1290" t="s">
        <v>49</v>
      </c>
      <c r="O1290" t="s">
        <v>49</v>
      </c>
      <c r="P1290">
        <v>0</v>
      </c>
      <c r="Q1290" t="s">
        <v>50</v>
      </c>
      <c r="R1290" t="s">
        <v>51</v>
      </c>
      <c r="S1290">
        <v>1831</v>
      </c>
      <c r="T1290">
        <v>1912</v>
      </c>
      <c r="U1290" t="s">
        <v>5603</v>
      </c>
      <c r="V1290" t="s">
        <v>5604</v>
      </c>
      <c r="Z1290">
        <v>0</v>
      </c>
      <c r="AA1290">
        <v>1</v>
      </c>
      <c r="AB1290">
        <v>0</v>
      </c>
      <c r="AC1290">
        <v>0</v>
      </c>
      <c r="AF1290">
        <v>1886</v>
      </c>
      <c r="AG1290">
        <v>1886</v>
      </c>
      <c r="AO1290" t="b">
        <v>0</v>
      </c>
      <c r="AT1290">
        <v>364</v>
      </c>
      <c r="AU1290">
        <f t="shared" si="62"/>
        <v>0.997</v>
      </c>
    </row>
    <row r="1291" spans="1:47" x14ac:dyDescent="0.3">
      <c r="A1291">
        <v>1289</v>
      </c>
      <c r="B1291" t="s">
        <v>5605</v>
      </c>
      <c r="C1291" t="s">
        <v>5570</v>
      </c>
      <c r="D1291">
        <v>225</v>
      </c>
      <c r="E1291" t="s">
        <v>5535</v>
      </c>
      <c r="F1291" t="str">
        <f>VLOOKUP(E1291,country_continent!A:C,2,FALSE)</f>
        <v>Switzerland</v>
      </c>
      <c r="G1291" t="str">
        <f>VLOOKUP(E1291,country_continent!A:C,3,FALSE)</f>
        <v>Europe</v>
      </c>
      <c r="H1291" t="s">
        <v>5571</v>
      </c>
      <c r="I1291" t="s">
        <v>5606</v>
      </c>
      <c r="J1291" s="3" t="str">
        <f t="shared" si="60"/>
        <v>1887/01/01</v>
      </c>
      <c r="K1291" t="s">
        <v>5607</v>
      </c>
      <c r="L1291" s="3" t="str">
        <f t="shared" si="61"/>
        <v>1887/12/31</v>
      </c>
      <c r="M1291" t="s">
        <v>49</v>
      </c>
      <c r="N1291" t="s">
        <v>49</v>
      </c>
      <c r="O1291" t="s">
        <v>49</v>
      </c>
      <c r="P1291">
        <v>1</v>
      </c>
      <c r="Q1291" t="s">
        <v>50</v>
      </c>
      <c r="R1291" t="s">
        <v>51</v>
      </c>
      <c r="S1291">
        <v>1844</v>
      </c>
      <c r="T1291">
        <v>1899</v>
      </c>
      <c r="U1291" t="s">
        <v>5575</v>
      </c>
      <c r="V1291" t="s">
        <v>5576</v>
      </c>
      <c r="Z1291">
        <v>0</v>
      </c>
      <c r="AA1291">
        <v>1</v>
      </c>
      <c r="AB1291">
        <v>0</v>
      </c>
      <c r="AC1291">
        <v>0</v>
      </c>
      <c r="AF1291">
        <v>1887</v>
      </c>
      <c r="AG1291">
        <v>1887</v>
      </c>
      <c r="AO1291" t="b">
        <v>0</v>
      </c>
      <c r="AT1291">
        <v>364</v>
      </c>
      <c r="AU1291">
        <f t="shared" si="62"/>
        <v>0.997</v>
      </c>
    </row>
    <row r="1292" spans="1:47" x14ac:dyDescent="0.3">
      <c r="A1292">
        <v>1290</v>
      </c>
      <c r="B1292" t="s">
        <v>5608</v>
      </c>
      <c r="C1292" t="s">
        <v>5609</v>
      </c>
      <c r="D1292">
        <v>225</v>
      </c>
      <c r="E1292" t="s">
        <v>5535</v>
      </c>
      <c r="F1292" t="str">
        <f>VLOOKUP(E1292,country_continent!A:C,2,FALSE)</f>
        <v>Switzerland</v>
      </c>
      <c r="G1292" t="str">
        <f>VLOOKUP(E1292,country_continent!A:C,3,FALSE)</f>
        <v>Europe</v>
      </c>
      <c r="H1292" t="s">
        <v>5610</v>
      </c>
      <c r="I1292" t="s">
        <v>5611</v>
      </c>
      <c r="J1292" s="3" t="str">
        <f t="shared" si="60"/>
        <v>1888/01/01</v>
      </c>
      <c r="K1292" t="s">
        <v>5612</v>
      </c>
      <c r="L1292" s="3" t="str">
        <f t="shared" si="61"/>
        <v>1888/11/27</v>
      </c>
      <c r="M1292" t="s">
        <v>49</v>
      </c>
      <c r="N1292" t="s">
        <v>110</v>
      </c>
      <c r="O1292" t="s">
        <v>49</v>
      </c>
      <c r="P1292">
        <v>0</v>
      </c>
      <c r="Q1292" t="s">
        <v>111</v>
      </c>
      <c r="R1292" t="s">
        <v>51</v>
      </c>
      <c r="S1292">
        <v>1825</v>
      </c>
      <c r="T1292">
        <v>1888</v>
      </c>
      <c r="U1292" t="s">
        <v>5614</v>
      </c>
      <c r="V1292" t="s">
        <v>5615</v>
      </c>
      <c r="W1292" t="s">
        <v>5612</v>
      </c>
      <c r="X1292" t="s">
        <v>5613</v>
      </c>
      <c r="Z1292">
        <v>0</v>
      </c>
      <c r="AA1292">
        <v>2</v>
      </c>
      <c r="AB1292">
        <v>0</v>
      </c>
      <c r="AC1292">
        <v>-777</v>
      </c>
      <c r="AF1292">
        <v>1888</v>
      </c>
      <c r="AG1292">
        <v>1888</v>
      </c>
      <c r="AO1292" t="b">
        <v>0</v>
      </c>
      <c r="AT1292">
        <v>331</v>
      </c>
      <c r="AU1292">
        <f t="shared" si="62"/>
        <v>0.90700000000000003</v>
      </c>
    </row>
    <row r="1293" spans="1:47" x14ac:dyDescent="0.3">
      <c r="A1293">
        <v>1291</v>
      </c>
      <c r="B1293" t="s">
        <v>5616</v>
      </c>
      <c r="C1293" t="s">
        <v>5561</v>
      </c>
      <c r="D1293">
        <v>225</v>
      </c>
      <c r="E1293" t="s">
        <v>5535</v>
      </c>
      <c r="F1293" t="str">
        <f>VLOOKUP(E1293,country_continent!A:C,2,FALSE)</f>
        <v>Switzerland</v>
      </c>
      <c r="G1293" t="str">
        <f>VLOOKUP(E1293,country_continent!A:C,3,FALSE)</f>
        <v>Europe</v>
      </c>
      <c r="H1293" t="s">
        <v>5562</v>
      </c>
      <c r="I1293" t="s">
        <v>5612</v>
      </c>
      <c r="J1293" s="3" t="str">
        <f t="shared" si="60"/>
        <v>1888/11/27</v>
      </c>
      <c r="K1293" t="s">
        <v>5617</v>
      </c>
      <c r="L1293" s="3" t="str">
        <f t="shared" si="61"/>
        <v>1889/12/31</v>
      </c>
      <c r="M1293" t="s">
        <v>49</v>
      </c>
      <c r="N1293" t="s">
        <v>49</v>
      </c>
      <c r="O1293" t="s">
        <v>49</v>
      </c>
      <c r="P1293">
        <v>1</v>
      </c>
      <c r="Q1293" t="s">
        <v>50</v>
      </c>
      <c r="R1293" t="s">
        <v>51</v>
      </c>
      <c r="S1293">
        <v>1822</v>
      </c>
      <c r="T1293">
        <v>1907</v>
      </c>
      <c r="U1293" t="s">
        <v>5564</v>
      </c>
      <c r="V1293" t="s">
        <v>5565</v>
      </c>
      <c r="Z1293">
        <v>0</v>
      </c>
      <c r="AA1293">
        <v>1</v>
      </c>
      <c r="AB1293">
        <v>0</v>
      </c>
      <c r="AC1293">
        <v>0</v>
      </c>
      <c r="AF1293">
        <v>1888</v>
      </c>
      <c r="AG1293">
        <v>1889</v>
      </c>
      <c r="AO1293" t="b">
        <v>0</v>
      </c>
      <c r="AT1293">
        <v>399</v>
      </c>
      <c r="AU1293">
        <f t="shared" si="62"/>
        <v>1.093</v>
      </c>
    </row>
    <row r="1294" spans="1:47" x14ac:dyDescent="0.3">
      <c r="A1294">
        <v>1292</v>
      </c>
      <c r="B1294" t="s">
        <v>5619</v>
      </c>
      <c r="C1294" t="s">
        <v>5584</v>
      </c>
      <c r="D1294">
        <v>225</v>
      </c>
      <c r="E1294" t="s">
        <v>5535</v>
      </c>
      <c r="F1294" t="str">
        <f>VLOOKUP(E1294,country_continent!A:C,2,FALSE)</f>
        <v>Switzerland</v>
      </c>
      <c r="G1294" t="str">
        <f>VLOOKUP(E1294,country_continent!A:C,3,FALSE)</f>
        <v>Europe</v>
      </c>
      <c r="H1294" t="s">
        <v>5585</v>
      </c>
      <c r="I1294" t="s">
        <v>5620</v>
      </c>
      <c r="J1294" s="3" t="str">
        <f t="shared" si="60"/>
        <v>1890/01/01</v>
      </c>
      <c r="K1294" t="s">
        <v>5621</v>
      </c>
      <c r="L1294" s="3" t="str">
        <f t="shared" si="61"/>
        <v>1890/12/31</v>
      </c>
      <c r="M1294" t="s">
        <v>49</v>
      </c>
      <c r="N1294" t="s">
        <v>49</v>
      </c>
      <c r="O1294" t="s">
        <v>49</v>
      </c>
      <c r="P1294">
        <v>1</v>
      </c>
      <c r="Q1294" t="s">
        <v>50</v>
      </c>
      <c r="R1294" t="s">
        <v>51</v>
      </c>
      <c r="S1294">
        <v>1834</v>
      </c>
      <c r="T1294">
        <v>1893</v>
      </c>
      <c r="U1294" t="s">
        <v>5589</v>
      </c>
      <c r="V1294" t="s">
        <v>5590</v>
      </c>
      <c r="Y1294" t="s">
        <v>5591</v>
      </c>
      <c r="Z1294">
        <v>0</v>
      </c>
      <c r="AA1294">
        <v>1</v>
      </c>
      <c r="AB1294">
        <v>0</v>
      </c>
      <c r="AC1294">
        <v>0</v>
      </c>
      <c r="AF1294">
        <v>1890</v>
      </c>
      <c r="AG1294">
        <v>1890</v>
      </c>
      <c r="AO1294" t="b">
        <v>0</v>
      </c>
      <c r="AT1294">
        <v>364</v>
      </c>
      <c r="AU1294">
        <f t="shared" si="62"/>
        <v>0.997</v>
      </c>
    </row>
    <row r="1295" spans="1:47" x14ac:dyDescent="0.3">
      <c r="A1295">
        <v>1293</v>
      </c>
      <c r="B1295" t="s">
        <v>5622</v>
      </c>
      <c r="C1295" t="s">
        <v>5540</v>
      </c>
      <c r="D1295">
        <v>225</v>
      </c>
      <c r="E1295" t="s">
        <v>5535</v>
      </c>
      <c r="F1295" t="str">
        <f>VLOOKUP(E1295,country_continent!A:C,2,FALSE)</f>
        <v>Switzerland</v>
      </c>
      <c r="G1295" t="str">
        <f>VLOOKUP(E1295,country_continent!A:C,3,FALSE)</f>
        <v>Europe</v>
      </c>
      <c r="H1295" t="s">
        <v>5541</v>
      </c>
      <c r="I1295" t="s">
        <v>5623</v>
      </c>
      <c r="J1295" s="3" t="str">
        <f t="shared" si="60"/>
        <v>1891/01/01</v>
      </c>
      <c r="K1295" t="s">
        <v>5624</v>
      </c>
      <c r="L1295" s="3" t="str">
        <f t="shared" si="61"/>
        <v>1891/12/31</v>
      </c>
      <c r="M1295" t="s">
        <v>49</v>
      </c>
      <c r="N1295" t="s">
        <v>49</v>
      </c>
      <c r="O1295" t="s">
        <v>49</v>
      </c>
      <c r="P1295">
        <v>5</v>
      </c>
      <c r="Q1295" t="s">
        <v>50</v>
      </c>
      <c r="R1295" t="s">
        <v>51</v>
      </c>
      <c r="S1295">
        <v>1825</v>
      </c>
      <c r="T1295">
        <v>1899</v>
      </c>
      <c r="U1295" t="s">
        <v>5544</v>
      </c>
      <c r="V1295" t="s">
        <v>5545</v>
      </c>
      <c r="Z1295">
        <v>0</v>
      </c>
      <c r="AA1295">
        <v>1</v>
      </c>
      <c r="AB1295">
        <v>0</v>
      </c>
      <c r="AC1295">
        <v>0</v>
      </c>
      <c r="AF1295">
        <v>1891</v>
      </c>
      <c r="AG1295">
        <v>1891</v>
      </c>
      <c r="AO1295" t="b">
        <v>0</v>
      </c>
      <c r="AT1295">
        <v>364</v>
      </c>
      <c r="AU1295">
        <f t="shared" si="62"/>
        <v>0.997</v>
      </c>
    </row>
    <row r="1296" spans="1:47" x14ac:dyDescent="0.3">
      <c r="A1296">
        <v>1294</v>
      </c>
      <c r="B1296" t="s">
        <v>5625</v>
      </c>
      <c r="C1296" t="s">
        <v>5626</v>
      </c>
      <c r="D1296">
        <v>225</v>
      </c>
      <c r="E1296" t="s">
        <v>5535</v>
      </c>
      <c r="F1296" t="str">
        <f>VLOOKUP(E1296,country_continent!A:C,2,FALSE)</f>
        <v>Switzerland</v>
      </c>
      <c r="G1296" t="str">
        <f>VLOOKUP(E1296,country_continent!A:C,3,FALSE)</f>
        <v>Europe</v>
      </c>
      <c r="H1296" t="s">
        <v>5627</v>
      </c>
      <c r="I1296" t="s">
        <v>5628</v>
      </c>
      <c r="J1296" s="3" t="str">
        <f t="shared" si="60"/>
        <v>1892/01/01</v>
      </c>
      <c r="K1296" t="s">
        <v>5630</v>
      </c>
      <c r="L1296" s="3" t="str">
        <f t="shared" si="61"/>
        <v>1892/12/31</v>
      </c>
      <c r="M1296" t="s">
        <v>49</v>
      </c>
      <c r="N1296" t="s">
        <v>49</v>
      </c>
      <c r="O1296" t="s">
        <v>49</v>
      </c>
      <c r="P1296">
        <v>0</v>
      </c>
      <c r="Q1296" t="s">
        <v>50</v>
      </c>
      <c r="R1296" t="s">
        <v>51</v>
      </c>
      <c r="S1296">
        <v>1837</v>
      </c>
      <c r="T1296">
        <v>1902</v>
      </c>
      <c r="U1296" t="s">
        <v>5631</v>
      </c>
      <c r="V1296" t="s">
        <v>5632</v>
      </c>
      <c r="Z1296">
        <v>0</v>
      </c>
      <c r="AA1296">
        <v>1</v>
      </c>
      <c r="AB1296">
        <v>0</v>
      </c>
      <c r="AC1296">
        <v>0</v>
      </c>
      <c r="AF1296">
        <v>1892</v>
      </c>
      <c r="AG1296">
        <v>1892</v>
      </c>
      <c r="AO1296" t="b">
        <v>0</v>
      </c>
      <c r="AT1296">
        <v>365</v>
      </c>
      <c r="AU1296">
        <f t="shared" si="62"/>
        <v>1</v>
      </c>
    </row>
    <row r="1297" spans="1:47" x14ac:dyDescent="0.3">
      <c r="A1297">
        <v>1295</v>
      </c>
      <c r="B1297" t="s">
        <v>5633</v>
      </c>
      <c r="C1297" t="s">
        <v>5554</v>
      </c>
      <c r="D1297">
        <v>225</v>
      </c>
      <c r="E1297" t="s">
        <v>5535</v>
      </c>
      <c r="F1297" t="str">
        <f>VLOOKUP(E1297,country_continent!A:C,2,FALSE)</f>
        <v>Switzerland</v>
      </c>
      <c r="G1297" t="str">
        <f>VLOOKUP(E1297,country_continent!A:C,3,FALSE)</f>
        <v>Europe</v>
      </c>
      <c r="H1297" t="s">
        <v>5555</v>
      </c>
      <c r="I1297" t="s">
        <v>5634</v>
      </c>
      <c r="J1297" s="3" t="str">
        <f t="shared" si="60"/>
        <v>1893/01/01</v>
      </c>
      <c r="K1297" t="s">
        <v>5635</v>
      </c>
      <c r="L1297" s="3" t="str">
        <f t="shared" si="61"/>
        <v>1893/12/31</v>
      </c>
      <c r="M1297" t="s">
        <v>49</v>
      </c>
      <c r="N1297" t="s">
        <v>49</v>
      </c>
      <c r="O1297" t="s">
        <v>49</v>
      </c>
      <c r="P1297">
        <v>5</v>
      </c>
      <c r="Q1297" t="s">
        <v>50</v>
      </c>
      <c r="R1297" t="s">
        <v>51</v>
      </c>
      <c r="S1297">
        <v>1823</v>
      </c>
      <c r="T1297">
        <v>1895</v>
      </c>
      <c r="U1297" t="s">
        <v>5558</v>
      </c>
      <c r="V1297" t="s">
        <v>5559</v>
      </c>
      <c r="Z1297">
        <v>0</v>
      </c>
      <c r="AA1297">
        <v>1</v>
      </c>
      <c r="AB1297">
        <v>0</v>
      </c>
      <c r="AC1297">
        <v>0</v>
      </c>
      <c r="AF1297">
        <v>1893</v>
      </c>
      <c r="AG1297">
        <v>1893</v>
      </c>
      <c r="AO1297" t="b">
        <v>0</v>
      </c>
      <c r="AT1297">
        <v>364</v>
      </c>
      <c r="AU1297">
        <f t="shared" si="62"/>
        <v>0.997</v>
      </c>
    </row>
    <row r="1298" spans="1:47" x14ac:dyDescent="0.3">
      <c r="A1298">
        <v>1296</v>
      </c>
      <c r="B1298" t="s">
        <v>5636</v>
      </c>
      <c r="C1298" t="s">
        <v>5637</v>
      </c>
      <c r="D1298">
        <v>225</v>
      </c>
      <c r="E1298" t="s">
        <v>5535</v>
      </c>
      <c r="F1298" t="str">
        <f>VLOOKUP(E1298,country_continent!A:C,2,FALSE)</f>
        <v>Switzerland</v>
      </c>
      <c r="G1298" t="str">
        <f>VLOOKUP(E1298,country_continent!A:C,3,FALSE)</f>
        <v>Europe</v>
      </c>
      <c r="H1298" t="s">
        <v>5638</v>
      </c>
      <c r="I1298" t="s">
        <v>5639</v>
      </c>
      <c r="J1298" s="3" t="str">
        <f t="shared" si="60"/>
        <v>1894/01/01</v>
      </c>
      <c r="K1298" t="s">
        <v>5640</v>
      </c>
      <c r="L1298" s="3" t="str">
        <f t="shared" si="61"/>
        <v>1894/12/31</v>
      </c>
      <c r="M1298" t="s">
        <v>49</v>
      </c>
      <c r="N1298" t="s">
        <v>49</v>
      </c>
      <c r="O1298" t="s">
        <v>49</v>
      </c>
      <c r="P1298">
        <v>0</v>
      </c>
      <c r="Q1298" t="s">
        <v>50</v>
      </c>
      <c r="R1298" t="s">
        <v>51</v>
      </c>
      <c r="S1298">
        <v>1838</v>
      </c>
      <c r="T1298">
        <v>1922</v>
      </c>
      <c r="U1298" t="s">
        <v>5641</v>
      </c>
      <c r="V1298" t="s">
        <v>5642</v>
      </c>
      <c r="Z1298">
        <v>0</v>
      </c>
      <c r="AA1298">
        <v>1</v>
      </c>
      <c r="AB1298">
        <v>0</v>
      </c>
      <c r="AC1298">
        <v>0</v>
      </c>
      <c r="AF1298">
        <v>1894</v>
      </c>
      <c r="AG1298">
        <v>1894</v>
      </c>
      <c r="AO1298" t="b">
        <v>0</v>
      </c>
      <c r="AT1298">
        <v>364</v>
      </c>
      <c r="AU1298">
        <f t="shared" si="62"/>
        <v>0.997</v>
      </c>
    </row>
    <row r="1299" spans="1:47" x14ac:dyDescent="0.3">
      <c r="A1299">
        <v>1297</v>
      </c>
      <c r="B1299" t="s">
        <v>5643</v>
      </c>
      <c r="C1299" t="s">
        <v>5644</v>
      </c>
      <c r="D1299">
        <v>225</v>
      </c>
      <c r="E1299" t="s">
        <v>5535</v>
      </c>
      <c r="F1299" t="str">
        <f>VLOOKUP(E1299,country_continent!A:C,2,FALSE)</f>
        <v>Switzerland</v>
      </c>
      <c r="G1299" t="str">
        <f>VLOOKUP(E1299,country_continent!A:C,3,FALSE)</f>
        <v>Europe</v>
      </c>
      <c r="H1299" t="s">
        <v>5645</v>
      </c>
      <c r="I1299" t="s">
        <v>5646</v>
      </c>
      <c r="J1299" s="3" t="str">
        <f t="shared" si="60"/>
        <v>1895/01/01</v>
      </c>
      <c r="K1299" t="s">
        <v>5647</v>
      </c>
      <c r="L1299" s="3" t="str">
        <f t="shared" si="61"/>
        <v>1895/12/31</v>
      </c>
      <c r="M1299" t="s">
        <v>49</v>
      </c>
      <c r="N1299" t="s">
        <v>49</v>
      </c>
      <c r="O1299" t="s">
        <v>49</v>
      </c>
      <c r="P1299">
        <v>0</v>
      </c>
      <c r="Q1299" t="s">
        <v>50</v>
      </c>
      <c r="R1299" t="s">
        <v>51</v>
      </c>
      <c r="S1299">
        <v>1834</v>
      </c>
      <c r="T1299">
        <v>1908</v>
      </c>
      <c r="U1299" t="s">
        <v>5648</v>
      </c>
      <c r="V1299" t="s">
        <v>5649</v>
      </c>
      <c r="Z1299">
        <v>0</v>
      </c>
      <c r="AA1299">
        <v>1</v>
      </c>
      <c r="AB1299">
        <v>0</v>
      </c>
      <c r="AC1299">
        <v>0</v>
      </c>
      <c r="AF1299">
        <v>1895</v>
      </c>
      <c r="AG1299">
        <v>1895</v>
      </c>
      <c r="AO1299" t="b">
        <v>0</v>
      </c>
      <c r="AT1299">
        <v>364</v>
      </c>
      <c r="AU1299">
        <f t="shared" si="62"/>
        <v>0.997</v>
      </c>
    </row>
    <row r="1300" spans="1:47" x14ac:dyDescent="0.3">
      <c r="A1300">
        <v>1298</v>
      </c>
      <c r="B1300" t="s">
        <v>5650</v>
      </c>
      <c r="C1300" t="s">
        <v>5651</v>
      </c>
      <c r="D1300">
        <v>225</v>
      </c>
      <c r="E1300" t="s">
        <v>5535</v>
      </c>
      <c r="F1300" t="str">
        <f>VLOOKUP(E1300,country_continent!A:C,2,FALSE)</f>
        <v>Switzerland</v>
      </c>
      <c r="G1300" t="str">
        <f>VLOOKUP(E1300,country_continent!A:C,3,FALSE)</f>
        <v>Europe</v>
      </c>
      <c r="H1300" t="s">
        <v>5652</v>
      </c>
      <c r="I1300" t="s">
        <v>5653</v>
      </c>
      <c r="J1300" s="3" t="str">
        <f t="shared" si="60"/>
        <v>1896/01/01</v>
      </c>
      <c r="K1300" t="s">
        <v>5654</v>
      </c>
      <c r="L1300" s="3" t="str">
        <f t="shared" si="61"/>
        <v>1896/12/31</v>
      </c>
      <c r="M1300" t="s">
        <v>49</v>
      </c>
      <c r="N1300" t="s">
        <v>49</v>
      </c>
      <c r="O1300" t="s">
        <v>49</v>
      </c>
      <c r="P1300">
        <v>0</v>
      </c>
      <c r="Q1300" t="s">
        <v>50</v>
      </c>
      <c r="R1300" t="s">
        <v>51</v>
      </c>
      <c r="S1300">
        <v>1849</v>
      </c>
      <c r="T1300">
        <v>1918</v>
      </c>
      <c r="U1300" t="s">
        <v>5655</v>
      </c>
      <c r="V1300" t="s">
        <v>5656</v>
      </c>
      <c r="Z1300">
        <v>0</v>
      </c>
      <c r="AA1300">
        <v>1</v>
      </c>
      <c r="AB1300">
        <v>0</v>
      </c>
      <c r="AC1300">
        <v>0</v>
      </c>
      <c r="AF1300">
        <v>1896</v>
      </c>
      <c r="AG1300">
        <v>1896</v>
      </c>
      <c r="AO1300" t="b">
        <v>0</v>
      </c>
      <c r="AT1300">
        <v>365</v>
      </c>
      <c r="AU1300">
        <f t="shared" si="62"/>
        <v>1</v>
      </c>
    </row>
    <row r="1301" spans="1:47" x14ac:dyDescent="0.3">
      <c r="A1301">
        <v>1299</v>
      </c>
      <c r="B1301" t="s">
        <v>5657</v>
      </c>
      <c r="C1301" t="s">
        <v>5599</v>
      </c>
      <c r="D1301">
        <v>225</v>
      </c>
      <c r="E1301" t="s">
        <v>5535</v>
      </c>
      <c r="F1301" t="str">
        <f>VLOOKUP(E1301,country_continent!A:C,2,FALSE)</f>
        <v>Switzerland</v>
      </c>
      <c r="G1301" t="str">
        <f>VLOOKUP(E1301,country_continent!A:C,3,FALSE)</f>
        <v>Europe</v>
      </c>
      <c r="H1301" t="s">
        <v>5600</v>
      </c>
      <c r="I1301" t="s">
        <v>5658</v>
      </c>
      <c r="J1301" s="3" t="str">
        <f t="shared" si="60"/>
        <v>1897/01/01</v>
      </c>
      <c r="K1301" t="s">
        <v>5659</v>
      </c>
      <c r="L1301" s="3" t="str">
        <f t="shared" si="61"/>
        <v>1897/12/31</v>
      </c>
      <c r="M1301" t="s">
        <v>49</v>
      </c>
      <c r="N1301" t="s">
        <v>49</v>
      </c>
      <c r="O1301" t="s">
        <v>49</v>
      </c>
      <c r="P1301">
        <v>1</v>
      </c>
      <c r="Q1301" t="s">
        <v>50</v>
      </c>
      <c r="R1301" t="s">
        <v>51</v>
      </c>
      <c r="S1301">
        <v>1831</v>
      </c>
      <c r="T1301">
        <v>1912</v>
      </c>
      <c r="U1301" t="s">
        <v>5603</v>
      </c>
      <c r="V1301" t="s">
        <v>5604</v>
      </c>
      <c r="Z1301">
        <v>0</v>
      </c>
      <c r="AA1301">
        <v>1</v>
      </c>
      <c r="AB1301">
        <v>0</v>
      </c>
      <c r="AC1301">
        <v>0</v>
      </c>
      <c r="AF1301">
        <v>1897</v>
      </c>
      <c r="AG1301">
        <v>1897</v>
      </c>
      <c r="AO1301" t="b">
        <v>0</v>
      </c>
      <c r="AT1301">
        <v>364</v>
      </c>
      <c r="AU1301">
        <f t="shared" si="62"/>
        <v>0.997</v>
      </c>
    </row>
    <row r="1302" spans="1:47" x14ac:dyDescent="0.3">
      <c r="A1302">
        <v>1300</v>
      </c>
      <c r="B1302" t="s">
        <v>5660</v>
      </c>
      <c r="C1302" t="s">
        <v>5661</v>
      </c>
      <c r="D1302">
        <v>225</v>
      </c>
      <c r="E1302" t="s">
        <v>5535</v>
      </c>
      <c r="F1302" t="str">
        <f>VLOOKUP(E1302,country_continent!A:C,2,FALSE)</f>
        <v>Switzerland</v>
      </c>
      <c r="G1302" t="str">
        <f>VLOOKUP(E1302,country_continent!A:C,3,FALSE)</f>
        <v>Europe</v>
      </c>
      <c r="H1302" t="s">
        <v>5662</v>
      </c>
      <c r="I1302" t="s">
        <v>5663</v>
      </c>
      <c r="J1302" s="3" t="str">
        <f t="shared" si="60"/>
        <v>1898/01/01</v>
      </c>
      <c r="K1302" t="s">
        <v>5664</v>
      </c>
      <c r="L1302" s="3" t="str">
        <f t="shared" si="61"/>
        <v>1898/12/31</v>
      </c>
      <c r="M1302" t="s">
        <v>49</v>
      </c>
      <c r="N1302" t="s">
        <v>49</v>
      </c>
      <c r="O1302" t="s">
        <v>49</v>
      </c>
      <c r="P1302">
        <v>0</v>
      </c>
      <c r="Q1302" t="s">
        <v>50</v>
      </c>
      <c r="R1302" t="s">
        <v>51</v>
      </c>
      <c r="S1302">
        <v>1854</v>
      </c>
      <c r="T1302">
        <v>1919</v>
      </c>
      <c r="U1302" t="s">
        <v>5665</v>
      </c>
      <c r="V1302" t="s">
        <v>5666</v>
      </c>
      <c r="Z1302">
        <v>0</v>
      </c>
      <c r="AA1302">
        <v>1</v>
      </c>
      <c r="AB1302">
        <v>0</v>
      </c>
      <c r="AC1302">
        <v>0</v>
      </c>
      <c r="AF1302">
        <v>1898</v>
      </c>
      <c r="AG1302">
        <v>1898</v>
      </c>
      <c r="AO1302" t="b">
        <v>0</v>
      </c>
      <c r="AT1302">
        <v>364</v>
      </c>
      <c r="AU1302">
        <f t="shared" si="62"/>
        <v>0.997</v>
      </c>
    </row>
    <row r="1303" spans="1:47" x14ac:dyDescent="0.3">
      <c r="A1303">
        <v>1301</v>
      </c>
      <c r="B1303" t="s">
        <v>5667</v>
      </c>
      <c r="C1303" t="s">
        <v>5668</v>
      </c>
      <c r="D1303">
        <v>225</v>
      </c>
      <c r="E1303" t="s">
        <v>5535</v>
      </c>
      <c r="F1303" t="str">
        <f>VLOOKUP(E1303,country_continent!A:C,2,FALSE)</f>
        <v>Switzerland</v>
      </c>
      <c r="G1303" t="str">
        <f>VLOOKUP(E1303,country_continent!A:C,3,FALSE)</f>
        <v>Europe</v>
      </c>
      <c r="H1303" t="s">
        <v>5669</v>
      </c>
      <c r="I1303" t="s">
        <v>5670</v>
      </c>
      <c r="J1303" s="3" t="str">
        <f t="shared" si="60"/>
        <v>1899/01/01</v>
      </c>
      <c r="K1303" t="s">
        <v>5671</v>
      </c>
      <c r="L1303" s="3" t="str">
        <f t="shared" si="61"/>
        <v>1899/12/31</v>
      </c>
      <c r="M1303" t="s">
        <v>49</v>
      </c>
      <c r="N1303" t="s">
        <v>49</v>
      </c>
      <c r="O1303" t="s">
        <v>49</v>
      </c>
      <c r="P1303">
        <v>0</v>
      </c>
      <c r="Q1303" t="s">
        <v>50</v>
      </c>
      <c r="R1303" t="s">
        <v>51</v>
      </c>
      <c r="S1303">
        <v>1848</v>
      </c>
      <c r="T1303">
        <v>1919</v>
      </c>
      <c r="U1303" t="s">
        <v>5672</v>
      </c>
      <c r="V1303" t="s">
        <v>5673</v>
      </c>
      <c r="Z1303">
        <v>0</v>
      </c>
      <c r="AA1303">
        <v>1</v>
      </c>
      <c r="AB1303">
        <v>0</v>
      </c>
      <c r="AC1303">
        <v>0</v>
      </c>
      <c r="AF1303">
        <v>1899</v>
      </c>
      <c r="AG1303">
        <v>1899</v>
      </c>
      <c r="AO1303" t="b">
        <v>0</v>
      </c>
      <c r="AT1303">
        <v>364</v>
      </c>
      <c r="AU1303">
        <f t="shared" si="62"/>
        <v>0.997</v>
      </c>
    </row>
    <row r="1304" spans="1:47" x14ac:dyDescent="0.3">
      <c r="A1304">
        <v>1302</v>
      </c>
      <c r="B1304" t="s">
        <v>5674</v>
      </c>
      <c r="C1304" t="s">
        <v>5626</v>
      </c>
      <c r="D1304">
        <v>225</v>
      </c>
      <c r="E1304" t="s">
        <v>5535</v>
      </c>
      <c r="F1304" t="str">
        <f>VLOOKUP(E1304,country_continent!A:C,2,FALSE)</f>
        <v>Switzerland</v>
      </c>
      <c r="G1304" t="str">
        <f>VLOOKUP(E1304,country_continent!A:C,3,FALSE)</f>
        <v>Europe</v>
      </c>
      <c r="H1304" t="s">
        <v>5627</v>
      </c>
      <c r="I1304" s="1">
        <v>1</v>
      </c>
      <c r="J1304" s="3">
        <f t="shared" si="60"/>
        <v>1</v>
      </c>
      <c r="K1304" s="1">
        <v>366</v>
      </c>
      <c r="L1304" s="3">
        <f t="shared" si="61"/>
        <v>366</v>
      </c>
      <c r="M1304" t="s">
        <v>49</v>
      </c>
      <c r="N1304" t="s">
        <v>49</v>
      </c>
      <c r="O1304" t="s">
        <v>49</v>
      </c>
      <c r="P1304">
        <v>1</v>
      </c>
      <c r="Q1304" t="s">
        <v>50</v>
      </c>
      <c r="R1304" t="s">
        <v>51</v>
      </c>
      <c r="S1304">
        <v>1837</v>
      </c>
      <c r="T1304">
        <v>1902</v>
      </c>
      <c r="U1304" t="s">
        <v>5631</v>
      </c>
      <c r="V1304" t="s">
        <v>5632</v>
      </c>
      <c r="Z1304">
        <v>0</v>
      </c>
      <c r="AA1304">
        <v>1</v>
      </c>
      <c r="AB1304">
        <v>0</v>
      </c>
      <c r="AC1304">
        <v>0</v>
      </c>
      <c r="AF1304">
        <v>1900</v>
      </c>
      <c r="AG1304">
        <v>1900</v>
      </c>
      <c r="AO1304" t="b">
        <v>0</v>
      </c>
      <c r="AT1304">
        <v>364</v>
      </c>
      <c r="AU1304">
        <f t="shared" si="62"/>
        <v>0.997</v>
      </c>
    </row>
    <row r="1305" spans="1:47" x14ac:dyDescent="0.3">
      <c r="A1305">
        <v>1303</v>
      </c>
      <c r="B1305" t="s">
        <v>5675</v>
      </c>
      <c r="C1305" t="s">
        <v>5676</v>
      </c>
      <c r="D1305">
        <v>225</v>
      </c>
      <c r="E1305" t="s">
        <v>5535</v>
      </c>
      <c r="F1305" t="str">
        <f>VLOOKUP(E1305,country_continent!A:C,2,FALSE)</f>
        <v>Switzerland</v>
      </c>
      <c r="G1305" t="str">
        <f>VLOOKUP(E1305,country_continent!A:C,3,FALSE)</f>
        <v>Europe</v>
      </c>
      <c r="H1305" t="s">
        <v>5677</v>
      </c>
      <c r="I1305" s="1">
        <v>367</v>
      </c>
      <c r="J1305" s="3">
        <f t="shared" si="60"/>
        <v>367</v>
      </c>
      <c r="K1305" s="1">
        <v>731</v>
      </c>
      <c r="L1305" s="3">
        <f t="shared" si="61"/>
        <v>731</v>
      </c>
      <c r="M1305" t="s">
        <v>49</v>
      </c>
      <c r="N1305" t="s">
        <v>49</v>
      </c>
      <c r="O1305" t="s">
        <v>49</v>
      </c>
      <c r="P1305">
        <v>0</v>
      </c>
      <c r="Q1305" t="s">
        <v>50</v>
      </c>
      <c r="R1305" t="s">
        <v>51</v>
      </c>
      <c r="S1305">
        <v>1856</v>
      </c>
      <c r="T1305">
        <v>1911</v>
      </c>
      <c r="Z1305">
        <v>0</v>
      </c>
      <c r="AA1305">
        <v>1</v>
      </c>
      <c r="AB1305">
        <v>0</v>
      </c>
      <c r="AC1305">
        <v>0</v>
      </c>
      <c r="AF1305">
        <v>1901</v>
      </c>
      <c r="AG1305">
        <v>1901</v>
      </c>
      <c r="AO1305" t="b">
        <v>0</v>
      </c>
      <c r="AT1305">
        <v>364</v>
      </c>
      <c r="AU1305">
        <f t="shared" si="62"/>
        <v>0.997</v>
      </c>
    </row>
    <row r="1306" spans="1:47" x14ac:dyDescent="0.3">
      <c r="A1306">
        <v>1304</v>
      </c>
      <c r="B1306" t="s">
        <v>5678</v>
      </c>
      <c r="C1306" t="s">
        <v>5644</v>
      </c>
      <c r="D1306">
        <v>225</v>
      </c>
      <c r="E1306" t="s">
        <v>5535</v>
      </c>
      <c r="F1306" t="str">
        <f>VLOOKUP(E1306,country_continent!A:C,2,FALSE)</f>
        <v>Switzerland</v>
      </c>
      <c r="G1306" t="str">
        <f>VLOOKUP(E1306,country_continent!A:C,3,FALSE)</f>
        <v>Europe</v>
      </c>
      <c r="H1306" t="s">
        <v>5645</v>
      </c>
      <c r="I1306" s="1">
        <v>732</v>
      </c>
      <c r="J1306" s="3">
        <f t="shared" si="60"/>
        <v>732</v>
      </c>
      <c r="K1306" s="1">
        <v>1096</v>
      </c>
      <c r="L1306" s="3">
        <f t="shared" si="61"/>
        <v>1096</v>
      </c>
      <c r="M1306" t="s">
        <v>49</v>
      </c>
      <c r="N1306" t="s">
        <v>49</v>
      </c>
      <c r="O1306" t="s">
        <v>49</v>
      </c>
      <c r="P1306">
        <v>1</v>
      </c>
      <c r="Q1306" t="s">
        <v>50</v>
      </c>
      <c r="R1306" t="s">
        <v>51</v>
      </c>
      <c r="S1306">
        <v>1834</v>
      </c>
      <c r="T1306">
        <v>1908</v>
      </c>
      <c r="U1306" t="s">
        <v>5648</v>
      </c>
      <c r="V1306" t="s">
        <v>5649</v>
      </c>
      <c r="Z1306">
        <v>0</v>
      </c>
      <c r="AA1306">
        <v>1</v>
      </c>
      <c r="AB1306">
        <v>0</v>
      </c>
      <c r="AC1306">
        <v>0</v>
      </c>
      <c r="AF1306">
        <v>1902</v>
      </c>
      <c r="AG1306">
        <v>1902</v>
      </c>
      <c r="AO1306" t="b">
        <v>0</v>
      </c>
      <c r="AT1306">
        <v>364</v>
      </c>
      <c r="AU1306">
        <f t="shared" si="62"/>
        <v>0.997</v>
      </c>
    </row>
    <row r="1307" spans="1:47" x14ac:dyDescent="0.3">
      <c r="A1307">
        <v>1305</v>
      </c>
      <c r="B1307" t="s">
        <v>5679</v>
      </c>
      <c r="C1307" t="s">
        <v>5599</v>
      </c>
      <c r="D1307">
        <v>225</v>
      </c>
      <c r="E1307" t="s">
        <v>5535</v>
      </c>
      <c r="F1307" t="str">
        <f>VLOOKUP(E1307,country_continent!A:C,2,FALSE)</f>
        <v>Switzerland</v>
      </c>
      <c r="G1307" t="str">
        <f>VLOOKUP(E1307,country_continent!A:C,3,FALSE)</f>
        <v>Europe</v>
      </c>
      <c r="H1307" t="s">
        <v>5600</v>
      </c>
      <c r="I1307" s="1">
        <v>1097</v>
      </c>
      <c r="J1307" s="3">
        <f t="shared" si="60"/>
        <v>1097</v>
      </c>
      <c r="K1307" s="1">
        <v>1461</v>
      </c>
      <c r="L1307" s="3">
        <f t="shared" si="61"/>
        <v>1461</v>
      </c>
      <c r="M1307" t="s">
        <v>49</v>
      </c>
      <c r="N1307" t="s">
        <v>49</v>
      </c>
      <c r="O1307" t="s">
        <v>49</v>
      </c>
      <c r="P1307">
        <v>2</v>
      </c>
      <c r="Q1307" t="s">
        <v>50</v>
      </c>
      <c r="R1307" t="s">
        <v>51</v>
      </c>
      <c r="S1307">
        <v>1831</v>
      </c>
      <c r="T1307">
        <v>1912</v>
      </c>
      <c r="U1307" t="s">
        <v>5603</v>
      </c>
      <c r="V1307" t="s">
        <v>5604</v>
      </c>
      <c r="Z1307">
        <v>0</v>
      </c>
      <c r="AA1307">
        <v>1</v>
      </c>
      <c r="AB1307">
        <v>0</v>
      </c>
      <c r="AC1307">
        <v>0</v>
      </c>
      <c r="AF1307">
        <v>1903</v>
      </c>
      <c r="AG1307">
        <v>1903</v>
      </c>
      <c r="AO1307" t="b">
        <v>0</v>
      </c>
      <c r="AT1307">
        <v>364</v>
      </c>
      <c r="AU1307">
        <f t="shared" si="62"/>
        <v>0.997</v>
      </c>
    </row>
    <row r="1308" spans="1:47" x14ac:dyDescent="0.3">
      <c r="A1308">
        <v>1306</v>
      </c>
      <c r="B1308" t="s">
        <v>5680</v>
      </c>
      <c r="C1308" t="s">
        <v>5681</v>
      </c>
      <c r="D1308">
        <v>225</v>
      </c>
      <c r="E1308" t="s">
        <v>5535</v>
      </c>
      <c r="F1308" t="str">
        <f>VLOOKUP(E1308,country_continent!A:C,2,FALSE)</f>
        <v>Switzerland</v>
      </c>
      <c r="G1308" t="str">
        <f>VLOOKUP(E1308,country_continent!A:C,3,FALSE)</f>
        <v>Europe</v>
      </c>
      <c r="H1308" t="s">
        <v>5682</v>
      </c>
      <c r="I1308" s="1">
        <v>1462</v>
      </c>
      <c r="J1308" s="3">
        <f t="shared" si="60"/>
        <v>1462</v>
      </c>
      <c r="K1308" s="1">
        <v>1827</v>
      </c>
      <c r="L1308" s="3">
        <f t="shared" si="61"/>
        <v>1827</v>
      </c>
      <c r="M1308" t="s">
        <v>49</v>
      </c>
      <c r="N1308" t="s">
        <v>49</v>
      </c>
      <c r="O1308" t="s">
        <v>49</v>
      </c>
      <c r="P1308">
        <v>0</v>
      </c>
      <c r="Q1308" t="s">
        <v>50</v>
      </c>
      <c r="R1308" t="s">
        <v>51</v>
      </c>
      <c r="S1308">
        <v>1847</v>
      </c>
      <c r="T1308">
        <v>1922</v>
      </c>
      <c r="U1308" t="s">
        <v>5683</v>
      </c>
      <c r="V1308" t="s">
        <v>5684</v>
      </c>
      <c r="Z1308">
        <v>0</v>
      </c>
      <c r="AA1308">
        <v>1</v>
      </c>
      <c r="AB1308">
        <v>0</v>
      </c>
      <c r="AC1308">
        <v>0</v>
      </c>
      <c r="AF1308">
        <v>1904</v>
      </c>
      <c r="AG1308">
        <v>1904</v>
      </c>
      <c r="AO1308" t="b">
        <v>0</v>
      </c>
      <c r="AT1308">
        <v>365</v>
      </c>
      <c r="AU1308">
        <f t="shared" si="62"/>
        <v>1</v>
      </c>
    </row>
    <row r="1309" spans="1:47" x14ac:dyDescent="0.3">
      <c r="A1309">
        <v>1307</v>
      </c>
      <c r="B1309" t="s">
        <v>5685</v>
      </c>
      <c r="C1309" t="s">
        <v>5686</v>
      </c>
      <c r="D1309">
        <v>225</v>
      </c>
      <c r="E1309" t="s">
        <v>5535</v>
      </c>
      <c r="F1309" t="str">
        <f>VLOOKUP(E1309,country_continent!A:C,2,FALSE)</f>
        <v>Switzerland</v>
      </c>
      <c r="G1309" t="str">
        <f>VLOOKUP(E1309,country_continent!A:C,3,FALSE)</f>
        <v>Europe</v>
      </c>
      <c r="H1309" t="s">
        <v>5687</v>
      </c>
      <c r="I1309" s="1">
        <v>1828</v>
      </c>
      <c r="J1309" s="3">
        <f t="shared" si="60"/>
        <v>1828</v>
      </c>
      <c r="K1309" s="1">
        <v>2192</v>
      </c>
      <c r="L1309" s="3">
        <f t="shared" si="61"/>
        <v>2192</v>
      </c>
      <c r="M1309" t="s">
        <v>49</v>
      </c>
      <c r="N1309" t="s">
        <v>49</v>
      </c>
      <c r="O1309" t="s">
        <v>49</v>
      </c>
      <c r="P1309">
        <v>0</v>
      </c>
      <c r="Q1309" t="s">
        <v>50</v>
      </c>
      <c r="R1309" t="s">
        <v>51</v>
      </c>
      <c r="S1309">
        <v>1853</v>
      </c>
      <c r="T1309">
        <v>1912</v>
      </c>
      <c r="U1309" t="s">
        <v>5688</v>
      </c>
      <c r="V1309" t="s">
        <v>5689</v>
      </c>
      <c r="Z1309">
        <v>0</v>
      </c>
      <c r="AA1309">
        <v>1</v>
      </c>
      <c r="AB1309">
        <v>0</v>
      </c>
      <c r="AC1309">
        <v>0</v>
      </c>
      <c r="AF1309">
        <v>1905</v>
      </c>
      <c r="AG1309">
        <v>1905</v>
      </c>
      <c r="AO1309" t="b">
        <v>0</v>
      </c>
      <c r="AT1309">
        <v>364</v>
      </c>
      <c r="AU1309">
        <f t="shared" si="62"/>
        <v>0.997</v>
      </c>
    </row>
    <row r="1310" spans="1:47" x14ac:dyDescent="0.3">
      <c r="A1310">
        <v>1308</v>
      </c>
      <c r="B1310" t="s">
        <v>5690</v>
      </c>
      <c r="C1310" t="s">
        <v>5691</v>
      </c>
      <c r="D1310">
        <v>225</v>
      </c>
      <c r="E1310" t="s">
        <v>5535</v>
      </c>
      <c r="F1310" t="str">
        <f>VLOOKUP(E1310,country_continent!A:C,2,FALSE)</f>
        <v>Switzerland</v>
      </c>
      <c r="G1310" t="str">
        <f>VLOOKUP(E1310,country_continent!A:C,3,FALSE)</f>
        <v>Europe</v>
      </c>
      <c r="H1310" t="s">
        <v>5692</v>
      </c>
      <c r="I1310" s="1">
        <v>2193</v>
      </c>
      <c r="J1310" s="3">
        <f t="shared" si="60"/>
        <v>2193</v>
      </c>
      <c r="K1310" s="1">
        <v>2557</v>
      </c>
      <c r="L1310" s="3">
        <f t="shared" si="61"/>
        <v>2557</v>
      </c>
      <c r="M1310" t="s">
        <v>49</v>
      </c>
      <c r="N1310" t="s">
        <v>49</v>
      </c>
      <c r="O1310" t="s">
        <v>49</v>
      </c>
      <c r="P1310">
        <v>0</v>
      </c>
      <c r="Q1310" t="s">
        <v>50</v>
      </c>
      <c r="R1310" t="s">
        <v>51</v>
      </c>
      <c r="S1310">
        <v>1845</v>
      </c>
      <c r="T1310">
        <v>1921</v>
      </c>
      <c r="U1310" t="s">
        <v>5693</v>
      </c>
      <c r="V1310" t="s">
        <v>5694</v>
      </c>
      <c r="Z1310">
        <v>0</v>
      </c>
      <c r="AA1310">
        <v>1</v>
      </c>
      <c r="AB1310">
        <v>0</v>
      </c>
      <c r="AC1310">
        <v>0</v>
      </c>
      <c r="AF1310">
        <v>1906</v>
      </c>
      <c r="AG1310">
        <v>1906</v>
      </c>
      <c r="AO1310" t="b">
        <v>0</v>
      </c>
      <c r="AT1310">
        <v>364</v>
      </c>
      <c r="AU1310">
        <f t="shared" si="62"/>
        <v>0.997</v>
      </c>
    </row>
    <row r="1311" spans="1:47" x14ac:dyDescent="0.3">
      <c r="A1311">
        <v>1309</v>
      </c>
      <c r="B1311" t="s">
        <v>5695</v>
      </c>
      <c r="C1311" t="s">
        <v>5668</v>
      </c>
      <c r="D1311">
        <v>225</v>
      </c>
      <c r="E1311" t="s">
        <v>5535</v>
      </c>
      <c r="F1311" t="str">
        <f>VLOOKUP(E1311,country_continent!A:C,2,FALSE)</f>
        <v>Switzerland</v>
      </c>
      <c r="G1311" t="str">
        <f>VLOOKUP(E1311,country_continent!A:C,3,FALSE)</f>
        <v>Europe</v>
      </c>
      <c r="H1311" t="s">
        <v>5669</v>
      </c>
      <c r="I1311" s="1">
        <v>2558</v>
      </c>
      <c r="J1311" s="3">
        <f t="shared" si="60"/>
        <v>2558</v>
      </c>
      <c r="K1311" s="1">
        <v>2922</v>
      </c>
      <c r="L1311" s="3">
        <f t="shared" si="61"/>
        <v>2922</v>
      </c>
      <c r="M1311" t="s">
        <v>49</v>
      </c>
      <c r="N1311" t="s">
        <v>49</v>
      </c>
      <c r="O1311" t="s">
        <v>49</v>
      </c>
      <c r="P1311">
        <v>1</v>
      </c>
      <c r="Q1311" t="s">
        <v>50</v>
      </c>
      <c r="R1311" t="s">
        <v>51</v>
      </c>
      <c r="S1311">
        <v>1848</v>
      </c>
      <c r="T1311">
        <v>1919</v>
      </c>
      <c r="U1311" t="s">
        <v>5672</v>
      </c>
      <c r="V1311" t="s">
        <v>5673</v>
      </c>
      <c r="Z1311">
        <v>0</v>
      </c>
      <c r="AA1311">
        <v>1</v>
      </c>
      <c r="AB1311">
        <v>0</v>
      </c>
      <c r="AC1311">
        <v>0</v>
      </c>
      <c r="AF1311">
        <v>1907</v>
      </c>
      <c r="AG1311">
        <v>1907</v>
      </c>
      <c r="AO1311" t="b">
        <v>0</v>
      </c>
      <c r="AT1311">
        <v>364</v>
      </c>
      <c r="AU1311">
        <f t="shared" si="62"/>
        <v>0.997</v>
      </c>
    </row>
    <row r="1312" spans="1:47" x14ac:dyDescent="0.3">
      <c r="A1312">
        <v>1310</v>
      </c>
      <c r="B1312" t="s">
        <v>5696</v>
      </c>
      <c r="C1312" t="s">
        <v>5676</v>
      </c>
      <c r="D1312">
        <v>225</v>
      </c>
      <c r="E1312" t="s">
        <v>5535</v>
      </c>
      <c r="F1312" t="str">
        <f>VLOOKUP(E1312,country_continent!A:C,2,FALSE)</f>
        <v>Switzerland</v>
      </c>
      <c r="G1312" t="str">
        <f>VLOOKUP(E1312,country_continent!A:C,3,FALSE)</f>
        <v>Europe</v>
      </c>
      <c r="H1312" t="s">
        <v>5677</v>
      </c>
      <c r="I1312" s="1">
        <v>2923</v>
      </c>
      <c r="J1312" s="3">
        <f t="shared" si="60"/>
        <v>2923</v>
      </c>
      <c r="K1312" s="1">
        <v>3288</v>
      </c>
      <c r="L1312" s="3">
        <f t="shared" si="61"/>
        <v>3288</v>
      </c>
      <c r="M1312" t="s">
        <v>49</v>
      </c>
      <c r="N1312" t="s">
        <v>49</v>
      </c>
      <c r="O1312" t="s">
        <v>49</v>
      </c>
      <c r="P1312">
        <v>1</v>
      </c>
      <c r="Q1312" t="s">
        <v>50</v>
      </c>
      <c r="R1312" t="s">
        <v>51</v>
      </c>
      <c r="S1312">
        <v>1856</v>
      </c>
      <c r="T1312">
        <v>1911</v>
      </c>
      <c r="Z1312">
        <v>0</v>
      </c>
      <c r="AA1312">
        <v>1</v>
      </c>
      <c r="AB1312">
        <v>0</v>
      </c>
      <c r="AC1312">
        <v>0</v>
      </c>
      <c r="AF1312">
        <v>1908</v>
      </c>
      <c r="AG1312">
        <v>1908</v>
      </c>
      <c r="AO1312" t="b">
        <v>0</v>
      </c>
      <c r="AT1312">
        <v>365</v>
      </c>
      <c r="AU1312">
        <f t="shared" si="62"/>
        <v>1</v>
      </c>
    </row>
    <row r="1313" spans="1:47" x14ac:dyDescent="0.3">
      <c r="A1313">
        <v>1311</v>
      </c>
      <c r="B1313" t="s">
        <v>5697</v>
      </c>
      <c r="C1313" t="s">
        <v>5599</v>
      </c>
      <c r="D1313">
        <v>225</v>
      </c>
      <c r="E1313" t="s">
        <v>5535</v>
      </c>
      <c r="F1313" t="str">
        <f>VLOOKUP(E1313,country_continent!A:C,2,FALSE)</f>
        <v>Switzerland</v>
      </c>
      <c r="G1313" t="str">
        <f>VLOOKUP(E1313,country_continent!A:C,3,FALSE)</f>
        <v>Europe</v>
      </c>
      <c r="H1313" t="s">
        <v>5600</v>
      </c>
      <c r="I1313" s="1">
        <v>3289</v>
      </c>
      <c r="J1313" s="3">
        <f t="shared" si="60"/>
        <v>3289</v>
      </c>
      <c r="K1313" s="1">
        <v>3653</v>
      </c>
      <c r="L1313" s="3">
        <f t="shared" si="61"/>
        <v>3653</v>
      </c>
      <c r="M1313" t="s">
        <v>49</v>
      </c>
      <c r="N1313" t="s">
        <v>49</v>
      </c>
      <c r="O1313" t="s">
        <v>49</v>
      </c>
      <c r="P1313">
        <v>3</v>
      </c>
      <c r="Q1313" t="s">
        <v>50</v>
      </c>
      <c r="R1313" t="s">
        <v>51</v>
      </c>
      <c r="S1313">
        <v>1831</v>
      </c>
      <c r="T1313">
        <v>1912</v>
      </c>
      <c r="U1313" t="s">
        <v>5603</v>
      </c>
      <c r="V1313" t="s">
        <v>5604</v>
      </c>
      <c r="Z1313">
        <v>0</v>
      </c>
      <c r="AA1313">
        <v>1</v>
      </c>
      <c r="AB1313">
        <v>0</v>
      </c>
      <c r="AC1313">
        <v>0</v>
      </c>
      <c r="AF1313">
        <v>1909</v>
      </c>
      <c r="AG1313">
        <v>1909</v>
      </c>
      <c r="AO1313" t="b">
        <v>0</v>
      </c>
      <c r="AT1313">
        <v>364</v>
      </c>
      <c r="AU1313">
        <f t="shared" si="62"/>
        <v>0.997</v>
      </c>
    </row>
    <row r="1314" spans="1:47" x14ac:dyDescent="0.3">
      <c r="A1314">
        <v>1312</v>
      </c>
      <c r="B1314" t="s">
        <v>5698</v>
      </c>
      <c r="C1314" t="s">
        <v>5681</v>
      </c>
      <c r="D1314">
        <v>225</v>
      </c>
      <c r="E1314" t="s">
        <v>5535</v>
      </c>
      <c r="F1314" t="str">
        <f>VLOOKUP(E1314,country_continent!A:C,2,FALSE)</f>
        <v>Switzerland</v>
      </c>
      <c r="G1314" t="str">
        <f>VLOOKUP(E1314,country_continent!A:C,3,FALSE)</f>
        <v>Europe</v>
      </c>
      <c r="H1314" t="s">
        <v>5682</v>
      </c>
      <c r="I1314" s="1">
        <v>3654</v>
      </c>
      <c r="J1314" s="3">
        <f t="shared" si="60"/>
        <v>3654</v>
      </c>
      <c r="K1314" s="1">
        <v>4018</v>
      </c>
      <c r="L1314" s="3">
        <f t="shared" si="61"/>
        <v>4018</v>
      </c>
      <c r="M1314" t="s">
        <v>49</v>
      </c>
      <c r="N1314" t="s">
        <v>49</v>
      </c>
      <c r="O1314" t="s">
        <v>49</v>
      </c>
      <c r="P1314">
        <v>1</v>
      </c>
      <c r="Q1314" t="s">
        <v>50</v>
      </c>
      <c r="R1314" t="s">
        <v>51</v>
      </c>
      <c r="S1314">
        <v>1847</v>
      </c>
      <c r="T1314">
        <v>1922</v>
      </c>
      <c r="U1314" t="s">
        <v>5683</v>
      </c>
      <c r="V1314" t="s">
        <v>5684</v>
      </c>
      <c r="Z1314">
        <v>0</v>
      </c>
      <c r="AA1314">
        <v>1</v>
      </c>
      <c r="AB1314">
        <v>0</v>
      </c>
      <c r="AC1314">
        <v>0</v>
      </c>
      <c r="AF1314">
        <v>1910</v>
      </c>
      <c r="AG1314">
        <v>1910</v>
      </c>
      <c r="AO1314" t="b">
        <v>0</v>
      </c>
      <c r="AT1314">
        <v>364</v>
      </c>
      <c r="AU1314">
        <f t="shared" si="62"/>
        <v>0.997</v>
      </c>
    </row>
    <row r="1315" spans="1:47" x14ac:dyDescent="0.3">
      <c r="A1315">
        <v>1313</v>
      </c>
      <c r="B1315" t="s">
        <v>5699</v>
      </c>
      <c r="C1315" t="s">
        <v>5686</v>
      </c>
      <c r="D1315">
        <v>225</v>
      </c>
      <c r="E1315" t="s">
        <v>5535</v>
      </c>
      <c r="F1315" t="str">
        <f>VLOOKUP(E1315,country_continent!A:C,2,FALSE)</f>
        <v>Switzerland</v>
      </c>
      <c r="G1315" t="str">
        <f>VLOOKUP(E1315,country_continent!A:C,3,FALSE)</f>
        <v>Europe</v>
      </c>
      <c r="H1315" t="s">
        <v>5687</v>
      </c>
      <c r="I1315" s="1">
        <v>4019</v>
      </c>
      <c r="J1315" s="3">
        <f t="shared" si="60"/>
        <v>4019</v>
      </c>
      <c r="K1315" s="1">
        <v>4383</v>
      </c>
      <c r="L1315" s="3">
        <f t="shared" si="61"/>
        <v>4383</v>
      </c>
      <c r="M1315" t="s">
        <v>49</v>
      </c>
      <c r="N1315" t="s">
        <v>49</v>
      </c>
      <c r="O1315" t="s">
        <v>49</v>
      </c>
      <c r="P1315">
        <v>1</v>
      </c>
      <c r="Q1315" t="s">
        <v>50</v>
      </c>
      <c r="R1315" t="s">
        <v>51</v>
      </c>
      <c r="S1315">
        <v>1853</v>
      </c>
      <c r="T1315">
        <v>1912</v>
      </c>
      <c r="U1315" t="s">
        <v>5688</v>
      </c>
      <c r="V1315" t="s">
        <v>5689</v>
      </c>
      <c r="Z1315">
        <v>0</v>
      </c>
      <c r="AA1315">
        <v>1</v>
      </c>
      <c r="AB1315">
        <v>0</v>
      </c>
      <c r="AC1315">
        <v>0</v>
      </c>
      <c r="AF1315">
        <v>1911</v>
      </c>
      <c r="AG1315">
        <v>1911</v>
      </c>
      <c r="AO1315" t="b">
        <v>0</v>
      </c>
      <c r="AT1315">
        <v>364</v>
      </c>
      <c r="AU1315">
        <f t="shared" si="62"/>
        <v>0.997</v>
      </c>
    </row>
    <row r="1316" spans="1:47" x14ac:dyDescent="0.3">
      <c r="A1316">
        <v>1314</v>
      </c>
      <c r="B1316" t="s">
        <v>5700</v>
      </c>
      <c r="C1316" t="s">
        <v>5691</v>
      </c>
      <c r="D1316">
        <v>225</v>
      </c>
      <c r="E1316" t="s">
        <v>5535</v>
      </c>
      <c r="F1316" t="str">
        <f>VLOOKUP(E1316,country_continent!A:C,2,FALSE)</f>
        <v>Switzerland</v>
      </c>
      <c r="G1316" t="str">
        <f>VLOOKUP(E1316,country_continent!A:C,3,FALSE)</f>
        <v>Europe</v>
      </c>
      <c r="H1316" t="s">
        <v>5692</v>
      </c>
      <c r="I1316" s="1">
        <v>4384</v>
      </c>
      <c r="J1316" s="3">
        <f t="shared" si="60"/>
        <v>4384</v>
      </c>
      <c r="K1316" s="1">
        <v>4749</v>
      </c>
      <c r="L1316" s="3">
        <f t="shared" si="61"/>
        <v>4749</v>
      </c>
      <c r="M1316" t="s">
        <v>49</v>
      </c>
      <c r="N1316" t="s">
        <v>49</v>
      </c>
      <c r="O1316" t="s">
        <v>49</v>
      </c>
      <c r="P1316">
        <v>1</v>
      </c>
      <c r="Q1316" t="s">
        <v>50</v>
      </c>
      <c r="R1316" t="s">
        <v>51</v>
      </c>
      <c r="S1316">
        <v>1845</v>
      </c>
      <c r="T1316">
        <v>1921</v>
      </c>
      <c r="U1316" t="s">
        <v>5693</v>
      </c>
      <c r="V1316" t="s">
        <v>5694</v>
      </c>
      <c r="Z1316">
        <v>0</v>
      </c>
      <c r="AA1316">
        <v>1</v>
      </c>
      <c r="AB1316">
        <v>0</v>
      </c>
      <c r="AC1316">
        <v>0</v>
      </c>
      <c r="AF1316">
        <v>1912</v>
      </c>
      <c r="AG1316">
        <v>1912</v>
      </c>
      <c r="AO1316" t="b">
        <v>0</v>
      </c>
      <c r="AT1316">
        <v>365</v>
      </c>
      <c r="AU1316">
        <f t="shared" si="62"/>
        <v>1</v>
      </c>
    </row>
    <row r="1317" spans="1:47" x14ac:dyDescent="0.3">
      <c r="A1317">
        <v>1315</v>
      </c>
      <c r="B1317" t="s">
        <v>5701</v>
      </c>
      <c r="C1317" t="s">
        <v>5668</v>
      </c>
      <c r="D1317">
        <v>225</v>
      </c>
      <c r="E1317" t="s">
        <v>5535</v>
      </c>
      <c r="F1317" t="str">
        <f>VLOOKUP(E1317,country_continent!A:C,2,FALSE)</f>
        <v>Switzerland</v>
      </c>
      <c r="G1317" t="str">
        <f>VLOOKUP(E1317,country_continent!A:C,3,FALSE)</f>
        <v>Europe</v>
      </c>
      <c r="H1317" t="s">
        <v>5669</v>
      </c>
      <c r="I1317" s="1">
        <v>4750</v>
      </c>
      <c r="J1317" s="3">
        <f t="shared" si="60"/>
        <v>4750</v>
      </c>
      <c r="K1317" s="1">
        <v>5114</v>
      </c>
      <c r="L1317" s="3">
        <f t="shared" si="61"/>
        <v>5114</v>
      </c>
      <c r="M1317" t="s">
        <v>49</v>
      </c>
      <c r="N1317" t="s">
        <v>49</v>
      </c>
      <c r="O1317" t="s">
        <v>49</v>
      </c>
      <c r="P1317">
        <v>2</v>
      </c>
      <c r="Q1317" t="s">
        <v>50</v>
      </c>
      <c r="R1317" t="s">
        <v>51</v>
      </c>
      <c r="S1317">
        <v>1848</v>
      </c>
      <c r="T1317">
        <v>1919</v>
      </c>
      <c r="U1317" t="s">
        <v>5672</v>
      </c>
      <c r="V1317" t="s">
        <v>5673</v>
      </c>
      <c r="Z1317">
        <v>0</v>
      </c>
      <c r="AA1317">
        <v>1</v>
      </c>
      <c r="AB1317">
        <v>0</v>
      </c>
      <c r="AC1317">
        <v>0</v>
      </c>
      <c r="AF1317">
        <v>1913</v>
      </c>
      <c r="AG1317">
        <v>1913</v>
      </c>
      <c r="AO1317" t="b">
        <v>0</v>
      </c>
      <c r="AT1317">
        <v>364</v>
      </c>
      <c r="AU1317">
        <f t="shared" si="62"/>
        <v>0.997</v>
      </c>
    </row>
    <row r="1318" spans="1:47" x14ac:dyDescent="0.3">
      <c r="A1318">
        <v>1316</v>
      </c>
      <c r="B1318" t="s">
        <v>5702</v>
      </c>
      <c r="C1318" t="s">
        <v>5703</v>
      </c>
      <c r="D1318">
        <v>225</v>
      </c>
      <c r="E1318" t="s">
        <v>5535</v>
      </c>
      <c r="F1318" t="str">
        <f>VLOOKUP(E1318,country_continent!A:C,2,FALSE)</f>
        <v>Switzerland</v>
      </c>
      <c r="G1318" t="str">
        <f>VLOOKUP(E1318,country_continent!A:C,3,FALSE)</f>
        <v>Europe</v>
      </c>
      <c r="H1318" t="s">
        <v>5704</v>
      </c>
      <c r="I1318" s="1">
        <v>5115</v>
      </c>
      <c r="J1318" s="3">
        <f t="shared" si="60"/>
        <v>5115</v>
      </c>
      <c r="K1318" s="1">
        <v>5479</v>
      </c>
      <c r="L1318" s="3">
        <f t="shared" si="61"/>
        <v>5479</v>
      </c>
      <c r="M1318" t="s">
        <v>49</v>
      </c>
      <c r="N1318" t="s">
        <v>49</v>
      </c>
      <c r="O1318" t="s">
        <v>49</v>
      </c>
      <c r="P1318">
        <v>0</v>
      </c>
      <c r="Q1318" t="s">
        <v>50</v>
      </c>
      <c r="R1318" t="s">
        <v>51</v>
      </c>
      <c r="S1318">
        <v>1857</v>
      </c>
      <c r="T1318">
        <v>1927</v>
      </c>
      <c r="U1318" t="s">
        <v>5705</v>
      </c>
      <c r="V1318" t="s">
        <v>5706</v>
      </c>
      <c r="Z1318">
        <v>0</v>
      </c>
      <c r="AA1318">
        <v>1</v>
      </c>
      <c r="AB1318">
        <v>0</v>
      </c>
      <c r="AC1318">
        <v>0</v>
      </c>
      <c r="AF1318">
        <v>1914</v>
      </c>
      <c r="AG1318">
        <v>1914</v>
      </c>
      <c r="AO1318" t="b">
        <v>0</v>
      </c>
      <c r="AT1318">
        <v>364</v>
      </c>
      <c r="AU1318">
        <f t="shared" si="62"/>
        <v>0.997</v>
      </c>
    </row>
    <row r="1319" spans="1:47" x14ac:dyDescent="0.3">
      <c r="A1319">
        <v>1317</v>
      </c>
      <c r="B1319" t="s">
        <v>5707</v>
      </c>
      <c r="C1319" t="s">
        <v>5708</v>
      </c>
      <c r="D1319">
        <v>225</v>
      </c>
      <c r="E1319" t="s">
        <v>5535</v>
      </c>
      <c r="F1319" t="str">
        <f>VLOOKUP(E1319,country_continent!A:C,2,FALSE)</f>
        <v>Switzerland</v>
      </c>
      <c r="G1319" t="str">
        <f>VLOOKUP(E1319,country_continent!A:C,3,FALSE)</f>
        <v>Europe</v>
      </c>
      <c r="H1319" t="s">
        <v>5709</v>
      </c>
      <c r="I1319" s="1">
        <v>5480</v>
      </c>
      <c r="J1319" s="3">
        <f t="shared" si="60"/>
        <v>5480</v>
      </c>
      <c r="K1319" s="1">
        <v>5844</v>
      </c>
      <c r="L1319" s="3">
        <f t="shared" si="61"/>
        <v>5844</v>
      </c>
      <c r="M1319" t="s">
        <v>49</v>
      </c>
      <c r="N1319" t="s">
        <v>49</v>
      </c>
      <c r="O1319" t="s">
        <v>49</v>
      </c>
      <c r="P1319">
        <v>0</v>
      </c>
      <c r="Q1319" t="s">
        <v>50</v>
      </c>
      <c r="R1319" t="s">
        <v>51</v>
      </c>
      <c r="S1319">
        <v>1871</v>
      </c>
      <c r="T1319">
        <v>1940</v>
      </c>
      <c r="U1319" t="s">
        <v>5710</v>
      </c>
      <c r="V1319" t="s">
        <v>5711</v>
      </c>
      <c r="Z1319">
        <v>0</v>
      </c>
      <c r="AA1319">
        <v>1</v>
      </c>
      <c r="AB1319">
        <v>0</v>
      </c>
      <c r="AC1319">
        <v>0</v>
      </c>
      <c r="AF1319">
        <v>1915</v>
      </c>
      <c r="AG1319">
        <v>1915</v>
      </c>
      <c r="AO1319" t="b">
        <v>0</v>
      </c>
      <c r="AT1319">
        <v>364</v>
      </c>
      <c r="AU1319">
        <f t="shared" si="62"/>
        <v>0.997</v>
      </c>
    </row>
    <row r="1320" spans="1:47" x14ac:dyDescent="0.3">
      <c r="A1320">
        <v>1318</v>
      </c>
      <c r="B1320" t="s">
        <v>5712</v>
      </c>
      <c r="C1320" t="s">
        <v>5713</v>
      </c>
      <c r="D1320">
        <v>225</v>
      </c>
      <c r="E1320" t="s">
        <v>5535</v>
      </c>
      <c r="F1320" t="str">
        <f>VLOOKUP(E1320,country_continent!A:C,2,FALSE)</f>
        <v>Switzerland</v>
      </c>
      <c r="G1320" t="str">
        <f>VLOOKUP(E1320,country_continent!A:C,3,FALSE)</f>
        <v>Europe</v>
      </c>
      <c r="H1320" t="s">
        <v>5714</v>
      </c>
      <c r="I1320" s="1">
        <v>5845</v>
      </c>
      <c r="J1320" s="3">
        <f t="shared" si="60"/>
        <v>5845</v>
      </c>
      <c r="K1320" s="1">
        <v>6210</v>
      </c>
      <c r="L1320" s="3">
        <f t="shared" si="61"/>
        <v>6210</v>
      </c>
      <c r="M1320" t="s">
        <v>49</v>
      </c>
      <c r="N1320" t="s">
        <v>49</v>
      </c>
      <c r="O1320" t="s">
        <v>49</v>
      </c>
      <c r="P1320">
        <v>0</v>
      </c>
      <c r="Q1320" t="s">
        <v>50</v>
      </c>
      <c r="R1320" t="s">
        <v>51</v>
      </c>
      <c r="S1320">
        <v>1862</v>
      </c>
      <c r="T1320">
        <v>1925</v>
      </c>
      <c r="U1320" t="s">
        <v>5715</v>
      </c>
      <c r="V1320" t="s">
        <v>5716</v>
      </c>
      <c r="Z1320">
        <v>0</v>
      </c>
      <c r="AA1320">
        <v>1</v>
      </c>
      <c r="AB1320">
        <v>0</v>
      </c>
      <c r="AC1320">
        <v>0</v>
      </c>
      <c r="AF1320">
        <v>1916</v>
      </c>
      <c r="AG1320">
        <v>1916</v>
      </c>
      <c r="AO1320" t="b">
        <v>0</v>
      </c>
      <c r="AT1320">
        <v>365</v>
      </c>
      <c r="AU1320">
        <f t="shared" si="62"/>
        <v>1</v>
      </c>
    </row>
    <row r="1321" spans="1:47" x14ac:dyDescent="0.3">
      <c r="A1321">
        <v>1319</v>
      </c>
      <c r="B1321" t="s">
        <v>5717</v>
      </c>
      <c r="C1321" t="s">
        <v>5718</v>
      </c>
      <c r="D1321">
        <v>225</v>
      </c>
      <c r="E1321" t="s">
        <v>5535</v>
      </c>
      <c r="F1321" t="str">
        <f>VLOOKUP(E1321,country_continent!A:C,2,FALSE)</f>
        <v>Switzerland</v>
      </c>
      <c r="G1321" t="str">
        <f>VLOOKUP(E1321,country_continent!A:C,3,FALSE)</f>
        <v>Europe</v>
      </c>
      <c r="H1321" t="s">
        <v>5719</v>
      </c>
      <c r="I1321" s="1">
        <v>6211</v>
      </c>
      <c r="J1321" s="3">
        <f t="shared" si="60"/>
        <v>6211</v>
      </c>
      <c r="K1321" s="1">
        <v>6575</v>
      </c>
      <c r="L1321" s="3">
        <f t="shared" si="61"/>
        <v>6575</v>
      </c>
      <c r="M1321" t="s">
        <v>49</v>
      </c>
      <c r="N1321" t="s">
        <v>49</v>
      </c>
      <c r="O1321" t="s">
        <v>49</v>
      </c>
      <c r="P1321">
        <v>0</v>
      </c>
      <c r="Q1321" t="s">
        <v>50</v>
      </c>
      <c r="R1321" t="s">
        <v>51</v>
      </c>
      <c r="S1321">
        <v>1868</v>
      </c>
      <c r="T1321">
        <v>1944</v>
      </c>
      <c r="U1321" t="s">
        <v>5720</v>
      </c>
      <c r="V1321" t="s">
        <v>5721</v>
      </c>
      <c r="Z1321">
        <v>0</v>
      </c>
      <c r="AA1321">
        <v>1</v>
      </c>
      <c r="AB1321">
        <v>0</v>
      </c>
      <c r="AC1321">
        <v>0</v>
      </c>
      <c r="AF1321">
        <v>1917</v>
      </c>
      <c r="AG1321">
        <v>1917</v>
      </c>
      <c r="AO1321" t="b">
        <v>0</v>
      </c>
      <c r="AT1321">
        <v>364</v>
      </c>
      <c r="AU1321">
        <f t="shared" si="62"/>
        <v>0.997</v>
      </c>
    </row>
    <row r="1322" spans="1:47" x14ac:dyDescent="0.3">
      <c r="A1322">
        <v>1320</v>
      </c>
      <c r="B1322" t="s">
        <v>5722</v>
      </c>
      <c r="C1322" t="s">
        <v>5723</v>
      </c>
      <c r="D1322">
        <v>225</v>
      </c>
      <c r="E1322" t="s">
        <v>5535</v>
      </c>
      <c r="F1322" t="str">
        <f>VLOOKUP(E1322,country_continent!A:C,2,FALSE)</f>
        <v>Switzerland</v>
      </c>
      <c r="G1322" t="str">
        <f>VLOOKUP(E1322,country_continent!A:C,3,FALSE)</f>
        <v>Europe</v>
      </c>
      <c r="H1322" t="s">
        <v>5724</v>
      </c>
      <c r="I1322" s="1">
        <v>6576</v>
      </c>
      <c r="J1322" s="3">
        <f t="shared" si="60"/>
        <v>6576</v>
      </c>
      <c r="K1322" s="1">
        <v>6940</v>
      </c>
      <c r="L1322" s="3">
        <f t="shared" si="61"/>
        <v>6940</v>
      </c>
      <c r="M1322" t="s">
        <v>49</v>
      </c>
      <c r="N1322" t="s">
        <v>49</v>
      </c>
      <c r="O1322" t="s">
        <v>49</v>
      </c>
      <c r="P1322">
        <v>0</v>
      </c>
      <c r="Q1322" t="s">
        <v>50</v>
      </c>
      <c r="R1322" t="s">
        <v>51</v>
      </c>
      <c r="S1322">
        <v>1863</v>
      </c>
      <c r="T1322">
        <v>1952</v>
      </c>
      <c r="U1322" t="s">
        <v>5725</v>
      </c>
      <c r="V1322" t="s">
        <v>5726</v>
      </c>
      <c r="Z1322">
        <v>0</v>
      </c>
      <c r="AA1322">
        <v>1</v>
      </c>
      <c r="AB1322">
        <v>0</v>
      </c>
      <c r="AC1322">
        <v>0</v>
      </c>
      <c r="AF1322">
        <v>1918</v>
      </c>
      <c r="AG1322">
        <v>1918</v>
      </c>
      <c r="AO1322" t="b">
        <v>0</v>
      </c>
      <c r="AT1322">
        <v>364</v>
      </c>
      <c r="AU1322">
        <f t="shared" si="62"/>
        <v>0.997</v>
      </c>
    </row>
    <row r="1323" spans="1:47" x14ac:dyDescent="0.3">
      <c r="A1323">
        <v>1321</v>
      </c>
      <c r="B1323" t="s">
        <v>5727</v>
      </c>
      <c r="C1323" t="s">
        <v>5728</v>
      </c>
      <c r="D1323">
        <v>225</v>
      </c>
      <c r="E1323" t="s">
        <v>5535</v>
      </c>
      <c r="F1323" t="str">
        <f>VLOOKUP(E1323,country_continent!A:C,2,FALSE)</f>
        <v>Switzerland</v>
      </c>
      <c r="G1323" t="str">
        <f>VLOOKUP(E1323,country_continent!A:C,3,FALSE)</f>
        <v>Europe</v>
      </c>
      <c r="H1323" t="s">
        <v>5729</v>
      </c>
      <c r="I1323" s="1">
        <v>6941</v>
      </c>
      <c r="J1323" s="3">
        <f t="shared" si="60"/>
        <v>6941</v>
      </c>
      <c r="K1323" s="1">
        <v>7305</v>
      </c>
      <c r="L1323" s="3">
        <f t="shared" si="61"/>
        <v>7305</v>
      </c>
      <c r="M1323" t="s">
        <v>49</v>
      </c>
      <c r="N1323" t="s">
        <v>49</v>
      </c>
      <c r="O1323" t="s">
        <v>49</v>
      </c>
      <c r="P1323">
        <v>0</v>
      </c>
      <c r="Q1323" t="s">
        <v>50</v>
      </c>
      <c r="R1323" t="s">
        <v>51</v>
      </c>
      <c r="S1323">
        <v>1845</v>
      </c>
      <c r="T1323">
        <v>1928</v>
      </c>
      <c r="U1323" t="s">
        <v>5730</v>
      </c>
      <c r="V1323" t="s">
        <v>5731</v>
      </c>
      <c r="W1323" s="1">
        <v>10318</v>
      </c>
      <c r="X1323" s="2">
        <v>10318</v>
      </c>
      <c r="Z1323">
        <v>0</v>
      </c>
      <c r="AA1323">
        <v>1</v>
      </c>
      <c r="AB1323">
        <v>0</v>
      </c>
      <c r="AC1323">
        <v>0</v>
      </c>
      <c r="AF1323">
        <v>1919</v>
      </c>
      <c r="AG1323">
        <v>1919</v>
      </c>
      <c r="AO1323" t="b">
        <v>0</v>
      </c>
      <c r="AT1323">
        <v>364</v>
      </c>
      <c r="AU1323">
        <f t="shared" si="62"/>
        <v>0.997</v>
      </c>
    </row>
    <row r="1324" spans="1:47" x14ac:dyDescent="0.3">
      <c r="A1324">
        <v>1322</v>
      </c>
      <c r="B1324" t="s">
        <v>5732</v>
      </c>
      <c r="C1324" t="s">
        <v>5708</v>
      </c>
      <c r="D1324">
        <v>225</v>
      </c>
      <c r="E1324" t="s">
        <v>5535</v>
      </c>
      <c r="F1324" t="str">
        <f>VLOOKUP(E1324,country_continent!A:C,2,FALSE)</f>
        <v>Switzerland</v>
      </c>
      <c r="G1324" t="str">
        <f>VLOOKUP(E1324,country_continent!A:C,3,FALSE)</f>
        <v>Europe</v>
      </c>
      <c r="H1324" t="s">
        <v>5709</v>
      </c>
      <c r="I1324" s="1">
        <v>7306</v>
      </c>
      <c r="J1324" s="3">
        <f t="shared" si="60"/>
        <v>7306</v>
      </c>
      <c r="K1324" s="1">
        <v>7671</v>
      </c>
      <c r="L1324" s="3">
        <f t="shared" si="61"/>
        <v>7671</v>
      </c>
      <c r="M1324" t="s">
        <v>49</v>
      </c>
      <c r="N1324" t="s">
        <v>49</v>
      </c>
      <c r="O1324" t="s">
        <v>49</v>
      </c>
      <c r="P1324">
        <v>1</v>
      </c>
      <c r="Q1324" t="s">
        <v>50</v>
      </c>
      <c r="R1324" t="s">
        <v>51</v>
      </c>
      <c r="S1324">
        <v>1871</v>
      </c>
      <c r="T1324">
        <v>1940</v>
      </c>
      <c r="U1324" t="s">
        <v>5710</v>
      </c>
      <c r="V1324" t="s">
        <v>5711</v>
      </c>
      <c r="Z1324">
        <v>0</v>
      </c>
      <c r="AA1324">
        <v>1</v>
      </c>
      <c r="AB1324">
        <v>0</v>
      </c>
      <c r="AC1324">
        <v>0</v>
      </c>
      <c r="AF1324">
        <v>1920</v>
      </c>
      <c r="AG1324">
        <v>1920</v>
      </c>
      <c r="AO1324" t="b">
        <v>0</v>
      </c>
      <c r="AT1324">
        <v>365</v>
      </c>
      <c r="AU1324">
        <f t="shared" si="62"/>
        <v>1</v>
      </c>
    </row>
    <row r="1325" spans="1:47" x14ac:dyDescent="0.3">
      <c r="A1325">
        <v>1323</v>
      </c>
      <c r="B1325" t="s">
        <v>5733</v>
      </c>
      <c r="C1325" t="s">
        <v>5718</v>
      </c>
      <c r="D1325">
        <v>225</v>
      </c>
      <c r="E1325" t="s">
        <v>5535</v>
      </c>
      <c r="F1325" t="str">
        <f>VLOOKUP(E1325,country_continent!A:C,2,FALSE)</f>
        <v>Switzerland</v>
      </c>
      <c r="G1325" t="str">
        <f>VLOOKUP(E1325,country_continent!A:C,3,FALSE)</f>
        <v>Europe</v>
      </c>
      <c r="H1325" t="s">
        <v>5719</v>
      </c>
      <c r="I1325" s="1">
        <v>7672</v>
      </c>
      <c r="J1325" s="3">
        <f t="shared" si="60"/>
        <v>7672</v>
      </c>
      <c r="K1325" s="1">
        <v>8036</v>
      </c>
      <c r="L1325" s="3">
        <f t="shared" si="61"/>
        <v>8036</v>
      </c>
      <c r="M1325" t="s">
        <v>49</v>
      </c>
      <c r="N1325" t="s">
        <v>49</v>
      </c>
      <c r="O1325" t="s">
        <v>49</v>
      </c>
      <c r="P1325">
        <v>1</v>
      </c>
      <c r="Q1325" t="s">
        <v>50</v>
      </c>
      <c r="R1325" t="s">
        <v>51</v>
      </c>
      <c r="S1325">
        <v>1868</v>
      </c>
      <c r="T1325">
        <v>1944</v>
      </c>
      <c r="U1325" t="s">
        <v>5720</v>
      </c>
      <c r="V1325" t="s">
        <v>5721</v>
      </c>
      <c r="Z1325">
        <v>0</v>
      </c>
      <c r="AA1325">
        <v>1</v>
      </c>
      <c r="AB1325">
        <v>0</v>
      </c>
      <c r="AC1325">
        <v>0</v>
      </c>
      <c r="AF1325">
        <v>1921</v>
      </c>
      <c r="AG1325">
        <v>1921</v>
      </c>
      <c r="AO1325" t="b">
        <v>0</v>
      </c>
      <c r="AT1325">
        <v>364</v>
      </c>
      <c r="AU1325">
        <f t="shared" si="62"/>
        <v>0.997</v>
      </c>
    </row>
    <row r="1326" spans="1:47" x14ac:dyDescent="0.3">
      <c r="A1326">
        <v>1324</v>
      </c>
      <c r="B1326" t="s">
        <v>5734</v>
      </c>
      <c r="C1326" t="s">
        <v>5735</v>
      </c>
      <c r="D1326">
        <v>225</v>
      </c>
      <c r="E1326" t="s">
        <v>5535</v>
      </c>
      <c r="F1326" t="str">
        <f>VLOOKUP(E1326,country_continent!A:C,2,FALSE)</f>
        <v>Switzerland</v>
      </c>
      <c r="G1326" t="str">
        <f>VLOOKUP(E1326,country_continent!A:C,3,FALSE)</f>
        <v>Europe</v>
      </c>
      <c r="H1326" t="s">
        <v>5736</v>
      </c>
      <c r="I1326" s="1">
        <v>8037</v>
      </c>
      <c r="J1326" s="3">
        <f t="shared" si="60"/>
        <v>8037</v>
      </c>
      <c r="K1326" s="1">
        <v>8401</v>
      </c>
      <c r="L1326" s="3">
        <f t="shared" si="61"/>
        <v>8401</v>
      </c>
      <c r="M1326" t="s">
        <v>49</v>
      </c>
      <c r="N1326" t="s">
        <v>49</v>
      </c>
      <c r="O1326" t="s">
        <v>49</v>
      </c>
      <c r="P1326">
        <v>0</v>
      </c>
      <c r="Q1326" t="s">
        <v>50</v>
      </c>
      <c r="R1326" t="s">
        <v>51</v>
      </c>
      <c r="S1326">
        <v>1865</v>
      </c>
      <c r="T1326">
        <v>1939</v>
      </c>
      <c r="Z1326">
        <v>0</v>
      </c>
      <c r="AA1326">
        <v>1</v>
      </c>
      <c r="AB1326">
        <v>0</v>
      </c>
      <c r="AC1326">
        <v>0</v>
      </c>
      <c r="AF1326">
        <v>1922</v>
      </c>
      <c r="AG1326">
        <v>1922</v>
      </c>
      <c r="AO1326" t="b">
        <v>0</v>
      </c>
      <c r="AT1326">
        <v>364</v>
      </c>
      <c r="AU1326">
        <f t="shared" si="62"/>
        <v>0.997</v>
      </c>
    </row>
    <row r="1327" spans="1:47" x14ac:dyDescent="0.3">
      <c r="A1327">
        <v>1325</v>
      </c>
      <c r="B1327" t="s">
        <v>5737</v>
      </c>
      <c r="C1327" t="s">
        <v>5738</v>
      </c>
      <c r="D1327">
        <v>225</v>
      </c>
      <c r="E1327" t="s">
        <v>5535</v>
      </c>
      <c r="F1327" t="str">
        <f>VLOOKUP(E1327,country_continent!A:C,2,FALSE)</f>
        <v>Switzerland</v>
      </c>
      <c r="G1327" t="str">
        <f>VLOOKUP(E1327,country_continent!A:C,3,FALSE)</f>
        <v>Europe</v>
      </c>
      <c r="H1327" t="s">
        <v>5739</v>
      </c>
      <c r="I1327" s="1">
        <v>8402</v>
      </c>
      <c r="J1327" s="3">
        <f t="shared" si="60"/>
        <v>8402</v>
      </c>
      <c r="K1327" s="1">
        <v>8766</v>
      </c>
      <c r="L1327" s="3">
        <f t="shared" si="61"/>
        <v>8766</v>
      </c>
      <c r="M1327" t="s">
        <v>49</v>
      </c>
      <c r="N1327" t="s">
        <v>49</v>
      </c>
      <c r="O1327" t="s">
        <v>49</v>
      </c>
      <c r="P1327">
        <v>0</v>
      </c>
      <c r="Q1327" t="s">
        <v>50</v>
      </c>
      <c r="R1327" t="s">
        <v>51</v>
      </c>
      <c r="S1327">
        <v>1872</v>
      </c>
      <c r="T1327">
        <v>1929</v>
      </c>
      <c r="Z1327">
        <v>0</v>
      </c>
      <c r="AA1327">
        <v>1</v>
      </c>
      <c r="AB1327">
        <v>0</v>
      </c>
      <c r="AC1327">
        <v>0</v>
      </c>
      <c r="AF1327">
        <v>1923</v>
      </c>
      <c r="AG1327">
        <v>1923</v>
      </c>
      <c r="AO1327" t="b">
        <v>0</v>
      </c>
      <c r="AT1327">
        <v>364</v>
      </c>
      <c r="AU1327">
        <f t="shared" si="62"/>
        <v>0.997</v>
      </c>
    </row>
    <row r="1328" spans="1:47" x14ac:dyDescent="0.3">
      <c r="A1328">
        <v>1326</v>
      </c>
      <c r="B1328" t="s">
        <v>5740</v>
      </c>
      <c r="C1328" t="s">
        <v>5741</v>
      </c>
      <c r="D1328">
        <v>225</v>
      </c>
      <c r="E1328" t="s">
        <v>5535</v>
      </c>
      <c r="F1328" t="str">
        <f>VLOOKUP(E1328,country_continent!A:C,2,FALSE)</f>
        <v>Switzerland</v>
      </c>
      <c r="G1328" t="str">
        <f>VLOOKUP(E1328,country_continent!A:C,3,FALSE)</f>
        <v>Europe</v>
      </c>
      <c r="H1328" t="s">
        <v>5742</v>
      </c>
      <c r="I1328" s="1">
        <v>8767</v>
      </c>
      <c r="J1328" s="3">
        <f t="shared" si="60"/>
        <v>8767</v>
      </c>
      <c r="K1328" s="1">
        <v>9132</v>
      </c>
      <c r="L1328" s="3">
        <f t="shared" si="61"/>
        <v>9132</v>
      </c>
      <c r="M1328" t="s">
        <v>49</v>
      </c>
      <c r="N1328" t="s">
        <v>49</v>
      </c>
      <c r="O1328" t="s">
        <v>49</v>
      </c>
      <c r="P1328">
        <v>0</v>
      </c>
      <c r="Q1328" t="s">
        <v>50</v>
      </c>
      <c r="R1328" t="s">
        <v>51</v>
      </c>
      <c r="S1328">
        <v>1857</v>
      </c>
      <c r="T1328">
        <v>1942</v>
      </c>
      <c r="Z1328">
        <v>0</v>
      </c>
      <c r="AA1328">
        <v>1</v>
      </c>
      <c r="AB1328">
        <v>0</v>
      </c>
      <c r="AC1328">
        <v>0</v>
      </c>
      <c r="AF1328">
        <v>1924</v>
      </c>
      <c r="AG1328">
        <v>1924</v>
      </c>
      <c r="AO1328" t="b">
        <v>0</v>
      </c>
      <c r="AT1328">
        <v>365</v>
      </c>
      <c r="AU1328">
        <f t="shared" si="62"/>
        <v>1</v>
      </c>
    </row>
    <row r="1329" spans="1:47" x14ac:dyDescent="0.3">
      <c r="A1329">
        <v>1327</v>
      </c>
      <c r="B1329" t="s">
        <v>5743</v>
      </c>
      <c r="C1329" t="s">
        <v>5744</v>
      </c>
      <c r="D1329">
        <v>225</v>
      </c>
      <c r="E1329" t="s">
        <v>5535</v>
      </c>
      <c r="F1329" t="str">
        <f>VLOOKUP(E1329,country_continent!A:C,2,FALSE)</f>
        <v>Switzerland</v>
      </c>
      <c r="G1329" t="str">
        <f>VLOOKUP(E1329,country_continent!A:C,3,FALSE)</f>
        <v>Europe</v>
      </c>
      <c r="H1329" t="s">
        <v>5745</v>
      </c>
      <c r="I1329" s="1">
        <v>9133</v>
      </c>
      <c r="J1329" s="3">
        <f t="shared" si="60"/>
        <v>9133</v>
      </c>
      <c r="K1329" s="1">
        <v>9497</v>
      </c>
      <c r="L1329" s="3">
        <f t="shared" si="61"/>
        <v>9497</v>
      </c>
      <c r="M1329" t="s">
        <v>49</v>
      </c>
      <c r="N1329" t="s">
        <v>49</v>
      </c>
      <c r="O1329" t="s">
        <v>49</v>
      </c>
      <c r="P1329">
        <v>0</v>
      </c>
      <c r="Q1329" t="s">
        <v>50</v>
      </c>
      <c r="R1329" t="s">
        <v>51</v>
      </c>
      <c r="S1329">
        <v>1876</v>
      </c>
      <c r="T1329">
        <v>1952</v>
      </c>
      <c r="U1329" t="s">
        <v>5746</v>
      </c>
      <c r="V1329" t="s">
        <v>5747</v>
      </c>
      <c r="Z1329">
        <v>0</v>
      </c>
      <c r="AA1329">
        <v>1</v>
      </c>
      <c r="AB1329">
        <v>0</v>
      </c>
      <c r="AC1329">
        <v>0</v>
      </c>
      <c r="AF1329">
        <v>1925</v>
      </c>
      <c r="AG1329">
        <v>1925</v>
      </c>
      <c r="AO1329" t="b">
        <v>0</v>
      </c>
      <c r="AT1329">
        <v>364</v>
      </c>
      <c r="AU1329">
        <f t="shared" si="62"/>
        <v>0.997</v>
      </c>
    </row>
    <row r="1330" spans="1:47" x14ac:dyDescent="0.3">
      <c r="A1330">
        <v>1328</v>
      </c>
      <c r="B1330" t="s">
        <v>5748</v>
      </c>
      <c r="C1330" t="s">
        <v>5749</v>
      </c>
      <c r="D1330">
        <v>225</v>
      </c>
      <c r="E1330" t="s">
        <v>5535</v>
      </c>
      <c r="F1330" t="str">
        <f>VLOOKUP(E1330,country_continent!A:C,2,FALSE)</f>
        <v>Switzerland</v>
      </c>
      <c r="G1330" t="str">
        <f>VLOOKUP(E1330,country_continent!A:C,3,FALSE)</f>
        <v>Europe</v>
      </c>
      <c r="H1330" t="s">
        <v>5750</v>
      </c>
      <c r="I1330" s="1">
        <v>9498</v>
      </c>
      <c r="J1330" s="3">
        <f t="shared" si="60"/>
        <v>9498</v>
      </c>
      <c r="K1330" s="1">
        <v>9862</v>
      </c>
      <c r="L1330" s="3">
        <f t="shared" si="61"/>
        <v>9862</v>
      </c>
      <c r="M1330" t="s">
        <v>49</v>
      </c>
      <c r="N1330" t="s">
        <v>49</v>
      </c>
      <c r="O1330" t="s">
        <v>49</v>
      </c>
      <c r="P1330">
        <v>0</v>
      </c>
      <c r="Q1330" t="s">
        <v>50</v>
      </c>
      <c r="R1330" t="s">
        <v>51</v>
      </c>
      <c r="S1330">
        <v>1868</v>
      </c>
      <c r="T1330">
        <v>1947</v>
      </c>
      <c r="U1330" t="s">
        <v>5751</v>
      </c>
      <c r="V1330" t="s">
        <v>5752</v>
      </c>
      <c r="Z1330">
        <v>0</v>
      </c>
      <c r="AA1330">
        <v>1</v>
      </c>
      <c r="AB1330">
        <v>0</v>
      </c>
      <c r="AC1330">
        <v>0</v>
      </c>
      <c r="AF1330">
        <v>1926</v>
      </c>
      <c r="AG1330">
        <v>1926</v>
      </c>
      <c r="AO1330" t="b">
        <v>0</v>
      </c>
      <c r="AT1330">
        <v>364</v>
      </c>
      <c r="AU1330">
        <f t="shared" si="62"/>
        <v>0.997</v>
      </c>
    </row>
    <row r="1331" spans="1:47" x14ac:dyDescent="0.3">
      <c r="A1331">
        <v>1329</v>
      </c>
      <c r="B1331" t="s">
        <v>5753</v>
      </c>
      <c r="C1331" t="s">
        <v>5708</v>
      </c>
      <c r="D1331">
        <v>225</v>
      </c>
      <c r="E1331" t="s">
        <v>5535</v>
      </c>
      <c r="F1331" t="str">
        <f>VLOOKUP(E1331,country_continent!A:C,2,FALSE)</f>
        <v>Switzerland</v>
      </c>
      <c r="G1331" t="str">
        <f>VLOOKUP(E1331,country_continent!A:C,3,FALSE)</f>
        <v>Europe</v>
      </c>
      <c r="H1331" t="s">
        <v>5709</v>
      </c>
      <c r="I1331" s="1">
        <v>9863</v>
      </c>
      <c r="J1331" s="3">
        <f t="shared" si="60"/>
        <v>9863</v>
      </c>
      <c r="K1331" s="1">
        <v>10227</v>
      </c>
      <c r="L1331" s="3">
        <f t="shared" si="61"/>
        <v>10227</v>
      </c>
      <c r="M1331" t="s">
        <v>49</v>
      </c>
      <c r="N1331" t="s">
        <v>49</v>
      </c>
      <c r="O1331" t="s">
        <v>49</v>
      </c>
      <c r="P1331">
        <v>2</v>
      </c>
      <c r="Q1331" t="s">
        <v>50</v>
      </c>
      <c r="R1331" t="s">
        <v>51</v>
      </c>
      <c r="S1331">
        <v>1871</v>
      </c>
      <c r="T1331">
        <v>1940</v>
      </c>
      <c r="U1331" t="s">
        <v>5710</v>
      </c>
      <c r="V1331" t="s">
        <v>5711</v>
      </c>
      <c r="Z1331">
        <v>0</v>
      </c>
      <c r="AA1331">
        <v>1</v>
      </c>
      <c r="AB1331">
        <v>0</v>
      </c>
      <c r="AC1331">
        <v>0</v>
      </c>
      <c r="AF1331">
        <v>1927</v>
      </c>
      <c r="AG1331">
        <v>1927</v>
      </c>
      <c r="AO1331" t="b">
        <v>0</v>
      </c>
      <c r="AT1331">
        <v>364</v>
      </c>
      <c r="AU1331">
        <f t="shared" si="62"/>
        <v>0.997</v>
      </c>
    </row>
    <row r="1332" spans="1:47" x14ac:dyDescent="0.3">
      <c r="A1332">
        <v>1330</v>
      </c>
      <c r="B1332" t="s">
        <v>5754</v>
      </c>
      <c r="C1332" t="s">
        <v>5718</v>
      </c>
      <c r="D1332">
        <v>225</v>
      </c>
      <c r="E1332" t="s">
        <v>5535</v>
      </c>
      <c r="F1332" t="str">
        <f>VLOOKUP(E1332,country_continent!A:C,2,FALSE)</f>
        <v>Switzerland</v>
      </c>
      <c r="G1332" t="str">
        <f>VLOOKUP(E1332,country_continent!A:C,3,FALSE)</f>
        <v>Europe</v>
      </c>
      <c r="H1332" t="s">
        <v>5719</v>
      </c>
      <c r="I1332" s="1">
        <v>10228</v>
      </c>
      <c r="J1332" s="3">
        <f t="shared" si="60"/>
        <v>10228</v>
      </c>
      <c r="K1332" s="1">
        <v>10593</v>
      </c>
      <c r="L1332" s="3">
        <f t="shared" si="61"/>
        <v>10593</v>
      </c>
      <c r="M1332" t="s">
        <v>49</v>
      </c>
      <c r="N1332" t="s">
        <v>49</v>
      </c>
      <c r="O1332" t="s">
        <v>49</v>
      </c>
      <c r="P1332">
        <v>2</v>
      </c>
      <c r="Q1332" t="s">
        <v>50</v>
      </c>
      <c r="R1332" t="s">
        <v>51</v>
      </c>
      <c r="S1332">
        <v>1868</v>
      </c>
      <c r="T1332">
        <v>1944</v>
      </c>
      <c r="U1332" t="s">
        <v>5720</v>
      </c>
      <c r="V1332" t="s">
        <v>5721</v>
      </c>
      <c r="Z1332">
        <v>0</v>
      </c>
      <c r="AA1332">
        <v>1</v>
      </c>
      <c r="AB1332">
        <v>0</v>
      </c>
      <c r="AC1332">
        <v>0</v>
      </c>
      <c r="AF1332">
        <v>1928</v>
      </c>
      <c r="AG1332">
        <v>1928</v>
      </c>
      <c r="AO1332" t="b">
        <v>0</v>
      </c>
      <c r="AT1332">
        <v>365</v>
      </c>
      <c r="AU1332">
        <f t="shared" si="62"/>
        <v>1</v>
      </c>
    </row>
    <row r="1333" spans="1:47" x14ac:dyDescent="0.3">
      <c r="A1333">
        <v>1331</v>
      </c>
      <c r="B1333" t="s">
        <v>5755</v>
      </c>
      <c r="C1333" t="s">
        <v>5735</v>
      </c>
      <c r="D1333">
        <v>225</v>
      </c>
      <c r="E1333" t="s">
        <v>5535</v>
      </c>
      <c r="F1333" t="str">
        <f>VLOOKUP(E1333,country_continent!A:C,2,FALSE)</f>
        <v>Switzerland</v>
      </c>
      <c r="G1333" t="str">
        <f>VLOOKUP(E1333,country_continent!A:C,3,FALSE)</f>
        <v>Europe</v>
      </c>
      <c r="H1333" t="s">
        <v>5736</v>
      </c>
      <c r="I1333" s="1">
        <v>10594</v>
      </c>
      <c r="J1333" s="3">
        <f t="shared" si="60"/>
        <v>10594</v>
      </c>
      <c r="K1333" s="1">
        <v>10958</v>
      </c>
      <c r="L1333" s="3">
        <f t="shared" si="61"/>
        <v>10958</v>
      </c>
      <c r="M1333" t="s">
        <v>49</v>
      </c>
      <c r="N1333" t="s">
        <v>49</v>
      </c>
      <c r="O1333" t="s">
        <v>49</v>
      </c>
      <c r="P1333">
        <v>1</v>
      </c>
      <c r="Q1333" t="s">
        <v>50</v>
      </c>
      <c r="R1333" t="s">
        <v>51</v>
      </c>
      <c r="S1333">
        <v>1865</v>
      </c>
      <c r="T1333">
        <v>1939</v>
      </c>
      <c r="Z1333">
        <v>0</v>
      </c>
      <c r="AA1333">
        <v>1</v>
      </c>
      <c r="AB1333">
        <v>0</v>
      </c>
      <c r="AC1333">
        <v>0</v>
      </c>
      <c r="AF1333">
        <v>1929</v>
      </c>
      <c r="AG1333">
        <v>1929</v>
      </c>
      <c r="AO1333" t="b">
        <v>0</v>
      </c>
      <c r="AT1333">
        <v>364</v>
      </c>
      <c r="AU1333">
        <f t="shared" si="62"/>
        <v>0.997</v>
      </c>
    </row>
    <row r="1334" spans="1:47" x14ac:dyDescent="0.3">
      <c r="A1334">
        <v>1332</v>
      </c>
      <c r="B1334" t="s">
        <v>5756</v>
      </c>
      <c r="C1334" t="s">
        <v>5744</v>
      </c>
      <c r="D1334">
        <v>225</v>
      </c>
      <c r="E1334" t="s">
        <v>5535</v>
      </c>
      <c r="F1334" t="str">
        <f>VLOOKUP(E1334,country_continent!A:C,2,FALSE)</f>
        <v>Switzerland</v>
      </c>
      <c r="G1334" t="str">
        <f>VLOOKUP(E1334,country_continent!A:C,3,FALSE)</f>
        <v>Europe</v>
      </c>
      <c r="H1334" t="s">
        <v>5745</v>
      </c>
      <c r="I1334" s="1">
        <v>10959</v>
      </c>
      <c r="J1334" s="3">
        <f t="shared" si="60"/>
        <v>10959</v>
      </c>
      <c r="K1334" s="1">
        <v>11323</v>
      </c>
      <c r="L1334" s="3">
        <f t="shared" si="61"/>
        <v>11323</v>
      </c>
      <c r="M1334" t="s">
        <v>49</v>
      </c>
      <c r="N1334" t="s">
        <v>49</v>
      </c>
      <c r="O1334" t="s">
        <v>49</v>
      </c>
      <c r="P1334">
        <v>1</v>
      </c>
      <c r="Q1334" t="s">
        <v>50</v>
      </c>
      <c r="R1334" t="s">
        <v>51</v>
      </c>
      <c r="S1334">
        <v>1876</v>
      </c>
      <c r="T1334">
        <v>1952</v>
      </c>
      <c r="U1334" t="s">
        <v>5746</v>
      </c>
      <c r="V1334" t="s">
        <v>5747</v>
      </c>
      <c r="Z1334">
        <v>0</v>
      </c>
      <c r="AA1334">
        <v>1</v>
      </c>
      <c r="AB1334">
        <v>0</v>
      </c>
      <c r="AC1334">
        <v>0</v>
      </c>
      <c r="AF1334">
        <v>1930</v>
      </c>
      <c r="AG1334">
        <v>1930</v>
      </c>
      <c r="AO1334" t="b">
        <v>0</v>
      </c>
      <c r="AT1334">
        <v>364</v>
      </c>
      <c r="AU1334">
        <f t="shared" si="62"/>
        <v>0.997</v>
      </c>
    </row>
    <row r="1335" spans="1:47" x14ac:dyDescent="0.3">
      <c r="A1335">
        <v>1333</v>
      </c>
      <c r="B1335" t="s">
        <v>5757</v>
      </c>
      <c r="C1335" t="s">
        <v>5749</v>
      </c>
      <c r="D1335">
        <v>225</v>
      </c>
      <c r="E1335" t="s">
        <v>5535</v>
      </c>
      <c r="F1335" t="str">
        <f>VLOOKUP(E1335,country_continent!A:C,2,FALSE)</f>
        <v>Switzerland</v>
      </c>
      <c r="G1335" t="str">
        <f>VLOOKUP(E1335,country_continent!A:C,3,FALSE)</f>
        <v>Europe</v>
      </c>
      <c r="H1335" t="s">
        <v>5750</v>
      </c>
      <c r="I1335" s="1">
        <v>11324</v>
      </c>
      <c r="J1335" s="3">
        <f t="shared" si="60"/>
        <v>11324</v>
      </c>
      <c r="K1335" s="1">
        <v>11688</v>
      </c>
      <c r="L1335" s="3">
        <f t="shared" si="61"/>
        <v>11688</v>
      </c>
      <c r="M1335" t="s">
        <v>49</v>
      </c>
      <c r="N1335" t="s">
        <v>49</v>
      </c>
      <c r="O1335" t="s">
        <v>49</v>
      </c>
      <c r="P1335">
        <v>1</v>
      </c>
      <c r="Q1335" t="s">
        <v>50</v>
      </c>
      <c r="R1335" t="s">
        <v>51</v>
      </c>
      <c r="S1335">
        <v>1868</v>
      </c>
      <c r="T1335">
        <v>1947</v>
      </c>
      <c r="U1335" t="s">
        <v>5751</v>
      </c>
      <c r="V1335" t="s">
        <v>5752</v>
      </c>
      <c r="Z1335">
        <v>0</v>
      </c>
      <c r="AA1335">
        <v>1</v>
      </c>
      <c r="AB1335">
        <v>0</v>
      </c>
      <c r="AC1335">
        <v>0</v>
      </c>
      <c r="AF1335">
        <v>1931</v>
      </c>
      <c r="AG1335">
        <v>1931</v>
      </c>
      <c r="AO1335" t="b">
        <v>0</v>
      </c>
      <c r="AT1335">
        <v>364</v>
      </c>
      <c r="AU1335">
        <f t="shared" si="62"/>
        <v>0.997</v>
      </c>
    </row>
    <row r="1336" spans="1:47" x14ac:dyDescent="0.3">
      <c r="A1336">
        <v>1334</v>
      </c>
      <c r="B1336" t="s">
        <v>5758</v>
      </c>
      <c r="C1336" t="s">
        <v>5708</v>
      </c>
      <c r="D1336">
        <v>225</v>
      </c>
      <c r="E1336" t="s">
        <v>5535</v>
      </c>
      <c r="F1336" t="str">
        <f>VLOOKUP(E1336,country_continent!A:C,2,FALSE)</f>
        <v>Switzerland</v>
      </c>
      <c r="G1336" t="str">
        <f>VLOOKUP(E1336,country_continent!A:C,3,FALSE)</f>
        <v>Europe</v>
      </c>
      <c r="H1336" t="s">
        <v>5709</v>
      </c>
      <c r="I1336" s="1">
        <v>11689</v>
      </c>
      <c r="J1336" s="3">
        <f t="shared" si="60"/>
        <v>11689</v>
      </c>
      <c r="K1336" s="1">
        <v>12054</v>
      </c>
      <c r="L1336" s="3">
        <f t="shared" si="61"/>
        <v>12054</v>
      </c>
      <c r="M1336" t="s">
        <v>49</v>
      </c>
      <c r="N1336" t="s">
        <v>49</v>
      </c>
      <c r="O1336" t="s">
        <v>49</v>
      </c>
      <c r="P1336">
        <v>3</v>
      </c>
      <c r="Q1336" t="s">
        <v>50</v>
      </c>
      <c r="R1336" t="s">
        <v>51</v>
      </c>
      <c r="S1336">
        <v>1871</v>
      </c>
      <c r="T1336">
        <v>1940</v>
      </c>
      <c r="U1336" t="s">
        <v>5710</v>
      </c>
      <c r="V1336" t="s">
        <v>5711</v>
      </c>
      <c r="Z1336">
        <v>0</v>
      </c>
      <c r="AA1336">
        <v>1</v>
      </c>
      <c r="AB1336">
        <v>0</v>
      </c>
      <c r="AC1336">
        <v>0</v>
      </c>
      <c r="AF1336">
        <v>1932</v>
      </c>
      <c r="AG1336">
        <v>1932</v>
      </c>
      <c r="AO1336" t="b">
        <v>0</v>
      </c>
      <c r="AT1336">
        <v>365</v>
      </c>
      <c r="AU1336">
        <f t="shared" si="62"/>
        <v>1</v>
      </c>
    </row>
    <row r="1337" spans="1:47" x14ac:dyDescent="0.3">
      <c r="A1337">
        <v>1335</v>
      </c>
      <c r="B1337" t="s">
        <v>5759</v>
      </c>
      <c r="C1337" t="s">
        <v>5718</v>
      </c>
      <c r="D1337">
        <v>225</v>
      </c>
      <c r="E1337" t="s">
        <v>5535</v>
      </c>
      <c r="F1337" t="str">
        <f>VLOOKUP(E1337,country_continent!A:C,2,FALSE)</f>
        <v>Switzerland</v>
      </c>
      <c r="G1337" t="str">
        <f>VLOOKUP(E1337,country_continent!A:C,3,FALSE)</f>
        <v>Europe</v>
      </c>
      <c r="H1337" t="s">
        <v>5719</v>
      </c>
      <c r="I1337" s="1">
        <v>12055</v>
      </c>
      <c r="J1337" s="3">
        <f t="shared" si="60"/>
        <v>12055</v>
      </c>
      <c r="K1337" s="1">
        <v>12419</v>
      </c>
      <c r="L1337" s="3">
        <f t="shared" si="61"/>
        <v>12419</v>
      </c>
      <c r="M1337" t="s">
        <v>49</v>
      </c>
      <c r="N1337" t="s">
        <v>49</v>
      </c>
      <c r="O1337" t="s">
        <v>49</v>
      </c>
      <c r="P1337">
        <v>3</v>
      </c>
      <c r="Q1337" t="s">
        <v>50</v>
      </c>
      <c r="R1337" t="s">
        <v>51</v>
      </c>
      <c r="S1337">
        <v>1868</v>
      </c>
      <c r="T1337">
        <v>1944</v>
      </c>
      <c r="U1337" t="s">
        <v>5720</v>
      </c>
      <c r="V1337" t="s">
        <v>5721</v>
      </c>
      <c r="Z1337">
        <v>0</v>
      </c>
      <c r="AA1337">
        <v>1</v>
      </c>
      <c r="AB1337">
        <v>0</v>
      </c>
      <c r="AC1337">
        <v>0</v>
      </c>
      <c r="AF1337">
        <v>1933</v>
      </c>
      <c r="AG1337">
        <v>1933</v>
      </c>
      <c r="AO1337" t="b">
        <v>0</v>
      </c>
      <c r="AT1337">
        <v>364</v>
      </c>
      <c r="AU1337">
        <f t="shared" si="62"/>
        <v>0.997</v>
      </c>
    </row>
    <row r="1338" spans="1:47" x14ac:dyDescent="0.3">
      <c r="A1338">
        <v>1336</v>
      </c>
      <c r="B1338" t="s">
        <v>5760</v>
      </c>
      <c r="C1338" t="s">
        <v>5761</v>
      </c>
      <c r="D1338">
        <v>225</v>
      </c>
      <c r="E1338" t="s">
        <v>5535</v>
      </c>
      <c r="F1338" t="str">
        <f>VLOOKUP(E1338,country_continent!A:C,2,FALSE)</f>
        <v>Switzerland</v>
      </c>
      <c r="G1338" t="str">
        <f>VLOOKUP(E1338,country_continent!A:C,3,FALSE)</f>
        <v>Europe</v>
      </c>
      <c r="H1338" t="s">
        <v>5762</v>
      </c>
      <c r="I1338" s="1">
        <v>12420</v>
      </c>
      <c r="J1338" s="3">
        <f t="shared" si="60"/>
        <v>12420</v>
      </c>
      <c r="K1338" s="1">
        <v>12784</v>
      </c>
      <c r="L1338" s="3">
        <f t="shared" si="61"/>
        <v>12784</v>
      </c>
      <c r="M1338" t="s">
        <v>49</v>
      </c>
      <c r="N1338" t="s">
        <v>49</v>
      </c>
      <c r="O1338" t="s">
        <v>49</v>
      </c>
      <c r="P1338">
        <v>0</v>
      </c>
      <c r="Q1338" t="s">
        <v>50</v>
      </c>
      <c r="R1338" t="s">
        <v>51</v>
      </c>
      <c r="S1338">
        <v>1889</v>
      </c>
      <c r="T1338">
        <v>1958</v>
      </c>
      <c r="U1338" t="s">
        <v>5617</v>
      </c>
      <c r="V1338" t="s">
        <v>5618</v>
      </c>
      <c r="Z1338">
        <v>0</v>
      </c>
      <c r="AA1338">
        <v>1</v>
      </c>
      <c r="AB1338">
        <v>0</v>
      </c>
      <c r="AC1338">
        <v>0</v>
      </c>
      <c r="AF1338">
        <v>1934</v>
      </c>
      <c r="AG1338">
        <v>1934</v>
      </c>
      <c r="AO1338" t="b">
        <v>0</v>
      </c>
      <c r="AT1338">
        <v>364</v>
      </c>
      <c r="AU1338">
        <f t="shared" si="62"/>
        <v>0.997</v>
      </c>
    </row>
    <row r="1339" spans="1:47" x14ac:dyDescent="0.3">
      <c r="A1339">
        <v>1337</v>
      </c>
      <c r="B1339" t="s">
        <v>5763</v>
      </c>
      <c r="C1339" t="s">
        <v>5764</v>
      </c>
      <c r="D1339">
        <v>225</v>
      </c>
      <c r="E1339" t="s">
        <v>5535</v>
      </c>
      <c r="F1339" t="str">
        <f>VLOOKUP(E1339,country_continent!A:C,2,FALSE)</f>
        <v>Switzerland</v>
      </c>
      <c r="G1339" t="str">
        <f>VLOOKUP(E1339,country_continent!A:C,3,FALSE)</f>
        <v>Europe</v>
      </c>
      <c r="H1339" t="s">
        <v>5765</v>
      </c>
      <c r="I1339" s="1">
        <v>12785</v>
      </c>
      <c r="J1339" s="3">
        <f t="shared" si="60"/>
        <v>12785</v>
      </c>
      <c r="K1339" s="1">
        <v>13149</v>
      </c>
      <c r="L1339" s="3">
        <f t="shared" si="61"/>
        <v>13149</v>
      </c>
      <c r="M1339" t="s">
        <v>49</v>
      </c>
      <c r="N1339" t="s">
        <v>49</v>
      </c>
      <c r="O1339" t="s">
        <v>49</v>
      </c>
      <c r="P1339">
        <v>0</v>
      </c>
      <c r="Q1339" t="s">
        <v>50</v>
      </c>
      <c r="R1339" t="s">
        <v>51</v>
      </c>
      <c r="S1339">
        <v>1881</v>
      </c>
      <c r="T1339">
        <v>1955</v>
      </c>
      <c r="U1339" t="s">
        <v>5766</v>
      </c>
      <c r="V1339" t="s">
        <v>5767</v>
      </c>
      <c r="Z1339">
        <v>0</v>
      </c>
      <c r="AA1339">
        <v>1</v>
      </c>
      <c r="AB1339">
        <v>0</v>
      </c>
      <c r="AC1339">
        <v>0</v>
      </c>
      <c r="AF1339">
        <v>1935</v>
      </c>
      <c r="AG1339">
        <v>1935</v>
      </c>
      <c r="AO1339" t="b">
        <v>0</v>
      </c>
      <c r="AT1339">
        <v>364</v>
      </c>
      <c r="AU1339">
        <f t="shared" si="62"/>
        <v>0.997</v>
      </c>
    </row>
    <row r="1340" spans="1:47" x14ac:dyDescent="0.3">
      <c r="A1340">
        <v>1338</v>
      </c>
      <c r="B1340" t="s">
        <v>5768</v>
      </c>
      <c r="C1340" t="s">
        <v>5769</v>
      </c>
      <c r="D1340">
        <v>225</v>
      </c>
      <c r="E1340" t="s">
        <v>5535</v>
      </c>
      <c r="F1340" t="str">
        <f>VLOOKUP(E1340,country_continent!A:C,2,FALSE)</f>
        <v>Switzerland</v>
      </c>
      <c r="G1340" t="str">
        <f>VLOOKUP(E1340,country_continent!A:C,3,FALSE)</f>
        <v>Europe</v>
      </c>
      <c r="H1340" t="s">
        <v>5770</v>
      </c>
      <c r="I1340" s="1">
        <v>13150</v>
      </c>
      <c r="J1340" s="3">
        <f t="shared" si="60"/>
        <v>13150</v>
      </c>
      <c r="K1340" s="1">
        <v>13515</v>
      </c>
      <c r="L1340" s="3">
        <f t="shared" si="61"/>
        <v>13515</v>
      </c>
      <c r="M1340" t="s">
        <v>49</v>
      </c>
      <c r="N1340" t="s">
        <v>49</v>
      </c>
      <c r="O1340" t="s">
        <v>49</v>
      </c>
      <c r="P1340">
        <v>0</v>
      </c>
      <c r="Q1340" t="s">
        <v>50</v>
      </c>
      <c r="R1340" t="s">
        <v>51</v>
      </c>
      <c r="S1340">
        <v>1870</v>
      </c>
      <c r="T1340">
        <v>1953</v>
      </c>
      <c r="U1340" t="s">
        <v>5771</v>
      </c>
      <c r="V1340" t="s">
        <v>5772</v>
      </c>
      <c r="Z1340">
        <v>0</v>
      </c>
      <c r="AA1340">
        <v>1</v>
      </c>
      <c r="AB1340">
        <v>0</v>
      </c>
      <c r="AC1340">
        <v>0</v>
      </c>
      <c r="AF1340">
        <v>1936</v>
      </c>
      <c r="AG1340">
        <v>1936</v>
      </c>
      <c r="AO1340" t="b">
        <v>0</v>
      </c>
      <c r="AT1340">
        <v>365</v>
      </c>
      <c r="AU1340">
        <f t="shared" si="62"/>
        <v>1</v>
      </c>
    </row>
    <row r="1341" spans="1:47" x14ac:dyDescent="0.3">
      <c r="A1341">
        <v>1339</v>
      </c>
      <c r="B1341" t="s">
        <v>5773</v>
      </c>
      <c r="C1341" t="s">
        <v>5708</v>
      </c>
      <c r="D1341">
        <v>225</v>
      </c>
      <c r="E1341" t="s">
        <v>5535</v>
      </c>
      <c r="F1341" t="str">
        <f>VLOOKUP(E1341,country_continent!A:C,2,FALSE)</f>
        <v>Switzerland</v>
      </c>
      <c r="G1341" t="str">
        <f>VLOOKUP(E1341,country_continent!A:C,3,FALSE)</f>
        <v>Europe</v>
      </c>
      <c r="H1341" t="s">
        <v>5709</v>
      </c>
      <c r="I1341" s="1">
        <v>13516</v>
      </c>
      <c r="J1341" s="3">
        <f t="shared" si="60"/>
        <v>13516</v>
      </c>
      <c r="K1341" s="1">
        <v>13880</v>
      </c>
      <c r="L1341" s="3">
        <f t="shared" si="61"/>
        <v>13880</v>
      </c>
      <c r="M1341" t="s">
        <v>49</v>
      </c>
      <c r="N1341" t="s">
        <v>49</v>
      </c>
      <c r="O1341" t="s">
        <v>49</v>
      </c>
      <c r="P1341">
        <v>4</v>
      </c>
      <c r="Q1341" t="s">
        <v>50</v>
      </c>
      <c r="R1341" t="s">
        <v>51</v>
      </c>
      <c r="S1341">
        <v>1871</v>
      </c>
      <c r="T1341">
        <v>1940</v>
      </c>
      <c r="U1341" t="s">
        <v>5710</v>
      </c>
      <c r="V1341" t="s">
        <v>5711</v>
      </c>
      <c r="Z1341">
        <v>0</v>
      </c>
      <c r="AA1341">
        <v>1</v>
      </c>
      <c r="AB1341">
        <v>0</v>
      </c>
      <c r="AC1341">
        <v>0</v>
      </c>
      <c r="AF1341">
        <v>1937</v>
      </c>
      <c r="AG1341">
        <v>1937</v>
      </c>
      <c r="AO1341" t="b">
        <v>0</v>
      </c>
      <c r="AT1341">
        <v>364</v>
      </c>
      <c r="AU1341">
        <f t="shared" si="62"/>
        <v>0.997</v>
      </c>
    </row>
    <row r="1342" spans="1:47" x14ac:dyDescent="0.3">
      <c r="A1342">
        <v>1340</v>
      </c>
      <c r="B1342" t="s">
        <v>5774</v>
      </c>
      <c r="C1342" t="s">
        <v>5775</v>
      </c>
      <c r="D1342">
        <v>225</v>
      </c>
      <c r="E1342" t="s">
        <v>5535</v>
      </c>
      <c r="F1342" t="str">
        <f>VLOOKUP(E1342,country_continent!A:C,2,FALSE)</f>
        <v>Switzerland</v>
      </c>
      <c r="G1342" t="str">
        <f>VLOOKUP(E1342,country_continent!A:C,3,FALSE)</f>
        <v>Europe</v>
      </c>
      <c r="H1342" t="s">
        <v>5776</v>
      </c>
      <c r="I1342" s="1">
        <v>13881</v>
      </c>
      <c r="J1342" s="3">
        <f t="shared" si="60"/>
        <v>13881</v>
      </c>
      <c r="K1342" s="1">
        <v>14245</v>
      </c>
      <c r="L1342" s="3">
        <f t="shared" si="61"/>
        <v>14245</v>
      </c>
      <c r="M1342" t="s">
        <v>49</v>
      </c>
      <c r="N1342" t="s">
        <v>49</v>
      </c>
      <c r="O1342" t="s">
        <v>49</v>
      </c>
      <c r="P1342">
        <v>0</v>
      </c>
      <c r="Q1342" t="s">
        <v>50</v>
      </c>
      <c r="R1342" t="s">
        <v>51</v>
      </c>
      <c r="S1342">
        <v>1874</v>
      </c>
      <c r="T1342">
        <v>1953</v>
      </c>
      <c r="U1342" t="s">
        <v>5777</v>
      </c>
      <c r="V1342" t="s">
        <v>5778</v>
      </c>
      <c r="Z1342">
        <v>0</v>
      </c>
      <c r="AA1342">
        <v>1</v>
      </c>
      <c r="AB1342">
        <v>0</v>
      </c>
      <c r="AC1342">
        <v>0</v>
      </c>
      <c r="AF1342">
        <v>1938</v>
      </c>
      <c r="AG1342">
        <v>1938</v>
      </c>
      <c r="AO1342" t="b">
        <v>0</v>
      </c>
      <c r="AT1342">
        <v>364</v>
      </c>
      <c r="AU1342">
        <f t="shared" si="62"/>
        <v>0.997</v>
      </c>
    </row>
    <row r="1343" spans="1:47" x14ac:dyDescent="0.3">
      <c r="A1343">
        <v>1341</v>
      </c>
      <c r="B1343" t="s">
        <v>5779</v>
      </c>
      <c r="C1343" t="s">
        <v>5780</v>
      </c>
      <c r="D1343">
        <v>225</v>
      </c>
      <c r="E1343" t="s">
        <v>5535</v>
      </c>
      <c r="F1343" t="str">
        <f>VLOOKUP(E1343,country_continent!A:C,2,FALSE)</f>
        <v>Switzerland</v>
      </c>
      <c r="G1343" t="str">
        <f>VLOOKUP(E1343,country_continent!A:C,3,FALSE)</f>
        <v>Europe</v>
      </c>
      <c r="H1343" t="s">
        <v>5781</v>
      </c>
      <c r="I1343" s="1">
        <v>14246</v>
      </c>
      <c r="J1343" s="3">
        <f t="shared" si="60"/>
        <v>14246</v>
      </c>
      <c r="K1343" s="1">
        <v>14610</v>
      </c>
      <c r="L1343" s="3">
        <f t="shared" si="61"/>
        <v>14610</v>
      </c>
      <c r="M1343" t="s">
        <v>49</v>
      </c>
      <c r="N1343" t="s">
        <v>49</v>
      </c>
      <c r="O1343" t="s">
        <v>49</v>
      </c>
      <c r="P1343">
        <v>0</v>
      </c>
      <c r="Q1343" t="s">
        <v>50</v>
      </c>
      <c r="R1343" t="s">
        <v>51</v>
      </c>
      <c r="S1343">
        <v>1891</v>
      </c>
      <c r="T1343">
        <v>1977</v>
      </c>
      <c r="U1343" t="s">
        <v>5782</v>
      </c>
      <c r="V1343" t="s">
        <v>5783</v>
      </c>
      <c r="Z1343">
        <v>0</v>
      </c>
      <c r="AA1343">
        <v>1</v>
      </c>
      <c r="AB1343">
        <v>0</v>
      </c>
      <c r="AC1343">
        <v>0</v>
      </c>
      <c r="AF1343">
        <v>1939</v>
      </c>
      <c r="AG1343">
        <v>1939</v>
      </c>
      <c r="AO1343" t="b">
        <v>0</v>
      </c>
      <c r="AT1343">
        <v>364</v>
      </c>
      <c r="AU1343">
        <f t="shared" si="62"/>
        <v>0.997</v>
      </c>
    </row>
    <row r="1344" spans="1:47" x14ac:dyDescent="0.3">
      <c r="A1344">
        <v>1342</v>
      </c>
      <c r="B1344" t="s">
        <v>5784</v>
      </c>
      <c r="C1344" t="s">
        <v>5761</v>
      </c>
      <c r="D1344">
        <v>225</v>
      </c>
      <c r="E1344" t="s">
        <v>5535</v>
      </c>
      <c r="F1344" t="str">
        <f>VLOOKUP(E1344,country_continent!A:C,2,FALSE)</f>
        <v>Switzerland</v>
      </c>
      <c r="G1344" t="str">
        <f>VLOOKUP(E1344,country_continent!A:C,3,FALSE)</f>
        <v>Europe</v>
      </c>
      <c r="H1344" t="s">
        <v>5762</v>
      </c>
      <c r="I1344" s="1">
        <v>14611</v>
      </c>
      <c r="J1344" s="3">
        <f t="shared" si="60"/>
        <v>14611</v>
      </c>
      <c r="K1344" s="1">
        <v>14976</v>
      </c>
      <c r="L1344" s="3">
        <f t="shared" si="61"/>
        <v>14976</v>
      </c>
      <c r="M1344" t="s">
        <v>49</v>
      </c>
      <c r="N1344" t="s">
        <v>49</v>
      </c>
      <c r="O1344" t="s">
        <v>49</v>
      </c>
      <c r="P1344">
        <v>1</v>
      </c>
      <c r="Q1344" t="s">
        <v>50</v>
      </c>
      <c r="R1344" t="s">
        <v>51</v>
      </c>
      <c r="S1344">
        <v>1889</v>
      </c>
      <c r="T1344">
        <v>1958</v>
      </c>
      <c r="U1344" t="s">
        <v>5617</v>
      </c>
      <c r="V1344" t="s">
        <v>5618</v>
      </c>
      <c r="Z1344">
        <v>0</v>
      </c>
      <c r="AA1344">
        <v>1</v>
      </c>
      <c r="AB1344">
        <v>0</v>
      </c>
      <c r="AC1344">
        <v>0</v>
      </c>
      <c r="AF1344">
        <v>1940</v>
      </c>
      <c r="AG1344">
        <v>1940</v>
      </c>
      <c r="AO1344" t="b">
        <v>0</v>
      </c>
      <c r="AT1344">
        <v>365</v>
      </c>
      <c r="AU1344">
        <f t="shared" si="62"/>
        <v>1</v>
      </c>
    </row>
    <row r="1345" spans="1:47" x14ac:dyDescent="0.3">
      <c r="A1345">
        <v>1343</v>
      </c>
      <c r="B1345" t="s">
        <v>5785</v>
      </c>
      <c r="C1345" t="s">
        <v>5786</v>
      </c>
      <c r="D1345">
        <v>225</v>
      </c>
      <c r="E1345" t="s">
        <v>5535</v>
      </c>
      <c r="F1345" t="str">
        <f>VLOOKUP(E1345,country_continent!A:C,2,FALSE)</f>
        <v>Switzerland</v>
      </c>
      <c r="G1345" t="str">
        <f>VLOOKUP(E1345,country_continent!A:C,3,FALSE)</f>
        <v>Europe</v>
      </c>
      <c r="H1345" t="s">
        <v>5787</v>
      </c>
      <c r="I1345" s="1">
        <v>14977</v>
      </c>
      <c r="J1345" s="3">
        <f t="shared" si="60"/>
        <v>14977</v>
      </c>
      <c r="K1345" s="1">
        <v>15341</v>
      </c>
      <c r="L1345" s="3">
        <f t="shared" si="61"/>
        <v>15341</v>
      </c>
      <c r="M1345" t="s">
        <v>49</v>
      </c>
      <c r="N1345" t="s">
        <v>49</v>
      </c>
      <c r="O1345" t="s">
        <v>49</v>
      </c>
      <c r="P1345">
        <v>0</v>
      </c>
      <c r="Q1345" t="s">
        <v>50</v>
      </c>
      <c r="R1345" t="s">
        <v>51</v>
      </c>
      <c r="S1345">
        <v>1877</v>
      </c>
      <c r="T1345">
        <v>1965</v>
      </c>
      <c r="U1345" t="s">
        <v>5788</v>
      </c>
      <c r="V1345" t="s">
        <v>5789</v>
      </c>
      <c r="Z1345">
        <v>0</v>
      </c>
      <c r="AA1345">
        <v>1</v>
      </c>
      <c r="AB1345">
        <v>0</v>
      </c>
      <c r="AC1345">
        <v>0</v>
      </c>
      <c r="AF1345">
        <v>1941</v>
      </c>
      <c r="AG1345">
        <v>1941</v>
      </c>
      <c r="AO1345" t="b">
        <v>0</v>
      </c>
      <c r="AT1345">
        <v>364</v>
      </c>
      <c r="AU1345">
        <f t="shared" si="62"/>
        <v>0.997</v>
      </c>
    </row>
    <row r="1346" spans="1:47" x14ac:dyDescent="0.3">
      <c r="A1346">
        <v>1344</v>
      </c>
      <c r="B1346" t="s">
        <v>5790</v>
      </c>
      <c r="C1346" t="s">
        <v>5780</v>
      </c>
      <c r="D1346">
        <v>225</v>
      </c>
      <c r="E1346" t="s">
        <v>5535</v>
      </c>
      <c r="F1346" t="str">
        <f>VLOOKUP(E1346,country_continent!A:C,2,FALSE)</f>
        <v>Switzerland</v>
      </c>
      <c r="G1346" t="str">
        <f>VLOOKUP(E1346,country_continent!A:C,3,FALSE)</f>
        <v>Europe</v>
      </c>
      <c r="H1346" t="s">
        <v>5781</v>
      </c>
      <c r="I1346" s="1">
        <v>15342</v>
      </c>
      <c r="J1346" s="3">
        <f t="shared" si="60"/>
        <v>15342</v>
      </c>
      <c r="K1346" s="1">
        <v>15706</v>
      </c>
      <c r="L1346" s="3">
        <f t="shared" si="61"/>
        <v>15706</v>
      </c>
      <c r="M1346" t="s">
        <v>49</v>
      </c>
      <c r="N1346" t="s">
        <v>49</v>
      </c>
      <c r="O1346" t="s">
        <v>49</v>
      </c>
      <c r="P1346">
        <v>1</v>
      </c>
      <c r="Q1346" t="s">
        <v>50</v>
      </c>
      <c r="R1346" t="s">
        <v>51</v>
      </c>
      <c r="S1346">
        <v>1891</v>
      </c>
      <c r="T1346">
        <v>1977</v>
      </c>
      <c r="U1346" t="s">
        <v>5782</v>
      </c>
      <c r="V1346" t="s">
        <v>5783</v>
      </c>
      <c r="Z1346">
        <v>0</v>
      </c>
      <c r="AA1346">
        <v>1</v>
      </c>
      <c r="AB1346">
        <v>0</v>
      </c>
      <c r="AC1346">
        <v>0</v>
      </c>
      <c r="AF1346">
        <v>1942</v>
      </c>
      <c r="AG1346">
        <v>1942</v>
      </c>
      <c r="AO1346" t="b">
        <v>0</v>
      </c>
      <c r="AT1346">
        <v>364</v>
      </c>
      <c r="AU1346">
        <f t="shared" si="62"/>
        <v>0.997</v>
      </c>
    </row>
    <row r="1347" spans="1:47" x14ac:dyDescent="0.3">
      <c r="A1347">
        <v>1345</v>
      </c>
      <c r="B1347" t="s">
        <v>5791</v>
      </c>
      <c r="C1347" t="s">
        <v>5792</v>
      </c>
      <c r="D1347">
        <v>225</v>
      </c>
      <c r="E1347" t="s">
        <v>5535</v>
      </c>
      <c r="F1347" t="str">
        <f>VLOOKUP(E1347,country_continent!A:C,2,FALSE)</f>
        <v>Switzerland</v>
      </c>
      <c r="G1347" t="str">
        <f>VLOOKUP(E1347,country_continent!A:C,3,FALSE)</f>
        <v>Europe</v>
      </c>
      <c r="H1347" t="s">
        <v>5793</v>
      </c>
      <c r="I1347" s="1">
        <v>15707</v>
      </c>
      <c r="J1347" s="3">
        <f t="shared" ref="J1347:J1410" si="63">IF(ISNUMBER(SEARCH("-", I1347)), SUBSTITUTE(I1347, "-", "/"), I1347)</f>
        <v>15707</v>
      </c>
      <c r="K1347" s="1">
        <v>16071</v>
      </c>
      <c r="L1347" s="3">
        <f t="shared" ref="L1347:L1410" si="64">IF(ISNUMBER(SEARCH("-", K1347)), SUBSTITUTE(K1347, "-", "/"), K1347)</f>
        <v>16071</v>
      </c>
      <c r="M1347" t="s">
        <v>49</v>
      </c>
      <c r="N1347" t="s">
        <v>49</v>
      </c>
      <c r="O1347" t="s">
        <v>49</v>
      </c>
      <c r="P1347">
        <v>0</v>
      </c>
      <c r="Q1347" t="s">
        <v>50</v>
      </c>
      <c r="R1347" t="s">
        <v>51</v>
      </c>
      <c r="S1347">
        <v>1889</v>
      </c>
      <c r="T1347">
        <v>1980</v>
      </c>
      <c r="U1347" t="s">
        <v>5794</v>
      </c>
      <c r="V1347" t="s">
        <v>5795</v>
      </c>
      <c r="Z1347">
        <v>0</v>
      </c>
      <c r="AA1347">
        <v>1</v>
      </c>
      <c r="AB1347">
        <v>0</v>
      </c>
      <c r="AC1347">
        <v>0</v>
      </c>
      <c r="AF1347">
        <v>1943</v>
      </c>
      <c r="AG1347">
        <v>1943</v>
      </c>
      <c r="AO1347" t="b">
        <v>0</v>
      </c>
      <c r="AT1347">
        <v>364</v>
      </c>
      <c r="AU1347">
        <f t="shared" si="62"/>
        <v>0.997</v>
      </c>
    </row>
    <row r="1348" spans="1:47" x14ac:dyDescent="0.3">
      <c r="A1348">
        <v>1346</v>
      </c>
      <c r="B1348" t="s">
        <v>5796</v>
      </c>
      <c r="C1348" t="s">
        <v>5797</v>
      </c>
      <c r="D1348">
        <v>225</v>
      </c>
      <c r="E1348" t="s">
        <v>5535</v>
      </c>
      <c r="F1348" t="str">
        <f>VLOOKUP(E1348,country_continent!A:C,2,FALSE)</f>
        <v>Switzerland</v>
      </c>
      <c r="G1348" t="str">
        <f>VLOOKUP(E1348,country_continent!A:C,3,FALSE)</f>
        <v>Europe</v>
      </c>
      <c r="H1348" t="s">
        <v>5798</v>
      </c>
      <c r="I1348" s="1">
        <v>16072</v>
      </c>
      <c r="J1348" s="3">
        <f t="shared" si="63"/>
        <v>16072</v>
      </c>
      <c r="K1348" s="1">
        <v>16437</v>
      </c>
      <c r="L1348" s="3">
        <f t="shared" si="64"/>
        <v>16437</v>
      </c>
      <c r="M1348" t="s">
        <v>49</v>
      </c>
      <c r="N1348" t="s">
        <v>49</v>
      </c>
      <c r="O1348" t="s">
        <v>49</v>
      </c>
      <c r="P1348">
        <v>0</v>
      </c>
      <c r="Q1348" t="s">
        <v>50</v>
      </c>
      <c r="R1348" t="s">
        <v>51</v>
      </c>
      <c r="S1348">
        <v>1884</v>
      </c>
      <c r="T1348">
        <v>1965</v>
      </c>
      <c r="U1348" t="s">
        <v>5799</v>
      </c>
      <c r="V1348" t="s">
        <v>5800</v>
      </c>
      <c r="Z1348">
        <v>0</v>
      </c>
      <c r="AA1348">
        <v>1</v>
      </c>
      <c r="AB1348">
        <v>0</v>
      </c>
      <c r="AC1348">
        <v>0</v>
      </c>
      <c r="AF1348">
        <v>1944</v>
      </c>
      <c r="AG1348">
        <v>1944</v>
      </c>
      <c r="AO1348" t="b">
        <v>0</v>
      </c>
      <c r="AT1348">
        <v>365</v>
      </c>
      <c r="AU1348">
        <f t="shared" ref="AU1348:AU1411" si="65">ROUND(AT1348/365,3)</f>
        <v>1</v>
      </c>
    </row>
    <row r="1349" spans="1:47" x14ac:dyDescent="0.3">
      <c r="A1349">
        <v>1347</v>
      </c>
      <c r="B1349" t="s">
        <v>5801</v>
      </c>
      <c r="C1349" t="s">
        <v>5802</v>
      </c>
      <c r="D1349">
        <v>225</v>
      </c>
      <c r="E1349" t="s">
        <v>5535</v>
      </c>
      <c r="F1349" t="str">
        <f>VLOOKUP(E1349,country_continent!A:C,2,FALSE)</f>
        <v>Switzerland</v>
      </c>
      <c r="G1349" t="str">
        <f>VLOOKUP(E1349,country_continent!A:C,3,FALSE)</f>
        <v>Europe</v>
      </c>
      <c r="H1349" t="s">
        <v>5803</v>
      </c>
      <c r="I1349" s="1">
        <v>16438</v>
      </c>
      <c r="J1349" s="3">
        <f t="shared" si="63"/>
        <v>16438</v>
      </c>
      <c r="K1349" s="1">
        <v>16802</v>
      </c>
      <c r="L1349" s="3">
        <f t="shared" si="64"/>
        <v>16802</v>
      </c>
      <c r="M1349" t="s">
        <v>49</v>
      </c>
      <c r="N1349" t="s">
        <v>49</v>
      </c>
      <c r="O1349" t="s">
        <v>49</v>
      </c>
      <c r="P1349">
        <v>0</v>
      </c>
      <c r="Q1349" t="s">
        <v>50</v>
      </c>
      <c r="R1349" t="s">
        <v>51</v>
      </c>
      <c r="S1349">
        <v>1881</v>
      </c>
      <c r="T1349">
        <v>1962</v>
      </c>
      <c r="U1349" t="s">
        <v>5804</v>
      </c>
      <c r="V1349" t="s">
        <v>5805</v>
      </c>
      <c r="Z1349">
        <v>0</v>
      </c>
      <c r="AA1349">
        <v>1</v>
      </c>
      <c r="AB1349">
        <v>0</v>
      </c>
      <c r="AC1349">
        <v>0</v>
      </c>
      <c r="AF1349">
        <v>1945</v>
      </c>
      <c r="AG1349">
        <v>1945</v>
      </c>
      <c r="AO1349" t="b">
        <v>0</v>
      </c>
      <c r="AT1349">
        <v>364</v>
      </c>
      <c r="AU1349">
        <f t="shared" si="65"/>
        <v>0.997</v>
      </c>
    </row>
    <row r="1350" spans="1:47" x14ac:dyDescent="0.3">
      <c r="A1350">
        <v>1348</v>
      </c>
      <c r="B1350" t="s">
        <v>5806</v>
      </c>
      <c r="C1350" t="s">
        <v>5807</v>
      </c>
      <c r="D1350">
        <v>225</v>
      </c>
      <c r="E1350" t="s">
        <v>5535</v>
      </c>
      <c r="F1350" t="str">
        <f>VLOOKUP(E1350,country_continent!A:C,2,FALSE)</f>
        <v>Switzerland</v>
      </c>
      <c r="G1350" t="str">
        <f>VLOOKUP(E1350,country_continent!A:C,3,FALSE)</f>
        <v>Europe</v>
      </c>
      <c r="H1350" t="s">
        <v>5808</v>
      </c>
      <c r="I1350" s="1">
        <v>16803</v>
      </c>
      <c r="J1350" s="3">
        <f t="shared" si="63"/>
        <v>16803</v>
      </c>
      <c r="K1350" s="1">
        <v>17167</v>
      </c>
      <c r="L1350" s="3">
        <f t="shared" si="64"/>
        <v>17167</v>
      </c>
      <c r="M1350" t="s">
        <v>49</v>
      </c>
      <c r="N1350" t="s">
        <v>49</v>
      </c>
      <c r="O1350" t="s">
        <v>49</v>
      </c>
      <c r="P1350">
        <v>0</v>
      </c>
      <c r="Q1350" t="s">
        <v>50</v>
      </c>
      <c r="R1350" t="s">
        <v>51</v>
      </c>
      <c r="S1350">
        <v>1891</v>
      </c>
      <c r="T1350">
        <v>1968</v>
      </c>
      <c r="U1350" t="s">
        <v>5809</v>
      </c>
      <c r="V1350" t="s">
        <v>5810</v>
      </c>
      <c r="Z1350">
        <v>0</v>
      </c>
      <c r="AA1350">
        <v>1</v>
      </c>
      <c r="AB1350">
        <v>0</v>
      </c>
      <c r="AC1350">
        <v>0</v>
      </c>
      <c r="AF1350">
        <v>1946</v>
      </c>
      <c r="AG1350">
        <v>1946</v>
      </c>
      <c r="AO1350" t="b">
        <v>0</v>
      </c>
      <c r="AT1350">
        <v>364</v>
      </c>
      <c r="AU1350">
        <f t="shared" si="65"/>
        <v>0.997</v>
      </c>
    </row>
    <row r="1351" spans="1:47" x14ac:dyDescent="0.3">
      <c r="A1351">
        <v>1349</v>
      </c>
      <c r="B1351" t="s">
        <v>5811</v>
      </c>
      <c r="C1351" t="s">
        <v>5780</v>
      </c>
      <c r="D1351">
        <v>225</v>
      </c>
      <c r="E1351" t="s">
        <v>5535</v>
      </c>
      <c r="F1351" t="str">
        <f>VLOOKUP(E1351,country_continent!A:C,2,FALSE)</f>
        <v>Switzerland</v>
      </c>
      <c r="G1351" t="str">
        <f>VLOOKUP(E1351,country_continent!A:C,3,FALSE)</f>
        <v>Europe</v>
      </c>
      <c r="H1351" t="s">
        <v>5781</v>
      </c>
      <c r="I1351" s="1">
        <v>17168</v>
      </c>
      <c r="J1351" s="3">
        <f t="shared" si="63"/>
        <v>17168</v>
      </c>
      <c r="K1351" s="1">
        <v>17532</v>
      </c>
      <c r="L1351" s="3">
        <f t="shared" si="64"/>
        <v>17532</v>
      </c>
      <c r="M1351" t="s">
        <v>49</v>
      </c>
      <c r="N1351" t="s">
        <v>49</v>
      </c>
      <c r="O1351" t="s">
        <v>49</v>
      </c>
      <c r="P1351">
        <v>2</v>
      </c>
      <c r="Q1351" t="s">
        <v>50</v>
      </c>
      <c r="R1351" t="s">
        <v>51</v>
      </c>
      <c r="S1351">
        <v>1891</v>
      </c>
      <c r="T1351">
        <v>1977</v>
      </c>
      <c r="U1351" t="s">
        <v>5782</v>
      </c>
      <c r="V1351" t="s">
        <v>5783</v>
      </c>
      <c r="Z1351">
        <v>0</v>
      </c>
      <c r="AA1351">
        <v>1</v>
      </c>
      <c r="AB1351">
        <v>0</v>
      </c>
      <c r="AC1351">
        <v>0</v>
      </c>
      <c r="AF1351">
        <v>1947</v>
      </c>
      <c r="AG1351">
        <v>1947</v>
      </c>
      <c r="AO1351" t="b">
        <v>0</v>
      </c>
      <c r="AT1351">
        <v>364</v>
      </c>
      <c r="AU1351">
        <f t="shared" si="65"/>
        <v>0.997</v>
      </c>
    </row>
    <row r="1352" spans="1:47" x14ac:dyDescent="0.3">
      <c r="A1352">
        <v>1350</v>
      </c>
      <c r="B1352" t="s">
        <v>5812</v>
      </c>
      <c r="C1352" t="s">
        <v>5792</v>
      </c>
      <c r="D1352">
        <v>225</v>
      </c>
      <c r="E1352" t="s">
        <v>5535</v>
      </c>
      <c r="F1352" t="str">
        <f>VLOOKUP(E1352,country_continent!A:C,2,FALSE)</f>
        <v>Switzerland</v>
      </c>
      <c r="G1352" t="str">
        <f>VLOOKUP(E1352,country_continent!A:C,3,FALSE)</f>
        <v>Europe</v>
      </c>
      <c r="H1352" t="s">
        <v>5793</v>
      </c>
      <c r="I1352" s="1">
        <v>17533</v>
      </c>
      <c r="J1352" s="3">
        <f t="shared" si="63"/>
        <v>17533</v>
      </c>
      <c r="K1352" s="1">
        <v>17898</v>
      </c>
      <c r="L1352" s="3">
        <f t="shared" si="64"/>
        <v>17898</v>
      </c>
      <c r="M1352" t="s">
        <v>49</v>
      </c>
      <c r="N1352" t="s">
        <v>49</v>
      </c>
      <c r="O1352" t="s">
        <v>49</v>
      </c>
      <c r="P1352">
        <v>1</v>
      </c>
      <c r="Q1352" t="s">
        <v>50</v>
      </c>
      <c r="R1352" t="s">
        <v>51</v>
      </c>
      <c r="S1352">
        <v>1889</v>
      </c>
      <c r="T1352">
        <v>1980</v>
      </c>
      <c r="U1352" t="s">
        <v>5794</v>
      </c>
      <c r="V1352" t="s">
        <v>5795</v>
      </c>
      <c r="Z1352">
        <v>0</v>
      </c>
      <c r="AA1352">
        <v>1</v>
      </c>
      <c r="AB1352">
        <v>0</v>
      </c>
      <c r="AC1352">
        <v>0</v>
      </c>
      <c r="AF1352">
        <v>1948</v>
      </c>
      <c r="AG1352">
        <v>1948</v>
      </c>
      <c r="AO1352" t="b">
        <v>0</v>
      </c>
      <c r="AT1352">
        <v>365</v>
      </c>
      <c r="AU1352">
        <f t="shared" si="65"/>
        <v>1</v>
      </c>
    </row>
    <row r="1353" spans="1:47" x14ac:dyDescent="0.3">
      <c r="A1353">
        <v>1351</v>
      </c>
      <c r="B1353" t="s">
        <v>5813</v>
      </c>
      <c r="C1353" t="s">
        <v>5814</v>
      </c>
      <c r="D1353">
        <v>225</v>
      </c>
      <c r="E1353" t="s">
        <v>5535</v>
      </c>
      <c r="F1353" t="str">
        <f>VLOOKUP(E1353,country_continent!A:C,2,FALSE)</f>
        <v>Switzerland</v>
      </c>
      <c r="G1353" t="str">
        <f>VLOOKUP(E1353,country_continent!A:C,3,FALSE)</f>
        <v>Europe</v>
      </c>
      <c r="H1353" t="s">
        <v>5815</v>
      </c>
      <c r="I1353" s="1">
        <v>17899</v>
      </c>
      <c r="J1353" s="3">
        <f t="shared" si="63"/>
        <v>17899</v>
      </c>
      <c r="K1353" s="1">
        <v>18263</v>
      </c>
      <c r="L1353" s="3">
        <f t="shared" si="64"/>
        <v>18263</v>
      </c>
      <c r="M1353" t="s">
        <v>49</v>
      </c>
      <c r="N1353" t="s">
        <v>49</v>
      </c>
      <c r="O1353" t="s">
        <v>49</v>
      </c>
      <c r="P1353">
        <v>0</v>
      </c>
      <c r="Q1353" t="s">
        <v>50</v>
      </c>
      <c r="R1353" t="s">
        <v>51</v>
      </c>
      <c r="S1353">
        <v>1886</v>
      </c>
      <c r="T1353">
        <v>1957</v>
      </c>
      <c r="U1353" t="s">
        <v>5816</v>
      </c>
      <c r="V1353" t="s">
        <v>5817</v>
      </c>
      <c r="Z1353">
        <v>0</v>
      </c>
      <c r="AA1353">
        <v>1</v>
      </c>
      <c r="AB1353">
        <v>0</v>
      </c>
      <c r="AC1353">
        <v>0</v>
      </c>
      <c r="AF1353">
        <v>1949</v>
      </c>
      <c r="AG1353">
        <v>1949</v>
      </c>
      <c r="AO1353" t="b">
        <v>0</v>
      </c>
      <c r="AT1353">
        <v>364</v>
      </c>
      <c r="AU1353">
        <f t="shared" si="65"/>
        <v>0.997</v>
      </c>
    </row>
    <row r="1354" spans="1:47" x14ac:dyDescent="0.3">
      <c r="A1354">
        <v>1352</v>
      </c>
      <c r="B1354" t="s">
        <v>5818</v>
      </c>
      <c r="C1354" t="s">
        <v>5819</v>
      </c>
      <c r="D1354">
        <v>225</v>
      </c>
      <c r="E1354" t="s">
        <v>5535</v>
      </c>
      <c r="F1354" t="str">
        <f>VLOOKUP(E1354,country_continent!A:C,2,FALSE)</f>
        <v>Switzerland</v>
      </c>
      <c r="G1354" t="str">
        <f>VLOOKUP(E1354,country_continent!A:C,3,FALSE)</f>
        <v>Europe</v>
      </c>
      <c r="H1354" t="s">
        <v>5820</v>
      </c>
      <c r="I1354" s="1">
        <v>18264</v>
      </c>
      <c r="J1354" s="3">
        <f t="shared" si="63"/>
        <v>18264</v>
      </c>
      <c r="K1354" s="1">
        <v>18628</v>
      </c>
      <c r="L1354" s="3">
        <f t="shared" si="64"/>
        <v>18628</v>
      </c>
      <c r="M1354" t="s">
        <v>49</v>
      </c>
      <c r="N1354" t="s">
        <v>49</v>
      </c>
      <c r="O1354" t="s">
        <v>49</v>
      </c>
      <c r="P1354">
        <v>0</v>
      </c>
      <c r="Q1354" t="s">
        <v>50</v>
      </c>
      <c r="R1354" t="s">
        <v>51</v>
      </c>
      <c r="S1354">
        <v>1899</v>
      </c>
      <c r="T1354">
        <v>1994</v>
      </c>
      <c r="U1354" t="s">
        <v>5821</v>
      </c>
      <c r="V1354" t="s">
        <v>5822</v>
      </c>
      <c r="Z1354">
        <v>0</v>
      </c>
      <c r="AA1354">
        <v>1</v>
      </c>
      <c r="AB1354">
        <v>0</v>
      </c>
      <c r="AC1354">
        <v>0</v>
      </c>
      <c r="AF1354">
        <v>1950</v>
      </c>
      <c r="AG1354">
        <v>1950</v>
      </c>
      <c r="AO1354" t="b">
        <v>0</v>
      </c>
      <c r="AT1354">
        <v>364</v>
      </c>
      <c r="AU1354">
        <f t="shared" si="65"/>
        <v>0.997</v>
      </c>
    </row>
    <row r="1355" spans="1:47" x14ac:dyDescent="0.3">
      <c r="A1355">
        <v>1353</v>
      </c>
      <c r="B1355" t="s">
        <v>5823</v>
      </c>
      <c r="C1355" t="s">
        <v>5802</v>
      </c>
      <c r="D1355">
        <v>225</v>
      </c>
      <c r="E1355" t="s">
        <v>5535</v>
      </c>
      <c r="F1355" t="str">
        <f>VLOOKUP(E1355,country_continent!A:C,2,FALSE)</f>
        <v>Switzerland</v>
      </c>
      <c r="G1355" t="str">
        <f>VLOOKUP(E1355,country_continent!A:C,3,FALSE)</f>
        <v>Europe</v>
      </c>
      <c r="H1355" t="s">
        <v>5803</v>
      </c>
      <c r="I1355" s="1">
        <v>18629</v>
      </c>
      <c r="J1355" s="3">
        <f t="shared" si="63"/>
        <v>18629</v>
      </c>
      <c r="K1355" s="1">
        <v>18993</v>
      </c>
      <c r="L1355" s="3">
        <f t="shared" si="64"/>
        <v>18993</v>
      </c>
      <c r="M1355" t="s">
        <v>49</v>
      </c>
      <c r="N1355" t="s">
        <v>49</v>
      </c>
      <c r="O1355" t="s">
        <v>49</v>
      </c>
      <c r="P1355">
        <v>1</v>
      </c>
      <c r="Q1355" t="s">
        <v>50</v>
      </c>
      <c r="R1355" t="s">
        <v>51</v>
      </c>
      <c r="S1355">
        <v>1881</v>
      </c>
      <c r="T1355">
        <v>1962</v>
      </c>
      <c r="U1355" t="s">
        <v>5804</v>
      </c>
      <c r="V1355" t="s">
        <v>5805</v>
      </c>
      <c r="Z1355">
        <v>0</v>
      </c>
      <c r="AA1355">
        <v>1</v>
      </c>
      <c r="AB1355">
        <v>0</v>
      </c>
      <c r="AC1355">
        <v>0</v>
      </c>
      <c r="AF1355">
        <v>1951</v>
      </c>
      <c r="AG1355">
        <v>1951</v>
      </c>
      <c r="AO1355" t="b">
        <v>0</v>
      </c>
      <c r="AT1355">
        <v>364</v>
      </c>
      <c r="AU1355">
        <f t="shared" si="65"/>
        <v>0.997</v>
      </c>
    </row>
    <row r="1356" spans="1:47" x14ac:dyDescent="0.3">
      <c r="A1356">
        <v>1354</v>
      </c>
      <c r="B1356" t="s">
        <v>5824</v>
      </c>
      <c r="C1356" t="s">
        <v>5807</v>
      </c>
      <c r="D1356">
        <v>225</v>
      </c>
      <c r="E1356" t="s">
        <v>5535</v>
      </c>
      <c r="F1356" t="str">
        <f>VLOOKUP(E1356,country_continent!A:C,2,FALSE)</f>
        <v>Switzerland</v>
      </c>
      <c r="G1356" t="str">
        <f>VLOOKUP(E1356,country_continent!A:C,3,FALSE)</f>
        <v>Europe</v>
      </c>
      <c r="H1356" t="s">
        <v>5808</v>
      </c>
      <c r="I1356" s="1">
        <v>18994</v>
      </c>
      <c r="J1356" s="3">
        <f t="shared" si="63"/>
        <v>18994</v>
      </c>
      <c r="K1356" s="1">
        <v>19359</v>
      </c>
      <c r="L1356" s="3">
        <f t="shared" si="64"/>
        <v>19359</v>
      </c>
      <c r="M1356" t="s">
        <v>49</v>
      </c>
      <c r="N1356" t="s">
        <v>49</v>
      </c>
      <c r="O1356" t="s">
        <v>49</v>
      </c>
      <c r="P1356">
        <v>1</v>
      </c>
      <c r="Q1356" t="s">
        <v>50</v>
      </c>
      <c r="R1356" t="s">
        <v>51</v>
      </c>
      <c r="S1356">
        <v>1891</v>
      </c>
      <c r="T1356">
        <v>1968</v>
      </c>
      <c r="U1356" t="s">
        <v>5809</v>
      </c>
      <c r="V1356" t="s">
        <v>5810</v>
      </c>
      <c r="Z1356">
        <v>0</v>
      </c>
      <c r="AA1356">
        <v>1</v>
      </c>
      <c r="AB1356">
        <v>0</v>
      </c>
      <c r="AC1356">
        <v>0</v>
      </c>
      <c r="AF1356">
        <v>1952</v>
      </c>
      <c r="AG1356">
        <v>1952</v>
      </c>
      <c r="AO1356" t="b">
        <v>0</v>
      </c>
      <c r="AT1356">
        <v>365</v>
      </c>
      <c r="AU1356">
        <f t="shared" si="65"/>
        <v>1</v>
      </c>
    </row>
    <row r="1357" spans="1:47" x14ac:dyDescent="0.3">
      <c r="A1357">
        <v>1355</v>
      </c>
      <c r="B1357" t="s">
        <v>5825</v>
      </c>
      <c r="C1357" t="s">
        <v>5780</v>
      </c>
      <c r="D1357">
        <v>225</v>
      </c>
      <c r="E1357" t="s">
        <v>5535</v>
      </c>
      <c r="F1357" t="str">
        <f>VLOOKUP(E1357,country_continent!A:C,2,FALSE)</f>
        <v>Switzerland</v>
      </c>
      <c r="G1357" t="str">
        <f>VLOOKUP(E1357,country_continent!A:C,3,FALSE)</f>
        <v>Europe</v>
      </c>
      <c r="H1357" t="s">
        <v>5781</v>
      </c>
      <c r="I1357" s="1">
        <v>19360</v>
      </c>
      <c r="J1357" s="3">
        <f t="shared" si="63"/>
        <v>19360</v>
      </c>
      <c r="K1357" s="1">
        <v>19724</v>
      </c>
      <c r="L1357" s="3">
        <f t="shared" si="64"/>
        <v>19724</v>
      </c>
      <c r="M1357" t="s">
        <v>49</v>
      </c>
      <c r="N1357" t="s">
        <v>49</v>
      </c>
      <c r="O1357" t="s">
        <v>49</v>
      </c>
      <c r="P1357">
        <v>3</v>
      </c>
      <c r="Q1357" t="s">
        <v>50</v>
      </c>
      <c r="R1357" t="s">
        <v>51</v>
      </c>
      <c r="S1357">
        <v>1891</v>
      </c>
      <c r="T1357">
        <v>1977</v>
      </c>
      <c r="U1357" t="s">
        <v>5782</v>
      </c>
      <c r="V1357" t="s">
        <v>5783</v>
      </c>
      <c r="Z1357">
        <v>0</v>
      </c>
      <c r="AA1357">
        <v>1</v>
      </c>
      <c r="AB1357">
        <v>0</v>
      </c>
      <c r="AC1357">
        <v>0</v>
      </c>
      <c r="AF1357">
        <v>1953</v>
      </c>
      <c r="AG1357">
        <v>1953</v>
      </c>
      <c r="AO1357" t="b">
        <v>0</v>
      </c>
      <c r="AT1357">
        <v>364</v>
      </c>
      <c r="AU1357">
        <f t="shared" si="65"/>
        <v>0.997</v>
      </c>
    </row>
    <row r="1358" spans="1:47" x14ac:dyDescent="0.3">
      <c r="A1358">
        <v>1356</v>
      </c>
      <c r="B1358" t="s">
        <v>5826</v>
      </c>
      <c r="C1358" t="s">
        <v>5827</v>
      </c>
      <c r="D1358">
        <v>225</v>
      </c>
      <c r="E1358" t="s">
        <v>5535</v>
      </c>
      <c r="F1358" t="str">
        <f>VLOOKUP(E1358,country_continent!A:C,2,FALSE)</f>
        <v>Switzerland</v>
      </c>
      <c r="G1358" t="str">
        <f>VLOOKUP(E1358,country_continent!A:C,3,FALSE)</f>
        <v>Europe</v>
      </c>
      <c r="H1358" t="s">
        <v>5828</v>
      </c>
      <c r="I1358" s="1">
        <v>19725</v>
      </c>
      <c r="J1358" s="3">
        <f t="shared" si="63"/>
        <v>19725</v>
      </c>
      <c r="K1358" s="1">
        <v>20089</v>
      </c>
      <c r="L1358" s="3">
        <f t="shared" si="64"/>
        <v>20089</v>
      </c>
      <c r="M1358" t="s">
        <v>49</v>
      </c>
      <c r="N1358" t="s">
        <v>49</v>
      </c>
      <c r="O1358" t="s">
        <v>49</v>
      </c>
      <c r="P1358">
        <v>0</v>
      </c>
      <c r="Q1358" t="s">
        <v>50</v>
      </c>
      <c r="R1358" t="s">
        <v>51</v>
      </c>
      <c r="S1358">
        <v>1896</v>
      </c>
      <c r="T1358">
        <v>1961</v>
      </c>
      <c r="U1358" t="s">
        <v>5829</v>
      </c>
      <c r="V1358" t="s">
        <v>5830</v>
      </c>
      <c r="Z1358">
        <v>0</v>
      </c>
      <c r="AA1358">
        <v>1</v>
      </c>
      <c r="AB1358">
        <v>0</v>
      </c>
      <c r="AC1358">
        <v>0</v>
      </c>
      <c r="AF1358">
        <v>1954</v>
      </c>
      <c r="AG1358">
        <v>1954</v>
      </c>
      <c r="AO1358" t="b">
        <v>0</v>
      </c>
      <c r="AT1358">
        <v>364</v>
      </c>
      <c r="AU1358">
        <f t="shared" si="65"/>
        <v>0.997</v>
      </c>
    </row>
    <row r="1359" spans="1:47" x14ac:dyDescent="0.3">
      <c r="A1359">
        <v>1357</v>
      </c>
      <c r="B1359" t="s">
        <v>5831</v>
      </c>
      <c r="C1359" t="s">
        <v>5819</v>
      </c>
      <c r="D1359">
        <v>225</v>
      </c>
      <c r="E1359" t="s">
        <v>5535</v>
      </c>
      <c r="F1359" t="str">
        <f>VLOOKUP(E1359,country_continent!A:C,2,FALSE)</f>
        <v>Switzerland</v>
      </c>
      <c r="G1359" t="str">
        <f>VLOOKUP(E1359,country_continent!A:C,3,FALSE)</f>
        <v>Europe</v>
      </c>
      <c r="H1359" t="s">
        <v>5820</v>
      </c>
      <c r="I1359" s="1">
        <v>20090</v>
      </c>
      <c r="J1359" s="3">
        <f t="shared" si="63"/>
        <v>20090</v>
      </c>
      <c r="K1359" s="1">
        <v>20454</v>
      </c>
      <c r="L1359" s="3">
        <f t="shared" si="64"/>
        <v>20454</v>
      </c>
      <c r="M1359" t="s">
        <v>49</v>
      </c>
      <c r="N1359" t="s">
        <v>49</v>
      </c>
      <c r="O1359" t="s">
        <v>49</v>
      </c>
      <c r="P1359">
        <v>1</v>
      </c>
      <c r="Q1359" t="s">
        <v>50</v>
      </c>
      <c r="R1359" t="s">
        <v>51</v>
      </c>
      <c r="S1359">
        <v>1899</v>
      </c>
      <c r="T1359">
        <v>1994</v>
      </c>
      <c r="U1359" t="s">
        <v>5821</v>
      </c>
      <c r="V1359" t="s">
        <v>5822</v>
      </c>
      <c r="Z1359">
        <v>0</v>
      </c>
      <c r="AA1359">
        <v>1</v>
      </c>
      <c r="AB1359">
        <v>0</v>
      </c>
      <c r="AC1359">
        <v>0</v>
      </c>
      <c r="AF1359">
        <v>1955</v>
      </c>
      <c r="AG1359">
        <v>1955</v>
      </c>
      <c r="AO1359" t="b">
        <v>0</v>
      </c>
      <c r="AT1359">
        <v>364</v>
      </c>
      <c r="AU1359">
        <f t="shared" si="65"/>
        <v>0.997</v>
      </c>
    </row>
    <row r="1360" spans="1:47" x14ac:dyDescent="0.3">
      <c r="A1360">
        <v>1358</v>
      </c>
      <c r="B1360" t="s">
        <v>5832</v>
      </c>
      <c r="C1360" t="s">
        <v>5833</v>
      </c>
      <c r="D1360">
        <v>225</v>
      </c>
      <c r="E1360" t="s">
        <v>5535</v>
      </c>
      <c r="F1360" t="str">
        <f>VLOOKUP(E1360,country_continent!A:C,2,FALSE)</f>
        <v>Switzerland</v>
      </c>
      <c r="G1360" t="str">
        <f>VLOOKUP(E1360,country_continent!A:C,3,FALSE)</f>
        <v>Europe</v>
      </c>
      <c r="H1360" t="s">
        <v>5834</v>
      </c>
      <c r="I1360" s="1">
        <v>20455</v>
      </c>
      <c r="J1360" s="3">
        <f t="shared" si="63"/>
        <v>20455</v>
      </c>
      <c r="K1360" s="1">
        <v>20820</v>
      </c>
      <c r="L1360" s="3">
        <f t="shared" si="64"/>
        <v>20820</v>
      </c>
      <c r="M1360" t="s">
        <v>49</v>
      </c>
      <c r="N1360" t="s">
        <v>49</v>
      </c>
      <c r="O1360" t="s">
        <v>49</v>
      </c>
      <c r="P1360">
        <v>0</v>
      </c>
      <c r="Q1360" t="s">
        <v>50</v>
      </c>
      <c r="R1360" t="s">
        <v>51</v>
      </c>
      <c r="S1360">
        <v>1897</v>
      </c>
      <c r="T1360">
        <v>1958</v>
      </c>
      <c r="U1360" t="s">
        <v>5835</v>
      </c>
      <c r="V1360" t="s">
        <v>5836</v>
      </c>
      <c r="Z1360">
        <v>0</v>
      </c>
      <c r="AA1360">
        <v>1</v>
      </c>
      <c r="AB1360">
        <v>0</v>
      </c>
      <c r="AC1360">
        <v>0</v>
      </c>
      <c r="AF1360">
        <v>1956</v>
      </c>
      <c r="AG1360">
        <v>1956</v>
      </c>
      <c r="AO1360" t="b">
        <v>0</v>
      </c>
      <c r="AT1360">
        <v>365</v>
      </c>
      <c r="AU1360">
        <f t="shared" si="65"/>
        <v>1</v>
      </c>
    </row>
    <row r="1361" spans="1:47" x14ac:dyDescent="0.3">
      <c r="A1361">
        <v>1359</v>
      </c>
      <c r="B1361" t="s">
        <v>5837</v>
      </c>
      <c r="C1361" t="s">
        <v>5838</v>
      </c>
      <c r="D1361">
        <v>225</v>
      </c>
      <c r="E1361" t="s">
        <v>5535</v>
      </c>
      <c r="F1361" t="str">
        <f>VLOOKUP(E1361,country_continent!A:C,2,FALSE)</f>
        <v>Switzerland</v>
      </c>
      <c r="G1361" t="str">
        <f>VLOOKUP(E1361,country_continent!A:C,3,FALSE)</f>
        <v>Europe</v>
      </c>
      <c r="H1361" t="s">
        <v>5839</v>
      </c>
      <c r="I1361" s="1">
        <v>20821</v>
      </c>
      <c r="J1361" s="3">
        <f t="shared" si="63"/>
        <v>20821</v>
      </c>
      <c r="K1361" s="1">
        <v>21185</v>
      </c>
      <c r="L1361" s="3">
        <f t="shared" si="64"/>
        <v>21185</v>
      </c>
      <c r="M1361" t="s">
        <v>49</v>
      </c>
      <c r="N1361" t="s">
        <v>49</v>
      </c>
      <c r="O1361" t="s">
        <v>49</v>
      </c>
      <c r="P1361">
        <v>0</v>
      </c>
      <c r="Q1361" t="s">
        <v>50</v>
      </c>
      <c r="R1361" t="s">
        <v>51</v>
      </c>
      <c r="S1361">
        <v>1892</v>
      </c>
      <c r="T1361">
        <v>1970</v>
      </c>
      <c r="U1361" t="s">
        <v>5840</v>
      </c>
      <c r="V1361" t="s">
        <v>5841</v>
      </c>
      <c r="Z1361">
        <v>0</v>
      </c>
      <c r="AA1361">
        <v>1</v>
      </c>
      <c r="AB1361">
        <v>0</v>
      </c>
      <c r="AC1361">
        <v>0</v>
      </c>
      <c r="AF1361">
        <v>1957</v>
      </c>
      <c r="AG1361">
        <v>1957</v>
      </c>
      <c r="AO1361" t="b">
        <v>0</v>
      </c>
      <c r="AT1361">
        <v>364</v>
      </c>
      <c r="AU1361">
        <f t="shared" si="65"/>
        <v>0.997</v>
      </c>
    </row>
    <row r="1362" spans="1:47" x14ac:dyDescent="0.3">
      <c r="A1362">
        <v>1360</v>
      </c>
      <c r="B1362" t="s">
        <v>5842</v>
      </c>
      <c r="C1362" t="s">
        <v>5843</v>
      </c>
      <c r="D1362">
        <v>225</v>
      </c>
      <c r="E1362" t="s">
        <v>5535</v>
      </c>
      <c r="F1362" t="str">
        <f>VLOOKUP(E1362,country_continent!A:C,2,FALSE)</f>
        <v>Switzerland</v>
      </c>
      <c r="G1362" t="str">
        <f>VLOOKUP(E1362,country_continent!A:C,3,FALSE)</f>
        <v>Europe</v>
      </c>
      <c r="H1362" t="s">
        <v>5844</v>
      </c>
      <c r="I1362" s="1">
        <v>21186</v>
      </c>
      <c r="J1362" s="3">
        <f t="shared" si="63"/>
        <v>21186</v>
      </c>
      <c r="K1362" s="1">
        <v>21550</v>
      </c>
      <c r="L1362" s="3">
        <f t="shared" si="64"/>
        <v>21550</v>
      </c>
      <c r="M1362" t="s">
        <v>49</v>
      </c>
      <c r="N1362" t="s">
        <v>49</v>
      </c>
      <c r="O1362" t="s">
        <v>49</v>
      </c>
      <c r="P1362">
        <v>0</v>
      </c>
      <c r="Q1362" t="s">
        <v>50</v>
      </c>
      <c r="R1362" t="s">
        <v>51</v>
      </c>
      <c r="S1362">
        <v>1896</v>
      </c>
      <c r="T1362">
        <v>1962</v>
      </c>
      <c r="U1362" t="s">
        <v>5845</v>
      </c>
      <c r="V1362" t="s">
        <v>5846</v>
      </c>
      <c r="Z1362">
        <v>0</v>
      </c>
      <c r="AA1362">
        <v>1</v>
      </c>
      <c r="AB1362">
        <v>0</v>
      </c>
      <c r="AC1362">
        <v>0</v>
      </c>
      <c r="AF1362">
        <v>1958</v>
      </c>
      <c r="AG1362">
        <v>1958</v>
      </c>
      <c r="AO1362" t="b">
        <v>0</v>
      </c>
      <c r="AT1362">
        <v>364</v>
      </c>
      <c r="AU1362">
        <f t="shared" si="65"/>
        <v>0.997</v>
      </c>
    </row>
    <row r="1363" spans="1:47" x14ac:dyDescent="0.3">
      <c r="A1363">
        <v>1361</v>
      </c>
      <c r="B1363" t="s">
        <v>5847</v>
      </c>
      <c r="C1363" t="s">
        <v>5848</v>
      </c>
      <c r="D1363">
        <v>225</v>
      </c>
      <c r="E1363" t="s">
        <v>5535</v>
      </c>
      <c r="F1363" t="str">
        <f>VLOOKUP(E1363,country_continent!A:C,2,FALSE)</f>
        <v>Switzerland</v>
      </c>
      <c r="G1363" t="str">
        <f>VLOOKUP(E1363,country_continent!A:C,3,FALSE)</f>
        <v>Europe</v>
      </c>
      <c r="H1363" t="s">
        <v>5849</v>
      </c>
      <c r="I1363" s="1">
        <v>21551</v>
      </c>
      <c r="J1363" s="3">
        <f t="shared" si="63"/>
        <v>21551</v>
      </c>
      <c r="K1363" s="1">
        <v>21915</v>
      </c>
      <c r="L1363" s="3">
        <f t="shared" si="64"/>
        <v>21915</v>
      </c>
      <c r="M1363" t="s">
        <v>49</v>
      </c>
      <c r="N1363" t="s">
        <v>49</v>
      </c>
      <c r="O1363" t="s">
        <v>49</v>
      </c>
      <c r="P1363">
        <v>0</v>
      </c>
      <c r="Q1363" t="s">
        <v>50</v>
      </c>
      <c r="R1363" t="s">
        <v>51</v>
      </c>
      <c r="S1363">
        <v>1901</v>
      </c>
      <c r="T1363">
        <v>1977</v>
      </c>
      <c r="U1363" s="1">
        <v>687</v>
      </c>
      <c r="V1363" s="2">
        <v>687</v>
      </c>
      <c r="Z1363">
        <v>0</v>
      </c>
      <c r="AA1363">
        <v>1</v>
      </c>
      <c r="AB1363">
        <v>0</v>
      </c>
      <c r="AC1363">
        <v>0</v>
      </c>
      <c r="AF1363">
        <v>1959</v>
      </c>
      <c r="AG1363">
        <v>1959</v>
      </c>
      <c r="AO1363" t="b">
        <v>0</v>
      </c>
      <c r="AT1363">
        <v>364</v>
      </c>
      <c r="AU1363">
        <f t="shared" si="65"/>
        <v>0.997</v>
      </c>
    </row>
    <row r="1364" spans="1:47" x14ac:dyDescent="0.3">
      <c r="A1364">
        <v>1362</v>
      </c>
      <c r="B1364" t="s">
        <v>5850</v>
      </c>
      <c r="C1364" t="s">
        <v>5819</v>
      </c>
      <c r="D1364">
        <v>225</v>
      </c>
      <c r="E1364" t="s">
        <v>5535</v>
      </c>
      <c r="F1364" t="str">
        <f>VLOOKUP(E1364,country_continent!A:C,2,FALSE)</f>
        <v>Switzerland</v>
      </c>
      <c r="G1364" t="str">
        <f>VLOOKUP(E1364,country_continent!A:C,3,FALSE)</f>
        <v>Europe</v>
      </c>
      <c r="H1364" t="s">
        <v>5820</v>
      </c>
      <c r="I1364" s="1">
        <v>21916</v>
      </c>
      <c r="J1364" s="3">
        <f t="shared" si="63"/>
        <v>21916</v>
      </c>
      <c r="K1364" s="1">
        <v>22281</v>
      </c>
      <c r="L1364" s="3">
        <f t="shared" si="64"/>
        <v>22281</v>
      </c>
      <c r="M1364" t="s">
        <v>49</v>
      </c>
      <c r="N1364" t="s">
        <v>49</v>
      </c>
      <c r="O1364" t="s">
        <v>49</v>
      </c>
      <c r="P1364">
        <v>2</v>
      </c>
      <c r="Q1364" t="s">
        <v>50</v>
      </c>
      <c r="R1364" t="s">
        <v>51</v>
      </c>
      <c r="S1364">
        <v>1899</v>
      </c>
      <c r="T1364">
        <v>1994</v>
      </c>
      <c r="U1364" t="s">
        <v>5821</v>
      </c>
      <c r="V1364" t="s">
        <v>5822</v>
      </c>
      <c r="Z1364">
        <v>0</v>
      </c>
      <c r="AA1364">
        <v>1</v>
      </c>
      <c r="AB1364">
        <v>0</v>
      </c>
      <c r="AC1364">
        <v>0</v>
      </c>
      <c r="AF1364">
        <v>1960</v>
      </c>
      <c r="AG1364">
        <v>1960</v>
      </c>
      <c r="AK1364">
        <v>207.4</v>
      </c>
      <c r="AO1364" t="b">
        <v>0</v>
      </c>
      <c r="AT1364">
        <v>365</v>
      </c>
      <c r="AU1364">
        <f t="shared" si="65"/>
        <v>1</v>
      </c>
    </row>
    <row r="1365" spans="1:47" x14ac:dyDescent="0.3">
      <c r="A1365">
        <v>1363</v>
      </c>
      <c r="B1365" t="s">
        <v>5851</v>
      </c>
      <c r="C1365" t="s">
        <v>5852</v>
      </c>
      <c r="D1365">
        <v>225</v>
      </c>
      <c r="E1365" t="s">
        <v>5535</v>
      </c>
      <c r="F1365" t="str">
        <f>VLOOKUP(E1365,country_continent!A:C,2,FALSE)</f>
        <v>Switzerland</v>
      </c>
      <c r="G1365" t="str">
        <f>VLOOKUP(E1365,country_continent!A:C,3,FALSE)</f>
        <v>Europe</v>
      </c>
      <c r="H1365" t="s">
        <v>5853</v>
      </c>
      <c r="I1365" s="1">
        <v>22282</v>
      </c>
      <c r="J1365" s="3">
        <f t="shared" si="63"/>
        <v>22282</v>
      </c>
      <c r="K1365" s="1">
        <v>22646</v>
      </c>
      <c r="L1365" s="3">
        <f t="shared" si="64"/>
        <v>22646</v>
      </c>
      <c r="M1365" t="s">
        <v>49</v>
      </c>
      <c r="N1365" t="s">
        <v>49</v>
      </c>
      <c r="O1365" t="s">
        <v>49</v>
      </c>
      <c r="P1365">
        <v>0</v>
      </c>
      <c r="Q1365" t="s">
        <v>50</v>
      </c>
      <c r="R1365" t="s">
        <v>51</v>
      </c>
      <c r="S1365">
        <v>1899</v>
      </c>
      <c r="T1365">
        <v>1985</v>
      </c>
      <c r="U1365" t="s">
        <v>5854</v>
      </c>
      <c r="V1365" t="s">
        <v>5855</v>
      </c>
      <c r="Z1365">
        <v>0</v>
      </c>
      <c r="AA1365">
        <v>1</v>
      </c>
      <c r="AB1365">
        <v>0</v>
      </c>
      <c r="AC1365">
        <v>0</v>
      </c>
      <c r="AF1365">
        <v>1961</v>
      </c>
      <c r="AG1365">
        <v>1961</v>
      </c>
      <c r="AK1365">
        <v>203.5</v>
      </c>
      <c r="AL1365">
        <v>2.2694900912418401</v>
      </c>
      <c r="AO1365" t="b">
        <v>0</v>
      </c>
      <c r="AT1365">
        <v>364</v>
      </c>
      <c r="AU1365">
        <f t="shared" si="65"/>
        <v>0.997</v>
      </c>
    </row>
    <row r="1366" spans="1:47" x14ac:dyDescent="0.3">
      <c r="A1366">
        <v>1364</v>
      </c>
      <c r="B1366" t="s">
        <v>5856</v>
      </c>
      <c r="C1366" t="s">
        <v>5848</v>
      </c>
      <c r="D1366">
        <v>225</v>
      </c>
      <c r="E1366" t="s">
        <v>5535</v>
      </c>
      <c r="F1366" t="str">
        <f>VLOOKUP(E1366,country_continent!A:C,2,FALSE)</f>
        <v>Switzerland</v>
      </c>
      <c r="G1366" t="str">
        <f>VLOOKUP(E1366,country_continent!A:C,3,FALSE)</f>
        <v>Europe</v>
      </c>
      <c r="H1366" t="s">
        <v>5849</v>
      </c>
      <c r="I1366" s="1">
        <v>22647</v>
      </c>
      <c r="J1366" s="3">
        <f t="shared" si="63"/>
        <v>22647</v>
      </c>
      <c r="K1366" s="1">
        <v>23011</v>
      </c>
      <c r="L1366" s="3">
        <f t="shared" si="64"/>
        <v>23011</v>
      </c>
      <c r="M1366" t="s">
        <v>49</v>
      </c>
      <c r="N1366" t="s">
        <v>49</v>
      </c>
      <c r="O1366" t="s">
        <v>49</v>
      </c>
      <c r="P1366">
        <v>1</v>
      </c>
      <c r="Q1366" t="s">
        <v>50</v>
      </c>
      <c r="R1366" t="s">
        <v>51</v>
      </c>
      <c r="S1366">
        <v>1901</v>
      </c>
      <c r="T1366">
        <v>1977</v>
      </c>
      <c r="U1366" s="1">
        <v>687</v>
      </c>
      <c r="V1366" s="2">
        <v>687</v>
      </c>
      <c r="Z1366">
        <v>0</v>
      </c>
      <c r="AA1366">
        <v>1</v>
      </c>
      <c r="AB1366">
        <v>0</v>
      </c>
      <c r="AC1366">
        <v>0</v>
      </c>
      <c r="AF1366">
        <v>1962</v>
      </c>
      <c r="AG1366">
        <v>1962</v>
      </c>
      <c r="AK1366">
        <v>199.7</v>
      </c>
      <c r="AL1366">
        <v>2.2672875099860499</v>
      </c>
      <c r="AO1366" t="b">
        <v>0</v>
      </c>
      <c r="AT1366">
        <v>364</v>
      </c>
      <c r="AU1366">
        <f t="shared" si="65"/>
        <v>0.997</v>
      </c>
    </row>
    <row r="1367" spans="1:47" x14ac:dyDescent="0.3">
      <c r="A1367">
        <v>1365</v>
      </c>
      <c r="B1367" t="s">
        <v>5857</v>
      </c>
      <c r="C1367" t="s">
        <v>5858</v>
      </c>
      <c r="D1367">
        <v>225</v>
      </c>
      <c r="E1367" t="s">
        <v>5535</v>
      </c>
      <c r="F1367" t="str">
        <f>VLOOKUP(E1367,country_continent!A:C,2,FALSE)</f>
        <v>Switzerland</v>
      </c>
      <c r="G1367" t="str">
        <f>VLOOKUP(E1367,country_continent!A:C,3,FALSE)</f>
        <v>Europe</v>
      </c>
      <c r="H1367" t="s">
        <v>5859</v>
      </c>
      <c r="I1367" s="1">
        <v>23012</v>
      </c>
      <c r="J1367" s="3">
        <f t="shared" si="63"/>
        <v>23012</v>
      </c>
      <c r="K1367" s="1">
        <v>23376</v>
      </c>
      <c r="L1367" s="3">
        <f t="shared" si="64"/>
        <v>23376</v>
      </c>
      <c r="M1367" t="s">
        <v>49</v>
      </c>
      <c r="N1367" t="s">
        <v>49</v>
      </c>
      <c r="O1367" t="s">
        <v>49</v>
      </c>
      <c r="P1367">
        <v>0</v>
      </c>
      <c r="Q1367" t="s">
        <v>50</v>
      </c>
      <c r="R1367" t="s">
        <v>51</v>
      </c>
      <c r="S1367">
        <v>1902</v>
      </c>
      <c r="T1367">
        <v>1990</v>
      </c>
      <c r="U1367" s="1">
        <v>762</v>
      </c>
      <c r="V1367" s="2">
        <v>762</v>
      </c>
      <c r="Z1367">
        <v>0</v>
      </c>
      <c r="AA1367">
        <v>1</v>
      </c>
      <c r="AB1367">
        <v>0</v>
      </c>
      <c r="AC1367">
        <v>0</v>
      </c>
      <c r="AF1367">
        <v>1963</v>
      </c>
      <c r="AG1367">
        <v>1963</v>
      </c>
      <c r="AK1367">
        <v>195.7</v>
      </c>
      <c r="AL1367">
        <v>2.2962914197620998</v>
      </c>
      <c r="AO1367" t="b">
        <v>0</v>
      </c>
      <c r="AT1367">
        <v>364</v>
      </c>
      <c r="AU1367">
        <f t="shared" si="65"/>
        <v>0.997</v>
      </c>
    </row>
    <row r="1368" spans="1:47" x14ac:dyDescent="0.3">
      <c r="A1368">
        <v>1366</v>
      </c>
      <c r="B1368" t="s">
        <v>5860</v>
      </c>
      <c r="C1368" t="s">
        <v>5861</v>
      </c>
      <c r="D1368">
        <v>225</v>
      </c>
      <c r="E1368" t="s">
        <v>5535</v>
      </c>
      <c r="F1368" t="str">
        <f>VLOOKUP(E1368,country_continent!A:C,2,FALSE)</f>
        <v>Switzerland</v>
      </c>
      <c r="G1368" t="str">
        <f>VLOOKUP(E1368,country_continent!A:C,3,FALSE)</f>
        <v>Europe</v>
      </c>
      <c r="H1368" t="s">
        <v>5862</v>
      </c>
      <c r="I1368" s="1">
        <v>23377</v>
      </c>
      <c r="J1368" s="3">
        <f t="shared" si="63"/>
        <v>23377</v>
      </c>
      <c r="K1368" s="1">
        <v>23742</v>
      </c>
      <c r="L1368" s="3">
        <f t="shared" si="64"/>
        <v>23742</v>
      </c>
      <c r="M1368" t="s">
        <v>49</v>
      </c>
      <c r="N1368" t="s">
        <v>49</v>
      </c>
      <c r="O1368" t="s">
        <v>49</v>
      </c>
      <c r="P1368">
        <v>0</v>
      </c>
      <c r="Q1368" t="s">
        <v>50</v>
      </c>
      <c r="R1368" t="s">
        <v>51</v>
      </c>
      <c r="S1368">
        <v>1910</v>
      </c>
      <c r="T1368">
        <v>1990</v>
      </c>
      <c r="U1368" s="1">
        <v>3684</v>
      </c>
      <c r="V1368" s="2">
        <v>3684</v>
      </c>
      <c r="Z1368">
        <v>0</v>
      </c>
      <c r="AA1368">
        <v>1</v>
      </c>
      <c r="AB1368">
        <v>0</v>
      </c>
      <c r="AC1368">
        <v>0</v>
      </c>
      <c r="AF1368">
        <v>1964</v>
      </c>
      <c r="AG1368">
        <v>1964</v>
      </c>
      <c r="AK1368">
        <v>191.8</v>
      </c>
      <c r="AL1368">
        <v>2.3776699136679902</v>
      </c>
      <c r="AO1368" t="b">
        <v>0</v>
      </c>
      <c r="AT1368">
        <v>365</v>
      </c>
      <c r="AU1368">
        <f t="shared" si="65"/>
        <v>1</v>
      </c>
    </row>
    <row r="1369" spans="1:47" x14ac:dyDescent="0.3">
      <c r="A1369">
        <v>1367</v>
      </c>
      <c r="B1369" t="s">
        <v>5863</v>
      </c>
      <c r="C1369" t="s">
        <v>5864</v>
      </c>
      <c r="D1369">
        <v>225</v>
      </c>
      <c r="E1369" t="s">
        <v>5535</v>
      </c>
      <c r="F1369" t="str">
        <f>VLOOKUP(E1369,country_continent!A:C,2,FALSE)</f>
        <v>Switzerland</v>
      </c>
      <c r="G1369" t="str">
        <f>VLOOKUP(E1369,country_continent!A:C,3,FALSE)</f>
        <v>Europe</v>
      </c>
      <c r="H1369" t="s">
        <v>5865</v>
      </c>
      <c r="I1369" s="1">
        <v>23743</v>
      </c>
      <c r="J1369" s="3">
        <f t="shared" si="63"/>
        <v>23743</v>
      </c>
      <c r="K1369" s="1">
        <v>24107</v>
      </c>
      <c r="L1369" s="3">
        <f t="shared" si="64"/>
        <v>24107</v>
      </c>
      <c r="M1369" t="s">
        <v>49</v>
      </c>
      <c r="N1369" t="s">
        <v>49</v>
      </c>
      <c r="O1369" t="s">
        <v>49</v>
      </c>
      <c r="P1369">
        <v>0</v>
      </c>
      <c r="Q1369" t="s">
        <v>50</v>
      </c>
      <c r="R1369" t="s">
        <v>51</v>
      </c>
      <c r="S1369">
        <v>1923</v>
      </c>
      <c r="T1369">
        <v>2002</v>
      </c>
      <c r="U1369" s="1">
        <v>8696</v>
      </c>
      <c r="V1369" s="2">
        <v>8696</v>
      </c>
      <c r="Z1369">
        <v>0</v>
      </c>
      <c r="AA1369">
        <v>1</v>
      </c>
      <c r="AB1369">
        <v>0</v>
      </c>
      <c r="AC1369">
        <v>0</v>
      </c>
      <c r="AF1369">
        <v>1965</v>
      </c>
      <c r="AG1369">
        <v>1965</v>
      </c>
      <c r="AK1369">
        <v>187.5</v>
      </c>
      <c r="AL1369">
        <v>2.5242803058755201</v>
      </c>
      <c r="AO1369" t="b">
        <v>0</v>
      </c>
      <c r="AT1369">
        <v>364</v>
      </c>
      <c r="AU1369">
        <f t="shared" si="65"/>
        <v>0.997</v>
      </c>
    </row>
    <row r="1370" spans="1:47" x14ac:dyDescent="0.3">
      <c r="A1370">
        <v>1368</v>
      </c>
      <c r="B1370" t="s">
        <v>5866</v>
      </c>
      <c r="C1370" t="s">
        <v>5867</v>
      </c>
      <c r="D1370">
        <v>225</v>
      </c>
      <c r="E1370" t="s">
        <v>5535</v>
      </c>
      <c r="F1370" t="str">
        <f>VLOOKUP(E1370,country_continent!A:C,2,FALSE)</f>
        <v>Switzerland</v>
      </c>
      <c r="G1370" t="str">
        <f>VLOOKUP(E1370,country_continent!A:C,3,FALSE)</f>
        <v>Europe</v>
      </c>
      <c r="H1370" t="s">
        <v>5868</v>
      </c>
      <c r="I1370" s="1">
        <v>24108</v>
      </c>
      <c r="J1370" s="3">
        <f t="shared" si="63"/>
        <v>24108</v>
      </c>
      <c r="K1370" s="1">
        <v>24472</v>
      </c>
      <c r="L1370" s="3">
        <f t="shared" si="64"/>
        <v>24472</v>
      </c>
      <c r="M1370" t="s">
        <v>49</v>
      </c>
      <c r="N1370" t="s">
        <v>49</v>
      </c>
      <c r="O1370" t="s">
        <v>49</v>
      </c>
      <c r="P1370">
        <v>0</v>
      </c>
      <c r="Q1370" t="s">
        <v>50</v>
      </c>
      <c r="R1370" t="s">
        <v>51</v>
      </c>
      <c r="S1370">
        <v>1908</v>
      </c>
      <c r="T1370">
        <v>2004</v>
      </c>
      <c r="U1370" s="1">
        <v>3273</v>
      </c>
      <c r="V1370" s="2">
        <v>3273</v>
      </c>
      <c r="Z1370">
        <v>0</v>
      </c>
      <c r="AA1370">
        <v>1</v>
      </c>
      <c r="AB1370">
        <v>0</v>
      </c>
      <c r="AC1370">
        <v>0</v>
      </c>
      <c r="AF1370">
        <v>1966</v>
      </c>
      <c r="AG1370">
        <v>1966</v>
      </c>
      <c r="AK1370">
        <v>183.3</v>
      </c>
      <c r="AL1370">
        <v>2.65038344249984</v>
      </c>
      <c r="AO1370" t="b">
        <v>0</v>
      </c>
      <c r="AT1370">
        <v>364</v>
      </c>
      <c r="AU1370">
        <f t="shared" si="65"/>
        <v>0.997</v>
      </c>
    </row>
    <row r="1371" spans="1:47" x14ac:dyDescent="0.3">
      <c r="A1371">
        <v>1369</v>
      </c>
      <c r="B1371" t="s">
        <v>5869</v>
      </c>
      <c r="C1371" t="s">
        <v>5870</v>
      </c>
      <c r="D1371">
        <v>225</v>
      </c>
      <c r="E1371" t="s">
        <v>5535</v>
      </c>
      <c r="F1371" t="str">
        <f>VLOOKUP(E1371,country_continent!A:C,2,FALSE)</f>
        <v>Switzerland</v>
      </c>
      <c r="G1371" t="str">
        <f>VLOOKUP(E1371,country_continent!A:C,3,FALSE)</f>
        <v>Europe</v>
      </c>
      <c r="H1371" t="s">
        <v>5871</v>
      </c>
      <c r="I1371" s="1">
        <v>24473</v>
      </c>
      <c r="J1371" s="3">
        <f t="shared" si="63"/>
        <v>24473</v>
      </c>
      <c r="K1371" s="1">
        <v>24837</v>
      </c>
      <c r="L1371" s="3">
        <f t="shared" si="64"/>
        <v>24837</v>
      </c>
      <c r="M1371" t="s">
        <v>49</v>
      </c>
      <c r="N1371" t="s">
        <v>49</v>
      </c>
      <c r="O1371" t="s">
        <v>49</v>
      </c>
      <c r="P1371">
        <v>0</v>
      </c>
      <c r="Q1371" t="s">
        <v>50</v>
      </c>
      <c r="R1371" t="s">
        <v>51</v>
      </c>
      <c r="S1371">
        <v>1907</v>
      </c>
      <c r="T1371">
        <v>1982</v>
      </c>
      <c r="U1371" s="1">
        <v>2812</v>
      </c>
      <c r="V1371" s="2">
        <v>2812</v>
      </c>
      <c r="Z1371">
        <v>0</v>
      </c>
      <c r="AA1371">
        <v>1</v>
      </c>
      <c r="AB1371">
        <v>0</v>
      </c>
      <c r="AC1371">
        <v>0</v>
      </c>
      <c r="AF1371">
        <v>1967</v>
      </c>
      <c r="AG1371">
        <v>1967</v>
      </c>
      <c r="AK1371">
        <v>178.9</v>
      </c>
      <c r="AL1371">
        <v>2.5416169105659598</v>
      </c>
      <c r="AO1371" t="b">
        <v>0</v>
      </c>
      <c r="AT1371">
        <v>364</v>
      </c>
      <c r="AU1371">
        <f t="shared" si="65"/>
        <v>0.997</v>
      </c>
    </row>
    <row r="1372" spans="1:47" x14ac:dyDescent="0.3">
      <c r="A1372">
        <v>1370</v>
      </c>
      <c r="B1372" t="s">
        <v>5872</v>
      </c>
      <c r="C1372" t="s">
        <v>5858</v>
      </c>
      <c r="D1372">
        <v>225</v>
      </c>
      <c r="E1372" t="s">
        <v>5535</v>
      </c>
      <c r="F1372" t="str">
        <f>VLOOKUP(E1372,country_continent!A:C,2,FALSE)</f>
        <v>Switzerland</v>
      </c>
      <c r="G1372" t="str">
        <f>VLOOKUP(E1372,country_continent!A:C,3,FALSE)</f>
        <v>Europe</v>
      </c>
      <c r="H1372" t="s">
        <v>5859</v>
      </c>
      <c r="I1372" s="1">
        <v>24838</v>
      </c>
      <c r="J1372" s="3">
        <f t="shared" si="63"/>
        <v>24838</v>
      </c>
      <c r="K1372" s="1">
        <v>25203</v>
      </c>
      <c r="L1372" s="3">
        <f t="shared" si="64"/>
        <v>25203</v>
      </c>
      <c r="M1372" t="s">
        <v>49</v>
      </c>
      <c r="N1372" t="s">
        <v>49</v>
      </c>
      <c r="O1372" t="s">
        <v>49</v>
      </c>
      <c r="P1372">
        <v>1</v>
      </c>
      <c r="Q1372" t="s">
        <v>50</v>
      </c>
      <c r="R1372" t="s">
        <v>51</v>
      </c>
      <c r="S1372">
        <v>1902</v>
      </c>
      <c r="T1372">
        <v>1990</v>
      </c>
      <c r="U1372" s="1">
        <v>762</v>
      </c>
      <c r="V1372" s="2">
        <v>762</v>
      </c>
      <c r="Z1372">
        <v>0</v>
      </c>
      <c r="AA1372">
        <v>1</v>
      </c>
      <c r="AB1372">
        <v>0</v>
      </c>
      <c r="AC1372">
        <v>0</v>
      </c>
      <c r="AF1372">
        <v>1968</v>
      </c>
      <c r="AG1372">
        <v>1968</v>
      </c>
      <c r="AK1372">
        <v>174.3</v>
      </c>
      <c r="AL1372">
        <v>2.4430745924450799</v>
      </c>
      <c r="AO1372" t="b">
        <v>0</v>
      </c>
      <c r="AT1372">
        <v>365</v>
      </c>
      <c r="AU1372">
        <f t="shared" si="65"/>
        <v>1</v>
      </c>
    </row>
    <row r="1373" spans="1:47" x14ac:dyDescent="0.3">
      <c r="A1373">
        <v>1371</v>
      </c>
      <c r="B1373" t="s">
        <v>5873</v>
      </c>
      <c r="C1373" t="s">
        <v>5861</v>
      </c>
      <c r="D1373">
        <v>225</v>
      </c>
      <c r="E1373" t="s">
        <v>5535</v>
      </c>
      <c r="F1373" t="str">
        <f>VLOOKUP(E1373,country_continent!A:C,2,FALSE)</f>
        <v>Switzerland</v>
      </c>
      <c r="G1373" t="str">
        <f>VLOOKUP(E1373,country_continent!A:C,3,FALSE)</f>
        <v>Europe</v>
      </c>
      <c r="H1373" t="s">
        <v>5862</v>
      </c>
      <c r="I1373" s="1">
        <v>25204</v>
      </c>
      <c r="J1373" s="3">
        <f t="shared" si="63"/>
        <v>25204</v>
      </c>
      <c r="K1373" s="1">
        <v>25568</v>
      </c>
      <c r="L1373" s="3">
        <f t="shared" si="64"/>
        <v>25568</v>
      </c>
      <c r="M1373" t="s">
        <v>49</v>
      </c>
      <c r="N1373" t="s">
        <v>49</v>
      </c>
      <c r="O1373" t="s">
        <v>49</v>
      </c>
      <c r="P1373">
        <v>1</v>
      </c>
      <c r="Q1373" t="s">
        <v>50</v>
      </c>
      <c r="R1373" t="s">
        <v>51</v>
      </c>
      <c r="S1373">
        <v>1910</v>
      </c>
      <c r="T1373">
        <v>1990</v>
      </c>
      <c r="U1373" s="1">
        <v>3684</v>
      </c>
      <c r="V1373" s="2">
        <v>3684</v>
      </c>
      <c r="Z1373">
        <v>0</v>
      </c>
      <c r="AA1373">
        <v>1</v>
      </c>
      <c r="AB1373">
        <v>0</v>
      </c>
      <c r="AC1373">
        <v>0</v>
      </c>
      <c r="AF1373">
        <v>1969</v>
      </c>
      <c r="AG1373">
        <v>1969</v>
      </c>
      <c r="AK1373">
        <v>169.8</v>
      </c>
      <c r="AL1373">
        <v>2.5272775036418</v>
      </c>
      <c r="AN1373">
        <v>-8</v>
      </c>
      <c r="AO1373" t="b">
        <v>0</v>
      </c>
      <c r="AT1373">
        <v>364</v>
      </c>
      <c r="AU1373">
        <f t="shared" si="65"/>
        <v>0.997</v>
      </c>
    </row>
    <row r="1374" spans="1:47" x14ac:dyDescent="0.3">
      <c r="A1374">
        <v>1372</v>
      </c>
      <c r="B1374" t="s">
        <v>5874</v>
      </c>
      <c r="C1374" t="s">
        <v>5864</v>
      </c>
      <c r="D1374">
        <v>225</v>
      </c>
      <c r="E1374" t="s">
        <v>5535</v>
      </c>
      <c r="F1374" t="str">
        <f>VLOOKUP(E1374,country_continent!A:C,2,FALSE)</f>
        <v>Switzerland</v>
      </c>
      <c r="G1374" t="str">
        <f>VLOOKUP(E1374,country_continent!A:C,3,FALSE)</f>
        <v>Europe</v>
      </c>
      <c r="H1374" t="s">
        <v>5865</v>
      </c>
      <c r="I1374" s="1">
        <v>25569</v>
      </c>
      <c r="J1374" s="3">
        <f t="shared" si="63"/>
        <v>25569</v>
      </c>
      <c r="K1374" s="1">
        <v>25933</v>
      </c>
      <c r="L1374" s="3">
        <f t="shared" si="64"/>
        <v>25933</v>
      </c>
      <c r="M1374" t="s">
        <v>49</v>
      </c>
      <c r="N1374" t="s">
        <v>49</v>
      </c>
      <c r="O1374" t="s">
        <v>49</v>
      </c>
      <c r="P1374">
        <v>1</v>
      </c>
      <c r="Q1374" t="s">
        <v>50</v>
      </c>
      <c r="R1374" t="s">
        <v>51</v>
      </c>
      <c r="S1374">
        <v>1923</v>
      </c>
      <c r="T1374">
        <v>2002</v>
      </c>
      <c r="U1374" s="1">
        <v>8696</v>
      </c>
      <c r="V1374" s="2">
        <v>8696</v>
      </c>
      <c r="Z1374">
        <v>0</v>
      </c>
      <c r="AA1374">
        <v>1</v>
      </c>
      <c r="AB1374">
        <v>0</v>
      </c>
      <c r="AC1374">
        <v>0</v>
      </c>
      <c r="AF1374">
        <v>1970</v>
      </c>
      <c r="AG1374">
        <v>1970</v>
      </c>
      <c r="AK1374">
        <v>165</v>
      </c>
      <c r="AL1374">
        <v>2.6040082701915299</v>
      </c>
      <c r="AM1374">
        <v>17.396303810936299</v>
      </c>
      <c r="AN1374">
        <v>-8</v>
      </c>
      <c r="AO1374" t="b">
        <v>0</v>
      </c>
      <c r="AT1374">
        <v>364</v>
      </c>
      <c r="AU1374">
        <f t="shared" si="65"/>
        <v>0.997</v>
      </c>
    </row>
    <row r="1375" spans="1:47" x14ac:dyDescent="0.3">
      <c r="A1375">
        <v>1373</v>
      </c>
      <c r="B1375" t="s">
        <v>5875</v>
      </c>
      <c r="C1375" t="s">
        <v>5876</v>
      </c>
      <c r="D1375">
        <v>225</v>
      </c>
      <c r="E1375" t="s">
        <v>5535</v>
      </c>
      <c r="F1375" t="str">
        <f>VLOOKUP(E1375,country_continent!A:C,2,FALSE)</f>
        <v>Switzerland</v>
      </c>
      <c r="G1375" t="str">
        <f>VLOOKUP(E1375,country_continent!A:C,3,FALSE)</f>
        <v>Europe</v>
      </c>
      <c r="H1375" t="s">
        <v>5877</v>
      </c>
      <c r="I1375" s="1">
        <v>25934</v>
      </c>
      <c r="J1375" s="3">
        <f t="shared" si="63"/>
        <v>25934</v>
      </c>
      <c r="K1375" s="1">
        <v>26298</v>
      </c>
      <c r="L1375" s="3">
        <f t="shared" si="64"/>
        <v>26298</v>
      </c>
      <c r="M1375" t="s">
        <v>49</v>
      </c>
      <c r="N1375" t="s">
        <v>49</v>
      </c>
      <c r="O1375" t="s">
        <v>49</v>
      </c>
      <c r="P1375">
        <v>0</v>
      </c>
      <c r="Q1375" t="s">
        <v>50</v>
      </c>
      <c r="R1375" t="s">
        <v>51</v>
      </c>
      <c r="S1375">
        <v>1917</v>
      </c>
      <c r="T1375">
        <v>1985</v>
      </c>
      <c r="U1375" s="1">
        <v>6425</v>
      </c>
      <c r="V1375" s="2">
        <v>6425</v>
      </c>
      <c r="Z1375">
        <v>0</v>
      </c>
      <c r="AA1375">
        <v>1</v>
      </c>
      <c r="AB1375">
        <v>0</v>
      </c>
      <c r="AC1375">
        <v>0</v>
      </c>
      <c r="AF1375">
        <v>1971</v>
      </c>
      <c r="AG1375">
        <v>1971</v>
      </c>
      <c r="AH1375">
        <v>10.740056666081999</v>
      </c>
      <c r="AJ1375">
        <v>7.12484416978507</v>
      </c>
      <c r="AK1375">
        <v>159.80000000000001</v>
      </c>
      <c r="AL1375">
        <v>2.6761465963292799</v>
      </c>
      <c r="AM1375">
        <v>15.059743208633201</v>
      </c>
      <c r="AN1375">
        <v>-8</v>
      </c>
      <c r="AO1375" t="b">
        <v>0</v>
      </c>
      <c r="AT1375">
        <v>364</v>
      </c>
      <c r="AU1375">
        <f t="shared" si="65"/>
        <v>0.997</v>
      </c>
    </row>
    <row r="1376" spans="1:47" x14ac:dyDescent="0.3">
      <c r="A1376">
        <v>1374</v>
      </c>
      <c r="B1376" t="s">
        <v>5878</v>
      </c>
      <c r="C1376" t="s">
        <v>5879</v>
      </c>
      <c r="D1376">
        <v>225</v>
      </c>
      <c r="E1376" t="s">
        <v>5535</v>
      </c>
      <c r="F1376" t="str">
        <f>VLOOKUP(E1376,country_continent!A:C,2,FALSE)</f>
        <v>Switzerland</v>
      </c>
      <c r="G1376" t="str">
        <f>VLOOKUP(E1376,country_continent!A:C,3,FALSE)</f>
        <v>Europe</v>
      </c>
      <c r="H1376" t="s">
        <v>5880</v>
      </c>
      <c r="I1376" s="1">
        <v>26299</v>
      </c>
      <c r="J1376" s="3">
        <f t="shared" si="63"/>
        <v>26299</v>
      </c>
      <c r="K1376" s="1">
        <v>26664</v>
      </c>
      <c r="L1376" s="3">
        <f t="shared" si="64"/>
        <v>26664</v>
      </c>
      <c r="M1376" t="s">
        <v>49</v>
      </c>
      <c r="N1376" t="s">
        <v>49</v>
      </c>
      <c r="O1376" t="s">
        <v>49</v>
      </c>
      <c r="P1376">
        <v>0</v>
      </c>
      <c r="Q1376" t="s">
        <v>50</v>
      </c>
      <c r="R1376" t="s">
        <v>51</v>
      </c>
      <c r="S1376">
        <v>1914</v>
      </c>
      <c r="T1376">
        <v>1980</v>
      </c>
      <c r="U1376" s="1">
        <v>5157</v>
      </c>
      <c r="V1376" s="2">
        <v>5157</v>
      </c>
      <c r="Z1376">
        <v>0</v>
      </c>
      <c r="AA1376">
        <v>1</v>
      </c>
      <c r="AB1376">
        <v>0</v>
      </c>
      <c r="AC1376">
        <v>0</v>
      </c>
      <c r="AF1376">
        <v>1972</v>
      </c>
      <c r="AG1376">
        <v>1972</v>
      </c>
      <c r="AH1376">
        <v>2.5713370801552</v>
      </c>
      <c r="AI1376">
        <v>290</v>
      </c>
      <c r="AJ1376">
        <v>9.6272650229449503</v>
      </c>
      <c r="AK1376">
        <v>154.4</v>
      </c>
      <c r="AL1376">
        <v>2.7434577571083598</v>
      </c>
      <c r="AM1376">
        <v>8.6378380798670698</v>
      </c>
      <c r="AN1376">
        <v>-8</v>
      </c>
      <c r="AO1376" t="b">
        <v>0</v>
      </c>
      <c r="AT1376">
        <v>365</v>
      </c>
      <c r="AU1376">
        <f t="shared" si="65"/>
        <v>1</v>
      </c>
    </row>
    <row r="1377" spans="1:47" x14ac:dyDescent="0.3">
      <c r="A1377">
        <v>1375</v>
      </c>
      <c r="B1377" t="s">
        <v>5881</v>
      </c>
      <c r="C1377" t="s">
        <v>5870</v>
      </c>
      <c r="D1377">
        <v>225</v>
      </c>
      <c r="E1377" t="s">
        <v>5535</v>
      </c>
      <c r="F1377" t="str">
        <f>VLOOKUP(E1377,country_continent!A:C,2,FALSE)</f>
        <v>Switzerland</v>
      </c>
      <c r="G1377" t="str">
        <f>VLOOKUP(E1377,country_continent!A:C,3,FALSE)</f>
        <v>Europe</v>
      </c>
      <c r="H1377" t="s">
        <v>5871</v>
      </c>
      <c r="I1377" s="1">
        <v>26665</v>
      </c>
      <c r="J1377" s="3">
        <f t="shared" si="63"/>
        <v>26665</v>
      </c>
      <c r="K1377" s="1">
        <v>27029</v>
      </c>
      <c r="L1377" s="3">
        <f t="shared" si="64"/>
        <v>27029</v>
      </c>
      <c r="M1377" t="s">
        <v>49</v>
      </c>
      <c r="N1377" t="s">
        <v>49</v>
      </c>
      <c r="O1377" t="s">
        <v>49</v>
      </c>
      <c r="P1377">
        <v>1</v>
      </c>
      <c r="Q1377" t="s">
        <v>50</v>
      </c>
      <c r="R1377" t="s">
        <v>51</v>
      </c>
      <c r="S1377">
        <v>1907</v>
      </c>
      <c r="T1377">
        <v>1982</v>
      </c>
      <c r="U1377" s="1">
        <v>2812</v>
      </c>
      <c r="V1377" s="2">
        <v>2812</v>
      </c>
      <c r="Z1377">
        <v>0</v>
      </c>
      <c r="AA1377">
        <v>1</v>
      </c>
      <c r="AB1377">
        <v>0</v>
      </c>
      <c r="AC1377">
        <v>0</v>
      </c>
      <c r="AF1377">
        <v>1973</v>
      </c>
      <c r="AG1377">
        <v>1973</v>
      </c>
      <c r="AH1377">
        <v>6.00326070864842</v>
      </c>
      <c r="AI1377">
        <v>360</v>
      </c>
      <c r="AJ1377">
        <v>25.2306765558377</v>
      </c>
      <c r="AK1377">
        <v>149</v>
      </c>
      <c r="AL1377">
        <v>2.8049331217126299</v>
      </c>
      <c r="AM1377">
        <v>6.6910639117017299</v>
      </c>
      <c r="AN1377">
        <v>-10</v>
      </c>
      <c r="AO1377" t="b">
        <v>0</v>
      </c>
      <c r="AT1377">
        <v>364</v>
      </c>
      <c r="AU1377">
        <f t="shared" si="65"/>
        <v>0.997</v>
      </c>
    </row>
    <row r="1378" spans="1:47" x14ac:dyDescent="0.3">
      <c r="A1378">
        <v>1376</v>
      </c>
      <c r="B1378" t="s">
        <v>5882</v>
      </c>
      <c r="C1378" t="s">
        <v>5883</v>
      </c>
      <c r="D1378">
        <v>225</v>
      </c>
      <c r="E1378" t="s">
        <v>5535</v>
      </c>
      <c r="F1378" t="str">
        <f>VLOOKUP(E1378,country_continent!A:C,2,FALSE)</f>
        <v>Switzerland</v>
      </c>
      <c r="G1378" t="str">
        <f>VLOOKUP(E1378,country_continent!A:C,3,FALSE)</f>
        <v>Europe</v>
      </c>
      <c r="H1378" t="s">
        <v>5884</v>
      </c>
      <c r="I1378" s="1">
        <v>27030</v>
      </c>
      <c r="J1378" s="3">
        <f t="shared" si="63"/>
        <v>27030</v>
      </c>
      <c r="K1378" s="1">
        <v>27394</v>
      </c>
      <c r="L1378" s="3">
        <f t="shared" si="64"/>
        <v>27394</v>
      </c>
      <c r="M1378" t="s">
        <v>49</v>
      </c>
      <c r="N1378" t="s">
        <v>49</v>
      </c>
      <c r="O1378" t="s">
        <v>49</v>
      </c>
      <c r="P1378">
        <v>0</v>
      </c>
      <c r="Q1378" t="s">
        <v>50</v>
      </c>
      <c r="R1378" t="s">
        <v>51</v>
      </c>
      <c r="S1378">
        <v>1914</v>
      </c>
      <c r="T1378">
        <v>1998</v>
      </c>
      <c r="U1378" s="1">
        <v>5183</v>
      </c>
      <c r="V1378" s="2">
        <v>5183</v>
      </c>
      <c r="W1378" s="1">
        <v>35967</v>
      </c>
      <c r="X1378" s="2">
        <v>35967</v>
      </c>
      <c r="Z1378">
        <v>0</v>
      </c>
      <c r="AA1378">
        <v>1</v>
      </c>
      <c r="AB1378">
        <v>0</v>
      </c>
      <c r="AC1378">
        <v>0</v>
      </c>
      <c r="AF1378">
        <v>1974</v>
      </c>
      <c r="AG1378">
        <v>1974</v>
      </c>
      <c r="AH1378">
        <v>2.75128092343774</v>
      </c>
      <c r="AI1378">
        <v>460</v>
      </c>
      <c r="AJ1378">
        <v>10.2889454822052</v>
      </c>
      <c r="AK1378">
        <v>143.19999999999999</v>
      </c>
      <c r="AL1378">
        <v>2.8704906769809599</v>
      </c>
      <c r="AM1378">
        <v>8.3676745041557403</v>
      </c>
      <c r="AN1378">
        <v>-10</v>
      </c>
      <c r="AO1378" t="b">
        <v>0</v>
      </c>
      <c r="AT1378">
        <v>364</v>
      </c>
      <c r="AU1378">
        <f t="shared" si="65"/>
        <v>0.997</v>
      </c>
    </row>
    <row r="1379" spans="1:47" x14ac:dyDescent="0.3">
      <c r="A1379">
        <v>1377</v>
      </c>
      <c r="B1379" t="s">
        <v>5885</v>
      </c>
      <c r="C1379" t="s">
        <v>5886</v>
      </c>
      <c r="D1379">
        <v>225</v>
      </c>
      <c r="E1379" t="s">
        <v>5535</v>
      </c>
      <c r="F1379" t="str">
        <f>VLOOKUP(E1379,country_continent!A:C,2,FALSE)</f>
        <v>Switzerland</v>
      </c>
      <c r="G1379" t="str">
        <f>VLOOKUP(E1379,country_continent!A:C,3,FALSE)</f>
        <v>Europe</v>
      </c>
      <c r="H1379" t="s">
        <v>5887</v>
      </c>
      <c r="I1379" s="1">
        <v>27395</v>
      </c>
      <c r="J1379" s="3">
        <f t="shared" si="63"/>
        <v>27395</v>
      </c>
      <c r="K1379" s="1">
        <v>27759</v>
      </c>
      <c r="L1379" s="3">
        <f t="shared" si="64"/>
        <v>27759</v>
      </c>
      <c r="M1379" t="s">
        <v>49</v>
      </c>
      <c r="N1379" t="s">
        <v>49</v>
      </c>
      <c r="O1379" t="s">
        <v>49</v>
      </c>
      <c r="P1379">
        <v>0</v>
      </c>
      <c r="Q1379" t="s">
        <v>50</v>
      </c>
      <c r="R1379" t="s">
        <v>51</v>
      </c>
      <c r="S1379">
        <v>1908</v>
      </c>
      <c r="T1379">
        <v>2003</v>
      </c>
      <c r="U1379" s="1">
        <v>3263</v>
      </c>
      <c r="V1379" s="2">
        <v>3263</v>
      </c>
      <c r="Z1379">
        <v>0</v>
      </c>
      <c r="AA1379">
        <v>1</v>
      </c>
      <c r="AB1379">
        <v>0</v>
      </c>
      <c r="AC1379">
        <v>0</v>
      </c>
      <c r="AF1379">
        <v>1975</v>
      </c>
      <c r="AG1379">
        <v>1975</v>
      </c>
      <c r="AH1379">
        <v>10.613517053748399</v>
      </c>
      <c r="AJ1379">
        <v>4.2137318840232298</v>
      </c>
      <c r="AK1379">
        <v>137.30000000000001</v>
      </c>
      <c r="AL1379">
        <v>2.9352706551121899</v>
      </c>
      <c r="AM1379">
        <v>14.6435695586253</v>
      </c>
      <c r="AN1379">
        <v>-10</v>
      </c>
      <c r="AO1379" t="b">
        <v>0</v>
      </c>
      <c r="AT1379">
        <v>364</v>
      </c>
      <c r="AU1379">
        <f t="shared" si="65"/>
        <v>0.997</v>
      </c>
    </row>
    <row r="1380" spans="1:47" x14ac:dyDescent="0.3">
      <c r="A1380">
        <v>1378</v>
      </c>
      <c r="B1380" t="s">
        <v>5888</v>
      </c>
      <c r="C1380" t="s">
        <v>5876</v>
      </c>
      <c r="D1380">
        <v>225</v>
      </c>
      <c r="E1380" t="s">
        <v>5535</v>
      </c>
      <c r="F1380" t="str">
        <f>VLOOKUP(E1380,country_continent!A:C,2,FALSE)</f>
        <v>Switzerland</v>
      </c>
      <c r="G1380" t="str">
        <f>VLOOKUP(E1380,country_continent!A:C,3,FALSE)</f>
        <v>Europe</v>
      </c>
      <c r="H1380" t="s">
        <v>5877</v>
      </c>
      <c r="I1380" s="1">
        <v>27760</v>
      </c>
      <c r="J1380" s="3">
        <f t="shared" si="63"/>
        <v>27760</v>
      </c>
      <c r="K1380" s="1">
        <v>28125</v>
      </c>
      <c r="L1380" s="3">
        <f t="shared" si="64"/>
        <v>28125</v>
      </c>
      <c r="M1380" t="s">
        <v>49</v>
      </c>
      <c r="N1380" t="s">
        <v>49</v>
      </c>
      <c r="O1380" t="s">
        <v>49</v>
      </c>
      <c r="P1380">
        <v>1</v>
      </c>
      <c r="Q1380" t="s">
        <v>50</v>
      </c>
      <c r="R1380" t="s">
        <v>51</v>
      </c>
      <c r="S1380">
        <v>1917</v>
      </c>
      <c r="T1380">
        <v>1985</v>
      </c>
      <c r="U1380" s="1">
        <v>6425</v>
      </c>
      <c r="V1380" s="2">
        <v>6425</v>
      </c>
      <c r="Z1380">
        <v>0</v>
      </c>
      <c r="AA1380">
        <v>1</v>
      </c>
      <c r="AB1380">
        <v>0</v>
      </c>
      <c r="AC1380">
        <v>0</v>
      </c>
      <c r="AF1380">
        <v>1976</v>
      </c>
      <c r="AG1380">
        <v>1976</v>
      </c>
      <c r="AH1380">
        <v>-5.0478308692394096</v>
      </c>
      <c r="AJ1380">
        <v>13.5702783875818</v>
      </c>
      <c r="AK1380">
        <v>131.5</v>
      </c>
      <c r="AL1380">
        <v>3.0374700700428199</v>
      </c>
      <c r="AM1380">
        <v>15.1877912178144</v>
      </c>
      <c r="AN1380">
        <v>-10</v>
      </c>
      <c r="AO1380" t="b">
        <v>0</v>
      </c>
      <c r="AT1380">
        <v>365</v>
      </c>
      <c r="AU1380">
        <f t="shared" si="65"/>
        <v>1</v>
      </c>
    </row>
    <row r="1381" spans="1:47" x14ac:dyDescent="0.3">
      <c r="A1381">
        <v>1379</v>
      </c>
      <c r="B1381" t="s">
        <v>5889</v>
      </c>
      <c r="C1381" t="s">
        <v>5890</v>
      </c>
      <c r="D1381">
        <v>225</v>
      </c>
      <c r="E1381" t="s">
        <v>5535</v>
      </c>
      <c r="F1381" t="str">
        <f>VLOOKUP(E1381,country_continent!A:C,2,FALSE)</f>
        <v>Switzerland</v>
      </c>
      <c r="G1381" t="str">
        <f>VLOOKUP(E1381,country_continent!A:C,3,FALSE)</f>
        <v>Europe</v>
      </c>
      <c r="H1381" t="s">
        <v>5891</v>
      </c>
      <c r="I1381" s="1">
        <v>28126</v>
      </c>
      <c r="J1381" s="3">
        <f t="shared" si="63"/>
        <v>28126</v>
      </c>
      <c r="K1381" s="1">
        <v>28490</v>
      </c>
      <c r="L1381" s="3">
        <f t="shared" si="64"/>
        <v>28490</v>
      </c>
      <c r="M1381" t="s">
        <v>49</v>
      </c>
      <c r="N1381" t="s">
        <v>49</v>
      </c>
      <c r="O1381" t="s">
        <v>49</v>
      </c>
      <c r="P1381">
        <v>0</v>
      </c>
      <c r="Q1381" t="s">
        <v>50</v>
      </c>
      <c r="R1381" t="s">
        <v>51</v>
      </c>
      <c r="S1381">
        <v>1924</v>
      </c>
      <c r="T1381">
        <v>2008</v>
      </c>
      <c r="Z1381">
        <v>0</v>
      </c>
      <c r="AA1381">
        <v>1</v>
      </c>
      <c r="AB1381">
        <v>0</v>
      </c>
      <c r="AC1381">
        <v>0</v>
      </c>
      <c r="AF1381">
        <v>1977</v>
      </c>
      <c r="AG1381">
        <v>1977</v>
      </c>
      <c r="AH1381">
        <v>-2.17165556923187</v>
      </c>
      <c r="AJ1381">
        <v>10.4461251876847</v>
      </c>
      <c r="AK1381">
        <v>125.8</v>
      </c>
      <c r="AL1381">
        <v>3.2001136210407299</v>
      </c>
      <c r="AM1381">
        <v>12.5608773550601</v>
      </c>
      <c r="AN1381">
        <v>-10</v>
      </c>
      <c r="AO1381" t="b">
        <v>0</v>
      </c>
      <c r="AT1381">
        <v>364</v>
      </c>
      <c r="AU1381">
        <f t="shared" si="65"/>
        <v>0.997</v>
      </c>
    </row>
    <row r="1382" spans="1:47" x14ac:dyDescent="0.3">
      <c r="A1382">
        <v>1380</v>
      </c>
      <c r="B1382" t="s">
        <v>5892</v>
      </c>
      <c r="C1382" t="s">
        <v>5893</v>
      </c>
      <c r="D1382">
        <v>225</v>
      </c>
      <c r="E1382" t="s">
        <v>5535</v>
      </c>
      <c r="F1382" t="str">
        <f>VLOOKUP(E1382,country_continent!A:C,2,FALSE)</f>
        <v>Switzerland</v>
      </c>
      <c r="G1382" t="str">
        <f>VLOOKUP(E1382,country_continent!A:C,3,FALSE)</f>
        <v>Europe</v>
      </c>
      <c r="H1382" t="s">
        <v>5894</v>
      </c>
      <c r="I1382" s="1">
        <v>28491</v>
      </c>
      <c r="J1382" s="3">
        <f t="shared" si="63"/>
        <v>28491</v>
      </c>
      <c r="K1382" s="1">
        <v>28855</v>
      </c>
      <c r="L1382" s="3">
        <f t="shared" si="64"/>
        <v>28855</v>
      </c>
      <c r="M1382" t="s">
        <v>49</v>
      </c>
      <c r="N1382" t="s">
        <v>49</v>
      </c>
      <c r="O1382" t="s">
        <v>49</v>
      </c>
      <c r="P1382">
        <v>0</v>
      </c>
      <c r="Q1382" t="s">
        <v>50</v>
      </c>
      <c r="R1382" t="s">
        <v>51</v>
      </c>
      <c r="S1382">
        <v>1918</v>
      </c>
      <c r="T1382">
        <v>1983</v>
      </c>
      <c r="Z1382">
        <v>0</v>
      </c>
      <c r="AA1382">
        <v>1</v>
      </c>
      <c r="AB1382">
        <v>0</v>
      </c>
      <c r="AC1382">
        <v>0</v>
      </c>
      <c r="AF1382">
        <v>1978</v>
      </c>
      <c r="AG1382">
        <v>1978</v>
      </c>
      <c r="AH1382">
        <v>-1.9566594547284599</v>
      </c>
      <c r="AJ1382">
        <v>10.5599584961411</v>
      </c>
      <c r="AK1382">
        <v>120.2</v>
      </c>
      <c r="AL1382">
        <v>3.2944549841144002</v>
      </c>
      <c r="AM1382">
        <v>14.419104031508599</v>
      </c>
      <c r="AN1382">
        <v>-10</v>
      </c>
      <c r="AO1382" t="b">
        <v>0</v>
      </c>
      <c r="AT1382">
        <v>364</v>
      </c>
      <c r="AU1382">
        <f t="shared" si="65"/>
        <v>0.997</v>
      </c>
    </row>
    <row r="1383" spans="1:47" x14ac:dyDescent="0.3">
      <c r="A1383">
        <v>1381</v>
      </c>
      <c r="B1383" t="s">
        <v>5895</v>
      </c>
      <c r="C1383" t="s">
        <v>5896</v>
      </c>
      <c r="D1383">
        <v>225</v>
      </c>
      <c r="E1383" t="s">
        <v>5535</v>
      </c>
      <c r="F1383" t="str">
        <f>VLOOKUP(E1383,country_continent!A:C,2,FALSE)</f>
        <v>Switzerland</v>
      </c>
      <c r="G1383" t="str">
        <f>VLOOKUP(E1383,country_continent!A:C,3,FALSE)</f>
        <v>Europe</v>
      </c>
      <c r="H1383" t="s">
        <v>5897</v>
      </c>
      <c r="I1383" s="1">
        <v>28856</v>
      </c>
      <c r="J1383" s="3">
        <f t="shared" si="63"/>
        <v>28856</v>
      </c>
      <c r="K1383" s="1">
        <v>29220</v>
      </c>
      <c r="L1383" s="3">
        <f t="shared" si="64"/>
        <v>29220</v>
      </c>
      <c r="M1383" t="s">
        <v>49</v>
      </c>
      <c r="N1383" t="s">
        <v>49</v>
      </c>
      <c r="O1383" t="s">
        <v>49</v>
      </c>
      <c r="P1383">
        <v>0</v>
      </c>
      <c r="Q1383" t="s">
        <v>50</v>
      </c>
      <c r="R1383" t="s">
        <v>51</v>
      </c>
      <c r="S1383">
        <v>1918</v>
      </c>
      <c r="T1383">
        <v>1994</v>
      </c>
      <c r="Z1383">
        <v>0</v>
      </c>
      <c r="AA1383">
        <v>1</v>
      </c>
      <c r="AB1383">
        <v>0</v>
      </c>
      <c r="AC1383">
        <v>0</v>
      </c>
      <c r="AF1383">
        <v>1979</v>
      </c>
      <c r="AG1383">
        <v>1979</v>
      </c>
      <c r="AH1383">
        <v>-0.24296466888217999</v>
      </c>
      <c r="AJ1383">
        <v>13.5877053732983</v>
      </c>
      <c r="AK1383">
        <v>114.8</v>
      </c>
      <c r="AL1383">
        <v>3.3029168117723602</v>
      </c>
      <c r="AM1383">
        <v>13.162465345681399</v>
      </c>
      <c r="AN1383">
        <v>-9</v>
      </c>
      <c r="AO1383" t="b">
        <v>0</v>
      </c>
      <c r="AT1383">
        <v>364</v>
      </c>
      <c r="AU1383">
        <f t="shared" si="65"/>
        <v>0.997</v>
      </c>
    </row>
    <row r="1384" spans="1:47" x14ac:dyDescent="0.3">
      <c r="A1384">
        <v>1382</v>
      </c>
      <c r="B1384" t="s">
        <v>5898</v>
      </c>
      <c r="C1384" t="s">
        <v>5899</v>
      </c>
      <c r="D1384">
        <v>225</v>
      </c>
      <c r="E1384" t="s">
        <v>5535</v>
      </c>
      <c r="F1384" t="str">
        <f>VLOOKUP(E1384,country_continent!A:C,2,FALSE)</f>
        <v>Switzerland</v>
      </c>
      <c r="G1384" t="str">
        <f>VLOOKUP(E1384,country_continent!A:C,3,FALSE)</f>
        <v>Europe</v>
      </c>
      <c r="H1384" t="s">
        <v>5900</v>
      </c>
      <c r="I1384" s="1">
        <v>29221</v>
      </c>
      <c r="J1384" s="3">
        <f t="shared" si="63"/>
        <v>29221</v>
      </c>
      <c r="K1384" s="1">
        <v>29586</v>
      </c>
      <c r="L1384" s="3">
        <f t="shared" si="64"/>
        <v>29586</v>
      </c>
      <c r="M1384" t="s">
        <v>49</v>
      </c>
      <c r="N1384" t="s">
        <v>49</v>
      </c>
      <c r="O1384" t="s">
        <v>49</v>
      </c>
      <c r="P1384">
        <v>0</v>
      </c>
      <c r="Q1384" t="s">
        <v>50</v>
      </c>
      <c r="R1384" t="s">
        <v>51</v>
      </c>
      <c r="S1384">
        <v>1915</v>
      </c>
      <c r="T1384">
        <v>2002</v>
      </c>
      <c r="U1384" s="1">
        <v>5517</v>
      </c>
      <c r="V1384" s="2">
        <v>5517</v>
      </c>
      <c r="W1384" s="1">
        <v>37507</v>
      </c>
      <c r="X1384" s="2">
        <v>37507</v>
      </c>
      <c r="Z1384">
        <v>0</v>
      </c>
      <c r="AA1384">
        <v>1</v>
      </c>
      <c r="AB1384">
        <v>0</v>
      </c>
      <c r="AC1384">
        <v>0</v>
      </c>
      <c r="AF1384">
        <v>1980</v>
      </c>
      <c r="AG1384">
        <v>1980</v>
      </c>
      <c r="AH1384">
        <v>8.7842674432930696</v>
      </c>
      <c r="AJ1384">
        <v>8.2095377830854606</v>
      </c>
      <c r="AK1384">
        <v>109.4</v>
      </c>
      <c r="AL1384">
        <v>3.3133526221799099</v>
      </c>
      <c r="AM1384">
        <v>10.131613715935799</v>
      </c>
      <c r="AN1384">
        <v>-9</v>
      </c>
      <c r="AO1384" t="b">
        <v>0</v>
      </c>
      <c r="AT1384">
        <v>365</v>
      </c>
      <c r="AU1384">
        <f t="shared" si="65"/>
        <v>1</v>
      </c>
    </row>
    <row r="1385" spans="1:47" x14ac:dyDescent="0.3">
      <c r="A1385">
        <v>1383</v>
      </c>
      <c r="B1385" t="s">
        <v>5901</v>
      </c>
      <c r="C1385" t="s">
        <v>5890</v>
      </c>
      <c r="D1385">
        <v>225</v>
      </c>
      <c r="E1385" t="s">
        <v>5535</v>
      </c>
      <c r="F1385" t="str">
        <f>VLOOKUP(E1385,country_continent!A:C,2,FALSE)</f>
        <v>Switzerland</v>
      </c>
      <c r="G1385" t="str">
        <f>VLOOKUP(E1385,country_continent!A:C,3,FALSE)</f>
        <v>Europe</v>
      </c>
      <c r="H1385" t="s">
        <v>5891</v>
      </c>
      <c r="I1385" s="1">
        <v>29587</v>
      </c>
      <c r="J1385" s="3">
        <f t="shared" si="63"/>
        <v>29587</v>
      </c>
      <c r="K1385" s="1">
        <v>29951</v>
      </c>
      <c r="L1385" s="3">
        <f t="shared" si="64"/>
        <v>29951</v>
      </c>
      <c r="M1385" t="s">
        <v>49</v>
      </c>
      <c r="N1385" t="s">
        <v>49</v>
      </c>
      <c r="O1385" t="s">
        <v>49</v>
      </c>
      <c r="P1385">
        <v>1</v>
      </c>
      <c r="Q1385" t="s">
        <v>50</v>
      </c>
      <c r="R1385" t="s">
        <v>51</v>
      </c>
      <c r="S1385">
        <v>1924</v>
      </c>
      <c r="T1385">
        <v>2008</v>
      </c>
      <c r="Z1385">
        <v>0</v>
      </c>
      <c r="AA1385">
        <v>1</v>
      </c>
      <c r="AB1385">
        <v>0</v>
      </c>
      <c r="AC1385">
        <v>0</v>
      </c>
      <c r="AF1385">
        <v>1981</v>
      </c>
      <c r="AG1385">
        <v>1981</v>
      </c>
      <c r="AH1385">
        <v>10.8937107950984</v>
      </c>
      <c r="AJ1385">
        <v>3.5103445334524599</v>
      </c>
      <c r="AK1385">
        <v>104.1</v>
      </c>
      <c r="AL1385">
        <v>3.3237171715338301</v>
      </c>
      <c r="AM1385">
        <v>11.001808698617999</v>
      </c>
      <c r="AN1385">
        <v>-9</v>
      </c>
      <c r="AO1385" t="b">
        <v>0</v>
      </c>
      <c r="AT1385">
        <v>364</v>
      </c>
      <c r="AU1385">
        <f t="shared" si="65"/>
        <v>0.997</v>
      </c>
    </row>
    <row r="1386" spans="1:47" x14ac:dyDescent="0.3">
      <c r="A1386">
        <v>1384</v>
      </c>
      <c r="B1386" t="s">
        <v>5902</v>
      </c>
      <c r="C1386" t="s">
        <v>5903</v>
      </c>
      <c r="D1386">
        <v>225</v>
      </c>
      <c r="E1386" t="s">
        <v>5535</v>
      </c>
      <c r="F1386" t="str">
        <f>VLOOKUP(E1386,country_continent!A:C,2,FALSE)</f>
        <v>Switzerland</v>
      </c>
      <c r="G1386" t="str">
        <f>VLOOKUP(E1386,country_continent!A:C,3,FALSE)</f>
        <v>Europe</v>
      </c>
      <c r="H1386" t="s">
        <v>5904</v>
      </c>
      <c r="I1386" s="1">
        <v>29952</v>
      </c>
      <c r="J1386" s="3">
        <f t="shared" si="63"/>
        <v>29952</v>
      </c>
      <c r="K1386" s="1">
        <v>30316</v>
      </c>
      <c r="L1386" s="3">
        <f t="shared" si="64"/>
        <v>30316</v>
      </c>
      <c r="M1386" t="s">
        <v>49</v>
      </c>
      <c r="N1386" t="s">
        <v>49</v>
      </c>
      <c r="O1386" t="s">
        <v>49</v>
      </c>
      <c r="P1386">
        <v>0</v>
      </c>
      <c r="Q1386" t="s">
        <v>50</v>
      </c>
      <c r="R1386" t="s">
        <v>51</v>
      </c>
      <c r="S1386">
        <v>1917</v>
      </c>
      <c r="T1386">
        <v>1999</v>
      </c>
      <c r="Z1386">
        <v>0</v>
      </c>
      <c r="AA1386">
        <v>1</v>
      </c>
      <c r="AB1386">
        <v>0</v>
      </c>
      <c r="AC1386">
        <v>0</v>
      </c>
      <c r="AF1386">
        <v>1982</v>
      </c>
      <c r="AG1386">
        <v>1982</v>
      </c>
      <c r="AH1386">
        <v>-2.1346294706598301</v>
      </c>
      <c r="AJ1386">
        <v>15.1796855611053</v>
      </c>
      <c r="AK1386">
        <v>98.9</v>
      </c>
      <c r="AL1386">
        <v>3.3234887651267901</v>
      </c>
      <c r="AM1386">
        <v>12.4259358187246</v>
      </c>
      <c r="AN1386">
        <v>-7</v>
      </c>
      <c r="AO1386" t="b">
        <v>0</v>
      </c>
      <c r="AT1386">
        <v>364</v>
      </c>
      <c r="AU1386">
        <f t="shared" si="65"/>
        <v>0.997</v>
      </c>
    </row>
    <row r="1387" spans="1:47" x14ac:dyDescent="0.3">
      <c r="A1387">
        <v>1385</v>
      </c>
      <c r="B1387" t="s">
        <v>5905</v>
      </c>
      <c r="C1387" t="s">
        <v>5906</v>
      </c>
      <c r="D1387">
        <v>225</v>
      </c>
      <c r="E1387" t="s">
        <v>5535</v>
      </c>
      <c r="F1387" t="str">
        <f>VLOOKUP(E1387,country_continent!A:C,2,FALSE)</f>
        <v>Switzerland</v>
      </c>
      <c r="G1387" t="str">
        <f>VLOOKUP(E1387,country_continent!A:C,3,FALSE)</f>
        <v>Europe</v>
      </c>
      <c r="H1387" t="s">
        <v>5907</v>
      </c>
      <c r="I1387" s="1">
        <v>30317</v>
      </c>
      <c r="J1387" s="3">
        <f t="shared" si="63"/>
        <v>30317</v>
      </c>
      <c r="K1387" s="1">
        <v>30681</v>
      </c>
      <c r="L1387" s="3">
        <f t="shared" si="64"/>
        <v>30681</v>
      </c>
      <c r="M1387" t="s">
        <v>49</v>
      </c>
      <c r="N1387" t="s">
        <v>49</v>
      </c>
      <c r="O1387" t="s">
        <v>49</v>
      </c>
      <c r="P1387">
        <v>0</v>
      </c>
      <c r="Q1387" t="s">
        <v>50</v>
      </c>
      <c r="R1387" t="s">
        <v>51</v>
      </c>
      <c r="S1387">
        <v>1927</v>
      </c>
      <c r="T1387">
        <v>-777</v>
      </c>
      <c r="Z1387">
        <v>0</v>
      </c>
      <c r="AA1387">
        <v>1</v>
      </c>
      <c r="AB1387">
        <v>0</v>
      </c>
      <c r="AC1387">
        <v>0</v>
      </c>
      <c r="AF1387">
        <v>1983</v>
      </c>
      <c r="AG1387">
        <v>1983</v>
      </c>
      <c r="AH1387">
        <v>-2.0696585578553699</v>
      </c>
      <c r="AJ1387">
        <v>4.7369214352144899</v>
      </c>
      <c r="AK1387">
        <v>104.3</v>
      </c>
      <c r="AL1387">
        <v>3.2865602009357899</v>
      </c>
      <c r="AM1387">
        <v>6.8299481780709304</v>
      </c>
      <c r="AN1387">
        <v>-7</v>
      </c>
      <c r="AO1387" t="b">
        <v>0</v>
      </c>
      <c r="AT1387">
        <v>364</v>
      </c>
      <c r="AU1387">
        <f t="shared" si="65"/>
        <v>0.997</v>
      </c>
    </row>
    <row r="1388" spans="1:47" x14ac:dyDescent="0.3">
      <c r="A1388">
        <v>1386</v>
      </c>
      <c r="B1388" t="s">
        <v>5908</v>
      </c>
      <c r="C1388" t="s">
        <v>5909</v>
      </c>
      <c r="D1388">
        <v>225</v>
      </c>
      <c r="E1388" t="s">
        <v>5535</v>
      </c>
      <c r="F1388" t="str">
        <f>VLOOKUP(E1388,country_continent!A:C,2,FALSE)</f>
        <v>Switzerland</v>
      </c>
      <c r="G1388" t="str">
        <f>VLOOKUP(E1388,country_continent!A:C,3,FALSE)</f>
        <v>Europe</v>
      </c>
      <c r="H1388" t="s">
        <v>5910</v>
      </c>
      <c r="I1388" s="1">
        <v>30682</v>
      </c>
      <c r="J1388" s="3">
        <f t="shared" si="63"/>
        <v>30682</v>
      </c>
      <c r="K1388" s="1">
        <v>31047</v>
      </c>
      <c r="L1388" s="3">
        <f t="shared" si="64"/>
        <v>31047</v>
      </c>
      <c r="M1388" t="s">
        <v>49</v>
      </c>
      <c r="N1388" t="s">
        <v>49</v>
      </c>
      <c r="O1388" t="s">
        <v>49</v>
      </c>
      <c r="P1388">
        <v>0</v>
      </c>
      <c r="Q1388" t="s">
        <v>50</v>
      </c>
      <c r="R1388" t="s">
        <v>51</v>
      </c>
      <c r="S1388">
        <v>1925</v>
      </c>
      <c r="T1388">
        <v>2012</v>
      </c>
      <c r="Z1388">
        <v>0</v>
      </c>
      <c r="AA1388">
        <v>1</v>
      </c>
      <c r="AB1388">
        <v>0</v>
      </c>
      <c r="AC1388">
        <v>0</v>
      </c>
      <c r="AF1388">
        <v>1984</v>
      </c>
      <c r="AG1388">
        <v>1984</v>
      </c>
      <c r="AH1388">
        <v>2.7581940894588199</v>
      </c>
      <c r="AJ1388">
        <v>11.0649666289937</v>
      </c>
      <c r="AK1388">
        <v>88.5</v>
      </c>
      <c r="AL1388">
        <v>3.2585324330350498</v>
      </c>
      <c r="AM1388">
        <v>10.764598417490699</v>
      </c>
      <c r="AN1388">
        <v>-7</v>
      </c>
      <c r="AO1388" t="b">
        <v>0</v>
      </c>
      <c r="AT1388">
        <v>365</v>
      </c>
      <c r="AU1388">
        <f t="shared" si="65"/>
        <v>1</v>
      </c>
    </row>
    <row r="1389" spans="1:47" x14ac:dyDescent="0.3">
      <c r="A1389">
        <v>1387</v>
      </c>
      <c r="B1389" t="s">
        <v>5911</v>
      </c>
      <c r="C1389" t="s">
        <v>5890</v>
      </c>
      <c r="D1389">
        <v>225</v>
      </c>
      <c r="E1389" t="s">
        <v>5535</v>
      </c>
      <c r="F1389" t="str">
        <f>VLOOKUP(E1389,country_continent!A:C,2,FALSE)</f>
        <v>Switzerland</v>
      </c>
      <c r="G1389" t="str">
        <f>VLOOKUP(E1389,country_continent!A:C,3,FALSE)</f>
        <v>Europe</v>
      </c>
      <c r="H1389" t="s">
        <v>5891</v>
      </c>
      <c r="I1389" s="1">
        <v>31048</v>
      </c>
      <c r="J1389" s="3">
        <f t="shared" si="63"/>
        <v>31048</v>
      </c>
      <c r="K1389" s="1">
        <v>31412</v>
      </c>
      <c r="L1389" s="3">
        <f t="shared" si="64"/>
        <v>31412</v>
      </c>
      <c r="M1389" t="s">
        <v>49</v>
      </c>
      <c r="N1389" t="s">
        <v>49</v>
      </c>
      <c r="O1389" t="s">
        <v>49</v>
      </c>
      <c r="P1389">
        <v>2</v>
      </c>
      <c r="Q1389" t="s">
        <v>50</v>
      </c>
      <c r="R1389" t="s">
        <v>51</v>
      </c>
      <c r="S1389">
        <v>1924</v>
      </c>
      <c r="T1389">
        <v>-777</v>
      </c>
      <c r="Z1389">
        <v>0</v>
      </c>
      <c r="AA1389">
        <v>1</v>
      </c>
      <c r="AB1389">
        <v>0</v>
      </c>
      <c r="AC1389">
        <v>0</v>
      </c>
      <c r="AF1389">
        <v>1985</v>
      </c>
      <c r="AG1389">
        <v>1985</v>
      </c>
      <c r="AH1389">
        <v>5.73666967943324E-2</v>
      </c>
      <c r="AJ1389">
        <v>5.9873722723695399</v>
      </c>
      <c r="AK1389">
        <v>83.7</v>
      </c>
      <c r="AL1389">
        <v>3.6649213035834598</v>
      </c>
      <c r="AM1389">
        <v>21.468694172190599</v>
      </c>
      <c r="AN1389">
        <v>-7</v>
      </c>
      <c r="AO1389" t="b">
        <v>0</v>
      </c>
      <c r="AT1389">
        <v>364</v>
      </c>
      <c r="AU1389">
        <f t="shared" si="65"/>
        <v>0.997</v>
      </c>
    </row>
    <row r="1390" spans="1:47" x14ac:dyDescent="0.3">
      <c r="A1390">
        <v>1388</v>
      </c>
      <c r="B1390" t="s">
        <v>5912</v>
      </c>
      <c r="C1390" t="s">
        <v>5913</v>
      </c>
      <c r="D1390">
        <v>225</v>
      </c>
      <c r="E1390" t="s">
        <v>5535</v>
      </c>
      <c r="F1390" t="str">
        <f>VLOOKUP(E1390,country_continent!A:C,2,FALSE)</f>
        <v>Switzerland</v>
      </c>
      <c r="G1390" t="str">
        <f>VLOOKUP(E1390,country_continent!A:C,3,FALSE)</f>
        <v>Europe</v>
      </c>
      <c r="H1390" t="s">
        <v>5914</v>
      </c>
      <c r="I1390" s="1">
        <v>31413</v>
      </c>
      <c r="J1390" s="3">
        <f t="shared" si="63"/>
        <v>31413</v>
      </c>
      <c r="K1390" s="1">
        <v>31777</v>
      </c>
      <c r="L1390" s="3">
        <f t="shared" si="64"/>
        <v>31777</v>
      </c>
      <c r="M1390" t="s">
        <v>49</v>
      </c>
      <c r="N1390" t="s">
        <v>49</v>
      </c>
      <c r="O1390" t="s">
        <v>49</v>
      </c>
      <c r="P1390">
        <v>0</v>
      </c>
      <c r="Q1390" t="s">
        <v>50</v>
      </c>
      <c r="R1390" t="s">
        <v>51</v>
      </c>
      <c r="S1390">
        <v>1924</v>
      </c>
      <c r="T1390">
        <v>-777</v>
      </c>
      <c r="Z1390">
        <v>0</v>
      </c>
      <c r="AA1390">
        <v>1</v>
      </c>
      <c r="AB1390">
        <v>0</v>
      </c>
      <c r="AC1390">
        <v>0</v>
      </c>
      <c r="AF1390">
        <v>1986</v>
      </c>
      <c r="AG1390">
        <v>1986</v>
      </c>
      <c r="AH1390">
        <v>7.9042771158109399</v>
      </c>
      <c r="AJ1390">
        <v>13.9165769085525</v>
      </c>
      <c r="AK1390">
        <v>79.3</v>
      </c>
      <c r="AL1390">
        <v>3.96129875098962</v>
      </c>
      <c r="AM1390">
        <v>7.9742116409961996</v>
      </c>
      <c r="AN1390">
        <v>-9</v>
      </c>
      <c r="AO1390" t="b">
        <v>0</v>
      </c>
      <c r="AT1390">
        <v>364</v>
      </c>
      <c r="AU1390">
        <f t="shared" si="65"/>
        <v>0.997</v>
      </c>
    </row>
    <row r="1391" spans="1:47" x14ac:dyDescent="0.3">
      <c r="A1391">
        <v>1389</v>
      </c>
      <c r="B1391" t="s">
        <v>5915</v>
      </c>
      <c r="C1391" t="s">
        <v>5906</v>
      </c>
      <c r="D1391">
        <v>225</v>
      </c>
      <c r="E1391" t="s">
        <v>5535</v>
      </c>
      <c r="F1391" t="str">
        <f>VLOOKUP(E1391,country_continent!A:C,2,FALSE)</f>
        <v>Switzerland</v>
      </c>
      <c r="G1391" t="str">
        <f>VLOOKUP(E1391,country_continent!A:C,3,FALSE)</f>
        <v>Europe</v>
      </c>
      <c r="H1391" t="s">
        <v>5907</v>
      </c>
      <c r="I1391" s="1">
        <v>31778</v>
      </c>
      <c r="J1391" s="3">
        <f t="shared" si="63"/>
        <v>31778</v>
      </c>
      <c r="K1391" s="1">
        <v>32142</v>
      </c>
      <c r="L1391" s="3">
        <f t="shared" si="64"/>
        <v>32142</v>
      </c>
      <c r="M1391" t="s">
        <v>49</v>
      </c>
      <c r="N1391" t="s">
        <v>49</v>
      </c>
      <c r="O1391" t="s">
        <v>49</v>
      </c>
      <c r="P1391">
        <v>1</v>
      </c>
      <c r="Q1391" t="s">
        <v>50</v>
      </c>
      <c r="R1391" t="s">
        <v>51</v>
      </c>
      <c r="S1391">
        <v>1927</v>
      </c>
      <c r="T1391">
        <v>-777</v>
      </c>
      <c r="Z1391">
        <v>0</v>
      </c>
      <c r="AA1391">
        <v>1</v>
      </c>
      <c r="AB1391">
        <v>0</v>
      </c>
      <c r="AC1391">
        <v>0</v>
      </c>
      <c r="AF1391">
        <v>1987</v>
      </c>
      <c r="AG1391">
        <v>1987</v>
      </c>
      <c r="AH1391">
        <v>10.243410029250001</v>
      </c>
      <c r="AJ1391">
        <v>1.1131169557029299</v>
      </c>
      <c r="AK1391">
        <v>75.400000000000006</v>
      </c>
      <c r="AL1391">
        <v>3.8814569493216702</v>
      </c>
      <c r="AM1391">
        <v>5.5152136110124701</v>
      </c>
      <c r="AN1391">
        <v>-9</v>
      </c>
      <c r="AO1391" t="b">
        <v>0</v>
      </c>
      <c r="AT1391">
        <v>364</v>
      </c>
      <c r="AU1391">
        <f t="shared" si="65"/>
        <v>0.997</v>
      </c>
    </row>
    <row r="1392" spans="1:47" x14ac:dyDescent="0.3">
      <c r="A1392">
        <v>1390</v>
      </c>
      <c r="B1392" t="s">
        <v>5916</v>
      </c>
      <c r="C1392" t="s">
        <v>5917</v>
      </c>
      <c r="D1392">
        <v>225</v>
      </c>
      <c r="E1392" t="s">
        <v>5535</v>
      </c>
      <c r="F1392" t="str">
        <f>VLOOKUP(E1392,country_continent!A:C,2,FALSE)</f>
        <v>Switzerland</v>
      </c>
      <c r="G1392" t="str">
        <f>VLOOKUP(E1392,country_continent!A:C,3,FALSE)</f>
        <v>Europe</v>
      </c>
      <c r="H1392" t="s">
        <v>5918</v>
      </c>
      <c r="I1392" s="1">
        <v>32143</v>
      </c>
      <c r="J1392" s="3">
        <f t="shared" si="63"/>
        <v>32143</v>
      </c>
      <c r="K1392" s="1">
        <v>32508</v>
      </c>
      <c r="L1392" s="3">
        <f t="shared" si="64"/>
        <v>32508</v>
      </c>
      <c r="M1392" t="s">
        <v>49</v>
      </c>
      <c r="N1392" t="s">
        <v>49</v>
      </c>
      <c r="O1392" t="s">
        <v>49</v>
      </c>
      <c r="P1392">
        <v>0</v>
      </c>
      <c r="Q1392" t="s">
        <v>50</v>
      </c>
      <c r="R1392" t="s">
        <v>51</v>
      </c>
      <c r="S1392">
        <v>1927</v>
      </c>
      <c r="T1392">
        <v>2012</v>
      </c>
      <c r="Z1392">
        <v>0</v>
      </c>
      <c r="AA1392">
        <v>1</v>
      </c>
      <c r="AB1392">
        <v>0</v>
      </c>
      <c r="AC1392">
        <v>0</v>
      </c>
      <c r="AF1392">
        <v>1988</v>
      </c>
      <c r="AG1392">
        <v>1988</v>
      </c>
      <c r="AH1392">
        <v>1.7747005919101999</v>
      </c>
      <c r="AJ1392">
        <v>24.132609490613302</v>
      </c>
      <c r="AK1392">
        <v>72</v>
      </c>
      <c r="AL1392">
        <v>4.6038819420891102</v>
      </c>
      <c r="AM1392">
        <v>8.6522722814197106</v>
      </c>
      <c r="AN1392">
        <v>-9</v>
      </c>
      <c r="AO1392" t="b">
        <v>0</v>
      </c>
      <c r="AT1392">
        <v>365</v>
      </c>
      <c r="AU1392">
        <f t="shared" si="65"/>
        <v>1</v>
      </c>
    </row>
    <row r="1393" spans="1:47" x14ac:dyDescent="0.3">
      <c r="A1393">
        <v>1391</v>
      </c>
      <c r="B1393" t="s">
        <v>5919</v>
      </c>
      <c r="C1393" t="s">
        <v>5920</v>
      </c>
      <c r="D1393">
        <v>225</v>
      </c>
      <c r="E1393" t="s">
        <v>5535</v>
      </c>
      <c r="F1393" t="str">
        <f>VLOOKUP(E1393,country_continent!A:C,2,FALSE)</f>
        <v>Switzerland</v>
      </c>
      <c r="G1393" t="str">
        <f>VLOOKUP(E1393,country_continent!A:C,3,FALSE)</f>
        <v>Europe</v>
      </c>
      <c r="H1393" t="s">
        <v>5921</v>
      </c>
      <c r="I1393" s="1">
        <v>32509</v>
      </c>
      <c r="J1393" s="3">
        <f t="shared" si="63"/>
        <v>32509</v>
      </c>
      <c r="K1393" s="1">
        <v>32873</v>
      </c>
      <c r="L1393" s="3">
        <f t="shared" si="64"/>
        <v>32873</v>
      </c>
      <c r="M1393" t="s">
        <v>49</v>
      </c>
      <c r="N1393" t="s">
        <v>49</v>
      </c>
      <c r="O1393" t="s">
        <v>49</v>
      </c>
      <c r="P1393">
        <v>0</v>
      </c>
      <c r="Q1393" t="s">
        <v>50</v>
      </c>
      <c r="R1393" t="s">
        <v>51</v>
      </c>
      <c r="S1393">
        <v>1936</v>
      </c>
      <c r="T1393">
        <v>1998</v>
      </c>
      <c r="U1393" s="1">
        <v>13241</v>
      </c>
      <c r="V1393" s="2">
        <v>13241</v>
      </c>
      <c r="W1393" s="1">
        <v>36072</v>
      </c>
      <c r="X1393" s="2">
        <v>36072</v>
      </c>
      <c r="Z1393">
        <v>0</v>
      </c>
      <c r="AA1393">
        <v>1</v>
      </c>
      <c r="AB1393">
        <v>0</v>
      </c>
      <c r="AC1393">
        <v>0</v>
      </c>
      <c r="AF1393">
        <v>1989</v>
      </c>
      <c r="AG1393">
        <v>1989</v>
      </c>
      <c r="AH1393">
        <v>7.7895383328112597</v>
      </c>
      <c r="AJ1393">
        <v>2.8917372508082901</v>
      </c>
      <c r="AK1393">
        <v>69.3</v>
      </c>
      <c r="AL1393">
        <v>4.6420212728499299</v>
      </c>
      <c r="AM1393">
        <v>8.8254932821677592</v>
      </c>
      <c r="AN1393">
        <v>-9</v>
      </c>
      <c r="AO1393" t="b">
        <v>0</v>
      </c>
      <c r="AT1393">
        <v>364</v>
      </c>
      <c r="AU1393">
        <f t="shared" si="65"/>
        <v>0.997</v>
      </c>
    </row>
    <row r="1394" spans="1:47" x14ac:dyDescent="0.3">
      <c r="A1394">
        <v>1392</v>
      </c>
      <c r="B1394" t="s">
        <v>5922</v>
      </c>
      <c r="C1394" t="s">
        <v>5923</v>
      </c>
      <c r="D1394">
        <v>225</v>
      </c>
      <c r="E1394" t="s">
        <v>5535</v>
      </c>
      <c r="F1394" t="str">
        <f>VLOOKUP(E1394,country_continent!A:C,2,FALSE)</f>
        <v>Switzerland</v>
      </c>
      <c r="G1394" t="str">
        <f>VLOOKUP(E1394,country_continent!A:C,3,FALSE)</f>
        <v>Europe</v>
      </c>
      <c r="H1394" t="s">
        <v>5924</v>
      </c>
      <c r="I1394" s="1">
        <v>32874</v>
      </c>
      <c r="J1394" s="3">
        <f t="shared" si="63"/>
        <v>32874</v>
      </c>
      <c r="K1394" s="1">
        <v>33238</v>
      </c>
      <c r="L1394" s="3">
        <f t="shared" si="64"/>
        <v>33238</v>
      </c>
      <c r="M1394" t="s">
        <v>49</v>
      </c>
      <c r="N1394" t="s">
        <v>49</v>
      </c>
      <c r="O1394" t="s">
        <v>49</v>
      </c>
      <c r="P1394">
        <v>0</v>
      </c>
      <c r="Q1394" t="s">
        <v>50</v>
      </c>
      <c r="R1394" t="s">
        <v>51</v>
      </c>
      <c r="S1394">
        <v>1933</v>
      </c>
      <c r="T1394">
        <v>-777</v>
      </c>
      <c r="Z1394">
        <v>0</v>
      </c>
      <c r="AA1394">
        <v>1</v>
      </c>
      <c r="AB1394">
        <v>0</v>
      </c>
      <c r="AC1394">
        <v>0</v>
      </c>
      <c r="AF1394">
        <v>1990</v>
      </c>
      <c r="AG1394">
        <v>1990</v>
      </c>
      <c r="AH1394">
        <v>16.214611233451301</v>
      </c>
      <c r="AI1394">
        <v>1220</v>
      </c>
      <c r="AJ1394">
        <v>30.384907379642399</v>
      </c>
      <c r="AK1394">
        <v>67.5</v>
      </c>
      <c r="AL1394">
        <v>4.0500720668590899</v>
      </c>
      <c r="AM1394">
        <v>5.5946830126768496</v>
      </c>
      <c r="AN1394">
        <v>-9</v>
      </c>
      <c r="AO1394" t="b">
        <v>0</v>
      </c>
      <c r="AT1394">
        <v>364</v>
      </c>
      <c r="AU1394">
        <f t="shared" si="65"/>
        <v>0.997</v>
      </c>
    </row>
    <row r="1395" spans="1:47" x14ac:dyDescent="0.3">
      <c r="A1395">
        <v>1393</v>
      </c>
      <c r="B1395" t="s">
        <v>5925</v>
      </c>
      <c r="C1395" t="s">
        <v>5926</v>
      </c>
      <c r="D1395">
        <v>225</v>
      </c>
      <c r="E1395" t="s">
        <v>5535</v>
      </c>
      <c r="F1395" t="str">
        <f>VLOOKUP(E1395,country_continent!A:C,2,FALSE)</f>
        <v>Switzerland</v>
      </c>
      <c r="G1395" t="str">
        <f>VLOOKUP(E1395,country_continent!A:C,3,FALSE)</f>
        <v>Europe</v>
      </c>
      <c r="H1395" t="s">
        <v>5927</v>
      </c>
      <c r="I1395" s="1">
        <v>33239</v>
      </c>
      <c r="J1395" s="3">
        <f t="shared" si="63"/>
        <v>33239</v>
      </c>
      <c r="K1395" s="1">
        <v>33603</v>
      </c>
      <c r="L1395" s="3">
        <f t="shared" si="64"/>
        <v>33603</v>
      </c>
      <c r="M1395" t="s">
        <v>49</v>
      </c>
      <c r="N1395" t="s">
        <v>49</v>
      </c>
      <c r="O1395" t="s">
        <v>49</v>
      </c>
      <c r="P1395">
        <v>0</v>
      </c>
      <c r="Q1395" t="s">
        <v>50</v>
      </c>
      <c r="R1395" t="s">
        <v>51</v>
      </c>
      <c r="S1395">
        <v>1939</v>
      </c>
      <c r="T1395">
        <v>-777</v>
      </c>
      <c r="Z1395">
        <v>0</v>
      </c>
      <c r="AA1395">
        <v>1</v>
      </c>
      <c r="AB1395">
        <v>0</v>
      </c>
      <c r="AC1395">
        <v>0</v>
      </c>
      <c r="AF1395">
        <v>1991</v>
      </c>
      <c r="AG1395">
        <v>1991</v>
      </c>
      <c r="AH1395">
        <v>-2.24655686710582</v>
      </c>
      <c r="AI1395">
        <v>1260</v>
      </c>
      <c r="AJ1395">
        <v>8.7777502974518402</v>
      </c>
      <c r="AK1395">
        <v>67.2</v>
      </c>
      <c r="AL1395">
        <v>4.0172377539343902</v>
      </c>
      <c r="AM1395">
        <v>4.79420832466728</v>
      </c>
      <c r="AN1395">
        <v>-9</v>
      </c>
      <c r="AO1395" t="b">
        <v>0</v>
      </c>
      <c r="AT1395">
        <v>364</v>
      </c>
      <c r="AU1395">
        <f t="shared" si="65"/>
        <v>0.997</v>
      </c>
    </row>
    <row r="1396" spans="1:47" x14ac:dyDescent="0.3">
      <c r="A1396">
        <v>1394</v>
      </c>
      <c r="B1396" t="s">
        <v>5928</v>
      </c>
      <c r="C1396" t="s">
        <v>5929</v>
      </c>
      <c r="D1396">
        <v>225</v>
      </c>
      <c r="E1396" t="s">
        <v>5535</v>
      </c>
      <c r="F1396" t="str">
        <f>VLOOKUP(E1396,country_continent!A:C,2,FALSE)</f>
        <v>Switzerland</v>
      </c>
      <c r="G1396" t="str">
        <f>VLOOKUP(E1396,country_continent!A:C,3,FALSE)</f>
        <v>Europe</v>
      </c>
      <c r="H1396" t="s">
        <v>5930</v>
      </c>
      <c r="I1396" s="1">
        <v>33604</v>
      </c>
      <c r="J1396" s="3">
        <f t="shared" si="63"/>
        <v>33604</v>
      </c>
      <c r="K1396" s="1">
        <v>33969</v>
      </c>
      <c r="L1396" s="3">
        <f t="shared" si="64"/>
        <v>33969</v>
      </c>
      <c r="M1396" t="s">
        <v>49</v>
      </c>
      <c r="N1396" t="s">
        <v>49</v>
      </c>
      <c r="O1396" t="s">
        <v>49</v>
      </c>
      <c r="P1396">
        <v>0</v>
      </c>
      <c r="Q1396" t="s">
        <v>50</v>
      </c>
      <c r="R1396" t="s">
        <v>51</v>
      </c>
      <c r="S1396">
        <v>1933</v>
      </c>
      <c r="T1396">
        <v>-777</v>
      </c>
      <c r="Z1396">
        <v>0</v>
      </c>
      <c r="AA1396">
        <v>1</v>
      </c>
      <c r="AB1396">
        <v>0</v>
      </c>
      <c r="AC1396">
        <v>0</v>
      </c>
      <c r="AF1396">
        <v>1992</v>
      </c>
      <c r="AG1396">
        <v>1992</v>
      </c>
      <c r="AH1396">
        <v>-0.62824322369738095</v>
      </c>
      <c r="AI1396">
        <v>1440</v>
      </c>
      <c r="AJ1396">
        <v>11.1882505065077</v>
      </c>
      <c r="AK1396">
        <v>68.5</v>
      </c>
      <c r="AL1396">
        <v>3.8054823917634302</v>
      </c>
      <c r="AM1396">
        <v>4.3888097858752602</v>
      </c>
      <c r="AN1396">
        <v>-6</v>
      </c>
      <c r="AO1396" t="b">
        <v>0</v>
      </c>
      <c r="AT1396">
        <v>365</v>
      </c>
      <c r="AU1396">
        <f t="shared" si="65"/>
        <v>1</v>
      </c>
    </row>
    <row r="1397" spans="1:47" x14ac:dyDescent="0.3">
      <c r="A1397">
        <v>1395</v>
      </c>
      <c r="B1397" t="s">
        <v>5931</v>
      </c>
      <c r="C1397" t="s">
        <v>5932</v>
      </c>
      <c r="D1397">
        <v>225</v>
      </c>
      <c r="E1397" t="s">
        <v>5535</v>
      </c>
      <c r="F1397" t="str">
        <f>VLOOKUP(E1397,country_continent!A:C,2,FALSE)</f>
        <v>Switzerland</v>
      </c>
      <c r="G1397" t="str">
        <f>VLOOKUP(E1397,country_continent!A:C,3,FALSE)</f>
        <v>Europe</v>
      </c>
      <c r="H1397" t="s">
        <v>5933</v>
      </c>
      <c r="I1397" s="1">
        <v>33970</v>
      </c>
      <c r="J1397" s="3">
        <f t="shared" si="63"/>
        <v>33970</v>
      </c>
      <c r="K1397" s="1">
        <v>34334</v>
      </c>
      <c r="L1397" s="3">
        <f t="shared" si="64"/>
        <v>34334</v>
      </c>
      <c r="M1397" t="s">
        <v>49</v>
      </c>
      <c r="N1397" t="s">
        <v>49</v>
      </c>
      <c r="O1397" t="s">
        <v>49</v>
      </c>
      <c r="P1397">
        <v>0</v>
      </c>
      <c r="Q1397" t="s">
        <v>50</v>
      </c>
      <c r="R1397" t="s">
        <v>51</v>
      </c>
      <c r="S1397">
        <v>1942</v>
      </c>
      <c r="T1397">
        <v>-777</v>
      </c>
      <c r="U1397" s="1">
        <v>15540</v>
      </c>
      <c r="V1397" s="2">
        <v>15540</v>
      </c>
      <c r="Z1397">
        <v>0</v>
      </c>
      <c r="AA1397">
        <v>1</v>
      </c>
      <c r="AB1397">
        <v>0</v>
      </c>
      <c r="AC1397">
        <v>0</v>
      </c>
      <c r="AF1397">
        <v>1993</v>
      </c>
      <c r="AG1397">
        <v>1993</v>
      </c>
      <c r="AH1397">
        <v>0.144296675318145</v>
      </c>
      <c r="AI1397">
        <v>1450</v>
      </c>
      <c r="AJ1397">
        <v>17.389759289478398</v>
      </c>
      <c r="AK1397">
        <v>71.7</v>
      </c>
      <c r="AL1397">
        <v>2.9146581462579899</v>
      </c>
      <c r="AM1397">
        <v>4.2276555131990801</v>
      </c>
      <c r="AN1397">
        <v>-7</v>
      </c>
      <c r="AO1397" t="b">
        <v>0</v>
      </c>
      <c r="AT1397">
        <v>364</v>
      </c>
      <c r="AU1397">
        <f t="shared" si="65"/>
        <v>0.997</v>
      </c>
    </row>
    <row r="1398" spans="1:47" x14ac:dyDescent="0.3">
      <c r="A1398">
        <v>1396</v>
      </c>
      <c r="B1398" t="s">
        <v>5934</v>
      </c>
      <c r="C1398" t="s">
        <v>5917</v>
      </c>
      <c r="D1398">
        <v>225</v>
      </c>
      <c r="E1398" t="s">
        <v>5535</v>
      </c>
      <c r="F1398" t="str">
        <f>VLOOKUP(E1398,country_continent!A:C,2,FALSE)</f>
        <v>Switzerland</v>
      </c>
      <c r="G1398" t="str">
        <f>VLOOKUP(E1398,country_continent!A:C,3,FALSE)</f>
        <v>Europe</v>
      </c>
      <c r="H1398" t="s">
        <v>5918</v>
      </c>
      <c r="I1398" s="1">
        <v>34335</v>
      </c>
      <c r="J1398" s="3">
        <f t="shared" si="63"/>
        <v>34335</v>
      </c>
      <c r="K1398" s="1">
        <v>34699</v>
      </c>
      <c r="L1398" s="3">
        <f t="shared" si="64"/>
        <v>34699</v>
      </c>
      <c r="M1398" t="s">
        <v>49</v>
      </c>
      <c r="N1398" t="s">
        <v>49</v>
      </c>
      <c r="O1398" t="s">
        <v>49</v>
      </c>
      <c r="P1398">
        <v>1</v>
      </c>
      <c r="Q1398" t="s">
        <v>50</v>
      </c>
      <c r="R1398" t="s">
        <v>51</v>
      </c>
      <c r="S1398">
        <v>1927</v>
      </c>
      <c r="T1398">
        <v>2012</v>
      </c>
      <c r="Z1398">
        <v>0</v>
      </c>
      <c r="AA1398">
        <v>1</v>
      </c>
      <c r="AB1398">
        <v>0</v>
      </c>
      <c r="AC1398">
        <v>0</v>
      </c>
      <c r="AF1398">
        <v>1994</v>
      </c>
      <c r="AG1398">
        <v>1994</v>
      </c>
      <c r="AH1398">
        <v>2.4118674186603699</v>
      </c>
      <c r="AI1398">
        <v>1470</v>
      </c>
      <c r="AJ1398">
        <v>10.9704265643858</v>
      </c>
      <c r="AK1398">
        <v>76.2</v>
      </c>
      <c r="AL1398">
        <v>-1.09136023747648E-2</v>
      </c>
      <c r="AM1398">
        <v>4.0579637828921697</v>
      </c>
      <c r="AN1398">
        <v>-7</v>
      </c>
      <c r="AO1398" t="b">
        <v>0</v>
      </c>
      <c r="AT1398">
        <v>364</v>
      </c>
      <c r="AU1398">
        <f t="shared" si="65"/>
        <v>0.997</v>
      </c>
    </row>
    <row r="1399" spans="1:47" x14ac:dyDescent="0.3">
      <c r="A1399">
        <v>1397</v>
      </c>
      <c r="B1399" t="s">
        <v>5935</v>
      </c>
      <c r="C1399" t="s">
        <v>5936</v>
      </c>
      <c r="D1399">
        <v>225</v>
      </c>
      <c r="E1399" t="s">
        <v>5535</v>
      </c>
      <c r="F1399" t="str">
        <f>VLOOKUP(E1399,country_continent!A:C,2,FALSE)</f>
        <v>Switzerland</v>
      </c>
      <c r="G1399" t="str">
        <f>VLOOKUP(E1399,country_continent!A:C,3,FALSE)</f>
        <v>Europe</v>
      </c>
      <c r="H1399" t="s">
        <v>5937</v>
      </c>
      <c r="I1399" s="1">
        <v>34700</v>
      </c>
      <c r="J1399" s="3">
        <f t="shared" si="63"/>
        <v>34700</v>
      </c>
      <c r="K1399" s="1">
        <v>35064</v>
      </c>
      <c r="L1399" s="3">
        <f t="shared" si="64"/>
        <v>35064</v>
      </c>
      <c r="M1399" t="s">
        <v>49</v>
      </c>
      <c r="N1399" t="s">
        <v>49</v>
      </c>
      <c r="O1399" t="s">
        <v>49</v>
      </c>
      <c r="P1399">
        <v>0</v>
      </c>
      <c r="Q1399" t="s">
        <v>50</v>
      </c>
      <c r="R1399" t="s">
        <v>51</v>
      </c>
      <c r="S1399">
        <v>1941</v>
      </c>
      <c r="T1399">
        <v>-777</v>
      </c>
      <c r="Z1399">
        <v>0</v>
      </c>
      <c r="AA1399">
        <v>1</v>
      </c>
      <c r="AB1399">
        <v>0</v>
      </c>
      <c r="AC1399">
        <v>0</v>
      </c>
      <c r="AF1399">
        <v>1995</v>
      </c>
      <c r="AG1399">
        <v>1995</v>
      </c>
      <c r="AH1399">
        <v>4.9097985157694204</v>
      </c>
      <c r="AI1399">
        <v>1740</v>
      </c>
      <c r="AJ1399">
        <v>16.649380868980199</v>
      </c>
      <c r="AK1399">
        <v>81.2</v>
      </c>
      <c r="AL1399">
        <v>-8.0241243048819896E-2</v>
      </c>
      <c r="AM1399">
        <v>4.1186163619442997</v>
      </c>
      <c r="AN1399">
        <v>-7</v>
      </c>
      <c r="AO1399" t="b">
        <v>0</v>
      </c>
      <c r="AT1399">
        <v>364</v>
      </c>
      <c r="AU1399">
        <f t="shared" si="65"/>
        <v>0.997</v>
      </c>
    </row>
    <row r="1400" spans="1:47" x14ac:dyDescent="0.3">
      <c r="A1400">
        <v>1398</v>
      </c>
      <c r="B1400" t="s">
        <v>5938</v>
      </c>
      <c r="C1400" t="s">
        <v>5920</v>
      </c>
      <c r="D1400">
        <v>225</v>
      </c>
      <c r="E1400" t="s">
        <v>5535</v>
      </c>
      <c r="F1400" t="str">
        <f>VLOOKUP(E1400,country_continent!A:C,2,FALSE)</f>
        <v>Switzerland</v>
      </c>
      <c r="G1400" t="str">
        <f>VLOOKUP(E1400,country_continent!A:C,3,FALSE)</f>
        <v>Europe</v>
      </c>
      <c r="H1400" t="s">
        <v>5921</v>
      </c>
      <c r="I1400" s="1">
        <v>35065</v>
      </c>
      <c r="J1400" s="3">
        <f t="shared" si="63"/>
        <v>35065</v>
      </c>
      <c r="K1400" s="1">
        <v>35430</v>
      </c>
      <c r="L1400" s="3">
        <f t="shared" si="64"/>
        <v>35430</v>
      </c>
      <c r="M1400" t="s">
        <v>49</v>
      </c>
      <c r="N1400" t="s">
        <v>49</v>
      </c>
      <c r="O1400" t="s">
        <v>49</v>
      </c>
      <c r="P1400">
        <v>1</v>
      </c>
      <c r="Q1400" t="s">
        <v>50</v>
      </c>
      <c r="R1400" t="s">
        <v>51</v>
      </c>
      <c r="S1400">
        <v>1936</v>
      </c>
      <c r="T1400">
        <v>1998</v>
      </c>
      <c r="U1400" s="1">
        <v>13241</v>
      </c>
      <c r="V1400" s="2">
        <v>13241</v>
      </c>
      <c r="W1400" s="1">
        <v>36072</v>
      </c>
      <c r="X1400" s="2">
        <v>36072</v>
      </c>
      <c r="Z1400">
        <v>0</v>
      </c>
      <c r="AA1400">
        <v>1</v>
      </c>
      <c r="AB1400">
        <v>0</v>
      </c>
      <c r="AC1400">
        <v>0</v>
      </c>
      <c r="AF1400">
        <v>1996</v>
      </c>
      <c r="AG1400">
        <v>1996</v>
      </c>
      <c r="AH1400">
        <v>1.80600294440067</v>
      </c>
      <c r="AI1400">
        <v>1840</v>
      </c>
      <c r="AJ1400">
        <v>7.6823650020016103</v>
      </c>
      <c r="AK1400">
        <v>87.1</v>
      </c>
      <c r="AL1400">
        <v>1.9801960522647499</v>
      </c>
      <c r="AM1400">
        <v>4.4465830343124297</v>
      </c>
      <c r="AN1400">
        <v>-7</v>
      </c>
      <c r="AO1400" t="b">
        <v>0</v>
      </c>
      <c r="AT1400">
        <v>365</v>
      </c>
      <c r="AU1400">
        <f t="shared" si="65"/>
        <v>1</v>
      </c>
    </row>
    <row r="1401" spans="1:47" x14ac:dyDescent="0.3">
      <c r="A1401">
        <v>1399</v>
      </c>
      <c r="B1401" t="s">
        <v>5939</v>
      </c>
      <c r="C1401" t="s">
        <v>5923</v>
      </c>
      <c r="D1401">
        <v>225</v>
      </c>
      <c r="E1401" t="s">
        <v>5535</v>
      </c>
      <c r="F1401" t="str">
        <f>VLOOKUP(E1401,country_continent!A:C,2,FALSE)</f>
        <v>Switzerland</v>
      </c>
      <c r="G1401" t="str">
        <f>VLOOKUP(E1401,country_continent!A:C,3,FALSE)</f>
        <v>Europe</v>
      </c>
      <c r="H1401" t="s">
        <v>5924</v>
      </c>
      <c r="I1401" s="1">
        <v>35431</v>
      </c>
      <c r="J1401" s="3">
        <f t="shared" si="63"/>
        <v>35431</v>
      </c>
      <c r="K1401" s="1">
        <v>35795</v>
      </c>
      <c r="L1401" s="3">
        <f t="shared" si="64"/>
        <v>35795</v>
      </c>
      <c r="M1401" t="s">
        <v>49</v>
      </c>
      <c r="N1401" t="s">
        <v>49</v>
      </c>
      <c r="O1401" t="s">
        <v>49</v>
      </c>
      <c r="P1401">
        <v>1</v>
      </c>
      <c r="Q1401" t="s">
        <v>50</v>
      </c>
      <c r="R1401" t="s">
        <v>51</v>
      </c>
      <c r="S1401">
        <v>1933</v>
      </c>
      <c r="T1401">
        <v>-777</v>
      </c>
      <c r="Z1401">
        <v>0</v>
      </c>
      <c r="AA1401">
        <v>1</v>
      </c>
      <c r="AB1401">
        <v>0</v>
      </c>
      <c r="AC1401">
        <v>0</v>
      </c>
      <c r="AF1401">
        <v>1997</v>
      </c>
      <c r="AG1401">
        <v>1997</v>
      </c>
      <c r="AH1401">
        <v>1.3827095761282</v>
      </c>
      <c r="AI1401">
        <v>1870</v>
      </c>
      <c r="AJ1401">
        <v>11.344841286407901</v>
      </c>
      <c r="AK1401">
        <v>93</v>
      </c>
      <c r="AL1401">
        <v>1.6824040082887799</v>
      </c>
      <c r="AM1401">
        <v>3.8630347045266999</v>
      </c>
      <c r="AN1401">
        <v>-7</v>
      </c>
      <c r="AO1401" t="b">
        <v>0</v>
      </c>
      <c r="AT1401">
        <v>364</v>
      </c>
      <c r="AU1401">
        <f t="shared" si="65"/>
        <v>0.997</v>
      </c>
    </row>
    <row r="1402" spans="1:47" x14ac:dyDescent="0.3">
      <c r="A1402">
        <v>1400</v>
      </c>
      <c r="B1402" t="s">
        <v>5940</v>
      </c>
      <c r="C1402" t="s">
        <v>5926</v>
      </c>
      <c r="D1402">
        <v>225</v>
      </c>
      <c r="E1402" t="s">
        <v>5535</v>
      </c>
      <c r="F1402" t="str">
        <f>VLOOKUP(E1402,country_continent!A:C,2,FALSE)</f>
        <v>Switzerland</v>
      </c>
      <c r="G1402" t="str">
        <f>VLOOKUP(E1402,country_continent!A:C,3,FALSE)</f>
        <v>Europe</v>
      </c>
      <c r="H1402" t="s">
        <v>5927</v>
      </c>
      <c r="I1402" s="1">
        <v>35796</v>
      </c>
      <c r="J1402" s="3">
        <f t="shared" si="63"/>
        <v>35796</v>
      </c>
      <c r="K1402" s="1">
        <v>36160</v>
      </c>
      <c r="L1402" s="3">
        <f t="shared" si="64"/>
        <v>36160</v>
      </c>
      <c r="M1402" t="s">
        <v>49</v>
      </c>
      <c r="N1402" t="s">
        <v>49</v>
      </c>
      <c r="O1402" t="s">
        <v>49</v>
      </c>
      <c r="P1402">
        <v>1</v>
      </c>
      <c r="Q1402" t="s">
        <v>50</v>
      </c>
      <c r="R1402" t="s">
        <v>51</v>
      </c>
      <c r="S1402">
        <v>1939</v>
      </c>
      <c r="T1402">
        <v>-777</v>
      </c>
      <c r="Z1402">
        <v>0</v>
      </c>
      <c r="AA1402">
        <v>1</v>
      </c>
      <c r="AB1402">
        <v>0</v>
      </c>
      <c r="AC1402">
        <v>0</v>
      </c>
      <c r="AF1402">
        <v>1998</v>
      </c>
      <c r="AG1402">
        <v>1998</v>
      </c>
      <c r="AH1402">
        <v>1.2940846602498599</v>
      </c>
      <c r="AI1402">
        <v>1670</v>
      </c>
      <c r="AJ1402">
        <v>7.4052778852838204</v>
      </c>
      <c r="AK1402">
        <v>98.7</v>
      </c>
      <c r="AL1402">
        <v>1.28492880676892</v>
      </c>
      <c r="AM1402">
        <v>4.1189227950768599</v>
      </c>
      <c r="AN1402">
        <v>-7</v>
      </c>
      <c r="AO1402" t="b">
        <v>0</v>
      </c>
      <c r="AT1402">
        <v>364</v>
      </c>
      <c r="AU1402">
        <f t="shared" si="65"/>
        <v>0.997</v>
      </c>
    </row>
    <row r="1403" spans="1:47" x14ac:dyDescent="0.3">
      <c r="A1403">
        <v>1401</v>
      </c>
      <c r="B1403" t="s">
        <v>5941</v>
      </c>
      <c r="C1403" t="s">
        <v>5942</v>
      </c>
      <c r="D1403">
        <v>225</v>
      </c>
      <c r="E1403" t="s">
        <v>5535</v>
      </c>
      <c r="F1403" t="str">
        <f>VLOOKUP(E1403,country_continent!A:C,2,FALSE)</f>
        <v>Switzerland</v>
      </c>
      <c r="G1403" t="str">
        <f>VLOOKUP(E1403,country_continent!A:C,3,FALSE)</f>
        <v>Europe</v>
      </c>
      <c r="H1403" t="s">
        <v>5943</v>
      </c>
      <c r="I1403" s="1">
        <v>36161</v>
      </c>
      <c r="J1403" s="3">
        <f t="shared" si="63"/>
        <v>36161</v>
      </c>
      <c r="K1403" s="1">
        <v>36525</v>
      </c>
      <c r="L1403" s="3">
        <f t="shared" si="64"/>
        <v>36525</v>
      </c>
      <c r="M1403" t="s">
        <v>49</v>
      </c>
      <c r="N1403" t="s">
        <v>49</v>
      </c>
      <c r="O1403" t="s">
        <v>49</v>
      </c>
      <c r="P1403">
        <v>0</v>
      </c>
      <c r="Q1403" t="s">
        <v>50</v>
      </c>
      <c r="R1403" t="s">
        <v>299</v>
      </c>
      <c r="S1403">
        <v>1940</v>
      </c>
      <c r="T1403">
        <v>-777</v>
      </c>
      <c r="U1403" s="1">
        <v>14619</v>
      </c>
      <c r="V1403" s="2">
        <v>14619</v>
      </c>
      <c r="Z1403">
        <v>0</v>
      </c>
      <c r="AA1403">
        <v>1</v>
      </c>
      <c r="AB1403">
        <v>0</v>
      </c>
      <c r="AC1403">
        <v>0</v>
      </c>
      <c r="AF1403">
        <v>1999</v>
      </c>
      <c r="AG1403">
        <v>1999</v>
      </c>
      <c r="AH1403">
        <v>1.8393498509694901</v>
      </c>
      <c r="AI1403">
        <v>1670</v>
      </c>
      <c r="AJ1403">
        <v>5.3700590908128003</v>
      </c>
      <c r="AK1403">
        <v>104.1</v>
      </c>
      <c r="AL1403">
        <v>1.0855364140363899</v>
      </c>
      <c r="AM1403">
        <v>3.2417458265619699</v>
      </c>
      <c r="AN1403">
        <v>-7</v>
      </c>
      <c r="AO1403" t="b">
        <v>0</v>
      </c>
      <c r="AT1403">
        <v>364</v>
      </c>
      <c r="AU1403">
        <f t="shared" si="65"/>
        <v>0.997</v>
      </c>
    </row>
    <row r="1404" spans="1:47" x14ac:dyDescent="0.3">
      <c r="A1404">
        <v>1402</v>
      </c>
      <c r="B1404" t="s">
        <v>5944</v>
      </c>
      <c r="C1404" t="s">
        <v>5932</v>
      </c>
      <c r="D1404">
        <v>225</v>
      </c>
      <c r="E1404" t="s">
        <v>5535</v>
      </c>
      <c r="F1404" t="str">
        <f>VLOOKUP(E1404,country_continent!A:C,2,FALSE)</f>
        <v>Switzerland</v>
      </c>
      <c r="G1404" t="str">
        <f>VLOOKUP(E1404,country_continent!A:C,3,FALSE)</f>
        <v>Europe</v>
      </c>
      <c r="H1404" t="s">
        <v>5933</v>
      </c>
      <c r="I1404" s="1">
        <v>36526</v>
      </c>
      <c r="J1404" s="3">
        <f t="shared" si="63"/>
        <v>36526</v>
      </c>
      <c r="K1404" s="1">
        <v>36891</v>
      </c>
      <c r="L1404" s="3">
        <f t="shared" si="64"/>
        <v>36891</v>
      </c>
      <c r="M1404" t="s">
        <v>49</v>
      </c>
      <c r="N1404" t="s">
        <v>49</v>
      </c>
      <c r="O1404" t="s">
        <v>49</v>
      </c>
      <c r="P1404">
        <v>1</v>
      </c>
      <c r="Q1404" t="s">
        <v>50</v>
      </c>
      <c r="R1404" t="s">
        <v>51</v>
      </c>
      <c r="S1404">
        <v>1942</v>
      </c>
      <c r="T1404">
        <v>-777</v>
      </c>
      <c r="Z1404">
        <v>0</v>
      </c>
      <c r="AA1404">
        <v>1</v>
      </c>
      <c r="AB1404">
        <v>0</v>
      </c>
      <c r="AC1404">
        <v>0</v>
      </c>
      <c r="AF1404">
        <v>2000</v>
      </c>
      <c r="AG1404">
        <v>2000</v>
      </c>
      <c r="AH1404">
        <v>0.72128404801887303</v>
      </c>
      <c r="AI1404">
        <v>1610</v>
      </c>
      <c r="AJ1404">
        <v>25.3429418650122</v>
      </c>
      <c r="AK1404">
        <v>109.1</v>
      </c>
      <c r="AL1404">
        <v>1.02616676195214</v>
      </c>
      <c r="AM1404">
        <v>2.9647412258424599</v>
      </c>
      <c r="AN1404">
        <v>-7</v>
      </c>
      <c r="AO1404" t="b">
        <v>0</v>
      </c>
      <c r="AT1404">
        <v>365</v>
      </c>
      <c r="AU1404">
        <f t="shared" si="65"/>
        <v>1</v>
      </c>
    </row>
    <row r="1405" spans="1:47" x14ac:dyDescent="0.3">
      <c r="A1405">
        <v>1403</v>
      </c>
      <c r="B1405" t="s">
        <v>5945</v>
      </c>
      <c r="C1405" t="s">
        <v>5946</v>
      </c>
      <c r="D1405">
        <v>225</v>
      </c>
      <c r="E1405" t="s">
        <v>5535</v>
      </c>
      <c r="F1405" t="str">
        <f>VLOOKUP(E1405,country_continent!A:C,2,FALSE)</f>
        <v>Switzerland</v>
      </c>
      <c r="G1405" t="str">
        <f>VLOOKUP(E1405,country_continent!A:C,3,FALSE)</f>
        <v>Europe</v>
      </c>
      <c r="H1405" t="s">
        <v>5947</v>
      </c>
      <c r="I1405" s="1">
        <v>36892</v>
      </c>
      <c r="J1405" s="3">
        <f t="shared" si="63"/>
        <v>36892</v>
      </c>
      <c r="K1405" s="1">
        <v>37256</v>
      </c>
      <c r="L1405" s="3">
        <f t="shared" si="64"/>
        <v>37256</v>
      </c>
      <c r="M1405" t="s">
        <v>49</v>
      </c>
      <c r="N1405" t="s">
        <v>49</v>
      </c>
      <c r="O1405" t="s">
        <v>49</v>
      </c>
      <c r="P1405">
        <v>0</v>
      </c>
      <c r="Q1405" t="s">
        <v>50</v>
      </c>
      <c r="R1405" t="s">
        <v>51</v>
      </c>
      <c r="S1405">
        <v>1946</v>
      </c>
      <c r="T1405">
        <v>-777</v>
      </c>
      <c r="U1405" s="1">
        <v>17066</v>
      </c>
      <c r="V1405" s="2">
        <v>17066</v>
      </c>
      <c r="Z1405">
        <v>0</v>
      </c>
      <c r="AA1405">
        <v>1</v>
      </c>
      <c r="AB1405">
        <v>0</v>
      </c>
      <c r="AC1405">
        <v>0</v>
      </c>
      <c r="AF1405">
        <v>2001</v>
      </c>
      <c r="AG1405">
        <v>2001</v>
      </c>
      <c r="AH1405">
        <v>0.126963846102469</v>
      </c>
      <c r="AI1405">
        <v>1640</v>
      </c>
      <c r="AJ1405">
        <v>8.9426191620529494</v>
      </c>
      <c r="AK1405">
        <v>112.6</v>
      </c>
      <c r="AL1405">
        <v>0.92235793293045898</v>
      </c>
      <c r="AM1405">
        <v>3.46238536598299</v>
      </c>
      <c r="AN1405">
        <v>-7</v>
      </c>
      <c r="AO1405" t="b">
        <v>0</v>
      </c>
      <c r="AT1405">
        <v>364</v>
      </c>
      <c r="AU1405">
        <f t="shared" si="65"/>
        <v>0.997</v>
      </c>
    </row>
    <row r="1406" spans="1:47" x14ac:dyDescent="0.3">
      <c r="A1406">
        <v>1404</v>
      </c>
      <c r="B1406" t="s">
        <v>5948</v>
      </c>
      <c r="C1406" t="s">
        <v>5936</v>
      </c>
      <c r="D1406">
        <v>225</v>
      </c>
      <c r="E1406" t="s">
        <v>5535</v>
      </c>
      <c r="F1406" t="str">
        <f>VLOOKUP(E1406,country_continent!A:C,2,FALSE)</f>
        <v>Switzerland</v>
      </c>
      <c r="G1406" t="str">
        <f>VLOOKUP(E1406,country_continent!A:C,3,FALSE)</f>
        <v>Europe</v>
      </c>
      <c r="H1406" t="s">
        <v>5937</v>
      </c>
      <c r="I1406" s="1">
        <v>37257</v>
      </c>
      <c r="J1406" s="3">
        <f t="shared" si="63"/>
        <v>37257</v>
      </c>
      <c r="K1406" s="1">
        <v>37621</v>
      </c>
      <c r="L1406" s="3">
        <f t="shared" si="64"/>
        <v>37621</v>
      </c>
      <c r="M1406" t="s">
        <v>49</v>
      </c>
      <c r="N1406" t="s">
        <v>49</v>
      </c>
      <c r="O1406" t="s">
        <v>49</v>
      </c>
      <c r="P1406">
        <v>1</v>
      </c>
      <c r="Q1406" t="s">
        <v>50</v>
      </c>
      <c r="R1406" t="s">
        <v>51</v>
      </c>
      <c r="S1406">
        <v>1941</v>
      </c>
      <c r="T1406">
        <v>-777</v>
      </c>
      <c r="Z1406">
        <v>0</v>
      </c>
      <c r="AA1406">
        <v>1</v>
      </c>
      <c r="AB1406">
        <v>0</v>
      </c>
      <c r="AC1406">
        <v>0</v>
      </c>
      <c r="AF1406">
        <v>2002</v>
      </c>
      <c r="AG1406">
        <v>2002</v>
      </c>
      <c r="AH1406">
        <v>3.55476544147677</v>
      </c>
      <c r="AI1406">
        <v>1510</v>
      </c>
      <c r="AJ1406">
        <v>8.9149284688432999</v>
      </c>
      <c r="AK1406">
        <v>114.3</v>
      </c>
      <c r="AL1406">
        <v>0.79384261038892401</v>
      </c>
      <c r="AM1406">
        <v>4.4731767474590498</v>
      </c>
      <c r="AN1406">
        <v>-7</v>
      </c>
      <c r="AO1406" t="b">
        <v>0</v>
      </c>
      <c r="AT1406">
        <v>364</v>
      </c>
      <c r="AU1406">
        <f t="shared" si="65"/>
        <v>0.997</v>
      </c>
    </row>
    <row r="1407" spans="1:47" x14ac:dyDescent="0.3">
      <c r="A1407">
        <v>1405</v>
      </c>
      <c r="B1407" t="s">
        <v>5949</v>
      </c>
      <c r="C1407" t="s">
        <v>5950</v>
      </c>
      <c r="D1407">
        <v>225</v>
      </c>
      <c r="E1407" t="s">
        <v>5535</v>
      </c>
      <c r="F1407" t="str">
        <f>VLOOKUP(E1407,country_continent!A:C,2,FALSE)</f>
        <v>Switzerland</v>
      </c>
      <c r="G1407" t="str">
        <f>VLOOKUP(E1407,country_continent!A:C,3,FALSE)</f>
        <v>Europe</v>
      </c>
      <c r="H1407" t="s">
        <v>5951</v>
      </c>
      <c r="I1407" s="1">
        <v>37622</v>
      </c>
      <c r="J1407" s="3">
        <f t="shared" si="63"/>
        <v>37622</v>
      </c>
      <c r="K1407" s="1">
        <v>37986</v>
      </c>
      <c r="L1407" s="3">
        <f t="shared" si="64"/>
        <v>37986</v>
      </c>
      <c r="M1407" t="s">
        <v>49</v>
      </c>
      <c r="N1407" t="s">
        <v>49</v>
      </c>
      <c r="O1407" t="s">
        <v>49</v>
      </c>
      <c r="P1407">
        <v>0</v>
      </c>
      <c r="Q1407" t="s">
        <v>50</v>
      </c>
      <c r="R1407" t="s">
        <v>51</v>
      </c>
      <c r="S1407">
        <v>1942</v>
      </c>
      <c r="T1407">
        <v>-777</v>
      </c>
      <c r="Z1407">
        <v>0</v>
      </c>
      <c r="AA1407">
        <v>1</v>
      </c>
      <c r="AB1407">
        <v>0</v>
      </c>
      <c r="AC1407">
        <v>0</v>
      </c>
      <c r="AF1407">
        <v>2003</v>
      </c>
      <c r="AG1407">
        <v>2003</v>
      </c>
      <c r="AH1407">
        <v>3.1732985482922502</v>
      </c>
      <c r="AI1407">
        <v>1630</v>
      </c>
      <c r="AJ1407">
        <v>6.0054954849956896</v>
      </c>
      <c r="AK1407">
        <v>115.7</v>
      </c>
      <c r="AL1407">
        <v>0.682836011828583</v>
      </c>
      <c r="AM1407">
        <v>2.85629396804877</v>
      </c>
      <c r="AN1407">
        <v>-7</v>
      </c>
      <c r="AO1407" t="b">
        <v>0</v>
      </c>
      <c r="AT1407">
        <v>364</v>
      </c>
      <c r="AU1407">
        <f t="shared" si="65"/>
        <v>0.997</v>
      </c>
    </row>
    <row r="1408" spans="1:47" x14ac:dyDescent="0.3">
      <c r="A1408">
        <v>1406</v>
      </c>
      <c r="B1408" t="s">
        <v>5952</v>
      </c>
      <c r="C1408" t="s">
        <v>5953</v>
      </c>
      <c r="D1408">
        <v>225</v>
      </c>
      <c r="E1408" t="s">
        <v>5535</v>
      </c>
      <c r="F1408" t="str">
        <f>VLOOKUP(E1408,country_continent!A:C,2,FALSE)</f>
        <v>Switzerland</v>
      </c>
      <c r="G1408" t="str">
        <f>VLOOKUP(E1408,country_continent!A:C,3,FALSE)</f>
        <v>Europe</v>
      </c>
      <c r="H1408" t="s">
        <v>5954</v>
      </c>
      <c r="I1408" s="1">
        <v>37987</v>
      </c>
      <c r="J1408" s="3">
        <f t="shared" si="63"/>
        <v>37987</v>
      </c>
      <c r="K1408" s="1">
        <v>38352</v>
      </c>
      <c r="L1408" s="3">
        <f t="shared" si="64"/>
        <v>38352</v>
      </c>
      <c r="M1408" t="s">
        <v>49</v>
      </c>
      <c r="N1408" t="s">
        <v>49</v>
      </c>
      <c r="O1408" t="s">
        <v>49</v>
      </c>
      <c r="P1408">
        <v>0</v>
      </c>
      <c r="Q1408" t="s">
        <v>50</v>
      </c>
      <c r="R1408" t="s">
        <v>51</v>
      </c>
      <c r="S1408">
        <v>1946</v>
      </c>
      <c r="T1408">
        <v>-777</v>
      </c>
      <c r="Z1408">
        <v>0</v>
      </c>
      <c r="AA1408">
        <v>1</v>
      </c>
      <c r="AB1408">
        <v>0</v>
      </c>
      <c r="AC1408">
        <v>0</v>
      </c>
      <c r="AF1408">
        <v>2004</v>
      </c>
      <c r="AG1408">
        <v>2004</v>
      </c>
      <c r="AH1408">
        <v>3.0002349791849099</v>
      </c>
      <c r="AI1408">
        <v>2070</v>
      </c>
      <c r="AJ1408">
        <v>3.8712879721592799</v>
      </c>
      <c r="AK1408">
        <v>116.2</v>
      </c>
      <c r="AL1408">
        <v>0.60368646867186504</v>
      </c>
      <c r="AM1408">
        <v>2.3699279891774698</v>
      </c>
      <c r="AN1408">
        <v>-7</v>
      </c>
      <c r="AO1408" t="b">
        <v>0</v>
      </c>
      <c r="AT1408">
        <v>365</v>
      </c>
      <c r="AU1408">
        <f t="shared" si="65"/>
        <v>1</v>
      </c>
    </row>
    <row r="1409" spans="1:47" x14ac:dyDescent="0.3">
      <c r="A1409">
        <v>1407</v>
      </c>
      <c r="B1409" t="s">
        <v>5955</v>
      </c>
      <c r="C1409" t="s">
        <v>5956</v>
      </c>
      <c r="D1409">
        <v>225</v>
      </c>
      <c r="E1409" t="s">
        <v>5535</v>
      </c>
      <c r="F1409" t="str">
        <f>VLOOKUP(E1409,country_continent!A:C,2,FALSE)</f>
        <v>Switzerland</v>
      </c>
      <c r="G1409" t="str">
        <f>VLOOKUP(E1409,country_continent!A:C,3,FALSE)</f>
        <v>Europe</v>
      </c>
      <c r="H1409" t="s">
        <v>5957</v>
      </c>
      <c r="I1409" s="1">
        <v>38353</v>
      </c>
      <c r="J1409" s="3">
        <f t="shared" si="63"/>
        <v>38353</v>
      </c>
      <c r="K1409" s="1">
        <v>38717</v>
      </c>
      <c r="L1409" s="3">
        <f t="shared" si="64"/>
        <v>38717</v>
      </c>
      <c r="M1409" t="s">
        <v>49</v>
      </c>
      <c r="N1409" t="s">
        <v>49</v>
      </c>
      <c r="O1409" t="s">
        <v>49</v>
      </c>
      <c r="P1409">
        <v>0</v>
      </c>
      <c r="Q1409" t="s">
        <v>50</v>
      </c>
      <c r="R1409" t="s">
        <v>51</v>
      </c>
      <c r="S1409">
        <v>1947</v>
      </c>
      <c r="T1409">
        <v>-777</v>
      </c>
      <c r="Z1409">
        <v>0</v>
      </c>
      <c r="AA1409">
        <v>1</v>
      </c>
      <c r="AB1409">
        <v>0</v>
      </c>
      <c r="AC1409">
        <v>0</v>
      </c>
      <c r="AF1409">
        <v>2005</v>
      </c>
      <c r="AG1409">
        <v>2005</v>
      </c>
      <c r="AH1409">
        <v>5.42281896170888</v>
      </c>
      <c r="AI1409">
        <v>2950</v>
      </c>
      <c r="AJ1409">
        <v>6.5568231923926099</v>
      </c>
      <c r="AK1409">
        <v>115.5</v>
      </c>
      <c r="AL1409">
        <v>0.544843998142576</v>
      </c>
      <c r="AM1409">
        <v>2.0535220211611098</v>
      </c>
      <c r="AN1409">
        <v>-7</v>
      </c>
      <c r="AO1409" t="b">
        <v>0</v>
      </c>
      <c r="AT1409">
        <v>364</v>
      </c>
      <c r="AU1409">
        <f t="shared" si="65"/>
        <v>0.997</v>
      </c>
    </row>
    <row r="1410" spans="1:47" x14ac:dyDescent="0.3">
      <c r="A1410">
        <v>1408</v>
      </c>
      <c r="B1410" t="s">
        <v>5958</v>
      </c>
      <c r="C1410" t="s">
        <v>5946</v>
      </c>
      <c r="D1410">
        <v>225</v>
      </c>
      <c r="E1410" t="s">
        <v>5535</v>
      </c>
      <c r="F1410" t="str">
        <f>VLOOKUP(E1410,country_continent!A:C,2,FALSE)</f>
        <v>Switzerland</v>
      </c>
      <c r="G1410" t="str">
        <f>VLOOKUP(E1410,country_continent!A:C,3,FALSE)</f>
        <v>Europe</v>
      </c>
      <c r="H1410" t="s">
        <v>5947</v>
      </c>
      <c r="I1410" s="1">
        <v>38718</v>
      </c>
      <c r="J1410" s="3">
        <f t="shared" si="63"/>
        <v>38718</v>
      </c>
      <c r="K1410" s="1">
        <v>39082</v>
      </c>
      <c r="L1410" s="3">
        <f t="shared" si="64"/>
        <v>39082</v>
      </c>
      <c r="M1410" t="s">
        <v>49</v>
      </c>
      <c r="N1410" t="s">
        <v>49</v>
      </c>
      <c r="O1410" t="s">
        <v>49</v>
      </c>
      <c r="P1410">
        <v>1</v>
      </c>
      <c r="Q1410" t="s">
        <v>50</v>
      </c>
      <c r="R1410" t="s">
        <v>51</v>
      </c>
      <c r="S1410">
        <v>1946</v>
      </c>
      <c r="T1410">
        <v>-777</v>
      </c>
      <c r="Z1410">
        <v>0</v>
      </c>
      <c r="AA1410">
        <v>1</v>
      </c>
      <c r="AB1410">
        <v>0</v>
      </c>
      <c r="AC1410">
        <v>0</v>
      </c>
      <c r="AF1410">
        <v>2006</v>
      </c>
      <c r="AG1410">
        <v>2006</v>
      </c>
      <c r="AH1410">
        <v>5.46300561087609</v>
      </c>
      <c r="AI1410">
        <v>3150</v>
      </c>
      <c r="AJ1410">
        <v>4.0411618501624904</v>
      </c>
      <c r="AK1410">
        <v>105.3</v>
      </c>
      <c r="AL1410">
        <v>0.50049608557733305</v>
      </c>
      <c r="AM1410">
        <v>2.0140386002734898</v>
      </c>
      <c r="AN1410">
        <v>-7</v>
      </c>
      <c r="AO1410" t="b">
        <v>0</v>
      </c>
      <c r="AT1410">
        <v>364</v>
      </c>
      <c r="AU1410">
        <f t="shared" si="65"/>
        <v>0.997</v>
      </c>
    </row>
    <row r="1411" spans="1:47" x14ac:dyDescent="0.3">
      <c r="A1411">
        <v>1409</v>
      </c>
      <c r="B1411" t="s">
        <v>5959</v>
      </c>
      <c r="C1411" t="s">
        <v>5960</v>
      </c>
      <c r="D1411">
        <v>225</v>
      </c>
      <c r="E1411" t="s">
        <v>5535</v>
      </c>
      <c r="F1411" t="str">
        <f>VLOOKUP(E1411,country_continent!A:C,2,FALSE)</f>
        <v>Switzerland</v>
      </c>
      <c r="G1411" t="str">
        <f>VLOOKUP(E1411,country_continent!A:C,3,FALSE)</f>
        <v>Europe</v>
      </c>
      <c r="H1411" t="s">
        <v>5961</v>
      </c>
      <c r="I1411" s="1">
        <v>39083</v>
      </c>
      <c r="J1411" s="3">
        <f t="shared" ref="J1411:J1474" si="66">IF(ISNUMBER(SEARCH("-", I1411)), SUBSTITUTE(I1411, "-", "/"), I1411)</f>
        <v>39083</v>
      </c>
      <c r="K1411" s="1">
        <v>39447</v>
      </c>
      <c r="L1411" s="3">
        <f t="shared" ref="L1411:L1474" si="67">IF(ISNUMBER(SEARCH("-", K1411)), SUBSTITUTE(K1411, "-", "/"), K1411)</f>
        <v>39447</v>
      </c>
      <c r="M1411" t="s">
        <v>49</v>
      </c>
      <c r="N1411" t="s">
        <v>49</v>
      </c>
      <c r="O1411" t="s">
        <v>49</v>
      </c>
      <c r="P1411">
        <v>0</v>
      </c>
      <c r="Q1411" t="s">
        <v>50</v>
      </c>
      <c r="R1411" t="s">
        <v>299</v>
      </c>
      <c r="S1411">
        <v>1945</v>
      </c>
      <c r="T1411">
        <v>-777</v>
      </c>
      <c r="Z1411">
        <v>0</v>
      </c>
      <c r="AA1411">
        <v>1</v>
      </c>
      <c r="AB1411">
        <v>0</v>
      </c>
      <c r="AC1411">
        <v>0</v>
      </c>
      <c r="AF1411">
        <v>2007</v>
      </c>
      <c r="AG1411">
        <v>2007</v>
      </c>
      <c r="AH1411">
        <v>3.83511662220186</v>
      </c>
      <c r="AI1411">
        <v>3330</v>
      </c>
      <c r="AJ1411">
        <v>5.0142979592022803</v>
      </c>
      <c r="AK1411">
        <v>100</v>
      </c>
      <c r="AL1411">
        <v>0.57642399808088296</v>
      </c>
      <c r="AM1411">
        <v>2.6546504343126198</v>
      </c>
      <c r="AN1411">
        <v>-7</v>
      </c>
      <c r="AO1411" t="b">
        <v>0</v>
      </c>
      <c r="AT1411">
        <v>364</v>
      </c>
      <c r="AU1411">
        <f t="shared" si="65"/>
        <v>0.997</v>
      </c>
    </row>
    <row r="1412" spans="1:47" x14ac:dyDescent="0.3">
      <c r="A1412">
        <v>1410</v>
      </c>
      <c r="B1412" t="s">
        <v>5962</v>
      </c>
      <c r="C1412" t="s">
        <v>5950</v>
      </c>
      <c r="D1412">
        <v>225</v>
      </c>
      <c r="E1412" t="s">
        <v>5535</v>
      </c>
      <c r="F1412" t="str">
        <f>VLOOKUP(E1412,country_continent!A:C,2,FALSE)</f>
        <v>Switzerland</v>
      </c>
      <c r="G1412" t="str">
        <f>VLOOKUP(E1412,country_continent!A:C,3,FALSE)</f>
        <v>Europe</v>
      </c>
      <c r="H1412" t="s">
        <v>5951</v>
      </c>
      <c r="I1412" s="1">
        <v>39448</v>
      </c>
      <c r="J1412" s="3">
        <f t="shared" si="66"/>
        <v>39448</v>
      </c>
      <c r="K1412" s="1">
        <v>39813</v>
      </c>
      <c r="L1412" s="3">
        <f t="shared" si="67"/>
        <v>39813</v>
      </c>
      <c r="M1412" t="s">
        <v>49</v>
      </c>
      <c r="N1412" t="s">
        <v>49</v>
      </c>
      <c r="O1412" t="s">
        <v>49</v>
      </c>
      <c r="P1412">
        <v>1</v>
      </c>
      <c r="Q1412" t="s">
        <v>50</v>
      </c>
      <c r="R1412" t="s">
        <v>51</v>
      </c>
      <c r="S1412">
        <v>1942</v>
      </c>
      <c r="T1412">
        <v>-777</v>
      </c>
      <c r="Z1412">
        <v>0</v>
      </c>
      <c r="AA1412">
        <v>1</v>
      </c>
      <c r="AB1412">
        <v>0</v>
      </c>
      <c r="AC1412">
        <v>0</v>
      </c>
      <c r="AF1412">
        <v>2008</v>
      </c>
      <c r="AG1412">
        <v>2008</v>
      </c>
      <c r="AH1412">
        <v>0.14351539419989401</v>
      </c>
      <c r="AI1412">
        <v>3220</v>
      </c>
      <c r="AJ1412">
        <v>10.425576064865499</v>
      </c>
      <c r="AK1412">
        <v>98.2</v>
      </c>
      <c r="AL1412">
        <v>0.6748941459051</v>
      </c>
      <c r="AM1412">
        <v>3.77519043420084</v>
      </c>
      <c r="AN1412">
        <v>-7</v>
      </c>
      <c r="AO1412" t="b">
        <v>0</v>
      </c>
      <c r="AT1412">
        <v>365</v>
      </c>
      <c r="AU1412">
        <f t="shared" ref="AU1412:AU1475" si="68">ROUND(AT1412/365,3)</f>
        <v>1</v>
      </c>
    </row>
    <row r="1413" spans="1:47" x14ac:dyDescent="0.3">
      <c r="A1413">
        <v>1411</v>
      </c>
      <c r="B1413" t="s">
        <v>5963</v>
      </c>
      <c r="C1413" t="s">
        <v>5964</v>
      </c>
      <c r="D1413">
        <v>225</v>
      </c>
      <c r="E1413" t="s">
        <v>5535</v>
      </c>
      <c r="F1413" t="str">
        <f>VLOOKUP(E1413,country_continent!A:C,2,FALSE)</f>
        <v>Switzerland</v>
      </c>
      <c r="G1413" t="str">
        <f>VLOOKUP(E1413,country_continent!A:C,3,FALSE)</f>
        <v>Europe</v>
      </c>
      <c r="H1413" t="s">
        <v>5965</v>
      </c>
      <c r="I1413" s="1">
        <v>39814</v>
      </c>
      <c r="J1413" s="3">
        <f t="shared" si="66"/>
        <v>39814</v>
      </c>
      <c r="K1413" s="1">
        <v>40178</v>
      </c>
      <c r="L1413" s="3">
        <f t="shared" si="67"/>
        <v>40178</v>
      </c>
      <c r="M1413" t="s">
        <v>49</v>
      </c>
      <c r="N1413" t="s">
        <v>49</v>
      </c>
      <c r="O1413" t="s">
        <v>49</v>
      </c>
      <c r="P1413">
        <v>0</v>
      </c>
      <c r="Q1413" t="s">
        <v>50</v>
      </c>
      <c r="R1413" t="s">
        <v>51</v>
      </c>
      <c r="S1413">
        <v>1942</v>
      </c>
      <c r="T1413">
        <v>-777</v>
      </c>
      <c r="Z1413">
        <v>0</v>
      </c>
      <c r="AA1413">
        <v>1</v>
      </c>
      <c r="AB1413">
        <v>0</v>
      </c>
      <c r="AC1413">
        <v>0</v>
      </c>
      <c r="AF1413">
        <v>2009</v>
      </c>
      <c r="AG1413">
        <v>2009</v>
      </c>
      <c r="AH1413">
        <v>0.91604153150504397</v>
      </c>
      <c r="AI1413">
        <v>3180</v>
      </c>
      <c r="AJ1413">
        <v>9.7699243126837896</v>
      </c>
      <c r="AK1413">
        <v>92.5</v>
      </c>
      <c r="AL1413">
        <v>0.64105693101859995</v>
      </c>
      <c r="AM1413">
        <v>2.6717718631179501</v>
      </c>
      <c r="AN1413">
        <v>-7</v>
      </c>
      <c r="AO1413" t="b">
        <v>0</v>
      </c>
      <c r="AT1413">
        <v>364</v>
      </c>
      <c r="AU1413">
        <f t="shared" si="68"/>
        <v>0.997</v>
      </c>
    </row>
    <row r="1414" spans="1:47" x14ac:dyDescent="0.3">
      <c r="A1414">
        <v>1412</v>
      </c>
      <c r="B1414" t="s">
        <v>5966</v>
      </c>
      <c r="C1414" t="s">
        <v>5967</v>
      </c>
      <c r="D1414">
        <v>225</v>
      </c>
      <c r="E1414" t="s">
        <v>5535</v>
      </c>
      <c r="F1414" t="str">
        <f>VLOOKUP(E1414,country_continent!A:C,2,FALSE)</f>
        <v>Switzerland</v>
      </c>
      <c r="G1414" t="str">
        <f>VLOOKUP(E1414,country_continent!A:C,3,FALSE)</f>
        <v>Europe</v>
      </c>
      <c r="H1414" t="s">
        <v>5968</v>
      </c>
      <c r="I1414" s="1">
        <v>40179</v>
      </c>
      <c r="J1414" s="3">
        <f t="shared" si="66"/>
        <v>40179</v>
      </c>
      <c r="K1414" s="1">
        <v>40543</v>
      </c>
      <c r="L1414" s="3">
        <f t="shared" si="67"/>
        <v>40543</v>
      </c>
      <c r="M1414" t="s">
        <v>49</v>
      </c>
      <c r="N1414" t="s">
        <v>49</v>
      </c>
      <c r="O1414" t="s">
        <v>49</v>
      </c>
      <c r="P1414">
        <v>0</v>
      </c>
      <c r="Q1414" t="s">
        <v>50</v>
      </c>
      <c r="R1414" t="s">
        <v>299</v>
      </c>
      <c r="S1414">
        <v>1963</v>
      </c>
      <c r="T1414">
        <v>-777</v>
      </c>
      <c r="Z1414">
        <v>0</v>
      </c>
      <c r="AA1414">
        <v>1</v>
      </c>
      <c r="AB1414">
        <v>0</v>
      </c>
      <c r="AC1414">
        <v>0</v>
      </c>
      <c r="AF1414">
        <v>2010</v>
      </c>
      <c r="AG1414">
        <v>2010</v>
      </c>
      <c r="AH1414">
        <v>3.18713606361427</v>
      </c>
      <c r="AI1414">
        <v>3320</v>
      </c>
      <c r="AJ1414">
        <v>3.1971753503888598</v>
      </c>
      <c r="AK1414">
        <v>81.8</v>
      </c>
      <c r="AL1414">
        <v>0.58616111600768706</v>
      </c>
      <c r="AM1414">
        <v>2.3895930131960998</v>
      </c>
      <c r="AN1414">
        <v>-7</v>
      </c>
      <c r="AO1414" t="b">
        <v>0</v>
      </c>
      <c r="AT1414">
        <v>364</v>
      </c>
      <c r="AU1414">
        <f t="shared" si="68"/>
        <v>0.997</v>
      </c>
    </row>
    <row r="1415" spans="1:47" x14ac:dyDescent="0.3">
      <c r="A1415">
        <v>1413</v>
      </c>
      <c r="B1415" t="s">
        <v>5969</v>
      </c>
      <c r="C1415" t="s">
        <v>5960</v>
      </c>
      <c r="D1415">
        <v>225</v>
      </c>
      <c r="E1415" t="s">
        <v>5535</v>
      </c>
      <c r="F1415" t="str">
        <f>VLOOKUP(E1415,country_continent!A:C,2,FALSE)</f>
        <v>Switzerland</v>
      </c>
      <c r="G1415" t="str">
        <f>VLOOKUP(E1415,country_continent!A:C,3,FALSE)</f>
        <v>Europe</v>
      </c>
      <c r="H1415" t="s">
        <v>5961</v>
      </c>
      <c r="I1415" s="1">
        <v>40544</v>
      </c>
      <c r="J1415" s="3">
        <f t="shared" si="66"/>
        <v>40544</v>
      </c>
      <c r="K1415" s="1">
        <v>40908</v>
      </c>
      <c r="L1415" s="3">
        <f t="shared" si="67"/>
        <v>40908</v>
      </c>
      <c r="M1415" t="s">
        <v>49</v>
      </c>
      <c r="N1415" t="s">
        <v>49</v>
      </c>
      <c r="O1415" t="s">
        <v>49</v>
      </c>
      <c r="P1415">
        <v>1</v>
      </c>
      <c r="Q1415" t="s">
        <v>50</v>
      </c>
      <c r="R1415" t="s">
        <v>299</v>
      </c>
      <c r="S1415">
        <v>1945</v>
      </c>
      <c r="T1415">
        <v>-777</v>
      </c>
      <c r="Z1415">
        <v>0</v>
      </c>
      <c r="AA1415">
        <v>1</v>
      </c>
      <c r="AB1415">
        <v>0</v>
      </c>
      <c r="AC1415">
        <v>0</v>
      </c>
      <c r="AF1415">
        <v>2011</v>
      </c>
      <c r="AG1415">
        <v>2011</v>
      </c>
      <c r="AH1415">
        <v>1.6816758900924</v>
      </c>
      <c r="AI1415">
        <v>3700</v>
      </c>
      <c r="AJ1415">
        <v>5.3409452823164099</v>
      </c>
      <c r="AK1415">
        <v>68.099999999999994</v>
      </c>
      <c r="AL1415">
        <v>0.55465916102455604</v>
      </c>
      <c r="AM1415">
        <v>2.6427623686175501</v>
      </c>
      <c r="AN1415">
        <v>-7</v>
      </c>
      <c r="AO1415" t="b">
        <v>0</v>
      </c>
      <c r="AT1415">
        <v>364</v>
      </c>
      <c r="AU1415">
        <f t="shared" si="68"/>
        <v>0.997</v>
      </c>
    </row>
    <row r="1416" spans="1:47" x14ac:dyDescent="0.3">
      <c r="A1416">
        <v>1414</v>
      </c>
      <c r="B1416" t="s">
        <v>5970</v>
      </c>
      <c r="C1416" t="s">
        <v>5971</v>
      </c>
      <c r="D1416">
        <v>225</v>
      </c>
      <c r="E1416" t="s">
        <v>5535</v>
      </c>
      <c r="F1416" t="str">
        <f>VLOOKUP(E1416,country_continent!A:C,2,FALSE)</f>
        <v>Switzerland</v>
      </c>
      <c r="G1416" t="str">
        <f>VLOOKUP(E1416,country_continent!A:C,3,FALSE)</f>
        <v>Europe</v>
      </c>
      <c r="H1416" t="s">
        <v>5972</v>
      </c>
      <c r="I1416" s="1">
        <v>40909</v>
      </c>
      <c r="J1416" s="3">
        <f t="shared" si="66"/>
        <v>40909</v>
      </c>
      <c r="K1416" s="1">
        <v>41274</v>
      </c>
      <c r="L1416" s="3">
        <f t="shared" si="67"/>
        <v>41274</v>
      </c>
      <c r="M1416" t="s">
        <v>49</v>
      </c>
      <c r="N1416" t="s">
        <v>49</v>
      </c>
      <c r="O1416" t="s">
        <v>49</v>
      </c>
      <c r="P1416">
        <v>0</v>
      </c>
      <c r="Q1416" t="s">
        <v>50</v>
      </c>
      <c r="R1416" t="s">
        <v>299</v>
      </c>
      <c r="S1416">
        <v>1956</v>
      </c>
      <c r="T1416">
        <v>-777</v>
      </c>
      <c r="U1416" s="1">
        <v>20530</v>
      </c>
      <c r="V1416" s="2">
        <v>20530</v>
      </c>
      <c r="Z1416">
        <v>0</v>
      </c>
      <c r="AA1416">
        <v>1</v>
      </c>
      <c r="AB1416">
        <v>0</v>
      </c>
      <c r="AC1416">
        <v>0</v>
      </c>
      <c r="AF1416">
        <v>2012</v>
      </c>
      <c r="AG1416">
        <v>2012</v>
      </c>
      <c r="AH1416">
        <v>4.8311332999892604</v>
      </c>
      <c r="AI1416">
        <v>4140</v>
      </c>
      <c r="AJ1416">
        <v>8.7483734259075394</v>
      </c>
      <c r="AK1416">
        <v>63.8</v>
      </c>
      <c r="AL1416">
        <v>0.53798682282000898</v>
      </c>
      <c r="AM1416">
        <v>4.1806703329709602</v>
      </c>
      <c r="AN1416">
        <v>-7</v>
      </c>
      <c r="AO1416" t="b">
        <v>0</v>
      </c>
      <c r="AT1416">
        <v>365</v>
      </c>
      <c r="AU1416">
        <f t="shared" si="68"/>
        <v>1</v>
      </c>
    </row>
    <row r="1417" spans="1:47" x14ac:dyDescent="0.3">
      <c r="A1417">
        <v>1415</v>
      </c>
      <c r="B1417" t="s">
        <v>5973</v>
      </c>
      <c r="C1417" t="s">
        <v>5974</v>
      </c>
      <c r="D1417">
        <v>225</v>
      </c>
      <c r="E1417" t="s">
        <v>5535</v>
      </c>
      <c r="F1417" t="str">
        <f>VLOOKUP(E1417,country_continent!A:C,2,FALSE)</f>
        <v>Switzerland</v>
      </c>
      <c r="G1417" t="str">
        <f>VLOOKUP(E1417,country_continent!A:C,3,FALSE)</f>
        <v>Europe</v>
      </c>
      <c r="H1417" t="s">
        <v>5975</v>
      </c>
      <c r="I1417" s="1">
        <v>41275</v>
      </c>
      <c r="J1417" s="3">
        <f t="shared" si="66"/>
        <v>41275</v>
      </c>
      <c r="K1417" s="1">
        <v>41639</v>
      </c>
      <c r="L1417" s="3">
        <f t="shared" si="67"/>
        <v>41639</v>
      </c>
      <c r="M1417" t="s">
        <v>49</v>
      </c>
      <c r="N1417" t="s">
        <v>49</v>
      </c>
      <c r="O1417" t="s">
        <v>49</v>
      </c>
      <c r="P1417">
        <v>0</v>
      </c>
      <c r="Q1417" t="s">
        <v>50</v>
      </c>
      <c r="R1417" t="s">
        <v>51</v>
      </c>
      <c r="S1417">
        <v>1950</v>
      </c>
      <c r="T1417">
        <v>-777</v>
      </c>
      <c r="U1417" s="1">
        <v>18598</v>
      </c>
      <c r="V1417" s="2">
        <v>18598</v>
      </c>
      <c r="Z1417">
        <v>0</v>
      </c>
      <c r="AA1417">
        <v>1</v>
      </c>
      <c r="AB1417">
        <v>0</v>
      </c>
      <c r="AC1417">
        <v>0</v>
      </c>
      <c r="AF1417">
        <v>2013</v>
      </c>
      <c r="AG1417">
        <v>2013</v>
      </c>
      <c r="AH1417">
        <v>3.2980604522535599</v>
      </c>
      <c r="AI1417">
        <v>4200</v>
      </c>
      <c r="AJ1417">
        <v>3.4551789353903302</v>
      </c>
      <c r="AK1417">
        <v>61.6</v>
      </c>
      <c r="AL1417">
        <v>0.54369252057836004</v>
      </c>
      <c r="AM1417">
        <v>4.50064467722075</v>
      </c>
      <c r="AN1417">
        <v>-7</v>
      </c>
      <c r="AO1417" t="b">
        <v>0</v>
      </c>
      <c r="AT1417">
        <v>364</v>
      </c>
      <c r="AU1417">
        <f t="shared" si="68"/>
        <v>0.997</v>
      </c>
    </row>
    <row r="1418" spans="1:47" x14ac:dyDescent="0.3">
      <c r="A1418">
        <v>1416</v>
      </c>
      <c r="B1418" t="s">
        <v>5976</v>
      </c>
      <c r="C1418" t="s">
        <v>5977</v>
      </c>
      <c r="D1418">
        <v>225</v>
      </c>
      <c r="E1418" t="s">
        <v>5535</v>
      </c>
      <c r="F1418" t="str">
        <f>VLOOKUP(E1418,country_continent!A:C,2,FALSE)</f>
        <v>Switzerland</v>
      </c>
      <c r="G1418" t="str">
        <f>VLOOKUP(E1418,country_continent!A:C,3,FALSE)</f>
        <v>Europe</v>
      </c>
      <c r="H1418" t="s">
        <v>5978</v>
      </c>
      <c r="I1418" s="1">
        <v>41640</v>
      </c>
      <c r="J1418" s="3">
        <f t="shared" si="66"/>
        <v>41640</v>
      </c>
      <c r="K1418" s="1">
        <v>42004</v>
      </c>
      <c r="L1418" s="3">
        <f t="shared" si="67"/>
        <v>42004</v>
      </c>
      <c r="M1418" t="s">
        <v>49</v>
      </c>
      <c r="N1418" t="s">
        <v>49</v>
      </c>
      <c r="O1418" t="s">
        <v>49</v>
      </c>
      <c r="P1418">
        <v>0</v>
      </c>
      <c r="Q1418" t="s">
        <v>312</v>
      </c>
      <c r="R1418" t="s">
        <v>51</v>
      </c>
      <c r="S1418">
        <v>1960</v>
      </c>
      <c r="T1418">
        <v>-777</v>
      </c>
      <c r="U1418" t="s">
        <v>5979</v>
      </c>
      <c r="Z1418">
        <v>0</v>
      </c>
      <c r="AA1418">
        <v>1</v>
      </c>
      <c r="AB1418">
        <v>0</v>
      </c>
      <c r="AC1418">
        <v>-999</v>
      </c>
      <c r="AF1418">
        <v>2014</v>
      </c>
      <c r="AG1418">
        <v>2014</v>
      </c>
      <c r="AH1418">
        <v>0.872701470269859</v>
      </c>
      <c r="AI1418">
        <v>3900</v>
      </c>
      <c r="AJ1418">
        <v>6.3771735376116903</v>
      </c>
      <c r="AK1418">
        <v>61.7</v>
      </c>
      <c r="AL1418">
        <v>0.55677067645868505</v>
      </c>
      <c r="AM1418">
        <v>3.43977917921013</v>
      </c>
      <c r="AN1418">
        <v>-7</v>
      </c>
      <c r="AO1418" t="b">
        <v>0</v>
      </c>
      <c r="AT1418">
        <v>364</v>
      </c>
      <c r="AU1418">
        <f t="shared" si="68"/>
        <v>0.997</v>
      </c>
    </row>
    <row r="1419" spans="1:47" x14ac:dyDescent="0.3">
      <c r="A1419">
        <v>1417</v>
      </c>
      <c r="B1419" t="s">
        <v>5980</v>
      </c>
      <c r="C1419" t="s">
        <v>5981</v>
      </c>
      <c r="D1419">
        <v>225</v>
      </c>
      <c r="E1419" t="s">
        <v>5535</v>
      </c>
      <c r="F1419" t="str">
        <f>VLOOKUP(E1419,country_continent!A:C,2,FALSE)</f>
        <v>Switzerland</v>
      </c>
      <c r="G1419" t="str">
        <f>VLOOKUP(E1419,country_continent!A:C,3,FALSE)</f>
        <v>Europe</v>
      </c>
      <c r="H1419" t="s">
        <v>5982</v>
      </c>
      <c r="I1419" s="1">
        <v>42005</v>
      </c>
      <c r="J1419" s="3">
        <f t="shared" si="66"/>
        <v>42005</v>
      </c>
      <c r="K1419" s="1">
        <v>42369</v>
      </c>
      <c r="L1419" s="3">
        <f t="shared" si="67"/>
        <v>42369</v>
      </c>
      <c r="M1419" t="s">
        <v>49</v>
      </c>
      <c r="N1419" t="s">
        <v>173</v>
      </c>
      <c r="O1419" t="s">
        <v>173</v>
      </c>
      <c r="P1419">
        <v>0</v>
      </c>
      <c r="Q1419" t="s">
        <v>174</v>
      </c>
      <c r="R1419" t="s">
        <v>299</v>
      </c>
      <c r="S1419">
        <v>1960</v>
      </c>
      <c r="T1419">
        <v>-777</v>
      </c>
      <c r="U1419" s="1">
        <v>22050</v>
      </c>
      <c r="V1419" s="2">
        <v>22050</v>
      </c>
      <c r="Z1419">
        <v>0</v>
      </c>
      <c r="AA1419">
        <v>-888</v>
      </c>
      <c r="AB1419">
        <v>-888</v>
      </c>
      <c r="AC1419">
        <v>-888</v>
      </c>
      <c r="AF1419">
        <v>2015</v>
      </c>
      <c r="AG1419">
        <v>2015</v>
      </c>
      <c r="AH1419">
        <v>1.4652656940758899</v>
      </c>
      <c r="AI1419">
        <v>3540</v>
      </c>
      <c r="AJ1419">
        <v>4.9763342848900498</v>
      </c>
      <c r="AK1419">
        <v>58.6</v>
      </c>
      <c r="AL1419">
        <v>0.57162769864017005</v>
      </c>
      <c r="AM1419">
        <v>3.4074084442925701</v>
      </c>
      <c r="AN1419">
        <v>-7</v>
      </c>
      <c r="AO1419" t="b">
        <v>0</v>
      </c>
      <c r="AT1419">
        <v>364</v>
      </c>
      <c r="AU1419">
        <f t="shared" si="68"/>
        <v>0.997</v>
      </c>
    </row>
    <row r="1420" spans="1:47" x14ac:dyDescent="0.3">
      <c r="A1420">
        <v>1418</v>
      </c>
      <c r="B1420" t="s">
        <v>5983</v>
      </c>
      <c r="C1420" t="s">
        <v>5984</v>
      </c>
      <c r="D1420">
        <v>230</v>
      </c>
      <c r="E1420" t="s">
        <v>5985</v>
      </c>
      <c r="F1420" t="str">
        <f>VLOOKUP(E1420,country_continent!A:C,2,FALSE)</f>
        <v>Spain</v>
      </c>
      <c r="G1420" t="str">
        <f>VLOOKUP(E1420,country_continent!A:C,3,FALSE)</f>
        <v>Europe</v>
      </c>
      <c r="H1420" t="s">
        <v>5986</v>
      </c>
      <c r="I1420" t="s">
        <v>5987</v>
      </c>
      <c r="J1420" s="3" t="str">
        <f t="shared" si="66"/>
        <v>1874/12/30</v>
      </c>
      <c r="K1420" t="s">
        <v>5988</v>
      </c>
      <c r="L1420" s="3" t="str">
        <f t="shared" si="67"/>
        <v>1875/09/10</v>
      </c>
      <c r="M1420" t="s">
        <v>49</v>
      </c>
      <c r="N1420" t="s">
        <v>49</v>
      </c>
      <c r="O1420" t="s">
        <v>49</v>
      </c>
      <c r="P1420">
        <v>0</v>
      </c>
      <c r="Q1420" t="s">
        <v>50</v>
      </c>
      <c r="R1420" t="s">
        <v>51</v>
      </c>
      <c r="S1420">
        <v>1828</v>
      </c>
      <c r="T1420">
        <v>1897</v>
      </c>
      <c r="U1420" t="s">
        <v>5989</v>
      </c>
      <c r="V1420" t="s">
        <v>5990</v>
      </c>
      <c r="Y1420" t="s">
        <v>5991</v>
      </c>
      <c r="Z1420">
        <v>0</v>
      </c>
      <c r="AA1420">
        <v>1</v>
      </c>
      <c r="AB1420">
        <v>0</v>
      </c>
      <c r="AC1420">
        <v>0</v>
      </c>
      <c r="AF1420">
        <v>1874</v>
      </c>
      <c r="AG1420">
        <v>1875</v>
      </c>
      <c r="AO1420" t="b">
        <v>1</v>
      </c>
      <c r="AP1420" t="s">
        <v>4202</v>
      </c>
      <c r="AQ1420">
        <v>1816</v>
      </c>
      <c r="AR1420">
        <v>2016</v>
      </c>
      <c r="AS1420" t="s">
        <v>5992</v>
      </c>
      <c r="AT1420">
        <v>0.69541409993155301</v>
      </c>
      <c r="AU1420">
        <f t="shared" si="68"/>
        <v>2E-3</v>
      </c>
    </row>
    <row r="1421" spans="1:47" x14ac:dyDescent="0.3">
      <c r="A1421">
        <v>1419</v>
      </c>
      <c r="B1421" t="s">
        <v>5993</v>
      </c>
      <c r="C1421" t="s">
        <v>5994</v>
      </c>
      <c r="D1421">
        <v>230</v>
      </c>
      <c r="E1421" t="s">
        <v>5985</v>
      </c>
      <c r="F1421" t="str">
        <f>VLOOKUP(E1421,country_continent!A:C,2,FALSE)</f>
        <v>Spain</v>
      </c>
      <c r="G1421" t="str">
        <f>VLOOKUP(E1421,country_continent!A:C,3,FALSE)</f>
        <v>Europe</v>
      </c>
      <c r="H1421" t="s">
        <v>5995</v>
      </c>
      <c r="I1421" t="s">
        <v>5996</v>
      </c>
      <c r="J1421" s="3" t="str">
        <f t="shared" si="66"/>
        <v>1875/09/11</v>
      </c>
      <c r="K1421" t="s">
        <v>5997</v>
      </c>
      <c r="L1421" s="3" t="str">
        <f t="shared" si="67"/>
        <v>1875/12/02</v>
      </c>
      <c r="M1421" t="s">
        <v>49</v>
      </c>
      <c r="N1421" t="s">
        <v>49</v>
      </c>
      <c r="O1421" t="s">
        <v>49</v>
      </c>
      <c r="P1421">
        <v>0</v>
      </c>
      <c r="Q1421" t="s">
        <v>50</v>
      </c>
      <c r="R1421" t="s">
        <v>51</v>
      </c>
      <c r="S1421">
        <v>1819</v>
      </c>
      <c r="T1421">
        <v>1892</v>
      </c>
      <c r="Z1421">
        <v>0</v>
      </c>
      <c r="AA1421">
        <v>1</v>
      </c>
      <c r="AB1421">
        <v>0</v>
      </c>
      <c r="AC1421">
        <v>0</v>
      </c>
      <c r="AF1421">
        <v>1875</v>
      </c>
      <c r="AG1421">
        <v>1875</v>
      </c>
      <c r="AO1421" t="b">
        <v>1</v>
      </c>
      <c r="AP1421" t="s">
        <v>4202</v>
      </c>
      <c r="AQ1421">
        <v>1816</v>
      </c>
      <c r="AR1421">
        <v>2016</v>
      </c>
      <c r="AS1421" t="s">
        <v>5998</v>
      </c>
      <c r="AT1421">
        <v>0.22450376454483201</v>
      </c>
      <c r="AU1421">
        <f t="shared" si="68"/>
        <v>1E-3</v>
      </c>
    </row>
    <row r="1422" spans="1:47" x14ac:dyDescent="0.3">
      <c r="A1422">
        <v>1420</v>
      </c>
      <c r="B1422" t="s">
        <v>5999</v>
      </c>
      <c r="C1422" t="s">
        <v>5984</v>
      </c>
      <c r="D1422">
        <v>230</v>
      </c>
      <c r="E1422" t="s">
        <v>5985</v>
      </c>
      <c r="F1422" t="str">
        <f>VLOOKUP(E1422,country_continent!A:C,2,FALSE)</f>
        <v>Spain</v>
      </c>
      <c r="G1422" t="str">
        <f>VLOOKUP(E1422,country_continent!A:C,3,FALSE)</f>
        <v>Europe</v>
      </c>
      <c r="H1422" t="s">
        <v>5986</v>
      </c>
      <c r="I1422" t="s">
        <v>5997</v>
      </c>
      <c r="J1422" s="3" t="str">
        <f t="shared" si="66"/>
        <v>1875/12/02</v>
      </c>
      <c r="K1422" t="s">
        <v>6000</v>
      </c>
      <c r="L1422" s="3" t="str">
        <f t="shared" si="67"/>
        <v>1879/03/07</v>
      </c>
      <c r="M1422" t="s">
        <v>49</v>
      </c>
      <c r="N1422" t="s">
        <v>49</v>
      </c>
      <c r="O1422" t="s">
        <v>49</v>
      </c>
      <c r="P1422">
        <v>1</v>
      </c>
      <c r="Q1422" t="s">
        <v>50</v>
      </c>
      <c r="R1422" t="s">
        <v>51</v>
      </c>
      <c r="S1422">
        <v>1828</v>
      </c>
      <c r="T1422">
        <v>1897</v>
      </c>
      <c r="U1422" t="s">
        <v>5989</v>
      </c>
      <c r="V1422" t="s">
        <v>5990</v>
      </c>
      <c r="Y1422" t="s">
        <v>5991</v>
      </c>
      <c r="Z1422">
        <v>0</v>
      </c>
      <c r="AA1422">
        <v>1</v>
      </c>
      <c r="AB1422">
        <v>0</v>
      </c>
      <c r="AC1422">
        <v>0</v>
      </c>
      <c r="AF1422">
        <v>1875</v>
      </c>
      <c r="AG1422">
        <v>1879</v>
      </c>
      <c r="AO1422" t="b">
        <v>1</v>
      </c>
      <c r="AP1422" t="s">
        <v>4202</v>
      </c>
      <c r="AQ1422">
        <v>1816</v>
      </c>
      <c r="AR1422">
        <v>2016</v>
      </c>
      <c r="AS1422" t="s">
        <v>6001</v>
      </c>
      <c r="AT1422">
        <v>3.2607802874743301</v>
      </c>
      <c r="AU1422">
        <f t="shared" si="68"/>
        <v>8.9999999999999993E-3</v>
      </c>
    </row>
    <row r="1423" spans="1:47" x14ac:dyDescent="0.3">
      <c r="A1423">
        <v>1421</v>
      </c>
      <c r="B1423" t="s">
        <v>6002</v>
      </c>
      <c r="C1423" t="s">
        <v>6003</v>
      </c>
      <c r="D1423">
        <v>230</v>
      </c>
      <c r="E1423" t="s">
        <v>5985</v>
      </c>
      <c r="F1423" t="str">
        <f>VLOOKUP(E1423,country_continent!A:C,2,FALSE)</f>
        <v>Spain</v>
      </c>
      <c r="G1423" t="str">
        <f>VLOOKUP(E1423,country_continent!A:C,3,FALSE)</f>
        <v>Europe</v>
      </c>
      <c r="H1423" t="s">
        <v>6004</v>
      </c>
      <c r="I1423" t="s">
        <v>6000</v>
      </c>
      <c r="J1423" s="3" t="str">
        <f t="shared" si="66"/>
        <v>1879/03/07</v>
      </c>
      <c r="K1423" t="s">
        <v>6005</v>
      </c>
      <c r="L1423" s="3" t="str">
        <f t="shared" si="67"/>
        <v>1879/12/09</v>
      </c>
      <c r="M1423" t="s">
        <v>49</v>
      </c>
      <c r="N1423" t="s">
        <v>49</v>
      </c>
      <c r="O1423" t="s">
        <v>49</v>
      </c>
      <c r="P1423">
        <v>1</v>
      </c>
      <c r="Q1423" t="s">
        <v>50</v>
      </c>
      <c r="R1423" t="s">
        <v>51</v>
      </c>
      <c r="S1423">
        <v>1831</v>
      </c>
      <c r="T1423">
        <v>1900</v>
      </c>
      <c r="U1423" t="s">
        <v>6006</v>
      </c>
      <c r="V1423" t="s">
        <v>6007</v>
      </c>
      <c r="Z1423">
        <v>0</v>
      </c>
      <c r="AA1423">
        <v>1</v>
      </c>
      <c r="AB1423">
        <v>0</v>
      </c>
      <c r="AC1423">
        <v>0</v>
      </c>
      <c r="AF1423">
        <v>1879</v>
      </c>
      <c r="AG1423">
        <v>1879</v>
      </c>
      <c r="AO1423" t="b">
        <v>1</v>
      </c>
      <c r="AP1423" t="s">
        <v>4202</v>
      </c>
      <c r="AQ1423">
        <v>1816</v>
      </c>
      <c r="AR1423">
        <v>2016</v>
      </c>
      <c r="AS1423" t="s">
        <v>6008</v>
      </c>
      <c r="AT1423">
        <v>0.75838466803559201</v>
      </c>
      <c r="AU1423">
        <f t="shared" si="68"/>
        <v>2E-3</v>
      </c>
    </row>
    <row r="1424" spans="1:47" x14ac:dyDescent="0.3">
      <c r="A1424">
        <v>1422</v>
      </c>
      <c r="B1424" t="s">
        <v>6009</v>
      </c>
      <c r="C1424" t="s">
        <v>5984</v>
      </c>
      <c r="D1424">
        <v>230</v>
      </c>
      <c r="E1424" t="s">
        <v>5985</v>
      </c>
      <c r="F1424" t="str">
        <f>VLOOKUP(E1424,country_continent!A:C,2,FALSE)</f>
        <v>Spain</v>
      </c>
      <c r="G1424" t="str">
        <f>VLOOKUP(E1424,country_continent!A:C,3,FALSE)</f>
        <v>Europe</v>
      </c>
      <c r="H1424" t="s">
        <v>5986</v>
      </c>
      <c r="I1424" t="s">
        <v>6005</v>
      </c>
      <c r="J1424" s="3" t="str">
        <f t="shared" si="66"/>
        <v>1879/12/09</v>
      </c>
      <c r="K1424" t="s">
        <v>6010</v>
      </c>
      <c r="L1424" s="3" t="str">
        <f t="shared" si="67"/>
        <v>1881/02/08</v>
      </c>
      <c r="M1424" t="s">
        <v>49</v>
      </c>
      <c r="N1424" t="s">
        <v>49</v>
      </c>
      <c r="O1424" t="s">
        <v>49</v>
      </c>
      <c r="P1424">
        <v>2</v>
      </c>
      <c r="Q1424" t="s">
        <v>50</v>
      </c>
      <c r="R1424" t="s">
        <v>51</v>
      </c>
      <c r="S1424">
        <v>1828</v>
      </c>
      <c r="T1424">
        <v>1897</v>
      </c>
      <c r="U1424" t="s">
        <v>5989</v>
      </c>
      <c r="V1424" t="s">
        <v>5990</v>
      </c>
      <c r="Y1424" t="s">
        <v>5991</v>
      </c>
      <c r="Z1424">
        <v>0</v>
      </c>
      <c r="AA1424">
        <v>1</v>
      </c>
      <c r="AB1424">
        <v>0</v>
      </c>
      <c r="AC1424">
        <v>0</v>
      </c>
      <c r="AF1424">
        <v>1879</v>
      </c>
      <c r="AG1424">
        <v>1881</v>
      </c>
      <c r="AO1424" t="b">
        <v>1</v>
      </c>
      <c r="AP1424" t="s">
        <v>4202</v>
      </c>
      <c r="AQ1424">
        <v>1816</v>
      </c>
      <c r="AR1424">
        <v>2016</v>
      </c>
      <c r="AS1424" t="s">
        <v>6011</v>
      </c>
      <c r="AT1424">
        <v>1.1690622861054001</v>
      </c>
      <c r="AU1424">
        <f t="shared" si="68"/>
        <v>3.0000000000000001E-3</v>
      </c>
    </row>
    <row r="1425" spans="1:47" x14ac:dyDescent="0.3">
      <c r="A1425">
        <v>1423</v>
      </c>
      <c r="B1425" t="s">
        <v>6012</v>
      </c>
      <c r="C1425" t="s">
        <v>6013</v>
      </c>
      <c r="D1425">
        <v>230</v>
      </c>
      <c r="E1425" t="s">
        <v>5985</v>
      </c>
      <c r="F1425" t="str">
        <f>VLOOKUP(E1425,country_continent!A:C,2,FALSE)</f>
        <v>Spain</v>
      </c>
      <c r="G1425" t="str">
        <f>VLOOKUP(E1425,country_continent!A:C,3,FALSE)</f>
        <v>Europe</v>
      </c>
      <c r="H1425" t="s">
        <v>6014</v>
      </c>
      <c r="I1425" t="s">
        <v>6010</v>
      </c>
      <c r="J1425" s="3" t="str">
        <f t="shared" si="66"/>
        <v>1881/02/08</v>
      </c>
      <c r="K1425" t="s">
        <v>6015</v>
      </c>
      <c r="L1425" s="3" t="str">
        <f t="shared" si="67"/>
        <v>1883/10/13</v>
      </c>
      <c r="M1425" t="s">
        <v>49</v>
      </c>
      <c r="N1425" t="s">
        <v>49</v>
      </c>
      <c r="O1425" t="s">
        <v>49</v>
      </c>
      <c r="P1425">
        <v>2</v>
      </c>
      <c r="Q1425" t="s">
        <v>50</v>
      </c>
      <c r="R1425" t="s">
        <v>51</v>
      </c>
      <c r="S1425">
        <v>1827</v>
      </c>
      <c r="T1425">
        <v>1903</v>
      </c>
      <c r="U1425" t="s">
        <v>6016</v>
      </c>
      <c r="V1425" t="s">
        <v>6017</v>
      </c>
      <c r="Z1425">
        <v>0</v>
      </c>
      <c r="AA1425">
        <v>1</v>
      </c>
      <c r="AB1425">
        <v>0</v>
      </c>
      <c r="AC1425">
        <v>0</v>
      </c>
      <c r="AF1425">
        <v>1881</v>
      </c>
      <c r="AG1425">
        <v>1883</v>
      </c>
      <c r="AO1425" t="b">
        <v>1</v>
      </c>
      <c r="AP1425" t="s">
        <v>4202</v>
      </c>
      <c r="AQ1425">
        <v>1816</v>
      </c>
      <c r="AR1425">
        <v>2016</v>
      </c>
      <c r="AS1425" t="s">
        <v>6018</v>
      </c>
      <c r="AT1425">
        <v>2.6748802190280601</v>
      </c>
      <c r="AU1425">
        <f t="shared" si="68"/>
        <v>7.0000000000000001E-3</v>
      </c>
    </row>
    <row r="1426" spans="1:47" x14ac:dyDescent="0.3">
      <c r="A1426">
        <v>1424</v>
      </c>
      <c r="B1426" t="s">
        <v>6019</v>
      </c>
      <c r="C1426" t="s">
        <v>6020</v>
      </c>
      <c r="D1426">
        <v>230</v>
      </c>
      <c r="E1426" t="s">
        <v>5985</v>
      </c>
      <c r="F1426" t="str">
        <f>VLOOKUP(E1426,country_continent!A:C,2,FALSE)</f>
        <v>Spain</v>
      </c>
      <c r="G1426" t="str">
        <f>VLOOKUP(E1426,country_continent!A:C,3,FALSE)</f>
        <v>Europe</v>
      </c>
      <c r="H1426" t="s">
        <v>6021</v>
      </c>
      <c r="I1426" t="s">
        <v>6015</v>
      </c>
      <c r="J1426" s="3" t="str">
        <f t="shared" si="66"/>
        <v>1883/10/13</v>
      </c>
      <c r="K1426" t="s">
        <v>6022</v>
      </c>
      <c r="L1426" s="3" t="str">
        <f t="shared" si="67"/>
        <v>1884/01/18</v>
      </c>
      <c r="M1426" t="s">
        <v>49</v>
      </c>
      <c r="N1426" t="s">
        <v>49</v>
      </c>
      <c r="O1426" t="s">
        <v>49</v>
      </c>
      <c r="P1426">
        <v>0</v>
      </c>
      <c r="Q1426" t="s">
        <v>50</v>
      </c>
      <c r="R1426" t="s">
        <v>51</v>
      </c>
      <c r="S1426">
        <v>1815</v>
      </c>
      <c r="T1426">
        <v>1885</v>
      </c>
      <c r="Z1426">
        <v>0</v>
      </c>
      <c r="AA1426">
        <v>1</v>
      </c>
      <c r="AB1426">
        <v>0</v>
      </c>
      <c r="AC1426">
        <v>0</v>
      </c>
      <c r="AF1426">
        <v>1883</v>
      </c>
      <c r="AG1426">
        <v>1884</v>
      </c>
      <c r="AO1426" t="b">
        <v>1</v>
      </c>
      <c r="AP1426" t="s">
        <v>4202</v>
      </c>
      <c r="AQ1426">
        <v>1816</v>
      </c>
      <c r="AR1426">
        <v>2016</v>
      </c>
      <c r="AS1426" t="s">
        <v>6023</v>
      </c>
      <c r="AT1426">
        <v>0.26557152635181303</v>
      </c>
      <c r="AU1426">
        <f t="shared" si="68"/>
        <v>1E-3</v>
      </c>
    </row>
    <row r="1427" spans="1:47" x14ac:dyDescent="0.3">
      <c r="A1427">
        <v>1425</v>
      </c>
      <c r="B1427" t="s">
        <v>6024</v>
      </c>
      <c r="C1427" t="s">
        <v>5984</v>
      </c>
      <c r="D1427">
        <v>230</v>
      </c>
      <c r="E1427" t="s">
        <v>5985</v>
      </c>
      <c r="F1427" t="str">
        <f>VLOOKUP(E1427,country_continent!A:C,2,FALSE)</f>
        <v>Spain</v>
      </c>
      <c r="G1427" t="str">
        <f>VLOOKUP(E1427,country_continent!A:C,3,FALSE)</f>
        <v>Europe</v>
      </c>
      <c r="H1427" t="s">
        <v>5986</v>
      </c>
      <c r="I1427" t="s">
        <v>6022</v>
      </c>
      <c r="J1427" s="3" t="str">
        <f t="shared" si="66"/>
        <v>1884/01/18</v>
      </c>
      <c r="K1427" t="s">
        <v>6025</v>
      </c>
      <c r="L1427" s="3" t="str">
        <f t="shared" si="67"/>
        <v>1885/11/27</v>
      </c>
      <c r="M1427" t="s">
        <v>49</v>
      </c>
      <c r="N1427" t="s">
        <v>49</v>
      </c>
      <c r="O1427" t="s">
        <v>49</v>
      </c>
      <c r="P1427">
        <v>3</v>
      </c>
      <c r="Q1427" t="s">
        <v>50</v>
      </c>
      <c r="R1427" t="s">
        <v>51</v>
      </c>
      <c r="S1427">
        <v>1828</v>
      </c>
      <c r="T1427">
        <v>1897</v>
      </c>
      <c r="U1427" t="s">
        <v>5989</v>
      </c>
      <c r="V1427" t="s">
        <v>5990</v>
      </c>
      <c r="Y1427" t="s">
        <v>5991</v>
      </c>
      <c r="Z1427">
        <v>0</v>
      </c>
      <c r="AA1427">
        <v>1</v>
      </c>
      <c r="AB1427">
        <v>0</v>
      </c>
      <c r="AC1427">
        <v>0</v>
      </c>
      <c r="AF1427">
        <v>1884</v>
      </c>
      <c r="AG1427">
        <v>1885</v>
      </c>
      <c r="AO1427" t="b">
        <v>1</v>
      </c>
      <c r="AP1427" t="s">
        <v>4202</v>
      </c>
      <c r="AQ1427">
        <v>1816</v>
      </c>
      <c r="AR1427">
        <v>2016</v>
      </c>
      <c r="AS1427" t="s">
        <v>6026</v>
      </c>
      <c r="AT1427">
        <v>1.8590006844626901</v>
      </c>
      <c r="AU1427">
        <f t="shared" si="68"/>
        <v>5.0000000000000001E-3</v>
      </c>
    </row>
    <row r="1428" spans="1:47" x14ac:dyDescent="0.3">
      <c r="A1428">
        <v>1426</v>
      </c>
      <c r="B1428" t="s">
        <v>6027</v>
      </c>
      <c r="C1428" t="s">
        <v>6013</v>
      </c>
      <c r="D1428">
        <v>230</v>
      </c>
      <c r="E1428" t="s">
        <v>5985</v>
      </c>
      <c r="F1428" t="str">
        <f>VLOOKUP(E1428,country_continent!A:C,2,FALSE)</f>
        <v>Spain</v>
      </c>
      <c r="G1428" t="str">
        <f>VLOOKUP(E1428,country_continent!A:C,3,FALSE)</f>
        <v>Europe</v>
      </c>
      <c r="H1428" t="s">
        <v>6014</v>
      </c>
      <c r="I1428" t="s">
        <v>6025</v>
      </c>
      <c r="J1428" s="3" t="str">
        <f t="shared" si="66"/>
        <v>1885/11/27</v>
      </c>
      <c r="K1428" t="s">
        <v>6028</v>
      </c>
      <c r="L1428" s="3" t="str">
        <f t="shared" si="67"/>
        <v>1890/07/05</v>
      </c>
      <c r="M1428" t="s">
        <v>49</v>
      </c>
      <c r="N1428" t="s">
        <v>49</v>
      </c>
      <c r="O1428" t="s">
        <v>49</v>
      </c>
      <c r="P1428">
        <v>3</v>
      </c>
      <c r="Q1428" t="s">
        <v>50</v>
      </c>
      <c r="R1428" t="s">
        <v>51</v>
      </c>
      <c r="S1428">
        <v>1827</v>
      </c>
      <c r="T1428">
        <v>1903</v>
      </c>
      <c r="U1428" t="s">
        <v>6016</v>
      </c>
      <c r="V1428" t="s">
        <v>6017</v>
      </c>
      <c r="Z1428">
        <v>0</v>
      </c>
      <c r="AA1428">
        <v>1</v>
      </c>
      <c r="AB1428">
        <v>0</v>
      </c>
      <c r="AC1428">
        <v>0</v>
      </c>
      <c r="AF1428">
        <v>1885</v>
      </c>
      <c r="AG1428">
        <v>1890</v>
      </c>
      <c r="AO1428" t="b">
        <v>1</v>
      </c>
      <c r="AP1428" t="s">
        <v>4202</v>
      </c>
      <c r="AQ1428">
        <v>1816</v>
      </c>
      <c r="AR1428">
        <v>2016</v>
      </c>
      <c r="AS1428" t="s">
        <v>6029</v>
      </c>
      <c r="AT1428">
        <v>4.6023271731690603</v>
      </c>
      <c r="AU1428">
        <f t="shared" si="68"/>
        <v>1.2999999999999999E-2</v>
      </c>
    </row>
    <row r="1429" spans="1:47" x14ac:dyDescent="0.3">
      <c r="A1429">
        <v>1427</v>
      </c>
      <c r="B1429" t="s">
        <v>6030</v>
      </c>
      <c r="C1429" t="s">
        <v>5984</v>
      </c>
      <c r="D1429">
        <v>230</v>
      </c>
      <c r="E1429" t="s">
        <v>5985</v>
      </c>
      <c r="F1429" t="str">
        <f>VLOOKUP(E1429,country_continent!A:C,2,FALSE)</f>
        <v>Spain</v>
      </c>
      <c r="G1429" t="str">
        <f>VLOOKUP(E1429,country_continent!A:C,3,FALSE)</f>
        <v>Europe</v>
      </c>
      <c r="H1429" t="s">
        <v>5986</v>
      </c>
      <c r="I1429" t="s">
        <v>6028</v>
      </c>
      <c r="J1429" s="3" t="str">
        <f t="shared" si="66"/>
        <v>1890/07/05</v>
      </c>
      <c r="K1429" t="s">
        <v>6031</v>
      </c>
      <c r="L1429" s="3" t="str">
        <f t="shared" si="67"/>
        <v>1892/12/11</v>
      </c>
      <c r="M1429" t="s">
        <v>49</v>
      </c>
      <c r="N1429" t="s">
        <v>49</v>
      </c>
      <c r="O1429" t="s">
        <v>49</v>
      </c>
      <c r="P1429">
        <v>4</v>
      </c>
      <c r="Q1429" t="s">
        <v>50</v>
      </c>
      <c r="R1429" t="s">
        <v>51</v>
      </c>
      <c r="S1429">
        <v>1828</v>
      </c>
      <c r="T1429">
        <v>1897</v>
      </c>
      <c r="U1429" t="s">
        <v>5989</v>
      </c>
      <c r="V1429" t="s">
        <v>5990</v>
      </c>
      <c r="Y1429" t="s">
        <v>5991</v>
      </c>
      <c r="Z1429">
        <v>0</v>
      </c>
      <c r="AA1429">
        <v>1</v>
      </c>
      <c r="AB1429">
        <v>0</v>
      </c>
      <c r="AC1429">
        <v>0</v>
      </c>
      <c r="AF1429">
        <v>1890</v>
      </c>
      <c r="AG1429">
        <v>1892</v>
      </c>
      <c r="AO1429" t="b">
        <v>1</v>
      </c>
      <c r="AP1429" t="s">
        <v>4202</v>
      </c>
      <c r="AQ1429">
        <v>1816</v>
      </c>
      <c r="AR1429">
        <v>2016</v>
      </c>
      <c r="AS1429" t="s">
        <v>6032</v>
      </c>
      <c r="AT1429">
        <v>2.4366872005475702</v>
      </c>
      <c r="AU1429">
        <f t="shared" si="68"/>
        <v>7.0000000000000001E-3</v>
      </c>
    </row>
    <row r="1430" spans="1:47" x14ac:dyDescent="0.3">
      <c r="A1430">
        <v>1428</v>
      </c>
      <c r="B1430" t="s">
        <v>6033</v>
      </c>
      <c r="C1430" t="s">
        <v>6013</v>
      </c>
      <c r="D1430">
        <v>230</v>
      </c>
      <c r="E1430" t="s">
        <v>5985</v>
      </c>
      <c r="F1430" t="str">
        <f>VLOOKUP(E1430,country_continent!A:C,2,FALSE)</f>
        <v>Spain</v>
      </c>
      <c r="G1430" t="str">
        <f>VLOOKUP(E1430,country_continent!A:C,3,FALSE)</f>
        <v>Europe</v>
      </c>
      <c r="H1430" t="s">
        <v>6014</v>
      </c>
      <c r="I1430" t="s">
        <v>6031</v>
      </c>
      <c r="J1430" s="3" t="str">
        <f t="shared" si="66"/>
        <v>1892/12/11</v>
      </c>
      <c r="K1430" t="s">
        <v>6034</v>
      </c>
      <c r="L1430" s="3" t="str">
        <f t="shared" si="67"/>
        <v>1895/03/23</v>
      </c>
      <c r="M1430" t="s">
        <v>49</v>
      </c>
      <c r="N1430" t="s">
        <v>49</v>
      </c>
      <c r="O1430" t="s">
        <v>49</v>
      </c>
      <c r="P1430">
        <v>4</v>
      </c>
      <c r="Q1430" t="s">
        <v>50</v>
      </c>
      <c r="R1430" t="s">
        <v>51</v>
      </c>
      <c r="S1430">
        <v>1827</v>
      </c>
      <c r="T1430">
        <v>1903</v>
      </c>
      <c r="U1430" t="s">
        <v>6016</v>
      </c>
      <c r="V1430" t="s">
        <v>6017</v>
      </c>
      <c r="Z1430">
        <v>0</v>
      </c>
      <c r="AA1430">
        <v>1</v>
      </c>
      <c r="AB1430">
        <v>0</v>
      </c>
      <c r="AC1430">
        <v>0</v>
      </c>
      <c r="AF1430">
        <v>1892</v>
      </c>
      <c r="AG1430">
        <v>1895</v>
      </c>
      <c r="AO1430" t="b">
        <v>1</v>
      </c>
      <c r="AP1430" t="s">
        <v>4202</v>
      </c>
      <c r="AQ1430">
        <v>1816</v>
      </c>
      <c r="AR1430">
        <v>2016</v>
      </c>
      <c r="AS1430" t="s">
        <v>6035</v>
      </c>
      <c r="AT1430">
        <v>2.2778918548939</v>
      </c>
      <c r="AU1430">
        <f t="shared" si="68"/>
        <v>6.0000000000000001E-3</v>
      </c>
    </row>
    <row r="1431" spans="1:47" x14ac:dyDescent="0.3">
      <c r="A1431">
        <v>1429</v>
      </c>
      <c r="B1431" t="s">
        <v>6036</v>
      </c>
      <c r="C1431" t="s">
        <v>5984</v>
      </c>
      <c r="D1431">
        <v>230</v>
      </c>
      <c r="E1431" t="s">
        <v>5985</v>
      </c>
      <c r="F1431" t="str">
        <f>VLOOKUP(E1431,country_continent!A:C,2,FALSE)</f>
        <v>Spain</v>
      </c>
      <c r="G1431" t="str">
        <f>VLOOKUP(E1431,country_continent!A:C,3,FALSE)</f>
        <v>Europe</v>
      </c>
      <c r="H1431" t="s">
        <v>5986</v>
      </c>
      <c r="I1431" t="s">
        <v>6034</v>
      </c>
      <c r="J1431" s="3" t="str">
        <f t="shared" si="66"/>
        <v>1895/03/23</v>
      </c>
      <c r="K1431" t="s">
        <v>6037</v>
      </c>
      <c r="L1431" s="3" t="str">
        <f t="shared" si="67"/>
        <v>1897/08/08</v>
      </c>
      <c r="M1431" t="s">
        <v>49</v>
      </c>
      <c r="N1431" t="s">
        <v>67</v>
      </c>
      <c r="O1431" t="s">
        <v>347</v>
      </c>
      <c r="P1431">
        <v>5</v>
      </c>
      <c r="Q1431" t="s">
        <v>69</v>
      </c>
      <c r="R1431" t="s">
        <v>51</v>
      </c>
      <c r="S1431">
        <v>1828</v>
      </c>
      <c r="T1431">
        <v>1897</v>
      </c>
      <c r="U1431" t="s">
        <v>5989</v>
      </c>
      <c r="V1431" t="s">
        <v>5990</v>
      </c>
      <c r="Y1431" t="s">
        <v>5991</v>
      </c>
      <c r="Z1431">
        <v>0</v>
      </c>
      <c r="AA1431">
        <v>3</v>
      </c>
      <c r="AB1431">
        <v>-999</v>
      </c>
      <c r="AC1431">
        <v>3</v>
      </c>
      <c r="AF1431">
        <v>1895</v>
      </c>
      <c r="AG1431">
        <v>1897</v>
      </c>
      <c r="AO1431" t="b">
        <v>1</v>
      </c>
      <c r="AP1431" t="s">
        <v>4202</v>
      </c>
      <c r="AQ1431">
        <v>1816</v>
      </c>
      <c r="AR1431">
        <v>2016</v>
      </c>
      <c r="AS1431" t="s">
        <v>6038</v>
      </c>
      <c r="AT1431">
        <v>2.3791923340177901</v>
      </c>
      <c r="AU1431">
        <f t="shared" si="68"/>
        <v>7.0000000000000001E-3</v>
      </c>
    </row>
    <row r="1432" spans="1:47" x14ac:dyDescent="0.3">
      <c r="A1432">
        <v>1430</v>
      </c>
      <c r="B1432" t="s">
        <v>6039</v>
      </c>
      <c r="C1432" t="s">
        <v>6040</v>
      </c>
      <c r="D1432">
        <v>230</v>
      </c>
      <c r="E1432" t="s">
        <v>5985</v>
      </c>
      <c r="F1432" t="str">
        <f>VLOOKUP(E1432,country_continent!A:C,2,FALSE)</f>
        <v>Spain</v>
      </c>
      <c r="G1432" t="str">
        <f>VLOOKUP(E1432,country_continent!A:C,3,FALSE)</f>
        <v>Europe</v>
      </c>
      <c r="H1432" t="s">
        <v>6041</v>
      </c>
      <c r="I1432" t="s">
        <v>6037</v>
      </c>
      <c r="J1432" s="3" t="str">
        <f t="shared" si="66"/>
        <v>1897/08/08</v>
      </c>
      <c r="K1432" t="s">
        <v>6042</v>
      </c>
      <c r="L1432" s="3" t="str">
        <f t="shared" si="67"/>
        <v>1897/10/04</v>
      </c>
      <c r="M1432" t="s">
        <v>49</v>
      </c>
      <c r="N1432" t="s">
        <v>49</v>
      </c>
      <c r="O1432" t="s">
        <v>49</v>
      </c>
      <c r="P1432">
        <v>0</v>
      </c>
      <c r="Q1432" t="s">
        <v>50</v>
      </c>
      <c r="R1432" t="s">
        <v>51</v>
      </c>
      <c r="S1432">
        <v>1832</v>
      </c>
      <c r="T1432">
        <v>1915</v>
      </c>
      <c r="U1432" t="s">
        <v>6043</v>
      </c>
      <c r="V1432" t="s">
        <v>6044</v>
      </c>
      <c r="Z1432">
        <v>0</v>
      </c>
      <c r="AA1432">
        <v>1</v>
      </c>
      <c r="AB1432">
        <v>0</v>
      </c>
      <c r="AC1432">
        <v>0</v>
      </c>
      <c r="AF1432">
        <v>1897</v>
      </c>
      <c r="AG1432">
        <v>1897</v>
      </c>
      <c r="AO1432" t="b">
        <v>1</v>
      </c>
      <c r="AP1432" t="s">
        <v>4202</v>
      </c>
      <c r="AQ1432">
        <v>1816</v>
      </c>
      <c r="AR1432">
        <v>2016</v>
      </c>
      <c r="AS1432" t="s">
        <v>6045</v>
      </c>
      <c r="AT1432">
        <v>0.15605749486652901</v>
      </c>
      <c r="AU1432">
        <f t="shared" si="68"/>
        <v>0</v>
      </c>
    </row>
    <row r="1433" spans="1:47" x14ac:dyDescent="0.3">
      <c r="A1433">
        <v>1431</v>
      </c>
      <c r="B1433" t="s">
        <v>6046</v>
      </c>
      <c r="C1433" t="s">
        <v>6013</v>
      </c>
      <c r="D1433">
        <v>230</v>
      </c>
      <c r="E1433" t="s">
        <v>5985</v>
      </c>
      <c r="F1433" t="str">
        <f>VLOOKUP(E1433,country_continent!A:C,2,FALSE)</f>
        <v>Spain</v>
      </c>
      <c r="G1433" t="str">
        <f>VLOOKUP(E1433,country_continent!A:C,3,FALSE)</f>
        <v>Europe</v>
      </c>
      <c r="H1433" t="s">
        <v>6014</v>
      </c>
      <c r="I1433" t="s">
        <v>6042</v>
      </c>
      <c r="J1433" s="3" t="str">
        <f t="shared" si="66"/>
        <v>1897/10/04</v>
      </c>
      <c r="K1433" t="s">
        <v>6047</v>
      </c>
      <c r="L1433" s="3" t="str">
        <f t="shared" si="67"/>
        <v>1899/03/05</v>
      </c>
      <c r="M1433" t="s">
        <v>49</v>
      </c>
      <c r="N1433" t="s">
        <v>49</v>
      </c>
      <c r="O1433" t="s">
        <v>49</v>
      </c>
      <c r="P1433">
        <v>5</v>
      </c>
      <c r="Q1433" t="s">
        <v>50</v>
      </c>
      <c r="R1433" t="s">
        <v>51</v>
      </c>
      <c r="S1433">
        <v>1827</v>
      </c>
      <c r="T1433">
        <v>1903</v>
      </c>
      <c r="U1433" t="s">
        <v>6016</v>
      </c>
      <c r="V1433" t="s">
        <v>6017</v>
      </c>
      <c r="Z1433">
        <v>0</v>
      </c>
      <c r="AA1433">
        <v>1</v>
      </c>
      <c r="AB1433">
        <v>0</v>
      </c>
      <c r="AC1433">
        <v>0</v>
      </c>
      <c r="AF1433">
        <v>1897</v>
      </c>
      <c r="AG1433">
        <v>1899</v>
      </c>
      <c r="AO1433" t="b">
        <v>1</v>
      </c>
      <c r="AP1433" t="s">
        <v>4202</v>
      </c>
      <c r="AQ1433">
        <v>1816</v>
      </c>
      <c r="AR1433">
        <v>2016</v>
      </c>
      <c r="AS1433" t="s">
        <v>6048</v>
      </c>
      <c r="AT1433">
        <v>1.41546885694729</v>
      </c>
      <c r="AU1433">
        <f t="shared" si="68"/>
        <v>4.0000000000000001E-3</v>
      </c>
    </row>
    <row r="1434" spans="1:47" x14ac:dyDescent="0.3">
      <c r="A1434">
        <v>1432</v>
      </c>
      <c r="B1434" t="s">
        <v>6049</v>
      </c>
      <c r="C1434" t="s">
        <v>6050</v>
      </c>
      <c r="D1434">
        <v>230</v>
      </c>
      <c r="E1434" t="s">
        <v>5985</v>
      </c>
      <c r="F1434" t="str">
        <f>VLOOKUP(E1434,country_continent!A:C,2,FALSE)</f>
        <v>Spain</v>
      </c>
      <c r="G1434" t="str">
        <f>VLOOKUP(E1434,country_continent!A:C,3,FALSE)</f>
        <v>Europe</v>
      </c>
      <c r="H1434" t="s">
        <v>6051</v>
      </c>
      <c r="I1434" t="s">
        <v>6047</v>
      </c>
      <c r="J1434" s="3" t="str">
        <f t="shared" si="66"/>
        <v>1899/03/05</v>
      </c>
      <c r="K1434" s="1">
        <v>296</v>
      </c>
      <c r="L1434" s="3">
        <f t="shared" si="67"/>
        <v>296</v>
      </c>
      <c r="M1434" t="s">
        <v>49</v>
      </c>
      <c r="N1434" t="s">
        <v>49</v>
      </c>
      <c r="O1434" t="s">
        <v>49</v>
      </c>
      <c r="P1434">
        <v>0</v>
      </c>
      <c r="Q1434" t="s">
        <v>50</v>
      </c>
      <c r="R1434" t="s">
        <v>51</v>
      </c>
      <c r="S1434">
        <v>1843</v>
      </c>
      <c r="T1434">
        <v>1905</v>
      </c>
      <c r="U1434" t="s">
        <v>6052</v>
      </c>
      <c r="V1434" t="s">
        <v>6053</v>
      </c>
      <c r="Z1434">
        <v>0</v>
      </c>
      <c r="AA1434">
        <v>1</v>
      </c>
      <c r="AB1434">
        <v>0</v>
      </c>
      <c r="AC1434">
        <v>0</v>
      </c>
      <c r="AF1434">
        <v>1899</v>
      </c>
      <c r="AG1434">
        <v>1900</v>
      </c>
      <c r="AO1434" t="b">
        <v>1</v>
      </c>
      <c r="AP1434" t="s">
        <v>4202</v>
      </c>
      <c r="AQ1434">
        <v>1816</v>
      </c>
      <c r="AR1434">
        <v>2016</v>
      </c>
      <c r="AS1434" t="s">
        <v>6054</v>
      </c>
      <c r="AT1434">
        <v>1.63175906913073</v>
      </c>
      <c r="AU1434">
        <f t="shared" si="68"/>
        <v>4.0000000000000001E-3</v>
      </c>
    </row>
    <row r="1435" spans="1:47" x14ac:dyDescent="0.3">
      <c r="A1435">
        <v>1433</v>
      </c>
      <c r="B1435" t="s">
        <v>6055</v>
      </c>
      <c r="C1435" t="s">
        <v>6040</v>
      </c>
      <c r="D1435">
        <v>230</v>
      </c>
      <c r="E1435" t="s">
        <v>5985</v>
      </c>
      <c r="F1435" t="str">
        <f>VLOOKUP(E1435,country_continent!A:C,2,FALSE)</f>
        <v>Spain</v>
      </c>
      <c r="G1435" t="str">
        <f>VLOOKUP(E1435,country_continent!A:C,3,FALSE)</f>
        <v>Europe</v>
      </c>
      <c r="H1435" t="s">
        <v>6041</v>
      </c>
      <c r="I1435" s="1">
        <v>296</v>
      </c>
      <c r="J1435" s="3">
        <f t="shared" si="66"/>
        <v>296</v>
      </c>
      <c r="K1435" s="1">
        <v>423</v>
      </c>
      <c r="L1435" s="3">
        <f t="shared" si="67"/>
        <v>423</v>
      </c>
      <c r="M1435" t="s">
        <v>49</v>
      </c>
      <c r="N1435" t="s">
        <v>49</v>
      </c>
      <c r="O1435" t="s">
        <v>49</v>
      </c>
      <c r="P1435">
        <v>1</v>
      </c>
      <c r="Q1435" t="s">
        <v>50</v>
      </c>
      <c r="R1435" t="s">
        <v>51</v>
      </c>
      <c r="S1435">
        <v>1832</v>
      </c>
      <c r="T1435">
        <v>1915</v>
      </c>
      <c r="U1435" t="s">
        <v>6043</v>
      </c>
      <c r="V1435" t="s">
        <v>6044</v>
      </c>
      <c r="Z1435">
        <v>0</v>
      </c>
      <c r="AA1435">
        <v>1</v>
      </c>
      <c r="AB1435">
        <v>0</v>
      </c>
      <c r="AC1435">
        <v>0</v>
      </c>
      <c r="AF1435">
        <v>1900</v>
      </c>
      <c r="AG1435">
        <v>1901</v>
      </c>
      <c r="AO1435" t="b">
        <v>1</v>
      </c>
      <c r="AP1435" t="s">
        <v>4202</v>
      </c>
      <c r="AQ1435">
        <v>1816</v>
      </c>
      <c r="AR1435">
        <v>2016</v>
      </c>
      <c r="AS1435" t="s">
        <v>6056</v>
      </c>
      <c r="AT1435">
        <v>0.347707049965776</v>
      </c>
      <c r="AU1435">
        <f t="shared" si="68"/>
        <v>1E-3</v>
      </c>
    </row>
    <row r="1436" spans="1:47" x14ac:dyDescent="0.3">
      <c r="A1436">
        <v>1434</v>
      </c>
      <c r="B1436" t="s">
        <v>6057</v>
      </c>
      <c r="C1436" t="s">
        <v>6013</v>
      </c>
      <c r="D1436">
        <v>230</v>
      </c>
      <c r="E1436" t="s">
        <v>5985</v>
      </c>
      <c r="F1436" t="str">
        <f>VLOOKUP(E1436,country_continent!A:C,2,FALSE)</f>
        <v>Spain</v>
      </c>
      <c r="G1436" t="str">
        <f>VLOOKUP(E1436,country_continent!A:C,3,FALSE)</f>
        <v>Europe</v>
      </c>
      <c r="H1436" t="s">
        <v>6014</v>
      </c>
      <c r="I1436" s="1">
        <v>423</v>
      </c>
      <c r="J1436" s="3">
        <f t="shared" si="66"/>
        <v>423</v>
      </c>
      <c r="K1436" s="1">
        <v>1071</v>
      </c>
      <c r="L1436" s="3">
        <f t="shared" si="67"/>
        <v>1071</v>
      </c>
      <c r="M1436" t="s">
        <v>49</v>
      </c>
      <c r="N1436" t="s">
        <v>49</v>
      </c>
      <c r="O1436" t="s">
        <v>49</v>
      </c>
      <c r="P1436">
        <v>6</v>
      </c>
      <c r="Q1436" t="s">
        <v>50</v>
      </c>
      <c r="R1436" t="s">
        <v>51</v>
      </c>
      <c r="S1436">
        <v>1827</v>
      </c>
      <c r="T1436">
        <v>1903</v>
      </c>
      <c r="U1436" t="s">
        <v>6016</v>
      </c>
      <c r="V1436" t="s">
        <v>6017</v>
      </c>
      <c r="Z1436">
        <v>0</v>
      </c>
      <c r="AA1436">
        <v>1</v>
      </c>
      <c r="AB1436">
        <v>0</v>
      </c>
      <c r="AC1436">
        <v>0</v>
      </c>
      <c r="AF1436">
        <v>1901</v>
      </c>
      <c r="AG1436">
        <v>1902</v>
      </c>
      <c r="AO1436" t="b">
        <v>1</v>
      </c>
      <c r="AP1436" t="s">
        <v>4202</v>
      </c>
      <c r="AQ1436">
        <v>1816</v>
      </c>
      <c r="AR1436">
        <v>2016</v>
      </c>
      <c r="AS1436" t="s">
        <v>6058</v>
      </c>
      <c r="AT1436">
        <v>1.7741273100616</v>
      </c>
      <c r="AU1436">
        <f t="shared" si="68"/>
        <v>5.0000000000000001E-3</v>
      </c>
    </row>
    <row r="1437" spans="1:47" x14ac:dyDescent="0.3">
      <c r="A1437">
        <v>1435</v>
      </c>
      <c r="B1437" t="s">
        <v>6059</v>
      </c>
      <c r="C1437" t="s">
        <v>6050</v>
      </c>
      <c r="D1437">
        <v>230</v>
      </c>
      <c r="E1437" t="s">
        <v>5985</v>
      </c>
      <c r="F1437" t="str">
        <f>VLOOKUP(E1437,country_continent!A:C,2,FALSE)</f>
        <v>Spain</v>
      </c>
      <c r="G1437" t="str">
        <f>VLOOKUP(E1437,country_continent!A:C,3,FALSE)</f>
        <v>Europe</v>
      </c>
      <c r="H1437" t="s">
        <v>6051</v>
      </c>
      <c r="I1437" s="1">
        <v>1071</v>
      </c>
      <c r="J1437" s="3">
        <f t="shared" si="66"/>
        <v>1071</v>
      </c>
      <c r="K1437" s="1">
        <v>1297</v>
      </c>
      <c r="L1437" s="3">
        <f t="shared" si="67"/>
        <v>1297</v>
      </c>
      <c r="M1437" t="s">
        <v>49</v>
      </c>
      <c r="N1437" t="s">
        <v>49</v>
      </c>
      <c r="O1437" t="s">
        <v>49</v>
      </c>
      <c r="P1437">
        <v>1</v>
      </c>
      <c r="Q1437" t="s">
        <v>50</v>
      </c>
      <c r="R1437" t="s">
        <v>51</v>
      </c>
      <c r="S1437">
        <v>1843</v>
      </c>
      <c r="T1437">
        <v>1905</v>
      </c>
      <c r="U1437" t="s">
        <v>6052</v>
      </c>
      <c r="V1437" t="s">
        <v>6053</v>
      </c>
      <c r="Z1437">
        <v>0</v>
      </c>
      <c r="AA1437">
        <v>1</v>
      </c>
      <c r="AB1437">
        <v>0</v>
      </c>
      <c r="AC1437">
        <v>0</v>
      </c>
      <c r="AF1437">
        <v>1902</v>
      </c>
      <c r="AG1437">
        <v>1903</v>
      </c>
      <c r="AO1437" t="b">
        <v>1</v>
      </c>
      <c r="AP1437" t="s">
        <v>4202</v>
      </c>
      <c r="AQ1437">
        <v>1816</v>
      </c>
      <c r="AR1437">
        <v>2016</v>
      </c>
      <c r="AS1437" t="s">
        <v>6060</v>
      </c>
      <c r="AT1437">
        <v>0.618754277891854</v>
      </c>
      <c r="AU1437">
        <f t="shared" si="68"/>
        <v>2E-3</v>
      </c>
    </row>
    <row r="1438" spans="1:47" x14ac:dyDescent="0.3">
      <c r="A1438">
        <v>1436</v>
      </c>
      <c r="B1438" t="s">
        <v>6061</v>
      </c>
      <c r="C1438" t="s">
        <v>6062</v>
      </c>
      <c r="D1438">
        <v>230</v>
      </c>
      <c r="E1438" t="s">
        <v>5985</v>
      </c>
      <c r="F1438" t="str">
        <f>VLOOKUP(E1438,country_continent!A:C,2,FALSE)</f>
        <v>Spain</v>
      </c>
      <c r="G1438" t="str">
        <f>VLOOKUP(E1438,country_continent!A:C,3,FALSE)</f>
        <v>Europe</v>
      </c>
      <c r="H1438" t="s">
        <v>6063</v>
      </c>
      <c r="I1438" s="1">
        <v>1297</v>
      </c>
      <c r="J1438" s="3">
        <f t="shared" si="66"/>
        <v>1297</v>
      </c>
      <c r="K1438" s="1">
        <v>1436</v>
      </c>
      <c r="L1438" s="3">
        <f t="shared" si="67"/>
        <v>1436</v>
      </c>
      <c r="M1438" t="s">
        <v>49</v>
      </c>
      <c r="N1438" t="s">
        <v>49</v>
      </c>
      <c r="O1438" t="s">
        <v>49</v>
      </c>
      <c r="P1438">
        <v>0</v>
      </c>
      <c r="Q1438" t="s">
        <v>50</v>
      </c>
      <c r="R1438" t="s">
        <v>51</v>
      </c>
      <c r="S1438">
        <v>1848</v>
      </c>
      <c r="T1438">
        <v>1905</v>
      </c>
      <c r="U1438" t="s">
        <v>6064</v>
      </c>
      <c r="V1438" t="s">
        <v>6065</v>
      </c>
      <c r="Z1438">
        <v>0</v>
      </c>
      <c r="AA1438">
        <v>1</v>
      </c>
      <c r="AB1438">
        <v>0</v>
      </c>
      <c r="AC1438">
        <v>0</v>
      </c>
      <c r="AF1438">
        <v>1903</v>
      </c>
      <c r="AG1438">
        <v>1903</v>
      </c>
      <c r="AO1438" t="b">
        <v>1</v>
      </c>
      <c r="AP1438" t="s">
        <v>4202</v>
      </c>
      <c r="AQ1438">
        <v>1816</v>
      </c>
      <c r="AR1438">
        <v>2016</v>
      </c>
      <c r="AS1438" t="s">
        <v>6066</v>
      </c>
      <c r="AT1438">
        <v>0.38056125941136199</v>
      </c>
      <c r="AU1438">
        <f t="shared" si="68"/>
        <v>1E-3</v>
      </c>
    </row>
    <row r="1439" spans="1:47" x14ac:dyDescent="0.3">
      <c r="A1439">
        <v>1437</v>
      </c>
      <c r="B1439" t="s">
        <v>6067</v>
      </c>
      <c r="C1439" t="s">
        <v>6068</v>
      </c>
      <c r="D1439">
        <v>230</v>
      </c>
      <c r="E1439" t="s">
        <v>5985</v>
      </c>
      <c r="F1439" t="str">
        <f>VLOOKUP(E1439,country_continent!A:C,2,FALSE)</f>
        <v>Spain</v>
      </c>
      <c r="G1439" t="str">
        <f>VLOOKUP(E1439,country_continent!A:C,3,FALSE)</f>
        <v>Europe</v>
      </c>
      <c r="H1439" t="s">
        <v>6069</v>
      </c>
      <c r="I1439" s="1">
        <v>1436</v>
      </c>
      <c r="J1439" s="3">
        <f t="shared" si="66"/>
        <v>1436</v>
      </c>
      <c r="K1439" s="1">
        <v>1812</v>
      </c>
      <c r="L1439" s="3">
        <f t="shared" si="67"/>
        <v>1812</v>
      </c>
      <c r="M1439" t="s">
        <v>49</v>
      </c>
      <c r="N1439" t="s">
        <v>49</v>
      </c>
      <c r="O1439" t="s">
        <v>49</v>
      </c>
      <c r="P1439">
        <v>0</v>
      </c>
      <c r="Q1439" t="s">
        <v>50</v>
      </c>
      <c r="R1439" t="s">
        <v>51</v>
      </c>
      <c r="S1439">
        <v>1853</v>
      </c>
      <c r="T1439">
        <v>1925</v>
      </c>
      <c r="U1439" t="s">
        <v>6070</v>
      </c>
      <c r="V1439" t="s">
        <v>6071</v>
      </c>
      <c r="Z1439">
        <v>0</v>
      </c>
      <c r="AA1439">
        <v>1</v>
      </c>
      <c r="AB1439">
        <v>0</v>
      </c>
      <c r="AC1439">
        <v>0</v>
      </c>
      <c r="AF1439">
        <v>1903</v>
      </c>
      <c r="AG1439">
        <v>1904</v>
      </c>
      <c r="AO1439" t="b">
        <v>1</v>
      </c>
      <c r="AP1439" t="s">
        <v>4202</v>
      </c>
      <c r="AQ1439">
        <v>1816</v>
      </c>
      <c r="AR1439">
        <v>2016</v>
      </c>
      <c r="AS1439" t="s">
        <v>6072</v>
      </c>
      <c r="AT1439">
        <v>1.02943189596167</v>
      </c>
      <c r="AU1439">
        <f t="shared" si="68"/>
        <v>3.0000000000000001E-3</v>
      </c>
    </row>
    <row r="1440" spans="1:47" x14ac:dyDescent="0.3">
      <c r="A1440">
        <v>1438</v>
      </c>
      <c r="B1440" t="s">
        <v>6073</v>
      </c>
      <c r="C1440" t="s">
        <v>6040</v>
      </c>
      <c r="D1440">
        <v>230</v>
      </c>
      <c r="E1440" t="s">
        <v>5985</v>
      </c>
      <c r="F1440" t="str">
        <f>VLOOKUP(E1440,country_continent!A:C,2,FALSE)</f>
        <v>Spain</v>
      </c>
      <c r="G1440" t="str">
        <f>VLOOKUP(E1440,country_continent!A:C,3,FALSE)</f>
        <v>Europe</v>
      </c>
      <c r="H1440" t="s">
        <v>6041</v>
      </c>
      <c r="I1440" s="1">
        <v>1812</v>
      </c>
      <c r="J1440" s="3">
        <f t="shared" si="66"/>
        <v>1812</v>
      </c>
      <c r="K1440" s="1">
        <v>1854</v>
      </c>
      <c r="L1440" s="3">
        <f t="shared" si="67"/>
        <v>1854</v>
      </c>
      <c r="M1440" t="s">
        <v>49</v>
      </c>
      <c r="N1440" t="s">
        <v>49</v>
      </c>
      <c r="O1440" t="s">
        <v>49</v>
      </c>
      <c r="P1440">
        <v>2</v>
      </c>
      <c r="Q1440" t="s">
        <v>50</v>
      </c>
      <c r="R1440" t="s">
        <v>51</v>
      </c>
      <c r="S1440">
        <v>1832</v>
      </c>
      <c r="T1440">
        <v>1915</v>
      </c>
      <c r="U1440" t="s">
        <v>6043</v>
      </c>
      <c r="V1440" t="s">
        <v>6044</v>
      </c>
      <c r="Z1440">
        <v>0</v>
      </c>
      <c r="AA1440">
        <v>1</v>
      </c>
      <c r="AB1440">
        <v>0</v>
      </c>
      <c r="AC1440">
        <v>0</v>
      </c>
      <c r="AF1440">
        <v>1904</v>
      </c>
      <c r="AG1440">
        <v>1905</v>
      </c>
      <c r="AO1440" t="b">
        <v>1</v>
      </c>
      <c r="AP1440" t="s">
        <v>4202</v>
      </c>
      <c r="AQ1440">
        <v>1816</v>
      </c>
      <c r="AR1440">
        <v>2016</v>
      </c>
      <c r="AS1440" t="s">
        <v>6074</v>
      </c>
      <c r="AT1440">
        <v>0.114989733059548</v>
      </c>
      <c r="AU1440">
        <f t="shared" si="68"/>
        <v>0</v>
      </c>
    </row>
    <row r="1441" spans="1:47" x14ac:dyDescent="0.3">
      <c r="A1441">
        <v>1439</v>
      </c>
      <c r="B1441" t="s">
        <v>6075</v>
      </c>
      <c r="C1441" t="s">
        <v>6062</v>
      </c>
      <c r="D1441">
        <v>230</v>
      </c>
      <c r="E1441" t="s">
        <v>5985</v>
      </c>
      <c r="F1441" t="str">
        <f>VLOOKUP(E1441,country_continent!A:C,2,FALSE)</f>
        <v>Spain</v>
      </c>
      <c r="G1441" t="str">
        <f>VLOOKUP(E1441,country_continent!A:C,3,FALSE)</f>
        <v>Europe</v>
      </c>
      <c r="H1441" t="s">
        <v>6063</v>
      </c>
      <c r="I1441" s="1">
        <v>1854</v>
      </c>
      <c r="J1441" s="3">
        <f t="shared" si="66"/>
        <v>1854</v>
      </c>
      <c r="K1441" s="1">
        <v>2001</v>
      </c>
      <c r="L1441" s="3">
        <f t="shared" si="67"/>
        <v>2001</v>
      </c>
      <c r="M1441" t="s">
        <v>49</v>
      </c>
      <c r="N1441" t="s">
        <v>49</v>
      </c>
      <c r="O1441" t="s">
        <v>49</v>
      </c>
      <c r="P1441">
        <v>1</v>
      </c>
      <c r="Q1441" t="s">
        <v>50</v>
      </c>
      <c r="R1441" t="s">
        <v>51</v>
      </c>
      <c r="S1441">
        <v>1848</v>
      </c>
      <c r="T1441">
        <v>1905</v>
      </c>
      <c r="U1441" t="s">
        <v>6064</v>
      </c>
      <c r="V1441" t="s">
        <v>6065</v>
      </c>
      <c r="Z1441">
        <v>0</v>
      </c>
      <c r="AA1441">
        <v>1</v>
      </c>
      <c r="AB1441">
        <v>0</v>
      </c>
      <c r="AC1441">
        <v>0</v>
      </c>
      <c r="AF1441">
        <v>1905</v>
      </c>
      <c r="AG1441">
        <v>1905</v>
      </c>
      <c r="AO1441" t="b">
        <v>1</v>
      </c>
      <c r="AP1441" t="s">
        <v>4202</v>
      </c>
      <c r="AQ1441">
        <v>1816</v>
      </c>
      <c r="AR1441">
        <v>2016</v>
      </c>
      <c r="AS1441" t="s">
        <v>6076</v>
      </c>
      <c r="AT1441">
        <v>0.40246406570841797</v>
      </c>
      <c r="AU1441">
        <f t="shared" si="68"/>
        <v>1E-3</v>
      </c>
    </row>
    <row r="1442" spans="1:47" x14ac:dyDescent="0.3">
      <c r="A1442">
        <v>1440</v>
      </c>
      <c r="B1442" t="s">
        <v>6077</v>
      </c>
      <c r="C1442" t="s">
        <v>6078</v>
      </c>
      <c r="D1442">
        <v>230</v>
      </c>
      <c r="E1442" t="s">
        <v>5985</v>
      </c>
      <c r="F1442" t="str">
        <f>VLOOKUP(E1442,country_continent!A:C,2,FALSE)</f>
        <v>Spain</v>
      </c>
      <c r="G1442" t="str">
        <f>VLOOKUP(E1442,country_continent!A:C,3,FALSE)</f>
        <v>Europe</v>
      </c>
      <c r="H1442" t="s">
        <v>6079</v>
      </c>
      <c r="I1442" s="1">
        <v>2001</v>
      </c>
      <c r="J1442" s="3">
        <f t="shared" si="66"/>
        <v>2001</v>
      </c>
      <c r="K1442" s="1">
        <v>2162</v>
      </c>
      <c r="L1442" s="3">
        <f t="shared" si="67"/>
        <v>2162</v>
      </c>
      <c r="M1442" t="s">
        <v>49</v>
      </c>
      <c r="N1442" t="s">
        <v>49</v>
      </c>
      <c r="O1442" t="s">
        <v>49</v>
      </c>
      <c r="P1442">
        <v>0</v>
      </c>
      <c r="Q1442" t="s">
        <v>50</v>
      </c>
      <c r="R1442" t="s">
        <v>51</v>
      </c>
      <c r="S1442">
        <v>1832</v>
      </c>
      <c r="T1442">
        <v>1914</v>
      </c>
      <c r="U1442" t="s">
        <v>6080</v>
      </c>
      <c r="V1442" t="s">
        <v>6081</v>
      </c>
      <c r="Z1442">
        <v>0</v>
      </c>
      <c r="AA1442">
        <v>1</v>
      </c>
      <c r="AB1442">
        <v>0</v>
      </c>
      <c r="AC1442">
        <v>0</v>
      </c>
      <c r="AF1442">
        <v>1905</v>
      </c>
      <c r="AG1442">
        <v>1905</v>
      </c>
      <c r="AO1442" t="b">
        <v>1</v>
      </c>
      <c r="AP1442" t="s">
        <v>4202</v>
      </c>
      <c r="AQ1442">
        <v>1816</v>
      </c>
      <c r="AR1442">
        <v>2016</v>
      </c>
      <c r="AS1442" t="s">
        <v>6082</v>
      </c>
      <c r="AT1442">
        <v>0.44079397672826798</v>
      </c>
      <c r="AU1442">
        <f t="shared" si="68"/>
        <v>1E-3</v>
      </c>
    </row>
    <row r="1443" spans="1:47" x14ac:dyDescent="0.3">
      <c r="A1443">
        <v>1441</v>
      </c>
      <c r="B1443" t="s">
        <v>6083</v>
      </c>
      <c r="C1443" t="s">
        <v>6084</v>
      </c>
      <c r="D1443">
        <v>230</v>
      </c>
      <c r="E1443" t="s">
        <v>5985</v>
      </c>
      <c r="F1443" t="str">
        <f>VLOOKUP(E1443,country_continent!A:C,2,FALSE)</f>
        <v>Spain</v>
      </c>
      <c r="G1443" t="str">
        <f>VLOOKUP(E1443,country_continent!A:C,3,FALSE)</f>
        <v>Europe</v>
      </c>
      <c r="H1443" t="s">
        <v>6085</v>
      </c>
      <c r="I1443" s="1">
        <v>2162</v>
      </c>
      <c r="J1443" s="3">
        <f t="shared" si="66"/>
        <v>2162</v>
      </c>
      <c r="K1443" s="1">
        <v>2378</v>
      </c>
      <c r="L1443" s="3">
        <f t="shared" si="67"/>
        <v>2378</v>
      </c>
      <c r="M1443" t="s">
        <v>49</v>
      </c>
      <c r="N1443" t="s">
        <v>49</v>
      </c>
      <c r="O1443" t="s">
        <v>49</v>
      </c>
      <c r="P1443">
        <v>0</v>
      </c>
      <c r="Q1443" t="s">
        <v>50</v>
      </c>
      <c r="R1443" t="s">
        <v>51</v>
      </c>
      <c r="S1443">
        <v>1838</v>
      </c>
      <c r="T1443">
        <v>1913</v>
      </c>
      <c r="U1443" t="s">
        <v>6086</v>
      </c>
      <c r="V1443" t="s">
        <v>6087</v>
      </c>
      <c r="Z1443">
        <v>0</v>
      </c>
      <c r="AA1443">
        <v>1</v>
      </c>
      <c r="AB1443">
        <v>0</v>
      </c>
      <c r="AC1443">
        <v>0</v>
      </c>
      <c r="AF1443">
        <v>1905</v>
      </c>
      <c r="AG1443">
        <v>1906</v>
      </c>
      <c r="AO1443" t="b">
        <v>1</v>
      </c>
      <c r="AP1443" t="s">
        <v>4202</v>
      </c>
      <c r="AQ1443">
        <v>1816</v>
      </c>
      <c r="AR1443">
        <v>2016</v>
      </c>
      <c r="AS1443" t="s">
        <v>6088</v>
      </c>
      <c r="AT1443">
        <v>0.59137577002053299</v>
      </c>
      <c r="AU1443">
        <f t="shared" si="68"/>
        <v>2E-3</v>
      </c>
    </row>
    <row r="1444" spans="1:47" x14ac:dyDescent="0.3">
      <c r="A1444">
        <v>1442</v>
      </c>
      <c r="B1444" t="s">
        <v>6089</v>
      </c>
      <c r="C1444" t="s">
        <v>6090</v>
      </c>
      <c r="D1444">
        <v>230</v>
      </c>
      <c r="E1444" t="s">
        <v>5985</v>
      </c>
      <c r="F1444" t="str">
        <f>VLOOKUP(E1444,country_continent!A:C,2,FALSE)</f>
        <v>Spain</v>
      </c>
      <c r="G1444" t="str">
        <f>VLOOKUP(E1444,country_continent!A:C,3,FALSE)</f>
        <v>Europe</v>
      </c>
      <c r="H1444" t="s">
        <v>6091</v>
      </c>
      <c r="I1444" s="1">
        <v>2378</v>
      </c>
      <c r="J1444" s="3">
        <f t="shared" si="66"/>
        <v>2378</v>
      </c>
      <c r="K1444" s="1">
        <v>2526</v>
      </c>
      <c r="L1444" s="3">
        <f t="shared" si="67"/>
        <v>2526</v>
      </c>
      <c r="M1444" t="s">
        <v>49</v>
      </c>
      <c r="N1444" t="s">
        <v>49</v>
      </c>
      <c r="O1444" t="s">
        <v>49</v>
      </c>
      <c r="P1444">
        <v>0</v>
      </c>
      <c r="Q1444" t="s">
        <v>50</v>
      </c>
      <c r="R1444" t="s">
        <v>51</v>
      </c>
      <c r="S1444">
        <v>1829</v>
      </c>
      <c r="T1444">
        <v>1911</v>
      </c>
      <c r="U1444" t="s">
        <v>6092</v>
      </c>
      <c r="V1444" t="s">
        <v>6093</v>
      </c>
      <c r="Z1444">
        <v>0</v>
      </c>
      <c r="AA1444">
        <v>1</v>
      </c>
      <c r="AB1444">
        <v>0</v>
      </c>
      <c r="AC1444">
        <v>0</v>
      </c>
      <c r="AF1444">
        <v>1906</v>
      </c>
      <c r="AG1444">
        <v>1906</v>
      </c>
      <c r="AO1444" t="b">
        <v>1</v>
      </c>
      <c r="AP1444" t="s">
        <v>4202</v>
      </c>
      <c r="AQ1444">
        <v>1816</v>
      </c>
      <c r="AR1444">
        <v>2016</v>
      </c>
      <c r="AS1444" t="s">
        <v>6094</v>
      </c>
      <c r="AT1444">
        <v>0.40520191649555098</v>
      </c>
      <c r="AU1444">
        <f t="shared" si="68"/>
        <v>1E-3</v>
      </c>
    </row>
    <row r="1445" spans="1:47" x14ac:dyDescent="0.3">
      <c r="A1445">
        <v>1443</v>
      </c>
      <c r="B1445" t="s">
        <v>6095</v>
      </c>
      <c r="C1445" t="s">
        <v>6084</v>
      </c>
      <c r="D1445">
        <v>230</v>
      </c>
      <c r="E1445" t="s">
        <v>5985</v>
      </c>
      <c r="F1445" t="str">
        <f>VLOOKUP(E1445,country_continent!A:C,2,FALSE)</f>
        <v>Spain</v>
      </c>
      <c r="G1445" t="str">
        <f>VLOOKUP(E1445,country_continent!A:C,3,FALSE)</f>
        <v>Europe</v>
      </c>
      <c r="H1445" t="s">
        <v>6085</v>
      </c>
      <c r="I1445" s="1">
        <v>2526</v>
      </c>
      <c r="J1445" s="3">
        <f t="shared" si="66"/>
        <v>2526</v>
      </c>
      <c r="K1445" s="1">
        <v>2530</v>
      </c>
      <c r="L1445" s="3">
        <f t="shared" si="67"/>
        <v>2530</v>
      </c>
      <c r="M1445" t="s">
        <v>49</v>
      </c>
      <c r="N1445" t="s">
        <v>49</v>
      </c>
      <c r="O1445" t="s">
        <v>49</v>
      </c>
      <c r="P1445">
        <v>1</v>
      </c>
      <c r="Q1445" t="s">
        <v>50</v>
      </c>
      <c r="R1445" t="s">
        <v>51</v>
      </c>
      <c r="S1445">
        <v>1838</v>
      </c>
      <c r="T1445">
        <v>1913</v>
      </c>
      <c r="U1445" t="s">
        <v>6086</v>
      </c>
      <c r="V1445" t="s">
        <v>6087</v>
      </c>
      <c r="Z1445">
        <v>0</v>
      </c>
      <c r="AA1445">
        <v>1</v>
      </c>
      <c r="AB1445">
        <v>0</v>
      </c>
      <c r="AC1445">
        <v>0</v>
      </c>
      <c r="AF1445">
        <v>1906</v>
      </c>
      <c r="AG1445">
        <v>1906</v>
      </c>
      <c r="AO1445" t="b">
        <v>1</v>
      </c>
      <c r="AP1445" t="s">
        <v>4202</v>
      </c>
      <c r="AQ1445">
        <v>1816</v>
      </c>
      <c r="AR1445">
        <v>2016</v>
      </c>
      <c r="AS1445" t="s">
        <v>6096</v>
      </c>
      <c r="AT1445">
        <v>1.09514031485284E-2</v>
      </c>
      <c r="AU1445">
        <f t="shared" si="68"/>
        <v>0</v>
      </c>
    </row>
    <row r="1446" spans="1:47" x14ac:dyDescent="0.3">
      <c r="A1446">
        <v>1444</v>
      </c>
      <c r="B1446" t="s">
        <v>6097</v>
      </c>
      <c r="C1446" t="s">
        <v>6098</v>
      </c>
      <c r="D1446">
        <v>230</v>
      </c>
      <c r="E1446" t="s">
        <v>5985</v>
      </c>
      <c r="F1446" t="str">
        <f>VLOOKUP(E1446,country_continent!A:C,2,FALSE)</f>
        <v>Spain</v>
      </c>
      <c r="G1446" t="str">
        <f>VLOOKUP(E1446,country_continent!A:C,3,FALSE)</f>
        <v>Europe</v>
      </c>
      <c r="H1446" t="s">
        <v>6099</v>
      </c>
      <c r="I1446" s="1">
        <v>2530</v>
      </c>
      <c r="J1446" s="3">
        <f t="shared" si="66"/>
        <v>2530</v>
      </c>
      <c r="K1446" s="1">
        <v>2581</v>
      </c>
      <c r="L1446" s="3">
        <f t="shared" si="67"/>
        <v>2581</v>
      </c>
      <c r="M1446" t="s">
        <v>49</v>
      </c>
      <c r="N1446" t="s">
        <v>49</v>
      </c>
      <c r="O1446" t="s">
        <v>49</v>
      </c>
      <c r="P1446">
        <v>0</v>
      </c>
      <c r="Q1446" t="s">
        <v>50</v>
      </c>
      <c r="R1446" t="s">
        <v>51</v>
      </c>
      <c r="S1446">
        <v>1824</v>
      </c>
      <c r="T1446">
        <v>1908</v>
      </c>
      <c r="U1446" t="s">
        <v>6100</v>
      </c>
      <c r="V1446" t="s">
        <v>6101</v>
      </c>
      <c r="Z1446">
        <v>0</v>
      </c>
      <c r="AA1446">
        <v>1</v>
      </c>
      <c r="AB1446">
        <v>0</v>
      </c>
      <c r="AC1446">
        <v>0</v>
      </c>
      <c r="AF1446">
        <v>1906</v>
      </c>
      <c r="AG1446">
        <v>1907</v>
      </c>
      <c r="AO1446" t="b">
        <v>1</v>
      </c>
      <c r="AP1446" t="s">
        <v>4202</v>
      </c>
      <c r="AQ1446">
        <v>1816</v>
      </c>
      <c r="AR1446">
        <v>2016</v>
      </c>
      <c r="AS1446" t="s">
        <v>6102</v>
      </c>
      <c r="AT1446">
        <v>0.13963039014373699</v>
      </c>
      <c r="AU1446">
        <f t="shared" si="68"/>
        <v>0</v>
      </c>
    </row>
    <row r="1447" spans="1:47" x14ac:dyDescent="0.3">
      <c r="A1447">
        <v>1445</v>
      </c>
      <c r="B1447" t="s">
        <v>6103</v>
      </c>
      <c r="C1447" t="s">
        <v>6068</v>
      </c>
      <c r="D1447">
        <v>230</v>
      </c>
      <c r="E1447" t="s">
        <v>5985</v>
      </c>
      <c r="F1447" t="str">
        <f>VLOOKUP(E1447,country_continent!A:C,2,FALSE)</f>
        <v>Spain</v>
      </c>
      <c r="G1447" t="str">
        <f>VLOOKUP(E1447,country_continent!A:C,3,FALSE)</f>
        <v>Europe</v>
      </c>
      <c r="H1447" t="s">
        <v>6069</v>
      </c>
      <c r="I1447" s="1">
        <v>2581</v>
      </c>
      <c r="J1447" s="3">
        <f t="shared" si="66"/>
        <v>2581</v>
      </c>
      <c r="K1447" s="1">
        <v>3582</v>
      </c>
      <c r="L1447" s="3">
        <f t="shared" si="67"/>
        <v>3582</v>
      </c>
      <c r="M1447" t="s">
        <v>49</v>
      </c>
      <c r="N1447" t="s">
        <v>49</v>
      </c>
      <c r="O1447" t="s">
        <v>49</v>
      </c>
      <c r="P1447">
        <v>1</v>
      </c>
      <c r="Q1447" t="s">
        <v>50</v>
      </c>
      <c r="R1447" t="s">
        <v>51</v>
      </c>
      <c r="S1447">
        <v>1853</v>
      </c>
      <c r="T1447">
        <v>1925</v>
      </c>
      <c r="U1447" t="s">
        <v>6070</v>
      </c>
      <c r="V1447" t="s">
        <v>6071</v>
      </c>
      <c r="Z1447">
        <v>0</v>
      </c>
      <c r="AA1447">
        <v>1</v>
      </c>
      <c r="AB1447">
        <v>0</v>
      </c>
      <c r="AC1447">
        <v>0</v>
      </c>
      <c r="AF1447">
        <v>1907</v>
      </c>
      <c r="AG1447">
        <v>1909</v>
      </c>
      <c r="AO1447" t="b">
        <v>1</v>
      </c>
      <c r="AP1447" t="s">
        <v>4202</v>
      </c>
      <c r="AQ1447">
        <v>1816</v>
      </c>
      <c r="AR1447">
        <v>2016</v>
      </c>
      <c r="AS1447" t="s">
        <v>6104</v>
      </c>
      <c r="AT1447">
        <v>2.7405886379192301</v>
      </c>
      <c r="AU1447">
        <f t="shared" si="68"/>
        <v>8.0000000000000002E-3</v>
      </c>
    </row>
    <row r="1448" spans="1:47" x14ac:dyDescent="0.3">
      <c r="A1448">
        <v>1446</v>
      </c>
      <c r="B1448" t="s">
        <v>6105</v>
      </c>
      <c r="C1448" t="s">
        <v>6084</v>
      </c>
      <c r="D1448">
        <v>230</v>
      </c>
      <c r="E1448" t="s">
        <v>5985</v>
      </c>
      <c r="F1448" t="str">
        <f>VLOOKUP(E1448,country_continent!A:C,2,FALSE)</f>
        <v>Spain</v>
      </c>
      <c r="G1448" t="str">
        <f>VLOOKUP(E1448,country_continent!A:C,3,FALSE)</f>
        <v>Europe</v>
      </c>
      <c r="H1448" t="s">
        <v>6085</v>
      </c>
      <c r="I1448" s="1">
        <v>3582</v>
      </c>
      <c r="J1448" s="3">
        <f t="shared" si="66"/>
        <v>3582</v>
      </c>
      <c r="K1448" s="1">
        <v>3693</v>
      </c>
      <c r="L1448" s="3">
        <f t="shared" si="67"/>
        <v>3693</v>
      </c>
      <c r="M1448" t="s">
        <v>49</v>
      </c>
      <c r="N1448" t="s">
        <v>49</v>
      </c>
      <c r="O1448" t="s">
        <v>49</v>
      </c>
      <c r="P1448">
        <v>2</v>
      </c>
      <c r="Q1448" t="s">
        <v>50</v>
      </c>
      <c r="R1448" t="s">
        <v>51</v>
      </c>
      <c r="S1448">
        <v>1838</v>
      </c>
      <c r="T1448">
        <v>1913</v>
      </c>
      <c r="U1448" t="s">
        <v>6086</v>
      </c>
      <c r="V1448" t="s">
        <v>6087</v>
      </c>
      <c r="Z1448">
        <v>0</v>
      </c>
      <c r="AA1448">
        <v>1</v>
      </c>
      <c r="AB1448">
        <v>0</v>
      </c>
      <c r="AC1448">
        <v>0</v>
      </c>
      <c r="AF1448">
        <v>1909</v>
      </c>
      <c r="AG1448">
        <v>1910</v>
      </c>
      <c r="AO1448" t="b">
        <v>1</v>
      </c>
      <c r="AP1448" t="s">
        <v>4202</v>
      </c>
      <c r="AQ1448">
        <v>1816</v>
      </c>
      <c r="AR1448">
        <v>2016</v>
      </c>
      <c r="AS1448" t="s">
        <v>6106</v>
      </c>
      <c r="AT1448">
        <v>0.30390143737166297</v>
      </c>
      <c r="AU1448">
        <f t="shared" si="68"/>
        <v>1E-3</v>
      </c>
    </row>
    <row r="1449" spans="1:47" x14ac:dyDescent="0.3">
      <c r="A1449">
        <v>1447</v>
      </c>
      <c r="B1449" t="s">
        <v>6107</v>
      </c>
      <c r="C1449" t="s">
        <v>6108</v>
      </c>
      <c r="D1449">
        <v>230</v>
      </c>
      <c r="E1449" t="s">
        <v>5985</v>
      </c>
      <c r="F1449" t="str">
        <f>VLOOKUP(E1449,country_continent!A:C,2,FALSE)</f>
        <v>Spain</v>
      </c>
      <c r="G1449" t="str">
        <f>VLOOKUP(E1449,country_continent!A:C,3,FALSE)</f>
        <v>Europe</v>
      </c>
      <c r="H1449" t="s">
        <v>6109</v>
      </c>
      <c r="I1449" s="1">
        <v>3693</v>
      </c>
      <c r="J1449" s="3">
        <f t="shared" si="66"/>
        <v>3693</v>
      </c>
      <c r="K1449" s="1">
        <v>4700</v>
      </c>
      <c r="L1449" s="3">
        <f t="shared" si="67"/>
        <v>4700</v>
      </c>
      <c r="M1449" t="s">
        <v>49</v>
      </c>
      <c r="N1449" t="s">
        <v>67</v>
      </c>
      <c r="O1449" t="s">
        <v>347</v>
      </c>
      <c r="P1449">
        <v>0</v>
      </c>
      <c r="Q1449" t="s">
        <v>69</v>
      </c>
      <c r="R1449" t="s">
        <v>51</v>
      </c>
      <c r="S1449">
        <v>1854</v>
      </c>
      <c r="T1449">
        <v>1912</v>
      </c>
      <c r="U1449" t="s">
        <v>6110</v>
      </c>
      <c r="V1449" t="s">
        <v>6111</v>
      </c>
      <c r="Z1449">
        <v>0</v>
      </c>
      <c r="AA1449">
        <v>3</v>
      </c>
      <c r="AB1449">
        <v>-999</v>
      </c>
      <c r="AC1449">
        <v>3</v>
      </c>
      <c r="AF1449">
        <v>1910</v>
      </c>
      <c r="AG1449">
        <v>1912</v>
      </c>
      <c r="AO1449" t="b">
        <v>1</v>
      </c>
      <c r="AP1449" t="s">
        <v>4202</v>
      </c>
      <c r="AQ1449">
        <v>1816</v>
      </c>
      <c r="AR1449">
        <v>2016</v>
      </c>
      <c r="AS1449" t="s">
        <v>6112</v>
      </c>
      <c r="AT1449">
        <v>2.7570157426420199</v>
      </c>
      <c r="AU1449">
        <f t="shared" si="68"/>
        <v>8.0000000000000002E-3</v>
      </c>
    </row>
    <row r="1450" spans="1:47" x14ac:dyDescent="0.3">
      <c r="A1450">
        <v>1448</v>
      </c>
      <c r="B1450" t="s">
        <v>6113</v>
      </c>
      <c r="C1450" t="s">
        <v>6114</v>
      </c>
      <c r="D1450">
        <v>230</v>
      </c>
      <c r="E1450" t="s">
        <v>5985</v>
      </c>
      <c r="F1450" t="str">
        <f>VLOOKUP(E1450,country_continent!A:C,2,FALSE)</f>
        <v>Spain</v>
      </c>
      <c r="G1450" t="str">
        <f>VLOOKUP(E1450,country_continent!A:C,3,FALSE)</f>
        <v>Europe</v>
      </c>
      <c r="H1450" t="s">
        <v>6115</v>
      </c>
      <c r="I1450" s="1">
        <v>4700</v>
      </c>
      <c r="J1450" s="3">
        <f t="shared" si="66"/>
        <v>4700</v>
      </c>
      <c r="K1450" s="1">
        <v>4703</v>
      </c>
      <c r="L1450" s="3">
        <f t="shared" si="67"/>
        <v>4703</v>
      </c>
      <c r="M1450" t="s">
        <v>49</v>
      </c>
      <c r="N1450" t="s">
        <v>49</v>
      </c>
      <c r="O1450" t="s">
        <v>49</v>
      </c>
      <c r="P1450">
        <v>0</v>
      </c>
      <c r="Q1450" t="s">
        <v>50</v>
      </c>
      <c r="R1450" t="s">
        <v>51</v>
      </c>
      <c r="S1450">
        <v>1863</v>
      </c>
      <c r="T1450">
        <v>1950</v>
      </c>
      <c r="U1450" t="s">
        <v>5248</v>
      </c>
      <c r="V1450" t="s">
        <v>5249</v>
      </c>
      <c r="Z1450">
        <v>0</v>
      </c>
      <c r="AA1450">
        <v>1</v>
      </c>
      <c r="AB1450">
        <v>0</v>
      </c>
      <c r="AC1450">
        <v>0</v>
      </c>
      <c r="AF1450">
        <v>1912</v>
      </c>
      <c r="AG1450">
        <v>1912</v>
      </c>
      <c r="AO1450" t="b">
        <v>1</v>
      </c>
      <c r="AP1450" t="s">
        <v>4202</v>
      </c>
      <c r="AQ1450">
        <v>1816</v>
      </c>
      <c r="AR1450">
        <v>2016</v>
      </c>
      <c r="AS1450" t="s">
        <v>6116</v>
      </c>
      <c r="AT1450">
        <v>8.2135523613963007E-3</v>
      </c>
      <c r="AU1450">
        <f t="shared" si="68"/>
        <v>0</v>
      </c>
    </row>
    <row r="1451" spans="1:47" x14ac:dyDescent="0.3">
      <c r="A1451">
        <v>1449</v>
      </c>
      <c r="B1451" t="s">
        <v>6117</v>
      </c>
      <c r="C1451" t="s">
        <v>6118</v>
      </c>
      <c r="D1451">
        <v>230</v>
      </c>
      <c r="E1451" t="s">
        <v>5985</v>
      </c>
      <c r="F1451" t="str">
        <f>VLOOKUP(E1451,country_continent!A:C,2,FALSE)</f>
        <v>Spain</v>
      </c>
      <c r="G1451" t="str">
        <f>VLOOKUP(E1451,country_continent!A:C,3,FALSE)</f>
        <v>Europe</v>
      </c>
      <c r="H1451" t="s">
        <v>6119</v>
      </c>
      <c r="I1451" s="1">
        <v>4703</v>
      </c>
      <c r="J1451" s="3">
        <f t="shared" si="66"/>
        <v>4703</v>
      </c>
      <c r="K1451" s="1">
        <v>5049</v>
      </c>
      <c r="L1451" s="3">
        <f t="shared" si="67"/>
        <v>5049</v>
      </c>
      <c r="M1451" t="s">
        <v>49</v>
      </c>
      <c r="N1451" t="s">
        <v>49</v>
      </c>
      <c r="O1451" t="s">
        <v>49</v>
      </c>
      <c r="P1451">
        <v>0</v>
      </c>
      <c r="Q1451" t="s">
        <v>50</v>
      </c>
      <c r="R1451" t="s">
        <v>51</v>
      </c>
      <c r="S1451">
        <v>1859</v>
      </c>
      <c r="T1451">
        <v>1938</v>
      </c>
      <c r="U1451" t="s">
        <v>6120</v>
      </c>
      <c r="V1451" t="s">
        <v>6121</v>
      </c>
      <c r="Z1451">
        <v>0</v>
      </c>
      <c r="AA1451">
        <v>1</v>
      </c>
      <c r="AB1451">
        <v>0</v>
      </c>
      <c r="AC1451">
        <v>0</v>
      </c>
      <c r="AF1451">
        <v>1912</v>
      </c>
      <c r="AG1451">
        <v>1913</v>
      </c>
      <c r="AO1451" t="b">
        <v>1</v>
      </c>
      <c r="AP1451" t="s">
        <v>4202</v>
      </c>
      <c r="AQ1451">
        <v>1816</v>
      </c>
      <c r="AR1451">
        <v>2016</v>
      </c>
      <c r="AS1451" t="s">
        <v>6122</v>
      </c>
      <c r="AT1451">
        <v>0.94729637234770703</v>
      </c>
      <c r="AU1451">
        <f t="shared" si="68"/>
        <v>3.0000000000000001E-3</v>
      </c>
    </row>
    <row r="1452" spans="1:47" x14ac:dyDescent="0.3">
      <c r="A1452">
        <v>1450</v>
      </c>
      <c r="B1452" t="s">
        <v>6123</v>
      </c>
      <c r="C1452" t="s">
        <v>6124</v>
      </c>
      <c r="D1452">
        <v>230</v>
      </c>
      <c r="E1452" t="s">
        <v>5985</v>
      </c>
      <c r="F1452" t="str">
        <f>VLOOKUP(E1452,country_continent!A:C,2,FALSE)</f>
        <v>Spain</v>
      </c>
      <c r="G1452" t="str">
        <f>VLOOKUP(E1452,country_continent!A:C,3,FALSE)</f>
        <v>Europe</v>
      </c>
      <c r="H1452" t="s">
        <v>6125</v>
      </c>
      <c r="I1452" s="1">
        <v>5049</v>
      </c>
      <c r="J1452" s="3">
        <f t="shared" si="66"/>
        <v>5049</v>
      </c>
      <c r="K1452" s="1">
        <v>5822</v>
      </c>
      <c r="L1452" s="3">
        <f t="shared" si="67"/>
        <v>5822</v>
      </c>
      <c r="M1452" t="s">
        <v>49</v>
      </c>
      <c r="N1452" t="s">
        <v>49</v>
      </c>
      <c r="O1452" t="s">
        <v>49</v>
      </c>
      <c r="P1452">
        <v>0</v>
      </c>
      <c r="Q1452" t="s">
        <v>50</v>
      </c>
      <c r="R1452" t="s">
        <v>51</v>
      </c>
      <c r="S1452">
        <v>1856</v>
      </c>
      <c r="T1452">
        <v>1921</v>
      </c>
      <c r="U1452" t="s">
        <v>6126</v>
      </c>
      <c r="V1452" t="s">
        <v>6127</v>
      </c>
      <c r="Z1452">
        <v>0</v>
      </c>
      <c r="AA1452">
        <v>1</v>
      </c>
      <c r="AB1452">
        <v>0</v>
      </c>
      <c r="AC1452">
        <v>0</v>
      </c>
      <c r="AF1452">
        <v>1913</v>
      </c>
      <c r="AG1452">
        <v>1915</v>
      </c>
      <c r="AO1452" t="b">
        <v>1</v>
      </c>
      <c r="AP1452" t="s">
        <v>4202</v>
      </c>
      <c r="AQ1452">
        <v>1816</v>
      </c>
      <c r="AR1452">
        <v>2016</v>
      </c>
      <c r="AS1452" t="s">
        <v>6128</v>
      </c>
      <c r="AT1452">
        <v>2.1163586584531102</v>
      </c>
      <c r="AU1452">
        <f t="shared" si="68"/>
        <v>6.0000000000000001E-3</v>
      </c>
    </row>
    <row r="1453" spans="1:47" x14ac:dyDescent="0.3">
      <c r="A1453">
        <v>1451</v>
      </c>
      <c r="B1453" t="s">
        <v>6129</v>
      </c>
      <c r="C1453" t="s">
        <v>6114</v>
      </c>
      <c r="D1453">
        <v>230</v>
      </c>
      <c r="E1453" t="s">
        <v>5985</v>
      </c>
      <c r="F1453" t="str">
        <f>VLOOKUP(E1453,country_continent!A:C,2,FALSE)</f>
        <v>Spain</v>
      </c>
      <c r="G1453" t="str">
        <f>VLOOKUP(E1453,country_continent!A:C,3,FALSE)</f>
        <v>Europe</v>
      </c>
      <c r="H1453" t="s">
        <v>6115</v>
      </c>
      <c r="I1453" s="1">
        <v>5822</v>
      </c>
      <c r="J1453" s="3">
        <f t="shared" si="66"/>
        <v>5822</v>
      </c>
      <c r="K1453" s="1">
        <v>6319</v>
      </c>
      <c r="L1453" s="3">
        <f t="shared" si="67"/>
        <v>6319</v>
      </c>
      <c r="M1453" t="s">
        <v>49</v>
      </c>
      <c r="N1453" t="s">
        <v>49</v>
      </c>
      <c r="O1453" t="s">
        <v>49</v>
      </c>
      <c r="P1453">
        <v>1</v>
      </c>
      <c r="Q1453" t="s">
        <v>50</v>
      </c>
      <c r="R1453" t="s">
        <v>51</v>
      </c>
      <c r="S1453">
        <v>1863</v>
      </c>
      <c r="T1453">
        <v>1950</v>
      </c>
      <c r="U1453" t="s">
        <v>5248</v>
      </c>
      <c r="V1453" t="s">
        <v>5249</v>
      </c>
      <c r="Z1453">
        <v>0</v>
      </c>
      <c r="AA1453">
        <v>1</v>
      </c>
      <c r="AB1453">
        <v>0</v>
      </c>
      <c r="AC1453">
        <v>0</v>
      </c>
      <c r="AF1453">
        <v>1915</v>
      </c>
      <c r="AG1453">
        <v>1917</v>
      </c>
      <c r="AO1453" t="b">
        <v>1</v>
      </c>
      <c r="AP1453" t="s">
        <v>4202</v>
      </c>
      <c r="AQ1453">
        <v>1816</v>
      </c>
      <c r="AR1453">
        <v>2016</v>
      </c>
      <c r="AS1453" t="s">
        <v>6130</v>
      </c>
      <c r="AT1453">
        <v>1.3607118412046499</v>
      </c>
      <c r="AU1453">
        <f t="shared" si="68"/>
        <v>4.0000000000000001E-3</v>
      </c>
    </row>
    <row r="1454" spans="1:47" x14ac:dyDescent="0.3">
      <c r="A1454">
        <v>1452</v>
      </c>
      <c r="B1454" t="s">
        <v>6131</v>
      </c>
      <c r="C1454" t="s">
        <v>6118</v>
      </c>
      <c r="D1454">
        <v>230</v>
      </c>
      <c r="E1454" t="s">
        <v>5985</v>
      </c>
      <c r="F1454" t="str">
        <f>VLOOKUP(E1454,country_continent!A:C,2,FALSE)</f>
        <v>Spain</v>
      </c>
      <c r="G1454" t="str">
        <f>VLOOKUP(E1454,country_continent!A:C,3,FALSE)</f>
        <v>Europe</v>
      </c>
      <c r="H1454" t="s">
        <v>6119</v>
      </c>
      <c r="I1454" s="1">
        <v>6319</v>
      </c>
      <c r="J1454" s="3">
        <f t="shared" si="66"/>
        <v>6319</v>
      </c>
      <c r="K1454" s="1">
        <v>6372</v>
      </c>
      <c r="L1454" s="3">
        <f t="shared" si="67"/>
        <v>6372</v>
      </c>
      <c r="M1454" t="s">
        <v>49</v>
      </c>
      <c r="N1454" t="s">
        <v>49</v>
      </c>
      <c r="O1454" t="s">
        <v>49</v>
      </c>
      <c r="P1454">
        <v>1</v>
      </c>
      <c r="Q1454" t="s">
        <v>50</v>
      </c>
      <c r="R1454" t="s">
        <v>51</v>
      </c>
      <c r="S1454">
        <v>1859</v>
      </c>
      <c r="T1454">
        <v>1938</v>
      </c>
      <c r="U1454" t="s">
        <v>6120</v>
      </c>
      <c r="V1454" t="s">
        <v>6121</v>
      </c>
      <c r="Z1454">
        <v>0</v>
      </c>
      <c r="AA1454">
        <v>1</v>
      </c>
      <c r="AB1454">
        <v>0</v>
      </c>
      <c r="AC1454">
        <v>0</v>
      </c>
      <c r="AF1454">
        <v>1917</v>
      </c>
      <c r="AG1454">
        <v>1917</v>
      </c>
      <c r="AO1454" t="b">
        <v>1</v>
      </c>
      <c r="AP1454" t="s">
        <v>4202</v>
      </c>
      <c r="AQ1454">
        <v>1816</v>
      </c>
      <c r="AR1454">
        <v>2016</v>
      </c>
      <c r="AS1454" t="s">
        <v>6132</v>
      </c>
      <c r="AT1454">
        <v>0.14510609171800101</v>
      </c>
      <c r="AU1454">
        <f t="shared" si="68"/>
        <v>0</v>
      </c>
    </row>
    <row r="1455" spans="1:47" x14ac:dyDescent="0.3">
      <c r="A1455">
        <v>1453</v>
      </c>
      <c r="B1455" t="s">
        <v>6133</v>
      </c>
      <c r="C1455" t="s">
        <v>6124</v>
      </c>
      <c r="D1455">
        <v>230</v>
      </c>
      <c r="E1455" t="s">
        <v>5985</v>
      </c>
      <c r="F1455" t="str">
        <f>VLOOKUP(E1455,country_continent!A:C,2,FALSE)</f>
        <v>Spain</v>
      </c>
      <c r="G1455" t="str">
        <f>VLOOKUP(E1455,country_continent!A:C,3,FALSE)</f>
        <v>Europe</v>
      </c>
      <c r="H1455" t="s">
        <v>6125</v>
      </c>
      <c r="I1455" s="1">
        <v>6372</v>
      </c>
      <c r="J1455" s="3">
        <f t="shared" si="66"/>
        <v>6372</v>
      </c>
      <c r="K1455" s="1">
        <v>6517</v>
      </c>
      <c r="L1455" s="3">
        <f t="shared" si="67"/>
        <v>6517</v>
      </c>
      <c r="M1455" t="s">
        <v>49</v>
      </c>
      <c r="N1455" t="s">
        <v>49</v>
      </c>
      <c r="O1455" t="s">
        <v>49</v>
      </c>
      <c r="P1455">
        <v>1</v>
      </c>
      <c r="Q1455" t="s">
        <v>50</v>
      </c>
      <c r="R1455" t="s">
        <v>51</v>
      </c>
      <c r="S1455">
        <v>1856</v>
      </c>
      <c r="T1455">
        <v>1921</v>
      </c>
      <c r="U1455" t="s">
        <v>6126</v>
      </c>
      <c r="V1455" t="s">
        <v>6127</v>
      </c>
      <c r="Z1455">
        <v>0</v>
      </c>
      <c r="AA1455">
        <v>1</v>
      </c>
      <c r="AB1455">
        <v>0</v>
      </c>
      <c r="AC1455">
        <v>0</v>
      </c>
      <c r="AF1455">
        <v>1917</v>
      </c>
      <c r="AG1455">
        <v>1917</v>
      </c>
      <c r="AO1455" t="b">
        <v>1</v>
      </c>
      <c r="AP1455" t="s">
        <v>4202</v>
      </c>
      <c r="AQ1455">
        <v>1816</v>
      </c>
      <c r="AR1455">
        <v>2016</v>
      </c>
      <c r="AS1455" t="s">
        <v>6134</v>
      </c>
      <c r="AT1455">
        <v>0.396988364134154</v>
      </c>
      <c r="AU1455">
        <f t="shared" si="68"/>
        <v>1E-3</v>
      </c>
    </row>
    <row r="1456" spans="1:47" x14ac:dyDescent="0.3">
      <c r="A1456">
        <v>1454</v>
      </c>
      <c r="B1456" t="s">
        <v>6135</v>
      </c>
      <c r="C1456" t="s">
        <v>6118</v>
      </c>
      <c r="D1456">
        <v>230</v>
      </c>
      <c r="E1456" t="s">
        <v>5985</v>
      </c>
      <c r="F1456" t="str">
        <f>VLOOKUP(E1456,country_continent!A:C,2,FALSE)</f>
        <v>Spain</v>
      </c>
      <c r="G1456" t="str">
        <f>VLOOKUP(E1456,country_continent!A:C,3,FALSE)</f>
        <v>Europe</v>
      </c>
      <c r="H1456" t="s">
        <v>6119</v>
      </c>
      <c r="I1456" s="1">
        <v>6517</v>
      </c>
      <c r="J1456" s="3">
        <f t="shared" si="66"/>
        <v>6517</v>
      </c>
      <c r="K1456" s="1">
        <v>6656</v>
      </c>
      <c r="L1456" s="3">
        <f t="shared" si="67"/>
        <v>6656</v>
      </c>
      <c r="M1456" t="s">
        <v>49</v>
      </c>
      <c r="N1456" t="s">
        <v>49</v>
      </c>
      <c r="O1456" t="s">
        <v>49</v>
      </c>
      <c r="P1456">
        <v>2</v>
      </c>
      <c r="Q1456" t="s">
        <v>50</v>
      </c>
      <c r="R1456" t="s">
        <v>51</v>
      </c>
      <c r="S1456">
        <v>1859</v>
      </c>
      <c r="T1456">
        <v>1938</v>
      </c>
      <c r="U1456" t="s">
        <v>6120</v>
      </c>
      <c r="V1456" t="s">
        <v>6121</v>
      </c>
      <c r="Z1456">
        <v>0</v>
      </c>
      <c r="AA1456">
        <v>1</v>
      </c>
      <c r="AB1456">
        <v>0</v>
      </c>
      <c r="AC1456">
        <v>0</v>
      </c>
      <c r="AF1456">
        <v>1917</v>
      </c>
      <c r="AG1456">
        <v>1918</v>
      </c>
      <c r="AO1456" t="b">
        <v>1</v>
      </c>
      <c r="AP1456" t="s">
        <v>4202</v>
      </c>
      <c r="AQ1456">
        <v>1816</v>
      </c>
      <c r="AR1456">
        <v>2016</v>
      </c>
      <c r="AS1456" t="s">
        <v>6066</v>
      </c>
      <c r="AT1456">
        <v>0.38056125941136199</v>
      </c>
      <c r="AU1456">
        <f t="shared" si="68"/>
        <v>1E-3</v>
      </c>
    </row>
    <row r="1457" spans="1:47" x14ac:dyDescent="0.3">
      <c r="A1457">
        <v>1455</v>
      </c>
      <c r="B1457" t="s">
        <v>6136</v>
      </c>
      <c r="C1457" t="s">
        <v>6068</v>
      </c>
      <c r="D1457">
        <v>230</v>
      </c>
      <c r="E1457" t="s">
        <v>5985</v>
      </c>
      <c r="F1457" t="str">
        <f>VLOOKUP(E1457,country_continent!A:C,2,FALSE)</f>
        <v>Spain</v>
      </c>
      <c r="G1457" t="str">
        <f>VLOOKUP(E1457,country_continent!A:C,3,FALSE)</f>
        <v>Europe</v>
      </c>
      <c r="H1457" t="s">
        <v>6069</v>
      </c>
      <c r="I1457" s="1">
        <v>6656</v>
      </c>
      <c r="J1457" s="3">
        <f t="shared" si="66"/>
        <v>6656</v>
      </c>
      <c r="K1457" s="1">
        <v>6888</v>
      </c>
      <c r="L1457" s="3">
        <f t="shared" si="67"/>
        <v>6888</v>
      </c>
      <c r="M1457" t="s">
        <v>49</v>
      </c>
      <c r="N1457" t="s">
        <v>49</v>
      </c>
      <c r="O1457" t="s">
        <v>49</v>
      </c>
      <c r="P1457">
        <v>2</v>
      </c>
      <c r="Q1457" t="s">
        <v>50</v>
      </c>
      <c r="R1457" t="s">
        <v>51</v>
      </c>
      <c r="S1457">
        <v>1853</v>
      </c>
      <c r="T1457">
        <v>1925</v>
      </c>
      <c r="U1457" t="s">
        <v>6070</v>
      </c>
      <c r="V1457" t="s">
        <v>6071</v>
      </c>
      <c r="Z1457">
        <v>0</v>
      </c>
      <c r="AA1457">
        <v>1</v>
      </c>
      <c r="AB1457">
        <v>0</v>
      </c>
      <c r="AC1457">
        <v>0</v>
      </c>
      <c r="AF1457">
        <v>1918</v>
      </c>
      <c r="AG1457">
        <v>1918</v>
      </c>
      <c r="AO1457" t="b">
        <v>1</v>
      </c>
      <c r="AP1457" t="s">
        <v>4202</v>
      </c>
      <c r="AQ1457">
        <v>1816</v>
      </c>
      <c r="AR1457">
        <v>2016</v>
      </c>
      <c r="AS1457" t="s">
        <v>6137</v>
      </c>
      <c r="AT1457">
        <v>0.63518138261464696</v>
      </c>
      <c r="AU1457">
        <f t="shared" si="68"/>
        <v>2E-3</v>
      </c>
    </row>
    <row r="1458" spans="1:47" x14ac:dyDescent="0.3">
      <c r="A1458">
        <v>1456</v>
      </c>
      <c r="B1458" t="s">
        <v>6138</v>
      </c>
      <c r="C1458" t="s">
        <v>6118</v>
      </c>
      <c r="D1458">
        <v>230</v>
      </c>
      <c r="E1458" t="s">
        <v>5985</v>
      </c>
      <c r="F1458" t="str">
        <f>VLOOKUP(E1458,country_continent!A:C,2,FALSE)</f>
        <v>Spain</v>
      </c>
      <c r="G1458" t="str">
        <f>VLOOKUP(E1458,country_continent!A:C,3,FALSE)</f>
        <v>Europe</v>
      </c>
      <c r="H1458" t="s">
        <v>6119</v>
      </c>
      <c r="I1458" s="1">
        <v>6888</v>
      </c>
      <c r="J1458" s="3">
        <f t="shared" si="66"/>
        <v>6888</v>
      </c>
      <c r="K1458" s="1">
        <v>6914</v>
      </c>
      <c r="L1458" s="3">
        <f t="shared" si="67"/>
        <v>6914</v>
      </c>
      <c r="M1458" t="s">
        <v>49</v>
      </c>
      <c r="N1458" t="s">
        <v>49</v>
      </c>
      <c r="O1458" t="s">
        <v>49</v>
      </c>
      <c r="P1458">
        <v>3</v>
      </c>
      <c r="Q1458" t="s">
        <v>50</v>
      </c>
      <c r="R1458" t="s">
        <v>51</v>
      </c>
      <c r="S1458">
        <v>1859</v>
      </c>
      <c r="T1458">
        <v>1938</v>
      </c>
      <c r="U1458" t="s">
        <v>6120</v>
      </c>
      <c r="V1458" t="s">
        <v>6121</v>
      </c>
      <c r="Z1458">
        <v>0</v>
      </c>
      <c r="AA1458">
        <v>1</v>
      </c>
      <c r="AB1458">
        <v>0</v>
      </c>
      <c r="AC1458">
        <v>0</v>
      </c>
      <c r="AF1458">
        <v>1918</v>
      </c>
      <c r="AG1458">
        <v>1918</v>
      </c>
      <c r="AO1458" t="b">
        <v>1</v>
      </c>
      <c r="AP1458" t="s">
        <v>4202</v>
      </c>
      <c r="AQ1458">
        <v>1816</v>
      </c>
      <c r="AR1458">
        <v>2016</v>
      </c>
      <c r="AS1458" t="s">
        <v>6139</v>
      </c>
      <c r="AT1458">
        <v>7.1184120465434597E-2</v>
      </c>
      <c r="AU1458">
        <f t="shared" si="68"/>
        <v>0</v>
      </c>
    </row>
    <row r="1459" spans="1:47" x14ac:dyDescent="0.3">
      <c r="A1459">
        <v>1457</v>
      </c>
      <c r="B1459" t="s">
        <v>6140</v>
      </c>
      <c r="C1459" t="s">
        <v>6114</v>
      </c>
      <c r="D1459">
        <v>230</v>
      </c>
      <c r="E1459" t="s">
        <v>5985</v>
      </c>
      <c r="F1459" t="str">
        <f>VLOOKUP(E1459,country_continent!A:C,2,FALSE)</f>
        <v>Spain</v>
      </c>
      <c r="G1459" t="str">
        <f>VLOOKUP(E1459,country_continent!A:C,3,FALSE)</f>
        <v>Europe</v>
      </c>
      <c r="H1459" t="s">
        <v>6115</v>
      </c>
      <c r="I1459" s="1">
        <v>6914</v>
      </c>
      <c r="J1459" s="3">
        <f t="shared" si="66"/>
        <v>6914</v>
      </c>
      <c r="K1459" s="1">
        <v>7044</v>
      </c>
      <c r="L1459" s="3">
        <f t="shared" si="67"/>
        <v>7044</v>
      </c>
      <c r="M1459" t="s">
        <v>49</v>
      </c>
      <c r="N1459" t="s">
        <v>67</v>
      </c>
      <c r="O1459" t="s">
        <v>613</v>
      </c>
      <c r="P1459">
        <v>2</v>
      </c>
      <c r="Q1459" t="s">
        <v>50</v>
      </c>
      <c r="R1459" t="s">
        <v>51</v>
      </c>
      <c r="S1459">
        <v>1863</v>
      </c>
      <c r="T1459">
        <v>1950</v>
      </c>
      <c r="U1459" t="s">
        <v>5248</v>
      </c>
      <c r="V1459" t="s">
        <v>5249</v>
      </c>
      <c r="Z1459">
        <v>0</v>
      </c>
      <c r="AA1459">
        <v>3</v>
      </c>
      <c r="AB1459">
        <v>2</v>
      </c>
      <c r="AC1459">
        <v>0</v>
      </c>
      <c r="AF1459">
        <v>1918</v>
      </c>
      <c r="AG1459">
        <v>1919</v>
      </c>
      <c r="AO1459" t="b">
        <v>1</v>
      </c>
      <c r="AP1459" t="s">
        <v>4202</v>
      </c>
      <c r="AQ1459">
        <v>1816</v>
      </c>
      <c r="AR1459">
        <v>2016</v>
      </c>
      <c r="AS1459" t="s">
        <v>6141</v>
      </c>
      <c r="AT1459">
        <v>0.35592060232717299</v>
      </c>
      <c r="AU1459">
        <f t="shared" si="68"/>
        <v>1E-3</v>
      </c>
    </row>
    <row r="1460" spans="1:47" x14ac:dyDescent="0.3">
      <c r="A1460">
        <v>1458</v>
      </c>
      <c r="B1460" t="s">
        <v>6142</v>
      </c>
      <c r="C1460" t="s">
        <v>6068</v>
      </c>
      <c r="D1460">
        <v>230</v>
      </c>
      <c r="E1460" t="s">
        <v>5985</v>
      </c>
      <c r="F1460" t="str">
        <f>VLOOKUP(E1460,country_continent!A:C,2,FALSE)</f>
        <v>Spain</v>
      </c>
      <c r="G1460" t="str">
        <f>VLOOKUP(E1460,country_continent!A:C,3,FALSE)</f>
        <v>Europe</v>
      </c>
      <c r="H1460" t="s">
        <v>6069</v>
      </c>
      <c r="I1460" s="1">
        <v>7044</v>
      </c>
      <c r="J1460" s="3">
        <f t="shared" si="66"/>
        <v>7044</v>
      </c>
      <c r="K1460" s="1">
        <v>7141</v>
      </c>
      <c r="L1460" s="3">
        <f t="shared" si="67"/>
        <v>7141</v>
      </c>
      <c r="M1460" t="s">
        <v>49</v>
      </c>
      <c r="N1460" t="s">
        <v>49</v>
      </c>
      <c r="O1460" t="s">
        <v>49</v>
      </c>
      <c r="P1460">
        <v>3</v>
      </c>
      <c r="Q1460" t="s">
        <v>50</v>
      </c>
      <c r="R1460" t="s">
        <v>51</v>
      </c>
      <c r="S1460">
        <v>1853</v>
      </c>
      <c r="T1460">
        <v>1925</v>
      </c>
      <c r="U1460" t="s">
        <v>6070</v>
      </c>
      <c r="V1460" t="s">
        <v>6071</v>
      </c>
      <c r="Z1460">
        <v>0</v>
      </c>
      <c r="AA1460">
        <v>1</v>
      </c>
      <c r="AB1460">
        <v>0</v>
      </c>
      <c r="AC1460">
        <v>0</v>
      </c>
      <c r="AF1460">
        <v>1919</v>
      </c>
      <c r="AG1460">
        <v>1919</v>
      </c>
      <c r="AO1460" t="b">
        <v>1</v>
      </c>
      <c r="AP1460" t="s">
        <v>4202</v>
      </c>
      <c r="AQ1460">
        <v>1816</v>
      </c>
      <c r="AR1460">
        <v>2016</v>
      </c>
      <c r="AS1460" t="s">
        <v>6023</v>
      </c>
      <c r="AT1460">
        <v>0.26557152635181303</v>
      </c>
      <c r="AU1460">
        <f t="shared" si="68"/>
        <v>1E-3</v>
      </c>
    </row>
    <row r="1461" spans="1:47" x14ac:dyDescent="0.3">
      <c r="A1461">
        <v>1459</v>
      </c>
      <c r="B1461" t="s">
        <v>6143</v>
      </c>
      <c r="C1461" t="s">
        <v>6144</v>
      </c>
      <c r="D1461">
        <v>230</v>
      </c>
      <c r="E1461" t="s">
        <v>5985</v>
      </c>
      <c r="F1461" t="str">
        <f>VLOOKUP(E1461,country_continent!A:C,2,FALSE)</f>
        <v>Spain</v>
      </c>
      <c r="G1461" t="str">
        <f>VLOOKUP(E1461,country_continent!A:C,3,FALSE)</f>
        <v>Europe</v>
      </c>
      <c r="H1461" t="s">
        <v>6145</v>
      </c>
      <c r="I1461" s="1">
        <v>7141</v>
      </c>
      <c r="J1461" s="3">
        <f t="shared" si="66"/>
        <v>7141</v>
      </c>
      <c r="K1461" s="1">
        <v>7286</v>
      </c>
      <c r="L1461" s="3">
        <f t="shared" si="67"/>
        <v>7286</v>
      </c>
      <c r="M1461" t="s">
        <v>49</v>
      </c>
      <c r="N1461" t="s">
        <v>49</v>
      </c>
      <c r="O1461" t="s">
        <v>49</v>
      </c>
      <c r="P1461">
        <v>0</v>
      </c>
      <c r="Q1461" t="s">
        <v>50</v>
      </c>
      <c r="R1461" t="s">
        <v>51</v>
      </c>
      <c r="S1461">
        <v>1852</v>
      </c>
      <c r="T1461">
        <v>1942</v>
      </c>
      <c r="Z1461">
        <v>0</v>
      </c>
      <c r="AA1461">
        <v>1</v>
      </c>
      <c r="AB1461">
        <v>0</v>
      </c>
      <c r="AC1461">
        <v>0</v>
      </c>
      <c r="AF1461">
        <v>1919</v>
      </c>
      <c r="AG1461">
        <v>1919</v>
      </c>
      <c r="AO1461" t="b">
        <v>1</v>
      </c>
      <c r="AP1461" t="s">
        <v>4202</v>
      </c>
      <c r="AQ1461">
        <v>1816</v>
      </c>
      <c r="AR1461">
        <v>2016</v>
      </c>
      <c r="AS1461" t="s">
        <v>6134</v>
      </c>
      <c r="AT1461">
        <v>0.396988364134154</v>
      </c>
      <c r="AU1461">
        <f t="shared" si="68"/>
        <v>1E-3</v>
      </c>
    </row>
    <row r="1462" spans="1:47" x14ac:dyDescent="0.3">
      <c r="A1462">
        <v>1460</v>
      </c>
      <c r="B1462" t="s">
        <v>6146</v>
      </c>
      <c r="C1462" t="s">
        <v>6147</v>
      </c>
      <c r="D1462">
        <v>230</v>
      </c>
      <c r="E1462" t="s">
        <v>5985</v>
      </c>
      <c r="F1462" t="str">
        <f>VLOOKUP(E1462,country_continent!A:C,2,FALSE)</f>
        <v>Spain</v>
      </c>
      <c r="G1462" t="str">
        <f>VLOOKUP(E1462,country_continent!A:C,3,FALSE)</f>
        <v>Europe</v>
      </c>
      <c r="H1462" t="s">
        <v>6148</v>
      </c>
      <c r="I1462" s="1">
        <v>7286</v>
      </c>
      <c r="J1462" s="3">
        <f t="shared" si="66"/>
        <v>7286</v>
      </c>
      <c r="K1462" s="1">
        <v>7431</v>
      </c>
      <c r="L1462" s="3">
        <f t="shared" si="67"/>
        <v>7431</v>
      </c>
      <c r="M1462" t="s">
        <v>49</v>
      </c>
      <c r="N1462" t="s">
        <v>49</v>
      </c>
      <c r="O1462" t="s">
        <v>49</v>
      </c>
      <c r="P1462">
        <v>0</v>
      </c>
      <c r="Q1462" t="s">
        <v>50</v>
      </c>
      <c r="R1462" t="s">
        <v>51</v>
      </c>
      <c r="S1462">
        <v>1856</v>
      </c>
      <c r="T1462">
        <v>1923</v>
      </c>
      <c r="Z1462">
        <v>0</v>
      </c>
      <c r="AA1462">
        <v>1</v>
      </c>
      <c r="AB1462">
        <v>0</v>
      </c>
      <c r="AC1462">
        <v>0</v>
      </c>
      <c r="AF1462">
        <v>1919</v>
      </c>
      <c r="AG1462">
        <v>1920</v>
      </c>
      <c r="AO1462" t="b">
        <v>1</v>
      </c>
      <c r="AP1462" t="s">
        <v>4202</v>
      </c>
      <c r="AQ1462">
        <v>1816</v>
      </c>
      <c r="AR1462">
        <v>2016</v>
      </c>
      <c r="AS1462" t="s">
        <v>6134</v>
      </c>
      <c r="AT1462">
        <v>0.396988364134154</v>
      </c>
      <c r="AU1462">
        <f t="shared" si="68"/>
        <v>1E-3</v>
      </c>
    </row>
    <row r="1463" spans="1:47" x14ac:dyDescent="0.3">
      <c r="A1463">
        <v>1461</v>
      </c>
      <c r="B1463" t="s">
        <v>6149</v>
      </c>
      <c r="C1463" t="s">
        <v>6124</v>
      </c>
      <c r="D1463">
        <v>230</v>
      </c>
      <c r="E1463" t="s">
        <v>5985</v>
      </c>
      <c r="F1463" t="str">
        <f>VLOOKUP(E1463,country_continent!A:C,2,FALSE)</f>
        <v>Spain</v>
      </c>
      <c r="G1463" t="str">
        <f>VLOOKUP(E1463,country_continent!A:C,3,FALSE)</f>
        <v>Europe</v>
      </c>
      <c r="H1463" t="s">
        <v>6125</v>
      </c>
      <c r="I1463" s="1">
        <v>7431</v>
      </c>
      <c r="J1463" s="3">
        <f t="shared" si="66"/>
        <v>7431</v>
      </c>
      <c r="K1463" s="1">
        <v>7738</v>
      </c>
      <c r="L1463" s="3">
        <f t="shared" si="67"/>
        <v>7738</v>
      </c>
      <c r="M1463" t="s">
        <v>49</v>
      </c>
      <c r="N1463" t="s">
        <v>67</v>
      </c>
      <c r="O1463" t="s">
        <v>68</v>
      </c>
      <c r="P1463">
        <v>2</v>
      </c>
      <c r="Q1463" t="s">
        <v>69</v>
      </c>
      <c r="R1463" t="s">
        <v>51</v>
      </c>
      <c r="S1463">
        <v>1856</v>
      </c>
      <c r="T1463">
        <v>1921</v>
      </c>
      <c r="U1463" t="s">
        <v>6126</v>
      </c>
      <c r="V1463" t="s">
        <v>6127</v>
      </c>
      <c r="Z1463">
        <v>0</v>
      </c>
      <c r="AA1463">
        <v>3</v>
      </c>
      <c r="AB1463">
        <v>11</v>
      </c>
      <c r="AC1463">
        <v>3</v>
      </c>
      <c r="AF1463">
        <v>1920</v>
      </c>
      <c r="AG1463">
        <v>1921</v>
      </c>
      <c r="AO1463" t="b">
        <v>1</v>
      </c>
      <c r="AP1463" t="s">
        <v>4202</v>
      </c>
      <c r="AQ1463">
        <v>1816</v>
      </c>
      <c r="AR1463">
        <v>2016</v>
      </c>
      <c r="AS1463" t="s">
        <v>6150</v>
      </c>
      <c r="AT1463">
        <v>0.84052019164955505</v>
      </c>
      <c r="AU1463">
        <f t="shared" si="68"/>
        <v>2E-3</v>
      </c>
    </row>
    <row r="1464" spans="1:47" x14ac:dyDescent="0.3">
      <c r="A1464">
        <v>1462</v>
      </c>
      <c r="B1464" t="s">
        <v>6151</v>
      </c>
      <c r="C1464" t="s">
        <v>6152</v>
      </c>
      <c r="D1464">
        <v>230</v>
      </c>
      <c r="E1464" t="s">
        <v>5985</v>
      </c>
      <c r="F1464" t="str">
        <f>VLOOKUP(E1464,country_continent!A:C,2,FALSE)</f>
        <v>Spain</v>
      </c>
      <c r="G1464" t="str">
        <f>VLOOKUP(E1464,country_continent!A:C,3,FALSE)</f>
        <v>Europe</v>
      </c>
      <c r="H1464" t="s">
        <v>6153</v>
      </c>
      <c r="I1464" s="1">
        <v>7738</v>
      </c>
      <c r="J1464" s="3">
        <f t="shared" si="66"/>
        <v>7738</v>
      </c>
      <c r="K1464" s="1">
        <v>7742</v>
      </c>
      <c r="L1464" s="3">
        <f t="shared" si="67"/>
        <v>7742</v>
      </c>
      <c r="M1464" t="s">
        <v>49</v>
      </c>
      <c r="N1464" t="s">
        <v>49</v>
      </c>
      <c r="O1464" t="s">
        <v>49</v>
      </c>
      <c r="P1464">
        <v>0</v>
      </c>
      <c r="Q1464" t="s">
        <v>50</v>
      </c>
      <c r="R1464" t="s">
        <v>51</v>
      </c>
      <c r="S1464">
        <v>1861</v>
      </c>
      <c r="T1464">
        <v>1932</v>
      </c>
      <c r="Z1464">
        <v>0</v>
      </c>
      <c r="AA1464">
        <v>1</v>
      </c>
      <c r="AB1464">
        <v>0</v>
      </c>
      <c r="AC1464">
        <v>0</v>
      </c>
      <c r="AF1464">
        <v>1921</v>
      </c>
      <c r="AG1464">
        <v>1921</v>
      </c>
      <c r="AO1464" t="b">
        <v>1</v>
      </c>
      <c r="AP1464" t="s">
        <v>4202</v>
      </c>
      <c r="AQ1464">
        <v>1816</v>
      </c>
      <c r="AR1464">
        <v>2016</v>
      </c>
      <c r="AS1464" t="s">
        <v>6096</v>
      </c>
      <c r="AT1464">
        <v>1.09514031485284E-2</v>
      </c>
      <c r="AU1464">
        <f t="shared" si="68"/>
        <v>0</v>
      </c>
    </row>
    <row r="1465" spans="1:47" x14ac:dyDescent="0.3">
      <c r="A1465">
        <v>1463</v>
      </c>
      <c r="B1465" t="s">
        <v>6154</v>
      </c>
      <c r="C1465" t="s">
        <v>6147</v>
      </c>
      <c r="D1465">
        <v>230</v>
      </c>
      <c r="E1465" t="s">
        <v>5985</v>
      </c>
      <c r="F1465" t="str">
        <f>VLOOKUP(E1465,country_continent!A:C,2,FALSE)</f>
        <v>Spain</v>
      </c>
      <c r="G1465" t="str">
        <f>VLOOKUP(E1465,country_continent!A:C,3,FALSE)</f>
        <v>Europe</v>
      </c>
      <c r="H1465" t="s">
        <v>6148</v>
      </c>
      <c r="I1465" s="1">
        <v>7743</v>
      </c>
      <c r="J1465" s="3">
        <f t="shared" si="66"/>
        <v>7743</v>
      </c>
      <c r="K1465" s="1">
        <v>7897</v>
      </c>
      <c r="L1465" s="3">
        <f t="shared" si="67"/>
        <v>7897</v>
      </c>
      <c r="M1465" t="s">
        <v>49</v>
      </c>
      <c r="N1465" t="s">
        <v>49</v>
      </c>
      <c r="O1465" t="s">
        <v>49</v>
      </c>
      <c r="P1465">
        <v>1</v>
      </c>
      <c r="Q1465" t="s">
        <v>50</v>
      </c>
      <c r="R1465" t="s">
        <v>51</v>
      </c>
      <c r="S1465">
        <v>1856</v>
      </c>
      <c r="T1465">
        <v>1923</v>
      </c>
      <c r="Z1465">
        <v>0</v>
      </c>
      <c r="AA1465">
        <v>1</v>
      </c>
      <c r="AB1465">
        <v>0</v>
      </c>
      <c r="AC1465">
        <v>0</v>
      </c>
      <c r="AF1465">
        <v>1921</v>
      </c>
      <c r="AG1465">
        <v>1921</v>
      </c>
      <c r="AO1465" t="b">
        <v>1</v>
      </c>
      <c r="AP1465" t="s">
        <v>4202</v>
      </c>
      <c r="AQ1465">
        <v>1816</v>
      </c>
      <c r="AR1465">
        <v>2016</v>
      </c>
      <c r="AS1465" t="s">
        <v>6155</v>
      </c>
      <c r="AT1465">
        <v>0.421629021218343</v>
      </c>
      <c r="AU1465">
        <f t="shared" si="68"/>
        <v>1E-3</v>
      </c>
    </row>
    <row r="1466" spans="1:47" x14ac:dyDescent="0.3">
      <c r="A1466">
        <v>1464</v>
      </c>
      <c r="B1466" t="s">
        <v>6156</v>
      </c>
      <c r="C1466" t="s">
        <v>6068</v>
      </c>
      <c r="D1466">
        <v>230</v>
      </c>
      <c r="E1466" t="s">
        <v>5985</v>
      </c>
      <c r="F1466" t="str">
        <f>VLOOKUP(E1466,country_continent!A:C,2,FALSE)</f>
        <v>Spain</v>
      </c>
      <c r="G1466" t="str">
        <f>VLOOKUP(E1466,country_continent!A:C,3,FALSE)</f>
        <v>Europe</v>
      </c>
      <c r="H1466" t="s">
        <v>6069</v>
      </c>
      <c r="I1466" s="1">
        <v>7897</v>
      </c>
      <c r="J1466" s="3">
        <f t="shared" si="66"/>
        <v>7897</v>
      </c>
      <c r="K1466" s="1">
        <v>8103</v>
      </c>
      <c r="L1466" s="3">
        <f t="shared" si="67"/>
        <v>8103</v>
      </c>
      <c r="M1466" t="s">
        <v>49</v>
      </c>
      <c r="N1466" t="s">
        <v>49</v>
      </c>
      <c r="O1466" t="s">
        <v>49</v>
      </c>
      <c r="P1466">
        <v>4</v>
      </c>
      <c r="Q1466" t="s">
        <v>50</v>
      </c>
      <c r="R1466" t="s">
        <v>51</v>
      </c>
      <c r="S1466">
        <v>1853</v>
      </c>
      <c r="T1466">
        <v>1925</v>
      </c>
      <c r="U1466" t="s">
        <v>6070</v>
      </c>
      <c r="V1466" t="s">
        <v>6071</v>
      </c>
      <c r="Z1466">
        <v>0</v>
      </c>
      <c r="AA1466">
        <v>1</v>
      </c>
      <c r="AB1466">
        <v>0</v>
      </c>
      <c r="AC1466">
        <v>0</v>
      </c>
      <c r="AF1466">
        <v>1921</v>
      </c>
      <c r="AG1466">
        <v>1922</v>
      </c>
      <c r="AO1466" t="b">
        <v>1</v>
      </c>
      <c r="AP1466" t="s">
        <v>4202</v>
      </c>
      <c r="AQ1466">
        <v>1816</v>
      </c>
      <c r="AR1466">
        <v>2016</v>
      </c>
      <c r="AS1466" t="s">
        <v>6157</v>
      </c>
      <c r="AT1466">
        <v>0.56399726214921198</v>
      </c>
      <c r="AU1466">
        <f t="shared" si="68"/>
        <v>2E-3</v>
      </c>
    </row>
    <row r="1467" spans="1:47" x14ac:dyDescent="0.3">
      <c r="A1467">
        <v>1465</v>
      </c>
      <c r="B1467" t="s">
        <v>6158</v>
      </c>
      <c r="C1467" t="s">
        <v>6159</v>
      </c>
      <c r="D1467">
        <v>230</v>
      </c>
      <c r="E1467" t="s">
        <v>5985</v>
      </c>
      <c r="F1467" t="str">
        <f>VLOOKUP(E1467,country_continent!A:C,2,FALSE)</f>
        <v>Spain</v>
      </c>
      <c r="G1467" t="str">
        <f>VLOOKUP(E1467,country_continent!A:C,3,FALSE)</f>
        <v>Europe</v>
      </c>
      <c r="H1467" t="s">
        <v>6160</v>
      </c>
      <c r="I1467" s="1">
        <v>8103</v>
      </c>
      <c r="J1467" s="3">
        <f t="shared" si="66"/>
        <v>8103</v>
      </c>
      <c r="K1467" s="1">
        <v>8375</v>
      </c>
      <c r="L1467" s="3">
        <f t="shared" si="67"/>
        <v>8375</v>
      </c>
      <c r="M1467" t="s">
        <v>49</v>
      </c>
      <c r="N1467" t="s">
        <v>67</v>
      </c>
      <c r="O1467" t="s">
        <v>2001</v>
      </c>
      <c r="P1467">
        <v>0</v>
      </c>
      <c r="Q1467" t="s">
        <v>362</v>
      </c>
      <c r="R1467" t="s">
        <v>51</v>
      </c>
      <c r="S1467">
        <v>1859</v>
      </c>
      <c r="T1467">
        <v>1925</v>
      </c>
      <c r="Z1467">
        <v>0</v>
      </c>
      <c r="AA1467">
        <v>3</v>
      </c>
      <c r="AB1467">
        <v>8</v>
      </c>
      <c r="AC1467">
        <v>1</v>
      </c>
      <c r="AF1467">
        <v>1922</v>
      </c>
      <c r="AG1467">
        <v>1922</v>
      </c>
      <c r="AO1467" t="b">
        <v>1</v>
      </c>
      <c r="AP1467" t="s">
        <v>4202</v>
      </c>
      <c r="AQ1467">
        <v>1816</v>
      </c>
      <c r="AR1467">
        <v>2016</v>
      </c>
      <c r="AS1467" t="s">
        <v>6161</v>
      </c>
      <c r="AT1467">
        <v>0.74469541409993101</v>
      </c>
      <c r="AU1467">
        <f t="shared" si="68"/>
        <v>2E-3</v>
      </c>
    </row>
    <row r="1468" spans="1:47" x14ac:dyDescent="0.3">
      <c r="A1468">
        <v>1466</v>
      </c>
      <c r="B1468" t="s">
        <v>6162</v>
      </c>
      <c r="C1468" t="s">
        <v>6118</v>
      </c>
      <c r="D1468">
        <v>230</v>
      </c>
      <c r="E1468" t="s">
        <v>5985</v>
      </c>
      <c r="F1468" t="str">
        <f>VLOOKUP(E1468,country_continent!A:C,2,FALSE)</f>
        <v>Spain</v>
      </c>
      <c r="G1468" t="str">
        <f>VLOOKUP(E1468,country_continent!A:C,3,FALSE)</f>
        <v>Europe</v>
      </c>
      <c r="H1468" t="s">
        <v>6119</v>
      </c>
      <c r="I1468" s="1">
        <v>8375</v>
      </c>
      <c r="J1468" s="3">
        <f t="shared" si="66"/>
        <v>8375</v>
      </c>
      <c r="K1468" s="1">
        <v>8658</v>
      </c>
      <c r="L1468" s="3">
        <f t="shared" si="67"/>
        <v>8658</v>
      </c>
      <c r="M1468" t="s">
        <v>49</v>
      </c>
      <c r="N1468" t="s">
        <v>67</v>
      </c>
      <c r="O1468" t="s">
        <v>376</v>
      </c>
      <c r="P1468">
        <v>4</v>
      </c>
      <c r="Q1468" t="s">
        <v>50</v>
      </c>
      <c r="R1468" t="s">
        <v>51</v>
      </c>
      <c r="S1468">
        <v>1859</v>
      </c>
      <c r="T1468">
        <v>1938</v>
      </c>
      <c r="U1468" t="s">
        <v>6120</v>
      </c>
      <c r="V1468" t="s">
        <v>6121</v>
      </c>
      <c r="Z1468">
        <v>0</v>
      </c>
      <c r="AA1468">
        <v>3</v>
      </c>
      <c r="AB1468">
        <v>6</v>
      </c>
      <c r="AC1468">
        <v>0</v>
      </c>
      <c r="AF1468">
        <v>1922</v>
      </c>
      <c r="AG1468">
        <v>1923</v>
      </c>
      <c r="AO1468" t="b">
        <v>1</v>
      </c>
      <c r="AP1468" t="s">
        <v>4202</v>
      </c>
      <c r="AQ1468">
        <v>1816</v>
      </c>
      <c r="AR1468">
        <v>2016</v>
      </c>
      <c r="AS1468" t="s">
        <v>6163</v>
      </c>
      <c r="AT1468">
        <v>0.77481177275838398</v>
      </c>
      <c r="AU1468">
        <f t="shared" si="68"/>
        <v>2E-3</v>
      </c>
    </row>
    <row r="1469" spans="1:47" x14ac:dyDescent="0.3">
      <c r="A1469">
        <v>1467</v>
      </c>
      <c r="B1469" t="s">
        <v>6164</v>
      </c>
      <c r="C1469" t="s">
        <v>6165</v>
      </c>
      <c r="D1469">
        <v>230</v>
      </c>
      <c r="E1469" t="s">
        <v>5985</v>
      </c>
      <c r="F1469" t="str">
        <f>VLOOKUP(E1469,country_continent!A:C,2,FALSE)</f>
        <v>Spain</v>
      </c>
      <c r="G1469" t="str">
        <f>VLOOKUP(E1469,country_continent!A:C,3,FALSE)</f>
        <v>Europe</v>
      </c>
      <c r="H1469" t="s">
        <v>6166</v>
      </c>
      <c r="I1469" s="1">
        <v>8658</v>
      </c>
      <c r="J1469" s="3">
        <f t="shared" si="66"/>
        <v>8658</v>
      </c>
      <c r="K1469" s="1">
        <v>10986</v>
      </c>
      <c r="L1469" s="3">
        <f t="shared" si="67"/>
        <v>10986</v>
      </c>
      <c r="M1469" t="s">
        <v>67</v>
      </c>
      <c r="N1469" t="s">
        <v>49</v>
      </c>
      <c r="O1469" t="s">
        <v>49</v>
      </c>
      <c r="P1469">
        <v>0</v>
      </c>
      <c r="Q1469" t="s">
        <v>362</v>
      </c>
      <c r="R1469" t="s">
        <v>51</v>
      </c>
      <c r="S1469">
        <v>1870</v>
      </c>
      <c r="T1469">
        <v>1930</v>
      </c>
      <c r="U1469" t="s">
        <v>6167</v>
      </c>
      <c r="V1469" t="s">
        <v>6168</v>
      </c>
      <c r="W1469" s="1">
        <v>11023</v>
      </c>
      <c r="X1469" s="2">
        <v>11023</v>
      </c>
      <c r="Z1469">
        <v>1</v>
      </c>
      <c r="AA1469">
        <v>1</v>
      </c>
      <c r="AB1469">
        <v>0</v>
      </c>
      <c r="AC1469">
        <v>1</v>
      </c>
      <c r="AF1469">
        <v>1923</v>
      </c>
      <c r="AG1469">
        <v>1930</v>
      </c>
      <c r="AO1469" t="b">
        <v>1</v>
      </c>
      <c r="AP1469" t="s">
        <v>4202</v>
      </c>
      <c r="AQ1469">
        <v>1816</v>
      </c>
      <c r="AR1469">
        <v>2016</v>
      </c>
      <c r="AS1469" t="s">
        <v>6169</v>
      </c>
      <c r="AT1469">
        <v>6.3737166324435304</v>
      </c>
      <c r="AU1469">
        <f t="shared" si="68"/>
        <v>1.7000000000000001E-2</v>
      </c>
    </row>
    <row r="1470" spans="1:47" x14ac:dyDescent="0.3">
      <c r="A1470">
        <v>1468</v>
      </c>
      <c r="B1470" t="s">
        <v>6170</v>
      </c>
      <c r="C1470" t="s">
        <v>6171</v>
      </c>
      <c r="D1470">
        <v>230</v>
      </c>
      <c r="E1470" t="s">
        <v>5985</v>
      </c>
      <c r="F1470" t="str">
        <f>VLOOKUP(E1470,country_continent!A:C,2,FALSE)</f>
        <v>Spain</v>
      </c>
      <c r="G1470" t="str">
        <f>VLOOKUP(E1470,country_continent!A:C,3,FALSE)</f>
        <v>Europe</v>
      </c>
      <c r="H1470" t="s">
        <v>6172</v>
      </c>
      <c r="I1470" s="1">
        <v>10988</v>
      </c>
      <c r="J1470" s="3">
        <f t="shared" si="66"/>
        <v>10988</v>
      </c>
      <c r="K1470" s="1">
        <v>11368</v>
      </c>
      <c r="L1470" s="3">
        <f t="shared" si="67"/>
        <v>11368</v>
      </c>
      <c r="M1470" t="s">
        <v>67</v>
      </c>
      <c r="N1470" t="s">
        <v>49</v>
      </c>
      <c r="O1470" t="s">
        <v>49</v>
      </c>
      <c r="P1470">
        <v>0</v>
      </c>
      <c r="Q1470" t="s">
        <v>463</v>
      </c>
      <c r="R1470" t="s">
        <v>51</v>
      </c>
      <c r="S1470">
        <v>1873</v>
      </c>
      <c r="T1470">
        <v>1953</v>
      </c>
      <c r="U1470" t="s">
        <v>5333</v>
      </c>
      <c r="V1470" t="s">
        <v>5334</v>
      </c>
      <c r="W1470" s="1">
        <v>19498</v>
      </c>
      <c r="X1470" s="2">
        <v>19498</v>
      </c>
      <c r="Z1470">
        <v>1</v>
      </c>
      <c r="AA1470">
        <v>1</v>
      </c>
      <c r="AB1470">
        <v>0</v>
      </c>
      <c r="AC1470">
        <v>2</v>
      </c>
      <c r="AF1470">
        <v>1930</v>
      </c>
      <c r="AG1470">
        <v>1931</v>
      </c>
      <c r="AO1470" t="b">
        <v>1</v>
      </c>
      <c r="AP1470" t="s">
        <v>4202</v>
      </c>
      <c r="AQ1470">
        <v>1816</v>
      </c>
      <c r="AR1470">
        <v>2016</v>
      </c>
      <c r="AS1470" t="s">
        <v>6173</v>
      </c>
      <c r="AT1470">
        <v>1.04038329911019</v>
      </c>
      <c r="AU1470">
        <f t="shared" si="68"/>
        <v>3.0000000000000001E-3</v>
      </c>
    </row>
    <row r="1471" spans="1:47" x14ac:dyDescent="0.3">
      <c r="A1471">
        <v>1469</v>
      </c>
      <c r="B1471" t="s">
        <v>6174</v>
      </c>
      <c r="C1471" t="s">
        <v>6175</v>
      </c>
      <c r="D1471">
        <v>230</v>
      </c>
      <c r="E1471" t="s">
        <v>5985</v>
      </c>
      <c r="F1471" t="str">
        <f>VLOOKUP(E1471,country_continent!A:C,2,FALSE)</f>
        <v>Spain</v>
      </c>
      <c r="G1471" t="str">
        <f>VLOOKUP(E1471,country_continent!A:C,3,FALSE)</f>
        <v>Europe</v>
      </c>
      <c r="H1471" t="s">
        <v>6176</v>
      </c>
      <c r="I1471" s="1">
        <v>11372</v>
      </c>
      <c r="J1471" s="3">
        <f t="shared" si="66"/>
        <v>11372</v>
      </c>
      <c r="K1471" s="1">
        <v>11427</v>
      </c>
      <c r="L1471" s="3">
        <f t="shared" si="67"/>
        <v>11427</v>
      </c>
      <c r="M1471" t="s">
        <v>49</v>
      </c>
      <c r="N1471" t="s">
        <v>67</v>
      </c>
      <c r="O1471" t="s">
        <v>613</v>
      </c>
      <c r="P1471">
        <v>0</v>
      </c>
      <c r="Q1471" t="s">
        <v>50</v>
      </c>
      <c r="R1471" t="s">
        <v>51</v>
      </c>
      <c r="S1471">
        <v>1860</v>
      </c>
      <c r="T1471">
        <v>1933</v>
      </c>
      <c r="Z1471">
        <v>0</v>
      </c>
      <c r="AA1471">
        <v>3</v>
      </c>
      <c r="AB1471">
        <v>2</v>
      </c>
      <c r="AC1471">
        <v>0</v>
      </c>
      <c r="AF1471">
        <v>1931</v>
      </c>
      <c r="AG1471">
        <v>1931</v>
      </c>
      <c r="AO1471" t="b">
        <v>1</v>
      </c>
      <c r="AP1471" t="s">
        <v>4202</v>
      </c>
      <c r="AQ1471">
        <v>1816</v>
      </c>
      <c r="AR1471">
        <v>2016</v>
      </c>
      <c r="AS1471" t="s">
        <v>6177</v>
      </c>
      <c r="AT1471">
        <v>0.15058179329226501</v>
      </c>
      <c r="AU1471">
        <f t="shared" si="68"/>
        <v>0</v>
      </c>
    </row>
    <row r="1472" spans="1:47" x14ac:dyDescent="0.3">
      <c r="A1472">
        <v>1470</v>
      </c>
      <c r="B1472" t="s">
        <v>6178</v>
      </c>
      <c r="C1472" t="s">
        <v>6179</v>
      </c>
      <c r="D1472">
        <v>230</v>
      </c>
      <c r="E1472" t="s">
        <v>5985</v>
      </c>
      <c r="F1472" t="str">
        <f>VLOOKUP(E1472,country_continent!A:C,2,FALSE)</f>
        <v>Spain</v>
      </c>
      <c r="G1472" t="str">
        <f>VLOOKUP(E1472,country_continent!A:C,3,FALSE)</f>
        <v>Europe</v>
      </c>
      <c r="H1472" t="s">
        <v>6180</v>
      </c>
      <c r="I1472" s="1">
        <v>11427</v>
      </c>
      <c r="J1472" s="3">
        <f t="shared" si="66"/>
        <v>11427</v>
      </c>
      <c r="K1472" s="1">
        <v>11610</v>
      </c>
      <c r="L1472" s="3">
        <f t="shared" si="67"/>
        <v>11610</v>
      </c>
      <c r="M1472" t="s">
        <v>67</v>
      </c>
      <c r="N1472" t="s">
        <v>49</v>
      </c>
      <c r="O1472" t="s">
        <v>49</v>
      </c>
      <c r="P1472">
        <v>0</v>
      </c>
      <c r="Q1472" t="s">
        <v>50</v>
      </c>
      <c r="R1472" t="s">
        <v>51</v>
      </c>
      <c r="S1472">
        <v>1877</v>
      </c>
      <c r="T1472">
        <v>1949</v>
      </c>
      <c r="U1472" t="s">
        <v>6181</v>
      </c>
      <c r="V1472" t="s">
        <v>6182</v>
      </c>
      <c r="Z1472">
        <v>1</v>
      </c>
      <c r="AA1472">
        <v>1</v>
      </c>
      <c r="AB1472">
        <v>0</v>
      </c>
      <c r="AC1472">
        <v>0</v>
      </c>
      <c r="AF1472">
        <v>1931</v>
      </c>
      <c r="AG1472">
        <v>1931</v>
      </c>
      <c r="AO1472" t="b">
        <v>1</v>
      </c>
      <c r="AP1472" t="s">
        <v>4202</v>
      </c>
      <c r="AQ1472">
        <v>1816</v>
      </c>
      <c r="AR1472">
        <v>2016</v>
      </c>
      <c r="AS1472" t="s">
        <v>6183</v>
      </c>
      <c r="AT1472">
        <v>0.50102669404517397</v>
      </c>
      <c r="AU1472">
        <f t="shared" si="68"/>
        <v>1E-3</v>
      </c>
    </row>
    <row r="1473" spans="1:47" x14ac:dyDescent="0.3">
      <c r="A1473">
        <v>1471</v>
      </c>
      <c r="B1473" t="s">
        <v>6184</v>
      </c>
      <c r="C1473" t="s">
        <v>6185</v>
      </c>
      <c r="D1473">
        <v>230</v>
      </c>
      <c r="E1473" t="s">
        <v>5985</v>
      </c>
      <c r="F1473" t="str">
        <f>VLOOKUP(E1473,country_continent!A:C,2,FALSE)</f>
        <v>Spain</v>
      </c>
      <c r="G1473" t="str">
        <f>VLOOKUP(E1473,country_continent!A:C,3,FALSE)</f>
        <v>Europe</v>
      </c>
      <c r="H1473" t="s">
        <v>6186</v>
      </c>
      <c r="I1473" s="1">
        <v>11610</v>
      </c>
      <c r="J1473" s="3">
        <f t="shared" si="66"/>
        <v>11610</v>
      </c>
      <c r="K1473" s="1">
        <v>12305</v>
      </c>
      <c r="L1473" s="3">
        <f t="shared" si="67"/>
        <v>12305</v>
      </c>
      <c r="M1473" t="s">
        <v>49</v>
      </c>
      <c r="N1473" t="s">
        <v>49</v>
      </c>
      <c r="O1473" t="s">
        <v>49</v>
      </c>
      <c r="P1473">
        <v>0</v>
      </c>
      <c r="Q1473" t="s">
        <v>50</v>
      </c>
      <c r="R1473" t="s">
        <v>51</v>
      </c>
      <c r="S1473">
        <v>1880</v>
      </c>
      <c r="T1473">
        <v>1940</v>
      </c>
      <c r="U1473" t="s">
        <v>6187</v>
      </c>
      <c r="V1473" t="s">
        <v>6188</v>
      </c>
      <c r="Z1473">
        <v>0</v>
      </c>
      <c r="AA1473">
        <v>1</v>
      </c>
      <c r="AB1473">
        <v>0</v>
      </c>
      <c r="AC1473">
        <v>0</v>
      </c>
      <c r="AF1473">
        <v>1931</v>
      </c>
      <c r="AG1473">
        <v>1933</v>
      </c>
      <c r="AO1473" t="b">
        <v>1</v>
      </c>
      <c r="AP1473" t="s">
        <v>4202</v>
      </c>
      <c r="AQ1473">
        <v>1816</v>
      </c>
      <c r="AR1473">
        <v>2016</v>
      </c>
      <c r="AS1473" t="s">
        <v>6189</v>
      </c>
      <c r="AT1473">
        <v>1.90280629705681</v>
      </c>
      <c r="AU1473">
        <f t="shared" si="68"/>
        <v>5.0000000000000001E-3</v>
      </c>
    </row>
    <row r="1474" spans="1:47" x14ac:dyDescent="0.3">
      <c r="A1474">
        <v>1472</v>
      </c>
      <c r="B1474" t="s">
        <v>6190</v>
      </c>
      <c r="C1474" t="s">
        <v>6191</v>
      </c>
      <c r="D1474">
        <v>230</v>
      </c>
      <c r="E1474" t="s">
        <v>5985</v>
      </c>
      <c r="F1474" t="str">
        <f>VLOOKUP(E1474,country_continent!A:C,2,FALSE)</f>
        <v>Spain</v>
      </c>
      <c r="G1474" t="str">
        <f>VLOOKUP(E1474,country_continent!A:C,3,FALSE)</f>
        <v>Europe</v>
      </c>
      <c r="H1474" t="s">
        <v>6192</v>
      </c>
      <c r="I1474" s="1">
        <v>12309</v>
      </c>
      <c r="J1474" s="3">
        <f t="shared" si="66"/>
        <v>12309</v>
      </c>
      <c r="K1474" s="1">
        <v>12330</v>
      </c>
      <c r="L1474" s="3">
        <f t="shared" si="67"/>
        <v>12330</v>
      </c>
      <c r="M1474" t="s">
        <v>49</v>
      </c>
      <c r="N1474" t="s">
        <v>49</v>
      </c>
      <c r="O1474" t="s">
        <v>49</v>
      </c>
      <c r="P1474">
        <v>0</v>
      </c>
      <c r="Q1474" t="s">
        <v>50</v>
      </c>
      <c r="R1474" t="s">
        <v>51</v>
      </c>
      <c r="S1474">
        <v>1866</v>
      </c>
      <c r="T1474">
        <v>1949</v>
      </c>
      <c r="U1474" t="s">
        <v>6193</v>
      </c>
      <c r="V1474" t="s">
        <v>6194</v>
      </c>
      <c r="Y1474" t="s">
        <v>6195</v>
      </c>
      <c r="Z1474">
        <v>0</v>
      </c>
      <c r="AA1474">
        <v>1</v>
      </c>
      <c r="AB1474">
        <v>0</v>
      </c>
      <c r="AC1474">
        <v>0</v>
      </c>
      <c r="AF1474">
        <v>1933</v>
      </c>
      <c r="AG1474">
        <v>1933</v>
      </c>
      <c r="AO1474" t="b">
        <v>1</v>
      </c>
      <c r="AP1474" t="s">
        <v>4202</v>
      </c>
      <c r="AQ1474">
        <v>1816</v>
      </c>
      <c r="AR1474">
        <v>2016</v>
      </c>
      <c r="AS1474" t="s">
        <v>6196</v>
      </c>
      <c r="AT1474">
        <v>5.7494866529774098E-2</v>
      </c>
      <c r="AU1474">
        <f t="shared" si="68"/>
        <v>0</v>
      </c>
    </row>
    <row r="1475" spans="1:47" x14ac:dyDescent="0.3">
      <c r="A1475">
        <v>1473</v>
      </c>
      <c r="B1475" t="s">
        <v>6197</v>
      </c>
      <c r="C1475" t="s">
        <v>6198</v>
      </c>
      <c r="D1475">
        <v>230</v>
      </c>
      <c r="E1475" t="s">
        <v>5985</v>
      </c>
      <c r="F1475" t="str">
        <f>VLOOKUP(E1475,country_continent!A:C,2,FALSE)</f>
        <v>Spain</v>
      </c>
      <c r="G1475" t="str">
        <f>VLOOKUP(E1475,country_continent!A:C,3,FALSE)</f>
        <v>Europe</v>
      </c>
      <c r="H1475" t="s">
        <v>6199</v>
      </c>
      <c r="I1475" s="1">
        <v>12336</v>
      </c>
      <c r="J1475" s="3">
        <f t="shared" ref="J1475:J1538" si="69">IF(ISNUMBER(SEARCH("-", I1475)), SUBSTITUTE(I1475, "-", "/"), I1475)</f>
        <v>12336</v>
      </c>
      <c r="K1475" s="1">
        <v>12404</v>
      </c>
      <c r="L1475" s="3">
        <f t="shared" ref="L1475:L1538" si="70">IF(ISNUMBER(SEARCH("-", K1475)), SUBSTITUTE(K1475, "-", "/"), K1475)</f>
        <v>12404</v>
      </c>
      <c r="M1475" t="s">
        <v>49</v>
      </c>
      <c r="N1475" t="s">
        <v>49</v>
      </c>
      <c r="O1475" t="s">
        <v>49</v>
      </c>
      <c r="P1475">
        <v>0</v>
      </c>
      <c r="Q1475" t="s">
        <v>50</v>
      </c>
      <c r="R1475" t="s">
        <v>51</v>
      </c>
      <c r="S1475">
        <v>1883</v>
      </c>
      <c r="T1475">
        <v>1962</v>
      </c>
      <c r="U1475" t="s">
        <v>6200</v>
      </c>
      <c r="V1475" t="s">
        <v>6201</v>
      </c>
      <c r="Z1475">
        <v>0</v>
      </c>
      <c r="AA1475">
        <v>1</v>
      </c>
      <c r="AB1475">
        <v>0</v>
      </c>
      <c r="AC1475">
        <v>0</v>
      </c>
      <c r="AF1475">
        <v>1933</v>
      </c>
      <c r="AG1475">
        <v>1933</v>
      </c>
      <c r="AO1475" t="b">
        <v>1</v>
      </c>
      <c r="AP1475" t="s">
        <v>4202</v>
      </c>
      <c r="AQ1475">
        <v>1816</v>
      </c>
      <c r="AR1475">
        <v>2016</v>
      </c>
      <c r="AS1475" t="s">
        <v>6202</v>
      </c>
      <c r="AT1475">
        <v>0.186173853524982</v>
      </c>
      <c r="AU1475">
        <f t="shared" si="68"/>
        <v>1E-3</v>
      </c>
    </row>
    <row r="1476" spans="1:47" x14ac:dyDescent="0.3">
      <c r="A1476">
        <v>1474</v>
      </c>
      <c r="B1476" t="s">
        <v>6203</v>
      </c>
      <c r="C1476" t="s">
        <v>6191</v>
      </c>
      <c r="D1476">
        <v>230</v>
      </c>
      <c r="E1476" t="s">
        <v>5985</v>
      </c>
      <c r="F1476" t="str">
        <f>VLOOKUP(E1476,country_continent!A:C,2,FALSE)</f>
        <v>Spain</v>
      </c>
      <c r="G1476" t="str">
        <f>VLOOKUP(E1476,country_continent!A:C,3,FALSE)</f>
        <v>Europe</v>
      </c>
      <c r="H1476" t="s">
        <v>6192</v>
      </c>
      <c r="I1476" s="1">
        <v>12404</v>
      </c>
      <c r="J1476" s="3">
        <f t="shared" si="69"/>
        <v>12404</v>
      </c>
      <c r="K1476" s="1">
        <v>12524</v>
      </c>
      <c r="L1476" s="3">
        <f t="shared" si="70"/>
        <v>12524</v>
      </c>
      <c r="M1476" t="s">
        <v>49</v>
      </c>
      <c r="N1476" t="s">
        <v>49</v>
      </c>
      <c r="O1476" t="s">
        <v>49</v>
      </c>
      <c r="P1476">
        <v>1</v>
      </c>
      <c r="Q1476" t="s">
        <v>50</v>
      </c>
      <c r="R1476" t="s">
        <v>51</v>
      </c>
      <c r="S1476">
        <v>1866</v>
      </c>
      <c r="T1476">
        <v>1949</v>
      </c>
      <c r="U1476" t="s">
        <v>6193</v>
      </c>
      <c r="V1476" t="s">
        <v>6194</v>
      </c>
      <c r="Y1476" t="s">
        <v>6195</v>
      </c>
      <c r="Z1476">
        <v>0</v>
      </c>
      <c r="AA1476">
        <v>1</v>
      </c>
      <c r="AB1476">
        <v>0</v>
      </c>
      <c r="AC1476">
        <v>0</v>
      </c>
      <c r="AF1476">
        <v>1933</v>
      </c>
      <c r="AG1476">
        <v>1934</v>
      </c>
      <c r="AO1476" t="b">
        <v>1</v>
      </c>
      <c r="AP1476" t="s">
        <v>4202</v>
      </c>
      <c r="AQ1476">
        <v>1816</v>
      </c>
      <c r="AR1476">
        <v>2016</v>
      </c>
      <c r="AS1476" t="s">
        <v>6204</v>
      </c>
      <c r="AT1476">
        <v>0.32854209445585197</v>
      </c>
      <c r="AU1476">
        <f t="shared" ref="AU1476:AU1539" si="71">ROUND(AT1476/365,3)</f>
        <v>1E-3</v>
      </c>
    </row>
    <row r="1477" spans="1:47" x14ac:dyDescent="0.3">
      <c r="A1477">
        <v>1475</v>
      </c>
      <c r="B1477" t="s">
        <v>6205</v>
      </c>
      <c r="C1477" t="s">
        <v>6206</v>
      </c>
      <c r="D1477">
        <v>230</v>
      </c>
      <c r="E1477" t="s">
        <v>5985</v>
      </c>
      <c r="F1477" t="str">
        <f>VLOOKUP(E1477,country_continent!A:C,2,FALSE)</f>
        <v>Spain</v>
      </c>
      <c r="G1477" t="str">
        <f>VLOOKUP(E1477,country_continent!A:C,3,FALSE)</f>
        <v>Europe</v>
      </c>
      <c r="H1477" t="s">
        <v>6207</v>
      </c>
      <c r="I1477" s="1">
        <v>12537</v>
      </c>
      <c r="J1477" s="3">
        <f t="shared" si="69"/>
        <v>12537</v>
      </c>
      <c r="K1477" s="1">
        <v>12693</v>
      </c>
      <c r="L1477" s="3">
        <f t="shared" si="70"/>
        <v>12693</v>
      </c>
      <c r="M1477" t="s">
        <v>49</v>
      </c>
      <c r="N1477" t="s">
        <v>49</v>
      </c>
      <c r="O1477" t="s">
        <v>49</v>
      </c>
      <c r="P1477">
        <v>0</v>
      </c>
      <c r="Q1477" t="s">
        <v>50</v>
      </c>
      <c r="R1477" t="s">
        <v>51</v>
      </c>
      <c r="S1477">
        <v>1881</v>
      </c>
      <c r="T1477">
        <v>1938</v>
      </c>
      <c r="U1477" t="s">
        <v>6208</v>
      </c>
      <c r="V1477" t="s">
        <v>6209</v>
      </c>
      <c r="Z1477">
        <v>0</v>
      </c>
      <c r="AA1477">
        <v>1</v>
      </c>
      <c r="AB1477">
        <v>0</v>
      </c>
      <c r="AC1477">
        <v>0</v>
      </c>
      <c r="AF1477">
        <v>1934</v>
      </c>
      <c r="AG1477">
        <v>1934</v>
      </c>
      <c r="AO1477" t="b">
        <v>1</v>
      </c>
      <c r="AP1477" t="s">
        <v>4202</v>
      </c>
      <c r="AQ1477">
        <v>1816</v>
      </c>
      <c r="AR1477">
        <v>2016</v>
      </c>
      <c r="AS1477" t="s">
        <v>6210</v>
      </c>
      <c r="AT1477">
        <v>0.42710472279260697</v>
      </c>
      <c r="AU1477">
        <f t="shared" si="71"/>
        <v>1E-3</v>
      </c>
    </row>
    <row r="1478" spans="1:47" x14ac:dyDescent="0.3">
      <c r="A1478">
        <v>1476</v>
      </c>
      <c r="B1478" t="s">
        <v>6211</v>
      </c>
      <c r="C1478" t="s">
        <v>6191</v>
      </c>
      <c r="D1478">
        <v>230</v>
      </c>
      <c r="E1478" t="s">
        <v>5985</v>
      </c>
      <c r="F1478" t="str">
        <f>VLOOKUP(E1478,country_continent!A:C,2,FALSE)</f>
        <v>Spain</v>
      </c>
      <c r="G1478" t="str">
        <f>VLOOKUP(E1478,country_continent!A:C,3,FALSE)</f>
        <v>Europe</v>
      </c>
      <c r="H1478" t="s">
        <v>6192</v>
      </c>
      <c r="I1478" s="1">
        <v>12702</v>
      </c>
      <c r="J1478" s="3">
        <f t="shared" si="69"/>
        <v>12702</v>
      </c>
      <c r="K1478" s="1">
        <v>13077</v>
      </c>
      <c r="L1478" s="3">
        <f t="shared" si="70"/>
        <v>13077</v>
      </c>
      <c r="M1478" t="s">
        <v>49</v>
      </c>
      <c r="N1478" t="s">
        <v>49</v>
      </c>
      <c r="O1478" t="s">
        <v>49</v>
      </c>
      <c r="P1478">
        <v>2</v>
      </c>
      <c r="Q1478" t="s">
        <v>50</v>
      </c>
      <c r="R1478" t="s">
        <v>51</v>
      </c>
      <c r="S1478">
        <v>1866</v>
      </c>
      <c r="T1478">
        <v>1949</v>
      </c>
      <c r="U1478" t="s">
        <v>6193</v>
      </c>
      <c r="V1478" t="s">
        <v>6194</v>
      </c>
      <c r="Y1478" t="s">
        <v>6195</v>
      </c>
      <c r="Z1478">
        <v>0</v>
      </c>
      <c r="AA1478">
        <v>1</v>
      </c>
      <c r="AB1478">
        <v>0</v>
      </c>
      <c r="AC1478">
        <v>0</v>
      </c>
      <c r="AF1478">
        <v>1934</v>
      </c>
      <c r="AG1478">
        <v>1935</v>
      </c>
      <c r="AO1478" t="b">
        <v>1</v>
      </c>
      <c r="AP1478" t="s">
        <v>4202</v>
      </c>
      <c r="AQ1478">
        <v>1816</v>
      </c>
      <c r="AR1478">
        <v>2016</v>
      </c>
      <c r="AS1478" t="s">
        <v>6212</v>
      </c>
      <c r="AT1478">
        <v>1.0266940451745299</v>
      </c>
      <c r="AU1478">
        <f t="shared" si="71"/>
        <v>3.0000000000000001E-3</v>
      </c>
    </row>
    <row r="1479" spans="1:47" x14ac:dyDescent="0.3">
      <c r="A1479">
        <v>1477</v>
      </c>
      <c r="B1479" t="s">
        <v>6213</v>
      </c>
      <c r="C1479" t="s">
        <v>6214</v>
      </c>
      <c r="D1479">
        <v>230</v>
      </c>
      <c r="E1479" t="s">
        <v>5985</v>
      </c>
      <c r="F1479" t="str">
        <f>VLOOKUP(E1479,country_continent!A:C,2,FALSE)</f>
        <v>Spain</v>
      </c>
      <c r="G1479" t="str">
        <f>VLOOKUP(E1479,country_continent!A:C,3,FALSE)</f>
        <v>Europe</v>
      </c>
      <c r="H1479" t="s">
        <v>6215</v>
      </c>
      <c r="I1479" s="1">
        <v>13082</v>
      </c>
      <c r="J1479" s="3">
        <f t="shared" si="69"/>
        <v>13082</v>
      </c>
      <c r="K1479" s="1">
        <v>13127</v>
      </c>
      <c r="L1479" s="3">
        <f t="shared" si="70"/>
        <v>13127</v>
      </c>
      <c r="M1479" t="s">
        <v>49</v>
      </c>
      <c r="N1479" t="s">
        <v>49</v>
      </c>
      <c r="O1479" t="s">
        <v>49</v>
      </c>
      <c r="P1479">
        <v>0</v>
      </c>
      <c r="Q1479" t="s">
        <v>50</v>
      </c>
      <c r="R1479" t="s">
        <v>51</v>
      </c>
      <c r="S1479">
        <v>1871</v>
      </c>
      <c r="T1479">
        <v>1951</v>
      </c>
      <c r="U1479" t="s">
        <v>6216</v>
      </c>
      <c r="V1479" t="s">
        <v>6217</v>
      </c>
      <c r="Z1479">
        <v>0</v>
      </c>
      <c r="AA1479">
        <v>1</v>
      </c>
      <c r="AB1479">
        <v>0</v>
      </c>
      <c r="AC1479">
        <v>0</v>
      </c>
      <c r="AF1479">
        <v>1935</v>
      </c>
      <c r="AG1479">
        <v>1935</v>
      </c>
      <c r="AO1479" t="b">
        <v>1</v>
      </c>
      <c r="AP1479" t="s">
        <v>4202</v>
      </c>
      <c r="AQ1479">
        <v>1816</v>
      </c>
      <c r="AR1479">
        <v>2016</v>
      </c>
      <c r="AS1479" t="s">
        <v>6218</v>
      </c>
      <c r="AT1479">
        <v>0.123203285420944</v>
      </c>
      <c r="AU1479">
        <f t="shared" si="71"/>
        <v>0</v>
      </c>
    </row>
    <row r="1480" spans="1:47" x14ac:dyDescent="0.3">
      <c r="A1480">
        <v>1478</v>
      </c>
      <c r="B1480" t="s">
        <v>6219</v>
      </c>
      <c r="C1480" t="s">
        <v>6220</v>
      </c>
      <c r="D1480">
        <v>230</v>
      </c>
      <c r="E1480" t="s">
        <v>5985</v>
      </c>
      <c r="F1480" t="str">
        <f>VLOOKUP(E1480,country_continent!A:C,2,FALSE)</f>
        <v>Spain</v>
      </c>
      <c r="G1480" t="str">
        <f>VLOOKUP(E1480,country_continent!A:C,3,FALSE)</f>
        <v>Europe</v>
      </c>
      <c r="H1480" t="s">
        <v>6221</v>
      </c>
      <c r="I1480" s="1">
        <v>13149</v>
      </c>
      <c r="J1480" s="3">
        <f t="shared" si="69"/>
        <v>13149</v>
      </c>
      <c r="K1480" s="1">
        <v>13199</v>
      </c>
      <c r="L1480" s="3">
        <f t="shared" si="70"/>
        <v>13199</v>
      </c>
      <c r="M1480" t="s">
        <v>49</v>
      </c>
      <c r="N1480" t="s">
        <v>49</v>
      </c>
      <c r="O1480" t="s">
        <v>49</v>
      </c>
      <c r="P1480">
        <v>0</v>
      </c>
      <c r="Q1480" t="s">
        <v>50</v>
      </c>
      <c r="R1480" t="s">
        <v>51</v>
      </c>
      <c r="S1480">
        <v>1868</v>
      </c>
      <c r="T1480">
        <v>1952</v>
      </c>
      <c r="Z1480">
        <v>0</v>
      </c>
      <c r="AA1480">
        <v>1</v>
      </c>
      <c r="AB1480">
        <v>0</v>
      </c>
      <c r="AC1480">
        <v>0</v>
      </c>
      <c r="AF1480">
        <v>1935</v>
      </c>
      <c r="AG1480">
        <v>1936</v>
      </c>
      <c r="AO1480" t="b">
        <v>1</v>
      </c>
      <c r="AP1480" t="s">
        <v>4202</v>
      </c>
      <c r="AQ1480">
        <v>1816</v>
      </c>
      <c r="AR1480">
        <v>2016</v>
      </c>
      <c r="AS1480" t="s">
        <v>6222</v>
      </c>
      <c r="AT1480">
        <v>0.136892539356605</v>
      </c>
      <c r="AU1480">
        <f t="shared" si="71"/>
        <v>0</v>
      </c>
    </row>
    <row r="1481" spans="1:47" x14ac:dyDescent="0.3">
      <c r="A1481">
        <v>1479</v>
      </c>
      <c r="B1481" t="s">
        <v>6223</v>
      </c>
      <c r="C1481" t="s">
        <v>6185</v>
      </c>
      <c r="D1481">
        <v>230</v>
      </c>
      <c r="E1481" t="s">
        <v>5985</v>
      </c>
      <c r="F1481" t="str">
        <f>VLOOKUP(E1481,country_continent!A:C,2,FALSE)</f>
        <v>Spain</v>
      </c>
      <c r="G1481" t="str">
        <f>VLOOKUP(E1481,country_continent!A:C,3,FALSE)</f>
        <v>Europe</v>
      </c>
      <c r="H1481" t="s">
        <v>6186</v>
      </c>
      <c r="I1481" s="1">
        <v>13199</v>
      </c>
      <c r="J1481" s="3">
        <f t="shared" si="69"/>
        <v>13199</v>
      </c>
      <c r="K1481" s="1">
        <v>13281</v>
      </c>
      <c r="L1481" s="3">
        <f t="shared" si="70"/>
        <v>13281</v>
      </c>
      <c r="M1481" t="s">
        <v>49</v>
      </c>
      <c r="N1481" t="s">
        <v>49</v>
      </c>
      <c r="O1481" t="s">
        <v>49</v>
      </c>
      <c r="P1481">
        <v>1</v>
      </c>
      <c r="Q1481" t="s">
        <v>362</v>
      </c>
      <c r="R1481" t="s">
        <v>51</v>
      </c>
      <c r="S1481">
        <v>1880</v>
      </c>
      <c r="T1481">
        <v>1940</v>
      </c>
      <c r="U1481" t="s">
        <v>6187</v>
      </c>
      <c r="V1481" t="s">
        <v>6188</v>
      </c>
      <c r="Z1481">
        <v>0</v>
      </c>
      <c r="AA1481">
        <v>1</v>
      </c>
      <c r="AB1481">
        <v>0</v>
      </c>
      <c r="AC1481">
        <v>1</v>
      </c>
      <c r="AF1481">
        <v>1936</v>
      </c>
      <c r="AG1481">
        <v>1936</v>
      </c>
      <c r="AO1481" t="b">
        <v>1</v>
      </c>
      <c r="AP1481" t="s">
        <v>4202</v>
      </c>
      <c r="AQ1481">
        <v>1816</v>
      </c>
      <c r="AR1481">
        <v>2016</v>
      </c>
      <c r="AS1481" t="s">
        <v>5998</v>
      </c>
      <c r="AT1481">
        <v>0.22450376454483201</v>
      </c>
      <c r="AU1481">
        <f t="shared" si="71"/>
        <v>1E-3</v>
      </c>
    </row>
    <row r="1482" spans="1:47" x14ac:dyDescent="0.3">
      <c r="A1482">
        <v>1480</v>
      </c>
      <c r="B1482" t="s">
        <v>6224</v>
      </c>
      <c r="C1482" t="s">
        <v>6225</v>
      </c>
      <c r="D1482">
        <v>230</v>
      </c>
      <c r="E1482" t="s">
        <v>5985</v>
      </c>
      <c r="F1482" t="str">
        <f>VLOOKUP(E1482,country_continent!A:C,2,FALSE)</f>
        <v>Spain</v>
      </c>
      <c r="G1482" t="str">
        <f>VLOOKUP(E1482,country_continent!A:C,3,FALSE)</f>
        <v>Europe</v>
      </c>
      <c r="H1482" t="s">
        <v>6226</v>
      </c>
      <c r="I1482" s="1">
        <v>13283</v>
      </c>
      <c r="J1482" s="3">
        <f t="shared" si="69"/>
        <v>13283</v>
      </c>
      <c r="K1482" s="1">
        <v>13350</v>
      </c>
      <c r="L1482" s="3">
        <f t="shared" si="70"/>
        <v>13350</v>
      </c>
      <c r="M1482" t="s">
        <v>49</v>
      </c>
      <c r="N1482" t="s">
        <v>49</v>
      </c>
      <c r="O1482" t="s">
        <v>49</v>
      </c>
      <c r="P1482">
        <v>0</v>
      </c>
      <c r="Q1482" t="s">
        <v>50</v>
      </c>
      <c r="R1482" t="s">
        <v>51</v>
      </c>
      <c r="S1482">
        <v>1884</v>
      </c>
      <c r="T1482">
        <v>1950</v>
      </c>
      <c r="Z1482">
        <v>0</v>
      </c>
      <c r="AA1482">
        <v>1</v>
      </c>
      <c r="AB1482">
        <v>0</v>
      </c>
      <c r="AC1482">
        <v>0</v>
      </c>
      <c r="AF1482">
        <v>1936</v>
      </c>
      <c r="AG1482">
        <v>1936</v>
      </c>
      <c r="AO1482" t="b">
        <v>1</v>
      </c>
      <c r="AP1482" t="s">
        <v>4202</v>
      </c>
      <c r="AQ1482">
        <v>1816</v>
      </c>
      <c r="AR1482">
        <v>2016</v>
      </c>
      <c r="AS1482" t="s">
        <v>6227</v>
      </c>
      <c r="AT1482">
        <v>0.18343600273784999</v>
      </c>
      <c r="AU1482">
        <f t="shared" si="71"/>
        <v>1E-3</v>
      </c>
    </row>
    <row r="1483" spans="1:47" x14ac:dyDescent="0.3">
      <c r="A1483">
        <v>1481</v>
      </c>
      <c r="B1483" t="s">
        <v>6228</v>
      </c>
      <c r="C1483" t="s">
        <v>6198</v>
      </c>
      <c r="D1483">
        <v>230</v>
      </c>
      <c r="E1483" t="s">
        <v>5985</v>
      </c>
      <c r="F1483" t="str">
        <f>VLOOKUP(E1483,country_continent!A:C,2,FALSE)</f>
        <v>Spain</v>
      </c>
      <c r="G1483" t="str">
        <f>VLOOKUP(E1483,country_continent!A:C,3,FALSE)</f>
        <v>Europe</v>
      </c>
      <c r="H1483" t="s">
        <v>6199</v>
      </c>
      <c r="I1483" s="1">
        <v>13350</v>
      </c>
      <c r="J1483" s="3">
        <f t="shared" si="69"/>
        <v>13350</v>
      </c>
      <c r="K1483" s="1">
        <v>13350</v>
      </c>
      <c r="L1483" s="3">
        <f t="shared" si="70"/>
        <v>13350</v>
      </c>
      <c r="M1483" t="s">
        <v>49</v>
      </c>
      <c r="N1483" t="s">
        <v>49</v>
      </c>
      <c r="O1483" t="s">
        <v>49</v>
      </c>
      <c r="P1483">
        <v>1</v>
      </c>
      <c r="Q1483" t="s">
        <v>50</v>
      </c>
      <c r="R1483" t="s">
        <v>51</v>
      </c>
      <c r="S1483">
        <v>1883</v>
      </c>
      <c r="T1483">
        <v>1962</v>
      </c>
      <c r="U1483" t="s">
        <v>6200</v>
      </c>
      <c r="V1483" t="s">
        <v>6201</v>
      </c>
      <c r="Z1483">
        <v>0</v>
      </c>
      <c r="AA1483">
        <v>1</v>
      </c>
      <c r="AB1483">
        <v>0</v>
      </c>
      <c r="AC1483">
        <v>0</v>
      </c>
      <c r="AF1483">
        <v>1936</v>
      </c>
      <c r="AG1483">
        <v>1936</v>
      </c>
      <c r="AO1483" t="b">
        <v>1</v>
      </c>
      <c r="AP1483" t="s">
        <v>4202</v>
      </c>
      <c r="AQ1483">
        <v>1816</v>
      </c>
      <c r="AR1483">
        <v>2016</v>
      </c>
      <c r="AS1483" t="s">
        <v>6229</v>
      </c>
      <c r="AT1483">
        <v>0</v>
      </c>
      <c r="AU1483">
        <f t="shared" si="71"/>
        <v>0</v>
      </c>
    </row>
    <row r="1484" spans="1:47" x14ac:dyDescent="0.3">
      <c r="A1484">
        <v>1482</v>
      </c>
      <c r="B1484" t="s">
        <v>6230</v>
      </c>
      <c r="C1484" t="s">
        <v>6231</v>
      </c>
      <c r="D1484">
        <v>230</v>
      </c>
      <c r="E1484" t="s">
        <v>5985</v>
      </c>
      <c r="F1484" t="str">
        <f>VLOOKUP(E1484,country_continent!A:C,2,FALSE)</f>
        <v>Spain</v>
      </c>
      <c r="G1484" t="str">
        <f>VLOOKUP(E1484,country_continent!A:C,3,FALSE)</f>
        <v>Europe</v>
      </c>
      <c r="H1484" t="s">
        <v>6232</v>
      </c>
      <c r="I1484" s="1">
        <v>13350</v>
      </c>
      <c r="J1484" s="3">
        <f t="shared" si="69"/>
        <v>13350</v>
      </c>
      <c r="K1484" s="1">
        <v>13397</v>
      </c>
      <c r="L1484" s="3">
        <f t="shared" si="70"/>
        <v>13397</v>
      </c>
      <c r="M1484" t="s">
        <v>49</v>
      </c>
      <c r="N1484" t="s">
        <v>49</v>
      </c>
      <c r="O1484" t="s">
        <v>49</v>
      </c>
      <c r="P1484">
        <v>0</v>
      </c>
      <c r="Q1484" t="s">
        <v>50</v>
      </c>
      <c r="R1484" t="s">
        <v>51</v>
      </c>
      <c r="S1484">
        <v>1879</v>
      </c>
      <c r="T1484">
        <v>1962</v>
      </c>
      <c r="U1484" t="s">
        <v>6233</v>
      </c>
      <c r="V1484" t="s">
        <v>6234</v>
      </c>
      <c r="Z1484">
        <v>0</v>
      </c>
      <c r="AA1484">
        <v>1</v>
      </c>
      <c r="AB1484">
        <v>0</v>
      </c>
      <c r="AC1484">
        <v>0</v>
      </c>
      <c r="AF1484">
        <v>1936</v>
      </c>
      <c r="AG1484">
        <v>1936</v>
      </c>
      <c r="AO1484" t="b">
        <v>1</v>
      </c>
      <c r="AP1484" t="s">
        <v>4202</v>
      </c>
      <c r="AQ1484">
        <v>1816</v>
      </c>
      <c r="AR1484">
        <v>2016</v>
      </c>
      <c r="AS1484" t="s">
        <v>6235</v>
      </c>
      <c r="AT1484">
        <v>0.12867898699520799</v>
      </c>
      <c r="AU1484">
        <f t="shared" si="71"/>
        <v>0</v>
      </c>
    </row>
    <row r="1485" spans="1:47" x14ac:dyDescent="0.3">
      <c r="A1485">
        <v>1483</v>
      </c>
      <c r="B1485" t="s">
        <v>6236</v>
      </c>
      <c r="C1485" t="s">
        <v>6237</v>
      </c>
      <c r="D1485">
        <v>230</v>
      </c>
      <c r="E1485" t="s">
        <v>5985</v>
      </c>
      <c r="F1485" t="str">
        <f>VLOOKUP(E1485,country_continent!A:C,2,FALSE)</f>
        <v>Spain</v>
      </c>
      <c r="G1485" t="str">
        <f>VLOOKUP(E1485,country_continent!A:C,3,FALSE)</f>
        <v>Europe</v>
      </c>
      <c r="H1485" t="s">
        <v>6238</v>
      </c>
      <c r="I1485" s="1">
        <v>13397</v>
      </c>
      <c r="J1485" s="3">
        <f t="shared" si="69"/>
        <v>13397</v>
      </c>
      <c r="K1485" s="1">
        <v>13650</v>
      </c>
      <c r="L1485" s="3">
        <f t="shared" si="70"/>
        <v>13650</v>
      </c>
      <c r="M1485" t="s">
        <v>49</v>
      </c>
      <c r="N1485" t="s">
        <v>49</v>
      </c>
      <c r="O1485" t="s">
        <v>49</v>
      </c>
      <c r="P1485">
        <v>0</v>
      </c>
      <c r="Q1485" t="s">
        <v>50</v>
      </c>
      <c r="R1485" t="s">
        <v>51</v>
      </c>
      <c r="S1485">
        <v>1869</v>
      </c>
      <c r="T1485">
        <v>1946</v>
      </c>
      <c r="U1485" t="s">
        <v>6239</v>
      </c>
      <c r="V1485" t="s">
        <v>6240</v>
      </c>
      <c r="Z1485">
        <v>0</v>
      </c>
      <c r="AA1485">
        <v>1</v>
      </c>
      <c r="AB1485">
        <v>0</v>
      </c>
      <c r="AC1485">
        <v>0</v>
      </c>
      <c r="AF1485">
        <v>1936</v>
      </c>
      <c r="AG1485">
        <v>1937</v>
      </c>
      <c r="AO1485" t="b">
        <v>1</v>
      </c>
      <c r="AP1485" t="s">
        <v>4202</v>
      </c>
      <c r="AQ1485">
        <v>1816</v>
      </c>
      <c r="AR1485">
        <v>2016</v>
      </c>
      <c r="AS1485" t="s">
        <v>6241</v>
      </c>
      <c r="AT1485">
        <v>0.69267624914442105</v>
      </c>
      <c r="AU1485">
        <f t="shared" si="71"/>
        <v>2E-3</v>
      </c>
    </row>
    <row r="1486" spans="1:47" x14ac:dyDescent="0.3">
      <c r="A1486">
        <v>1484</v>
      </c>
      <c r="B1486" t="s">
        <v>6242</v>
      </c>
      <c r="C1486" t="s">
        <v>6243</v>
      </c>
      <c r="D1486">
        <v>230</v>
      </c>
      <c r="E1486" t="s">
        <v>5985</v>
      </c>
      <c r="F1486" t="str">
        <f>VLOOKUP(E1486,country_continent!A:C,2,FALSE)</f>
        <v>Spain</v>
      </c>
      <c r="G1486" t="str">
        <f>VLOOKUP(E1486,country_continent!A:C,3,FALSE)</f>
        <v>Europe</v>
      </c>
      <c r="H1486" t="s">
        <v>6244</v>
      </c>
      <c r="I1486" s="1">
        <v>13653</v>
      </c>
      <c r="J1486" s="3">
        <f t="shared" si="69"/>
        <v>13653</v>
      </c>
      <c r="K1486" s="1">
        <v>14309</v>
      </c>
      <c r="L1486" s="3">
        <f t="shared" si="70"/>
        <v>14309</v>
      </c>
      <c r="M1486" t="s">
        <v>49</v>
      </c>
      <c r="N1486" t="s">
        <v>67</v>
      </c>
      <c r="O1486" t="s">
        <v>376</v>
      </c>
      <c r="P1486">
        <v>0</v>
      </c>
      <c r="Q1486" t="s">
        <v>362</v>
      </c>
      <c r="R1486" t="s">
        <v>51</v>
      </c>
      <c r="S1486">
        <v>1889</v>
      </c>
      <c r="T1486">
        <v>1956</v>
      </c>
      <c r="Z1486">
        <v>0</v>
      </c>
      <c r="AA1486">
        <v>3</v>
      </c>
      <c r="AB1486">
        <v>6</v>
      </c>
      <c r="AC1486">
        <v>1</v>
      </c>
      <c r="AF1486">
        <v>1937</v>
      </c>
      <c r="AG1486">
        <v>1939</v>
      </c>
      <c r="AO1486" t="b">
        <v>1</v>
      </c>
      <c r="AP1486" t="s">
        <v>4202</v>
      </c>
      <c r="AQ1486">
        <v>1816</v>
      </c>
      <c r="AR1486">
        <v>2016</v>
      </c>
      <c r="AS1486" t="s">
        <v>6245</v>
      </c>
      <c r="AT1486">
        <v>1.7960301163586501</v>
      </c>
      <c r="AU1486">
        <f t="shared" si="71"/>
        <v>5.0000000000000001E-3</v>
      </c>
    </row>
    <row r="1487" spans="1:47" x14ac:dyDescent="0.3">
      <c r="A1487">
        <v>1485</v>
      </c>
      <c r="B1487" t="s">
        <v>6246</v>
      </c>
      <c r="C1487" t="s">
        <v>6247</v>
      </c>
      <c r="D1487">
        <v>230</v>
      </c>
      <c r="E1487" t="s">
        <v>5985</v>
      </c>
      <c r="F1487" t="str">
        <f>VLOOKUP(E1487,country_continent!A:C,2,FALSE)</f>
        <v>Spain</v>
      </c>
      <c r="G1487" t="str">
        <f>VLOOKUP(E1487,country_continent!A:C,3,FALSE)</f>
        <v>Europe</v>
      </c>
      <c r="H1487" t="s">
        <v>6248</v>
      </c>
      <c r="I1487" s="1">
        <v>14309</v>
      </c>
      <c r="J1487" s="3">
        <f t="shared" si="69"/>
        <v>14309</v>
      </c>
      <c r="K1487" s="1">
        <v>14335</v>
      </c>
      <c r="L1487" s="3">
        <f t="shared" si="70"/>
        <v>14335</v>
      </c>
      <c r="M1487" t="s">
        <v>67</v>
      </c>
      <c r="N1487" t="s">
        <v>67</v>
      </c>
      <c r="O1487" t="s">
        <v>645</v>
      </c>
      <c r="P1487">
        <v>0</v>
      </c>
      <c r="Q1487" t="s">
        <v>362</v>
      </c>
      <c r="R1487" t="s">
        <v>51</v>
      </c>
      <c r="S1487">
        <v>1878</v>
      </c>
      <c r="T1487">
        <v>1958</v>
      </c>
      <c r="W1487" s="1">
        <v>21199</v>
      </c>
      <c r="X1487" s="2">
        <v>21199</v>
      </c>
      <c r="Z1487">
        <v>1</v>
      </c>
      <c r="AA1487">
        <v>3</v>
      </c>
      <c r="AB1487">
        <v>3</v>
      </c>
      <c r="AC1487">
        <v>1</v>
      </c>
      <c r="AF1487">
        <v>1939</v>
      </c>
      <c r="AG1487">
        <v>1939</v>
      </c>
      <c r="AO1487" t="b">
        <v>1</v>
      </c>
      <c r="AP1487" t="s">
        <v>4202</v>
      </c>
      <c r="AQ1487">
        <v>1816</v>
      </c>
      <c r="AR1487">
        <v>2016</v>
      </c>
      <c r="AS1487" t="s">
        <v>6139</v>
      </c>
      <c r="AT1487">
        <v>7.1184120465434597E-2</v>
      </c>
      <c r="AU1487">
        <f t="shared" si="71"/>
        <v>0</v>
      </c>
    </row>
    <row r="1488" spans="1:47" x14ac:dyDescent="0.3">
      <c r="A1488">
        <v>1486</v>
      </c>
      <c r="B1488" t="s">
        <v>6249</v>
      </c>
      <c r="C1488" t="s">
        <v>6250</v>
      </c>
      <c r="D1488">
        <v>230</v>
      </c>
      <c r="E1488" t="s">
        <v>5985</v>
      </c>
      <c r="F1488" t="str">
        <f>VLOOKUP(E1488,country_continent!A:C,2,FALSE)</f>
        <v>Spain</v>
      </c>
      <c r="G1488" t="str">
        <f>VLOOKUP(E1488,country_continent!A:C,3,FALSE)</f>
        <v>Europe</v>
      </c>
      <c r="H1488" t="s">
        <v>6251</v>
      </c>
      <c r="I1488" s="1">
        <v>14336</v>
      </c>
      <c r="J1488" s="3">
        <f t="shared" si="69"/>
        <v>14336</v>
      </c>
      <c r="K1488" s="1">
        <v>27697</v>
      </c>
      <c r="L1488" s="3">
        <f t="shared" si="70"/>
        <v>27697</v>
      </c>
      <c r="M1488" t="s">
        <v>67</v>
      </c>
      <c r="N1488" t="s">
        <v>110</v>
      </c>
      <c r="O1488" t="s">
        <v>49</v>
      </c>
      <c r="P1488">
        <v>0</v>
      </c>
      <c r="Q1488" t="s">
        <v>111</v>
      </c>
      <c r="R1488" t="s">
        <v>51</v>
      </c>
      <c r="S1488">
        <v>1892</v>
      </c>
      <c r="T1488">
        <v>1975</v>
      </c>
      <c r="U1488" t="s">
        <v>6252</v>
      </c>
      <c r="V1488" t="s">
        <v>6253</v>
      </c>
      <c r="W1488" s="1">
        <v>27718</v>
      </c>
      <c r="X1488" s="2">
        <v>27718</v>
      </c>
      <c r="Y1488" t="s">
        <v>6254</v>
      </c>
      <c r="Z1488">
        <v>1</v>
      </c>
      <c r="AA1488">
        <v>2</v>
      </c>
      <c r="AB1488">
        <v>0</v>
      </c>
      <c r="AC1488">
        <v>-777</v>
      </c>
      <c r="AF1488">
        <v>1939</v>
      </c>
      <c r="AG1488">
        <v>1975</v>
      </c>
      <c r="AO1488" t="b">
        <v>1</v>
      </c>
      <c r="AP1488" t="s">
        <v>4202</v>
      </c>
      <c r="AQ1488">
        <v>1816</v>
      </c>
      <c r="AR1488">
        <v>2016</v>
      </c>
      <c r="AS1488" t="s">
        <v>6255</v>
      </c>
      <c r="AT1488">
        <v>36.580424366872002</v>
      </c>
      <c r="AU1488">
        <f t="shared" si="71"/>
        <v>0.1</v>
      </c>
    </row>
    <row r="1489" spans="1:47" x14ac:dyDescent="0.3">
      <c r="A1489">
        <v>1487</v>
      </c>
      <c r="B1489" t="s">
        <v>6256</v>
      </c>
      <c r="C1489" t="s">
        <v>6257</v>
      </c>
      <c r="D1489">
        <v>230</v>
      </c>
      <c r="E1489" t="s">
        <v>5985</v>
      </c>
      <c r="F1489" t="str">
        <f>VLOOKUP(E1489,country_continent!A:C,2,FALSE)</f>
        <v>Spain</v>
      </c>
      <c r="G1489" t="str">
        <f>VLOOKUP(E1489,country_continent!A:C,3,FALSE)</f>
        <v>Europe</v>
      </c>
      <c r="H1489" t="s">
        <v>6258</v>
      </c>
      <c r="I1489" s="1">
        <v>27699</v>
      </c>
      <c r="J1489" s="3">
        <f t="shared" si="69"/>
        <v>27699</v>
      </c>
      <c r="K1489" s="1">
        <v>27706</v>
      </c>
      <c r="L1489" s="3">
        <f t="shared" si="70"/>
        <v>27706</v>
      </c>
      <c r="M1489" t="s">
        <v>49</v>
      </c>
      <c r="N1489" t="s">
        <v>49</v>
      </c>
      <c r="O1489" t="s">
        <v>49</v>
      </c>
      <c r="P1489">
        <v>0</v>
      </c>
      <c r="Q1489" t="s">
        <v>50</v>
      </c>
      <c r="R1489" t="s">
        <v>51</v>
      </c>
      <c r="S1489">
        <v>1928</v>
      </c>
      <c r="T1489">
        <v>-777</v>
      </c>
      <c r="U1489" s="1">
        <v>10232</v>
      </c>
      <c r="V1489" s="2">
        <v>10232</v>
      </c>
      <c r="Z1489">
        <v>0</v>
      </c>
      <c r="AA1489">
        <v>1</v>
      </c>
      <c r="AB1489">
        <v>0</v>
      </c>
      <c r="AC1489">
        <v>0</v>
      </c>
      <c r="AF1489">
        <v>1975</v>
      </c>
      <c r="AG1489">
        <v>1975</v>
      </c>
      <c r="AO1489" t="b">
        <v>1</v>
      </c>
      <c r="AP1489" t="s">
        <v>4202</v>
      </c>
      <c r="AQ1489">
        <v>1816</v>
      </c>
      <c r="AR1489">
        <v>2016</v>
      </c>
      <c r="AS1489" t="s">
        <v>6259</v>
      </c>
      <c r="AT1489">
        <v>1.9164955509924701E-2</v>
      </c>
      <c r="AU1489">
        <f t="shared" si="71"/>
        <v>0</v>
      </c>
    </row>
    <row r="1490" spans="1:47" x14ac:dyDescent="0.3">
      <c r="A1490">
        <v>1488</v>
      </c>
      <c r="B1490" t="s">
        <v>6260</v>
      </c>
      <c r="C1490" t="s">
        <v>6261</v>
      </c>
      <c r="D1490">
        <v>230</v>
      </c>
      <c r="E1490" t="s">
        <v>5985</v>
      </c>
      <c r="F1490" t="str">
        <f>VLOOKUP(E1490,country_continent!A:C,2,FALSE)</f>
        <v>Spain</v>
      </c>
      <c r="G1490" t="str">
        <f>VLOOKUP(E1490,country_continent!A:C,3,FALSE)</f>
        <v>Europe</v>
      </c>
      <c r="H1490" t="s">
        <v>6262</v>
      </c>
      <c r="I1490" s="1">
        <v>27707</v>
      </c>
      <c r="J1490" s="3">
        <f t="shared" si="69"/>
        <v>27707</v>
      </c>
      <c r="K1490" s="1">
        <v>27942</v>
      </c>
      <c r="L1490" s="3">
        <f t="shared" si="70"/>
        <v>27942</v>
      </c>
      <c r="M1490" t="s">
        <v>49</v>
      </c>
      <c r="N1490" t="s">
        <v>49</v>
      </c>
      <c r="O1490" t="s">
        <v>49</v>
      </c>
      <c r="P1490">
        <v>0</v>
      </c>
      <c r="Q1490" t="s">
        <v>50</v>
      </c>
      <c r="R1490" t="s">
        <v>51</v>
      </c>
      <c r="S1490">
        <v>1908</v>
      </c>
      <c r="T1490">
        <v>1989</v>
      </c>
      <c r="U1490" s="1">
        <v>3268</v>
      </c>
      <c r="V1490" s="2">
        <v>3268</v>
      </c>
      <c r="W1490" s="1">
        <v>32839</v>
      </c>
      <c r="X1490" s="2">
        <v>32839</v>
      </c>
      <c r="Z1490">
        <v>0</v>
      </c>
      <c r="AA1490">
        <v>1</v>
      </c>
      <c r="AB1490">
        <v>0</v>
      </c>
      <c r="AC1490">
        <v>0</v>
      </c>
      <c r="AF1490">
        <v>1975</v>
      </c>
      <c r="AG1490">
        <v>1976</v>
      </c>
      <c r="AO1490" t="b">
        <v>1</v>
      </c>
      <c r="AP1490" t="s">
        <v>4202</v>
      </c>
      <c r="AQ1490">
        <v>1816</v>
      </c>
      <c r="AR1490">
        <v>2016</v>
      </c>
      <c r="AS1490" t="s">
        <v>6263</v>
      </c>
      <c r="AT1490">
        <v>0.64339493497604305</v>
      </c>
      <c r="AU1490">
        <f t="shared" si="71"/>
        <v>2E-3</v>
      </c>
    </row>
    <row r="1491" spans="1:47" x14ac:dyDescent="0.3">
      <c r="A1491">
        <v>1489</v>
      </c>
      <c r="B1491" t="s">
        <v>6264</v>
      </c>
      <c r="C1491" t="s">
        <v>6265</v>
      </c>
      <c r="D1491">
        <v>230</v>
      </c>
      <c r="E1491" t="s">
        <v>5985</v>
      </c>
      <c r="F1491" t="str">
        <f>VLOOKUP(E1491,country_continent!A:C,2,FALSE)</f>
        <v>Spain</v>
      </c>
      <c r="G1491" t="str">
        <f>VLOOKUP(E1491,country_continent!A:C,3,FALSE)</f>
        <v>Europe</v>
      </c>
      <c r="H1491" t="s">
        <v>6266</v>
      </c>
      <c r="I1491" s="1">
        <v>27942</v>
      </c>
      <c r="J1491" s="3">
        <f t="shared" si="69"/>
        <v>27942</v>
      </c>
      <c r="K1491" s="1">
        <v>29642</v>
      </c>
      <c r="L1491" s="3">
        <f t="shared" si="70"/>
        <v>29642</v>
      </c>
      <c r="M1491" t="s">
        <v>49</v>
      </c>
      <c r="N1491" t="s">
        <v>49</v>
      </c>
      <c r="O1491" t="s">
        <v>49</v>
      </c>
      <c r="P1491">
        <v>0</v>
      </c>
      <c r="Q1491" t="s">
        <v>50</v>
      </c>
      <c r="R1491" t="s">
        <v>51</v>
      </c>
      <c r="S1491">
        <v>1932</v>
      </c>
      <c r="T1491">
        <v>-777</v>
      </c>
      <c r="U1491" s="1">
        <v>11957</v>
      </c>
      <c r="V1491" s="2">
        <v>11957</v>
      </c>
      <c r="Z1491">
        <v>0</v>
      </c>
      <c r="AA1491">
        <v>1</v>
      </c>
      <c r="AB1491">
        <v>0</v>
      </c>
      <c r="AC1491">
        <v>0</v>
      </c>
      <c r="AF1491">
        <v>1976</v>
      </c>
      <c r="AG1491">
        <v>1981</v>
      </c>
      <c r="AO1491" t="b">
        <v>1</v>
      </c>
      <c r="AP1491" t="s">
        <v>4202</v>
      </c>
      <c r="AQ1491">
        <v>1816</v>
      </c>
      <c r="AR1491">
        <v>2016</v>
      </c>
      <c r="AS1491" t="s">
        <v>6267</v>
      </c>
      <c r="AT1491">
        <v>4.6543463381245704</v>
      </c>
      <c r="AU1491">
        <f t="shared" si="71"/>
        <v>1.2999999999999999E-2</v>
      </c>
    </row>
    <row r="1492" spans="1:47" x14ac:dyDescent="0.3">
      <c r="A1492">
        <v>1490</v>
      </c>
      <c r="B1492" t="s">
        <v>6268</v>
      </c>
      <c r="C1492" t="s">
        <v>6269</v>
      </c>
      <c r="D1492">
        <v>230</v>
      </c>
      <c r="E1492" t="s">
        <v>5985</v>
      </c>
      <c r="F1492" t="str">
        <f>VLOOKUP(E1492,country_continent!A:C,2,FALSE)</f>
        <v>Spain</v>
      </c>
      <c r="G1492" t="str">
        <f>VLOOKUP(E1492,country_continent!A:C,3,FALSE)</f>
        <v>Europe</v>
      </c>
      <c r="H1492" t="s">
        <v>6270</v>
      </c>
      <c r="I1492" s="1">
        <v>29642</v>
      </c>
      <c r="J1492" s="3">
        <f t="shared" si="69"/>
        <v>29642</v>
      </c>
      <c r="K1492" s="1">
        <v>30287</v>
      </c>
      <c r="L1492" s="3">
        <f t="shared" si="70"/>
        <v>30287</v>
      </c>
      <c r="M1492" t="s">
        <v>49</v>
      </c>
      <c r="N1492" t="s">
        <v>49</v>
      </c>
      <c r="O1492" t="s">
        <v>49</v>
      </c>
      <c r="P1492">
        <v>0</v>
      </c>
      <c r="Q1492" t="s">
        <v>50</v>
      </c>
      <c r="R1492" t="s">
        <v>51</v>
      </c>
      <c r="S1492">
        <v>1926</v>
      </c>
      <c r="T1492">
        <v>2008</v>
      </c>
      <c r="U1492" s="1">
        <v>9601</v>
      </c>
      <c r="V1492" s="2">
        <v>9601</v>
      </c>
      <c r="Z1492">
        <v>0</v>
      </c>
      <c r="AA1492">
        <v>1</v>
      </c>
      <c r="AB1492">
        <v>0</v>
      </c>
      <c r="AC1492">
        <v>0</v>
      </c>
      <c r="AF1492">
        <v>1981</v>
      </c>
      <c r="AG1492">
        <v>1982</v>
      </c>
      <c r="AO1492" t="b">
        <v>1</v>
      </c>
      <c r="AP1492" t="s">
        <v>4202</v>
      </c>
      <c r="AQ1492">
        <v>1816</v>
      </c>
      <c r="AR1492">
        <v>2016</v>
      </c>
      <c r="AS1492" t="s">
        <v>6271</v>
      </c>
      <c r="AT1492">
        <v>1.7659137577002</v>
      </c>
      <c r="AU1492">
        <f t="shared" si="71"/>
        <v>5.0000000000000001E-3</v>
      </c>
    </row>
    <row r="1493" spans="1:47" x14ac:dyDescent="0.3">
      <c r="A1493">
        <v>1491</v>
      </c>
      <c r="B1493" t="s">
        <v>6272</v>
      </c>
      <c r="C1493" t="s">
        <v>6273</v>
      </c>
      <c r="D1493">
        <v>230</v>
      </c>
      <c r="E1493" t="s">
        <v>5985</v>
      </c>
      <c r="F1493" t="str">
        <f>VLOOKUP(E1493,country_continent!A:C,2,FALSE)</f>
        <v>Spain</v>
      </c>
      <c r="G1493" t="str">
        <f>VLOOKUP(E1493,country_continent!A:C,3,FALSE)</f>
        <v>Europe</v>
      </c>
      <c r="H1493" t="s">
        <v>6274</v>
      </c>
      <c r="I1493" s="1">
        <v>30287</v>
      </c>
      <c r="J1493" s="3">
        <f t="shared" si="69"/>
        <v>30287</v>
      </c>
      <c r="K1493" s="1">
        <v>35190</v>
      </c>
      <c r="L1493" s="3">
        <f t="shared" si="70"/>
        <v>35190</v>
      </c>
      <c r="M1493" t="s">
        <v>49</v>
      </c>
      <c r="N1493" t="s">
        <v>49</v>
      </c>
      <c r="O1493" t="s">
        <v>49</v>
      </c>
      <c r="P1493">
        <v>0</v>
      </c>
      <c r="Q1493" t="s">
        <v>50</v>
      </c>
      <c r="R1493" t="s">
        <v>51</v>
      </c>
      <c r="S1493">
        <v>1942</v>
      </c>
      <c r="T1493">
        <v>-777</v>
      </c>
      <c r="U1493" s="1">
        <v>15405</v>
      </c>
      <c r="V1493" s="2">
        <v>15405</v>
      </c>
      <c r="Z1493">
        <v>0</v>
      </c>
      <c r="AA1493">
        <v>1</v>
      </c>
      <c r="AB1493">
        <v>0</v>
      </c>
      <c r="AC1493">
        <v>0</v>
      </c>
      <c r="AF1493">
        <v>1982</v>
      </c>
      <c r="AG1493">
        <v>1996</v>
      </c>
      <c r="AO1493" t="b">
        <v>1</v>
      </c>
      <c r="AP1493" t="s">
        <v>4202</v>
      </c>
      <c r="AQ1493">
        <v>1816</v>
      </c>
      <c r="AR1493">
        <v>2016</v>
      </c>
      <c r="AS1493" t="s">
        <v>6275</v>
      </c>
      <c r="AT1493">
        <v>13.423682409308601</v>
      </c>
      <c r="AU1493">
        <f t="shared" si="71"/>
        <v>3.6999999999999998E-2</v>
      </c>
    </row>
    <row r="1494" spans="1:47" x14ac:dyDescent="0.3">
      <c r="A1494">
        <v>1492</v>
      </c>
      <c r="B1494" t="s">
        <v>6276</v>
      </c>
      <c r="C1494" t="s">
        <v>6277</v>
      </c>
      <c r="D1494">
        <v>230</v>
      </c>
      <c r="E1494" t="s">
        <v>5985</v>
      </c>
      <c r="F1494" t="str">
        <f>VLOOKUP(E1494,country_continent!A:C,2,FALSE)</f>
        <v>Spain</v>
      </c>
      <c r="G1494" t="str">
        <f>VLOOKUP(E1494,country_continent!A:C,3,FALSE)</f>
        <v>Europe</v>
      </c>
      <c r="H1494" t="s">
        <v>6278</v>
      </c>
      <c r="I1494" s="1">
        <v>35190</v>
      </c>
      <c r="J1494" s="3">
        <f t="shared" si="69"/>
        <v>35190</v>
      </c>
      <c r="K1494" s="1">
        <v>38094</v>
      </c>
      <c r="L1494" s="3">
        <f t="shared" si="70"/>
        <v>38094</v>
      </c>
      <c r="M1494" t="s">
        <v>49</v>
      </c>
      <c r="N1494" t="s">
        <v>49</v>
      </c>
      <c r="O1494" t="s">
        <v>49</v>
      </c>
      <c r="P1494">
        <v>0</v>
      </c>
      <c r="Q1494" t="s">
        <v>50</v>
      </c>
      <c r="R1494" t="s">
        <v>51</v>
      </c>
      <c r="S1494">
        <v>1953</v>
      </c>
      <c r="T1494">
        <v>-777</v>
      </c>
      <c r="U1494" s="1">
        <v>19415</v>
      </c>
      <c r="V1494" s="2">
        <v>19415</v>
      </c>
      <c r="Y1494" t="s">
        <v>6279</v>
      </c>
      <c r="Z1494">
        <v>0</v>
      </c>
      <c r="AA1494">
        <v>1</v>
      </c>
      <c r="AB1494">
        <v>0</v>
      </c>
      <c r="AC1494">
        <v>0</v>
      </c>
      <c r="AF1494">
        <v>1996</v>
      </c>
      <c r="AG1494">
        <v>2004</v>
      </c>
      <c r="AO1494" t="b">
        <v>1</v>
      </c>
      <c r="AP1494" t="s">
        <v>4202</v>
      </c>
      <c r="AQ1494">
        <v>1816</v>
      </c>
      <c r="AR1494">
        <v>2016</v>
      </c>
      <c r="AS1494" t="s">
        <v>6280</v>
      </c>
      <c r="AT1494">
        <v>7.9507186858316201</v>
      </c>
      <c r="AU1494">
        <f t="shared" si="71"/>
        <v>2.1999999999999999E-2</v>
      </c>
    </row>
    <row r="1495" spans="1:47" x14ac:dyDescent="0.3">
      <c r="A1495">
        <v>1493</v>
      </c>
      <c r="B1495" t="s">
        <v>6281</v>
      </c>
      <c r="C1495" t="s">
        <v>6282</v>
      </c>
      <c r="D1495">
        <v>230</v>
      </c>
      <c r="E1495" t="s">
        <v>5985</v>
      </c>
      <c r="F1495" t="str">
        <f>VLOOKUP(E1495,country_continent!A:C,2,FALSE)</f>
        <v>Spain</v>
      </c>
      <c r="G1495" t="str">
        <f>VLOOKUP(E1495,country_continent!A:C,3,FALSE)</f>
        <v>Europe</v>
      </c>
      <c r="H1495" t="s">
        <v>6283</v>
      </c>
      <c r="I1495" s="1">
        <v>38094</v>
      </c>
      <c r="J1495" s="3">
        <f t="shared" si="69"/>
        <v>38094</v>
      </c>
      <c r="K1495" s="1">
        <v>40897</v>
      </c>
      <c r="L1495" s="3">
        <f t="shared" si="70"/>
        <v>40897</v>
      </c>
      <c r="M1495" t="s">
        <v>49</v>
      </c>
      <c r="N1495" t="s">
        <v>49</v>
      </c>
      <c r="O1495" t="s">
        <v>49</v>
      </c>
      <c r="P1495">
        <v>0</v>
      </c>
      <c r="Q1495" t="s">
        <v>50</v>
      </c>
      <c r="R1495" t="s">
        <v>51</v>
      </c>
      <c r="S1495">
        <v>1960</v>
      </c>
      <c r="T1495">
        <v>-777</v>
      </c>
      <c r="Z1495">
        <v>0</v>
      </c>
      <c r="AA1495">
        <v>1</v>
      </c>
      <c r="AB1495">
        <v>0</v>
      </c>
      <c r="AC1495">
        <v>0</v>
      </c>
      <c r="AF1495">
        <v>2004</v>
      </c>
      <c r="AG1495">
        <v>2011</v>
      </c>
      <c r="AO1495" t="b">
        <v>1</v>
      </c>
      <c r="AP1495" t="s">
        <v>4202</v>
      </c>
      <c r="AQ1495">
        <v>1816</v>
      </c>
      <c r="AR1495">
        <v>2016</v>
      </c>
      <c r="AS1495" t="s">
        <v>6284</v>
      </c>
      <c r="AT1495">
        <v>7.6741957563312804</v>
      </c>
      <c r="AU1495">
        <f t="shared" si="71"/>
        <v>2.1000000000000001E-2</v>
      </c>
    </row>
    <row r="1496" spans="1:47" x14ac:dyDescent="0.3">
      <c r="A1496">
        <v>1494</v>
      </c>
      <c r="B1496" t="s">
        <v>6285</v>
      </c>
      <c r="C1496" t="s">
        <v>6286</v>
      </c>
      <c r="D1496">
        <v>230</v>
      </c>
      <c r="E1496" t="s">
        <v>5985</v>
      </c>
      <c r="F1496" t="str">
        <f>VLOOKUP(E1496,country_continent!A:C,2,FALSE)</f>
        <v>Spain</v>
      </c>
      <c r="G1496" t="str">
        <f>VLOOKUP(E1496,country_continent!A:C,3,FALSE)</f>
        <v>Europe</v>
      </c>
      <c r="H1496" t="s">
        <v>6287</v>
      </c>
      <c r="I1496" s="1">
        <v>40897</v>
      </c>
      <c r="J1496" s="3">
        <f t="shared" si="69"/>
        <v>40897</v>
      </c>
      <c r="K1496" s="1">
        <v>42369</v>
      </c>
      <c r="L1496" s="3">
        <f t="shared" si="70"/>
        <v>42369</v>
      </c>
      <c r="M1496" t="s">
        <v>49</v>
      </c>
      <c r="N1496" t="s">
        <v>173</v>
      </c>
      <c r="O1496" t="s">
        <v>173</v>
      </c>
      <c r="P1496">
        <v>0</v>
      </c>
      <c r="Q1496" t="s">
        <v>174</v>
      </c>
      <c r="R1496" t="s">
        <v>51</v>
      </c>
      <c r="S1496">
        <v>1955</v>
      </c>
      <c r="T1496">
        <v>-777</v>
      </c>
      <c r="U1496" s="1">
        <v>20175</v>
      </c>
      <c r="V1496" s="2">
        <v>20175</v>
      </c>
      <c r="Z1496">
        <v>0</v>
      </c>
      <c r="AA1496">
        <v>-888</v>
      </c>
      <c r="AB1496">
        <v>-888</v>
      </c>
      <c r="AC1496">
        <v>-888</v>
      </c>
      <c r="AF1496">
        <v>2011</v>
      </c>
      <c r="AG1496">
        <v>2015</v>
      </c>
      <c r="AO1496" t="b">
        <v>1</v>
      </c>
      <c r="AP1496" t="s">
        <v>4202</v>
      </c>
      <c r="AQ1496">
        <v>1816</v>
      </c>
      <c r="AR1496">
        <v>2016</v>
      </c>
      <c r="AS1496" t="s">
        <v>6288</v>
      </c>
      <c r="AT1496">
        <v>4.0301163586584501</v>
      </c>
      <c r="AU1496">
        <f t="shared" si="71"/>
        <v>1.0999999999999999E-2</v>
      </c>
    </row>
    <row r="1497" spans="1:47" x14ac:dyDescent="0.3">
      <c r="A1497">
        <v>1495</v>
      </c>
      <c r="B1497" t="s">
        <v>6289</v>
      </c>
      <c r="C1497" t="s">
        <v>6290</v>
      </c>
      <c r="D1497">
        <v>235</v>
      </c>
      <c r="E1497" t="s">
        <v>6291</v>
      </c>
      <c r="F1497" t="str">
        <f>VLOOKUP(E1497,country_continent!A:C,2,FALSE)</f>
        <v>Portugal</v>
      </c>
      <c r="G1497" t="str">
        <f>VLOOKUP(E1497,country_continent!A:C,3,FALSE)</f>
        <v>Europe</v>
      </c>
      <c r="H1497" t="s">
        <v>6292</v>
      </c>
      <c r="I1497" t="s">
        <v>6293</v>
      </c>
      <c r="J1497" s="3" t="str">
        <f t="shared" si="69"/>
        <v>1861/11/11</v>
      </c>
      <c r="K1497" t="s">
        <v>6294</v>
      </c>
      <c r="L1497" s="3" t="str">
        <f t="shared" si="70"/>
        <v>1889/10/19</v>
      </c>
      <c r="M1497" t="s">
        <v>49</v>
      </c>
      <c r="N1497" t="s">
        <v>110</v>
      </c>
      <c r="O1497" t="s">
        <v>49</v>
      </c>
      <c r="P1497">
        <v>0</v>
      </c>
      <c r="Q1497" t="s">
        <v>111</v>
      </c>
      <c r="R1497" t="s">
        <v>51</v>
      </c>
      <c r="S1497">
        <v>1838</v>
      </c>
      <c r="T1497">
        <v>1889</v>
      </c>
      <c r="Z1497">
        <v>0</v>
      </c>
      <c r="AA1497">
        <v>2</v>
      </c>
      <c r="AB1497">
        <v>0</v>
      </c>
      <c r="AC1497">
        <v>-777</v>
      </c>
      <c r="AF1497">
        <v>1861</v>
      </c>
      <c r="AG1497">
        <v>1889</v>
      </c>
      <c r="AO1497" t="b">
        <v>1</v>
      </c>
      <c r="AP1497" t="s">
        <v>4202</v>
      </c>
      <c r="AQ1497">
        <v>1945</v>
      </c>
      <c r="AR1497">
        <v>1997</v>
      </c>
      <c r="AS1497" t="s">
        <v>6295</v>
      </c>
      <c r="AT1497">
        <v>27.937029431895901</v>
      </c>
      <c r="AU1497">
        <f t="shared" si="71"/>
        <v>7.6999999999999999E-2</v>
      </c>
    </row>
    <row r="1498" spans="1:47" x14ac:dyDescent="0.3">
      <c r="A1498">
        <v>1496</v>
      </c>
      <c r="B1498" t="s">
        <v>6296</v>
      </c>
      <c r="C1498" t="s">
        <v>6297</v>
      </c>
      <c r="D1498">
        <v>235</v>
      </c>
      <c r="E1498" t="s">
        <v>6291</v>
      </c>
      <c r="F1498" t="str">
        <f>VLOOKUP(E1498,country_continent!A:C,2,FALSE)</f>
        <v>Portugal</v>
      </c>
      <c r="G1498" t="str">
        <f>VLOOKUP(E1498,country_continent!A:C,3,FALSE)</f>
        <v>Europe</v>
      </c>
      <c r="H1498" t="s">
        <v>6298</v>
      </c>
      <c r="I1498" t="s">
        <v>6294</v>
      </c>
      <c r="J1498" s="3" t="str">
        <f t="shared" si="69"/>
        <v>1889/10/19</v>
      </c>
      <c r="K1498" s="1">
        <v>2954</v>
      </c>
      <c r="L1498" s="3">
        <f t="shared" si="70"/>
        <v>2954</v>
      </c>
      <c r="M1498" t="s">
        <v>49</v>
      </c>
      <c r="N1498" t="s">
        <v>67</v>
      </c>
      <c r="O1498" t="s">
        <v>347</v>
      </c>
      <c r="P1498">
        <v>0</v>
      </c>
      <c r="Q1498" t="s">
        <v>69</v>
      </c>
      <c r="R1498" t="s">
        <v>51</v>
      </c>
      <c r="S1498">
        <v>1863</v>
      </c>
      <c r="T1498">
        <v>1908</v>
      </c>
      <c r="U1498" t="s">
        <v>6299</v>
      </c>
      <c r="V1498" t="s">
        <v>6300</v>
      </c>
      <c r="W1498" s="1">
        <v>2954</v>
      </c>
      <c r="X1498" s="2">
        <v>2954</v>
      </c>
      <c r="Y1498" t="s">
        <v>6301</v>
      </c>
      <c r="Z1498">
        <v>0</v>
      </c>
      <c r="AA1498">
        <v>3</v>
      </c>
      <c r="AB1498">
        <v>-999</v>
      </c>
      <c r="AC1498">
        <v>3</v>
      </c>
      <c r="AF1498">
        <v>1889</v>
      </c>
      <c r="AG1498">
        <v>1908</v>
      </c>
      <c r="AO1498" t="b">
        <v>1</v>
      </c>
      <c r="AP1498" t="s">
        <v>4202</v>
      </c>
      <c r="AQ1498">
        <v>1945</v>
      </c>
      <c r="AR1498">
        <v>1997</v>
      </c>
      <c r="AS1498" t="s">
        <v>6302</v>
      </c>
      <c r="AT1498">
        <v>18.2833675564681</v>
      </c>
      <c r="AU1498">
        <f t="shared" si="71"/>
        <v>0.05</v>
      </c>
    </row>
    <row r="1499" spans="1:47" x14ac:dyDescent="0.3">
      <c r="A1499">
        <v>1497</v>
      </c>
      <c r="B1499" t="s">
        <v>6303</v>
      </c>
      <c r="C1499" t="s">
        <v>6304</v>
      </c>
      <c r="D1499">
        <v>235</v>
      </c>
      <c r="E1499" t="s">
        <v>6291</v>
      </c>
      <c r="F1499" t="str">
        <f>VLOOKUP(E1499,country_continent!A:C,2,FALSE)</f>
        <v>Portugal</v>
      </c>
      <c r="G1499" t="str">
        <f>VLOOKUP(E1499,country_continent!A:C,3,FALSE)</f>
        <v>Europe</v>
      </c>
      <c r="H1499" t="s">
        <v>6305</v>
      </c>
      <c r="I1499" s="1">
        <v>2954</v>
      </c>
      <c r="J1499" s="3">
        <f t="shared" si="69"/>
        <v>2954</v>
      </c>
      <c r="K1499" s="1">
        <v>3931</v>
      </c>
      <c r="L1499" s="3">
        <f t="shared" si="70"/>
        <v>3931</v>
      </c>
      <c r="M1499" t="s">
        <v>49</v>
      </c>
      <c r="N1499" t="s">
        <v>67</v>
      </c>
      <c r="O1499" t="s">
        <v>347</v>
      </c>
      <c r="P1499">
        <v>0</v>
      </c>
      <c r="Q1499" t="s">
        <v>362</v>
      </c>
      <c r="R1499" t="s">
        <v>51</v>
      </c>
      <c r="S1499">
        <v>1889</v>
      </c>
      <c r="T1499">
        <v>1932</v>
      </c>
      <c r="U1499" t="s">
        <v>3011</v>
      </c>
      <c r="V1499" t="s">
        <v>3012</v>
      </c>
      <c r="W1499" s="1">
        <v>11872</v>
      </c>
      <c r="X1499" s="2">
        <v>11872</v>
      </c>
      <c r="Y1499" t="s">
        <v>6306</v>
      </c>
      <c r="Z1499">
        <v>0</v>
      </c>
      <c r="AA1499">
        <v>3</v>
      </c>
      <c r="AB1499">
        <v>-999</v>
      </c>
      <c r="AC1499">
        <v>1</v>
      </c>
      <c r="AF1499">
        <v>1908</v>
      </c>
      <c r="AG1499">
        <v>1910</v>
      </c>
      <c r="AO1499" t="b">
        <v>1</v>
      </c>
      <c r="AP1499" t="s">
        <v>4202</v>
      </c>
      <c r="AQ1499">
        <v>1945</v>
      </c>
      <c r="AR1499">
        <v>1997</v>
      </c>
      <c r="AS1499" t="s">
        <v>6307</v>
      </c>
      <c r="AT1499">
        <v>2.6748802190280601</v>
      </c>
      <c r="AU1499">
        <f t="shared" si="71"/>
        <v>7.0000000000000001E-3</v>
      </c>
    </row>
    <row r="1500" spans="1:47" x14ac:dyDescent="0.3">
      <c r="A1500">
        <v>1498</v>
      </c>
      <c r="B1500" t="s">
        <v>6308</v>
      </c>
      <c r="C1500" t="s">
        <v>6309</v>
      </c>
      <c r="D1500">
        <v>235</v>
      </c>
      <c r="E1500" t="s">
        <v>6291</v>
      </c>
      <c r="F1500" t="str">
        <f>VLOOKUP(E1500,country_continent!A:C,2,FALSE)</f>
        <v>Portugal</v>
      </c>
      <c r="G1500" t="str">
        <f>VLOOKUP(E1500,country_continent!A:C,3,FALSE)</f>
        <v>Europe</v>
      </c>
      <c r="H1500" t="s">
        <v>6310</v>
      </c>
      <c r="I1500" s="1">
        <v>3931</v>
      </c>
      <c r="J1500" s="3">
        <f t="shared" si="69"/>
        <v>3931</v>
      </c>
      <c r="K1500" s="1">
        <v>4254</v>
      </c>
      <c r="L1500" s="3">
        <f t="shared" si="70"/>
        <v>4254</v>
      </c>
      <c r="M1500" t="s">
        <v>67</v>
      </c>
      <c r="N1500" t="s">
        <v>49</v>
      </c>
      <c r="O1500" t="s">
        <v>49</v>
      </c>
      <c r="P1500">
        <v>0</v>
      </c>
      <c r="Q1500" t="s">
        <v>50</v>
      </c>
      <c r="R1500" t="s">
        <v>51</v>
      </c>
      <c r="S1500">
        <v>1843</v>
      </c>
      <c r="T1500">
        <v>1924</v>
      </c>
      <c r="Y1500" t="s">
        <v>6311</v>
      </c>
      <c r="Z1500">
        <v>1</v>
      </c>
      <c r="AA1500">
        <v>1</v>
      </c>
      <c r="AB1500">
        <v>0</v>
      </c>
      <c r="AC1500">
        <v>0</v>
      </c>
      <c r="AF1500">
        <v>1910</v>
      </c>
      <c r="AG1500">
        <v>1911</v>
      </c>
      <c r="AO1500" t="b">
        <v>1</v>
      </c>
      <c r="AP1500" t="s">
        <v>4202</v>
      </c>
      <c r="AQ1500">
        <v>1945</v>
      </c>
      <c r="AR1500">
        <v>1997</v>
      </c>
      <c r="AS1500" t="s">
        <v>6312</v>
      </c>
      <c r="AT1500">
        <v>0.88432580424366802</v>
      </c>
      <c r="AU1500">
        <f t="shared" si="71"/>
        <v>2E-3</v>
      </c>
    </row>
    <row r="1501" spans="1:47" x14ac:dyDescent="0.3">
      <c r="A1501">
        <v>1499</v>
      </c>
      <c r="B1501" t="s">
        <v>6313</v>
      </c>
      <c r="C1501" t="s">
        <v>6314</v>
      </c>
      <c r="D1501">
        <v>235</v>
      </c>
      <c r="E1501" t="s">
        <v>6291</v>
      </c>
      <c r="F1501" t="str">
        <f>VLOOKUP(E1501,country_continent!A:C,2,FALSE)</f>
        <v>Portugal</v>
      </c>
      <c r="G1501" t="str">
        <f>VLOOKUP(E1501,country_continent!A:C,3,FALSE)</f>
        <v>Europe</v>
      </c>
      <c r="H1501" t="s">
        <v>6315</v>
      </c>
      <c r="I1501" s="1">
        <v>4254</v>
      </c>
      <c r="J1501" s="3">
        <f t="shared" si="69"/>
        <v>4254</v>
      </c>
      <c r="K1501" s="1">
        <v>5628</v>
      </c>
      <c r="L1501" s="3">
        <f t="shared" si="70"/>
        <v>5628</v>
      </c>
      <c r="M1501" t="s">
        <v>49</v>
      </c>
      <c r="N1501" t="s">
        <v>49</v>
      </c>
      <c r="O1501" t="s">
        <v>49</v>
      </c>
      <c r="P1501">
        <v>0</v>
      </c>
      <c r="Q1501" t="s">
        <v>50</v>
      </c>
      <c r="R1501" t="s">
        <v>51</v>
      </c>
      <c r="S1501">
        <v>1840</v>
      </c>
      <c r="T1501">
        <v>1917</v>
      </c>
      <c r="Y1501" t="s">
        <v>6316</v>
      </c>
      <c r="Z1501">
        <v>0</v>
      </c>
      <c r="AA1501">
        <v>1</v>
      </c>
      <c r="AB1501">
        <v>0</v>
      </c>
      <c r="AC1501">
        <v>0</v>
      </c>
      <c r="AF1501">
        <v>1911</v>
      </c>
      <c r="AG1501">
        <v>1915</v>
      </c>
      <c r="AO1501" t="b">
        <v>1</v>
      </c>
      <c r="AP1501" t="s">
        <v>4202</v>
      </c>
      <c r="AQ1501">
        <v>1945</v>
      </c>
      <c r="AR1501">
        <v>1997</v>
      </c>
      <c r="AS1501" t="s">
        <v>6317</v>
      </c>
      <c r="AT1501">
        <v>3.7618069815194999</v>
      </c>
      <c r="AU1501">
        <f t="shared" si="71"/>
        <v>0.01</v>
      </c>
    </row>
    <row r="1502" spans="1:47" x14ac:dyDescent="0.3">
      <c r="A1502">
        <v>1500</v>
      </c>
      <c r="B1502" t="s">
        <v>6318</v>
      </c>
      <c r="C1502" t="s">
        <v>6309</v>
      </c>
      <c r="D1502">
        <v>235</v>
      </c>
      <c r="E1502" t="s">
        <v>6291</v>
      </c>
      <c r="F1502" t="str">
        <f>VLOOKUP(E1502,country_continent!A:C,2,FALSE)</f>
        <v>Portugal</v>
      </c>
      <c r="G1502" t="str">
        <f>VLOOKUP(E1502,country_continent!A:C,3,FALSE)</f>
        <v>Europe</v>
      </c>
      <c r="H1502" t="s">
        <v>6310</v>
      </c>
      <c r="I1502" s="1">
        <v>5628</v>
      </c>
      <c r="J1502" s="3">
        <f t="shared" si="69"/>
        <v>5628</v>
      </c>
      <c r="K1502" s="1">
        <v>5757</v>
      </c>
      <c r="L1502" s="3">
        <f t="shared" si="70"/>
        <v>5757</v>
      </c>
      <c r="M1502" t="s">
        <v>49</v>
      </c>
      <c r="N1502" t="s">
        <v>49</v>
      </c>
      <c r="O1502" t="s">
        <v>49</v>
      </c>
      <c r="P1502">
        <v>1</v>
      </c>
      <c r="Q1502" t="s">
        <v>50</v>
      </c>
      <c r="R1502" t="s">
        <v>51</v>
      </c>
      <c r="S1502">
        <v>1843</v>
      </c>
      <c r="T1502">
        <v>1924</v>
      </c>
      <c r="Y1502" t="s">
        <v>6311</v>
      </c>
      <c r="Z1502">
        <v>0</v>
      </c>
      <c r="AA1502">
        <v>1</v>
      </c>
      <c r="AB1502">
        <v>0</v>
      </c>
      <c r="AC1502">
        <v>0</v>
      </c>
      <c r="AF1502">
        <v>1915</v>
      </c>
      <c r="AG1502">
        <v>1915</v>
      </c>
      <c r="AO1502" t="b">
        <v>1</v>
      </c>
      <c r="AP1502" t="s">
        <v>4202</v>
      </c>
      <c r="AQ1502">
        <v>1945</v>
      </c>
      <c r="AR1502">
        <v>1997</v>
      </c>
      <c r="AS1502" t="s">
        <v>6319</v>
      </c>
      <c r="AT1502">
        <v>0.35318275154004097</v>
      </c>
      <c r="AU1502">
        <f t="shared" si="71"/>
        <v>1E-3</v>
      </c>
    </row>
    <row r="1503" spans="1:47" x14ac:dyDescent="0.3">
      <c r="A1503">
        <v>1501</v>
      </c>
      <c r="B1503" t="s">
        <v>6320</v>
      </c>
      <c r="C1503" t="s">
        <v>6321</v>
      </c>
      <c r="D1503">
        <v>235</v>
      </c>
      <c r="E1503" t="s">
        <v>6291</v>
      </c>
      <c r="F1503" t="str">
        <f>VLOOKUP(E1503,country_continent!A:C,2,FALSE)</f>
        <v>Portugal</v>
      </c>
      <c r="G1503" t="str">
        <f>VLOOKUP(E1503,country_continent!A:C,3,FALSE)</f>
        <v>Europe</v>
      </c>
      <c r="H1503" t="s">
        <v>6322</v>
      </c>
      <c r="I1503" s="1">
        <v>5757</v>
      </c>
      <c r="J1503" s="3">
        <f t="shared" si="69"/>
        <v>5757</v>
      </c>
      <c r="K1503" s="1">
        <v>6552</v>
      </c>
      <c r="L1503" s="3">
        <f t="shared" si="70"/>
        <v>6552</v>
      </c>
      <c r="M1503" t="s">
        <v>49</v>
      </c>
      <c r="N1503" t="s">
        <v>67</v>
      </c>
      <c r="O1503" t="s">
        <v>347</v>
      </c>
      <c r="P1503">
        <v>0</v>
      </c>
      <c r="Q1503" t="s">
        <v>463</v>
      </c>
      <c r="R1503" t="s">
        <v>51</v>
      </c>
      <c r="S1503">
        <v>1851</v>
      </c>
      <c r="T1503">
        <v>1944</v>
      </c>
      <c r="U1503" t="s">
        <v>6323</v>
      </c>
      <c r="V1503" t="s">
        <v>6324</v>
      </c>
      <c r="W1503" s="1">
        <v>16191</v>
      </c>
      <c r="X1503" s="2">
        <v>16191</v>
      </c>
      <c r="Z1503">
        <v>0</v>
      </c>
      <c r="AA1503">
        <v>3</v>
      </c>
      <c r="AB1503">
        <v>-999</v>
      </c>
      <c r="AC1503">
        <v>2</v>
      </c>
      <c r="AF1503">
        <v>1915</v>
      </c>
      <c r="AG1503">
        <v>1917</v>
      </c>
      <c r="AO1503" t="b">
        <v>1</v>
      </c>
      <c r="AP1503" t="s">
        <v>4202</v>
      </c>
      <c r="AQ1503">
        <v>1945</v>
      </c>
      <c r="AR1503">
        <v>1997</v>
      </c>
      <c r="AS1503" t="s">
        <v>6325</v>
      </c>
      <c r="AT1503">
        <v>2.1765913757700202</v>
      </c>
      <c r="AU1503">
        <f t="shared" si="71"/>
        <v>6.0000000000000001E-3</v>
      </c>
    </row>
    <row r="1504" spans="1:47" x14ac:dyDescent="0.3">
      <c r="A1504">
        <v>1502</v>
      </c>
      <c r="B1504" t="s">
        <v>6326</v>
      </c>
      <c r="C1504" t="s">
        <v>6327</v>
      </c>
      <c r="D1504">
        <v>235</v>
      </c>
      <c r="E1504" t="s">
        <v>6291</v>
      </c>
      <c r="F1504" t="str">
        <f>VLOOKUP(E1504,country_continent!A:C,2,FALSE)</f>
        <v>Portugal</v>
      </c>
      <c r="G1504" t="str">
        <f>VLOOKUP(E1504,country_continent!A:C,3,FALSE)</f>
        <v>Europe</v>
      </c>
      <c r="H1504" t="s">
        <v>6328</v>
      </c>
      <c r="I1504" s="1">
        <v>6552</v>
      </c>
      <c r="J1504" s="3">
        <f t="shared" si="69"/>
        <v>6552</v>
      </c>
      <c r="K1504" s="1">
        <v>6923</v>
      </c>
      <c r="L1504" s="3">
        <f t="shared" si="70"/>
        <v>6923</v>
      </c>
      <c r="M1504" t="s">
        <v>67</v>
      </c>
      <c r="N1504" t="s">
        <v>67</v>
      </c>
      <c r="O1504" t="s">
        <v>347</v>
      </c>
      <c r="P1504">
        <v>0</v>
      </c>
      <c r="Q1504" t="s">
        <v>69</v>
      </c>
      <c r="R1504" t="s">
        <v>51</v>
      </c>
      <c r="S1504">
        <v>1872</v>
      </c>
      <c r="T1504">
        <v>1918</v>
      </c>
      <c r="Y1504" t="s">
        <v>6329</v>
      </c>
      <c r="Z1504">
        <v>1</v>
      </c>
      <c r="AA1504">
        <v>3</v>
      </c>
      <c r="AB1504">
        <v>-999</v>
      </c>
      <c r="AC1504">
        <v>3</v>
      </c>
      <c r="AF1504">
        <v>1917</v>
      </c>
      <c r="AG1504">
        <v>1918</v>
      </c>
      <c r="AO1504" t="b">
        <v>1</v>
      </c>
      <c r="AP1504" t="s">
        <v>4202</v>
      </c>
      <c r="AQ1504">
        <v>1945</v>
      </c>
      <c r="AR1504">
        <v>1997</v>
      </c>
      <c r="AS1504" t="s">
        <v>6330</v>
      </c>
      <c r="AT1504">
        <v>1.0157426420260001</v>
      </c>
      <c r="AU1504">
        <f t="shared" si="71"/>
        <v>3.0000000000000001E-3</v>
      </c>
    </row>
    <row r="1505" spans="1:47" x14ac:dyDescent="0.3">
      <c r="A1505">
        <v>1503</v>
      </c>
      <c r="B1505" t="s">
        <v>6331</v>
      </c>
      <c r="C1505" t="s">
        <v>6332</v>
      </c>
      <c r="D1505">
        <v>235</v>
      </c>
      <c r="E1505" t="s">
        <v>6291</v>
      </c>
      <c r="F1505" t="str">
        <f>VLOOKUP(E1505,country_continent!A:C,2,FALSE)</f>
        <v>Portugal</v>
      </c>
      <c r="G1505" t="str">
        <f>VLOOKUP(E1505,country_continent!A:C,3,FALSE)</f>
        <v>Europe</v>
      </c>
      <c r="H1505" t="s">
        <v>6333</v>
      </c>
      <c r="I1505" s="1">
        <v>6925</v>
      </c>
      <c r="J1505" s="3">
        <f t="shared" si="69"/>
        <v>6925</v>
      </c>
      <c r="K1505" s="1">
        <v>7218</v>
      </c>
      <c r="L1505" s="3">
        <f t="shared" si="70"/>
        <v>7218</v>
      </c>
      <c r="M1505" t="s">
        <v>49</v>
      </c>
      <c r="N1505" t="s">
        <v>49</v>
      </c>
      <c r="O1505" t="s">
        <v>49</v>
      </c>
      <c r="P1505">
        <v>0</v>
      </c>
      <c r="Q1505" t="s">
        <v>50</v>
      </c>
      <c r="R1505" t="s">
        <v>51</v>
      </c>
      <c r="S1505">
        <v>1862</v>
      </c>
      <c r="T1505">
        <v>1934</v>
      </c>
      <c r="Y1505" t="s">
        <v>6334</v>
      </c>
      <c r="Z1505">
        <v>0</v>
      </c>
      <c r="AA1505">
        <v>1</v>
      </c>
      <c r="AB1505">
        <v>0</v>
      </c>
      <c r="AC1505">
        <v>0</v>
      </c>
      <c r="AF1505">
        <v>1918</v>
      </c>
      <c r="AG1505">
        <v>1919</v>
      </c>
      <c r="AO1505" t="b">
        <v>1</v>
      </c>
      <c r="AP1505" t="s">
        <v>4202</v>
      </c>
      <c r="AQ1505">
        <v>1945</v>
      </c>
      <c r="AR1505">
        <v>1997</v>
      </c>
      <c r="AS1505" t="s">
        <v>6335</v>
      </c>
      <c r="AT1505">
        <v>0.80219028062970499</v>
      </c>
      <c r="AU1505">
        <f t="shared" si="71"/>
        <v>2E-3</v>
      </c>
    </row>
    <row r="1506" spans="1:47" x14ac:dyDescent="0.3">
      <c r="A1506">
        <v>1504</v>
      </c>
      <c r="B1506" t="s">
        <v>6336</v>
      </c>
      <c r="C1506" t="s">
        <v>6337</v>
      </c>
      <c r="D1506">
        <v>235</v>
      </c>
      <c r="E1506" t="s">
        <v>6291</v>
      </c>
      <c r="F1506" t="str">
        <f>VLOOKUP(E1506,country_continent!A:C,2,FALSE)</f>
        <v>Portugal</v>
      </c>
      <c r="G1506" t="str">
        <f>VLOOKUP(E1506,country_continent!A:C,3,FALSE)</f>
        <v>Europe</v>
      </c>
      <c r="H1506" t="s">
        <v>6338</v>
      </c>
      <c r="I1506" s="1">
        <v>7218</v>
      </c>
      <c r="J1506" s="3">
        <f t="shared" si="69"/>
        <v>7218</v>
      </c>
      <c r="K1506" s="1">
        <v>8619</v>
      </c>
      <c r="L1506" s="3">
        <f t="shared" si="70"/>
        <v>8619</v>
      </c>
      <c r="M1506" t="s">
        <v>49</v>
      </c>
      <c r="N1506" t="s">
        <v>49</v>
      </c>
      <c r="O1506" t="s">
        <v>49</v>
      </c>
      <c r="P1506">
        <v>0</v>
      </c>
      <c r="Q1506" t="s">
        <v>50</v>
      </c>
      <c r="R1506" t="s">
        <v>51</v>
      </c>
      <c r="S1506">
        <v>1866</v>
      </c>
      <c r="T1506">
        <v>1929</v>
      </c>
      <c r="Y1506" t="s">
        <v>6339</v>
      </c>
      <c r="Z1506">
        <v>0</v>
      </c>
      <c r="AA1506">
        <v>1</v>
      </c>
      <c r="AB1506">
        <v>0</v>
      </c>
      <c r="AC1506">
        <v>0</v>
      </c>
      <c r="AF1506">
        <v>1919</v>
      </c>
      <c r="AG1506">
        <v>1923</v>
      </c>
      <c r="AO1506" t="b">
        <v>1</v>
      </c>
      <c r="AP1506" t="s">
        <v>4202</v>
      </c>
      <c r="AQ1506">
        <v>1945</v>
      </c>
      <c r="AR1506">
        <v>1997</v>
      </c>
      <c r="AS1506" t="s">
        <v>6340</v>
      </c>
      <c r="AT1506">
        <v>3.8357289527720702</v>
      </c>
      <c r="AU1506">
        <f t="shared" si="71"/>
        <v>1.0999999999999999E-2</v>
      </c>
    </row>
    <row r="1507" spans="1:47" x14ac:dyDescent="0.3">
      <c r="A1507">
        <v>1505</v>
      </c>
      <c r="B1507" t="s">
        <v>6341</v>
      </c>
      <c r="C1507" t="s">
        <v>6342</v>
      </c>
      <c r="D1507">
        <v>235</v>
      </c>
      <c r="E1507" t="s">
        <v>6291</v>
      </c>
      <c r="F1507" t="str">
        <f>VLOOKUP(E1507,country_continent!A:C,2,FALSE)</f>
        <v>Portugal</v>
      </c>
      <c r="G1507" t="str">
        <f>VLOOKUP(E1507,country_continent!A:C,3,FALSE)</f>
        <v>Europe</v>
      </c>
      <c r="H1507" t="s">
        <v>6343</v>
      </c>
      <c r="I1507" s="1">
        <v>8619</v>
      </c>
      <c r="J1507" s="3">
        <f t="shared" si="69"/>
        <v>8619</v>
      </c>
      <c r="K1507" s="1">
        <v>9477</v>
      </c>
      <c r="L1507" s="3">
        <f t="shared" si="70"/>
        <v>9477</v>
      </c>
      <c r="M1507" t="s">
        <v>49</v>
      </c>
      <c r="N1507" t="s">
        <v>228</v>
      </c>
      <c r="O1507" t="s">
        <v>49</v>
      </c>
      <c r="P1507">
        <v>0</v>
      </c>
      <c r="Q1507" t="s">
        <v>50</v>
      </c>
      <c r="R1507" t="s">
        <v>51</v>
      </c>
      <c r="S1507">
        <v>1860</v>
      </c>
      <c r="T1507">
        <v>1941</v>
      </c>
      <c r="Y1507" t="s">
        <v>6344</v>
      </c>
      <c r="Z1507">
        <v>0</v>
      </c>
      <c r="AA1507">
        <v>2.0999998999999998</v>
      </c>
      <c r="AB1507">
        <v>0</v>
      </c>
      <c r="AC1507">
        <v>0</v>
      </c>
      <c r="AF1507">
        <v>1923</v>
      </c>
      <c r="AG1507">
        <v>1925</v>
      </c>
      <c r="AO1507" t="b">
        <v>1</v>
      </c>
      <c r="AP1507" t="s">
        <v>4202</v>
      </c>
      <c r="AQ1507">
        <v>1945</v>
      </c>
      <c r="AR1507">
        <v>1997</v>
      </c>
      <c r="AS1507" t="s">
        <v>6345</v>
      </c>
      <c r="AT1507">
        <v>2.34907597535934</v>
      </c>
      <c r="AU1507">
        <f t="shared" si="71"/>
        <v>6.0000000000000001E-3</v>
      </c>
    </row>
    <row r="1508" spans="1:47" x14ac:dyDescent="0.3">
      <c r="A1508">
        <v>1506</v>
      </c>
      <c r="B1508" t="s">
        <v>6346</v>
      </c>
      <c r="C1508" t="s">
        <v>6321</v>
      </c>
      <c r="D1508">
        <v>235</v>
      </c>
      <c r="E1508" t="s">
        <v>6291</v>
      </c>
      <c r="F1508" t="str">
        <f>VLOOKUP(E1508,country_continent!A:C,2,FALSE)</f>
        <v>Portugal</v>
      </c>
      <c r="G1508" t="str">
        <f>VLOOKUP(E1508,country_continent!A:C,3,FALSE)</f>
        <v>Europe</v>
      </c>
      <c r="H1508" t="s">
        <v>6322</v>
      </c>
      <c r="I1508" s="1">
        <v>9482</v>
      </c>
      <c r="J1508" s="3">
        <f t="shared" si="69"/>
        <v>9482</v>
      </c>
      <c r="K1508" s="1">
        <v>9645</v>
      </c>
      <c r="L1508" s="3">
        <f t="shared" si="70"/>
        <v>9645</v>
      </c>
      <c r="M1508" t="s">
        <v>49</v>
      </c>
      <c r="N1508" t="s">
        <v>67</v>
      </c>
      <c r="O1508" t="s">
        <v>376</v>
      </c>
      <c r="P1508">
        <v>1</v>
      </c>
      <c r="Q1508" t="s">
        <v>362</v>
      </c>
      <c r="R1508" t="s">
        <v>51</v>
      </c>
      <c r="S1508">
        <v>1851</v>
      </c>
      <c r="T1508">
        <v>1944</v>
      </c>
      <c r="U1508" t="s">
        <v>6323</v>
      </c>
      <c r="V1508" t="s">
        <v>6324</v>
      </c>
      <c r="W1508" s="1">
        <v>16191</v>
      </c>
      <c r="X1508" s="2">
        <v>16191</v>
      </c>
      <c r="Z1508">
        <v>0</v>
      </c>
      <c r="AA1508">
        <v>3</v>
      </c>
      <c r="AB1508">
        <v>6</v>
      </c>
      <c r="AC1508">
        <v>1</v>
      </c>
      <c r="AF1508">
        <v>1925</v>
      </c>
      <c r="AG1508">
        <v>1926</v>
      </c>
      <c r="AO1508" t="b">
        <v>1</v>
      </c>
      <c r="AP1508" t="s">
        <v>4202</v>
      </c>
      <c r="AQ1508">
        <v>1945</v>
      </c>
      <c r="AR1508">
        <v>1997</v>
      </c>
      <c r="AS1508" t="s">
        <v>6347</v>
      </c>
      <c r="AT1508">
        <v>0.446269678302532</v>
      </c>
      <c r="AU1508">
        <f t="shared" si="71"/>
        <v>1E-3</v>
      </c>
    </row>
    <row r="1509" spans="1:47" x14ac:dyDescent="0.3">
      <c r="A1509">
        <v>1507</v>
      </c>
      <c r="B1509" t="s">
        <v>6348</v>
      </c>
      <c r="C1509" t="s">
        <v>6349</v>
      </c>
      <c r="D1509">
        <v>235</v>
      </c>
      <c r="E1509" t="s">
        <v>6291</v>
      </c>
      <c r="F1509" t="str">
        <f>VLOOKUP(E1509,country_continent!A:C,2,FALSE)</f>
        <v>Portugal</v>
      </c>
      <c r="G1509" t="str">
        <f>VLOOKUP(E1509,country_continent!A:C,3,FALSE)</f>
        <v>Europe</v>
      </c>
      <c r="H1509" t="s">
        <v>6350</v>
      </c>
      <c r="I1509" s="1">
        <v>9645</v>
      </c>
      <c r="J1509" s="3">
        <f t="shared" si="69"/>
        <v>9645</v>
      </c>
      <c r="K1509" s="1">
        <v>11875</v>
      </c>
      <c r="L1509" s="3">
        <f t="shared" si="70"/>
        <v>11875</v>
      </c>
      <c r="M1509" t="s">
        <v>67</v>
      </c>
      <c r="N1509" t="s">
        <v>49</v>
      </c>
      <c r="O1509" t="s">
        <v>49</v>
      </c>
      <c r="P1509">
        <v>0</v>
      </c>
      <c r="Q1509" t="s">
        <v>50</v>
      </c>
      <c r="R1509" t="s">
        <v>51</v>
      </c>
      <c r="S1509">
        <v>1869</v>
      </c>
      <c r="T1509">
        <v>1951</v>
      </c>
      <c r="U1509" t="s">
        <v>6351</v>
      </c>
      <c r="V1509" t="s">
        <v>6352</v>
      </c>
      <c r="Z1509">
        <v>1</v>
      </c>
      <c r="AA1509">
        <v>1</v>
      </c>
      <c r="AB1509">
        <v>0</v>
      </c>
      <c r="AC1509">
        <v>0</v>
      </c>
      <c r="AF1509">
        <v>1926</v>
      </c>
      <c r="AG1509">
        <v>1932</v>
      </c>
      <c r="AO1509" t="b">
        <v>1</v>
      </c>
      <c r="AP1509" t="s">
        <v>4202</v>
      </c>
      <c r="AQ1509">
        <v>1945</v>
      </c>
      <c r="AR1509">
        <v>1997</v>
      </c>
      <c r="AS1509" t="s">
        <v>6353</v>
      </c>
      <c r="AT1509">
        <v>6.1054072553045797</v>
      </c>
      <c r="AU1509">
        <f t="shared" si="71"/>
        <v>1.7000000000000001E-2</v>
      </c>
    </row>
    <row r="1510" spans="1:47" x14ac:dyDescent="0.3">
      <c r="A1510">
        <v>1508</v>
      </c>
      <c r="B1510" t="s">
        <v>6354</v>
      </c>
      <c r="C1510" t="s">
        <v>6355</v>
      </c>
      <c r="D1510">
        <v>235</v>
      </c>
      <c r="E1510" t="s">
        <v>6291</v>
      </c>
      <c r="F1510" t="str">
        <f>VLOOKUP(E1510,country_continent!A:C,2,FALSE)</f>
        <v>Portugal</v>
      </c>
      <c r="G1510" t="str">
        <f>VLOOKUP(E1510,country_continent!A:C,3,FALSE)</f>
        <v>Europe</v>
      </c>
      <c r="H1510" t="s">
        <v>6356</v>
      </c>
      <c r="I1510" s="1">
        <v>11875</v>
      </c>
      <c r="J1510" s="3">
        <f t="shared" si="69"/>
        <v>11875</v>
      </c>
      <c r="K1510" s="1">
        <v>25097</v>
      </c>
      <c r="L1510" s="3">
        <f t="shared" si="70"/>
        <v>25097</v>
      </c>
      <c r="M1510" t="s">
        <v>49</v>
      </c>
      <c r="N1510" t="s">
        <v>110</v>
      </c>
      <c r="O1510" t="s">
        <v>49</v>
      </c>
      <c r="P1510">
        <v>0</v>
      </c>
      <c r="Q1510" t="s">
        <v>111</v>
      </c>
      <c r="R1510" t="s">
        <v>51</v>
      </c>
      <c r="S1510">
        <v>1889</v>
      </c>
      <c r="T1510">
        <v>1970</v>
      </c>
      <c r="Y1510" t="s">
        <v>6357</v>
      </c>
      <c r="Z1510">
        <v>0</v>
      </c>
      <c r="AA1510">
        <v>2</v>
      </c>
      <c r="AB1510">
        <v>0</v>
      </c>
      <c r="AC1510">
        <v>-777</v>
      </c>
      <c r="AF1510">
        <v>1932</v>
      </c>
      <c r="AG1510">
        <v>1968</v>
      </c>
      <c r="AO1510" t="b">
        <v>1</v>
      </c>
      <c r="AP1510" t="s">
        <v>4202</v>
      </c>
      <c r="AQ1510">
        <v>1945</v>
      </c>
      <c r="AR1510">
        <v>1997</v>
      </c>
      <c r="AS1510" t="s">
        <v>6358</v>
      </c>
      <c r="AT1510">
        <v>36.199863107460601</v>
      </c>
      <c r="AU1510">
        <f t="shared" si="71"/>
        <v>9.9000000000000005E-2</v>
      </c>
    </row>
    <row r="1511" spans="1:47" x14ac:dyDescent="0.3">
      <c r="A1511">
        <v>1509</v>
      </c>
      <c r="B1511" t="s">
        <v>6359</v>
      </c>
      <c r="C1511" t="s">
        <v>6360</v>
      </c>
      <c r="D1511">
        <v>235</v>
      </c>
      <c r="E1511" t="s">
        <v>6291</v>
      </c>
      <c r="F1511" t="str">
        <f>VLOOKUP(E1511,country_continent!A:C,2,FALSE)</f>
        <v>Portugal</v>
      </c>
      <c r="G1511" t="str">
        <f>VLOOKUP(E1511,country_continent!A:C,3,FALSE)</f>
        <v>Europe</v>
      </c>
      <c r="H1511" t="s">
        <v>6361</v>
      </c>
      <c r="I1511" s="1">
        <v>25108</v>
      </c>
      <c r="J1511" s="3">
        <f t="shared" si="69"/>
        <v>25108</v>
      </c>
      <c r="K1511" s="1">
        <v>27144</v>
      </c>
      <c r="L1511" s="3">
        <f t="shared" si="70"/>
        <v>27144</v>
      </c>
      <c r="M1511" t="s">
        <v>49</v>
      </c>
      <c r="N1511" t="s">
        <v>67</v>
      </c>
      <c r="O1511" t="s">
        <v>376</v>
      </c>
      <c r="P1511">
        <v>0</v>
      </c>
      <c r="Q1511" t="s">
        <v>362</v>
      </c>
      <c r="R1511" t="s">
        <v>51</v>
      </c>
      <c r="S1511">
        <v>1906</v>
      </c>
      <c r="T1511">
        <v>1980</v>
      </c>
      <c r="U1511" s="1">
        <v>2421</v>
      </c>
      <c r="V1511" s="2">
        <v>2421</v>
      </c>
      <c r="W1511" s="1">
        <v>29520</v>
      </c>
      <c r="X1511" s="2">
        <v>29520</v>
      </c>
      <c r="Y1511" t="s">
        <v>6362</v>
      </c>
      <c r="Z1511">
        <v>0</v>
      </c>
      <c r="AA1511">
        <v>3</v>
      </c>
      <c r="AB1511">
        <v>6</v>
      </c>
      <c r="AC1511">
        <v>1</v>
      </c>
      <c r="AF1511">
        <v>1968</v>
      </c>
      <c r="AG1511">
        <v>1974</v>
      </c>
      <c r="AO1511" t="b">
        <v>1</v>
      </c>
      <c r="AP1511" t="s">
        <v>4202</v>
      </c>
      <c r="AQ1511">
        <v>1945</v>
      </c>
      <c r="AR1511">
        <v>1997</v>
      </c>
      <c r="AS1511" t="s">
        <v>6363</v>
      </c>
      <c r="AT1511">
        <v>5.5742642026009497</v>
      </c>
      <c r="AU1511">
        <f t="shared" si="71"/>
        <v>1.4999999999999999E-2</v>
      </c>
    </row>
    <row r="1512" spans="1:47" x14ac:dyDescent="0.3">
      <c r="A1512">
        <v>1510</v>
      </c>
      <c r="B1512" t="s">
        <v>6364</v>
      </c>
      <c r="C1512" t="s">
        <v>6365</v>
      </c>
      <c r="D1512">
        <v>235</v>
      </c>
      <c r="E1512" t="s">
        <v>6291</v>
      </c>
      <c r="F1512" t="str">
        <f>VLOOKUP(E1512,country_continent!A:C,2,FALSE)</f>
        <v>Portugal</v>
      </c>
      <c r="G1512" t="str">
        <f>VLOOKUP(E1512,country_continent!A:C,3,FALSE)</f>
        <v>Europe</v>
      </c>
      <c r="H1512" t="s">
        <v>6366</v>
      </c>
      <c r="I1512" s="1">
        <v>27144</v>
      </c>
      <c r="J1512" s="3">
        <f t="shared" si="69"/>
        <v>27144</v>
      </c>
      <c r="K1512" s="1">
        <v>27302</v>
      </c>
      <c r="L1512" s="3">
        <f t="shared" si="70"/>
        <v>27302</v>
      </c>
      <c r="M1512" t="s">
        <v>67</v>
      </c>
      <c r="N1512" t="s">
        <v>49</v>
      </c>
      <c r="O1512" t="s">
        <v>49</v>
      </c>
      <c r="P1512">
        <v>0</v>
      </c>
      <c r="Q1512" t="s">
        <v>463</v>
      </c>
      <c r="R1512" t="s">
        <v>51</v>
      </c>
      <c r="S1512">
        <v>1910</v>
      </c>
      <c r="T1512">
        <v>1996</v>
      </c>
      <c r="U1512" s="1">
        <v>3754</v>
      </c>
      <c r="V1512" s="2">
        <v>3754</v>
      </c>
      <c r="W1512" s="1">
        <v>35290</v>
      </c>
      <c r="X1512" s="2">
        <v>35290</v>
      </c>
      <c r="Z1512">
        <v>1</v>
      </c>
      <c r="AA1512">
        <v>1</v>
      </c>
      <c r="AB1512">
        <v>0</v>
      </c>
      <c r="AC1512">
        <v>2</v>
      </c>
      <c r="AF1512">
        <v>1974</v>
      </c>
      <c r="AG1512">
        <v>1974</v>
      </c>
      <c r="AO1512" t="b">
        <v>1</v>
      </c>
      <c r="AP1512" t="s">
        <v>4202</v>
      </c>
      <c r="AQ1512">
        <v>1945</v>
      </c>
      <c r="AR1512">
        <v>1997</v>
      </c>
      <c r="AS1512" t="s">
        <v>6367</v>
      </c>
      <c r="AT1512">
        <v>0.432580424366872</v>
      </c>
      <c r="AU1512">
        <f t="shared" si="71"/>
        <v>1E-3</v>
      </c>
    </row>
    <row r="1513" spans="1:47" x14ac:dyDescent="0.3">
      <c r="A1513">
        <v>1511</v>
      </c>
      <c r="B1513" t="s">
        <v>6368</v>
      </c>
      <c r="C1513" t="s">
        <v>6369</v>
      </c>
      <c r="D1513">
        <v>235</v>
      </c>
      <c r="E1513" t="s">
        <v>6291</v>
      </c>
      <c r="F1513" t="str">
        <f>VLOOKUP(E1513,country_continent!A:C,2,FALSE)</f>
        <v>Portugal</v>
      </c>
      <c r="G1513" t="str">
        <f>VLOOKUP(E1513,country_continent!A:C,3,FALSE)</f>
        <v>Europe</v>
      </c>
      <c r="H1513" t="s">
        <v>6370</v>
      </c>
      <c r="I1513" s="1">
        <v>27302</v>
      </c>
      <c r="J1513" s="3">
        <f t="shared" si="69"/>
        <v>27302</v>
      </c>
      <c r="K1513" s="1">
        <v>27964</v>
      </c>
      <c r="L1513" s="3">
        <f t="shared" si="70"/>
        <v>27964</v>
      </c>
      <c r="M1513" t="s">
        <v>49</v>
      </c>
      <c r="N1513" t="s">
        <v>49</v>
      </c>
      <c r="O1513" t="s">
        <v>49</v>
      </c>
      <c r="P1513">
        <v>0</v>
      </c>
      <c r="Q1513" t="s">
        <v>50</v>
      </c>
      <c r="R1513" t="s">
        <v>51</v>
      </c>
      <c r="S1513">
        <v>1914</v>
      </c>
      <c r="T1513">
        <v>2001</v>
      </c>
      <c r="U1513" s="1">
        <v>5295</v>
      </c>
      <c r="V1513" s="2">
        <v>5295</v>
      </c>
      <c r="Z1513">
        <v>0</v>
      </c>
      <c r="AA1513">
        <v>1</v>
      </c>
      <c r="AB1513">
        <v>0</v>
      </c>
      <c r="AC1513">
        <v>0</v>
      </c>
      <c r="AF1513">
        <v>1974</v>
      </c>
      <c r="AG1513">
        <v>1976</v>
      </c>
      <c r="AO1513" t="b">
        <v>1</v>
      </c>
      <c r="AP1513" t="s">
        <v>4202</v>
      </c>
      <c r="AQ1513">
        <v>1945</v>
      </c>
      <c r="AR1513">
        <v>1997</v>
      </c>
      <c r="AS1513" t="s">
        <v>6371</v>
      </c>
      <c r="AT1513">
        <v>1.81245722108145</v>
      </c>
      <c r="AU1513">
        <f t="shared" si="71"/>
        <v>5.0000000000000001E-3</v>
      </c>
    </row>
    <row r="1514" spans="1:47" x14ac:dyDescent="0.3">
      <c r="A1514">
        <v>1512</v>
      </c>
      <c r="B1514" t="s">
        <v>6372</v>
      </c>
      <c r="C1514" t="s">
        <v>6373</v>
      </c>
      <c r="D1514">
        <v>235</v>
      </c>
      <c r="E1514" t="s">
        <v>6291</v>
      </c>
      <c r="F1514" t="str">
        <f>VLOOKUP(E1514,country_continent!A:C,2,FALSE)</f>
        <v>Portugal</v>
      </c>
      <c r="G1514" t="str">
        <f>VLOOKUP(E1514,country_continent!A:C,3,FALSE)</f>
        <v>Europe</v>
      </c>
      <c r="H1514" t="s">
        <v>6374</v>
      </c>
      <c r="I1514" s="1">
        <v>27964</v>
      </c>
      <c r="J1514" s="3">
        <f t="shared" si="69"/>
        <v>27964</v>
      </c>
      <c r="K1514" s="1">
        <v>31480</v>
      </c>
      <c r="L1514" s="3">
        <f t="shared" si="70"/>
        <v>31480</v>
      </c>
      <c r="M1514" t="s">
        <v>49</v>
      </c>
      <c r="N1514" t="s">
        <v>49</v>
      </c>
      <c r="O1514" t="s">
        <v>49</v>
      </c>
      <c r="P1514">
        <v>0</v>
      </c>
      <c r="Q1514" t="s">
        <v>50</v>
      </c>
      <c r="R1514" t="s">
        <v>51</v>
      </c>
      <c r="S1514">
        <v>1935</v>
      </c>
      <c r="T1514">
        <v>-777</v>
      </c>
      <c r="U1514" s="1">
        <v>12809</v>
      </c>
      <c r="V1514" s="2">
        <v>12809</v>
      </c>
      <c r="Z1514">
        <v>0</v>
      </c>
      <c r="AA1514">
        <v>1</v>
      </c>
      <c r="AB1514">
        <v>0</v>
      </c>
      <c r="AC1514">
        <v>0</v>
      </c>
      <c r="AF1514">
        <v>1976</v>
      </c>
      <c r="AG1514">
        <v>1986</v>
      </c>
      <c r="AO1514" t="b">
        <v>1</v>
      </c>
      <c r="AP1514" t="s">
        <v>4202</v>
      </c>
      <c r="AQ1514">
        <v>1945</v>
      </c>
      <c r="AR1514">
        <v>1997</v>
      </c>
      <c r="AS1514" t="s">
        <v>6375</v>
      </c>
      <c r="AT1514">
        <v>9.6262833675564607</v>
      </c>
      <c r="AU1514">
        <f t="shared" si="71"/>
        <v>2.5999999999999999E-2</v>
      </c>
    </row>
    <row r="1515" spans="1:47" x14ac:dyDescent="0.3">
      <c r="A1515">
        <v>1513</v>
      </c>
      <c r="B1515" t="s">
        <v>6376</v>
      </c>
      <c r="C1515" t="s">
        <v>6377</v>
      </c>
      <c r="D1515">
        <v>235</v>
      </c>
      <c r="E1515" t="s">
        <v>6291</v>
      </c>
      <c r="F1515" t="str">
        <f>VLOOKUP(E1515,country_continent!A:C,2,FALSE)</f>
        <v>Portugal</v>
      </c>
      <c r="G1515" t="str">
        <f>VLOOKUP(E1515,country_continent!A:C,3,FALSE)</f>
        <v>Europe</v>
      </c>
      <c r="H1515" t="s">
        <v>6378</v>
      </c>
      <c r="I1515" s="1">
        <v>31480</v>
      </c>
      <c r="J1515" s="3">
        <f t="shared" si="69"/>
        <v>31480</v>
      </c>
      <c r="K1515" s="1">
        <v>35133</v>
      </c>
      <c r="L1515" s="3">
        <f t="shared" si="70"/>
        <v>35133</v>
      </c>
      <c r="M1515" t="s">
        <v>49</v>
      </c>
      <c r="N1515" t="s">
        <v>49</v>
      </c>
      <c r="O1515" t="s">
        <v>49</v>
      </c>
      <c r="P1515">
        <v>0</v>
      </c>
      <c r="Q1515" t="s">
        <v>50</v>
      </c>
      <c r="R1515" t="s">
        <v>51</v>
      </c>
      <c r="S1515">
        <v>1924</v>
      </c>
      <c r="T1515">
        <v>-777</v>
      </c>
      <c r="U1515" s="1">
        <v>9108</v>
      </c>
      <c r="V1515" s="2">
        <v>9108</v>
      </c>
      <c r="Y1515" t="s">
        <v>6379</v>
      </c>
      <c r="Z1515">
        <v>0</v>
      </c>
      <c r="AA1515">
        <v>1</v>
      </c>
      <c r="AB1515">
        <v>0</v>
      </c>
      <c r="AC1515">
        <v>0</v>
      </c>
      <c r="AF1515">
        <v>1986</v>
      </c>
      <c r="AG1515">
        <v>1996</v>
      </c>
      <c r="AO1515" t="b">
        <v>1</v>
      </c>
      <c r="AP1515" t="s">
        <v>4202</v>
      </c>
      <c r="AQ1515">
        <v>1945</v>
      </c>
      <c r="AR1515">
        <v>1997</v>
      </c>
      <c r="AS1515" t="s">
        <v>6380</v>
      </c>
      <c r="AT1515">
        <v>10.0013689253935</v>
      </c>
      <c r="AU1515">
        <f t="shared" si="71"/>
        <v>2.7E-2</v>
      </c>
    </row>
    <row r="1516" spans="1:47" x14ac:dyDescent="0.3">
      <c r="A1516">
        <v>1514</v>
      </c>
      <c r="B1516" t="s">
        <v>6381</v>
      </c>
      <c r="C1516" t="s">
        <v>6382</v>
      </c>
      <c r="D1516">
        <v>235</v>
      </c>
      <c r="E1516" t="s">
        <v>6291</v>
      </c>
      <c r="F1516" t="str">
        <f>VLOOKUP(E1516,country_continent!A:C,2,FALSE)</f>
        <v>Portugal</v>
      </c>
      <c r="G1516" t="str">
        <f>VLOOKUP(E1516,country_continent!A:C,3,FALSE)</f>
        <v>Europe</v>
      </c>
      <c r="H1516" t="s">
        <v>6383</v>
      </c>
      <c r="I1516" s="1">
        <v>35133</v>
      </c>
      <c r="J1516" s="3">
        <f t="shared" si="69"/>
        <v>35133</v>
      </c>
      <c r="K1516" s="1">
        <v>38785</v>
      </c>
      <c r="L1516" s="3">
        <f t="shared" si="70"/>
        <v>38785</v>
      </c>
      <c r="M1516" t="s">
        <v>49</v>
      </c>
      <c r="N1516" t="s">
        <v>49</v>
      </c>
      <c r="O1516" t="s">
        <v>49</v>
      </c>
      <c r="P1516">
        <v>0</v>
      </c>
      <c r="Q1516" t="s">
        <v>50</v>
      </c>
      <c r="R1516" t="s">
        <v>51</v>
      </c>
      <c r="S1516">
        <v>1939</v>
      </c>
      <c r="T1516">
        <v>-777</v>
      </c>
      <c r="Z1516">
        <v>0</v>
      </c>
      <c r="AA1516">
        <v>1</v>
      </c>
      <c r="AB1516">
        <v>0</v>
      </c>
      <c r="AC1516">
        <v>0</v>
      </c>
      <c r="AF1516">
        <v>1996</v>
      </c>
      <c r="AG1516">
        <v>2006</v>
      </c>
      <c r="AO1516" t="b">
        <v>1</v>
      </c>
      <c r="AP1516" t="s">
        <v>4202</v>
      </c>
      <c r="AQ1516">
        <v>1945</v>
      </c>
      <c r="AR1516">
        <v>1997</v>
      </c>
      <c r="AS1516" t="s">
        <v>6384</v>
      </c>
      <c r="AT1516">
        <v>9.9986310746064309</v>
      </c>
      <c r="AU1516">
        <f t="shared" si="71"/>
        <v>2.7E-2</v>
      </c>
    </row>
    <row r="1517" spans="1:47" x14ac:dyDescent="0.3">
      <c r="A1517">
        <v>1515</v>
      </c>
      <c r="B1517" t="s">
        <v>6385</v>
      </c>
      <c r="C1517" t="s">
        <v>6386</v>
      </c>
      <c r="D1517">
        <v>235</v>
      </c>
      <c r="E1517" t="s">
        <v>6291</v>
      </c>
      <c r="F1517" t="str">
        <f>VLOOKUP(E1517,country_continent!A:C,2,FALSE)</f>
        <v>Portugal</v>
      </c>
      <c r="G1517" t="str">
        <f>VLOOKUP(E1517,country_continent!A:C,3,FALSE)</f>
        <v>Europe</v>
      </c>
      <c r="H1517" t="s">
        <v>6387</v>
      </c>
      <c r="I1517" s="1">
        <v>38785</v>
      </c>
      <c r="J1517" s="3">
        <f t="shared" si="69"/>
        <v>38785</v>
      </c>
      <c r="K1517" s="1">
        <v>42369</v>
      </c>
      <c r="L1517" s="3">
        <f t="shared" si="70"/>
        <v>42369</v>
      </c>
      <c r="M1517" t="s">
        <v>49</v>
      </c>
      <c r="N1517" t="s">
        <v>173</v>
      </c>
      <c r="O1517" t="s">
        <v>173</v>
      </c>
      <c r="P1517">
        <v>0</v>
      </c>
      <c r="Q1517" t="s">
        <v>174</v>
      </c>
      <c r="R1517" t="s">
        <v>51</v>
      </c>
      <c r="S1517">
        <v>1939</v>
      </c>
      <c r="T1517">
        <v>-777</v>
      </c>
      <c r="U1517" s="1">
        <v>14441</v>
      </c>
      <c r="V1517" s="2">
        <v>14441</v>
      </c>
      <c r="Z1517">
        <v>0</v>
      </c>
      <c r="AA1517">
        <v>-888</v>
      </c>
      <c r="AB1517">
        <v>-888</v>
      </c>
      <c r="AC1517">
        <v>-888</v>
      </c>
      <c r="AF1517">
        <v>2006</v>
      </c>
      <c r="AG1517">
        <v>2015</v>
      </c>
      <c r="AO1517" t="b">
        <v>1</v>
      </c>
      <c r="AP1517" t="s">
        <v>4202</v>
      </c>
      <c r="AQ1517">
        <v>1945</v>
      </c>
      <c r="AR1517">
        <v>1997</v>
      </c>
      <c r="AS1517" t="s">
        <v>6388</v>
      </c>
      <c r="AT1517">
        <v>9.8124572210814502</v>
      </c>
      <c r="AU1517">
        <f t="shared" si="71"/>
        <v>2.7E-2</v>
      </c>
    </row>
    <row r="1518" spans="1:47" x14ac:dyDescent="0.3">
      <c r="A1518">
        <v>1516</v>
      </c>
      <c r="B1518" t="s">
        <v>6389</v>
      </c>
      <c r="C1518" t="s">
        <v>6390</v>
      </c>
      <c r="D1518">
        <v>245</v>
      </c>
      <c r="E1518" t="s">
        <v>6391</v>
      </c>
      <c r="F1518" t="str">
        <f>VLOOKUP(E1518,country_continent!A:C,2,FALSE)</f>
        <v>Bavaria (Germany)</v>
      </c>
      <c r="G1518" t="str">
        <f>VLOOKUP(E1518,country_continent!A:C,3,FALSE)</f>
        <v>Europe</v>
      </c>
      <c r="H1518" t="s">
        <v>6392</v>
      </c>
      <c r="I1518" t="s">
        <v>6393</v>
      </c>
      <c r="J1518" s="3" t="str">
        <f t="shared" si="69"/>
        <v>1864/03/10</v>
      </c>
      <c r="K1518" t="s">
        <v>6394</v>
      </c>
      <c r="L1518" s="3" t="str">
        <f t="shared" si="70"/>
        <v>1871/04/06</v>
      </c>
      <c r="M1518" t="s">
        <v>49</v>
      </c>
      <c r="N1518" t="s">
        <v>633</v>
      </c>
      <c r="O1518" t="s">
        <v>634</v>
      </c>
      <c r="P1518">
        <v>0</v>
      </c>
      <c r="Q1518" t="s">
        <v>50</v>
      </c>
      <c r="R1518" t="s">
        <v>51</v>
      </c>
      <c r="S1518">
        <v>1831</v>
      </c>
      <c r="T1518">
        <v>1886</v>
      </c>
      <c r="Z1518">
        <v>0</v>
      </c>
      <c r="AA1518">
        <v>4</v>
      </c>
      <c r="AB1518">
        <v>9</v>
      </c>
      <c r="AC1518">
        <v>0</v>
      </c>
      <c r="AF1518">
        <v>1864</v>
      </c>
      <c r="AG1518">
        <v>1871</v>
      </c>
      <c r="AO1518" t="b">
        <v>0</v>
      </c>
      <c r="AT1518">
        <v>2583</v>
      </c>
      <c r="AU1518">
        <f t="shared" si="71"/>
        <v>7.077</v>
      </c>
    </row>
    <row r="1519" spans="1:47" x14ac:dyDescent="0.3">
      <c r="A1519">
        <v>1517</v>
      </c>
      <c r="B1519" t="s">
        <v>6395</v>
      </c>
      <c r="C1519" t="s">
        <v>6396</v>
      </c>
      <c r="D1519">
        <v>255</v>
      </c>
      <c r="E1519" t="s">
        <v>6397</v>
      </c>
      <c r="F1519" t="str">
        <f>VLOOKUP(E1519,country_continent!A:C,2,FALSE)</f>
        <v>Germany</v>
      </c>
      <c r="G1519" t="str">
        <f>VLOOKUP(E1519,country_continent!A:C,3,FALSE)</f>
        <v>Europe</v>
      </c>
      <c r="H1519" t="s">
        <v>6398</v>
      </c>
      <c r="I1519" t="s">
        <v>6399</v>
      </c>
      <c r="J1519" s="3" t="str">
        <f t="shared" si="69"/>
        <v>1858/10/07</v>
      </c>
      <c r="K1519" t="s">
        <v>6400</v>
      </c>
      <c r="L1519" s="3" t="str">
        <f t="shared" si="70"/>
        <v>1888/03/09</v>
      </c>
      <c r="M1519" t="s">
        <v>49</v>
      </c>
      <c r="N1519" t="s">
        <v>110</v>
      </c>
      <c r="O1519" t="s">
        <v>49</v>
      </c>
      <c r="P1519">
        <v>0</v>
      </c>
      <c r="Q1519" t="s">
        <v>111</v>
      </c>
      <c r="R1519" t="s">
        <v>51</v>
      </c>
      <c r="S1519">
        <v>1797</v>
      </c>
      <c r="T1519">
        <v>1888</v>
      </c>
      <c r="U1519" t="s">
        <v>6402</v>
      </c>
      <c r="V1519" t="s">
        <v>6403</v>
      </c>
      <c r="W1519" t="s">
        <v>6400</v>
      </c>
      <c r="X1519" t="s">
        <v>6401</v>
      </c>
      <c r="Z1519">
        <v>0</v>
      </c>
      <c r="AA1519">
        <v>2</v>
      </c>
      <c r="AB1519">
        <v>0</v>
      </c>
      <c r="AC1519">
        <v>-777</v>
      </c>
      <c r="AF1519">
        <v>1858</v>
      </c>
      <c r="AG1519">
        <v>1888</v>
      </c>
      <c r="AO1519" t="b">
        <v>1</v>
      </c>
      <c r="AP1519" t="s">
        <v>45</v>
      </c>
      <c r="AQ1519">
        <v>1899</v>
      </c>
      <c r="AR1519">
        <v>1918</v>
      </c>
      <c r="AS1519" t="s">
        <v>6404</v>
      </c>
      <c r="AT1519">
        <v>29.420944558521501</v>
      </c>
      <c r="AU1519">
        <f t="shared" si="71"/>
        <v>8.1000000000000003E-2</v>
      </c>
    </row>
    <row r="1520" spans="1:47" x14ac:dyDescent="0.3">
      <c r="A1520">
        <v>1518</v>
      </c>
      <c r="B1520" t="s">
        <v>6405</v>
      </c>
      <c r="C1520" t="s">
        <v>6406</v>
      </c>
      <c r="D1520">
        <v>255</v>
      </c>
      <c r="E1520" t="s">
        <v>6397</v>
      </c>
      <c r="F1520" t="str">
        <f>VLOOKUP(E1520,country_continent!A:C,2,FALSE)</f>
        <v>Germany</v>
      </c>
      <c r="G1520" t="str">
        <f>VLOOKUP(E1520,country_continent!A:C,3,FALSE)</f>
        <v>Europe</v>
      </c>
      <c r="H1520" t="s">
        <v>6407</v>
      </c>
      <c r="I1520" t="s">
        <v>6400</v>
      </c>
      <c r="J1520" s="3" t="str">
        <f t="shared" si="69"/>
        <v>1888/03/09</v>
      </c>
      <c r="K1520" t="s">
        <v>6408</v>
      </c>
      <c r="L1520" s="3" t="str">
        <f t="shared" si="70"/>
        <v>1888/06/15</v>
      </c>
      <c r="M1520" t="s">
        <v>49</v>
      </c>
      <c r="N1520" t="s">
        <v>49</v>
      </c>
      <c r="O1520" t="s">
        <v>49</v>
      </c>
      <c r="P1520">
        <v>0</v>
      </c>
      <c r="Q1520" t="s">
        <v>50</v>
      </c>
      <c r="R1520" t="s">
        <v>51</v>
      </c>
      <c r="S1520">
        <v>1831</v>
      </c>
      <c r="T1520">
        <v>1888</v>
      </c>
      <c r="W1520" t="s">
        <v>6408</v>
      </c>
      <c r="X1520" t="s">
        <v>6409</v>
      </c>
      <c r="Z1520">
        <v>0</v>
      </c>
      <c r="AA1520">
        <v>1</v>
      </c>
      <c r="AB1520">
        <v>0</v>
      </c>
      <c r="AC1520">
        <v>0</v>
      </c>
      <c r="AF1520">
        <v>1888</v>
      </c>
      <c r="AG1520">
        <v>1888</v>
      </c>
      <c r="AO1520" t="b">
        <v>1</v>
      </c>
      <c r="AP1520" t="s">
        <v>45</v>
      </c>
      <c r="AQ1520">
        <v>1899</v>
      </c>
      <c r="AR1520">
        <v>1918</v>
      </c>
      <c r="AS1520" t="s">
        <v>6410</v>
      </c>
      <c r="AT1520">
        <v>0.26830937713894498</v>
      </c>
      <c r="AU1520">
        <f t="shared" si="71"/>
        <v>1E-3</v>
      </c>
    </row>
    <row r="1521" spans="1:47" x14ac:dyDescent="0.3">
      <c r="A1521">
        <v>1519</v>
      </c>
      <c r="B1521" t="s">
        <v>6411</v>
      </c>
      <c r="C1521" t="s">
        <v>6412</v>
      </c>
      <c r="D1521">
        <v>255</v>
      </c>
      <c r="E1521" t="s">
        <v>6397</v>
      </c>
      <c r="F1521" t="str">
        <f>VLOOKUP(E1521,country_continent!A:C,2,FALSE)</f>
        <v>Germany</v>
      </c>
      <c r="G1521" t="str">
        <f>VLOOKUP(E1521,country_continent!A:C,3,FALSE)</f>
        <v>Europe</v>
      </c>
      <c r="H1521" t="s">
        <v>6413</v>
      </c>
      <c r="I1521" t="s">
        <v>6408</v>
      </c>
      <c r="J1521" s="3" t="str">
        <f t="shared" si="69"/>
        <v>1888/06/15</v>
      </c>
      <c r="K1521" s="1">
        <v>6888</v>
      </c>
      <c r="L1521" s="3">
        <f t="shared" si="70"/>
        <v>6888</v>
      </c>
      <c r="M1521" t="s">
        <v>49</v>
      </c>
      <c r="N1521" t="s">
        <v>67</v>
      </c>
      <c r="O1521" t="s">
        <v>1810</v>
      </c>
      <c r="P1521">
        <v>0</v>
      </c>
      <c r="Q1521" t="s">
        <v>362</v>
      </c>
      <c r="R1521" t="s">
        <v>51</v>
      </c>
      <c r="S1521">
        <v>1859</v>
      </c>
      <c r="T1521">
        <v>1941</v>
      </c>
      <c r="U1521" t="s">
        <v>6414</v>
      </c>
      <c r="V1521" t="s">
        <v>6415</v>
      </c>
      <c r="W1521" s="1">
        <v>15131</v>
      </c>
      <c r="X1521" s="2">
        <v>15131</v>
      </c>
      <c r="Z1521">
        <v>0</v>
      </c>
      <c r="AA1521">
        <v>3</v>
      </c>
      <c r="AB1521">
        <v>1</v>
      </c>
      <c r="AC1521">
        <v>1</v>
      </c>
      <c r="AF1521">
        <v>1888</v>
      </c>
      <c r="AG1521">
        <v>1918</v>
      </c>
      <c r="AO1521" t="b">
        <v>1</v>
      </c>
      <c r="AP1521" t="s">
        <v>45</v>
      </c>
      <c r="AQ1521">
        <v>1899</v>
      </c>
      <c r="AR1521">
        <v>1918</v>
      </c>
      <c r="AS1521" t="s">
        <v>6416</v>
      </c>
      <c r="AT1521">
        <v>30.398357289527699</v>
      </c>
      <c r="AU1521">
        <f t="shared" si="71"/>
        <v>8.3000000000000004E-2</v>
      </c>
    </row>
    <row r="1522" spans="1:47" x14ac:dyDescent="0.3">
      <c r="A1522">
        <v>1520</v>
      </c>
      <c r="B1522" t="s">
        <v>6417</v>
      </c>
      <c r="C1522" t="s">
        <v>6418</v>
      </c>
      <c r="D1522">
        <v>255</v>
      </c>
      <c r="E1522" t="s">
        <v>6397</v>
      </c>
      <c r="F1522" t="str">
        <f>VLOOKUP(E1522,country_continent!A:C,2,FALSE)</f>
        <v>Germany</v>
      </c>
      <c r="G1522" t="str">
        <f>VLOOKUP(E1522,country_continent!A:C,3,FALSE)</f>
        <v>Europe</v>
      </c>
      <c r="H1522" t="s">
        <v>6419</v>
      </c>
      <c r="I1522" s="1">
        <v>6888</v>
      </c>
      <c r="J1522" s="3">
        <f t="shared" si="69"/>
        <v>6888</v>
      </c>
      <c r="K1522" s="1">
        <v>6982</v>
      </c>
      <c r="L1522" s="3">
        <f t="shared" si="70"/>
        <v>6982</v>
      </c>
      <c r="M1522" t="s">
        <v>67</v>
      </c>
      <c r="N1522" t="s">
        <v>49</v>
      </c>
      <c r="O1522" t="s">
        <v>49</v>
      </c>
      <c r="P1522">
        <v>0</v>
      </c>
      <c r="Q1522" t="s">
        <v>50</v>
      </c>
      <c r="R1522" t="s">
        <v>51</v>
      </c>
      <c r="S1522">
        <v>1871</v>
      </c>
      <c r="T1522">
        <v>1925</v>
      </c>
      <c r="U1522" t="s">
        <v>6420</v>
      </c>
      <c r="V1522" t="s">
        <v>6421</v>
      </c>
      <c r="W1522" s="1">
        <v>9191</v>
      </c>
      <c r="X1522" s="2">
        <v>9191</v>
      </c>
      <c r="Y1522" t="s">
        <v>6422</v>
      </c>
      <c r="Z1522">
        <v>1</v>
      </c>
      <c r="AA1522">
        <v>1</v>
      </c>
      <c r="AB1522">
        <v>0</v>
      </c>
      <c r="AC1522">
        <v>0</v>
      </c>
      <c r="AF1522">
        <v>1918</v>
      </c>
      <c r="AG1522">
        <v>1919</v>
      </c>
      <c r="AO1522" t="b">
        <v>1</v>
      </c>
      <c r="AP1522" t="s">
        <v>45</v>
      </c>
      <c r="AQ1522">
        <v>1899</v>
      </c>
      <c r="AR1522">
        <v>1918</v>
      </c>
      <c r="AS1522" t="s">
        <v>6423</v>
      </c>
      <c r="AT1522">
        <v>0.25735797399041699</v>
      </c>
      <c r="AU1522">
        <f t="shared" si="71"/>
        <v>1E-3</v>
      </c>
    </row>
    <row r="1523" spans="1:47" x14ac:dyDescent="0.3">
      <c r="A1523">
        <v>1521</v>
      </c>
      <c r="B1523" t="s">
        <v>6424</v>
      </c>
      <c r="C1523" t="s">
        <v>6425</v>
      </c>
      <c r="D1523">
        <v>255</v>
      </c>
      <c r="E1523" t="s">
        <v>6397</v>
      </c>
      <c r="F1523" t="str">
        <f>VLOOKUP(E1523,country_continent!A:C,2,FALSE)</f>
        <v>Germany</v>
      </c>
      <c r="G1523" t="str">
        <f>VLOOKUP(E1523,country_continent!A:C,3,FALSE)</f>
        <v>Europe</v>
      </c>
      <c r="H1523" t="s">
        <v>6426</v>
      </c>
      <c r="I1523" s="1">
        <v>6983</v>
      </c>
      <c r="J1523" s="3">
        <f t="shared" si="69"/>
        <v>6983</v>
      </c>
      <c r="K1523" s="1">
        <v>7111</v>
      </c>
      <c r="L1523" s="3">
        <f t="shared" si="70"/>
        <v>7111</v>
      </c>
      <c r="M1523" t="s">
        <v>49</v>
      </c>
      <c r="N1523" t="s">
        <v>49</v>
      </c>
      <c r="O1523" t="s">
        <v>49</v>
      </c>
      <c r="P1523">
        <v>0</v>
      </c>
      <c r="Q1523" t="s">
        <v>50</v>
      </c>
      <c r="R1523" t="s">
        <v>51</v>
      </c>
      <c r="S1523">
        <v>1865</v>
      </c>
      <c r="T1523">
        <v>1939</v>
      </c>
      <c r="U1523" t="s">
        <v>6427</v>
      </c>
      <c r="V1523" t="s">
        <v>6428</v>
      </c>
      <c r="W1523" s="1">
        <v>14578</v>
      </c>
      <c r="X1523" s="2">
        <v>14578</v>
      </c>
      <c r="Y1523" t="s">
        <v>6429</v>
      </c>
      <c r="Z1523">
        <v>0</v>
      </c>
      <c r="AA1523">
        <v>1</v>
      </c>
      <c r="AB1523">
        <v>0</v>
      </c>
      <c r="AC1523">
        <v>0</v>
      </c>
      <c r="AF1523">
        <v>1919</v>
      </c>
      <c r="AG1523">
        <v>1919</v>
      </c>
      <c r="AO1523" t="b">
        <v>1</v>
      </c>
      <c r="AP1523" t="s">
        <v>45</v>
      </c>
      <c r="AQ1523">
        <v>1899</v>
      </c>
      <c r="AR1523">
        <v>1918</v>
      </c>
      <c r="AS1523" t="s">
        <v>6430</v>
      </c>
      <c r="AT1523">
        <v>0.35044490075290802</v>
      </c>
      <c r="AU1523">
        <f t="shared" si="71"/>
        <v>1E-3</v>
      </c>
    </row>
    <row r="1524" spans="1:47" x14ac:dyDescent="0.3">
      <c r="A1524">
        <v>1522</v>
      </c>
      <c r="B1524" t="s">
        <v>6431</v>
      </c>
      <c r="C1524" t="s">
        <v>6432</v>
      </c>
      <c r="D1524">
        <v>255</v>
      </c>
      <c r="E1524" t="s">
        <v>6397</v>
      </c>
      <c r="F1524" t="str">
        <f>VLOOKUP(E1524,country_continent!A:C,2,FALSE)</f>
        <v>Germany</v>
      </c>
      <c r="G1524" t="str">
        <f>VLOOKUP(E1524,country_continent!A:C,3,FALSE)</f>
        <v>Europe</v>
      </c>
      <c r="H1524" t="s">
        <v>6433</v>
      </c>
      <c r="I1524" s="1">
        <v>7112</v>
      </c>
      <c r="J1524" s="3">
        <f t="shared" si="69"/>
        <v>7112</v>
      </c>
      <c r="K1524" s="1">
        <v>7391</v>
      </c>
      <c r="L1524" s="3">
        <f t="shared" si="70"/>
        <v>7391</v>
      </c>
      <c r="M1524" t="s">
        <v>49</v>
      </c>
      <c r="N1524" t="s">
        <v>49</v>
      </c>
      <c r="O1524" t="s">
        <v>49</v>
      </c>
      <c r="P1524">
        <v>0</v>
      </c>
      <c r="Q1524" t="s">
        <v>50</v>
      </c>
      <c r="R1524" t="s">
        <v>51</v>
      </c>
      <c r="S1524">
        <v>1870</v>
      </c>
      <c r="T1524">
        <v>1944</v>
      </c>
      <c r="U1524" t="s">
        <v>6434</v>
      </c>
      <c r="V1524" t="s">
        <v>6435</v>
      </c>
      <c r="W1524" s="1">
        <v>16331</v>
      </c>
      <c r="X1524" s="2">
        <v>16331</v>
      </c>
      <c r="Y1524" t="s">
        <v>6436</v>
      </c>
      <c r="Z1524">
        <v>0</v>
      </c>
      <c r="AA1524">
        <v>1</v>
      </c>
      <c r="AB1524">
        <v>0</v>
      </c>
      <c r="AC1524">
        <v>0</v>
      </c>
      <c r="AF1524">
        <v>1919</v>
      </c>
      <c r="AG1524">
        <v>1920</v>
      </c>
      <c r="AO1524" t="b">
        <v>1</v>
      </c>
      <c r="AP1524" t="s">
        <v>45</v>
      </c>
      <c r="AQ1524">
        <v>1899</v>
      </c>
      <c r="AR1524">
        <v>1918</v>
      </c>
      <c r="AS1524" t="s">
        <v>6437</v>
      </c>
      <c r="AT1524">
        <v>0.76386036960985604</v>
      </c>
      <c r="AU1524">
        <f t="shared" si="71"/>
        <v>2E-3</v>
      </c>
    </row>
    <row r="1525" spans="1:47" x14ac:dyDescent="0.3">
      <c r="A1525">
        <v>1523</v>
      </c>
      <c r="B1525" t="s">
        <v>6438</v>
      </c>
      <c r="C1525" t="s">
        <v>6439</v>
      </c>
      <c r="D1525">
        <v>255</v>
      </c>
      <c r="E1525" t="s">
        <v>6397</v>
      </c>
      <c r="F1525" t="str">
        <f>VLOOKUP(E1525,country_continent!A:C,2,FALSE)</f>
        <v>Germany</v>
      </c>
      <c r="G1525" t="str">
        <f>VLOOKUP(E1525,country_continent!A:C,3,FALSE)</f>
        <v>Europe</v>
      </c>
      <c r="H1525" t="s">
        <v>5669</v>
      </c>
      <c r="I1525" s="1">
        <v>7392</v>
      </c>
      <c r="J1525" s="3">
        <f t="shared" si="69"/>
        <v>7392</v>
      </c>
      <c r="K1525" s="1">
        <v>7465</v>
      </c>
      <c r="L1525" s="3">
        <f t="shared" si="70"/>
        <v>7465</v>
      </c>
      <c r="M1525" t="s">
        <v>49</v>
      </c>
      <c r="N1525" t="s">
        <v>49</v>
      </c>
      <c r="O1525" t="s">
        <v>49</v>
      </c>
      <c r="P1525">
        <v>0</v>
      </c>
      <c r="Q1525" t="s">
        <v>50</v>
      </c>
      <c r="R1525" t="s">
        <v>51</v>
      </c>
      <c r="S1525">
        <v>1876</v>
      </c>
      <c r="T1525">
        <v>1931</v>
      </c>
      <c r="U1525" t="s">
        <v>2921</v>
      </c>
      <c r="V1525" t="s">
        <v>2922</v>
      </c>
      <c r="W1525" s="1">
        <v>11402</v>
      </c>
      <c r="X1525" s="2">
        <v>11402</v>
      </c>
      <c r="Z1525">
        <v>0</v>
      </c>
      <c r="AA1525">
        <v>1</v>
      </c>
      <c r="AB1525">
        <v>0</v>
      </c>
      <c r="AC1525">
        <v>0</v>
      </c>
      <c r="AF1525">
        <v>1920</v>
      </c>
      <c r="AG1525">
        <v>1920</v>
      </c>
      <c r="AO1525" t="b">
        <v>1</v>
      </c>
      <c r="AP1525" t="s">
        <v>45</v>
      </c>
      <c r="AQ1525">
        <v>1899</v>
      </c>
      <c r="AR1525">
        <v>1918</v>
      </c>
      <c r="AS1525" t="s">
        <v>6440</v>
      </c>
      <c r="AT1525">
        <v>0.19986310746064301</v>
      </c>
      <c r="AU1525">
        <f t="shared" si="71"/>
        <v>1E-3</v>
      </c>
    </row>
    <row r="1526" spans="1:47" x14ac:dyDescent="0.3">
      <c r="A1526">
        <v>1524</v>
      </c>
      <c r="B1526" t="s">
        <v>6441</v>
      </c>
      <c r="C1526" t="s">
        <v>6442</v>
      </c>
      <c r="D1526">
        <v>255</v>
      </c>
      <c r="E1526" t="s">
        <v>6397</v>
      </c>
      <c r="F1526" t="str">
        <f>VLOOKUP(E1526,country_continent!A:C,2,FALSE)</f>
        <v>Germany</v>
      </c>
      <c r="G1526" t="str">
        <f>VLOOKUP(E1526,country_continent!A:C,3,FALSE)</f>
        <v>Europe</v>
      </c>
      <c r="H1526" t="s">
        <v>6443</v>
      </c>
      <c r="I1526" s="1">
        <v>7482</v>
      </c>
      <c r="J1526" s="3">
        <f t="shared" si="69"/>
        <v>7482</v>
      </c>
      <c r="K1526" s="1">
        <v>7795</v>
      </c>
      <c r="L1526" s="3">
        <f t="shared" si="70"/>
        <v>7795</v>
      </c>
      <c r="M1526" t="s">
        <v>49</v>
      </c>
      <c r="N1526" t="s">
        <v>49</v>
      </c>
      <c r="O1526" t="s">
        <v>49</v>
      </c>
      <c r="P1526">
        <v>0</v>
      </c>
      <c r="Q1526" t="s">
        <v>50</v>
      </c>
      <c r="R1526" t="s">
        <v>51</v>
      </c>
      <c r="S1526">
        <v>1852</v>
      </c>
      <c r="T1526">
        <v>1926</v>
      </c>
      <c r="U1526" t="s">
        <v>6444</v>
      </c>
      <c r="V1526" t="s">
        <v>6445</v>
      </c>
      <c r="W1526" s="1">
        <v>9582</v>
      </c>
      <c r="X1526" s="2">
        <v>9582</v>
      </c>
      <c r="Y1526" t="s">
        <v>6446</v>
      </c>
      <c r="Z1526">
        <v>0</v>
      </c>
      <c r="AA1526">
        <v>1</v>
      </c>
      <c r="AB1526">
        <v>0</v>
      </c>
      <c r="AC1526">
        <v>0</v>
      </c>
      <c r="AF1526">
        <v>1920</v>
      </c>
      <c r="AG1526">
        <v>1921</v>
      </c>
      <c r="AO1526" t="b">
        <v>1</v>
      </c>
      <c r="AP1526" t="s">
        <v>45</v>
      </c>
      <c r="AQ1526">
        <v>1899</v>
      </c>
      <c r="AR1526">
        <v>1918</v>
      </c>
      <c r="AS1526" t="s">
        <v>6447</v>
      </c>
      <c r="AT1526">
        <v>0.85694729637234701</v>
      </c>
      <c r="AU1526">
        <f t="shared" si="71"/>
        <v>2E-3</v>
      </c>
    </row>
    <row r="1527" spans="1:47" x14ac:dyDescent="0.3">
      <c r="A1527">
        <v>1525</v>
      </c>
      <c r="B1527" t="s">
        <v>6448</v>
      </c>
      <c r="C1527" t="s">
        <v>6449</v>
      </c>
      <c r="D1527">
        <v>255</v>
      </c>
      <c r="E1527" t="s">
        <v>6397</v>
      </c>
      <c r="F1527" t="str">
        <f>VLOOKUP(E1527,country_continent!A:C,2,FALSE)</f>
        <v>Germany</v>
      </c>
      <c r="G1527" t="str">
        <f>VLOOKUP(E1527,country_continent!A:C,3,FALSE)</f>
        <v>Europe</v>
      </c>
      <c r="H1527" t="s">
        <v>6450</v>
      </c>
      <c r="I1527" s="1">
        <v>7801</v>
      </c>
      <c r="J1527" s="3">
        <f t="shared" si="69"/>
        <v>7801</v>
      </c>
      <c r="K1527" s="1">
        <v>8354</v>
      </c>
      <c r="L1527" s="3">
        <f t="shared" si="70"/>
        <v>8354</v>
      </c>
      <c r="M1527" t="s">
        <v>49</v>
      </c>
      <c r="N1527" t="s">
        <v>49</v>
      </c>
      <c r="O1527" t="s">
        <v>49</v>
      </c>
      <c r="P1527">
        <v>0</v>
      </c>
      <c r="Q1527" t="s">
        <v>50</v>
      </c>
      <c r="R1527" t="s">
        <v>51</v>
      </c>
      <c r="S1527">
        <v>1879</v>
      </c>
      <c r="T1527">
        <v>1956</v>
      </c>
      <c r="U1527" t="s">
        <v>6451</v>
      </c>
      <c r="V1527" t="s">
        <v>6452</v>
      </c>
      <c r="W1527" s="1">
        <v>20457</v>
      </c>
      <c r="X1527" s="2">
        <v>20457</v>
      </c>
      <c r="Y1527" t="s">
        <v>6453</v>
      </c>
      <c r="Z1527">
        <v>0</v>
      </c>
      <c r="AA1527">
        <v>1</v>
      </c>
      <c r="AB1527">
        <v>0</v>
      </c>
      <c r="AC1527">
        <v>0</v>
      </c>
      <c r="AF1527">
        <v>1921</v>
      </c>
      <c r="AG1527">
        <v>1922</v>
      </c>
      <c r="AO1527" t="b">
        <v>1</v>
      </c>
      <c r="AP1527" t="s">
        <v>45</v>
      </c>
      <c r="AQ1527">
        <v>1899</v>
      </c>
      <c r="AR1527">
        <v>1918</v>
      </c>
      <c r="AS1527" t="s">
        <v>6454</v>
      </c>
      <c r="AT1527">
        <v>1.51403148528405</v>
      </c>
      <c r="AU1527">
        <f t="shared" si="71"/>
        <v>4.0000000000000001E-3</v>
      </c>
    </row>
    <row r="1528" spans="1:47" x14ac:dyDescent="0.3">
      <c r="A1528">
        <v>1526</v>
      </c>
      <c r="B1528" t="s">
        <v>6455</v>
      </c>
      <c r="C1528" t="s">
        <v>6456</v>
      </c>
      <c r="D1528">
        <v>255</v>
      </c>
      <c r="E1528" t="s">
        <v>6397</v>
      </c>
      <c r="F1528" t="str">
        <f>VLOOKUP(E1528,country_continent!A:C,2,FALSE)</f>
        <v>Germany</v>
      </c>
      <c r="G1528" t="str">
        <f>VLOOKUP(E1528,country_continent!A:C,3,FALSE)</f>
        <v>Europe</v>
      </c>
      <c r="H1528" t="s">
        <v>6457</v>
      </c>
      <c r="I1528" s="1">
        <v>8362</v>
      </c>
      <c r="J1528" s="3">
        <f t="shared" si="69"/>
        <v>8362</v>
      </c>
      <c r="K1528" s="1">
        <v>8625</v>
      </c>
      <c r="L1528" s="3">
        <f t="shared" si="70"/>
        <v>8625</v>
      </c>
      <c r="M1528" t="s">
        <v>49</v>
      </c>
      <c r="N1528" t="s">
        <v>49</v>
      </c>
      <c r="O1528" t="s">
        <v>49</v>
      </c>
      <c r="P1528">
        <v>0</v>
      </c>
      <c r="Q1528" t="s">
        <v>50</v>
      </c>
      <c r="R1528" t="s">
        <v>51</v>
      </c>
      <c r="S1528">
        <v>1876</v>
      </c>
      <c r="T1528">
        <v>1933</v>
      </c>
      <c r="U1528" t="s">
        <v>6458</v>
      </c>
      <c r="V1528" t="s">
        <v>6459</v>
      </c>
      <c r="W1528" s="1">
        <v>12057</v>
      </c>
      <c r="X1528" s="2">
        <v>12057</v>
      </c>
      <c r="Y1528" t="s">
        <v>6460</v>
      </c>
      <c r="Z1528">
        <v>0</v>
      </c>
      <c r="AA1528">
        <v>1</v>
      </c>
      <c r="AB1528">
        <v>0</v>
      </c>
      <c r="AC1528">
        <v>0</v>
      </c>
      <c r="AF1528">
        <v>1922</v>
      </c>
      <c r="AG1528">
        <v>1923</v>
      </c>
      <c r="AO1528" t="b">
        <v>1</v>
      </c>
      <c r="AP1528" t="s">
        <v>45</v>
      </c>
      <c r="AQ1528">
        <v>1899</v>
      </c>
      <c r="AR1528">
        <v>1918</v>
      </c>
      <c r="AS1528" t="s">
        <v>6461</v>
      </c>
      <c r="AT1528">
        <v>0.72005475701574195</v>
      </c>
      <c r="AU1528">
        <f t="shared" si="71"/>
        <v>2E-3</v>
      </c>
    </row>
    <row r="1529" spans="1:47" x14ac:dyDescent="0.3">
      <c r="A1529">
        <v>1527</v>
      </c>
      <c r="B1529" t="s">
        <v>6462</v>
      </c>
      <c r="C1529" t="s">
        <v>6463</v>
      </c>
      <c r="D1529">
        <v>255</v>
      </c>
      <c r="E1529" t="s">
        <v>6397</v>
      </c>
      <c r="F1529" t="str">
        <f>VLOOKUP(E1529,country_continent!A:C,2,FALSE)</f>
        <v>Germany</v>
      </c>
      <c r="G1529" t="str">
        <f>VLOOKUP(E1529,country_continent!A:C,3,FALSE)</f>
        <v>Europe</v>
      </c>
      <c r="H1529" t="s">
        <v>6464</v>
      </c>
      <c r="I1529" s="1">
        <v>8626</v>
      </c>
      <c r="J1529" s="3">
        <f t="shared" si="69"/>
        <v>8626</v>
      </c>
      <c r="K1529" s="1">
        <v>8728</v>
      </c>
      <c r="L1529" s="3">
        <f t="shared" si="70"/>
        <v>8728</v>
      </c>
      <c r="M1529" t="s">
        <v>49</v>
      </c>
      <c r="N1529" t="s">
        <v>49</v>
      </c>
      <c r="O1529" t="s">
        <v>49</v>
      </c>
      <c r="P1529">
        <v>0</v>
      </c>
      <c r="Q1529" t="s">
        <v>50</v>
      </c>
      <c r="R1529" t="s">
        <v>51</v>
      </c>
      <c r="S1529">
        <v>1878</v>
      </c>
      <c r="T1529">
        <v>1929</v>
      </c>
      <c r="U1529" t="s">
        <v>6465</v>
      </c>
      <c r="V1529" t="s">
        <v>6466</v>
      </c>
      <c r="W1529" s="1">
        <v>10869</v>
      </c>
      <c r="X1529" s="2">
        <v>10869</v>
      </c>
      <c r="Y1529" t="s">
        <v>6467</v>
      </c>
      <c r="Z1529">
        <v>0</v>
      </c>
      <c r="AA1529">
        <v>1</v>
      </c>
      <c r="AB1529">
        <v>0</v>
      </c>
      <c r="AC1529">
        <v>0</v>
      </c>
      <c r="AF1529">
        <v>1923</v>
      </c>
      <c r="AG1529">
        <v>1923</v>
      </c>
      <c r="AO1529" t="b">
        <v>1</v>
      </c>
      <c r="AP1529" t="s">
        <v>45</v>
      </c>
      <c r="AQ1529">
        <v>1899</v>
      </c>
      <c r="AR1529">
        <v>1918</v>
      </c>
      <c r="AS1529" t="s">
        <v>6468</v>
      </c>
      <c r="AT1529">
        <v>0.27926078028747398</v>
      </c>
      <c r="AU1529">
        <f t="shared" si="71"/>
        <v>1E-3</v>
      </c>
    </row>
    <row r="1530" spans="1:47" x14ac:dyDescent="0.3">
      <c r="A1530">
        <v>1528</v>
      </c>
      <c r="B1530" t="s">
        <v>6469</v>
      </c>
      <c r="C1530" t="s">
        <v>6470</v>
      </c>
      <c r="D1530">
        <v>255</v>
      </c>
      <c r="E1530" t="s">
        <v>6397</v>
      </c>
      <c r="F1530" t="str">
        <f>VLOOKUP(E1530,country_continent!A:C,2,FALSE)</f>
        <v>Germany</v>
      </c>
      <c r="G1530" t="str">
        <f>VLOOKUP(E1530,country_continent!A:C,3,FALSE)</f>
        <v>Europe</v>
      </c>
      <c r="H1530" t="s">
        <v>6471</v>
      </c>
      <c r="I1530" s="1">
        <v>8735</v>
      </c>
      <c r="J1530" s="3">
        <f t="shared" si="69"/>
        <v>8735</v>
      </c>
      <c r="K1530" s="1">
        <v>9116</v>
      </c>
      <c r="L1530" s="3">
        <f t="shared" si="70"/>
        <v>9116</v>
      </c>
      <c r="M1530" t="s">
        <v>49</v>
      </c>
      <c r="N1530" t="s">
        <v>49</v>
      </c>
      <c r="O1530" t="s">
        <v>49</v>
      </c>
      <c r="P1530">
        <v>0</v>
      </c>
      <c r="Q1530" t="s">
        <v>50</v>
      </c>
      <c r="R1530" t="s">
        <v>51</v>
      </c>
      <c r="S1530">
        <v>1863</v>
      </c>
      <c r="T1530">
        <v>1946</v>
      </c>
      <c r="U1530" t="s">
        <v>6472</v>
      </c>
      <c r="V1530" t="s">
        <v>6473</v>
      </c>
      <c r="W1530" s="1">
        <v>17019</v>
      </c>
      <c r="X1530" s="2">
        <v>17019</v>
      </c>
      <c r="Y1530" t="s">
        <v>6474</v>
      </c>
      <c r="Z1530">
        <v>0</v>
      </c>
      <c r="AA1530">
        <v>1</v>
      </c>
      <c r="AB1530">
        <v>0</v>
      </c>
      <c r="AC1530">
        <v>0</v>
      </c>
      <c r="AF1530">
        <v>1923</v>
      </c>
      <c r="AG1530">
        <v>1924</v>
      </c>
      <c r="AO1530" t="b">
        <v>1</v>
      </c>
      <c r="AP1530" t="s">
        <v>45</v>
      </c>
      <c r="AQ1530">
        <v>1899</v>
      </c>
      <c r="AR1530">
        <v>1918</v>
      </c>
      <c r="AS1530" t="s">
        <v>6475</v>
      </c>
      <c r="AT1530">
        <v>1.0431211498973301</v>
      </c>
      <c r="AU1530">
        <f t="shared" si="71"/>
        <v>3.0000000000000001E-3</v>
      </c>
    </row>
    <row r="1531" spans="1:47" x14ac:dyDescent="0.3">
      <c r="A1531">
        <v>1529</v>
      </c>
      <c r="B1531" t="s">
        <v>6476</v>
      </c>
      <c r="C1531" t="s">
        <v>6477</v>
      </c>
      <c r="D1531">
        <v>255</v>
      </c>
      <c r="E1531" t="s">
        <v>6397</v>
      </c>
      <c r="F1531" t="str">
        <f>VLOOKUP(E1531,country_continent!A:C,2,FALSE)</f>
        <v>Germany</v>
      </c>
      <c r="G1531" t="str">
        <f>VLOOKUP(E1531,country_continent!A:C,3,FALSE)</f>
        <v>Europe</v>
      </c>
      <c r="H1531" t="s">
        <v>6478</v>
      </c>
      <c r="I1531" s="1">
        <v>9147</v>
      </c>
      <c r="J1531" s="3">
        <f t="shared" si="69"/>
        <v>9147</v>
      </c>
      <c r="K1531" s="1">
        <v>9629</v>
      </c>
      <c r="L1531" s="3">
        <f t="shared" si="70"/>
        <v>9629</v>
      </c>
      <c r="M1531" t="s">
        <v>49</v>
      </c>
      <c r="N1531" t="s">
        <v>49</v>
      </c>
      <c r="O1531" t="s">
        <v>49</v>
      </c>
      <c r="P1531">
        <v>0</v>
      </c>
      <c r="Q1531" t="s">
        <v>50</v>
      </c>
      <c r="R1531" t="s">
        <v>51</v>
      </c>
      <c r="S1531">
        <v>1879</v>
      </c>
      <c r="T1531">
        <v>1962</v>
      </c>
      <c r="U1531" t="s">
        <v>6479</v>
      </c>
      <c r="V1531" t="s">
        <v>6480</v>
      </c>
      <c r="W1531" s="1">
        <v>22777</v>
      </c>
      <c r="X1531" s="2">
        <v>22777</v>
      </c>
      <c r="Y1531" t="s">
        <v>6481</v>
      </c>
      <c r="Z1531">
        <v>0</v>
      </c>
      <c r="AA1531">
        <v>1</v>
      </c>
      <c r="AB1531">
        <v>0</v>
      </c>
      <c r="AC1531">
        <v>0</v>
      </c>
      <c r="AF1531">
        <v>1925</v>
      </c>
      <c r="AG1531">
        <v>1926</v>
      </c>
      <c r="AO1531" t="b">
        <v>1</v>
      </c>
      <c r="AP1531" t="s">
        <v>45</v>
      </c>
      <c r="AQ1531">
        <v>1899</v>
      </c>
      <c r="AR1531">
        <v>1918</v>
      </c>
      <c r="AS1531" t="s">
        <v>6482</v>
      </c>
      <c r="AT1531">
        <v>1.31964407939767</v>
      </c>
      <c r="AU1531">
        <f t="shared" si="71"/>
        <v>4.0000000000000001E-3</v>
      </c>
    </row>
    <row r="1532" spans="1:47" x14ac:dyDescent="0.3">
      <c r="A1532">
        <v>1530</v>
      </c>
      <c r="B1532" t="s">
        <v>6483</v>
      </c>
      <c r="C1532" t="s">
        <v>6470</v>
      </c>
      <c r="D1532">
        <v>255</v>
      </c>
      <c r="E1532" t="s">
        <v>6397</v>
      </c>
      <c r="F1532" t="str">
        <f>VLOOKUP(E1532,country_continent!A:C,2,FALSE)</f>
        <v>Germany</v>
      </c>
      <c r="G1532" t="str">
        <f>VLOOKUP(E1532,country_continent!A:C,3,FALSE)</f>
        <v>Europe</v>
      </c>
      <c r="H1532" t="s">
        <v>6471</v>
      </c>
      <c r="I1532" s="1">
        <v>9633</v>
      </c>
      <c r="J1532" s="3">
        <f t="shared" si="69"/>
        <v>9633</v>
      </c>
      <c r="K1532" s="1">
        <v>10391</v>
      </c>
      <c r="L1532" s="3">
        <f t="shared" si="70"/>
        <v>10391</v>
      </c>
      <c r="M1532" t="s">
        <v>49</v>
      </c>
      <c r="N1532" t="s">
        <v>49</v>
      </c>
      <c r="O1532" t="s">
        <v>49</v>
      </c>
      <c r="P1532">
        <v>1</v>
      </c>
      <c r="Q1532" t="s">
        <v>50</v>
      </c>
      <c r="R1532" t="s">
        <v>51</v>
      </c>
      <c r="S1532">
        <v>1863</v>
      </c>
      <c r="T1532">
        <v>1946</v>
      </c>
      <c r="U1532" t="s">
        <v>6472</v>
      </c>
      <c r="V1532" t="s">
        <v>6473</v>
      </c>
      <c r="W1532" s="1">
        <v>17019</v>
      </c>
      <c r="X1532" s="2">
        <v>17019</v>
      </c>
      <c r="Y1532" t="s">
        <v>6474</v>
      </c>
      <c r="Z1532">
        <v>0</v>
      </c>
      <c r="AA1532">
        <v>1</v>
      </c>
      <c r="AB1532">
        <v>0</v>
      </c>
      <c r="AC1532">
        <v>0</v>
      </c>
      <c r="AF1532">
        <v>1926</v>
      </c>
      <c r="AG1532">
        <v>1928</v>
      </c>
      <c r="AO1532" t="b">
        <v>1</v>
      </c>
      <c r="AP1532" t="s">
        <v>45</v>
      </c>
      <c r="AQ1532">
        <v>1899</v>
      </c>
      <c r="AR1532">
        <v>1918</v>
      </c>
      <c r="AS1532" t="s">
        <v>6484</v>
      </c>
      <c r="AT1532">
        <v>2.0752908966461301</v>
      </c>
      <c r="AU1532">
        <f t="shared" si="71"/>
        <v>6.0000000000000001E-3</v>
      </c>
    </row>
    <row r="1533" spans="1:47" x14ac:dyDescent="0.3">
      <c r="A1533">
        <v>1531</v>
      </c>
      <c r="B1533" t="s">
        <v>6485</v>
      </c>
      <c r="C1533" t="s">
        <v>6439</v>
      </c>
      <c r="D1533">
        <v>255</v>
      </c>
      <c r="E1533" t="s">
        <v>6397</v>
      </c>
      <c r="F1533" t="str">
        <f>VLOOKUP(E1533,country_continent!A:C,2,FALSE)</f>
        <v>Germany</v>
      </c>
      <c r="G1533" t="str">
        <f>VLOOKUP(E1533,country_continent!A:C,3,FALSE)</f>
        <v>Europe</v>
      </c>
      <c r="H1533" t="s">
        <v>5669</v>
      </c>
      <c r="I1533" s="1">
        <v>10407</v>
      </c>
      <c r="J1533" s="3">
        <f t="shared" si="69"/>
        <v>10407</v>
      </c>
      <c r="K1533" s="1">
        <v>11044</v>
      </c>
      <c r="L1533" s="3">
        <f t="shared" si="70"/>
        <v>11044</v>
      </c>
      <c r="M1533" t="s">
        <v>49</v>
      </c>
      <c r="N1533" t="s">
        <v>49</v>
      </c>
      <c r="O1533" t="s">
        <v>49</v>
      </c>
      <c r="P1533">
        <v>1</v>
      </c>
      <c r="Q1533" t="s">
        <v>50</v>
      </c>
      <c r="R1533" t="s">
        <v>51</v>
      </c>
      <c r="S1533">
        <v>1876</v>
      </c>
      <c r="T1533">
        <v>1931</v>
      </c>
      <c r="U1533" t="s">
        <v>2921</v>
      </c>
      <c r="V1533" t="s">
        <v>2922</v>
      </c>
      <c r="W1533" s="1">
        <v>11402</v>
      </c>
      <c r="X1533" s="2">
        <v>11402</v>
      </c>
      <c r="Z1533">
        <v>0</v>
      </c>
      <c r="AA1533">
        <v>1</v>
      </c>
      <c r="AB1533">
        <v>0</v>
      </c>
      <c r="AC1533">
        <v>0</v>
      </c>
      <c r="AF1533">
        <v>1928</v>
      </c>
      <c r="AG1533">
        <v>1930</v>
      </c>
      <c r="AO1533" t="b">
        <v>1</v>
      </c>
      <c r="AP1533" t="s">
        <v>45</v>
      </c>
      <c r="AQ1533">
        <v>1899</v>
      </c>
      <c r="AR1533">
        <v>1918</v>
      </c>
      <c r="AS1533" t="s">
        <v>6486</v>
      </c>
      <c r="AT1533">
        <v>1.7440109514031401</v>
      </c>
      <c r="AU1533">
        <f t="shared" si="71"/>
        <v>5.0000000000000001E-3</v>
      </c>
    </row>
    <row r="1534" spans="1:47" x14ac:dyDescent="0.3">
      <c r="A1534">
        <v>1532</v>
      </c>
      <c r="B1534" t="s">
        <v>6487</v>
      </c>
      <c r="C1534" t="s">
        <v>6488</v>
      </c>
      <c r="D1534">
        <v>255</v>
      </c>
      <c r="E1534" t="s">
        <v>6397</v>
      </c>
      <c r="F1534" t="str">
        <f>VLOOKUP(E1534,country_continent!A:C,2,FALSE)</f>
        <v>Germany</v>
      </c>
      <c r="G1534" t="str">
        <f>VLOOKUP(E1534,country_continent!A:C,3,FALSE)</f>
        <v>Europe</v>
      </c>
      <c r="H1534" t="s">
        <v>6489</v>
      </c>
      <c r="I1534" s="1">
        <v>11047</v>
      </c>
      <c r="J1534" s="3">
        <f t="shared" si="69"/>
        <v>11047</v>
      </c>
      <c r="K1534" s="1">
        <v>11839</v>
      </c>
      <c r="L1534" s="3">
        <f t="shared" si="70"/>
        <v>11839</v>
      </c>
      <c r="M1534" t="s">
        <v>49</v>
      </c>
      <c r="N1534" t="s">
        <v>49</v>
      </c>
      <c r="O1534" t="s">
        <v>49</v>
      </c>
      <c r="P1534">
        <v>0</v>
      </c>
      <c r="Q1534" t="s">
        <v>50</v>
      </c>
      <c r="R1534" t="s">
        <v>51</v>
      </c>
      <c r="S1534">
        <v>1885</v>
      </c>
      <c r="T1534">
        <v>1970</v>
      </c>
      <c r="U1534" t="s">
        <v>6490</v>
      </c>
      <c r="V1534" t="s">
        <v>6491</v>
      </c>
      <c r="W1534" s="1">
        <v>25657</v>
      </c>
      <c r="X1534" s="2">
        <v>25657</v>
      </c>
      <c r="Y1534" t="s">
        <v>6492</v>
      </c>
      <c r="Z1534">
        <v>0</v>
      </c>
      <c r="AA1534">
        <v>1</v>
      </c>
      <c r="AB1534">
        <v>0</v>
      </c>
      <c r="AC1534">
        <v>0</v>
      </c>
      <c r="AF1534">
        <v>1930</v>
      </c>
      <c r="AG1534">
        <v>1932</v>
      </c>
      <c r="AO1534" t="b">
        <v>1</v>
      </c>
      <c r="AP1534" t="s">
        <v>45</v>
      </c>
      <c r="AQ1534">
        <v>1899</v>
      </c>
      <c r="AR1534">
        <v>1918</v>
      </c>
      <c r="AS1534" t="s">
        <v>6493</v>
      </c>
      <c r="AT1534">
        <v>2.16837782340862</v>
      </c>
      <c r="AU1534">
        <f t="shared" si="71"/>
        <v>6.0000000000000001E-3</v>
      </c>
    </row>
    <row r="1535" spans="1:47" x14ac:dyDescent="0.3">
      <c r="A1535">
        <v>1533</v>
      </c>
      <c r="B1535" t="s">
        <v>6494</v>
      </c>
      <c r="C1535" t="s">
        <v>6495</v>
      </c>
      <c r="D1535">
        <v>255</v>
      </c>
      <c r="E1535" t="s">
        <v>6397</v>
      </c>
      <c r="F1535" t="str">
        <f>VLOOKUP(E1535,country_continent!A:C,2,FALSE)</f>
        <v>Germany</v>
      </c>
      <c r="G1535" t="str">
        <f>VLOOKUP(E1535,country_continent!A:C,3,FALSE)</f>
        <v>Europe</v>
      </c>
      <c r="H1535" t="s">
        <v>6496</v>
      </c>
      <c r="I1535" s="1">
        <v>11841</v>
      </c>
      <c r="J1535" s="3">
        <f t="shared" si="69"/>
        <v>11841</v>
      </c>
      <c r="K1535" s="1">
        <v>12010</v>
      </c>
      <c r="L1535" s="3">
        <f t="shared" si="70"/>
        <v>12010</v>
      </c>
      <c r="M1535" t="s">
        <v>49</v>
      </c>
      <c r="N1535" t="s">
        <v>49</v>
      </c>
      <c r="O1535" t="s">
        <v>49</v>
      </c>
      <c r="P1535">
        <v>0</v>
      </c>
      <c r="Q1535" t="s">
        <v>50</v>
      </c>
      <c r="R1535" t="s">
        <v>51</v>
      </c>
      <c r="S1535">
        <v>1879</v>
      </c>
      <c r="T1535">
        <v>1969</v>
      </c>
      <c r="U1535" t="s">
        <v>6497</v>
      </c>
      <c r="V1535" t="s">
        <v>6498</v>
      </c>
      <c r="W1535" s="1">
        <v>25325</v>
      </c>
      <c r="X1535" s="2">
        <v>25325</v>
      </c>
      <c r="Y1535" t="s">
        <v>6499</v>
      </c>
      <c r="Z1535">
        <v>0</v>
      </c>
      <c r="AA1535">
        <v>1</v>
      </c>
      <c r="AB1535">
        <v>0</v>
      </c>
      <c r="AC1535">
        <v>0</v>
      </c>
      <c r="AF1535">
        <v>1932</v>
      </c>
      <c r="AG1535">
        <v>1932</v>
      </c>
      <c r="AO1535" t="b">
        <v>1</v>
      </c>
      <c r="AP1535" t="s">
        <v>45</v>
      </c>
      <c r="AQ1535">
        <v>1899</v>
      </c>
      <c r="AR1535">
        <v>1918</v>
      </c>
      <c r="AS1535" t="s">
        <v>6500</v>
      </c>
      <c r="AT1535">
        <v>0.46269678302532502</v>
      </c>
      <c r="AU1535">
        <f t="shared" si="71"/>
        <v>1E-3</v>
      </c>
    </row>
    <row r="1536" spans="1:47" x14ac:dyDescent="0.3">
      <c r="A1536">
        <v>1534</v>
      </c>
      <c r="B1536" t="s">
        <v>6501</v>
      </c>
      <c r="C1536" t="s">
        <v>6502</v>
      </c>
      <c r="D1536">
        <v>255</v>
      </c>
      <c r="E1536" t="s">
        <v>6397</v>
      </c>
      <c r="F1536" t="str">
        <f>VLOOKUP(E1536,country_continent!A:C,2,FALSE)</f>
        <v>Germany</v>
      </c>
      <c r="G1536" t="str">
        <f>VLOOKUP(E1536,country_continent!A:C,3,FALSE)</f>
        <v>Europe</v>
      </c>
      <c r="H1536" t="s">
        <v>6503</v>
      </c>
      <c r="I1536" s="1">
        <v>12026</v>
      </c>
      <c r="J1536" s="3">
        <f t="shared" si="69"/>
        <v>12026</v>
      </c>
      <c r="K1536" s="1">
        <v>12082</v>
      </c>
      <c r="L1536" s="3">
        <f t="shared" si="70"/>
        <v>12082</v>
      </c>
      <c r="M1536" t="s">
        <v>49</v>
      </c>
      <c r="N1536" t="s">
        <v>49</v>
      </c>
      <c r="O1536" t="s">
        <v>49</v>
      </c>
      <c r="P1536">
        <v>0</v>
      </c>
      <c r="Q1536" t="s">
        <v>50</v>
      </c>
      <c r="R1536" t="s">
        <v>51</v>
      </c>
      <c r="S1536">
        <v>1882</v>
      </c>
      <c r="T1536">
        <v>1934</v>
      </c>
      <c r="U1536" t="s">
        <v>6504</v>
      </c>
      <c r="V1536" t="s">
        <v>6505</v>
      </c>
      <c r="W1536" s="1">
        <v>12600</v>
      </c>
      <c r="X1536" s="2">
        <v>12600</v>
      </c>
      <c r="Y1536" t="s">
        <v>6506</v>
      </c>
      <c r="Z1536">
        <v>0</v>
      </c>
      <c r="AA1536">
        <v>1</v>
      </c>
      <c r="AB1536">
        <v>0</v>
      </c>
      <c r="AC1536">
        <v>0</v>
      </c>
      <c r="AF1536">
        <v>1932</v>
      </c>
      <c r="AG1536">
        <v>1933</v>
      </c>
      <c r="AO1536" t="b">
        <v>1</v>
      </c>
      <c r="AP1536" t="s">
        <v>45</v>
      </c>
      <c r="AQ1536">
        <v>1899</v>
      </c>
      <c r="AR1536">
        <v>1918</v>
      </c>
      <c r="AS1536" t="s">
        <v>6507</v>
      </c>
      <c r="AT1536">
        <v>0.15331964407939699</v>
      </c>
      <c r="AU1536">
        <f t="shared" si="71"/>
        <v>0</v>
      </c>
    </row>
    <row r="1537" spans="1:47" x14ac:dyDescent="0.3">
      <c r="A1537">
        <v>1535</v>
      </c>
      <c r="B1537" t="s">
        <v>6508</v>
      </c>
      <c r="C1537" t="s">
        <v>6509</v>
      </c>
      <c r="D1537">
        <v>255</v>
      </c>
      <c r="E1537" t="s">
        <v>6397</v>
      </c>
      <c r="F1537" t="str">
        <f>VLOOKUP(E1537,country_continent!A:C,2,FALSE)</f>
        <v>Germany</v>
      </c>
      <c r="G1537" t="str">
        <f>VLOOKUP(E1537,country_continent!A:C,3,FALSE)</f>
        <v>Europe</v>
      </c>
      <c r="H1537" t="s">
        <v>6510</v>
      </c>
      <c r="I1537" s="1">
        <v>12084</v>
      </c>
      <c r="J1537" s="3">
        <f t="shared" si="69"/>
        <v>12084</v>
      </c>
      <c r="K1537" s="1">
        <v>16557</v>
      </c>
      <c r="L1537" s="3">
        <f t="shared" si="70"/>
        <v>16557</v>
      </c>
      <c r="M1537" t="s">
        <v>49</v>
      </c>
      <c r="N1537" t="s">
        <v>855</v>
      </c>
      <c r="O1537" t="s">
        <v>49</v>
      </c>
      <c r="P1537">
        <v>0</v>
      </c>
      <c r="Q1537" t="s">
        <v>855</v>
      </c>
      <c r="R1537" t="s">
        <v>51</v>
      </c>
      <c r="S1537">
        <v>1889</v>
      </c>
      <c r="T1537">
        <v>1945</v>
      </c>
      <c r="U1537" t="s">
        <v>6511</v>
      </c>
      <c r="V1537" t="s">
        <v>6512</v>
      </c>
      <c r="W1537" s="1">
        <v>16557</v>
      </c>
      <c r="X1537" s="2">
        <v>16557</v>
      </c>
      <c r="Y1537" t="s">
        <v>6513</v>
      </c>
      <c r="Z1537">
        <v>0</v>
      </c>
      <c r="AA1537">
        <v>2.2000000000000002</v>
      </c>
      <c r="AB1537">
        <v>0</v>
      </c>
      <c r="AC1537">
        <v>3.0999998999999998</v>
      </c>
      <c r="AF1537">
        <v>1933</v>
      </c>
      <c r="AG1537">
        <v>1945</v>
      </c>
      <c r="AO1537" t="b">
        <v>1</v>
      </c>
      <c r="AP1537" t="s">
        <v>45</v>
      </c>
      <c r="AQ1537">
        <v>1899</v>
      </c>
      <c r="AR1537">
        <v>1918</v>
      </c>
      <c r="AS1537" t="s">
        <v>6514</v>
      </c>
      <c r="AT1537">
        <v>12.246406570841801</v>
      </c>
      <c r="AU1537">
        <f t="shared" si="71"/>
        <v>3.4000000000000002E-2</v>
      </c>
    </row>
    <row r="1538" spans="1:47" x14ac:dyDescent="0.3">
      <c r="A1538">
        <v>1536</v>
      </c>
      <c r="B1538" t="s">
        <v>6515</v>
      </c>
      <c r="C1538" t="s">
        <v>6516</v>
      </c>
      <c r="D1538">
        <v>255</v>
      </c>
      <c r="E1538" t="s">
        <v>6397</v>
      </c>
      <c r="F1538" t="str">
        <f>VLOOKUP(E1538,country_continent!A:C,2,FALSE)</f>
        <v>Germany</v>
      </c>
      <c r="G1538" t="str">
        <f>VLOOKUP(E1538,country_continent!A:C,3,FALSE)</f>
        <v>Europe</v>
      </c>
      <c r="H1538" t="s">
        <v>6517</v>
      </c>
      <c r="I1538" s="1">
        <v>16557</v>
      </c>
      <c r="J1538" s="3">
        <f t="shared" si="69"/>
        <v>16557</v>
      </c>
      <c r="K1538" s="1">
        <v>16580</v>
      </c>
      <c r="L1538" s="3">
        <f t="shared" si="70"/>
        <v>16580</v>
      </c>
      <c r="M1538" t="s">
        <v>49</v>
      </c>
      <c r="N1538" t="s">
        <v>633</v>
      </c>
      <c r="O1538" t="s">
        <v>634</v>
      </c>
      <c r="P1538">
        <v>0</v>
      </c>
      <c r="Q1538" t="s">
        <v>463</v>
      </c>
      <c r="R1538" t="s">
        <v>51</v>
      </c>
      <c r="S1538">
        <v>1891</v>
      </c>
      <c r="T1538">
        <v>1980</v>
      </c>
      <c r="U1538" t="s">
        <v>6518</v>
      </c>
      <c r="V1538" t="s">
        <v>6519</v>
      </c>
      <c r="W1538" s="1">
        <v>29579</v>
      </c>
      <c r="X1538" s="2">
        <v>29579</v>
      </c>
      <c r="Y1538" t="s">
        <v>6520</v>
      </c>
      <c r="Z1538">
        <v>0</v>
      </c>
      <c r="AA1538">
        <v>4</v>
      </c>
      <c r="AB1538">
        <v>9</v>
      </c>
      <c r="AC1538">
        <v>2</v>
      </c>
      <c r="AF1538">
        <v>1945</v>
      </c>
      <c r="AG1538">
        <v>1945</v>
      </c>
      <c r="AO1538" t="b">
        <v>1</v>
      </c>
      <c r="AP1538" t="s">
        <v>45</v>
      </c>
      <c r="AQ1538">
        <v>1899</v>
      </c>
      <c r="AR1538">
        <v>1918</v>
      </c>
      <c r="AS1538" t="s">
        <v>6521</v>
      </c>
      <c r="AT1538">
        <v>6.2970568104038296E-2</v>
      </c>
      <c r="AU1538">
        <f t="shared" si="71"/>
        <v>0</v>
      </c>
    </row>
    <row r="1539" spans="1:47" x14ac:dyDescent="0.3">
      <c r="A1539">
        <v>1537</v>
      </c>
      <c r="B1539" t="s">
        <v>6522</v>
      </c>
      <c r="C1539" t="s">
        <v>6523</v>
      </c>
      <c r="D1539">
        <v>260</v>
      </c>
      <c r="E1539" t="s">
        <v>6524</v>
      </c>
      <c r="F1539" t="str">
        <f>VLOOKUP(E1539,country_continent!A:C,2,FALSE)</f>
        <v>German Federal Republic</v>
      </c>
      <c r="G1539" t="str">
        <f>VLOOKUP(E1539,country_continent!A:C,3,FALSE)</f>
        <v>Europe</v>
      </c>
      <c r="H1539" t="s">
        <v>6525</v>
      </c>
      <c r="I1539" s="1">
        <v>18157</v>
      </c>
      <c r="J1539" s="3">
        <f t="shared" ref="J1539:J1602" si="72">IF(ISNUMBER(SEARCH("-", I1539)), SUBSTITUTE(I1539, "-", "/"), I1539)</f>
        <v>18157</v>
      </c>
      <c r="K1539" s="1">
        <v>23299</v>
      </c>
      <c r="L1539" s="3">
        <f t="shared" ref="L1539:L1602" si="73">IF(ISNUMBER(SEARCH("-", K1539)), SUBSTITUTE(K1539, "-", "/"), K1539)</f>
        <v>23299</v>
      </c>
      <c r="M1539" t="s">
        <v>49</v>
      </c>
      <c r="N1539" t="s">
        <v>49</v>
      </c>
      <c r="O1539" t="s">
        <v>49</v>
      </c>
      <c r="P1539">
        <v>0</v>
      </c>
      <c r="Q1539" t="s">
        <v>50</v>
      </c>
      <c r="R1539" t="s">
        <v>51</v>
      </c>
      <c r="S1539">
        <v>1876</v>
      </c>
      <c r="T1539">
        <v>1967</v>
      </c>
      <c r="U1539" t="s">
        <v>6526</v>
      </c>
      <c r="V1539" t="s">
        <v>6527</v>
      </c>
      <c r="W1539" s="1">
        <v>24581</v>
      </c>
      <c r="X1539" s="2">
        <v>24581</v>
      </c>
      <c r="Y1539" t="s">
        <v>6528</v>
      </c>
      <c r="Z1539">
        <v>0</v>
      </c>
      <c r="AA1539">
        <v>1</v>
      </c>
      <c r="AB1539">
        <v>0</v>
      </c>
      <c r="AC1539">
        <v>0</v>
      </c>
      <c r="AF1539">
        <v>1949</v>
      </c>
      <c r="AG1539">
        <v>1963</v>
      </c>
      <c r="AO1539" t="b">
        <v>0</v>
      </c>
      <c r="AT1539">
        <v>5142</v>
      </c>
      <c r="AU1539">
        <f t="shared" si="71"/>
        <v>14.087999999999999</v>
      </c>
    </row>
    <row r="1540" spans="1:47" x14ac:dyDescent="0.3">
      <c r="A1540">
        <v>1538</v>
      </c>
      <c r="B1540" t="s">
        <v>6529</v>
      </c>
      <c r="C1540" t="s">
        <v>6530</v>
      </c>
      <c r="D1540">
        <v>260</v>
      </c>
      <c r="E1540" t="s">
        <v>6524</v>
      </c>
      <c r="F1540" t="str">
        <f>VLOOKUP(E1540,country_continent!A:C,2,FALSE)</f>
        <v>German Federal Republic</v>
      </c>
      <c r="G1540" t="str">
        <f>VLOOKUP(E1540,country_continent!A:C,3,FALSE)</f>
        <v>Europe</v>
      </c>
      <c r="H1540" t="s">
        <v>6531</v>
      </c>
      <c r="I1540" s="1">
        <v>23300</v>
      </c>
      <c r="J1540" s="3">
        <f t="shared" si="72"/>
        <v>23300</v>
      </c>
      <c r="K1540" s="1">
        <v>24442</v>
      </c>
      <c r="L1540" s="3">
        <f t="shared" si="73"/>
        <v>24442</v>
      </c>
      <c r="M1540" t="s">
        <v>49</v>
      </c>
      <c r="N1540" t="s">
        <v>49</v>
      </c>
      <c r="O1540" t="s">
        <v>49</v>
      </c>
      <c r="P1540">
        <v>0</v>
      </c>
      <c r="Q1540" t="s">
        <v>50</v>
      </c>
      <c r="R1540" t="s">
        <v>51</v>
      </c>
      <c r="S1540">
        <v>1897</v>
      </c>
      <c r="T1540">
        <v>1977</v>
      </c>
      <c r="U1540" t="s">
        <v>6532</v>
      </c>
      <c r="V1540" t="s">
        <v>6533</v>
      </c>
      <c r="W1540" s="1">
        <v>28250</v>
      </c>
      <c r="X1540" s="2">
        <v>28250</v>
      </c>
      <c r="Y1540" t="s">
        <v>6534</v>
      </c>
      <c r="Z1540">
        <v>0</v>
      </c>
      <c r="AA1540">
        <v>1</v>
      </c>
      <c r="AB1540">
        <v>0</v>
      </c>
      <c r="AC1540">
        <v>0</v>
      </c>
      <c r="AF1540">
        <v>1963</v>
      </c>
      <c r="AG1540">
        <v>1966</v>
      </c>
      <c r="AO1540" t="b">
        <v>0</v>
      </c>
      <c r="AT1540">
        <v>1142</v>
      </c>
      <c r="AU1540">
        <f t="shared" ref="AU1540:AU1603" si="74">ROUND(AT1540/365,3)</f>
        <v>3.129</v>
      </c>
    </row>
    <row r="1541" spans="1:47" x14ac:dyDescent="0.3">
      <c r="A1541">
        <v>1539</v>
      </c>
      <c r="B1541" t="s">
        <v>6535</v>
      </c>
      <c r="C1541" t="s">
        <v>6536</v>
      </c>
      <c r="D1541">
        <v>260</v>
      </c>
      <c r="E1541" t="s">
        <v>6524</v>
      </c>
      <c r="F1541" t="str">
        <f>VLOOKUP(E1541,country_continent!A:C,2,FALSE)</f>
        <v>German Federal Republic</v>
      </c>
      <c r="G1541" t="str">
        <f>VLOOKUP(E1541,country_continent!A:C,3,FALSE)</f>
        <v>Europe</v>
      </c>
      <c r="H1541" t="s">
        <v>6537</v>
      </c>
      <c r="I1541" s="1">
        <v>24442</v>
      </c>
      <c r="J1541" s="3">
        <f t="shared" si="72"/>
        <v>24442</v>
      </c>
      <c r="K1541" s="1">
        <v>25497</v>
      </c>
      <c r="L1541" s="3">
        <f t="shared" si="73"/>
        <v>25497</v>
      </c>
      <c r="M1541" t="s">
        <v>49</v>
      </c>
      <c r="N1541" t="s">
        <v>49</v>
      </c>
      <c r="O1541" t="s">
        <v>49</v>
      </c>
      <c r="P1541">
        <v>0</v>
      </c>
      <c r="Q1541" t="s">
        <v>50</v>
      </c>
      <c r="R1541" t="s">
        <v>51</v>
      </c>
      <c r="S1541">
        <v>1904</v>
      </c>
      <c r="T1541">
        <v>1988</v>
      </c>
      <c r="U1541" s="1">
        <v>1558</v>
      </c>
      <c r="V1541" s="2">
        <v>1558</v>
      </c>
      <c r="W1541" s="1">
        <v>32211</v>
      </c>
      <c r="X1541" s="2">
        <v>32211</v>
      </c>
      <c r="Y1541" t="s">
        <v>6538</v>
      </c>
      <c r="Z1541">
        <v>0</v>
      </c>
      <c r="AA1541">
        <v>1</v>
      </c>
      <c r="AB1541">
        <v>0</v>
      </c>
      <c r="AC1541">
        <v>0</v>
      </c>
      <c r="AF1541">
        <v>1966</v>
      </c>
      <c r="AG1541">
        <v>1969</v>
      </c>
      <c r="AO1541" t="b">
        <v>0</v>
      </c>
      <c r="AT1541">
        <v>1055</v>
      </c>
      <c r="AU1541">
        <f t="shared" si="74"/>
        <v>2.89</v>
      </c>
    </row>
    <row r="1542" spans="1:47" x14ac:dyDescent="0.3">
      <c r="A1542">
        <v>1540</v>
      </c>
      <c r="B1542" t="s">
        <v>6539</v>
      </c>
      <c r="C1542" t="s">
        <v>6540</v>
      </c>
      <c r="D1542">
        <v>260</v>
      </c>
      <c r="E1542" t="s">
        <v>6524</v>
      </c>
      <c r="F1542" t="str">
        <f>VLOOKUP(E1542,country_continent!A:C,2,FALSE)</f>
        <v>German Federal Republic</v>
      </c>
      <c r="G1542" t="str">
        <f>VLOOKUP(E1542,country_continent!A:C,3,FALSE)</f>
        <v>Europe</v>
      </c>
      <c r="H1542" t="s">
        <v>6541</v>
      </c>
      <c r="I1542" s="1">
        <v>25498</v>
      </c>
      <c r="J1542" s="3">
        <f t="shared" si="72"/>
        <v>25498</v>
      </c>
      <c r="K1542" s="1">
        <v>27155</v>
      </c>
      <c r="L1542" s="3">
        <f t="shared" si="73"/>
        <v>27155</v>
      </c>
      <c r="M1542" t="s">
        <v>49</v>
      </c>
      <c r="N1542" t="s">
        <v>49</v>
      </c>
      <c r="O1542" t="s">
        <v>49</v>
      </c>
      <c r="P1542">
        <v>0</v>
      </c>
      <c r="Q1542" t="s">
        <v>50</v>
      </c>
      <c r="R1542" t="s">
        <v>51</v>
      </c>
      <c r="S1542">
        <v>1913</v>
      </c>
      <c r="T1542">
        <v>1992</v>
      </c>
      <c r="U1542" s="1">
        <v>5101</v>
      </c>
      <c r="V1542" s="2">
        <v>5101</v>
      </c>
      <c r="W1542" s="1">
        <v>33885</v>
      </c>
      <c r="X1542" s="2">
        <v>33885</v>
      </c>
      <c r="Y1542" t="s">
        <v>6542</v>
      </c>
      <c r="Z1542">
        <v>0</v>
      </c>
      <c r="AA1542">
        <v>1</v>
      </c>
      <c r="AB1542">
        <v>0</v>
      </c>
      <c r="AC1542">
        <v>0</v>
      </c>
      <c r="AF1542">
        <v>1969</v>
      </c>
      <c r="AG1542">
        <v>1974</v>
      </c>
      <c r="AO1542" t="b">
        <v>0</v>
      </c>
      <c r="AT1542">
        <v>1657</v>
      </c>
      <c r="AU1542">
        <f t="shared" si="74"/>
        <v>4.54</v>
      </c>
    </row>
    <row r="1543" spans="1:47" x14ac:dyDescent="0.3">
      <c r="A1543">
        <v>1541</v>
      </c>
      <c r="B1543" t="s">
        <v>6543</v>
      </c>
      <c r="C1543" t="s">
        <v>6544</v>
      </c>
      <c r="D1543">
        <v>260</v>
      </c>
      <c r="E1543" t="s">
        <v>6524</v>
      </c>
      <c r="F1543" t="str">
        <f>VLOOKUP(E1543,country_continent!A:C,2,FALSE)</f>
        <v>German Federal Republic</v>
      </c>
      <c r="G1543" t="str">
        <f>VLOOKUP(E1543,country_continent!A:C,3,FALSE)</f>
        <v>Europe</v>
      </c>
      <c r="H1543" t="s">
        <v>6545</v>
      </c>
      <c r="I1543" s="1">
        <v>27165</v>
      </c>
      <c r="J1543" s="3">
        <f t="shared" si="72"/>
        <v>27165</v>
      </c>
      <c r="K1543" s="1">
        <v>30225</v>
      </c>
      <c r="L1543" s="3">
        <f t="shared" si="73"/>
        <v>30225</v>
      </c>
      <c r="M1543" t="s">
        <v>49</v>
      </c>
      <c r="N1543" t="s">
        <v>49</v>
      </c>
      <c r="O1543" t="s">
        <v>49</v>
      </c>
      <c r="P1543">
        <v>0</v>
      </c>
      <c r="Q1543" t="s">
        <v>50</v>
      </c>
      <c r="R1543" t="s">
        <v>51</v>
      </c>
      <c r="S1543">
        <v>1918</v>
      </c>
      <c r="T1543">
        <v>-777</v>
      </c>
      <c r="U1543" s="1">
        <v>6932</v>
      </c>
      <c r="V1543" s="2">
        <v>6932</v>
      </c>
      <c r="W1543" s="1">
        <v>42318</v>
      </c>
      <c r="X1543" s="2">
        <v>42318</v>
      </c>
      <c r="Y1543" t="s">
        <v>6546</v>
      </c>
      <c r="Z1543">
        <v>0</v>
      </c>
      <c r="AA1543">
        <v>1</v>
      </c>
      <c r="AB1543">
        <v>0</v>
      </c>
      <c r="AC1543">
        <v>0</v>
      </c>
      <c r="AF1543">
        <v>1974</v>
      </c>
      <c r="AG1543">
        <v>1982</v>
      </c>
      <c r="AO1543" t="b">
        <v>0</v>
      </c>
      <c r="AT1543">
        <v>3060</v>
      </c>
      <c r="AU1543">
        <f t="shared" si="74"/>
        <v>8.3840000000000003</v>
      </c>
    </row>
    <row r="1544" spans="1:47" x14ac:dyDescent="0.3">
      <c r="A1544">
        <v>1542</v>
      </c>
      <c r="B1544" t="s">
        <v>6547</v>
      </c>
      <c r="C1544" t="s">
        <v>6548</v>
      </c>
      <c r="D1544">
        <v>260</v>
      </c>
      <c r="E1544" t="s">
        <v>6524</v>
      </c>
      <c r="F1544" t="str">
        <f>VLOOKUP(E1544,country_continent!A:C,2,FALSE)</f>
        <v>German Federal Republic</v>
      </c>
      <c r="G1544" t="str">
        <f>VLOOKUP(E1544,country_continent!A:C,3,FALSE)</f>
        <v>Europe</v>
      </c>
      <c r="H1544" t="s">
        <v>6549</v>
      </c>
      <c r="I1544" s="1">
        <v>30225</v>
      </c>
      <c r="J1544" s="3">
        <f t="shared" si="72"/>
        <v>30225</v>
      </c>
      <c r="K1544" s="1">
        <v>36095</v>
      </c>
      <c r="L1544" s="3">
        <f t="shared" si="73"/>
        <v>36095</v>
      </c>
      <c r="M1544" t="s">
        <v>49</v>
      </c>
      <c r="N1544" t="s">
        <v>49</v>
      </c>
      <c r="O1544" t="s">
        <v>49</v>
      </c>
      <c r="P1544">
        <v>0</v>
      </c>
      <c r="Q1544" t="s">
        <v>50</v>
      </c>
      <c r="R1544" t="s">
        <v>51</v>
      </c>
      <c r="S1544">
        <v>1930</v>
      </c>
      <c r="T1544">
        <v>-777</v>
      </c>
      <c r="U1544" s="1">
        <v>11051</v>
      </c>
      <c r="V1544" s="2">
        <v>11051</v>
      </c>
      <c r="Y1544" t="s">
        <v>6550</v>
      </c>
      <c r="Z1544">
        <v>0</v>
      </c>
      <c r="AA1544">
        <v>1</v>
      </c>
      <c r="AB1544">
        <v>0</v>
      </c>
      <c r="AC1544">
        <v>0</v>
      </c>
      <c r="AF1544">
        <v>1982</v>
      </c>
      <c r="AG1544">
        <v>1998</v>
      </c>
      <c r="AO1544" t="b">
        <v>0</v>
      </c>
      <c r="AT1544">
        <v>5870</v>
      </c>
      <c r="AU1544">
        <f t="shared" si="74"/>
        <v>16.082000000000001</v>
      </c>
    </row>
    <row r="1545" spans="1:47" x14ac:dyDescent="0.3">
      <c r="A1545">
        <v>1543</v>
      </c>
      <c r="B1545" t="s">
        <v>6551</v>
      </c>
      <c r="C1545" t="s">
        <v>6552</v>
      </c>
      <c r="D1545">
        <v>260</v>
      </c>
      <c r="E1545" t="s">
        <v>6524</v>
      </c>
      <c r="F1545" t="str">
        <f>VLOOKUP(E1545,country_continent!A:C,2,FALSE)</f>
        <v>German Federal Republic</v>
      </c>
      <c r="G1545" t="str">
        <f>VLOOKUP(E1545,country_continent!A:C,3,FALSE)</f>
        <v>Europe</v>
      </c>
      <c r="H1545" t="s">
        <v>6553</v>
      </c>
      <c r="I1545" s="1">
        <v>36095</v>
      </c>
      <c r="J1545" s="3">
        <f t="shared" si="72"/>
        <v>36095</v>
      </c>
      <c r="K1545" s="1">
        <v>38678</v>
      </c>
      <c r="L1545" s="3">
        <f t="shared" si="73"/>
        <v>38678</v>
      </c>
      <c r="M1545" t="s">
        <v>49</v>
      </c>
      <c r="N1545" t="s">
        <v>49</v>
      </c>
      <c r="O1545" t="s">
        <v>49</v>
      </c>
      <c r="P1545">
        <v>0</v>
      </c>
      <c r="Q1545" t="s">
        <v>50</v>
      </c>
      <c r="R1545" t="s">
        <v>51</v>
      </c>
      <c r="S1545">
        <v>1944</v>
      </c>
      <c r="T1545">
        <v>-777</v>
      </c>
      <c r="U1545" s="1">
        <v>16169</v>
      </c>
      <c r="V1545" s="2">
        <v>16169</v>
      </c>
      <c r="Y1545" t="s">
        <v>6554</v>
      </c>
      <c r="Z1545">
        <v>0</v>
      </c>
      <c r="AA1545">
        <v>1</v>
      </c>
      <c r="AB1545">
        <v>0</v>
      </c>
      <c r="AC1545">
        <v>0</v>
      </c>
      <c r="AF1545">
        <v>1998</v>
      </c>
      <c r="AG1545">
        <v>2005</v>
      </c>
      <c r="AO1545" t="b">
        <v>0</v>
      </c>
      <c r="AT1545">
        <v>2583</v>
      </c>
      <c r="AU1545">
        <f t="shared" si="74"/>
        <v>7.077</v>
      </c>
    </row>
    <row r="1546" spans="1:47" x14ac:dyDescent="0.3">
      <c r="A1546">
        <v>1544</v>
      </c>
      <c r="B1546" t="s">
        <v>6555</v>
      </c>
      <c r="C1546" t="s">
        <v>6556</v>
      </c>
      <c r="D1546">
        <v>260</v>
      </c>
      <c r="E1546" t="s">
        <v>6524</v>
      </c>
      <c r="F1546" t="str">
        <f>VLOOKUP(E1546,country_continent!A:C,2,FALSE)</f>
        <v>German Federal Republic</v>
      </c>
      <c r="G1546" t="str">
        <f>VLOOKUP(E1546,country_continent!A:C,3,FALSE)</f>
        <v>Europe</v>
      </c>
      <c r="H1546" t="s">
        <v>6557</v>
      </c>
      <c r="I1546" s="1">
        <v>38678</v>
      </c>
      <c r="J1546" s="3">
        <f t="shared" si="72"/>
        <v>38678</v>
      </c>
      <c r="K1546" s="1">
        <v>42369</v>
      </c>
      <c r="L1546" s="3">
        <f t="shared" si="73"/>
        <v>42369</v>
      </c>
      <c r="M1546" t="s">
        <v>49</v>
      </c>
      <c r="N1546" t="s">
        <v>173</v>
      </c>
      <c r="O1546" t="s">
        <v>173</v>
      </c>
      <c r="P1546">
        <v>0</v>
      </c>
      <c r="Q1546" t="s">
        <v>174</v>
      </c>
      <c r="R1546" t="s">
        <v>299</v>
      </c>
      <c r="S1546">
        <v>1954</v>
      </c>
      <c r="T1546">
        <v>-777</v>
      </c>
      <c r="U1546" s="1">
        <v>19922</v>
      </c>
      <c r="V1546" s="2">
        <v>19922</v>
      </c>
      <c r="Z1546">
        <v>0</v>
      </c>
      <c r="AA1546">
        <v>-888</v>
      </c>
      <c r="AB1546">
        <v>-888</v>
      </c>
      <c r="AC1546">
        <v>-888</v>
      </c>
      <c r="AF1546">
        <v>2005</v>
      </c>
      <c r="AG1546">
        <v>2015</v>
      </c>
      <c r="AO1546" t="b">
        <v>0</v>
      </c>
      <c r="AT1546">
        <v>3691</v>
      </c>
      <c r="AU1546">
        <f t="shared" si="74"/>
        <v>10.112</v>
      </c>
    </row>
    <row r="1547" spans="1:47" x14ac:dyDescent="0.3">
      <c r="A1547">
        <v>1545</v>
      </c>
      <c r="B1547" t="s">
        <v>6558</v>
      </c>
      <c r="C1547" t="s">
        <v>6559</v>
      </c>
      <c r="D1547">
        <v>265</v>
      </c>
      <c r="E1547" t="s">
        <v>6560</v>
      </c>
      <c r="F1547" t="str">
        <f>VLOOKUP(E1547,country_continent!A:C,2,FALSE)</f>
        <v>Germany (DDR)</v>
      </c>
      <c r="G1547" t="str">
        <f>VLOOKUP(E1547,country_continent!A:C,3,FALSE)</f>
        <v>Europe</v>
      </c>
      <c r="H1547" t="s">
        <v>6561</v>
      </c>
      <c r="I1547" s="1">
        <v>16914</v>
      </c>
      <c r="J1547" s="3">
        <f t="shared" si="72"/>
        <v>16914</v>
      </c>
      <c r="K1547" s="1">
        <v>18469</v>
      </c>
      <c r="L1547" s="3">
        <f t="shared" si="73"/>
        <v>18469</v>
      </c>
      <c r="M1547" t="s">
        <v>67</v>
      </c>
      <c r="N1547" t="s">
        <v>49</v>
      </c>
      <c r="O1547" t="s">
        <v>49</v>
      </c>
      <c r="P1547">
        <v>0</v>
      </c>
      <c r="Q1547" t="s">
        <v>50</v>
      </c>
      <c r="R1547" t="s">
        <v>51</v>
      </c>
      <c r="S1547">
        <v>1876</v>
      </c>
      <c r="T1547">
        <v>1960</v>
      </c>
      <c r="Y1547" t="s">
        <v>6562</v>
      </c>
      <c r="Z1547">
        <v>1</v>
      </c>
      <c r="AA1547">
        <v>1</v>
      </c>
      <c r="AB1547">
        <v>0</v>
      </c>
      <c r="AC1547">
        <v>0</v>
      </c>
      <c r="AF1547">
        <v>1946</v>
      </c>
      <c r="AG1547">
        <v>1950</v>
      </c>
      <c r="AO1547" t="b">
        <v>0</v>
      </c>
      <c r="AT1547">
        <v>1555</v>
      </c>
      <c r="AU1547">
        <f t="shared" si="74"/>
        <v>4.26</v>
      </c>
    </row>
    <row r="1548" spans="1:47" x14ac:dyDescent="0.3">
      <c r="A1548">
        <v>1546</v>
      </c>
      <c r="B1548" t="s">
        <v>6563</v>
      </c>
      <c r="C1548" t="s">
        <v>6564</v>
      </c>
      <c r="D1548">
        <v>265</v>
      </c>
      <c r="E1548" t="s">
        <v>6560</v>
      </c>
      <c r="F1548" t="str">
        <f>VLOOKUP(E1548,country_continent!A:C,2,FALSE)</f>
        <v>Germany (DDR)</v>
      </c>
      <c r="G1548" t="str">
        <f>VLOOKUP(E1548,country_continent!A:C,3,FALSE)</f>
        <v>Europe</v>
      </c>
      <c r="H1548" t="s">
        <v>6565</v>
      </c>
      <c r="I1548" s="1">
        <v>18469</v>
      </c>
      <c r="J1548" s="3">
        <f t="shared" si="72"/>
        <v>18469</v>
      </c>
      <c r="K1548" s="1">
        <v>26056</v>
      </c>
      <c r="L1548" s="3">
        <f t="shared" si="73"/>
        <v>26056</v>
      </c>
      <c r="M1548" t="s">
        <v>49</v>
      </c>
      <c r="N1548" t="s">
        <v>49</v>
      </c>
      <c r="O1548" t="s">
        <v>49</v>
      </c>
      <c r="P1548">
        <v>0</v>
      </c>
      <c r="Q1548" t="s">
        <v>50</v>
      </c>
      <c r="R1548" t="s">
        <v>51</v>
      </c>
      <c r="S1548">
        <v>1893</v>
      </c>
      <c r="T1548">
        <v>1973</v>
      </c>
      <c r="U1548" t="s">
        <v>6566</v>
      </c>
      <c r="V1548" t="s">
        <v>6567</v>
      </c>
      <c r="W1548" s="1">
        <v>26877</v>
      </c>
      <c r="X1548" s="2">
        <v>26877</v>
      </c>
      <c r="Y1548" t="s">
        <v>6568</v>
      </c>
      <c r="Z1548">
        <v>0</v>
      </c>
      <c r="AA1548">
        <v>1</v>
      </c>
      <c r="AB1548">
        <v>0</v>
      </c>
      <c r="AC1548">
        <v>0</v>
      </c>
      <c r="AF1548">
        <v>1950</v>
      </c>
      <c r="AG1548">
        <v>1971</v>
      </c>
      <c r="AO1548" t="b">
        <v>0</v>
      </c>
      <c r="AT1548">
        <v>7587</v>
      </c>
      <c r="AU1548">
        <f t="shared" si="74"/>
        <v>20.786000000000001</v>
      </c>
    </row>
    <row r="1549" spans="1:47" x14ac:dyDescent="0.3">
      <c r="A1549">
        <v>1547</v>
      </c>
      <c r="B1549" t="s">
        <v>6569</v>
      </c>
      <c r="C1549" t="s">
        <v>6570</v>
      </c>
      <c r="D1549">
        <v>265</v>
      </c>
      <c r="E1549" t="s">
        <v>6560</v>
      </c>
      <c r="F1549" t="str">
        <f>VLOOKUP(E1549,country_continent!A:C,2,FALSE)</f>
        <v>Germany (DDR)</v>
      </c>
      <c r="G1549" t="str">
        <f>VLOOKUP(E1549,country_continent!A:C,3,FALSE)</f>
        <v>Europe</v>
      </c>
      <c r="H1549" t="s">
        <v>6571</v>
      </c>
      <c r="I1549" s="1">
        <v>26056</v>
      </c>
      <c r="J1549" s="3">
        <f t="shared" si="72"/>
        <v>26056</v>
      </c>
      <c r="K1549" s="1">
        <v>32799</v>
      </c>
      <c r="L1549" s="3">
        <f t="shared" si="73"/>
        <v>32799</v>
      </c>
      <c r="M1549" t="s">
        <v>49</v>
      </c>
      <c r="N1549" t="s">
        <v>49</v>
      </c>
      <c r="O1549" t="s">
        <v>49</v>
      </c>
      <c r="P1549">
        <v>0</v>
      </c>
      <c r="Q1549" t="s">
        <v>463</v>
      </c>
      <c r="R1549" t="s">
        <v>51</v>
      </c>
      <c r="S1549">
        <v>1912</v>
      </c>
      <c r="T1549">
        <v>1994</v>
      </c>
      <c r="U1549" s="1">
        <v>4621</v>
      </c>
      <c r="V1549" s="2">
        <v>4621</v>
      </c>
      <c r="W1549" s="1">
        <v>34483</v>
      </c>
      <c r="X1549" s="2">
        <v>34483</v>
      </c>
      <c r="Y1549" t="s">
        <v>6572</v>
      </c>
      <c r="Z1549">
        <v>0</v>
      </c>
      <c r="AA1549">
        <v>1</v>
      </c>
      <c r="AB1549">
        <v>0</v>
      </c>
      <c r="AC1549">
        <v>2</v>
      </c>
      <c r="AF1549">
        <v>1971</v>
      </c>
      <c r="AG1549">
        <v>1989</v>
      </c>
      <c r="AO1549" t="b">
        <v>0</v>
      </c>
      <c r="AT1549">
        <v>6743</v>
      </c>
      <c r="AU1549">
        <f t="shared" si="74"/>
        <v>18.474</v>
      </c>
    </row>
    <row r="1550" spans="1:47" x14ac:dyDescent="0.3">
      <c r="A1550">
        <v>1548</v>
      </c>
      <c r="B1550" t="s">
        <v>6573</v>
      </c>
      <c r="C1550" t="s">
        <v>6574</v>
      </c>
      <c r="D1550">
        <v>265</v>
      </c>
      <c r="E1550" t="s">
        <v>6560</v>
      </c>
      <c r="F1550" t="str">
        <f>VLOOKUP(E1550,country_continent!A:C,2,FALSE)</f>
        <v>Germany (DDR)</v>
      </c>
      <c r="G1550" t="str">
        <f>VLOOKUP(E1550,country_continent!A:C,3,FALSE)</f>
        <v>Europe</v>
      </c>
      <c r="H1550" t="s">
        <v>6575</v>
      </c>
      <c r="I1550" s="1">
        <v>32799</v>
      </c>
      <c r="J1550" s="3">
        <f t="shared" si="72"/>
        <v>32799</v>
      </c>
      <c r="K1550" s="1">
        <v>32845</v>
      </c>
      <c r="L1550" s="3">
        <f t="shared" si="73"/>
        <v>32845</v>
      </c>
      <c r="M1550" t="s">
        <v>49</v>
      </c>
      <c r="N1550" t="s">
        <v>49</v>
      </c>
      <c r="O1550" t="s">
        <v>49</v>
      </c>
      <c r="P1550">
        <v>0</v>
      </c>
      <c r="Q1550" t="s">
        <v>50</v>
      </c>
      <c r="R1550" t="s">
        <v>51</v>
      </c>
      <c r="S1550">
        <v>1937</v>
      </c>
      <c r="T1550">
        <v>-777</v>
      </c>
      <c r="U1550" s="1">
        <v>13593</v>
      </c>
      <c r="V1550" s="2">
        <v>13593</v>
      </c>
      <c r="Y1550" t="s">
        <v>6576</v>
      </c>
      <c r="Z1550">
        <v>0</v>
      </c>
      <c r="AA1550">
        <v>1</v>
      </c>
      <c r="AB1550">
        <v>0</v>
      </c>
      <c r="AC1550">
        <v>0</v>
      </c>
      <c r="AF1550">
        <v>1989</v>
      </c>
      <c r="AG1550">
        <v>1989</v>
      </c>
      <c r="AO1550" t="b">
        <v>0</v>
      </c>
      <c r="AT1550">
        <v>46</v>
      </c>
      <c r="AU1550">
        <f t="shared" si="74"/>
        <v>0.126</v>
      </c>
    </row>
    <row r="1551" spans="1:47" x14ac:dyDescent="0.3">
      <c r="A1551">
        <v>1549</v>
      </c>
      <c r="B1551" t="s">
        <v>6577</v>
      </c>
      <c r="C1551" t="s">
        <v>6578</v>
      </c>
      <c r="D1551">
        <v>265</v>
      </c>
      <c r="E1551" t="s">
        <v>6560</v>
      </c>
      <c r="F1551" t="str">
        <f>VLOOKUP(E1551,country_continent!A:C,2,FALSE)</f>
        <v>Germany (DDR)</v>
      </c>
      <c r="G1551" t="str">
        <f>VLOOKUP(E1551,country_continent!A:C,3,FALSE)</f>
        <v>Europe</v>
      </c>
      <c r="H1551" t="s">
        <v>6579</v>
      </c>
      <c r="I1551" s="1">
        <v>32851</v>
      </c>
      <c r="J1551" s="3">
        <f t="shared" si="72"/>
        <v>32851</v>
      </c>
      <c r="K1551" s="1">
        <v>33149</v>
      </c>
      <c r="L1551" s="3">
        <f t="shared" si="73"/>
        <v>33149</v>
      </c>
      <c r="M1551" t="s">
        <v>49</v>
      </c>
      <c r="N1551" t="s">
        <v>633</v>
      </c>
      <c r="O1551" t="s">
        <v>6580</v>
      </c>
      <c r="P1551">
        <v>0</v>
      </c>
      <c r="Q1551" t="s">
        <v>50</v>
      </c>
      <c r="R1551" t="s">
        <v>51</v>
      </c>
      <c r="S1551">
        <v>1948</v>
      </c>
      <c r="T1551">
        <v>-777</v>
      </c>
      <c r="U1551" s="1">
        <v>17548</v>
      </c>
      <c r="V1551" s="2">
        <v>17548</v>
      </c>
      <c r="Z1551">
        <v>0</v>
      </c>
      <c r="AA1551">
        <v>4</v>
      </c>
      <c r="AB1551">
        <v>111</v>
      </c>
      <c r="AC1551">
        <v>0</v>
      </c>
      <c r="AF1551">
        <v>1989</v>
      </c>
      <c r="AG1551">
        <v>1990</v>
      </c>
      <c r="AO1551" t="b">
        <v>0</v>
      </c>
      <c r="AT1551">
        <v>298</v>
      </c>
      <c r="AU1551">
        <f t="shared" si="74"/>
        <v>0.81599999999999995</v>
      </c>
    </row>
    <row r="1552" spans="1:47" x14ac:dyDescent="0.3">
      <c r="A1552">
        <v>1550</v>
      </c>
      <c r="B1552" t="s">
        <v>6581</v>
      </c>
      <c r="C1552" t="s">
        <v>6582</v>
      </c>
      <c r="D1552">
        <v>290</v>
      </c>
      <c r="E1552" t="s">
        <v>6583</v>
      </c>
      <c r="F1552" t="str">
        <f>VLOOKUP(E1552,country_continent!A:C,2,FALSE)</f>
        <v>Poland</v>
      </c>
      <c r="G1552" t="str">
        <f>VLOOKUP(E1552,country_continent!A:C,3,FALSE)</f>
        <v>Europe</v>
      </c>
      <c r="H1552" t="s">
        <v>6584</v>
      </c>
      <c r="I1552" s="1">
        <v>6890</v>
      </c>
      <c r="J1552" s="3">
        <f t="shared" si="72"/>
        <v>6890</v>
      </c>
      <c r="K1552" s="1">
        <v>6892</v>
      </c>
      <c r="L1552" s="3">
        <f t="shared" si="73"/>
        <v>6892</v>
      </c>
      <c r="M1552" t="s">
        <v>67</v>
      </c>
      <c r="N1552" t="s">
        <v>49</v>
      </c>
      <c r="O1552" t="s">
        <v>49</v>
      </c>
      <c r="P1552">
        <v>0</v>
      </c>
      <c r="Q1552" t="s">
        <v>50</v>
      </c>
      <c r="R1552" t="s">
        <v>51</v>
      </c>
      <c r="S1552">
        <v>1866</v>
      </c>
      <c r="T1552">
        <v>1936</v>
      </c>
      <c r="U1552" t="s">
        <v>6585</v>
      </c>
      <c r="V1552" t="s">
        <v>6586</v>
      </c>
      <c r="W1552" s="1">
        <v>13454</v>
      </c>
      <c r="X1552" s="2">
        <v>13454</v>
      </c>
      <c r="Y1552" t="s">
        <v>6587</v>
      </c>
      <c r="Z1552">
        <v>1</v>
      </c>
      <c r="AA1552">
        <v>1</v>
      </c>
      <c r="AB1552">
        <v>0</v>
      </c>
      <c r="AC1552">
        <v>0</v>
      </c>
      <c r="AF1552">
        <v>1918</v>
      </c>
      <c r="AG1552">
        <v>1918</v>
      </c>
      <c r="AO1552" t="b">
        <v>0</v>
      </c>
      <c r="AT1552">
        <v>2</v>
      </c>
      <c r="AU1552">
        <f t="shared" si="74"/>
        <v>5.0000000000000001E-3</v>
      </c>
    </row>
    <row r="1553" spans="1:47" x14ac:dyDescent="0.3">
      <c r="A1553">
        <v>1551</v>
      </c>
      <c r="B1553" t="s">
        <v>6588</v>
      </c>
      <c r="C1553" t="s">
        <v>6589</v>
      </c>
      <c r="D1553">
        <v>290</v>
      </c>
      <c r="E1553" t="s">
        <v>6583</v>
      </c>
      <c r="F1553" t="str">
        <f>VLOOKUP(E1553,country_continent!A:C,2,FALSE)</f>
        <v>Poland</v>
      </c>
      <c r="G1553" t="str">
        <f>VLOOKUP(E1553,country_continent!A:C,3,FALSE)</f>
        <v>Europe</v>
      </c>
      <c r="H1553" t="s">
        <v>6590</v>
      </c>
      <c r="I1553" s="1">
        <v>6893</v>
      </c>
      <c r="J1553" s="3">
        <f t="shared" si="72"/>
        <v>6893</v>
      </c>
      <c r="K1553" s="1">
        <v>8379</v>
      </c>
      <c r="L1553" s="3">
        <f t="shared" si="73"/>
        <v>8379</v>
      </c>
      <c r="M1553" t="s">
        <v>67</v>
      </c>
      <c r="N1553" t="s">
        <v>49</v>
      </c>
      <c r="O1553" t="s">
        <v>49</v>
      </c>
      <c r="P1553">
        <v>0</v>
      </c>
      <c r="Q1553" t="s">
        <v>50</v>
      </c>
      <c r="R1553" t="s">
        <v>51</v>
      </c>
      <c r="S1553">
        <v>1867</v>
      </c>
      <c r="T1553">
        <v>1935</v>
      </c>
      <c r="U1553" t="s">
        <v>6591</v>
      </c>
      <c r="V1553" t="s">
        <v>6592</v>
      </c>
      <c r="W1553" s="1">
        <v>12916</v>
      </c>
      <c r="X1553" s="2">
        <v>12916</v>
      </c>
      <c r="Y1553" t="s">
        <v>6593</v>
      </c>
      <c r="Z1553">
        <v>1</v>
      </c>
      <c r="AA1553">
        <v>1</v>
      </c>
      <c r="AB1553">
        <v>0</v>
      </c>
      <c r="AC1553">
        <v>0</v>
      </c>
      <c r="AF1553">
        <v>1918</v>
      </c>
      <c r="AG1553">
        <v>1922</v>
      </c>
      <c r="AO1553" t="b">
        <v>0</v>
      </c>
      <c r="AT1553">
        <v>1486</v>
      </c>
      <c r="AU1553">
        <f t="shared" si="74"/>
        <v>4.0709999999999997</v>
      </c>
    </row>
    <row r="1554" spans="1:47" x14ac:dyDescent="0.3">
      <c r="A1554">
        <v>1552</v>
      </c>
      <c r="B1554" t="s">
        <v>6594</v>
      </c>
      <c r="C1554" t="s">
        <v>6595</v>
      </c>
      <c r="D1554">
        <v>290</v>
      </c>
      <c r="E1554" t="s">
        <v>6583</v>
      </c>
      <c r="F1554" t="str">
        <f>VLOOKUP(E1554,country_continent!A:C,2,FALSE)</f>
        <v>Poland</v>
      </c>
      <c r="G1554" t="str">
        <f>VLOOKUP(E1554,country_continent!A:C,3,FALSE)</f>
        <v>Europe</v>
      </c>
      <c r="H1554" t="s">
        <v>6596</v>
      </c>
      <c r="I1554" s="1">
        <v>8379</v>
      </c>
      <c r="J1554" s="3">
        <f t="shared" si="72"/>
        <v>8379</v>
      </c>
      <c r="K1554" s="1">
        <v>8388</v>
      </c>
      <c r="L1554" s="3">
        <f t="shared" si="73"/>
        <v>8388</v>
      </c>
      <c r="M1554" t="s">
        <v>49</v>
      </c>
      <c r="N1554" t="s">
        <v>67</v>
      </c>
      <c r="O1554" t="s">
        <v>68</v>
      </c>
      <c r="P1554">
        <v>0</v>
      </c>
      <c r="Q1554" t="s">
        <v>69</v>
      </c>
      <c r="R1554" t="s">
        <v>51</v>
      </c>
      <c r="S1554">
        <v>1865</v>
      </c>
      <c r="T1554">
        <v>1922</v>
      </c>
      <c r="U1554" t="s">
        <v>6597</v>
      </c>
      <c r="V1554" t="s">
        <v>6598</v>
      </c>
      <c r="W1554" s="1">
        <v>8386</v>
      </c>
      <c r="X1554" s="2">
        <v>8386</v>
      </c>
      <c r="Y1554" t="s">
        <v>6599</v>
      </c>
      <c r="Z1554">
        <v>0</v>
      </c>
      <c r="AA1554">
        <v>3</v>
      </c>
      <c r="AB1554">
        <v>11</v>
      </c>
      <c r="AC1554">
        <v>3</v>
      </c>
      <c r="AF1554">
        <v>1922</v>
      </c>
      <c r="AG1554">
        <v>1922</v>
      </c>
      <c r="AO1554" t="b">
        <v>0</v>
      </c>
      <c r="AT1554">
        <v>9</v>
      </c>
      <c r="AU1554">
        <f t="shared" si="74"/>
        <v>2.5000000000000001E-2</v>
      </c>
    </row>
    <row r="1555" spans="1:47" x14ac:dyDescent="0.3">
      <c r="A1555">
        <v>1553</v>
      </c>
      <c r="B1555" t="s">
        <v>6600</v>
      </c>
      <c r="C1555" t="s">
        <v>6601</v>
      </c>
      <c r="D1555">
        <v>290</v>
      </c>
      <c r="E1555" t="s">
        <v>6583</v>
      </c>
      <c r="F1555" t="str">
        <f>VLOOKUP(E1555,country_continent!A:C,2,FALSE)</f>
        <v>Poland</v>
      </c>
      <c r="G1555" t="str">
        <f>VLOOKUP(E1555,country_continent!A:C,3,FALSE)</f>
        <v>Europe</v>
      </c>
      <c r="H1555" t="s">
        <v>6602</v>
      </c>
      <c r="I1555" s="1">
        <v>8390</v>
      </c>
      <c r="J1555" s="3">
        <f t="shared" si="72"/>
        <v>8390</v>
      </c>
      <c r="K1555" s="1">
        <v>9629</v>
      </c>
      <c r="L1555" s="3">
        <f t="shared" si="73"/>
        <v>9629</v>
      </c>
      <c r="M1555" t="s">
        <v>49</v>
      </c>
      <c r="N1555" t="s">
        <v>67</v>
      </c>
      <c r="O1555" t="s">
        <v>376</v>
      </c>
      <c r="P1555">
        <v>0</v>
      </c>
      <c r="Q1555" t="s">
        <v>50</v>
      </c>
      <c r="R1555" t="s">
        <v>51</v>
      </c>
      <c r="S1555">
        <v>1869</v>
      </c>
      <c r="T1555">
        <v>1953</v>
      </c>
      <c r="U1555" t="s">
        <v>6603</v>
      </c>
      <c r="V1555" t="s">
        <v>6604</v>
      </c>
      <c r="W1555" s="1">
        <v>19458</v>
      </c>
      <c r="X1555" s="2">
        <v>19458</v>
      </c>
      <c r="Y1555" t="s">
        <v>6605</v>
      </c>
      <c r="Z1555">
        <v>0</v>
      </c>
      <c r="AA1555">
        <v>3</v>
      </c>
      <c r="AB1555">
        <v>6</v>
      </c>
      <c r="AC1555">
        <v>0</v>
      </c>
      <c r="AF1555">
        <v>1922</v>
      </c>
      <c r="AG1555">
        <v>1926</v>
      </c>
      <c r="AO1555" t="b">
        <v>0</v>
      </c>
      <c r="AT1555">
        <v>1239</v>
      </c>
      <c r="AU1555">
        <f t="shared" si="74"/>
        <v>3.395</v>
      </c>
    </row>
    <row r="1556" spans="1:47" x14ac:dyDescent="0.3">
      <c r="A1556">
        <v>1554</v>
      </c>
      <c r="B1556" t="s">
        <v>6606</v>
      </c>
      <c r="C1556" t="s">
        <v>6589</v>
      </c>
      <c r="D1556">
        <v>290</v>
      </c>
      <c r="E1556" t="s">
        <v>6583</v>
      </c>
      <c r="F1556" t="str">
        <f>VLOOKUP(E1556,country_continent!A:C,2,FALSE)</f>
        <v>Poland</v>
      </c>
      <c r="G1556" t="str">
        <f>VLOOKUP(E1556,country_continent!A:C,3,FALSE)</f>
        <v>Europe</v>
      </c>
      <c r="H1556" t="s">
        <v>6590</v>
      </c>
      <c r="I1556" s="1">
        <v>9629</v>
      </c>
      <c r="J1556" s="3">
        <f t="shared" si="72"/>
        <v>9629</v>
      </c>
      <c r="K1556" s="1">
        <v>12916</v>
      </c>
      <c r="L1556" s="3">
        <f t="shared" si="73"/>
        <v>12916</v>
      </c>
      <c r="M1556" t="s">
        <v>49</v>
      </c>
      <c r="N1556" t="s">
        <v>110</v>
      </c>
      <c r="O1556" t="s">
        <v>49</v>
      </c>
      <c r="P1556">
        <v>1</v>
      </c>
      <c r="Q1556" t="s">
        <v>111</v>
      </c>
      <c r="R1556" t="s">
        <v>51</v>
      </c>
      <c r="S1556">
        <v>1867</v>
      </c>
      <c r="T1556">
        <v>1935</v>
      </c>
      <c r="U1556" t="s">
        <v>6591</v>
      </c>
      <c r="V1556" t="s">
        <v>6592</v>
      </c>
      <c r="W1556" s="1">
        <v>12916</v>
      </c>
      <c r="X1556" s="2">
        <v>12916</v>
      </c>
      <c r="Y1556" t="s">
        <v>6593</v>
      </c>
      <c r="Z1556">
        <v>0</v>
      </c>
      <c r="AA1556">
        <v>2</v>
      </c>
      <c r="AB1556">
        <v>0</v>
      </c>
      <c r="AC1556">
        <v>-777</v>
      </c>
      <c r="AF1556">
        <v>1926</v>
      </c>
      <c r="AG1556">
        <v>1935</v>
      </c>
      <c r="AO1556" t="b">
        <v>0</v>
      </c>
      <c r="AT1556">
        <v>3287</v>
      </c>
      <c r="AU1556">
        <f t="shared" si="74"/>
        <v>9.0050000000000008</v>
      </c>
    </row>
    <row r="1557" spans="1:47" x14ac:dyDescent="0.3">
      <c r="A1557">
        <v>1555</v>
      </c>
      <c r="B1557" t="s">
        <v>6607</v>
      </c>
      <c r="C1557" t="s">
        <v>6608</v>
      </c>
      <c r="D1557">
        <v>290</v>
      </c>
      <c r="E1557" t="s">
        <v>6583</v>
      </c>
      <c r="F1557" t="str">
        <f>VLOOKUP(E1557,country_continent!A:C,2,FALSE)</f>
        <v>Poland</v>
      </c>
      <c r="G1557" t="str">
        <f>VLOOKUP(E1557,country_continent!A:C,3,FALSE)</f>
        <v>Europe</v>
      </c>
      <c r="H1557" t="s">
        <v>6609</v>
      </c>
      <c r="I1557" s="1">
        <v>12916</v>
      </c>
      <c r="J1557" s="3">
        <f t="shared" si="72"/>
        <v>12916</v>
      </c>
      <c r="K1557" s="1">
        <v>14506</v>
      </c>
      <c r="L1557" s="3">
        <f t="shared" si="73"/>
        <v>14506</v>
      </c>
      <c r="M1557" t="s">
        <v>49</v>
      </c>
      <c r="N1557" t="s">
        <v>633</v>
      </c>
      <c r="O1557" t="s">
        <v>634</v>
      </c>
      <c r="P1557">
        <v>0</v>
      </c>
      <c r="Q1557" t="s">
        <v>362</v>
      </c>
      <c r="R1557" t="s">
        <v>51</v>
      </c>
      <c r="S1557">
        <v>1866</v>
      </c>
      <c r="T1557">
        <v>1941</v>
      </c>
      <c r="U1557" t="s">
        <v>6610</v>
      </c>
      <c r="V1557" t="s">
        <v>6611</v>
      </c>
      <c r="W1557" s="1">
        <v>15312</v>
      </c>
      <c r="X1557" s="2">
        <v>15312</v>
      </c>
      <c r="Z1557">
        <v>0</v>
      </c>
      <c r="AA1557">
        <v>4</v>
      </c>
      <c r="AB1557">
        <v>9</v>
      </c>
      <c r="AC1557">
        <v>1</v>
      </c>
      <c r="AF1557">
        <v>1935</v>
      </c>
      <c r="AG1557">
        <v>1939</v>
      </c>
      <c r="AO1557" t="b">
        <v>0</v>
      </c>
      <c r="AT1557">
        <v>1590</v>
      </c>
      <c r="AU1557">
        <f t="shared" si="74"/>
        <v>4.3559999999999999</v>
      </c>
    </row>
    <row r="1558" spans="1:47" x14ac:dyDescent="0.3">
      <c r="A1558">
        <v>1556</v>
      </c>
      <c r="B1558" t="s">
        <v>6612</v>
      </c>
      <c r="C1558" t="s">
        <v>6613</v>
      </c>
      <c r="D1558">
        <v>290</v>
      </c>
      <c r="E1558" t="s">
        <v>6583</v>
      </c>
      <c r="F1558" t="str">
        <f>VLOOKUP(E1558,country_continent!A:C,2,FALSE)</f>
        <v>Poland</v>
      </c>
      <c r="G1558" t="str">
        <f>VLOOKUP(E1558,country_continent!A:C,3,FALSE)</f>
        <v>Europe</v>
      </c>
      <c r="H1558" t="s">
        <v>6614</v>
      </c>
      <c r="I1558" s="1">
        <v>16437</v>
      </c>
      <c r="J1558" s="3">
        <f t="shared" si="72"/>
        <v>16437</v>
      </c>
      <c r="K1558" s="1">
        <v>20526</v>
      </c>
      <c r="L1558" s="3">
        <f t="shared" si="73"/>
        <v>20526</v>
      </c>
      <c r="M1558" t="s">
        <v>67</v>
      </c>
      <c r="N1558" t="s">
        <v>110</v>
      </c>
      <c r="O1558" t="s">
        <v>49</v>
      </c>
      <c r="P1558">
        <v>0</v>
      </c>
      <c r="Q1558" t="s">
        <v>111</v>
      </c>
      <c r="R1558" t="s">
        <v>51</v>
      </c>
      <c r="S1558">
        <v>1892</v>
      </c>
      <c r="T1558">
        <v>1956</v>
      </c>
      <c r="U1558" t="s">
        <v>6615</v>
      </c>
      <c r="V1558" t="s">
        <v>6616</v>
      </c>
      <c r="W1558" s="1">
        <v>20526</v>
      </c>
      <c r="X1558" s="2">
        <v>20526</v>
      </c>
      <c r="Y1558" t="s">
        <v>6617</v>
      </c>
      <c r="Z1558">
        <v>1</v>
      </c>
      <c r="AA1558">
        <v>2</v>
      </c>
      <c r="AB1558">
        <v>0</v>
      </c>
      <c r="AC1558">
        <v>-777</v>
      </c>
      <c r="AF1558">
        <v>1944</v>
      </c>
      <c r="AG1558">
        <v>1956</v>
      </c>
      <c r="AN1558">
        <v>-6.82</v>
      </c>
      <c r="AO1558" t="b">
        <v>0</v>
      </c>
      <c r="AT1558">
        <v>4089</v>
      </c>
      <c r="AU1558">
        <f t="shared" si="74"/>
        <v>11.202999999999999</v>
      </c>
    </row>
    <row r="1559" spans="1:47" x14ac:dyDescent="0.3">
      <c r="A1559">
        <v>1557</v>
      </c>
      <c r="B1559" t="s">
        <v>6618</v>
      </c>
      <c r="C1559" t="s">
        <v>6619</v>
      </c>
      <c r="D1559">
        <v>290</v>
      </c>
      <c r="E1559" t="s">
        <v>6583</v>
      </c>
      <c r="F1559" t="str">
        <f>VLOOKUP(E1559,country_continent!A:C,2,FALSE)</f>
        <v>Poland</v>
      </c>
      <c r="G1559" t="str">
        <f>VLOOKUP(E1559,country_continent!A:C,3,FALSE)</f>
        <v>Europe</v>
      </c>
      <c r="H1559" t="s">
        <v>6620</v>
      </c>
      <c r="I1559" s="1">
        <v>20534</v>
      </c>
      <c r="J1559" s="3">
        <f t="shared" si="72"/>
        <v>20534</v>
      </c>
      <c r="K1559" s="1">
        <v>20749</v>
      </c>
      <c r="L1559" s="3">
        <f t="shared" si="73"/>
        <v>20749</v>
      </c>
      <c r="M1559" t="s">
        <v>49</v>
      </c>
      <c r="N1559" t="s">
        <v>49</v>
      </c>
      <c r="O1559" t="s">
        <v>49</v>
      </c>
      <c r="P1559">
        <v>0</v>
      </c>
      <c r="Q1559" t="s">
        <v>50</v>
      </c>
      <c r="R1559" t="s">
        <v>51</v>
      </c>
      <c r="S1559">
        <v>1906</v>
      </c>
      <c r="T1559">
        <v>1989</v>
      </c>
      <c r="Y1559" t="s">
        <v>6621</v>
      </c>
      <c r="Z1559">
        <v>0</v>
      </c>
      <c r="AA1559">
        <v>1</v>
      </c>
      <c r="AB1559">
        <v>0</v>
      </c>
      <c r="AC1559">
        <v>0</v>
      </c>
      <c r="AF1559">
        <v>1956</v>
      </c>
      <c r="AG1559">
        <v>1956</v>
      </c>
      <c r="AN1559">
        <v>-7</v>
      </c>
      <c r="AO1559" t="b">
        <v>0</v>
      </c>
      <c r="AT1559">
        <v>215</v>
      </c>
      <c r="AU1559">
        <f t="shared" si="74"/>
        <v>0.58899999999999997</v>
      </c>
    </row>
    <row r="1560" spans="1:47" x14ac:dyDescent="0.3">
      <c r="A1560">
        <v>1558</v>
      </c>
      <c r="B1560" t="s">
        <v>6622</v>
      </c>
      <c r="C1560" t="s">
        <v>6623</v>
      </c>
      <c r="D1560">
        <v>290</v>
      </c>
      <c r="E1560" t="s">
        <v>6583</v>
      </c>
      <c r="F1560" t="str">
        <f>VLOOKUP(E1560,country_continent!A:C,2,FALSE)</f>
        <v>Poland</v>
      </c>
      <c r="G1560" t="str">
        <f>VLOOKUP(E1560,country_continent!A:C,3,FALSE)</f>
        <v>Europe</v>
      </c>
      <c r="H1560" t="s">
        <v>6624</v>
      </c>
      <c r="I1560" s="1">
        <v>20749</v>
      </c>
      <c r="J1560" s="3">
        <f t="shared" si="72"/>
        <v>20749</v>
      </c>
      <c r="K1560" s="1">
        <v>25922</v>
      </c>
      <c r="L1560" s="3">
        <f t="shared" si="73"/>
        <v>25922</v>
      </c>
      <c r="M1560" t="s">
        <v>49</v>
      </c>
      <c r="N1560" t="s">
        <v>67</v>
      </c>
      <c r="O1560" t="s">
        <v>613</v>
      </c>
      <c r="P1560">
        <v>0</v>
      </c>
      <c r="Q1560" t="s">
        <v>50</v>
      </c>
      <c r="R1560" t="s">
        <v>51</v>
      </c>
      <c r="S1560">
        <v>1905</v>
      </c>
      <c r="T1560">
        <v>1982</v>
      </c>
      <c r="U1560" s="1">
        <v>1864</v>
      </c>
      <c r="V1560" s="2">
        <v>1864</v>
      </c>
      <c r="W1560" s="1">
        <v>30195</v>
      </c>
      <c r="X1560" s="2">
        <v>30195</v>
      </c>
      <c r="Y1560" t="s">
        <v>6625</v>
      </c>
      <c r="Z1560">
        <v>0</v>
      </c>
      <c r="AA1560">
        <v>3</v>
      </c>
      <c r="AB1560">
        <v>2</v>
      </c>
      <c r="AC1560">
        <v>0</v>
      </c>
      <c r="AF1560">
        <v>1956</v>
      </c>
      <c r="AG1560">
        <v>1970</v>
      </c>
      <c r="AK1560">
        <v>47.636363636363598</v>
      </c>
      <c r="AL1560">
        <v>0.97243974060092098</v>
      </c>
      <c r="AN1560">
        <v>-7</v>
      </c>
      <c r="AO1560" t="b">
        <v>0</v>
      </c>
      <c r="AT1560">
        <v>5173</v>
      </c>
      <c r="AU1560">
        <f t="shared" si="74"/>
        <v>14.173</v>
      </c>
    </row>
    <row r="1561" spans="1:47" x14ac:dyDescent="0.3">
      <c r="A1561">
        <v>1559</v>
      </c>
      <c r="B1561" t="s">
        <v>6626</v>
      </c>
      <c r="C1561" t="s">
        <v>6627</v>
      </c>
      <c r="D1561">
        <v>290</v>
      </c>
      <c r="E1561" t="s">
        <v>6583</v>
      </c>
      <c r="F1561" t="str">
        <f>VLOOKUP(E1561,country_continent!A:C,2,FALSE)</f>
        <v>Poland</v>
      </c>
      <c r="G1561" t="str">
        <f>VLOOKUP(E1561,country_continent!A:C,3,FALSE)</f>
        <v>Europe</v>
      </c>
      <c r="H1561" t="s">
        <v>6628</v>
      </c>
      <c r="I1561" s="1">
        <v>25922</v>
      </c>
      <c r="J1561" s="3">
        <f t="shared" si="72"/>
        <v>25922</v>
      </c>
      <c r="K1561" s="1">
        <v>29470</v>
      </c>
      <c r="L1561" s="3">
        <f t="shared" si="73"/>
        <v>29470</v>
      </c>
      <c r="M1561" t="s">
        <v>49</v>
      </c>
      <c r="N1561" t="s">
        <v>110</v>
      </c>
      <c r="O1561" t="s">
        <v>49</v>
      </c>
      <c r="P1561">
        <v>0</v>
      </c>
      <c r="Q1561" t="s">
        <v>111</v>
      </c>
      <c r="R1561" t="s">
        <v>51</v>
      </c>
      <c r="S1561">
        <v>1913</v>
      </c>
      <c r="T1561">
        <v>2001</v>
      </c>
      <c r="U1561" s="1">
        <v>4755</v>
      </c>
      <c r="V1561" s="2">
        <v>4755</v>
      </c>
      <c r="W1561" s="1">
        <v>37101</v>
      </c>
      <c r="X1561" s="2">
        <v>37101</v>
      </c>
      <c r="Y1561" t="s">
        <v>6629</v>
      </c>
      <c r="Z1561">
        <v>0</v>
      </c>
      <c r="AA1561">
        <v>2</v>
      </c>
      <c r="AB1561">
        <v>0</v>
      </c>
      <c r="AC1561">
        <v>-777</v>
      </c>
      <c r="AF1561">
        <v>1970</v>
      </c>
      <c r="AG1561">
        <v>1980</v>
      </c>
      <c r="AK1561">
        <v>28.845454545454501</v>
      </c>
      <c r="AL1561">
        <v>0.80812827780837004</v>
      </c>
      <c r="AN1561">
        <v>-6.91</v>
      </c>
      <c r="AO1561" t="b">
        <v>0</v>
      </c>
      <c r="AT1561">
        <v>3548</v>
      </c>
      <c r="AU1561">
        <f t="shared" si="74"/>
        <v>9.7210000000000001</v>
      </c>
    </row>
    <row r="1562" spans="1:47" x14ac:dyDescent="0.3">
      <c r="A1562">
        <v>1560</v>
      </c>
      <c r="B1562" t="s">
        <v>6630</v>
      </c>
      <c r="C1562" t="s">
        <v>6631</v>
      </c>
      <c r="D1562">
        <v>290</v>
      </c>
      <c r="E1562" t="s">
        <v>6583</v>
      </c>
      <c r="F1562" t="str">
        <f>VLOOKUP(E1562,country_continent!A:C,2,FALSE)</f>
        <v>Poland</v>
      </c>
      <c r="G1562" t="str">
        <f>VLOOKUP(E1562,country_continent!A:C,3,FALSE)</f>
        <v>Europe</v>
      </c>
      <c r="H1562" t="s">
        <v>6632</v>
      </c>
      <c r="I1562" s="1">
        <v>29470</v>
      </c>
      <c r="J1562" s="3">
        <f t="shared" si="72"/>
        <v>29470</v>
      </c>
      <c r="K1562" s="1">
        <v>29877</v>
      </c>
      <c r="L1562" s="3">
        <f t="shared" si="73"/>
        <v>29877</v>
      </c>
      <c r="M1562" t="s">
        <v>49</v>
      </c>
      <c r="N1562" t="s">
        <v>49</v>
      </c>
      <c r="O1562" t="s">
        <v>49</v>
      </c>
      <c r="P1562">
        <v>0</v>
      </c>
      <c r="Q1562" t="s">
        <v>50</v>
      </c>
      <c r="R1562" t="s">
        <v>51</v>
      </c>
      <c r="S1562">
        <v>1927</v>
      </c>
      <c r="T1562">
        <v>-777</v>
      </c>
      <c r="U1562" s="1">
        <v>9929</v>
      </c>
      <c r="V1562" s="2">
        <v>9929</v>
      </c>
      <c r="Y1562" t="s">
        <v>6633</v>
      </c>
      <c r="Z1562">
        <v>0</v>
      </c>
      <c r="AA1562">
        <v>1</v>
      </c>
      <c r="AB1562">
        <v>0</v>
      </c>
      <c r="AC1562">
        <v>0</v>
      </c>
      <c r="AF1562">
        <v>1980</v>
      </c>
      <c r="AG1562">
        <v>1981</v>
      </c>
      <c r="AK1562">
        <v>23.65</v>
      </c>
      <c r="AL1562">
        <v>0.91556798006168005</v>
      </c>
      <c r="AN1562">
        <v>-7</v>
      </c>
      <c r="AO1562" t="b">
        <v>0</v>
      </c>
      <c r="AT1562">
        <v>407</v>
      </c>
      <c r="AU1562">
        <f t="shared" si="74"/>
        <v>1.115</v>
      </c>
    </row>
    <row r="1563" spans="1:47" x14ac:dyDescent="0.3">
      <c r="A1563">
        <v>1561</v>
      </c>
      <c r="B1563" t="s">
        <v>6634</v>
      </c>
      <c r="C1563" t="s">
        <v>6635</v>
      </c>
      <c r="D1563">
        <v>290</v>
      </c>
      <c r="E1563" t="s">
        <v>6583</v>
      </c>
      <c r="F1563" t="str">
        <f>VLOOKUP(E1563,country_continent!A:C,2,FALSE)</f>
        <v>Poland</v>
      </c>
      <c r="G1563" t="str">
        <f>VLOOKUP(E1563,country_continent!A:C,3,FALSE)</f>
        <v>Europe</v>
      </c>
      <c r="H1563" t="s">
        <v>6636</v>
      </c>
      <c r="I1563" s="1">
        <v>29877</v>
      </c>
      <c r="J1563" s="3">
        <f t="shared" si="72"/>
        <v>29877</v>
      </c>
      <c r="K1563" s="1">
        <v>33229</v>
      </c>
      <c r="L1563" s="3">
        <f t="shared" si="73"/>
        <v>33229</v>
      </c>
      <c r="M1563" t="s">
        <v>49</v>
      </c>
      <c r="N1563" t="s">
        <v>49</v>
      </c>
      <c r="O1563" t="s">
        <v>49</v>
      </c>
      <c r="P1563">
        <v>0</v>
      </c>
      <c r="Q1563" t="s">
        <v>50</v>
      </c>
      <c r="R1563" t="s">
        <v>51</v>
      </c>
      <c r="S1563">
        <v>1923</v>
      </c>
      <c r="T1563">
        <v>-777</v>
      </c>
      <c r="U1563" s="1">
        <v>8588</v>
      </c>
      <c r="V1563" s="2">
        <v>8588</v>
      </c>
      <c r="Y1563" t="s">
        <v>6637</v>
      </c>
      <c r="Z1563">
        <v>0</v>
      </c>
      <c r="AA1563">
        <v>1</v>
      </c>
      <c r="AB1563">
        <v>0</v>
      </c>
      <c r="AC1563">
        <v>0</v>
      </c>
      <c r="AF1563">
        <v>1981</v>
      </c>
      <c r="AG1563">
        <v>1990</v>
      </c>
      <c r="AK1563">
        <v>20.14</v>
      </c>
      <c r="AL1563">
        <v>0.68877983716866398</v>
      </c>
      <c r="AM1563">
        <v>3.39655197453992</v>
      </c>
      <c r="AN1563">
        <v>-4.5999999999999996</v>
      </c>
      <c r="AO1563" t="b">
        <v>0</v>
      </c>
      <c r="AT1563">
        <v>3352</v>
      </c>
      <c r="AU1563">
        <f t="shared" si="74"/>
        <v>9.1839999999999993</v>
      </c>
    </row>
    <row r="1564" spans="1:47" x14ac:dyDescent="0.3">
      <c r="A1564">
        <v>1562</v>
      </c>
      <c r="B1564" t="s">
        <v>6638</v>
      </c>
      <c r="C1564" t="s">
        <v>6639</v>
      </c>
      <c r="D1564">
        <v>290</v>
      </c>
      <c r="E1564" t="s">
        <v>6583</v>
      </c>
      <c r="F1564" t="str">
        <f>VLOOKUP(E1564,country_continent!A:C,2,FALSE)</f>
        <v>Poland</v>
      </c>
      <c r="G1564" t="str">
        <f>VLOOKUP(E1564,country_continent!A:C,3,FALSE)</f>
        <v>Europe</v>
      </c>
      <c r="H1564" t="s">
        <v>6640</v>
      </c>
      <c r="I1564" s="1">
        <v>33229</v>
      </c>
      <c r="J1564" s="3">
        <f t="shared" si="72"/>
        <v>33229</v>
      </c>
      <c r="K1564" s="1">
        <v>35056</v>
      </c>
      <c r="L1564" s="3">
        <f t="shared" si="73"/>
        <v>35056</v>
      </c>
      <c r="M1564" t="s">
        <v>49</v>
      </c>
      <c r="N1564" t="s">
        <v>49</v>
      </c>
      <c r="O1564" t="s">
        <v>49</v>
      </c>
      <c r="P1564">
        <v>0</v>
      </c>
      <c r="Q1564" t="s">
        <v>50</v>
      </c>
      <c r="R1564" t="s">
        <v>51</v>
      </c>
      <c r="S1564">
        <v>1943</v>
      </c>
      <c r="T1564">
        <v>-777</v>
      </c>
      <c r="U1564" s="1">
        <v>15978</v>
      </c>
      <c r="V1564" s="2">
        <v>15978</v>
      </c>
      <c r="Y1564" t="s">
        <v>6641</v>
      </c>
      <c r="Z1564">
        <v>0</v>
      </c>
      <c r="AA1564">
        <v>1</v>
      </c>
      <c r="AB1564">
        <v>0</v>
      </c>
      <c r="AC1564">
        <v>0</v>
      </c>
      <c r="AF1564">
        <v>1990</v>
      </c>
      <c r="AG1564">
        <v>1995</v>
      </c>
      <c r="AH1564">
        <v>2.23701776238837</v>
      </c>
      <c r="AI1564">
        <v>2652.5</v>
      </c>
      <c r="AJ1564">
        <v>37.840381997886396</v>
      </c>
      <c r="AK1564">
        <v>16.066666666666599</v>
      </c>
      <c r="AL1564">
        <v>0.27582384016307998</v>
      </c>
      <c r="AM1564">
        <v>1.76520231594924</v>
      </c>
      <c r="AN1564">
        <v>7.67</v>
      </c>
      <c r="AO1564" t="b">
        <v>0</v>
      </c>
      <c r="AT1564">
        <v>1827</v>
      </c>
      <c r="AU1564">
        <f t="shared" si="74"/>
        <v>5.0049999999999999</v>
      </c>
    </row>
    <row r="1565" spans="1:47" x14ac:dyDescent="0.3">
      <c r="A1565">
        <v>1563</v>
      </c>
      <c r="B1565" t="s">
        <v>6642</v>
      </c>
      <c r="C1565" t="s">
        <v>6643</v>
      </c>
      <c r="D1565">
        <v>290</v>
      </c>
      <c r="E1565" t="s">
        <v>6583</v>
      </c>
      <c r="F1565" t="str">
        <f>VLOOKUP(E1565,country_continent!A:C,2,FALSE)</f>
        <v>Poland</v>
      </c>
      <c r="G1565" t="str">
        <f>VLOOKUP(E1565,country_continent!A:C,3,FALSE)</f>
        <v>Europe</v>
      </c>
      <c r="H1565" t="s">
        <v>6644</v>
      </c>
      <c r="I1565" s="1">
        <v>35056</v>
      </c>
      <c r="J1565" s="3">
        <f t="shared" si="72"/>
        <v>35056</v>
      </c>
      <c r="K1565" s="1">
        <v>38709</v>
      </c>
      <c r="L1565" s="3">
        <f t="shared" si="73"/>
        <v>38709</v>
      </c>
      <c r="M1565" t="s">
        <v>49</v>
      </c>
      <c r="N1565" t="s">
        <v>49</v>
      </c>
      <c r="O1565" t="s">
        <v>49</v>
      </c>
      <c r="P1565">
        <v>0</v>
      </c>
      <c r="Q1565" t="s">
        <v>50</v>
      </c>
      <c r="R1565" t="s">
        <v>51</v>
      </c>
      <c r="S1565">
        <v>1954</v>
      </c>
      <c r="T1565">
        <v>-777</v>
      </c>
      <c r="U1565" s="1">
        <v>20043</v>
      </c>
      <c r="V1565" s="2">
        <v>20043</v>
      </c>
      <c r="Y1565" t="s">
        <v>6645</v>
      </c>
      <c r="Z1565">
        <v>0</v>
      </c>
      <c r="AA1565">
        <v>1</v>
      </c>
      <c r="AB1565">
        <v>0</v>
      </c>
      <c r="AC1565">
        <v>0</v>
      </c>
      <c r="AF1565">
        <v>1995</v>
      </c>
      <c r="AG1565">
        <v>2005</v>
      </c>
      <c r="AH1565">
        <v>4.58134222129382</v>
      </c>
      <c r="AI1565">
        <v>4885.4545454545396</v>
      </c>
      <c r="AJ1565">
        <v>8.7055138015169007</v>
      </c>
      <c r="AK1565">
        <v>10.0363636363636</v>
      </c>
      <c r="AL1565">
        <v>-8.9408610571144798E-2</v>
      </c>
      <c r="AM1565">
        <v>0.80334022343197997</v>
      </c>
      <c r="AN1565">
        <v>9.36</v>
      </c>
      <c r="AO1565" t="b">
        <v>0</v>
      </c>
      <c r="AT1565">
        <v>3653</v>
      </c>
      <c r="AU1565">
        <f t="shared" si="74"/>
        <v>10.007999999999999</v>
      </c>
    </row>
    <row r="1566" spans="1:47" x14ac:dyDescent="0.3">
      <c r="A1566">
        <v>1564</v>
      </c>
      <c r="B1566" t="s">
        <v>6646</v>
      </c>
      <c r="C1566" t="s">
        <v>6647</v>
      </c>
      <c r="D1566">
        <v>290</v>
      </c>
      <c r="E1566" t="s">
        <v>6583</v>
      </c>
      <c r="F1566" t="str">
        <f>VLOOKUP(E1566,country_continent!A:C,2,FALSE)</f>
        <v>Poland</v>
      </c>
      <c r="G1566" t="str">
        <f>VLOOKUP(E1566,country_continent!A:C,3,FALSE)</f>
        <v>Europe</v>
      </c>
      <c r="H1566" t="s">
        <v>6648</v>
      </c>
      <c r="I1566" s="1">
        <v>38709</v>
      </c>
      <c r="J1566" s="3">
        <f t="shared" si="72"/>
        <v>38709</v>
      </c>
      <c r="K1566" s="1">
        <v>40278</v>
      </c>
      <c r="L1566" s="3">
        <f t="shared" si="73"/>
        <v>40278</v>
      </c>
      <c r="M1566" t="s">
        <v>49</v>
      </c>
      <c r="N1566" t="s">
        <v>110</v>
      </c>
      <c r="O1566" t="s">
        <v>49</v>
      </c>
      <c r="P1566">
        <v>0</v>
      </c>
      <c r="Q1566" t="s">
        <v>111</v>
      </c>
      <c r="R1566" t="s">
        <v>51</v>
      </c>
      <c r="S1566">
        <v>1949</v>
      </c>
      <c r="T1566">
        <v>2010</v>
      </c>
      <c r="W1566" s="1">
        <v>40367</v>
      </c>
      <c r="X1566" s="2">
        <v>40367</v>
      </c>
      <c r="Z1566">
        <v>0</v>
      </c>
      <c r="AA1566">
        <v>2</v>
      </c>
      <c r="AB1566">
        <v>0</v>
      </c>
      <c r="AC1566">
        <v>-777</v>
      </c>
      <c r="AF1566">
        <v>2005</v>
      </c>
      <c r="AG1566">
        <v>2010</v>
      </c>
      <c r="AH1566">
        <v>4.4622076319530297</v>
      </c>
      <c r="AI1566">
        <v>10493.333333333299</v>
      </c>
      <c r="AJ1566">
        <v>2.92848876704468</v>
      </c>
      <c r="AK1566">
        <v>6.8166666666666602</v>
      </c>
      <c r="AL1566">
        <v>-6.0972177209947798E-2</v>
      </c>
      <c r="AM1566">
        <v>1.9423532106841599</v>
      </c>
      <c r="AN1566">
        <v>10</v>
      </c>
      <c r="AO1566" t="b">
        <v>0</v>
      </c>
      <c r="AT1566">
        <v>1569</v>
      </c>
      <c r="AU1566">
        <f t="shared" si="74"/>
        <v>4.2990000000000004</v>
      </c>
    </row>
    <row r="1567" spans="1:47" x14ac:dyDescent="0.3">
      <c r="A1567">
        <v>1565</v>
      </c>
      <c r="B1567" t="s">
        <v>6649</v>
      </c>
      <c r="C1567" t="s">
        <v>6650</v>
      </c>
      <c r="D1567">
        <v>290</v>
      </c>
      <c r="E1567" t="s">
        <v>6583</v>
      </c>
      <c r="F1567" t="str">
        <f>VLOOKUP(E1567,country_continent!A:C,2,FALSE)</f>
        <v>Poland</v>
      </c>
      <c r="G1567" t="str">
        <f>VLOOKUP(E1567,country_continent!A:C,3,FALSE)</f>
        <v>Europe</v>
      </c>
      <c r="H1567" t="s">
        <v>6651</v>
      </c>
      <c r="I1567" s="1">
        <v>40278</v>
      </c>
      <c r="J1567" s="3">
        <f t="shared" si="72"/>
        <v>40278</v>
      </c>
      <c r="K1567" s="1">
        <v>40367</v>
      </c>
      <c r="L1567" s="3">
        <f t="shared" si="73"/>
        <v>40367</v>
      </c>
      <c r="M1567" t="s">
        <v>49</v>
      </c>
      <c r="N1567" t="s">
        <v>49</v>
      </c>
      <c r="O1567" t="s">
        <v>49</v>
      </c>
      <c r="P1567">
        <v>0</v>
      </c>
      <c r="Q1567" t="s">
        <v>50</v>
      </c>
      <c r="R1567" t="s">
        <v>51</v>
      </c>
      <c r="S1567">
        <v>1952</v>
      </c>
      <c r="T1567">
        <v>-777</v>
      </c>
      <c r="U1567" s="1">
        <v>19149</v>
      </c>
      <c r="V1567" s="2">
        <v>19149</v>
      </c>
      <c r="Z1567">
        <v>0</v>
      </c>
      <c r="AA1567">
        <v>1</v>
      </c>
      <c r="AB1567">
        <v>0</v>
      </c>
      <c r="AC1567">
        <v>0</v>
      </c>
      <c r="AF1567">
        <v>2010</v>
      </c>
      <c r="AG1567">
        <v>2010</v>
      </c>
      <c r="AH1567">
        <v>3.4640085386787201</v>
      </c>
      <c r="AI1567">
        <v>12730</v>
      </c>
      <c r="AJ1567">
        <v>1.57921733174168</v>
      </c>
      <c r="AK1567">
        <v>6</v>
      </c>
      <c r="AL1567">
        <v>-0.28560912153484902</v>
      </c>
      <c r="AM1567">
        <v>4.3302721836626699</v>
      </c>
      <c r="AN1567">
        <v>10</v>
      </c>
      <c r="AO1567" t="b">
        <v>0</v>
      </c>
      <c r="AT1567">
        <v>89</v>
      </c>
      <c r="AU1567">
        <f t="shared" si="74"/>
        <v>0.24399999999999999</v>
      </c>
    </row>
    <row r="1568" spans="1:47" x14ac:dyDescent="0.3">
      <c r="A1568">
        <v>1566</v>
      </c>
      <c r="B1568" t="s">
        <v>6652</v>
      </c>
      <c r="C1568" t="s">
        <v>6653</v>
      </c>
      <c r="D1568">
        <v>290</v>
      </c>
      <c r="E1568" t="s">
        <v>6583</v>
      </c>
      <c r="F1568" t="str">
        <f>VLOOKUP(E1568,country_continent!A:C,2,FALSE)</f>
        <v>Poland</v>
      </c>
      <c r="G1568" t="str">
        <f>VLOOKUP(E1568,country_continent!A:C,3,FALSE)</f>
        <v>Europe</v>
      </c>
      <c r="H1568" t="s">
        <v>6654</v>
      </c>
      <c r="I1568" s="1">
        <v>40367</v>
      </c>
      <c r="J1568" s="3">
        <f t="shared" si="72"/>
        <v>40367</v>
      </c>
      <c r="K1568" s="1">
        <v>40367</v>
      </c>
      <c r="L1568" s="3">
        <f t="shared" si="73"/>
        <v>40367</v>
      </c>
      <c r="M1568" t="s">
        <v>49</v>
      </c>
      <c r="N1568" t="s">
        <v>49</v>
      </c>
      <c r="O1568" t="s">
        <v>49</v>
      </c>
      <c r="P1568">
        <v>0</v>
      </c>
      <c r="Q1568" t="s">
        <v>50</v>
      </c>
      <c r="R1568" t="s">
        <v>51</v>
      </c>
      <c r="S1568">
        <v>1949</v>
      </c>
      <c r="T1568">
        <v>-777</v>
      </c>
      <c r="U1568" s="1">
        <v>17909</v>
      </c>
      <c r="V1568" s="2">
        <v>17909</v>
      </c>
      <c r="Z1568">
        <v>0</v>
      </c>
      <c r="AA1568">
        <v>1</v>
      </c>
      <c r="AB1568">
        <v>0</v>
      </c>
      <c r="AC1568">
        <v>0</v>
      </c>
      <c r="AF1568">
        <v>2010</v>
      </c>
      <c r="AG1568">
        <v>2010</v>
      </c>
      <c r="AH1568">
        <v>3.4640085386787201</v>
      </c>
      <c r="AI1568">
        <v>12730</v>
      </c>
      <c r="AJ1568">
        <v>1.57921733174168</v>
      </c>
      <c r="AK1568">
        <v>6</v>
      </c>
      <c r="AL1568">
        <v>-0.28560912153484902</v>
      </c>
      <c r="AM1568">
        <v>4.3302721836626699</v>
      </c>
      <c r="AN1568">
        <v>10</v>
      </c>
      <c r="AO1568" t="b">
        <v>0</v>
      </c>
      <c r="AT1568">
        <v>0</v>
      </c>
      <c r="AU1568">
        <f t="shared" si="74"/>
        <v>0</v>
      </c>
    </row>
    <row r="1569" spans="1:47" x14ac:dyDescent="0.3">
      <c r="A1569">
        <v>1567</v>
      </c>
      <c r="B1569" t="s">
        <v>6655</v>
      </c>
      <c r="C1569" t="s">
        <v>6656</v>
      </c>
      <c r="D1569">
        <v>290</v>
      </c>
      <c r="E1569" t="s">
        <v>6583</v>
      </c>
      <c r="F1569" t="str">
        <f>VLOOKUP(E1569,country_continent!A:C,2,FALSE)</f>
        <v>Poland</v>
      </c>
      <c r="G1569" t="str">
        <f>VLOOKUP(E1569,country_continent!A:C,3,FALSE)</f>
        <v>Europe</v>
      </c>
      <c r="H1569" t="s">
        <v>6657</v>
      </c>
      <c r="I1569" s="1">
        <v>40367</v>
      </c>
      <c r="J1569" s="3">
        <f t="shared" si="72"/>
        <v>40367</v>
      </c>
      <c r="K1569" s="1">
        <v>40396</v>
      </c>
      <c r="L1569" s="3">
        <f t="shared" si="73"/>
        <v>40396</v>
      </c>
      <c r="M1569" t="s">
        <v>49</v>
      </c>
      <c r="N1569" t="s">
        <v>49</v>
      </c>
      <c r="O1569" t="s">
        <v>49</v>
      </c>
      <c r="P1569">
        <v>0</v>
      </c>
      <c r="Q1569" t="s">
        <v>50</v>
      </c>
      <c r="R1569" t="s">
        <v>51</v>
      </c>
      <c r="S1569">
        <v>1963</v>
      </c>
      <c r="T1569">
        <v>-777</v>
      </c>
      <c r="Z1569">
        <v>0</v>
      </c>
      <c r="AA1569">
        <v>1</v>
      </c>
      <c r="AB1569">
        <v>0</v>
      </c>
      <c r="AC1569">
        <v>0</v>
      </c>
      <c r="AF1569">
        <v>2010</v>
      </c>
      <c r="AG1569">
        <v>2010</v>
      </c>
      <c r="AH1569">
        <v>3.4640085386787201</v>
      </c>
      <c r="AI1569">
        <v>12730</v>
      </c>
      <c r="AJ1569">
        <v>1.57921733174168</v>
      </c>
      <c r="AK1569">
        <v>6</v>
      </c>
      <c r="AL1569">
        <v>-0.28560912153484902</v>
      </c>
      <c r="AM1569">
        <v>4.3302721836626699</v>
      </c>
      <c r="AN1569">
        <v>10</v>
      </c>
      <c r="AO1569" t="b">
        <v>0</v>
      </c>
      <c r="AT1569">
        <v>29</v>
      </c>
      <c r="AU1569">
        <f t="shared" si="74"/>
        <v>7.9000000000000001E-2</v>
      </c>
    </row>
    <row r="1570" spans="1:47" x14ac:dyDescent="0.3">
      <c r="A1570">
        <v>1568</v>
      </c>
      <c r="B1570" t="s">
        <v>6658</v>
      </c>
      <c r="C1570" t="s">
        <v>6650</v>
      </c>
      <c r="D1570">
        <v>290</v>
      </c>
      <c r="E1570" t="s">
        <v>6583</v>
      </c>
      <c r="F1570" t="str">
        <f>VLOOKUP(E1570,country_continent!A:C,2,FALSE)</f>
        <v>Poland</v>
      </c>
      <c r="G1570" t="str">
        <f>VLOOKUP(E1570,country_continent!A:C,3,FALSE)</f>
        <v>Europe</v>
      </c>
      <c r="H1570" t="s">
        <v>6651</v>
      </c>
      <c r="I1570" s="1">
        <v>40396</v>
      </c>
      <c r="J1570" s="3">
        <f t="shared" si="72"/>
        <v>40396</v>
      </c>
      <c r="K1570" s="1">
        <v>42222</v>
      </c>
      <c r="L1570" s="3">
        <f t="shared" si="73"/>
        <v>42222</v>
      </c>
      <c r="M1570" t="s">
        <v>49</v>
      </c>
      <c r="N1570" t="s">
        <v>49</v>
      </c>
      <c r="O1570" t="s">
        <v>49</v>
      </c>
      <c r="P1570">
        <v>1</v>
      </c>
      <c r="Q1570" t="s">
        <v>312</v>
      </c>
      <c r="R1570" t="s">
        <v>51</v>
      </c>
      <c r="S1570">
        <v>1952</v>
      </c>
      <c r="T1570">
        <v>-777</v>
      </c>
      <c r="U1570" s="1">
        <v>19149</v>
      </c>
      <c r="V1570" s="2">
        <v>19149</v>
      </c>
      <c r="Z1570">
        <v>0</v>
      </c>
      <c r="AA1570">
        <v>1</v>
      </c>
      <c r="AB1570">
        <v>0</v>
      </c>
      <c r="AC1570">
        <v>-999</v>
      </c>
      <c r="AF1570">
        <v>2010</v>
      </c>
      <c r="AG1570">
        <v>2015</v>
      </c>
      <c r="AH1570">
        <v>3.2366083506376002</v>
      </c>
      <c r="AI1570">
        <v>13158.333333333299</v>
      </c>
      <c r="AJ1570">
        <v>1.4837207578153799</v>
      </c>
      <c r="AK1570">
        <v>5.36666666666666</v>
      </c>
      <c r="AL1570">
        <v>-7.2320972732046504E-2</v>
      </c>
      <c r="AM1570">
        <v>3.6042129015081299</v>
      </c>
      <c r="AN1570">
        <v>10</v>
      </c>
      <c r="AO1570" t="b">
        <v>0</v>
      </c>
      <c r="AT1570">
        <v>1826</v>
      </c>
      <c r="AU1570">
        <f t="shared" si="74"/>
        <v>5.0030000000000001</v>
      </c>
    </row>
    <row r="1571" spans="1:47" x14ac:dyDescent="0.3">
      <c r="A1571">
        <v>1569</v>
      </c>
      <c r="B1571" t="s">
        <v>6659</v>
      </c>
      <c r="C1571" t="s">
        <v>6660</v>
      </c>
      <c r="D1571">
        <v>300</v>
      </c>
      <c r="E1571" t="s">
        <v>6661</v>
      </c>
      <c r="F1571" t="str">
        <f>VLOOKUP(E1571,country_continent!A:C,2,FALSE)</f>
        <v>Austria-Hungary</v>
      </c>
      <c r="G1571" t="str">
        <f>VLOOKUP(E1571,country_continent!A:C,3,FALSE)</f>
        <v>Europe</v>
      </c>
      <c r="H1571" t="s">
        <v>6662</v>
      </c>
      <c r="I1571" t="s">
        <v>6663</v>
      </c>
      <c r="J1571" s="3" t="str">
        <f t="shared" si="72"/>
        <v>1848/12/02</v>
      </c>
      <c r="K1571" s="1">
        <v>6170</v>
      </c>
      <c r="L1571" s="3">
        <f t="shared" si="73"/>
        <v>6170</v>
      </c>
      <c r="M1571" t="s">
        <v>49</v>
      </c>
      <c r="N1571" t="s">
        <v>110</v>
      </c>
      <c r="O1571" t="s">
        <v>49</v>
      </c>
      <c r="P1571">
        <v>0</v>
      </c>
      <c r="Q1571" t="s">
        <v>111</v>
      </c>
      <c r="R1571" t="s">
        <v>51</v>
      </c>
      <c r="S1571">
        <v>1830</v>
      </c>
      <c r="T1571">
        <v>1916</v>
      </c>
      <c r="U1571" t="s">
        <v>6664</v>
      </c>
      <c r="V1571" t="s">
        <v>6665</v>
      </c>
      <c r="W1571" s="1">
        <v>6170</v>
      </c>
      <c r="X1571" s="2">
        <v>6170</v>
      </c>
      <c r="Y1571" t="s">
        <v>6666</v>
      </c>
      <c r="Z1571">
        <v>0</v>
      </c>
      <c r="AA1571">
        <v>2</v>
      </c>
      <c r="AB1571">
        <v>0</v>
      </c>
      <c r="AC1571">
        <v>-777</v>
      </c>
      <c r="AF1571">
        <v>1848</v>
      </c>
      <c r="AG1571">
        <v>1916</v>
      </c>
      <c r="AO1571" t="b">
        <v>0</v>
      </c>
      <c r="AT1571">
        <v>24825</v>
      </c>
      <c r="AU1571">
        <f t="shared" si="74"/>
        <v>68.013999999999996</v>
      </c>
    </row>
    <row r="1572" spans="1:47" x14ac:dyDescent="0.3">
      <c r="A1572">
        <v>1570</v>
      </c>
      <c r="B1572" t="s">
        <v>6667</v>
      </c>
      <c r="C1572" t="s">
        <v>6668</v>
      </c>
      <c r="D1572">
        <v>300</v>
      </c>
      <c r="E1572" t="s">
        <v>6661</v>
      </c>
      <c r="F1572" t="str">
        <f>VLOOKUP(E1572,country_continent!A:C,2,FALSE)</f>
        <v>Austria-Hungary</v>
      </c>
      <c r="G1572" t="str">
        <f>VLOOKUP(E1572,country_continent!A:C,3,FALSE)</f>
        <v>Europe</v>
      </c>
      <c r="H1572" t="s">
        <v>6669</v>
      </c>
      <c r="I1572" s="1">
        <v>6170</v>
      </c>
      <c r="J1572" s="3">
        <f t="shared" si="72"/>
        <v>6170</v>
      </c>
      <c r="K1572" s="1">
        <v>6890</v>
      </c>
      <c r="L1572" s="3">
        <f t="shared" si="73"/>
        <v>6890</v>
      </c>
      <c r="M1572" t="s">
        <v>49</v>
      </c>
      <c r="N1572" t="s">
        <v>67</v>
      </c>
      <c r="O1572" t="s">
        <v>1810</v>
      </c>
      <c r="P1572">
        <v>0</v>
      </c>
      <c r="Q1572" t="s">
        <v>362</v>
      </c>
      <c r="R1572" t="s">
        <v>51</v>
      </c>
      <c r="S1572">
        <v>1887</v>
      </c>
      <c r="T1572">
        <v>1922</v>
      </c>
      <c r="U1572" t="s">
        <v>6670</v>
      </c>
      <c r="V1572" t="s">
        <v>6671</v>
      </c>
      <c r="W1572" s="1">
        <v>8127</v>
      </c>
      <c r="X1572" s="2">
        <v>8127</v>
      </c>
      <c r="Y1572" t="s">
        <v>6672</v>
      </c>
      <c r="Z1572">
        <v>0</v>
      </c>
      <c r="AA1572">
        <v>3</v>
      </c>
      <c r="AB1572">
        <v>1</v>
      </c>
      <c r="AC1572">
        <v>1</v>
      </c>
      <c r="AF1572">
        <v>1916</v>
      </c>
      <c r="AG1572">
        <v>1918</v>
      </c>
      <c r="AO1572" t="b">
        <v>0</v>
      </c>
      <c r="AT1572">
        <v>720</v>
      </c>
      <c r="AU1572">
        <f t="shared" si="74"/>
        <v>1.9730000000000001</v>
      </c>
    </row>
    <row r="1573" spans="1:47" x14ac:dyDescent="0.3">
      <c r="A1573">
        <v>1571</v>
      </c>
      <c r="B1573" t="s">
        <v>6673</v>
      </c>
      <c r="C1573" t="s">
        <v>6674</v>
      </c>
      <c r="D1573">
        <v>305</v>
      </c>
      <c r="E1573" t="s">
        <v>6675</v>
      </c>
      <c r="F1573" t="str">
        <f>VLOOKUP(E1573,country_continent!A:C,2,FALSE)</f>
        <v>Austria</v>
      </c>
      <c r="G1573" t="str">
        <f>VLOOKUP(E1573,country_continent!A:C,3,FALSE)</f>
        <v>Europe</v>
      </c>
      <c r="H1573" t="s">
        <v>6676</v>
      </c>
      <c r="I1573" s="1">
        <v>6891</v>
      </c>
      <c r="J1573" s="3">
        <f t="shared" si="72"/>
        <v>6891</v>
      </c>
      <c r="K1573" s="1">
        <v>7468</v>
      </c>
      <c r="L1573" s="3">
        <f t="shared" si="73"/>
        <v>7468</v>
      </c>
      <c r="M1573" t="s">
        <v>67</v>
      </c>
      <c r="N1573" t="s">
        <v>49</v>
      </c>
      <c r="O1573" t="s">
        <v>49</v>
      </c>
      <c r="P1573">
        <v>0</v>
      </c>
      <c r="Q1573" t="s">
        <v>50</v>
      </c>
      <c r="R1573" t="s">
        <v>51</v>
      </c>
      <c r="S1573">
        <v>1870</v>
      </c>
      <c r="T1573">
        <v>1950</v>
      </c>
      <c r="U1573" t="s">
        <v>4564</v>
      </c>
      <c r="V1573" t="s">
        <v>4565</v>
      </c>
      <c r="W1573" s="1">
        <v>18628</v>
      </c>
      <c r="X1573" s="2">
        <v>18628</v>
      </c>
      <c r="Y1573" t="s">
        <v>6677</v>
      </c>
      <c r="Z1573">
        <v>1</v>
      </c>
      <c r="AA1573">
        <v>1</v>
      </c>
      <c r="AB1573">
        <v>0</v>
      </c>
      <c r="AC1573">
        <v>0</v>
      </c>
      <c r="AF1573">
        <v>1918</v>
      </c>
      <c r="AG1573">
        <v>1920</v>
      </c>
      <c r="AO1573" t="b">
        <v>0</v>
      </c>
      <c r="AT1573">
        <v>577</v>
      </c>
      <c r="AU1573">
        <f t="shared" si="74"/>
        <v>1.581</v>
      </c>
    </row>
    <row r="1574" spans="1:47" x14ac:dyDescent="0.3">
      <c r="A1574">
        <v>1572</v>
      </c>
      <c r="B1574" t="s">
        <v>6678</v>
      </c>
      <c r="C1574" t="s">
        <v>6679</v>
      </c>
      <c r="D1574">
        <v>305</v>
      </c>
      <c r="E1574" t="s">
        <v>6675</v>
      </c>
      <c r="F1574" t="str">
        <f>VLOOKUP(E1574,country_continent!A:C,2,FALSE)</f>
        <v>Austria</v>
      </c>
      <c r="G1574" t="str">
        <f>VLOOKUP(E1574,country_continent!A:C,3,FALSE)</f>
        <v>Europe</v>
      </c>
      <c r="H1574" t="s">
        <v>6680</v>
      </c>
      <c r="I1574" s="1">
        <v>7494</v>
      </c>
      <c r="J1574" s="3">
        <f t="shared" si="72"/>
        <v>7494</v>
      </c>
      <c r="K1574" s="1">
        <v>7823</v>
      </c>
      <c r="L1574" s="3">
        <f t="shared" si="73"/>
        <v>7823</v>
      </c>
      <c r="M1574" t="s">
        <v>49</v>
      </c>
      <c r="N1574" t="s">
        <v>49</v>
      </c>
      <c r="O1574" t="s">
        <v>49</v>
      </c>
      <c r="P1574">
        <v>0</v>
      </c>
      <c r="Q1574" t="s">
        <v>50</v>
      </c>
      <c r="R1574" t="s">
        <v>51</v>
      </c>
      <c r="S1574">
        <v>1864</v>
      </c>
      <c r="T1574">
        <v>1922</v>
      </c>
      <c r="Z1574">
        <v>0</v>
      </c>
      <c r="AA1574">
        <v>1</v>
      </c>
      <c r="AB1574">
        <v>0</v>
      </c>
      <c r="AC1574">
        <v>0</v>
      </c>
      <c r="AF1574">
        <v>1920</v>
      </c>
      <c r="AG1574">
        <v>1921</v>
      </c>
      <c r="AO1574" t="b">
        <v>0</v>
      </c>
      <c r="AT1574">
        <v>329</v>
      </c>
      <c r="AU1574">
        <f t="shared" si="74"/>
        <v>0.90100000000000002</v>
      </c>
    </row>
    <row r="1575" spans="1:47" x14ac:dyDescent="0.3">
      <c r="A1575">
        <v>1573</v>
      </c>
      <c r="B1575" t="s">
        <v>6681</v>
      </c>
      <c r="C1575" t="s">
        <v>6682</v>
      </c>
      <c r="D1575">
        <v>305</v>
      </c>
      <c r="E1575" t="s">
        <v>6675</v>
      </c>
      <c r="F1575" t="str">
        <f>VLOOKUP(E1575,country_continent!A:C,2,FALSE)</f>
        <v>Austria</v>
      </c>
      <c r="G1575" t="str">
        <f>VLOOKUP(E1575,country_continent!A:C,3,FALSE)</f>
        <v>Europe</v>
      </c>
      <c r="H1575" t="s">
        <v>6683</v>
      </c>
      <c r="I1575" s="1">
        <v>7843</v>
      </c>
      <c r="J1575" s="3">
        <f t="shared" si="72"/>
        <v>7843</v>
      </c>
      <c r="K1575" s="1">
        <v>8180</v>
      </c>
      <c r="L1575" s="3">
        <f t="shared" si="73"/>
        <v>8180</v>
      </c>
      <c r="M1575" t="s">
        <v>49</v>
      </c>
      <c r="N1575" t="s">
        <v>49</v>
      </c>
      <c r="O1575" t="s">
        <v>49</v>
      </c>
      <c r="P1575">
        <v>0</v>
      </c>
      <c r="Q1575" t="s">
        <v>50</v>
      </c>
      <c r="R1575" t="s">
        <v>51</v>
      </c>
      <c r="S1575">
        <v>1870</v>
      </c>
      <c r="T1575">
        <v>1932</v>
      </c>
      <c r="U1575" t="s">
        <v>6684</v>
      </c>
      <c r="V1575" t="s">
        <v>6685</v>
      </c>
      <c r="Z1575">
        <v>0</v>
      </c>
      <c r="AA1575">
        <v>1</v>
      </c>
      <c r="AB1575">
        <v>0</v>
      </c>
      <c r="AC1575">
        <v>0</v>
      </c>
      <c r="AF1575">
        <v>1921</v>
      </c>
      <c r="AG1575">
        <v>1922</v>
      </c>
      <c r="AO1575" t="b">
        <v>0</v>
      </c>
      <c r="AT1575">
        <v>337</v>
      </c>
      <c r="AU1575">
        <f t="shared" si="74"/>
        <v>0.92300000000000004</v>
      </c>
    </row>
    <row r="1576" spans="1:47" x14ac:dyDescent="0.3">
      <c r="A1576">
        <v>1574</v>
      </c>
      <c r="B1576" t="s">
        <v>6686</v>
      </c>
      <c r="C1576" t="s">
        <v>6687</v>
      </c>
      <c r="D1576">
        <v>305</v>
      </c>
      <c r="E1576" t="s">
        <v>6675</v>
      </c>
      <c r="F1576" t="str">
        <f>VLOOKUP(E1576,country_continent!A:C,2,FALSE)</f>
        <v>Austria</v>
      </c>
      <c r="G1576" t="str">
        <f>VLOOKUP(E1576,country_continent!A:C,3,FALSE)</f>
        <v>Europe</v>
      </c>
      <c r="H1576" t="s">
        <v>6688</v>
      </c>
      <c r="I1576" s="1">
        <v>8187</v>
      </c>
      <c r="J1576" s="3">
        <f t="shared" si="72"/>
        <v>8187</v>
      </c>
      <c r="K1576" s="1">
        <v>9090</v>
      </c>
      <c r="L1576" s="3">
        <f t="shared" si="73"/>
        <v>9090</v>
      </c>
      <c r="M1576" t="s">
        <v>49</v>
      </c>
      <c r="N1576" t="s">
        <v>49</v>
      </c>
      <c r="O1576" t="s">
        <v>49</v>
      </c>
      <c r="P1576">
        <v>0</v>
      </c>
      <c r="Q1576" t="s">
        <v>50</v>
      </c>
      <c r="R1576" t="s">
        <v>51</v>
      </c>
      <c r="S1576">
        <v>1876</v>
      </c>
      <c r="T1576">
        <v>1932</v>
      </c>
      <c r="U1576" t="s">
        <v>6689</v>
      </c>
      <c r="V1576" t="s">
        <v>6690</v>
      </c>
      <c r="Z1576">
        <v>0</v>
      </c>
      <c r="AA1576">
        <v>1</v>
      </c>
      <c r="AB1576">
        <v>0</v>
      </c>
      <c r="AC1576">
        <v>0</v>
      </c>
      <c r="AF1576">
        <v>1922</v>
      </c>
      <c r="AG1576">
        <v>1924</v>
      </c>
      <c r="AO1576" t="b">
        <v>0</v>
      </c>
      <c r="AT1576">
        <v>903</v>
      </c>
      <c r="AU1576">
        <f t="shared" si="74"/>
        <v>2.4740000000000002</v>
      </c>
    </row>
    <row r="1577" spans="1:47" x14ac:dyDescent="0.3">
      <c r="A1577">
        <v>1575</v>
      </c>
      <c r="B1577" t="s">
        <v>6691</v>
      </c>
      <c r="C1577" t="s">
        <v>6692</v>
      </c>
      <c r="D1577">
        <v>305</v>
      </c>
      <c r="E1577" t="s">
        <v>6675</v>
      </c>
      <c r="F1577" t="str">
        <f>VLOOKUP(E1577,country_continent!A:C,2,FALSE)</f>
        <v>Austria</v>
      </c>
      <c r="G1577" t="str">
        <f>VLOOKUP(E1577,country_continent!A:C,3,FALSE)</f>
        <v>Europe</v>
      </c>
      <c r="H1577" t="s">
        <v>6693</v>
      </c>
      <c r="I1577" s="1">
        <v>9091</v>
      </c>
      <c r="J1577" s="3">
        <f t="shared" si="72"/>
        <v>9091</v>
      </c>
      <c r="K1577" s="1">
        <v>9785</v>
      </c>
      <c r="L1577" s="3">
        <f t="shared" si="73"/>
        <v>9785</v>
      </c>
      <c r="M1577" t="s">
        <v>49</v>
      </c>
      <c r="N1577" t="s">
        <v>49</v>
      </c>
      <c r="O1577" t="s">
        <v>49</v>
      </c>
      <c r="P1577">
        <v>0</v>
      </c>
      <c r="Q1577" t="s">
        <v>50</v>
      </c>
      <c r="R1577" t="s">
        <v>51</v>
      </c>
      <c r="S1577">
        <v>1881</v>
      </c>
      <c r="T1577">
        <v>1941</v>
      </c>
      <c r="U1577" t="s">
        <v>6694</v>
      </c>
      <c r="V1577" t="s">
        <v>6695</v>
      </c>
      <c r="Z1577">
        <v>0</v>
      </c>
      <c r="AA1577">
        <v>1</v>
      </c>
      <c r="AB1577">
        <v>0</v>
      </c>
      <c r="AC1577">
        <v>0</v>
      </c>
      <c r="AF1577">
        <v>1924</v>
      </c>
      <c r="AG1577">
        <v>1926</v>
      </c>
      <c r="AO1577" t="b">
        <v>0</v>
      </c>
      <c r="AT1577">
        <v>694</v>
      </c>
      <c r="AU1577">
        <f t="shared" si="74"/>
        <v>1.901</v>
      </c>
    </row>
    <row r="1578" spans="1:47" x14ac:dyDescent="0.3">
      <c r="A1578">
        <v>1576</v>
      </c>
      <c r="B1578" t="s">
        <v>6696</v>
      </c>
      <c r="C1578" t="s">
        <v>6687</v>
      </c>
      <c r="D1578">
        <v>305</v>
      </c>
      <c r="E1578" t="s">
        <v>6675</v>
      </c>
      <c r="F1578" t="str">
        <f>VLOOKUP(E1578,country_continent!A:C,2,FALSE)</f>
        <v>Austria</v>
      </c>
      <c r="G1578" t="str">
        <f>VLOOKUP(E1578,country_continent!A:C,3,FALSE)</f>
        <v>Europe</v>
      </c>
      <c r="H1578" t="s">
        <v>6688</v>
      </c>
      <c r="I1578" s="1">
        <v>9790</v>
      </c>
      <c r="J1578" s="3">
        <f t="shared" si="72"/>
        <v>9790</v>
      </c>
      <c r="K1578" s="1">
        <v>10686</v>
      </c>
      <c r="L1578" s="3">
        <f t="shared" si="73"/>
        <v>10686</v>
      </c>
      <c r="M1578" t="s">
        <v>49</v>
      </c>
      <c r="N1578" t="s">
        <v>49</v>
      </c>
      <c r="O1578" t="s">
        <v>49</v>
      </c>
      <c r="P1578">
        <v>1</v>
      </c>
      <c r="Q1578" t="s">
        <v>50</v>
      </c>
      <c r="R1578" t="s">
        <v>51</v>
      </c>
      <c r="S1578">
        <v>1876</v>
      </c>
      <c r="T1578">
        <v>1932</v>
      </c>
      <c r="U1578" t="s">
        <v>6689</v>
      </c>
      <c r="V1578" t="s">
        <v>6690</v>
      </c>
      <c r="Z1578">
        <v>0</v>
      </c>
      <c r="AA1578">
        <v>1</v>
      </c>
      <c r="AB1578">
        <v>0</v>
      </c>
      <c r="AC1578">
        <v>0</v>
      </c>
      <c r="AF1578">
        <v>1926</v>
      </c>
      <c r="AG1578">
        <v>1929</v>
      </c>
      <c r="AO1578" t="b">
        <v>0</v>
      </c>
      <c r="AT1578">
        <v>896</v>
      </c>
      <c r="AU1578">
        <f t="shared" si="74"/>
        <v>2.4550000000000001</v>
      </c>
    </row>
    <row r="1579" spans="1:47" x14ac:dyDescent="0.3">
      <c r="A1579">
        <v>1577</v>
      </c>
      <c r="B1579" t="s">
        <v>6697</v>
      </c>
      <c r="C1579" t="s">
        <v>6698</v>
      </c>
      <c r="D1579">
        <v>305</v>
      </c>
      <c r="E1579" t="s">
        <v>6675</v>
      </c>
      <c r="F1579" t="str">
        <f>VLOOKUP(E1579,country_continent!A:C,2,FALSE)</f>
        <v>Austria</v>
      </c>
      <c r="G1579" t="str">
        <f>VLOOKUP(E1579,country_continent!A:C,3,FALSE)</f>
        <v>Europe</v>
      </c>
      <c r="H1579" t="s">
        <v>6699</v>
      </c>
      <c r="I1579" s="1">
        <v>10717</v>
      </c>
      <c r="J1579" s="3">
        <f t="shared" si="72"/>
        <v>10717</v>
      </c>
      <c r="K1579" s="1">
        <v>10861</v>
      </c>
      <c r="L1579" s="3">
        <f t="shared" si="73"/>
        <v>10861</v>
      </c>
      <c r="M1579" t="s">
        <v>49</v>
      </c>
      <c r="N1579" t="s">
        <v>49</v>
      </c>
      <c r="O1579" t="s">
        <v>49</v>
      </c>
      <c r="P1579">
        <v>0</v>
      </c>
      <c r="Q1579" t="s">
        <v>50</v>
      </c>
      <c r="R1579" t="s">
        <v>51</v>
      </c>
      <c r="S1579">
        <v>1874</v>
      </c>
      <c r="T1579">
        <v>1952</v>
      </c>
      <c r="Z1579">
        <v>0</v>
      </c>
      <c r="AA1579">
        <v>1</v>
      </c>
      <c r="AB1579">
        <v>0</v>
      </c>
      <c r="AC1579">
        <v>0</v>
      </c>
      <c r="AF1579">
        <v>1929</v>
      </c>
      <c r="AG1579">
        <v>1929</v>
      </c>
      <c r="AO1579" t="b">
        <v>0</v>
      </c>
      <c r="AT1579">
        <v>144</v>
      </c>
      <c r="AU1579">
        <f t="shared" si="74"/>
        <v>0.39500000000000002</v>
      </c>
    </row>
    <row r="1580" spans="1:47" x14ac:dyDescent="0.3">
      <c r="A1580">
        <v>1578</v>
      </c>
      <c r="B1580" t="s">
        <v>6700</v>
      </c>
      <c r="C1580" t="s">
        <v>6682</v>
      </c>
      <c r="D1580">
        <v>305</v>
      </c>
      <c r="E1580" t="s">
        <v>6675</v>
      </c>
      <c r="F1580" t="str">
        <f>VLOOKUP(E1580,country_continent!A:C,2,FALSE)</f>
        <v>Austria</v>
      </c>
      <c r="G1580" t="str">
        <f>VLOOKUP(E1580,country_continent!A:C,3,FALSE)</f>
        <v>Europe</v>
      </c>
      <c r="H1580" t="s">
        <v>6683</v>
      </c>
      <c r="I1580" s="1">
        <v>10862</v>
      </c>
      <c r="J1580" s="3">
        <f t="shared" si="72"/>
        <v>10862</v>
      </c>
      <c r="K1580" s="1">
        <v>11226</v>
      </c>
      <c r="L1580" s="3">
        <f t="shared" si="73"/>
        <v>11226</v>
      </c>
      <c r="M1580" t="s">
        <v>49</v>
      </c>
      <c r="N1580" t="s">
        <v>49</v>
      </c>
      <c r="O1580" t="s">
        <v>49</v>
      </c>
      <c r="P1580">
        <v>1</v>
      </c>
      <c r="Q1580" t="s">
        <v>50</v>
      </c>
      <c r="R1580" t="s">
        <v>51</v>
      </c>
      <c r="S1580">
        <v>1870</v>
      </c>
      <c r="T1580">
        <v>1932</v>
      </c>
      <c r="U1580" t="s">
        <v>6684</v>
      </c>
      <c r="V1580" t="s">
        <v>6685</v>
      </c>
      <c r="Z1580">
        <v>0</v>
      </c>
      <c r="AA1580">
        <v>1</v>
      </c>
      <c r="AB1580">
        <v>0</v>
      </c>
      <c r="AC1580">
        <v>0</v>
      </c>
      <c r="AF1580">
        <v>1929</v>
      </c>
      <c r="AG1580">
        <v>1930</v>
      </c>
      <c r="AO1580" t="b">
        <v>0</v>
      </c>
      <c r="AT1580">
        <v>364</v>
      </c>
      <c r="AU1580">
        <f t="shared" si="74"/>
        <v>0.997</v>
      </c>
    </row>
    <row r="1581" spans="1:47" x14ac:dyDescent="0.3">
      <c r="A1581">
        <v>1579</v>
      </c>
      <c r="B1581" t="s">
        <v>6701</v>
      </c>
      <c r="C1581" t="s">
        <v>6702</v>
      </c>
      <c r="D1581">
        <v>305</v>
      </c>
      <c r="E1581" t="s">
        <v>6675</v>
      </c>
      <c r="F1581" t="str">
        <f>VLOOKUP(E1581,country_continent!A:C,2,FALSE)</f>
        <v>Austria</v>
      </c>
      <c r="G1581" t="str">
        <f>VLOOKUP(E1581,country_continent!A:C,3,FALSE)</f>
        <v>Europe</v>
      </c>
      <c r="H1581" t="s">
        <v>6703</v>
      </c>
      <c r="I1581" s="1">
        <v>11231</v>
      </c>
      <c r="J1581" s="3">
        <f t="shared" si="72"/>
        <v>11231</v>
      </c>
      <c r="K1581" s="1">
        <v>11291</v>
      </c>
      <c r="L1581" s="3">
        <f t="shared" si="73"/>
        <v>11291</v>
      </c>
      <c r="M1581" t="s">
        <v>49</v>
      </c>
      <c r="N1581" t="s">
        <v>49</v>
      </c>
      <c r="O1581" t="s">
        <v>49</v>
      </c>
      <c r="P1581">
        <v>0</v>
      </c>
      <c r="Q1581" t="s">
        <v>50</v>
      </c>
      <c r="R1581" t="s">
        <v>51</v>
      </c>
      <c r="S1581">
        <v>1873</v>
      </c>
      <c r="T1581">
        <v>1949</v>
      </c>
      <c r="Z1581">
        <v>0</v>
      </c>
      <c r="AA1581">
        <v>1</v>
      </c>
      <c r="AB1581">
        <v>0</v>
      </c>
      <c r="AC1581">
        <v>0</v>
      </c>
      <c r="AF1581">
        <v>1930</v>
      </c>
      <c r="AG1581">
        <v>1930</v>
      </c>
      <c r="AO1581" t="b">
        <v>0</v>
      </c>
      <c r="AT1581">
        <v>60</v>
      </c>
      <c r="AU1581">
        <f t="shared" si="74"/>
        <v>0.16400000000000001</v>
      </c>
    </row>
    <row r="1582" spans="1:47" x14ac:dyDescent="0.3">
      <c r="A1582">
        <v>1580</v>
      </c>
      <c r="B1582" t="s">
        <v>6704</v>
      </c>
      <c r="C1582" t="s">
        <v>6705</v>
      </c>
      <c r="D1582">
        <v>305</v>
      </c>
      <c r="E1582" t="s">
        <v>6675</v>
      </c>
      <c r="F1582" t="str">
        <f>VLOOKUP(E1582,country_continent!A:C,2,FALSE)</f>
        <v>Austria</v>
      </c>
      <c r="G1582" t="str">
        <f>VLOOKUP(E1582,country_continent!A:C,3,FALSE)</f>
        <v>Europe</v>
      </c>
      <c r="H1582" t="s">
        <v>6706</v>
      </c>
      <c r="I1582" s="1">
        <v>11296</v>
      </c>
      <c r="J1582" s="3">
        <f t="shared" si="72"/>
        <v>11296</v>
      </c>
      <c r="K1582" s="1">
        <v>11490</v>
      </c>
      <c r="L1582" s="3">
        <f t="shared" si="73"/>
        <v>11490</v>
      </c>
      <c r="M1582" t="s">
        <v>49</v>
      </c>
      <c r="N1582" t="s">
        <v>49</v>
      </c>
      <c r="O1582" t="s">
        <v>49</v>
      </c>
      <c r="P1582">
        <v>0</v>
      </c>
      <c r="Q1582" t="s">
        <v>50</v>
      </c>
      <c r="R1582" t="s">
        <v>51</v>
      </c>
      <c r="S1582">
        <v>1875</v>
      </c>
      <c r="T1582">
        <v>1960</v>
      </c>
      <c r="U1582" t="s">
        <v>6707</v>
      </c>
      <c r="V1582" t="s">
        <v>6708</v>
      </c>
      <c r="W1582" s="1">
        <v>22092</v>
      </c>
      <c r="X1582" s="2">
        <v>22092</v>
      </c>
      <c r="Z1582">
        <v>0</v>
      </c>
      <c r="AA1582">
        <v>1</v>
      </c>
      <c r="AB1582">
        <v>0</v>
      </c>
      <c r="AC1582">
        <v>0</v>
      </c>
      <c r="AF1582">
        <v>1930</v>
      </c>
      <c r="AG1582">
        <v>1931</v>
      </c>
      <c r="AO1582" t="b">
        <v>0</v>
      </c>
      <c r="AT1582">
        <v>194</v>
      </c>
      <c r="AU1582">
        <f t="shared" si="74"/>
        <v>0.53200000000000003</v>
      </c>
    </row>
    <row r="1583" spans="1:47" x14ac:dyDescent="0.3">
      <c r="A1583">
        <v>1581</v>
      </c>
      <c r="B1583" t="s">
        <v>6709</v>
      </c>
      <c r="C1583" t="s">
        <v>6710</v>
      </c>
      <c r="D1583">
        <v>305</v>
      </c>
      <c r="E1583" t="s">
        <v>6675</v>
      </c>
      <c r="F1583" t="str">
        <f>VLOOKUP(E1583,country_continent!A:C,2,FALSE)</f>
        <v>Austria</v>
      </c>
      <c r="G1583" t="str">
        <f>VLOOKUP(E1583,country_continent!A:C,3,FALSE)</f>
        <v>Europe</v>
      </c>
      <c r="H1583" t="s">
        <v>6711</v>
      </c>
      <c r="I1583" s="1">
        <v>11494</v>
      </c>
      <c r="J1583" s="3">
        <f t="shared" si="72"/>
        <v>11494</v>
      </c>
      <c r="K1583" s="1">
        <v>11815</v>
      </c>
      <c r="L1583" s="3">
        <f t="shared" si="73"/>
        <v>11815</v>
      </c>
      <c r="M1583" t="s">
        <v>49</v>
      </c>
      <c r="N1583" t="s">
        <v>49</v>
      </c>
      <c r="O1583" t="s">
        <v>49</v>
      </c>
      <c r="P1583">
        <v>0</v>
      </c>
      <c r="Q1583" t="s">
        <v>50</v>
      </c>
      <c r="R1583" t="s">
        <v>51</v>
      </c>
      <c r="S1583">
        <v>1878</v>
      </c>
      <c r="T1583">
        <v>1936</v>
      </c>
      <c r="Z1583">
        <v>0</v>
      </c>
      <c r="AA1583">
        <v>1</v>
      </c>
      <c r="AB1583">
        <v>0</v>
      </c>
      <c r="AC1583">
        <v>0</v>
      </c>
      <c r="AF1583">
        <v>1931</v>
      </c>
      <c r="AG1583">
        <v>1932</v>
      </c>
      <c r="AO1583" t="b">
        <v>0</v>
      </c>
      <c r="AT1583">
        <v>321</v>
      </c>
      <c r="AU1583">
        <f t="shared" si="74"/>
        <v>0.879</v>
      </c>
    </row>
    <row r="1584" spans="1:47" x14ac:dyDescent="0.3">
      <c r="A1584">
        <v>1582</v>
      </c>
      <c r="B1584" t="s">
        <v>6712</v>
      </c>
      <c r="C1584" t="s">
        <v>6713</v>
      </c>
      <c r="D1584">
        <v>305</v>
      </c>
      <c r="E1584" t="s">
        <v>6675</v>
      </c>
      <c r="F1584" t="str">
        <f>VLOOKUP(E1584,country_continent!A:C,2,FALSE)</f>
        <v>Austria</v>
      </c>
      <c r="G1584" t="str">
        <f>VLOOKUP(E1584,country_continent!A:C,3,FALSE)</f>
        <v>Europe</v>
      </c>
      <c r="H1584" t="s">
        <v>6714</v>
      </c>
      <c r="I1584" s="1">
        <v>11829</v>
      </c>
      <c r="J1584" s="3">
        <f t="shared" si="72"/>
        <v>11829</v>
      </c>
      <c r="K1584" s="1">
        <v>12625</v>
      </c>
      <c r="L1584" s="3">
        <f t="shared" si="73"/>
        <v>12625</v>
      </c>
      <c r="M1584" t="s">
        <v>49</v>
      </c>
      <c r="N1584" t="s">
        <v>67</v>
      </c>
      <c r="O1584" t="s">
        <v>433</v>
      </c>
      <c r="P1584">
        <v>0</v>
      </c>
      <c r="Q1584" t="s">
        <v>69</v>
      </c>
      <c r="R1584" t="s">
        <v>51</v>
      </c>
      <c r="S1584">
        <v>1882</v>
      </c>
      <c r="T1584">
        <v>1934</v>
      </c>
      <c r="U1584" t="s">
        <v>6715</v>
      </c>
      <c r="V1584" t="s">
        <v>6716</v>
      </c>
      <c r="W1584" s="1">
        <v>12625</v>
      </c>
      <c r="X1584" s="2">
        <v>12625</v>
      </c>
      <c r="Y1584" t="s">
        <v>6717</v>
      </c>
      <c r="Z1584">
        <v>0</v>
      </c>
      <c r="AA1584">
        <v>3</v>
      </c>
      <c r="AB1584">
        <v>4</v>
      </c>
      <c r="AC1584">
        <v>3</v>
      </c>
      <c r="AF1584">
        <v>1932</v>
      </c>
      <c r="AG1584">
        <v>1934</v>
      </c>
      <c r="AO1584" t="b">
        <v>0</v>
      </c>
      <c r="AT1584">
        <v>796</v>
      </c>
      <c r="AU1584">
        <f t="shared" si="74"/>
        <v>2.181</v>
      </c>
    </row>
    <row r="1585" spans="1:47" x14ac:dyDescent="0.3">
      <c r="A1585">
        <v>1583</v>
      </c>
      <c r="B1585" t="s">
        <v>6718</v>
      </c>
      <c r="C1585" t="s">
        <v>6719</v>
      </c>
      <c r="D1585">
        <v>305</v>
      </c>
      <c r="E1585" t="s">
        <v>6675</v>
      </c>
      <c r="F1585" t="str">
        <f>VLOOKUP(E1585,country_continent!A:C,2,FALSE)</f>
        <v>Austria</v>
      </c>
      <c r="G1585" t="str">
        <f>VLOOKUP(E1585,country_continent!A:C,3,FALSE)</f>
        <v>Europe</v>
      </c>
      <c r="H1585" t="s">
        <v>6720</v>
      </c>
      <c r="I1585" s="1">
        <v>12630</v>
      </c>
      <c r="J1585" s="3">
        <f t="shared" si="72"/>
        <v>12630</v>
      </c>
      <c r="K1585" s="1">
        <v>13950</v>
      </c>
      <c r="L1585" s="3">
        <f t="shared" si="73"/>
        <v>13950</v>
      </c>
      <c r="M1585" t="s">
        <v>49</v>
      </c>
      <c r="N1585" t="s">
        <v>633</v>
      </c>
      <c r="O1585" t="s">
        <v>634</v>
      </c>
      <c r="P1585">
        <v>0</v>
      </c>
      <c r="Q1585" t="s">
        <v>463</v>
      </c>
      <c r="R1585" t="s">
        <v>51</v>
      </c>
      <c r="S1585">
        <v>1897</v>
      </c>
      <c r="T1585">
        <v>1977</v>
      </c>
      <c r="U1585" t="s">
        <v>6721</v>
      </c>
      <c r="V1585" t="s">
        <v>6722</v>
      </c>
      <c r="W1585" s="1">
        <v>28447</v>
      </c>
      <c r="X1585" s="2">
        <v>28447</v>
      </c>
      <c r="Z1585">
        <v>0</v>
      </c>
      <c r="AA1585">
        <v>4</v>
      </c>
      <c r="AB1585">
        <v>9</v>
      </c>
      <c r="AC1585">
        <v>2</v>
      </c>
      <c r="AF1585">
        <v>1934</v>
      </c>
      <c r="AG1585">
        <v>1938</v>
      </c>
      <c r="AO1585" t="b">
        <v>0</v>
      </c>
      <c r="AT1585">
        <v>1320</v>
      </c>
      <c r="AU1585">
        <f t="shared" si="74"/>
        <v>3.6160000000000001</v>
      </c>
    </row>
    <row r="1586" spans="1:47" x14ac:dyDescent="0.3">
      <c r="A1586">
        <v>1584</v>
      </c>
      <c r="B1586" t="s">
        <v>6723</v>
      </c>
      <c r="C1586" t="s">
        <v>6724</v>
      </c>
      <c r="D1586">
        <v>305</v>
      </c>
      <c r="E1586" t="s">
        <v>6675</v>
      </c>
      <c r="F1586" t="str">
        <f>VLOOKUP(E1586,country_continent!A:C,2,FALSE)</f>
        <v>Austria</v>
      </c>
      <c r="G1586" t="str">
        <f>VLOOKUP(E1586,country_continent!A:C,3,FALSE)</f>
        <v>Europe</v>
      </c>
      <c r="H1586" t="s">
        <v>6725</v>
      </c>
      <c r="I1586" s="1">
        <v>13951</v>
      </c>
      <c r="J1586" s="3">
        <f t="shared" si="72"/>
        <v>13951</v>
      </c>
      <c r="K1586" s="1">
        <v>14365</v>
      </c>
      <c r="L1586" s="3">
        <f t="shared" si="73"/>
        <v>14365</v>
      </c>
      <c r="M1586" t="s">
        <v>49</v>
      </c>
      <c r="N1586" t="s">
        <v>633</v>
      </c>
      <c r="O1586" t="s">
        <v>6580</v>
      </c>
      <c r="P1586">
        <v>0</v>
      </c>
      <c r="Q1586" t="s">
        <v>50</v>
      </c>
      <c r="R1586" t="s">
        <v>51</v>
      </c>
      <c r="S1586">
        <v>1892</v>
      </c>
      <c r="T1586">
        <v>1946</v>
      </c>
      <c r="U1586" t="s">
        <v>6726</v>
      </c>
      <c r="V1586" t="s">
        <v>6727</v>
      </c>
      <c r="W1586" s="1">
        <v>17091</v>
      </c>
      <c r="X1586" s="2">
        <v>17091</v>
      </c>
      <c r="Y1586" t="s">
        <v>6728</v>
      </c>
      <c r="Z1586">
        <v>0</v>
      </c>
      <c r="AA1586">
        <v>4</v>
      </c>
      <c r="AB1586">
        <v>111</v>
      </c>
      <c r="AC1586">
        <v>0</v>
      </c>
      <c r="AF1586">
        <v>1938</v>
      </c>
      <c r="AG1586">
        <v>1939</v>
      </c>
      <c r="AO1586" t="b">
        <v>0</v>
      </c>
      <c r="AT1586">
        <v>414</v>
      </c>
      <c r="AU1586">
        <f t="shared" si="74"/>
        <v>1.1339999999999999</v>
      </c>
    </row>
    <row r="1587" spans="1:47" x14ac:dyDescent="0.3">
      <c r="A1587">
        <v>1585</v>
      </c>
      <c r="B1587" t="s">
        <v>6729</v>
      </c>
      <c r="C1587" t="s">
        <v>6674</v>
      </c>
      <c r="D1587">
        <v>305</v>
      </c>
      <c r="E1587" t="s">
        <v>6675</v>
      </c>
      <c r="F1587" t="str">
        <f>VLOOKUP(E1587,country_continent!A:C,2,FALSE)</f>
        <v>Austria</v>
      </c>
      <c r="G1587" t="str">
        <f>VLOOKUP(E1587,country_continent!A:C,3,FALSE)</f>
        <v>Europe</v>
      </c>
      <c r="H1587" t="s">
        <v>6676</v>
      </c>
      <c r="I1587" s="1">
        <v>16556</v>
      </c>
      <c r="J1587" s="3">
        <f t="shared" si="72"/>
        <v>16556</v>
      </c>
      <c r="K1587" s="1">
        <v>16769</v>
      </c>
      <c r="L1587" s="3">
        <f t="shared" si="73"/>
        <v>16769</v>
      </c>
      <c r="M1587" t="s">
        <v>67</v>
      </c>
      <c r="N1587" t="s">
        <v>49</v>
      </c>
      <c r="O1587" t="s">
        <v>49</v>
      </c>
      <c r="P1587">
        <v>1</v>
      </c>
      <c r="Q1587" t="s">
        <v>50</v>
      </c>
      <c r="R1587" t="s">
        <v>51</v>
      </c>
      <c r="S1587">
        <v>1870</v>
      </c>
      <c r="T1587">
        <v>1950</v>
      </c>
      <c r="U1587" t="s">
        <v>4564</v>
      </c>
      <c r="V1587" t="s">
        <v>4565</v>
      </c>
      <c r="W1587" s="1">
        <v>18628</v>
      </c>
      <c r="X1587" s="2">
        <v>18628</v>
      </c>
      <c r="Y1587" t="s">
        <v>6677</v>
      </c>
      <c r="Z1587">
        <v>1</v>
      </c>
      <c r="AA1587">
        <v>1</v>
      </c>
      <c r="AB1587">
        <v>0</v>
      </c>
      <c r="AC1587">
        <v>0</v>
      </c>
      <c r="AF1587">
        <v>1945</v>
      </c>
      <c r="AG1587">
        <v>1945</v>
      </c>
      <c r="AO1587" t="b">
        <v>0</v>
      </c>
      <c r="AT1587">
        <v>213</v>
      </c>
      <c r="AU1587">
        <f t="shared" si="74"/>
        <v>0.58399999999999996</v>
      </c>
    </row>
    <row r="1588" spans="1:47" x14ac:dyDescent="0.3">
      <c r="A1588">
        <v>1586</v>
      </c>
      <c r="B1588" t="s">
        <v>6730</v>
      </c>
      <c r="C1588" t="s">
        <v>6731</v>
      </c>
      <c r="D1588">
        <v>305</v>
      </c>
      <c r="E1588" t="s">
        <v>6675</v>
      </c>
      <c r="F1588" t="str">
        <f>VLOOKUP(E1588,country_continent!A:C,2,FALSE)</f>
        <v>Austria</v>
      </c>
      <c r="G1588" t="str">
        <f>VLOOKUP(E1588,country_continent!A:C,3,FALSE)</f>
        <v>Europe</v>
      </c>
      <c r="H1588" t="s">
        <v>6732</v>
      </c>
      <c r="I1588" s="1">
        <v>16769</v>
      </c>
      <c r="J1588" s="3">
        <f t="shared" si="72"/>
        <v>16769</v>
      </c>
      <c r="K1588" s="1">
        <v>19451</v>
      </c>
      <c r="L1588" s="3">
        <f t="shared" si="73"/>
        <v>19451</v>
      </c>
      <c r="M1588" t="s">
        <v>49</v>
      </c>
      <c r="N1588" t="s">
        <v>49</v>
      </c>
      <c r="O1588" t="s">
        <v>49</v>
      </c>
      <c r="P1588">
        <v>0</v>
      </c>
      <c r="Q1588" t="s">
        <v>50</v>
      </c>
      <c r="R1588" t="s">
        <v>51</v>
      </c>
      <c r="S1588">
        <v>1902</v>
      </c>
      <c r="T1588">
        <v>1965</v>
      </c>
      <c r="U1588" s="1">
        <v>1006</v>
      </c>
      <c r="V1588" s="2">
        <v>1006</v>
      </c>
      <c r="Z1588">
        <v>0</v>
      </c>
      <c r="AA1588">
        <v>1</v>
      </c>
      <c r="AB1588">
        <v>0</v>
      </c>
      <c r="AC1588">
        <v>0</v>
      </c>
      <c r="AF1588">
        <v>1945</v>
      </c>
      <c r="AG1588">
        <v>1953</v>
      </c>
      <c r="AN1588">
        <v>10</v>
      </c>
      <c r="AO1588" t="b">
        <v>0</v>
      </c>
      <c r="AT1588">
        <v>2682</v>
      </c>
      <c r="AU1588">
        <f t="shared" si="74"/>
        <v>7.3479999999999999</v>
      </c>
    </row>
    <row r="1589" spans="1:47" x14ac:dyDescent="0.3">
      <c r="A1589">
        <v>1587</v>
      </c>
      <c r="B1589" t="s">
        <v>6733</v>
      </c>
      <c r="C1589" t="s">
        <v>6734</v>
      </c>
      <c r="D1589">
        <v>305</v>
      </c>
      <c r="E1589" t="s">
        <v>6675</v>
      </c>
      <c r="F1589" t="str">
        <f>VLOOKUP(E1589,country_continent!A:C,2,FALSE)</f>
        <v>Austria</v>
      </c>
      <c r="G1589" t="str">
        <f>VLOOKUP(E1589,country_continent!A:C,3,FALSE)</f>
        <v>Europe</v>
      </c>
      <c r="H1589" t="s">
        <v>6735</v>
      </c>
      <c r="I1589" s="1">
        <v>19451</v>
      </c>
      <c r="J1589" s="3">
        <f t="shared" si="72"/>
        <v>19451</v>
      </c>
      <c r="K1589" s="1">
        <v>22382</v>
      </c>
      <c r="L1589" s="3">
        <f t="shared" si="73"/>
        <v>22382</v>
      </c>
      <c r="M1589" t="s">
        <v>49</v>
      </c>
      <c r="N1589" t="s">
        <v>49</v>
      </c>
      <c r="O1589" t="s">
        <v>49</v>
      </c>
      <c r="P1589">
        <v>0</v>
      </c>
      <c r="Q1589" t="s">
        <v>50</v>
      </c>
      <c r="R1589" t="s">
        <v>51</v>
      </c>
      <c r="S1589">
        <v>1891</v>
      </c>
      <c r="T1589">
        <v>1964</v>
      </c>
      <c r="U1589" t="s">
        <v>6736</v>
      </c>
      <c r="V1589" t="s">
        <v>6737</v>
      </c>
      <c r="Z1589">
        <v>0</v>
      </c>
      <c r="AA1589">
        <v>1</v>
      </c>
      <c r="AB1589">
        <v>0</v>
      </c>
      <c r="AC1589">
        <v>0</v>
      </c>
      <c r="AF1589">
        <v>1953</v>
      </c>
      <c r="AG1589">
        <v>1961</v>
      </c>
      <c r="AH1589">
        <v>0.46335132991724398</v>
      </c>
      <c r="AJ1589">
        <v>3.2219679561588701</v>
      </c>
      <c r="AK1589">
        <v>24.6</v>
      </c>
      <c r="AL1589">
        <v>1.9897400460104</v>
      </c>
      <c r="AN1589">
        <v>10</v>
      </c>
      <c r="AO1589" t="b">
        <v>0</v>
      </c>
      <c r="AT1589">
        <v>2931</v>
      </c>
      <c r="AU1589">
        <f t="shared" si="74"/>
        <v>8.0299999999999994</v>
      </c>
    </row>
    <row r="1590" spans="1:47" x14ac:dyDescent="0.3">
      <c r="A1590">
        <v>1588</v>
      </c>
      <c r="B1590" t="s">
        <v>6738</v>
      </c>
      <c r="C1590" t="s">
        <v>6739</v>
      </c>
      <c r="D1590">
        <v>305</v>
      </c>
      <c r="E1590" t="s">
        <v>6675</v>
      </c>
      <c r="F1590" t="str">
        <f>VLOOKUP(E1590,country_continent!A:C,2,FALSE)</f>
        <v>Austria</v>
      </c>
      <c r="G1590" t="str">
        <f>VLOOKUP(E1590,country_continent!A:C,3,FALSE)</f>
        <v>Europe</v>
      </c>
      <c r="H1590" t="s">
        <v>6740</v>
      </c>
      <c r="I1590" s="1">
        <v>22382</v>
      </c>
      <c r="J1590" s="3">
        <f t="shared" si="72"/>
        <v>22382</v>
      </c>
      <c r="K1590" s="1">
        <v>23432</v>
      </c>
      <c r="L1590" s="3">
        <f t="shared" si="73"/>
        <v>23432</v>
      </c>
      <c r="M1590" t="s">
        <v>49</v>
      </c>
      <c r="N1590" t="s">
        <v>49</v>
      </c>
      <c r="O1590" t="s">
        <v>49</v>
      </c>
      <c r="P1590">
        <v>0</v>
      </c>
      <c r="Q1590" t="s">
        <v>50</v>
      </c>
      <c r="R1590" t="s">
        <v>51</v>
      </c>
      <c r="S1590">
        <v>1898</v>
      </c>
      <c r="T1590">
        <v>1972</v>
      </c>
      <c r="U1590" t="s">
        <v>6741</v>
      </c>
      <c r="V1590" t="s">
        <v>6742</v>
      </c>
      <c r="Y1590" t="s">
        <v>6743</v>
      </c>
      <c r="Z1590">
        <v>0</v>
      </c>
      <c r="AA1590">
        <v>1</v>
      </c>
      <c r="AB1590">
        <v>0</v>
      </c>
      <c r="AC1590">
        <v>0</v>
      </c>
      <c r="AF1590">
        <v>1961</v>
      </c>
      <c r="AG1590">
        <v>1964</v>
      </c>
      <c r="AH1590">
        <v>2.1037820092608199</v>
      </c>
      <c r="AI1590">
        <v>1983.3333333333301</v>
      </c>
      <c r="AJ1590">
        <v>2.0548373370155999</v>
      </c>
      <c r="AK1590">
        <v>23.475000000000001</v>
      </c>
      <c r="AL1590">
        <v>2.07763758633308</v>
      </c>
      <c r="AN1590">
        <v>10</v>
      </c>
      <c r="AO1590" t="b">
        <v>0</v>
      </c>
      <c r="AT1590">
        <v>1050</v>
      </c>
      <c r="AU1590">
        <f t="shared" si="74"/>
        <v>2.8769999999999998</v>
      </c>
    </row>
    <row r="1591" spans="1:47" x14ac:dyDescent="0.3">
      <c r="A1591">
        <v>1589</v>
      </c>
      <c r="B1591" t="s">
        <v>6744</v>
      </c>
      <c r="C1591" t="s">
        <v>6745</v>
      </c>
      <c r="D1591">
        <v>305</v>
      </c>
      <c r="E1591" t="s">
        <v>6675</v>
      </c>
      <c r="F1591" t="str">
        <f>VLOOKUP(E1591,country_continent!A:C,2,FALSE)</f>
        <v>Austria</v>
      </c>
      <c r="G1591" t="str">
        <f>VLOOKUP(E1591,country_continent!A:C,3,FALSE)</f>
        <v>Europe</v>
      </c>
      <c r="H1591" t="s">
        <v>6746</v>
      </c>
      <c r="I1591" s="1">
        <v>23469</v>
      </c>
      <c r="J1591" s="3">
        <f t="shared" si="72"/>
        <v>23469</v>
      </c>
      <c r="K1591" s="1">
        <v>25630</v>
      </c>
      <c r="L1591" s="3">
        <f t="shared" si="73"/>
        <v>25630</v>
      </c>
      <c r="M1591" t="s">
        <v>49</v>
      </c>
      <c r="N1591" t="s">
        <v>49</v>
      </c>
      <c r="O1591" t="s">
        <v>49</v>
      </c>
      <c r="P1591">
        <v>0</v>
      </c>
      <c r="Q1591" t="s">
        <v>50</v>
      </c>
      <c r="R1591" t="s">
        <v>51</v>
      </c>
      <c r="S1591">
        <v>1910</v>
      </c>
      <c r="T1591">
        <v>2001</v>
      </c>
      <c r="U1591" s="1">
        <v>3880</v>
      </c>
      <c r="V1591" s="2">
        <v>3880</v>
      </c>
      <c r="W1591" s="1">
        <v>37097</v>
      </c>
      <c r="X1591" s="2">
        <v>37097</v>
      </c>
      <c r="Y1591" t="s">
        <v>6747</v>
      </c>
      <c r="Z1591">
        <v>0</v>
      </c>
      <c r="AA1591">
        <v>1</v>
      </c>
      <c r="AB1591">
        <v>0</v>
      </c>
      <c r="AC1591">
        <v>0</v>
      </c>
      <c r="AF1591">
        <v>1964</v>
      </c>
      <c r="AG1591">
        <v>1970</v>
      </c>
      <c r="AH1591">
        <v>3.8618574171321902</v>
      </c>
      <c r="AI1591">
        <v>2607.1428571428501</v>
      </c>
      <c r="AJ1591">
        <v>3.7079975001459098</v>
      </c>
      <c r="AK1591">
        <v>22.0571428571428</v>
      </c>
      <c r="AL1591">
        <v>1.8992718757751399</v>
      </c>
      <c r="AM1591">
        <v>1.8257326182789599</v>
      </c>
      <c r="AN1591">
        <v>10</v>
      </c>
      <c r="AO1591" t="b">
        <v>0</v>
      </c>
      <c r="AT1591">
        <v>2161</v>
      </c>
      <c r="AU1591">
        <f t="shared" si="74"/>
        <v>5.9210000000000003</v>
      </c>
    </row>
    <row r="1592" spans="1:47" x14ac:dyDescent="0.3">
      <c r="A1592">
        <v>1590</v>
      </c>
      <c r="B1592" t="s">
        <v>6748</v>
      </c>
      <c r="C1592" t="s">
        <v>6749</v>
      </c>
      <c r="D1592">
        <v>305</v>
      </c>
      <c r="E1592" t="s">
        <v>6675</v>
      </c>
      <c r="F1592" t="str">
        <f>VLOOKUP(E1592,country_continent!A:C,2,FALSE)</f>
        <v>Austria</v>
      </c>
      <c r="G1592" t="str">
        <f>VLOOKUP(E1592,country_continent!A:C,3,FALSE)</f>
        <v>Europe</v>
      </c>
      <c r="H1592" t="s">
        <v>6750</v>
      </c>
      <c r="I1592" s="1">
        <v>25678</v>
      </c>
      <c r="J1592" s="3">
        <f t="shared" si="72"/>
        <v>25678</v>
      </c>
      <c r="K1592" s="1">
        <v>30460</v>
      </c>
      <c r="L1592" s="3">
        <f t="shared" si="73"/>
        <v>30460</v>
      </c>
      <c r="M1592" t="s">
        <v>49</v>
      </c>
      <c r="N1592" t="s">
        <v>49</v>
      </c>
      <c r="O1592" t="s">
        <v>49</v>
      </c>
      <c r="P1592">
        <v>0</v>
      </c>
      <c r="Q1592" t="s">
        <v>50</v>
      </c>
      <c r="R1592" t="s">
        <v>51</v>
      </c>
      <c r="S1592">
        <v>1911</v>
      </c>
      <c r="T1592">
        <v>1990</v>
      </c>
      <c r="U1592" s="1">
        <v>4040</v>
      </c>
      <c r="V1592" s="2">
        <v>4040</v>
      </c>
      <c r="W1592" s="1">
        <v>33083</v>
      </c>
      <c r="X1592" s="2">
        <v>33083</v>
      </c>
      <c r="Y1592" t="s">
        <v>6751</v>
      </c>
      <c r="Z1592">
        <v>0</v>
      </c>
      <c r="AA1592">
        <v>1</v>
      </c>
      <c r="AB1592">
        <v>0</v>
      </c>
      <c r="AC1592">
        <v>0</v>
      </c>
      <c r="AF1592">
        <v>1970</v>
      </c>
      <c r="AG1592">
        <v>1983</v>
      </c>
      <c r="AH1592">
        <v>1.3207481524953999</v>
      </c>
      <c r="AI1592">
        <v>7772.8571428571404</v>
      </c>
      <c r="AJ1592">
        <v>10.148261051252801</v>
      </c>
      <c r="AK1592">
        <v>16.214285714285701</v>
      </c>
      <c r="AL1592">
        <v>1.6239780333317599</v>
      </c>
      <c r="AM1592">
        <v>4.0890589467409999</v>
      </c>
      <c r="AN1592">
        <v>10</v>
      </c>
      <c r="AO1592" t="b">
        <v>0</v>
      </c>
      <c r="AT1592">
        <v>4782</v>
      </c>
      <c r="AU1592">
        <f t="shared" si="74"/>
        <v>13.101000000000001</v>
      </c>
    </row>
    <row r="1593" spans="1:47" x14ac:dyDescent="0.3">
      <c r="A1593">
        <v>1591</v>
      </c>
      <c r="B1593" t="s">
        <v>6752</v>
      </c>
      <c r="C1593" t="s">
        <v>6753</v>
      </c>
      <c r="D1593">
        <v>305</v>
      </c>
      <c r="E1593" t="s">
        <v>6675</v>
      </c>
      <c r="F1593" t="str">
        <f>VLOOKUP(E1593,country_continent!A:C,2,FALSE)</f>
        <v>Austria</v>
      </c>
      <c r="G1593" t="str">
        <f>VLOOKUP(E1593,country_continent!A:C,3,FALSE)</f>
        <v>Europe</v>
      </c>
      <c r="H1593" t="s">
        <v>6754</v>
      </c>
      <c r="I1593" s="1">
        <v>30460</v>
      </c>
      <c r="J1593" s="3">
        <f t="shared" si="72"/>
        <v>30460</v>
      </c>
      <c r="K1593" s="1">
        <v>31579</v>
      </c>
      <c r="L1593" s="3">
        <f t="shared" si="73"/>
        <v>31579</v>
      </c>
      <c r="M1593" t="s">
        <v>49</v>
      </c>
      <c r="N1593" t="s">
        <v>49</v>
      </c>
      <c r="O1593" t="s">
        <v>49</v>
      </c>
      <c r="P1593">
        <v>0</v>
      </c>
      <c r="Q1593" t="s">
        <v>50</v>
      </c>
      <c r="R1593" t="s">
        <v>51</v>
      </c>
      <c r="S1593">
        <v>1929</v>
      </c>
      <c r="T1593">
        <v>-777</v>
      </c>
      <c r="U1593" s="1">
        <v>10629</v>
      </c>
      <c r="V1593" s="2">
        <v>10629</v>
      </c>
      <c r="Z1593">
        <v>0</v>
      </c>
      <c r="AA1593">
        <v>1</v>
      </c>
      <c r="AB1593">
        <v>0</v>
      </c>
      <c r="AC1593">
        <v>0</v>
      </c>
      <c r="AF1593">
        <v>1983</v>
      </c>
      <c r="AG1593">
        <v>1986</v>
      </c>
      <c r="AH1593">
        <v>1.53772050724856</v>
      </c>
      <c r="AI1593">
        <v>11967.5</v>
      </c>
      <c r="AJ1593">
        <v>7.3121949979301304</v>
      </c>
      <c r="AK1593">
        <v>11.45</v>
      </c>
      <c r="AL1593">
        <v>1.33691078056254</v>
      </c>
      <c r="AM1593">
        <v>4.1352400620369503</v>
      </c>
      <c r="AN1593">
        <v>10</v>
      </c>
      <c r="AO1593" t="b">
        <v>0</v>
      </c>
      <c r="AT1593">
        <v>1119</v>
      </c>
      <c r="AU1593">
        <f t="shared" si="74"/>
        <v>3.0659999999999998</v>
      </c>
    </row>
    <row r="1594" spans="1:47" x14ac:dyDescent="0.3">
      <c r="A1594">
        <v>1592</v>
      </c>
      <c r="B1594" t="s">
        <v>6755</v>
      </c>
      <c r="C1594" t="s">
        <v>6756</v>
      </c>
      <c r="D1594">
        <v>305</v>
      </c>
      <c r="E1594" t="s">
        <v>6675</v>
      </c>
      <c r="F1594" t="str">
        <f>VLOOKUP(E1594,country_continent!A:C,2,FALSE)</f>
        <v>Austria</v>
      </c>
      <c r="G1594" t="str">
        <f>VLOOKUP(E1594,country_continent!A:C,3,FALSE)</f>
        <v>Europe</v>
      </c>
      <c r="H1594" t="s">
        <v>6757</v>
      </c>
      <c r="I1594" s="1">
        <v>31579</v>
      </c>
      <c r="J1594" s="3">
        <f t="shared" si="72"/>
        <v>31579</v>
      </c>
      <c r="K1594" s="1">
        <v>35458</v>
      </c>
      <c r="L1594" s="3">
        <f t="shared" si="73"/>
        <v>35458</v>
      </c>
      <c r="M1594" t="s">
        <v>49</v>
      </c>
      <c r="N1594" t="s">
        <v>49</v>
      </c>
      <c r="O1594" t="s">
        <v>49</v>
      </c>
      <c r="P1594">
        <v>0</v>
      </c>
      <c r="Q1594" t="s">
        <v>50</v>
      </c>
      <c r="R1594" t="s">
        <v>51</v>
      </c>
      <c r="S1594">
        <v>1937</v>
      </c>
      <c r="T1594">
        <v>-777</v>
      </c>
      <c r="U1594" s="1">
        <v>13792</v>
      </c>
      <c r="V1594" s="2">
        <v>13792</v>
      </c>
      <c r="Y1594" t="s">
        <v>6758</v>
      </c>
      <c r="Z1594">
        <v>0</v>
      </c>
      <c r="AA1594">
        <v>1</v>
      </c>
      <c r="AB1594">
        <v>0</v>
      </c>
      <c r="AC1594">
        <v>0</v>
      </c>
      <c r="AF1594">
        <v>1986</v>
      </c>
      <c r="AG1594">
        <v>1997</v>
      </c>
      <c r="AH1594">
        <v>1.96898991346969</v>
      </c>
      <c r="AI1594">
        <v>17388.333333333299</v>
      </c>
      <c r="AJ1594">
        <v>4.0615638185857996</v>
      </c>
      <c r="AK1594">
        <v>8.5833333333333304</v>
      </c>
      <c r="AL1594">
        <v>1.28609977435578</v>
      </c>
      <c r="AM1594">
        <v>2.7390741480187999</v>
      </c>
      <c r="AN1594">
        <v>10</v>
      </c>
      <c r="AO1594" t="b">
        <v>0</v>
      </c>
      <c r="AT1594">
        <v>3879</v>
      </c>
      <c r="AU1594">
        <f t="shared" si="74"/>
        <v>10.627000000000001</v>
      </c>
    </row>
    <row r="1595" spans="1:47" x14ac:dyDescent="0.3">
      <c r="A1595">
        <v>1593</v>
      </c>
      <c r="B1595" t="s">
        <v>6759</v>
      </c>
      <c r="C1595" t="s">
        <v>6760</v>
      </c>
      <c r="D1595">
        <v>305</v>
      </c>
      <c r="E1595" t="s">
        <v>6675</v>
      </c>
      <c r="F1595" t="str">
        <f>VLOOKUP(E1595,country_continent!A:C,2,FALSE)</f>
        <v>Austria</v>
      </c>
      <c r="G1595" t="str">
        <f>VLOOKUP(E1595,country_continent!A:C,3,FALSE)</f>
        <v>Europe</v>
      </c>
      <c r="H1595" t="s">
        <v>6761</v>
      </c>
      <c r="I1595" s="1">
        <v>35458</v>
      </c>
      <c r="J1595" s="3">
        <f t="shared" si="72"/>
        <v>35458</v>
      </c>
      <c r="K1595" s="1">
        <v>36560</v>
      </c>
      <c r="L1595" s="3">
        <f t="shared" si="73"/>
        <v>36560</v>
      </c>
      <c r="M1595" t="s">
        <v>49</v>
      </c>
      <c r="N1595" t="s">
        <v>49</v>
      </c>
      <c r="O1595" t="s">
        <v>49</v>
      </c>
      <c r="P1595">
        <v>0</v>
      </c>
      <c r="Q1595" t="s">
        <v>50</v>
      </c>
      <c r="R1595" t="s">
        <v>51</v>
      </c>
      <c r="S1595">
        <v>1947</v>
      </c>
      <c r="T1595">
        <v>-777</v>
      </c>
      <c r="U1595" s="1">
        <v>17322</v>
      </c>
      <c r="V1595" s="2">
        <v>17322</v>
      </c>
      <c r="Y1595" t="s">
        <v>6762</v>
      </c>
      <c r="Z1595">
        <v>0</v>
      </c>
      <c r="AA1595">
        <v>1</v>
      </c>
      <c r="AB1595">
        <v>0</v>
      </c>
      <c r="AC1595">
        <v>0</v>
      </c>
      <c r="AF1595">
        <v>1997</v>
      </c>
      <c r="AG1595">
        <v>2000</v>
      </c>
      <c r="AH1595">
        <v>3.2610014236777398</v>
      </c>
      <c r="AI1595">
        <v>21722.5</v>
      </c>
      <c r="AJ1595">
        <v>1.3586409927709799</v>
      </c>
      <c r="AK1595">
        <v>6.375</v>
      </c>
      <c r="AL1595">
        <v>1.07930582295428</v>
      </c>
      <c r="AM1595">
        <v>2.0762024565959298</v>
      </c>
      <c r="AN1595">
        <v>10</v>
      </c>
      <c r="AO1595" t="b">
        <v>0</v>
      </c>
      <c r="AT1595">
        <v>1102</v>
      </c>
      <c r="AU1595">
        <f t="shared" si="74"/>
        <v>3.0190000000000001</v>
      </c>
    </row>
    <row r="1596" spans="1:47" x14ac:dyDescent="0.3">
      <c r="A1596">
        <v>1594</v>
      </c>
      <c r="B1596" t="s">
        <v>6763</v>
      </c>
      <c r="C1596" t="s">
        <v>6764</v>
      </c>
      <c r="D1596">
        <v>305</v>
      </c>
      <c r="E1596" t="s">
        <v>6675</v>
      </c>
      <c r="F1596" t="str">
        <f>VLOOKUP(E1596,country_continent!A:C,2,FALSE)</f>
        <v>Austria</v>
      </c>
      <c r="G1596" t="str">
        <f>VLOOKUP(E1596,country_continent!A:C,3,FALSE)</f>
        <v>Europe</v>
      </c>
      <c r="H1596" t="s">
        <v>6765</v>
      </c>
      <c r="I1596" s="1">
        <v>36561</v>
      </c>
      <c r="J1596" s="3">
        <f t="shared" si="72"/>
        <v>36561</v>
      </c>
      <c r="K1596" s="1">
        <v>39093</v>
      </c>
      <c r="L1596" s="3">
        <f t="shared" si="73"/>
        <v>39093</v>
      </c>
      <c r="M1596" t="s">
        <v>49</v>
      </c>
      <c r="N1596" t="s">
        <v>49</v>
      </c>
      <c r="O1596" t="s">
        <v>49</v>
      </c>
      <c r="P1596">
        <v>0</v>
      </c>
      <c r="Q1596" t="s">
        <v>50</v>
      </c>
      <c r="R1596" t="s">
        <v>51</v>
      </c>
      <c r="S1596">
        <v>1945</v>
      </c>
      <c r="T1596">
        <v>-777</v>
      </c>
      <c r="U1596" s="1">
        <v>16595</v>
      </c>
      <c r="V1596" s="2">
        <v>16595</v>
      </c>
      <c r="Y1596" t="s">
        <v>6766</v>
      </c>
      <c r="Z1596">
        <v>0</v>
      </c>
      <c r="AA1596">
        <v>1</v>
      </c>
      <c r="AB1596">
        <v>0</v>
      </c>
      <c r="AC1596">
        <v>0</v>
      </c>
      <c r="AF1596">
        <v>2000</v>
      </c>
      <c r="AG1596">
        <v>2007</v>
      </c>
      <c r="AH1596">
        <v>2.0592934311125499</v>
      </c>
      <c r="AI1596">
        <v>26475</v>
      </c>
      <c r="AJ1596">
        <v>3.7708221164181399</v>
      </c>
      <c r="AK1596">
        <v>5.8375000000000004</v>
      </c>
      <c r="AL1596">
        <v>1.2721386113750199</v>
      </c>
      <c r="AM1596">
        <v>3.8332053782548501</v>
      </c>
      <c r="AN1596">
        <v>10</v>
      </c>
      <c r="AO1596" t="b">
        <v>0</v>
      </c>
      <c r="AT1596">
        <v>2532</v>
      </c>
      <c r="AU1596">
        <f t="shared" si="74"/>
        <v>6.9370000000000003</v>
      </c>
    </row>
    <row r="1597" spans="1:47" x14ac:dyDescent="0.3">
      <c r="A1597">
        <v>1595</v>
      </c>
      <c r="B1597" t="s">
        <v>6767</v>
      </c>
      <c r="C1597" t="s">
        <v>6768</v>
      </c>
      <c r="D1597">
        <v>305</v>
      </c>
      <c r="E1597" t="s">
        <v>6675</v>
      </c>
      <c r="F1597" t="str">
        <f>VLOOKUP(E1597,country_continent!A:C,2,FALSE)</f>
        <v>Austria</v>
      </c>
      <c r="G1597" t="str">
        <f>VLOOKUP(E1597,country_continent!A:C,3,FALSE)</f>
        <v>Europe</v>
      </c>
      <c r="H1597" t="s">
        <v>6769</v>
      </c>
      <c r="I1597" s="1">
        <v>39093</v>
      </c>
      <c r="J1597" s="3">
        <f t="shared" si="72"/>
        <v>39093</v>
      </c>
      <c r="K1597" s="1">
        <v>39784</v>
      </c>
      <c r="L1597" s="3">
        <f t="shared" si="73"/>
        <v>39784</v>
      </c>
      <c r="M1597" t="s">
        <v>49</v>
      </c>
      <c r="N1597" t="s">
        <v>49</v>
      </c>
      <c r="O1597" t="s">
        <v>49</v>
      </c>
      <c r="P1597">
        <v>0</v>
      </c>
      <c r="Q1597" t="s">
        <v>50</v>
      </c>
      <c r="R1597" t="s">
        <v>51</v>
      </c>
      <c r="S1597">
        <v>1960</v>
      </c>
      <c r="T1597">
        <v>-777</v>
      </c>
      <c r="Z1597">
        <v>0</v>
      </c>
      <c r="AA1597">
        <v>1</v>
      </c>
      <c r="AB1597">
        <v>0</v>
      </c>
      <c r="AC1597">
        <v>0</v>
      </c>
      <c r="AF1597">
        <v>2007</v>
      </c>
      <c r="AG1597">
        <v>2008</v>
      </c>
      <c r="AH1597">
        <v>1.7138943870146599</v>
      </c>
      <c r="AI1597">
        <v>39900</v>
      </c>
      <c r="AJ1597">
        <v>4.7779173196230103</v>
      </c>
      <c r="AK1597">
        <v>5.3</v>
      </c>
      <c r="AL1597">
        <v>1.9144541002676301</v>
      </c>
      <c r="AM1597">
        <v>7.5204002285177998</v>
      </c>
      <c r="AN1597">
        <v>10</v>
      </c>
      <c r="AO1597" t="b">
        <v>0</v>
      </c>
      <c r="AT1597">
        <v>691</v>
      </c>
      <c r="AU1597">
        <f t="shared" si="74"/>
        <v>1.893</v>
      </c>
    </row>
    <row r="1598" spans="1:47" x14ac:dyDescent="0.3">
      <c r="A1598">
        <v>1596</v>
      </c>
      <c r="B1598" t="s">
        <v>6770</v>
      </c>
      <c r="C1598" t="s">
        <v>6771</v>
      </c>
      <c r="D1598">
        <v>305</v>
      </c>
      <c r="E1598" t="s">
        <v>6675</v>
      </c>
      <c r="F1598" t="str">
        <f>VLOOKUP(E1598,country_continent!A:C,2,FALSE)</f>
        <v>Austria</v>
      </c>
      <c r="G1598" t="str">
        <f>VLOOKUP(E1598,country_continent!A:C,3,FALSE)</f>
        <v>Europe</v>
      </c>
      <c r="H1598" t="s">
        <v>6772</v>
      </c>
      <c r="I1598" s="1">
        <v>39784</v>
      </c>
      <c r="J1598" s="3">
        <f t="shared" si="72"/>
        <v>39784</v>
      </c>
      <c r="K1598" s="1">
        <v>42369</v>
      </c>
      <c r="L1598" s="3">
        <f t="shared" si="73"/>
        <v>42369</v>
      </c>
      <c r="M1598" t="s">
        <v>49</v>
      </c>
      <c r="N1598" t="s">
        <v>173</v>
      </c>
      <c r="O1598" t="s">
        <v>173</v>
      </c>
      <c r="P1598">
        <v>0</v>
      </c>
      <c r="Q1598" t="s">
        <v>174</v>
      </c>
      <c r="R1598" t="s">
        <v>51</v>
      </c>
      <c r="S1598">
        <v>1960</v>
      </c>
      <c r="T1598">
        <v>-777</v>
      </c>
      <c r="U1598" s="1">
        <v>22040</v>
      </c>
      <c r="V1598" s="2">
        <v>22040</v>
      </c>
      <c r="Z1598">
        <v>0</v>
      </c>
      <c r="AA1598">
        <v>-888</v>
      </c>
      <c r="AB1598">
        <v>-888</v>
      </c>
      <c r="AC1598">
        <v>-888</v>
      </c>
      <c r="AF1598">
        <v>2008</v>
      </c>
      <c r="AG1598">
        <v>2015</v>
      </c>
      <c r="AH1598">
        <v>0.96966212967777199</v>
      </c>
      <c r="AI1598">
        <v>54472.5</v>
      </c>
      <c r="AJ1598">
        <v>2.4122933846777901</v>
      </c>
      <c r="AK1598">
        <v>4.4749999999999996</v>
      </c>
      <c r="AL1598">
        <v>1.6759665910080901</v>
      </c>
      <c r="AM1598">
        <v>6.1126452635389796</v>
      </c>
      <c r="AN1598">
        <v>10</v>
      </c>
      <c r="AO1598" t="b">
        <v>0</v>
      </c>
      <c r="AT1598">
        <v>2585</v>
      </c>
      <c r="AU1598">
        <f t="shared" si="74"/>
        <v>7.0819999999999999</v>
      </c>
    </row>
    <row r="1599" spans="1:47" x14ac:dyDescent="0.3">
      <c r="A1599">
        <v>1597</v>
      </c>
      <c r="B1599" t="s">
        <v>6773</v>
      </c>
      <c r="C1599" t="s">
        <v>6774</v>
      </c>
      <c r="D1599">
        <v>310</v>
      </c>
      <c r="E1599" t="s">
        <v>6775</v>
      </c>
      <c r="F1599" t="str">
        <f>VLOOKUP(E1599,country_continent!A:C,2,FALSE)</f>
        <v>Hungary</v>
      </c>
      <c r="G1599" t="str">
        <f>VLOOKUP(E1599,country_continent!A:C,3,FALSE)</f>
        <v>Europe</v>
      </c>
      <c r="H1599" t="s">
        <v>6776</v>
      </c>
      <c r="I1599" s="1">
        <v>6895</v>
      </c>
      <c r="J1599" s="3">
        <f t="shared" si="72"/>
        <v>6895</v>
      </c>
      <c r="K1599" s="1">
        <v>7020</v>
      </c>
      <c r="L1599" s="3">
        <f t="shared" si="73"/>
        <v>7020</v>
      </c>
      <c r="M1599" t="s">
        <v>49</v>
      </c>
      <c r="N1599" t="s">
        <v>67</v>
      </c>
      <c r="O1599" t="s">
        <v>645</v>
      </c>
      <c r="P1599">
        <v>0</v>
      </c>
      <c r="Q1599" t="s">
        <v>362</v>
      </c>
      <c r="R1599" t="s">
        <v>51</v>
      </c>
      <c r="S1599">
        <v>1875</v>
      </c>
      <c r="T1599">
        <v>1955</v>
      </c>
      <c r="U1599" t="s">
        <v>6777</v>
      </c>
      <c r="V1599" t="s">
        <v>6778</v>
      </c>
      <c r="Y1599" t="s">
        <v>6779</v>
      </c>
      <c r="Z1599">
        <v>0</v>
      </c>
      <c r="AA1599">
        <v>3</v>
      </c>
      <c r="AB1599">
        <v>3</v>
      </c>
      <c r="AC1599">
        <v>1</v>
      </c>
      <c r="AF1599">
        <v>1918</v>
      </c>
      <c r="AG1599">
        <v>1919</v>
      </c>
      <c r="AO1599" t="b">
        <v>0</v>
      </c>
      <c r="AT1599">
        <v>125</v>
      </c>
      <c r="AU1599">
        <f t="shared" si="74"/>
        <v>0.34200000000000003</v>
      </c>
    </row>
    <row r="1600" spans="1:47" x14ac:dyDescent="0.3">
      <c r="A1600">
        <v>1598</v>
      </c>
      <c r="B1600" t="s">
        <v>6780</v>
      </c>
      <c r="C1600" t="s">
        <v>6781</v>
      </c>
      <c r="D1600">
        <v>310</v>
      </c>
      <c r="E1600" t="s">
        <v>6775</v>
      </c>
      <c r="F1600" t="str">
        <f>VLOOKUP(E1600,country_continent!A:C,2,FALSE)</f>
        <v>Hungary</v>
      </c>
      <c r="G1600" t="str">
        <f>VLOOKUP(E1600,country_continent!A:C,3,FALSE)</f>
        <v>Europe</v>
      </c>
      <c r="H1600" t="s">
        <v>6782</v>
      </c>
      <c r="I1600" s="1">
        <v>7020</v>
      </c>
      <c r="J1600" s="3">
        <f t="shared" si="72"/>
        <v>7020</v>
      </c>
      <c r="K1600" s="1">
        <v>7153</v>
      </c>
      <c r="L1600" s="3">
        <f t="shared" si="73"/>
        <v>7153</v>
      </c>
      <c r="M1600" t="s">
        <v>67</v>
      </c>
      <c r="N1600" t="s">
        <v>633</v>
      </c>
      <c r="O1600" t="s">
        <v>634</v>
      </c>
      <c r="P1600">
        <v>0</v>
      </c>
      <c r="Q1600" t="s">
        <v>362</v>
      </c>
      <c r="R1600" t="s">
        <v>51</v>
      </c>
      <c r="S1600">
        <v>1886</v>
      </c>
      <c r="T1600">
        <v>1939</v>
      </c>
      <c r="U1600" t="s">
        <v>6783</v>
      </c>
      <c r="V1600" t="s">
        <v>6784</v>
      </c>
      <c r="W1600" s="1">
        <v>14579</v>
      </c>
      <c r="X1600" s="2">
        <v>14579</v>
      </c>
      <c r="Z1600">
        <v>1</v>
      </c>
      <c r="AA1600">
        <v>4</v>
      </c>
      <c r="AB1600">
        <v>9</v>
      </c>
      <c r="AC1600">
        <v>1</v>
      </c>
      <c r="AF1600">
        <v>1919</v>
      </c>
      <c r="AG1600">
        <v>1919</v>
      </c>
      <c r="AO1600" t="b">
        <v>0</v>
      </c>
      <c r="AT1600">
        <v>133</v>
      </c>
      <c r="AU1600">
        <f t="shared" si="74"/>
        <v>0.36399999999999999</v>
      </c>
    </row>
    <row r="1601" spans="1:47" x14ac:dyDescent="0.3">
      <c r="A1601">
        <v>1599</v>
      </c>
      <c r="B1601" t="s">
        <v>6785</v>
      </c>
      <c r="C1601" t="s">
        <v>6786</v>
      </c>
      <c r="D1601">
        <v>310</v>
      </c>
      <c r="E1601" t="s">
        <v>6775</v>
      </c>
      <c r="F1601" t="str">
        <f>VLOOKUP(E1601,country_continent!A:C,2,FALSE)</f>
        <v>Hungary</v>
      </c>
      <c r="G1601" t="str">
        <f>VLOOKUP(E1601,country_continent!A:C,3,FALSE)</f>
        <v>Europe</v>
      </c>
      <c r="H1601" t="s">
        <v>6787</v>
      </c>
      <c r="I1601" s="1">
        <v>7153</v>
      </c>
      <c r="J1601" s="3">
        <f t="shared" si="72"/>
        <v>7153</v>
      </c>
      <c r="K1601" s="1">
        <v>7159</v>
      </c>
      <c r="L1601" s="3">
        <f t="shared" si="73"/>
        <v>7159</v>
      </c>
      <c r="M1601" t="s">
        <v>67</v>
      </c>
      <c r="N1601" t="s">
        <v>67</v>
      </c>
      <c r="O1601" t="s">
        <v>376</v>
      </c>
      <c r="P1601">
        <v>0</v>
      </c>
      <c r="Q1601" t="s">
        <v>362</v>
      </c>
      <c r="R1601" t="s">
        <v>51</v>
      </c>
      <c r="S1601">
        <v>1873</v>
      </c>
      <c r="T1601">
        <v>1943</v>
      </c>
      <c r="U1601" t="s">
        <v>6788</v>
      </c>
      <c r="V1601" t="s">
        <v>6789</v>
      </c>
      <c r="Y1601" t="s">
        <v>6790</v>
      </c>
      <c r="Z1601">
        <v>1</v>
      </c>
      <c r="AA1601">
        <v>3</v>
      </c>
      <c r="AB1601">
        <v>6</v>
      </c>
      <c r="AC1601">
        <v>1</v>
      </c>
      <c r="AF1601">
        <v>1919</v>
      </c>
      <c r="AG1601">
        <v>1919</v>
      </c>
      <c r="AO1601" t="b">
        <v>0</v>
      </c>
      <c r="AT1601">
        <v>6</v>
      </c>
      <c r="AU1601">
        <f t="shared" si="74"/>
        <v>1.6E-2</v>
      </c>
    </row>
    <row r="1602" spans="1:47" x14ac:dyDescent="0.3">
      <c r="A1602">
        <v>1600</v>
      </c>
      <c r="B1602" t="s">
        <v>6791</v>
      </c>
      <c r="C1602" t="s">
        <v>6792</v>
      </c>
      <c r="D1602">
        <v>310</v>
      </c>
      <c r="E1602" t="s">
        <v>6775</v>
      </c>
      <c r="F1602" t="str">
        <f>VLOOKUP(E1602,country_continent!A:C,2,FALSE)</f>
        <v>Hungary</v>
      </c>
      <c r="G1602" t="str">
        <f>VLOOKUP(E1602,country_continent!A:C,3,FALSE)</f>
        <v>Europe</v>
      </c>
      <c r="H1602" t="s">
        <v>5853</v>
      </c>
      <c r="I1602" s="1">
        <v>7159</v>
      </c>
      <c r="J1602" s="3">
        <f t="shared" si="72"/>
        <v>7159</v>
      </c>
      <c r="K1602" s="1">
        <v>7260</v>
      </c>
      <c r="L1602" s="3">
        <f t="shared" si="73"/>
        <v>7260</v>
      </c>
      <c r="M1602" t="s">
        <v>67</v>
      </c>
      <c r="N1602" t="s">
        <v>49</v>
      </c>
      <c r="O1602" t="s">
        <v>49</v>
      </c>
      <c r="P1602">
        <v>0</v>
      </c>
      <c r="Q1602" t="s">
        <v>50</v>
      </c>
      <c r="R1602" t="s">
        <v>51</v>
      </c>
      <c r="S1602">
        <v>1883</v>
      </c>
      <c r="T1602">
        <v>1951</v>
      </c>
      <c r="U1602" t="s">
        <v>6793</v>
      </c>
      <c r="V1602" t="s">
        <v>6794</v>
      </c>
      <c r="Z1602">
        <v>1</v>
      </c>
      <c r="AA1602">
        <v>1</v>
      </c>
      <c r="AB1602">
        <v>0</v>
      </c>
      <c r="AC1602">
        <v>0</v>
      </c>
      <c r="AF1602">
        <v>1919</v>
      </c>
      <c r="AG1602">
        <v>1919</v>
      </c>
      <c r="AO1602" t="b">
        <v>0</v>
      </c>
      <c r="AT1602">
        <v>101</v>
      </c>
      <c r="AU1602">
        <f t="shared" si="74"/>
        <v>0.27700000000000002</v>
      </c>
    </row>
    <row r="1603" spans="1:47" x14ac:dyDescent="0.3">
      <c r="A1603">
        <v>1601</v>
      </c>
      <c r="B1603" t="s">
        <v>6795</v>
      </c>
      <c r="C1603" t="s">
        <v>6796</v>
      </c>
      <c r="D1603">
        <v>310</v>
      </c>
      <c r="E1603" t="s">
        <v>6775</v>
      </c>
      <c r="F1603" t="str">
        <f>VLOOKUP(E1603,country_continent!A:C,2,FALSE)</f>
        <v>Hungary</v>
      </c>
      <c r="G1603" t="str">
        <f>VLOOKUP(E1603,country_continent!A:C,3,FALSE)</f>
        <v>Europe</v>
      </c>
      <c r="H1603" t="s">
        <v>6797</v>
      </c>
      <c r="I1603" s="1">
        <v>7267</v>
      </c>
      <c r="J1603" s="3">
        <f t="shared" ref="J1603:J1666" si="75">IF(ISNUMBER(SEARCH("-", I1603)), SUBSTITUTE(I1603, "-", "/"), I1603)</f>
        <v>7267</v>
      </c>
      <c r="K1603" s="1">
        <v>7366</v>
      </c>
      <c r="L1603" s="3">
        <f t="shared" ref="L1603:L1666" si="76">IF(ISNUMBER(SEARCH("-", K1603)), SUBSTITUTE(K1603, "-", "/"), K1603)</f>
        <v>7366</v>
      </c>
      <c r="M1603" t="s">
        <v>49</v>
      </c>
      <c r="N1603" t="s">
        <v>49</v>
      </c>
      <c r="O1603" t="s">
        <v>49</v>
      </c>
      <c r="P1603">
        <v>0</v>
      </c>
      <c r="Q1603" t="s">
        <v>50</v>
      </c>
      <c r="R1603" t="s">
        <v>51</v>
      </c>
      <c r="S1603">
        <v>1882</v>
      </c>
      <c r="T1603">
        <v>1941</v>
      </c>
      <c r="U1603" t="s">
        <v>6798</v>
      </c>
      <c r="V1603" t="s">
        <v>6799</v>
      </c>
      <c r="Z1603">
        <v>0</v>
      </c>
      <c r="AA1603">
        <v>1</v>
      </c>
      <c r="AB1603">
        <v>0</v>
      </c>
      <c r="AC1603">
        <v>0</v>
      </c>
      <c r="AF1603">
        <v>1919</v>
      </c>
      <c r="AG1603">
        <v>1920</v>
      </c>
      <c r="AO1603" t="b">
        <v>0</v>
      </c>
      <c r="AT1603">
        <v>99</v>
      </c>
      <c r="AU1603">
        <f t="shared" si="74"/>
        <v>0.27100000000000002</v>
      </c>
    </row>
    <row r="1604" spans="1:47" x14ac:dyDescent="0.3">
      <c r="A1604">
        <v>1602</v>
      </c>
      <c r="B1604" t="s">
        <v>6800</v>
      </c>
      <c r="C1604" t="s">
        <v>6801</v>
      </c>
      <c r="D1604">
        <v>310</v>
      </c>
      <c r="E1604" t="s">
        <v>6775</v>
      </c>
      <c r="F1604" t="str">
        <f>VLOOKUP(E1604,country_continent!A:C,2,FALSE)</f>
        <v>Hungary</v>
      </c>
      <c r="G1604" t="str">
        <f>VLOOKUP(E1604,country_continent!A:C,3,FALSE)</f>
        <v>Europe</v>
      </c>
      <c r="H1604" t="s">
        <v>6802</v>
      </c>
      <c r="I1604" s="1">
        <v>7366</v>
      </c>
      <c r="J1604" s="3">
        <f t="shared" si="75"/>
        <v>7366</v>
      </c>
      <c r="K1604" s="1">
        <v>16360</v>
      </c>
      <c r="L1604" s="3">
        <f t="shared" si="76"/>
        <v>16360</v>
      </c>
      <c r="M1604" t="s">
        <v>49</v>
      </c>
      <c r="N1604" t="s">
        <v>633</v>
      </c>
      <c r="O1604" t="s">
        <v>634</v>
      </c>
      <c r="P1604">
        <v>0</v>
      </c>
      <c r="Q1604" t="s">
        <v>463</v>
      </c>
      <c r="R1604" t="s">
        <v>51</v>
      </c>
      <c r="S1604">
        <v>1868</v>
      </c>
      <c r="T1604">
        <v>1957</v>
      </c>
      <c r="U1604" t="s">
        <v>6803</v>
      </c>
      <c r="V1604" t="s">
        <v>6804</v>
      </c>
      <c r="W1604" s="1">
        <v>20860</v>
      </c>
      <c r="X1604" s="2">
        <v>20860</v>
      </c>
      <c r="Y1604" t="s">
        <v>6805</v>
      </c>
      <c r="Z1604">
        <v>0</v>
      </c>
      <c r="AA1604">
        <v>4</v>
      </c>
      <c r="AB1604">
        <v>9</v>
      </c>
      <c r="AC1604">
        <v>2</v>
      </c>
      <c r="AF1604">
        <v>1920</v>
      </c>
      <c r="AG1604">
        <v>1944</v>
      </c>
      <c r="AO1604" t="b">
        <v>0</v>
      </c>
      <c r="AT1604">
        <v>8994</v>
      </c>
      <c r="AU1604">
        <f t="shared" ref="AU1604:AU1667" si="77">ROUND(AT1604/365,3)</f>
        <v>24.640999999999998</v>
      </c>
    </row>
    <row r="1605" spans="1:47" x14ac:dyDescent="0.3">
      <c r="A1605">
        <v>1603</v>
      </c>
      <c r="B1605" t="s">
        <v>6806</v>
      </c>
      <c r="C1605" t="s">
        <v>6807</v>
      </c>
      <c r="D1605">
        <v>310</v>
      </c>
      <c r="E1605" t="s">
        <v>6775</v>
      </c>
      <c r="F1605" t="str">
        <f>VLOOKUP(E1605,country_continent!A:C,2,FALSE)</f>
        <v>Hungary</v>
      </c>
      <c r="G1605" t="str">
        <f>VLOOKUP(E1605,country_continent!A:C,3,FALSE)</f>
        <v>Europe</v>
      </c>
      <c r="H1605" t="s">
        <v>6808</v>
      </c>
      <c r="I1605" s="1">
        <v>16452</v>
      </c>
      <c r="J1605" s="3">
        <f t="shared" si="75"/>
        <v>16452</v>
      </c>
      <c r="K1605" s="1">
        <v>20651</v>
      </c>
      <c r="L1605" s="3">
        <f t="shared" si="76"/>
        <v>20651</v>
      </c>
      <c r="M1605" t="s">
        <v>67</v>
      </c>
      <c r="N1605" t="s">
        <v>67</v>
      </c>
      <c r="O1605" t="s">
        <v>2001</v>
      </c>
      <c r="P1605">
        <v>0</v>
      </c>
      <c r="Q1605" t="s">
        <v>362</v>
      </c>
      <c r="R1605" t="s">
        <v>51</v>
      </c>
      <c r="S1605">
        <v>1892</v>
      </c>
      <c r="T1605">
        <v>1971</v>
      </c>
      <c r="U1605" t="s">
        <v>6809</v>
      </c>
      <c r="V1605" t="s">
        <v>6810</v>
      </c>
      <c r="W1605" s="1">
        <v>25969</v>
      </c>
      <c r="X1605" s="2">
        <v>25969</v>
      </c>
      <c r="Y1605" t="s">
        <v>6811</v>
      </c>
      <c r="Z1605">
        <v>1</v>
      </c>
      <c r="AA1605">
        <v>3</v>
      </c>
      <c r="AB1605">
        <v>8</v>
      </c>
      <c r="AC1605">
        <v>1</v>
      </c>
      <c r="AF1605">
        <v>1945</v>
      </c>
      <c r="AG1605">
        <v>1956</v>
      </c>
      <c r="AN1605">
        <v>-6.6</v>
      </c>
      <c r="AO1605" t="b">
        <v>0</v>
      </c>
      <c r="AT1605">
        <v>4199</v>
      </c>
      <c r="AU1605">
        <f t="shared" si="77"/>
        <v>11.504</v>
      </c>
    </row>
    <row r="1606" spans="1:47" x14ac:dyDescent="0.3">
      <c r="A1606">
        <v>1604</v>
      </c>
      <c r="B1606" t="s">
        <v>6812</v>
      </c>
      <c r="C1606" t="s">
        <v>6813</v>
      </c>
      <c r="D1606">
        <v>310</v>
      </c>
      <c r="E1606" t="s">
        <v>6775</v>
      </c>
      <c r="F1606" t="str">
        <f>VLOOKUP(E1606,country_continent!A:C,2,FALSE)</f>
        <v>Hungary</v>
      </c>
      <c r="G1606" t="str">
        <f>VLOOKUP(E1606,country_continent!A:C,3,FALSE)</f>
        <v>Europe</v>
      </c>
      <c r="H1606" t="s">
        <v>6814</v>
      </c>
      <c r="I1606" s="1">
        <v>20654</v>
      </c>
      <c r="J1606" s="3">
        <f t="shared" si="75"/>
        <v>20654</v>
      </c>
      <c r="K1606" s="1">
        <v>20753</v>
      </c>
      <c r="L1606" s="3">
        <f t="shared" si="76"/>
        <v>20753</v>
      </c>
      <c r="M1606" t="s">
        <v>67</v>
      </c>
      <c r="N1606" t="s">
        <v>67</v>
      </c>
      <c r="O1606" t="s">
        <v>613</v>
      </c>
      <c r="P1606">
        <v>0</v>
      </c>
      <c r="Q1606" t="s">
        <v>362</v>
      </c>
      <c r="R1606" t="s">
        <v>51</v>
      </c>
      <c r="S1606">
        <v>1898</v>
      </c>
      <c r="T1606">
        <v>1980</v>
      </c>
      <c r="U1606" t="s">
        <v>6815</v>
      </c>
      <c r="V1606" t="s">
        <v>6816</v>
      </c>
      <c r="W1606" s="1">
        <v>29292</v>
      </c>
      <c r="X1606" s="2">
        <v>29292</v>
      </c>
      <c r="Z1606">
        <v>1</v>
      </c>
      <c r="AA1606">
        <v>3</v>
      </c>
      <c r="AB1606">
        <v>2</v>
      </c>
      <c r="AC1606">
        <v>1</v>
      </c>
      <c r="AF1606">
        <v>1956</v>
      </c>
      <c r="AG1606">
        <v>1956</v>
      </c>
      <c r="AO1606" t="b">
        <v>0</v>
      </c>
      <c r="AT1606">
        <v>99</v>
      </c>
      <c r="AU1606">
        <f t="shared" si="77"/>
        <v>0.27100000000000002</v>
      </c>
    </row>
    <row r="1607" spans="1:47" x14ac:dyDescent="0.3">
      <c r="A1607">
        <v>1605</v>
      </c>
      <c r="B1607" t="s">
        <v>6817</v>
      </c>
      <c r="C1607" t="s">
        <v>6818</v>
      </c>
      <c r="D1607">
        <v>310</v>
      </c>
      <c r="E1607" t="s">
        <v>6775</v>
      </c>
      <c r="F1607" t="str">
        <f>VLOOKUP(E1607,country_continent!A:C,2,FALSE)</f>
        <v>Hungary</v>
      </c>
      <c r="G1607" t="str">
        <f>VLOOKUP(E1607,country_continent!A:C,3,FALSE)</f>
        <v>Europe</v>
      </c>
      <c r="H1607" t="s">
        <v>6819</v>
      </c>
      <c r="I1607" s="1">
        <v>20753</v>
      </c>
      <c r="J1607" s="3">
        <f t="shared" si="75"/>
        <v>20753</v>
      </c>
      <c r="K1607" s="1">
        <v>20763</v>
      </c>
      <c r="L1607" s="3">
        <f t="shared" si="76"/>
        <v>20763</v>
      </c>
      <c r="M1607" t="s">
        <v>67</v>
      </c>
      <c r="N1607" t="s">
        <v>633</v>
      </c>
      <c r="O1607" t="s">
        <v>634</v>
      </c>
      <c r="P1607">
        <v>0</v>
      </c>
      <c r="Q1607" t="s">
        <v>463</v>
      </c>
      <c r="R1607" t="s">
        <v>51</v>
      </c>
      <c r="S1607">
        <v>1896</v>
      </c>
      <c r="T1607">
        <v>1958</v>
      </c>
      <c r="U1607" t="s">
        <v>6820</v>
      </c>
      <c r="V1607" t="s">
        <v>6821</v>
      </c>
      <c r="W1607" s="1">
        <v>21352</v>
      </c>
      <c r="X1607" s="2">
        <v>21352</v>
      </c>
      <c r="Y1607" t="s">
        <v>6822</v>
      </c>
      <c r="Z1607">
        <v>1</v>
      </c>
      <c r="AA1607">
        <v>4</v>
      </c>
      <c r="AB1607">
        <v>9</v>
      </c>
      <c r="AC1607">
        <v>2</v>
      </c>
      <c r="AF1607">
        <v>1956</v>
      </c>
      <c r="AG1607">
        <v>1956</v>
      </c>
      <c r="AO1607" t="b">
        <v>0</v>
      </c>
      <c r="AT1607">
        <v>10</v>
      </c>
      <c r="AU1607">
        <f t="shared" si="77"/>
        <v>2.7E-2</v>
      </c>
    </row>
    <row r="1608" spans="1:47" x14ac:dyDescent="0.3">
      <c r="A1608">
        <v>1606</v>
      </c>
      <c r="B1608" t="s">
        <v>6823</v>
      </c>
      <c r="C1608" t="s">
        <v>6824</v>
      </c>
      <c r="D1608">
        <v>310</v>
      </c>
      <c r="E1608" t="s">
        <v>6775</v>
      </c>
      <c r="F1608" t="str">
        <f>VLOOKUP(E1608,country_continent!A:C,2,FALSE)</f>
        <v>Hungary</v>
      </c>
      <c r="G1608" t="str">
        <f>VLOOKUP(E1608,country_continent!A:C,3,FALSE)</f>
        <v>Europe</v>
      </c>
      <c r="H1608" t="s">
        <v>6825</v>
      </c>
      <c r="I1608" s="1">
        <v>20763</v>
      </c>
      <c r="J1608" s="3">
        <f t="shared" si="75"/>
        <v>20763</v>
      </c>
      <c r="K1608" s="1">
        <v>32285</v>
      </c>
      <c r="L1608" s="3">
        <f t="shared" si="76"/>
        <v>32285</v>
      </c>
      <c r="M1608" t="s">
        <v>637</v>
      </c>
      <c r="N1608" t="s">
        <v>49</v>
      </c>
      <c r="O1608" t="s">
        <v>49</v>
      </c>
      <c r="P1608">
        <v>0</v>
      </c>
      <c r="Q1608" t="s">
        <v>50</v>
      </c>
      <c r="R1608" t="s">
        <v>51</v>
      </c>
      <c r="S1608">
        <v>1912</v>
      </c>
      <c r="T1608">
        <v>1989</v>
      </c>
      <c r="U1608" s="1">
        <v>4530</v>
      </c>
      <c r="V1608" s="2">
        <v>4530</v>
      </c>
      <c r="W1608" s="1">
        <v>32695</v>
      </c>
      <c r="X1608" s="2">
        <v>32695</v>
      </c>
      <c r="Y1608" t="s">
        <v>6826</v>
      </c>
      <c r="Z1608">
        <v>2</v>
      </c>
      <c r="AA1608">
        <v>1</v>
      </c>
      <c r="AB1608">
        <v>0</v>
      </c>
      <c r="AC1608">
        <v>0</v>
      </c>
      <c r="AF1608">
        <v>1956</v>
      </c>
      <c r="AG1608">
        <v>1988</v>
      </c>
      <c r="AH1608">
        <v>5.4550014179119399</v>
      </c>
      <c r="AI1608">
        <v>1652.10526315789</v>
      </c>
      <c r="AJ1608">
        <v>2.5303705074719902</v>
      </c>
      <c r="AK1608">
        <v>34.2206896551724</v>
      </c>
      <c r="AL1608">
        <v>0.21281285309356299</v>
      </c>
      <c r="AN1608">
        <v>-6.84</v>
      </c>
      <c r="AO1608" t="b">
        <v>0</v>
      </c>
      <c r="AT1608">
        <v>11522</v>
      </c>
      <c r="AU1608">
        <f t="shared" si="77"/>
        <v>31.567</v>
      </c>
    </row>
    <row r="1609" spans="1:47" x14ac:dyDescent="0.3">
      <c r="A1609">
        <v>1607</v>
      </c>
      <c r="B1609" t="s">
        <v>6827</v>
      </c>
      <c r="C1609" t="s">
        <v>6828</v>
      </c>
      <c r="D1609">
        <v>310</v>
      </c>
      <c r="E1609" t="s">
        <v>6775</v>
      </c>
      <c r="F1609" t="str">
        <f>VLOOKUP(E1609,country_continent!A:C,2,FALSE)</f>
        <v>Hungary</v>
      </c>
      <c r="G1609" t="str">
        <f>VLOOKUP(E1609,country_continent!A:C,3,FALSE)</f>
        <v>Europe</v>
      </c>
      <c r="H1609" t="s">
        <v>6829</v>
      </c>
      <c r="I1609" s="1">
        <v>32285</v>
      </c>
      <c r="J1609" s="3">
        <f t="shared" si="75"/>
        <v>32285</v>
      </c>
      <c r="K1609" s="1">
        <v>32788</v>
      </c>
      <c r="L1609" s="3">
        <f t="shared" si="76"/>
        <v>32788</v>
      </c>
      <c r="M1609" t="s">
        <v>49</v>
      </c>
      <c r="N1609" t="s">
        <v>49</v>
      </c>
      <c r="O1609" t="s">
        <v>49</v>
      </c>
      <c r="P1609">
        <v>0</v>
      </c>
      <c r="Q1609" t="s">
        <v>50</v>
      </c>
      <c r="R1609" t="s">
        <v>51</v>
      </c>
      <c r="S1609">
        <v>1930</v>
      </c>
      <c r="T1609">
        <v>1996</v>
      </c>
      <c r="U1609" s="1">
        <v>11171</v>
      </c>
      <c r="V1609" s="2">
        <v>11171</v>
      </c>
      <c r="W1609" s="1">
        <v>35071</v>
      </c>
      <c r="X1609" s="2">
        <v>35071</v>
      </c>
      <c r="Y1609" t="s">
        <v>6830</v>
      </c>
      <c r="Z1609">
        <v>0</v>
      </c>
      <c r="AA1609">
        <v>1</v>
      </c>
      <c r="AB1609">
        <v>0</v>
      </c>
      <c r="AC1609">
        <v>0</v>
      </c>
      <c r="AF1609">
        <v>1988</v>
      </c>
      <c r="AG1609">
        <v>1989</v>
      </c>
      <c r="AH1609">
        <v>0.963725153481512</v>
      </c>
      <c r="AI1609">
        <v>2870</v>
      </c>
      <c r="AJ1609">
        <v>18.1313111013149</v>
      </c>
      <c r="AK1609">
        <v>18.25</v>
      </c>
      <c r="AL1609">
        <v>-0.62112841447850597</v>
      </c>
      <c r="AN1609">
        <v>1</v>
      </c>
      <c r="AO1609" t="b">
        <v>0</v>
      </c>
      <c r="AT1609">
        <v>503</v>
      </c>
      <c r="AU1609">
        <f t="shared" si="77"/>
        <v>1.3779999999999999</v>
      </c>
    </row>
    <row r="1610" spans="1:47" x14ac:dyDescent="0.3">
      <c r="A1610">
        <v>1608</v>
      </c>
      <c r="B1610" t="s">
        <v>6831</v>
      </c>
      <c r="C1610" t="s">
        <v>6832</v>
      </c>
      <c r="D1610">
        <v>310</v>
      </c>
      <c r="E1610" t="s">
        <v>6775</v>
      </c>
      <c r="F1610" t="str">
        <f>VLOOKUP(E1610,country_continent!A:C,2,FALSE)</f>
        <v>Hungary</v>
      </c>
      <c r="G1610" t="str">
        <f>VLOOKUP(E1610,country_continent!A:C,3,FALSE)</f>
        <v>Europe</v>
      </c>
      <c r="H1610" t="s">
        <v>6833</v>
      </c>
      <c r="I1610" s="1">
        <v>32799</v>
      </c>
      <c r="J1610" s="3">
        <f t="shared" si="75"/>
        <v>32799</v>
      </c>
      <c r="K1610" s="1">
        <v>32995</v>
      </c>
      <c r="L1610" s="3">
        <f t="shared" si="76"/>
        <v>32995</v>
      </c>
      <c r="M1610" t="s">
        <v>49</v>
      </c>
      <c r="N1610" t="s">
        <v>49</v>
      </c>
      <c r="O1610" t="s">
        <v>49</v>
      </c>
      <c r="P1610">
        <v>0</v>
      </c>
      <c r="Q1610" t="s">
        <v>50</v>
      </c>
      <c r="R1610" t="s">
        <v>51</v>
      </c>
      <c r="S1610">
        <v>1933</v>
      </c>
      <c r="T1610">
        <v>-777</v>
      </c>
      <c r="U1610" s="1">
        <v>12308</v>
      </c>
      <c r="V1610" s="2">
        <v>12308</v>
      </c>
      <c r="Y1610" t="s">
        <v>6834</v>
      </c>
      <c r="Z1610">
        <v>0</v>
      </c>
      <c r="AA1610">
        <v>1</v>
      </c>
      <c r="AB1610">
        <v>0</v>
      </c>
      <c r="AC1610">
        <v>0</v>
      </c>
      <c r="AF1610">
        <v>1989</v>
      </c>
      <c r="AG1610">
        <v>1990</v>
      </c>
      <c r="AH1610">
        <v>-0.32753806465303997</v>
      </c>
      <c r="AI1610">
        <v>2955</v>
      </c>
      <c r="AJ1610">
        <v>22.2012976538761</v>
      </c>
      <c r="AK1610">
        <v>17.5</v>
      </c>
      <c r="AL1610">
        <v>-1.0610505951511</v>
      </c>
      <c r="AN1610">
        <v>7</v>
      </c>
      <c r="AO1610" t="b">
        <v>0</v>
      </c>
      <c r="AT1610">
        <v>196</v>
      </c>
      <c r="AU1610">
        <f t="shared" si="77"/>
        <v>0.53700000000000003</v>
      </c>
    </row>
    <row r="1611" spans="1:47" x14ac:dyDescent="0.3">
      <c r="A1611">
        <v>1609</v>
      </c>
      <c r="B1611" t="s">
        <v>6835</v>
      </c>
      <c r="C1611" t="s">
        <v>6836</v>
      </c>
      <c r="D1611">
        <v>310</v>
      </c>
      <c r="E1611" t="s">
        <v>6775</v>
      </c>
      <c r="F1611" t="str">
        <f>VLOOKUP(E1611,country_continent!A:C,2,FALSE)</f>
        <v>Hungary</v>
      </c>
      <c r="G1611" t="str">
        <f>VLOOKUP(E1611,country_continent!A:C,3,FALSE)</f>
        <v>Europe</v>
      </c>
      <c r="H1611" t="s">
        <v>6837</v>
      </c>
      <c r="I1611" s="1">
        <v>32996</v>
      </c>
      <c r="J1611" s="3">
        <f t="shared" si="75"/>
        <v>32996</v>
      </c>
      <c r="K1611" s="1">
        <v>34315</v>
      </c>
      <c r="L1611" s="3">
        <f t="shared" si="76"/>
        <v>34315</v>
      </c>
      <c r="M1611" t="s">
        <v>49</v>
      </c>
      <c r="N1611" t="s">
        <v>110</v>
      </c>
      <c r="O1611" t="s">
        <v>49</v>
      </c>
      <c r="P1611">
        <v>0</v>
      </c>
      <c r="Q1611" t="s">
        <v>111</v>
      </c>
      <c r="R1611" t="s">
        <v>51</v>
      </c>
      <c r="S1611">
        <v>1932</v>
      </c>
      <c r="T1611">
        <v>1993</v>
      </c>
      <c r="U1611" s="1">
        <v>11787</v>
      </c>
      <c r="V1611" s="2">
        <v>11787</v>
      </c>
      <c r="W1611" s="1">
        <v>34315</v>
      </c>
      <c r="X1611" s="2">
        <v>34315</v>
      </c>
      <c r="Y1611" t="s">
        <v>6838</v>
      </c>
      <c r="Z1611">
        <v>0</v>
      </c>
      <c r="AA1611">
        <v>2</v>
      </c>
      <c r="AB1611">
        <v>0</v>
      </c>
      <c r="AC1611">
        <v>-777</v>
      </c>
      <c r="AF1611">
        <v>1990</v>
      </c>
      <c r="AG1611">
        <v>1993</v>
      </c>
      <c r="AH1611">
        <v>-4.4676116508573296</v>
      </c>
      <c r="AI1611">
        <v>3225</v>
      </c>
      <c r="AJ1611">
        <v>26.042281415518499</v>
      </c>
      <c r="AK1611">
        <v>15.975</v>
      </c>
      <c r="AL1611">
        <v>-0.29798941448763799</v>
      </c>
      <c r="AM1611">
        <v>0.93586550329711304</v>
      </c>
      <c r="AN1611">
        <v>10</v>
      </c>
      <c r="AO1611" t="b">
        <v>0</v>
      </c>
      <c r="AT1611">
        <v>1319</v>
      </c>
      <c r="AU1611">
        <f t="shared" si="77"/>
        <v>3.6139999999999999</v>
      </c>
    </row>
    <row r="1612" spans="1:47" x14ac:dyDescent="0.3">
      <c r="A1612">
        <v>1610</v>
      </c>
      <c r="B1612" t="s">
        <v>6839</v>
      </c>
      <c r="C1612" t="s">
        <v>6840</v>
      </c>
      <c r="D1612">
        <v>310</v>
      </c>
      <c r="E1612" t="s">
        <v>6775</v>
      </c>
      <c r="F1612" t="str">
        <f>VLOOKUP(E1612,country_continent!A:C,2,FALSE)</f>
        <v>Hungary</v>
      </c>
      <c r="G1612" t="str">
        <f>VLOOKUP(E1612,country_continent!A:C,3,FALSE)</f>
        <v>Europe</v>
      </c>
      <c r="H1612" t="s">
        <v>6841</v>
      </c>
      <c r="I1612" s="1">
        <v>34315</v>
      </c>
      <c r="J1612" s="3">
        <f t="shared" si="75"/>
        <v>34315</v>
      </c>
      <c r="K1612" s="1">
        <v>34530</v>
      </c>
      <c r="L1612" s="3">
        <f t="shared" si="76"/>
        <v>34530</v>
      </c>
      <c r="M1612" t="s">
        <v>49</v>
      </c>
      <c r="N1612" t="s">
        <v>49</v>
      </c>
      <c r="O1612" t="s">
        <v>49</v>
      </c>
      <c r="P1612">
        <v>0</v>
      </c>
      <c r="Q1612" t="s">
        <v>50</v>
      </c>
      <c r="R1612" t="s">
        <v>51</v>
      </c>
      <c r="S1612">
        <v>1928</v>
      </c>
      <c r="T1612">
        <v>-777</v>
      </c>
      <c r="Z1612">
        <v>0</v>
      </c>
      <c r="AA1612">
        <v>1</v>
      </c>
      <c r="AB1612">
        <v>0</v>
      </c>
      <c r="AC1612">
        <v>0</v>
      </c>
      <c r="AF1612">
        <v>1993</v>
      </c>
      <c r="AG1612">
        <v>1994</v>
      </c>
      <c r="AH1612">
        <v>1.3127515420542599</v>
      </c>
      <c r="AI1612">
        <v>3855</v>
      </c>
      <c r="AJ1612">
        <v>20.3847578106346</v>
      </c>
      <c r="AK1612">
        <v>13.95</v>
      </c>
      <c r="AL1612">
        <v>-0.12545934934799999</v>
      </c>
      <c r="AM1612">
        <v>0.72113059830905302</v>
      </c>
      <c r="AN1612">
        <v>10</v>
      </c>
      <c r="AO1612" t="b">
        <v>0</v>
      </c>
      <c r="AT1612">
        <v>215</v>
      </c>
      <c r="AU1612">
        <f t="shared" si="77"/>
        <v>0.58899999999999997</v>
      </c>
    </row>
    <row r="1613" spans="1:47" x14ac:dyDescent="0.3">
      <c r="A1613">
        <v>1611</v>
      </c>
      <c r="B1613" t="s">
        <v>6842</v>
      </c>
      <c r="C1613" t="s">
        <v>6843</v>
      </c>
      <c r="D1613">
        <v>310</v>
      </c>
      <c r="E1613" t="s">
        <v>6775</v>
      </c>
      <c r="F1613" t="str">
        <f>VLOOKUP(E1613,country_continent!A:C,2,FALSE)</f>
        <v>Hungary</v>
      </c>
      <c r="G1613" t="str">
        <f>VLOOKUP(E1613,country_continent!A:C,3,FALSE)</f>
        <v>Europe</v>
      </c>
      <c r="H1613" t="s">
        <v>6844</v>
      </c>
      <c r="I1613" s="1">
        <v>34530</v>
      </c>
      <c r="J1613" s="3">
        <f t="shared" si="75"/>
        <v>34530</v>
      </c>
      <c r="K1613" s="1">
        <v>35982</v>
      </c>
      <c r="L1613" s="3">
        <f t="shared" si="76"/>
        <v>35982</v>
      </c>
      <c r="M1613" t="s">
        <v>49</v>
      </c>
      <c r="N1613" t="s">
        <v>49</v>
      </c>
      <c r="O1613" t="s">
        <v>49</v>
      </c>
      <c r="P1613">
        <v>0</v>
      </c>
      <c r="Q1613" t="s">
        <v>50</v>
      </c>
      <c r="R1613" t="s">
        <v>51</v>
      </c>
      <c r="S1613">
        <v>1932</v>
      </c>
      <c r="T1613">
        <v>-777</v>
      </c>
      <c r="Y1613" t="s">
        <v>6845</v>
      </c>
      <c r="Z1613">
        <v>0</v>
      </c>
      <c r="AA1613">
        <v>1</v>
      </c>
      <c r="AB1613">
        <v>0</v>
      </c>
      <c r="AC1613">
        <v>0</v>
      </c>
      <c r="AF1613">
        <v>1994</v>
      </c>
      <c r="AG1613">
        <v>1998</v>
      </c>
      <c r="AH1613">
        <v>2.4535964554232299</v>
      </c>
      <c r="AI1613">
        <v>4302</v>
      </c>
      <c r="AJ1613">
        <v>20.442374648937001</v>
      </c>
      <c r="AK1613">
        <v>12.08</v>
      </c>
      <c r="AL1613">
        <v>-0.17640259794719901</v>
      </c>
      <c r="AM1613">
        <v>0.59449698946789697</v>
      </c>
      <c r="AN1613">
        <v>10</v>
      </c>
      <c r="AO1613" t="b">
        <v>0</v>
      </c>
      <c r="AT1613">
        <v>1452</v>
      </c>
      <c r="AU1613">
        <f t="shared" si="77"/>
        <v>3.9780000000000002</v>
      </c>
    </row>
    <row r="1614" spans="1:47" x14ac:dyDescent="0.3">
      <c r="A1614">
        <v>1612</v>
      </c>
      <c r="B1614" t="s">
        <v>6846</v>
      </c>
      <c r="C1614" t="s">
        <v>6847</v>
      </c>
      <c r="D1614">
        <v>310</v>
      </c>
      <c r="E1614" t="s">
        <v>6775</v>
      </c>
      <c r="F1614" t="str">
        <f>VLOOKUP(E1614,country_continent!A:C,2,FALSE)</f>
        <v>Hungary</v>
      </c>
      <c r="G1614" t="str">
        <f>VLOOKUP(E1614,country_continent!A:C,3,FALSE)</f>
        <v>Europe</v>
      </c>
      <c r="H1614" t="s">
        <v>6848</v>
      </c>
      <c r="I1614" s="1">
        <v>35982</v>
      </c>
      <c r="J1614" s="3">
        <f t="shared" si="75"/>
        <v>35982</v>
      </c>
      <c r="K1614" s="1">
        <v>37403</v>
      </c>
      <c r="L1614" s="3">
        <f t="shared" si="76"/>
        <v>37403</v>
      </c>
      <c r="M1614" t="s">
        <v>49</v>
      </c>
      <c r="N1614" t="s">
        <v>49</v>
      </c>
      <c r="O1614" t="s">
        <v>49</v>
      </c>
      <c r="P1614">
        <v>0</v>
      </c>
      <c r="Q1614" t="s">
        <v>50</v>
      </c>
      <c r="R1614" t="s">
        <v>51</v>
      </c>
      <c r="S1614">
        <v>1963</v>
      </c>
      <c r="T1614">
        <v>-777</v>
      </c>
      <c r="Z1614">
        <v>0</v>
      </c>
      <c r="AA1614">
        <v>1</v>
      </c>
      <c r="AB1614">
        <v>0</v>
      </c>
      <c r="AC1614">
        <v>0</v>
      </c>
      <c r="AF1614">
        <v>1998</v>
      </c>
      <c r="AG1614">
        <v>2002</v>
      </c>
      <c r="AH1614">
        <v>4.2958301433628101</v>
      </c>
      <c r="AI1614">
        <v>4728</v>
      </c>
      <c r="AJ1614">
        <v>10.111020891882299</v>
      </c>
      <c r="AK1614">
        <v>10.06</v>
      </c>
      <c r="AL1614">
        <v>-0.25796708322915002</v>
      </c>
      <c r="AM1614">
        <v>0.48795729012164502</v>
      </c>
      <c r="AN1614">
        <v>10</v>
      </c>
      <c r="AO1614" t="b">
        <v>0</v>
      </c>
      <c r="AT1614">
        <v>1421</v>
      </c>
      <c r="AU1614">
        <f t="shared" si="77"/>
        <v>3.8929999999999998</v>
      </c>
    </row>
    <row r="1615" spans="1:47" x14ac:dyDescent="0.3">
      <c r="A1615">
        <v>1613</v>
      </c>
      <c r="B1615" t="s">
        <v>6849</v>
      </c>
      <c r="C1615" t="s">
        <v>6850</v>
      </c>
      <c r="D1615">
        <v>310</v>
      </c>
      <c r="E1615" t="s">
        <v>6775</v>
      </c>
      <c r="F1615" t="str">
        <f>VLOOKUP(E1615,country_continent!A:C,2,FALSE)</f>
        <v>Hungary</v>
      </c>
      <c r="G1615" t="str">
        <f>VLOOKUP(E1615,country_continent!A:C,3,FALSE)</f>
        <v>Europe</v>
      </c>
      <c r="H1615" t="s">
        <v>6851</v>
      </c>
      <c r="I1615" s="1">
        <v>37403</v>
      </c>
      <c r="J1615" s="3">
        <f t="shared" si="75"/>
        <v>37403</v>
      </c>
      <c r="K1615" s="1">
        <v>38259</v>
      </c>
      <c r="L1615" s="3">
        <f t="shared" si="76"/>
        <v>38259</v>
      </c>
      <c r="M1615" t="s">
        <v>49</v>
      </c>
      <c r="N1615" t="s">
        <v>49</v>
      </c>
      <c r="O1615" t="s">
        <v>49</v>
      </c>
      <c r="P1615">
        <v>0</v>
      </c>
      <c r="Q1615" t="s">
        <v>50</v>
      </c>
      <c r="R1615" t="s">
        <v>51</v>
      </c>
      <c r="S1615">
        <v>1942</v>
      </c>
      <c r="T1615">
        <v>-777</v>
      </c>
      <c r="U1615" s="1">
        <v>15633</v>
      </c>
      <c r="V1615" s="2">
        <v>15633</v>
      </c>
      <c r="Y1615" t="s">
        <v>6852</v>
      </c>
      <c r="Z1615">
        <v>0</v>
      </c>
      <c r="AA1615">
        <v>1</v>
      </c>
      <c r="AB1615">
        <v>0</v>
      </c>
      <c r="AC1615">
        <v>0</v>
      </c>
      <c r="AF1615">
        <v>2002</v>
      </c>
      <c r="AG1615">
        <v>2004</v>
      </c>
      <c r="AH1615">
        <v>4.8204809442226599</v>
      </c>
      <c r="AI1615">
        <v>6860</v>
      </c>
      <c r="AJ1615">
        <v>6.2000144561465502</v>
      </c>
      <c r="AK1615">
        <v>8.4666666666666597</v>
      </c>
      <c r="AL1615">
        <v>-0.26420800799349098</v>
      </c>
      <c r="AM1615">
        <v>0.44058648503152598</v>
      </c>
      <c r="AN1615">
        <v>10</v>
      </c>
      <c r="AO1615" t="b">
        <v>0</v>
      </c>
      <c r="AT1615">
        <v>856</v>
      </c>
      <c r="AU1615">
        <f t="shared" si="77"/>
        <v>2.3450000000000002</v>
      </c>
    </row>
    <row r="1616" spans="1:47" x14ac:dyDescent="0.3">
      <c r="A1616">
        <v>1614</v>
      </c>
      <c r="B1616" t="s">
        <v>6853</v>
      </c>
      <c r="C1616" t="s">
        <v>6854</v>
      </c>
      <c r="D1616">
        <v>310</v>
      </c>
      <c r="E1616" t="s">
        <v>6775</v>
      </c>
      <c r="F1616" t="str">
        <f>VLOOKUP(E1616,country_continent!A:C,2,FALSE)</f>
        <v>Hungary</v>
      </c>
      <c r="G1616" t="str">
        <f>VLOOKUP(E1616,country_continent!A:C,3,FALSE)</f>
        <v>Europe</v>
      </c>
      <c r="H1616" t="s">
        <v>6855</v>
      </c>
      <c r="I1616" s="1">
        <v>38259</v>
      </c>
      <c r="J1616" s="3">
        <f t="shared" si="75"/>
        <v>38259</v>
      </c>
      <c r="K1616" s="1">
        <v>39917</v>
      </c>
      <c r="L1616" s="3">
        <f t="shared" si="76"/>
        <v>39917</v>
      </c>
      <c r="M1616" t="s">
        <v>49</v>
      </c>
      <c r="N1616" t="s">
        <v>49</v>
      </c>
      <c r="O1616" t="s">
        <v>49</v>
      </c>
      <c r="P1616">
        <v>0</v>
      </c>
      <c r="Q1616" t="s">
        <v>50</v>
      </c>
      <c r="R1616" t="s">
        <v>51</v>
      </c>
      <c r="S1616">
        <v>1961</v>
      </c>
      <c r="T1616">
        <v>-777</v>
      </c>
      <c r="U1616" s="1">
        <v>22436</v>
      </c>
      <c r="V1616" s="2">
        <v>22436</v>
      </c>
      <c r="Y1616" t="s">
        <v>6856</v>
      </c>
      <c r="Z1616">
        <v>0</v>
      </c>
      <c r="AA1616">
        <v>1</v>
      </c>
      <c r="AB1616">
        <v>0</v>
      </c>
      <c r="AC1616">
        <v>0</v>
      </c>
      <c r="AF1616">
        <v>2004</v>
      </c>
      <c r="AG1616">
        <v>2009</v>
      </c>
      <c r="AH1616">
        <v>1.4770634291682201</v>
      </c>
      <c r="AI1616">
        <v>11446.666666666601</v>
      </c>
      <c r="AJ1616">
        <v>4.3152093560306497</v>
      </c>
      <c r="AK1616">
        <v>7.0333333333333297</v>
      </c>
      <c r="AL1616">
        <v>-0.17682600767165599</v>
      </c>
      <c r="AM1616">
        <v>0.50050672068938196</v>
      </c>
      <c r="AN1616">
        <v>10</v>
      </c>
      <c r="AO1616" t="b">
        <v>0</v>
      </c>
      <c r="AT1616">
        <v>1658</v>
      </c>
      <c r="AU1616">
        <f t="shared" si="77"/>
        <v>4.5419999999999998</v>
      </c>
    </row>
    <row r="1617" spans="1:47" x14ac:dyDescent="0.3">
      <c r="A1617">
        <v>1615</v>
      </c>
      <c r="B1617" t="s">
        <v>6857</v>
      </c>
      <c r="C1617" t="s">
        <v>6858</v>
      </c>
      <c r="D1617">
        <v>310</v>
      </c>
      <c r="E1617" t="s">
        <v>6775</v>
      </c>
      <c r="F1617" t="str">
        <f>VLOOKUP(E1617,country_continent!A:C,2,FALSE)</f>
        <v>Hungary</v>
      </c>
      <c r="G1617" t="str">
        <f>VLOOKUP(E1617,country_continent!A:C,3,FALSE)</f>
        <v>Europe</v>
      </c>
      <c r="H1617" t="s">
        <v>6859</v>
      </c>
      <c r="I1617" s="1">
        <v>39917</v>
      </c>
      <c r="J1617" s="3">
        <f t="shared" si="75"/>
        <v>39917</v>
      </c>
      <c r="K1617" s="1">
        <v>40327</v>
      </c>
      <c r="L1617" s="3">
        <f t="shared" si="76"/>
        <v>40327</v>
      </c>
      <c r="M1617" t="s">
        <v>49</v>
      </c>
      <c r="N1617" t="s">
        <v>49</v>
      </c>
      <c r="O1617" t="s">
        <v>49</v>
      </c>
      <c r="P1617">
        <v>0</v>
      </c>
      <c r="Q1617" t="s">
        <v>50</v>
      </c>
      <c r="R1617" t="s">
        <v>51</v>
      </c>
      <c r="S1617">
        <v>1968</v>
      </c>
      <c r="T1617">
        <v>-777</v>
      </c>
      <c r="Z1617">
        <v>0</v>
      </c>
      <c r="AA1617">
        <v>1</v>
      </c>
      <c r="AB1617">
        <v>0</v>
      </c>
      <c r="AC1617">
        <v>0</v>
      </c>
      <c r="AF1617">
        <v>2009</v>
      </c>
      <c r="AG1617">
        <v>2010</v>
      </c>
      <c r="AH1617">
        <v>-2.6494749099928101</v>
      </c>
      <c r="AI1617">
        <v>13325</v>
      </c>
      <c r="AJ1617">
        <v>3.37244110743194</v>
      </c>
      <c r="AK1617">
        <v>6.1</v>
      </c>
      <c r="AL1617">
        <v>-0.190461344820159</v>
      </c>
      <c r="AM1617">
        <v>0.488332889938424</v>
      </c>
      <c r="AN1617">
        <v>10</v>
      </c>
      <c r="AO1617" t="b">
        <v>0</v>
      </c>
      <c r="AT1617">
        <v>410</v>
      </c>
      <c r="AU1617">
        <f t="shared" si="77"/>
        <v>1.123</v>
      </c>
    </row>
    <row r="1618" spans="1:47" x14ac:dyDescent="0.3">
      <c r="A1618">
        <v>1616</v>
      </c>
      <c r="B1618" t="s">
        <v>6860</v>
      </c>
      <c r="C1618" t="s">
        <v>6847</v>
      </c>
      <c r="D1618">
        <v>310</v>
      </c>
      <c r="E1618" t="s">
        <v>6775</v>
      </c>
      <c r="F1618" t="str">
        <f>VLOOKUP(E1618,country_continent!A:C,2,FALSE)</f>
        <v>Hungary</v>
      </c>
      <c r="G1618" t="str">
        <f>VLOOKUP(E1618,country_continent!A:C,3,FALSE)</f>
        <v>Europe</v>
      </c>
      <c r="H1618" t="s">
        <v>6848</v>
      </c>
      <c r="I1618" s="1">
        <v>40327</v>
      </c>
      <c r="J1618" s="3">
        <f t="shared" si="75"/>
        <v>40327</v>
      </c>
      <c r="K1618" s="1">
        <v>42369</v>
      </c>
      <c r="L1618" s="3">
        <f t="shared" si="76"/>
        <v>42369</v>
      </c>
      <c r="M1618" t="s">
        <v>49</v>
      </c>
      <c r="N1618" t="s">
        <v>173</v>
      </c>
      <c r="O1618" t="s">
        <v>173</v>
      </c>
      <c r="P1618">
        <v>1</v>
      </c>
      <c r="Q1618" t="s">
        <v>174</v>
      </c>
      <c r="R1618" t="s">
        <v>51</v>
      </c>
      <c r="S1618">
        <v>1963</v>
      </c>
      <c r="T1618">
        <v>-777</v>
      </c>
      <c r="U1618" s="1">
        <v>23162</v>
      </c>
      <c r="V1618" s="2">
        <v>23162</v>
      </c>
      <c r="Z1618">
        <v>0</v>
      </c>
      <c r="AA1618">
        <v>-888</v>
      </c>
      <c r="AB1618">
        <v>-888</v>
      </c>
      <c r="AC1618">
        <v>-888</v>
      </c>
      <c r="AF1618">
        <v>2010</v>
      </c>
      <c r="AG1618">
        <v>2015</v>
      </c>
      <c r="AH1618">
        <v>2.3311589877957002</v>
      </c>
      <c r="AI1618">
        <v>13348.333333333299</v>
      </c>
      <c r="AJ1618">
        <v>2.7786468497887302</v>
      </c>
      <c r="AK1618">
        <v>5.6</v>
      </c>
      <c r="AL1618">
        <v>-0.378237565793826</v>
      </c>
      <c r="AM1618">
        <v>0.498739070805439</v>
      </c>
      <c r="AN1618">
        <v>10</v>
      </c>
      <c r="AO1618" t="b">
        <v>0</v>
      </c>
      <c r="AT1618">
        <v>2042</v>
      </c>
      <c r="AU1618">
        <f t="shared" si="77"/>
        <v>5.5949999999999998</v>
      </c>
    </row>
    <row r="1619" spans="1:47" x14ac:dyDescent="0.3">
      <c r="A1619">
        <v>1617</v>
      </c>
      <c r="B1619" t="s">
        <v>6861</v>
      </c>
      <c r="C1619" t="s">
        <v>6862</v>
      </c>
      <c r="D1619">
        <v>315</v>
      </c>
      <c r="E1619" t="s">
        <v>6863</v>
      </c>
      <c r="F1619" t="str">
        <f>VLOOKUP(E1619,country_continent!A:C,2,FALSE)</f>
        <v>Czechoslovakia</v>
      </c>
      <c r="G1619" t="str">
        <f>VLOOKUP(E1619,country_continent!A:C,3,FALSE)</f>
        <v>Europe</v>
      </c>
      <c r="H1619" t="s">
        <v>6864</v>
      </c>
      <c r="I1619" s="1">
        <v>6876</v>
      </c>
      <c r="J1619" s="3">
        <f t="shared" si="75"/>
        <v>6876</v>
      </c>
      <c r="K1619" s="1">
        <v>13132</v>
      </c>
      <c r="L1619" s="3">
        <f t="shared" si="76"/>
        <v>13132</v>
      </c>
      <c r="M1619" t="s">
        <v>49</v>
      </c>
      <c r="N1619" t="s">
        <v>228</v>
      </c>
      <c r="O1619" t="s">
        <v>49</v>
      </c>
      <c r="P1619">
        <v>0</v>
      </c>
      <c r="Q1619" t="s">
        <v>50</v>
      </c>
      <c r="R1619" t="s">
        <v>51</v>
      </c>
      <c r="S1619">
        <v>1850</v>
      </c>
      <c r="T1619">
        <v>1937</v>
      </c>
      <c r="U1619" t="s">
        <v>6865</v>
      </c>
      <c r="V1619" t="s">
        <v>6866</v>
      </c>
      <c r="W1619" s="1">
        <v>13772</v>
      </c>
      <c r="X1619" s="2">
        <v>13772</v>
      </c>
      <c r="Z1619">
        <v>0</v>
      </c>
      <c r="AA1619">
        <v>2.0999998999999998</v>
      </c>
      <c r="AB1619">
        <v>0</v>
      </c>
      <c r="AC1619">
        <v>0</v>
      </c>
      <c r="AF1619">
        <v>1918</v>
      </c>
      <c r="AG1619">
        <v>1935</v>
      </c>
      <c r="AO1619" t="b">
        <v>0</v>
      </c>
      <c r="AT1619">
        <v>6256</v>
      </c>
      <c r="AU1619">
        <f t="shared" si="77"/>
        <v>17.14</v>
      </c>
    </row>
    <row r="1620" spans="1:47" x14ac:dyDescent="0.3">
      <c r="A1620">
        <v>1618</v>
      </c>
      <c r="B1620" t="s">
        <v>6867</v>
      </c>
      <c r="C1620" t="s">
        <v>6868</v>
      </c>
      <c r="D1620">
        <v>315</v>
      </c>
      <c r="E1620" t="s">
        <v>6863</v>
      </c>
      <c r="F1620" t="str">
        <f>VLOOKUP(E1620,country_continent!A:C,2,FALSE)</f>
        <v>Czechoslovakia</v>
      </c>
      <c r="G1620" t="str">
        <f>VLOOKUP(E1620,country_continent!A:C,3,FALSE)</f>
        <v>Europe</v>
      </c>
      <c r="H1620" t="s">
        <v>6869</v>
      </c>
      <c r="I1620" s="1">
        <v>13136</v>
      </c>
      <c r="J1620" s="3">
        <f t="shared" si="75"/>
        <v>13136</v>
      </c>
      <c r="K1620" s="1">
        <v>14158</v>
      </c>
      <c r="L1620" s="3">
        <f t="shared" si="76"/>
        <v>14158</v>
      </c>
      <c r="M1620" t="s">
        <v>49</v>
      </c>
      <c r="N1620" t="s">
        <v>49</v>
      </c>
      <c r="O1620" t="s">
        <v>49</v>
      </c>
      <c r="P1620">
        <v>0</v>
      </c>
      <c r="Q1620" t="s">
        <v>362</v>
      </c>
      <c r="R1620" t="s">
        <v>51</v>
      </c>
      <c r="S1620">
        <v>1884</v>
      </c>
      <c r="T1620">
        <v>1948</v>
      </c>
      <c r="U1620" t="s">
        <v>6870</v>
      </c>
      <c r="V1620" t="s">
        <v>6871</v>
      </c>
      <c r="W1620" s="1">
        <v>17779</v>
      </c>
      <c r="X1620" s="2">
        <v>17779</v>
      </c>
      <c r="Y1620" t="s">
        <v>6872</v>
      </c>
      <c r="Z1620">
        <v>0</v>
      </c>
      <c r="AA1620">
        <v>1</v>
      </c>
      <c r="AB1620">
        <v>0</v>
      </c>
      <c r="AC1620">
        <v>1</v>
      </c>
      <c r="AF1620">
        <v>1935</v>
      </c>
      <c r="AG1620">
        <v>1938</v>
      </c>
      <c r="AO1620" t="b">
        <v>0</v>
      </c>
      <c r="AT1620">
        <v>1022</v>
      </c>
      <c r="AU1620">
        <f t="shared" si="77"/>
        <v>2.8</v>
      </c>
    </row>
    <row r="1621" spans="1:47" x14ac:dyDescent="0.3">
      <c r="A1621">
        <v>1619</v>
      </c>
      <c r="B1621" t="s">
        <v>6873</v>
      </c>
      <c r="C1621" t="s">
        <v>6874</v>
      </c>
      <c r="D1621">
        <v>315</v>
      </c>
      <c r="E1621" t="s">
        <v>6863</v>
      </c>
      <c r="F1621" t="str">
        <f>VLOOKUP(E1621,country_continent!A:C,2,FALSE)</f>
        <v>Czechoslovakia</v>
      </c>
      <c r="G1621" t="str">
        <f>VLOOKUP(E1621,country_continent!A:C,3,FALSE)</f>
        <v>Europe</v>
      </c>
      <c r="H1621" t="s">
        <v>6875</v>
      </c>
      <c r="I1621" s="1">
        <v>14158</v>
      </c>
      <c r="J1621" s="3">
        <f t="shared" si="75"/>
        <v>14158</v>
      </c>
      <c r="K1621" s="1">
        <v>14215</v>
      </c>
      <c r="L1621" s="3">
        <f t="shared" si="76"/>
        <v>14215</v>
      </c>
      <c r="M1621" t="s">
        <v>49</v>
      </c>
      <c r="N1621" t="s">
        <v>49</v>
      </c>
      <c r="O1621" t="s">
        <v>49</v>
      </c>
      <c r="P1621">
        <v>0</v>
      </c>
      <c r="Q1621" t="s">
        <v>50</v>
      </c>
      <c r="R1621" t="s">
        <v>51</v>
      </c>
      <c r="S1621">
        <v>1888</v>
      </c>
      <c r="T1621">
        <v>1971</v>
      </c>
      <c r="Z1621">
        <v>0</v>
      </c>
      <c r="AA1621">
        <v>1</v>
      </c>
      <c r="AB1621">
        <v>0</v>
      </c>
      <c r="AC1621">
        <v>0</v>
      </c>
      <c r="AF1621">
        <v>1938</v>
      </c>
      <c r="AG1621">
        <v>1938</v>
      </c>
      <c r="AO1621" t="b">
        <v>0</v>
      </c>
      <c r="AT1621">
        <v>57</v>
      </c>
      <c r="AU1621">
        <f t="shared" si="77"/>
        <v>0.156</v>
      </c>
    </row>
    <row r="1622" spans="1:47" x14ac:dyDescent="0.3">
      <c r="A1622">
        <v>1620</v>
      </c>
      <c r="B1622" t="s">
        <v>6876</v>
      </c>
      <c r="C1622" t="s">
        <v>6877</v>
      </c>
      <c r="D1622">
        <v>315</v>
      </c>
      <c r="E1622" t="s">
        <v>6863</v>
      </c>
      <c r="F1622" t="str">
        <f>VLOOKUP(E1622,country_continent!A:C,2,FALSE)</f>
        <v>Czechoslovakia</v>
      </c>
      <c r="G1622" t="str">
        <f>VLOOKUP(E1622,country_continent!A:C,3,FALSE)</f>
        <v>Europe</v>
      </c>
      <c r="H1622" t="s">
        <v>6878</v>
      </c>
      <c r="I1622" s="1">
        <v>14215</v>
      </c>
      <c r="J1622" s="3">
        <f t="shared" si="75"/>
        <v>14215</v>
      </c>
      <c r="K1622" s="1">
        <v>16570</v>
      </c>
      <c r="L1622" s="3">
        <f t="shared" si="76"/>
        <v>16570</v>
      </c>
      <c r="M1622" t="s">
        <v>637</v>
      </c>
      <c r="N1622" t="s">
        <v>633</v>
      </c>
      <c r="O1622" t="s">
        <v>634</v>
      </c>
      <c r="P1622">
        <v>0</v>
      </c>
      <c r="Q1622" t="s">
        <v>463</v>
      </c>
      <c r="R1622" t="s">
        <v>51</v>
      </c>
      <c r="S1622">
        <v>1872</v>
      </c>
      <c r="T1622">
        <v>1945</v>
      </c>
      <c r="U1622" t="s">
        <v>6879</v>
      </c>
      <c r="V1622" t="s">
        <v>6880</v>
      </c>
      <c r="Z1622">
        <v>2</v>
      </c>
      <c r="AA1622">
        <v>4</v>
      </c>
      <c r="AB1622">
        <v>9</v>
      </c>
      <c r="AC1622">
        <v>2</v>
      </c>
      <c r="AF1622">
        <v>1938</v>
      </c>
      <c r="AG1622">
        <v>1945</v>
      </c>
      <c r="AO1622" t="b">
        <v>0</v>
      </c>
      <c r="AT1622">
        <v>2355</v>
      </c>
      <c r="AU1622">
        <f t="shared" si="77"/>
        <v>6.452</v>
      </c>
    </row>
    <row r="1623" spans="1:47" x14ac:dyDescent="0.3">
      <c r="A1623">
        <v>1621</v>
      </c>
      <c r="B1623" t="s">
        <v>6881</v>
      </c>
      <c r="C1623" t="s">
        <v>6868</v>
      </c>
      <c r="D1623">
        <v>315</v>
      </c>
      <c r="E1623" t="s">
        <v>6863</v>
      </c>
      <c r="F1623" t="str">
        <f>VLOOKUP(E1623,country_continent!A:C,2,FALSE)</f>
        <v>Czechoslovakia</v>
      </c>
      <c r="G1623" t="str">
        <f>VLOOKUP(E1623,country_continent!A:C,3,FALSE)</f>
        <v>Europe</v>
      </c>
      <c r="H1623" t="s">
        <v>6869</v>
      </c>
      <c r="I1623" s="1">
        <v>16570</v>
      </c>
      <c r="J1623" s="3">
        <f t="shared" si="75"/>
        <v>16570</v>
      </c>
      <c r="K1623" s="1">
        <v>17691</v>
      </c>
      <c r="L1623" s="3">
        <f t="shared" si="76"/>
        <v>17691</v>
      </c>
      <c r="M1623" t="s">
        <v>637</v>
      </c>
      <c r="N1623" t="s">
        <v>49</v>
      </c>
      <c r="O1623" t="s">
        <v>49</v>
      </c>
      <c r="P1623">
        <v>1</v>
      </c>
      <c r="Q1623" t="s">
        <v>111</v>
      </c>
      <c r="R1623" t="s">
        <v>51</v>
      </c>
      <c r="S1623">
        <v>1884</v>
      </c>
      <c r="T1623">
        <v>1948</v>
      </c>
      <c r="U1623" t="s">
        <v>6870</v>
      </c>
      <c r="V1623" t="s">
        <v>6871</v>
      </c>
      <c r="W1623" s="1">
        <v>17779</v>
      </c>
      <c r="X1623" s="2">
        <v>17779</v>
      </c>
      <c r="Y1623" t="s">
        <v>6872</v>
      </c>
      <c r="Z1623">
        <v>2</v>
      </c>
      <c r="AA1623">
        <v>1</v>
      </c>
      <c r="AB1623">
        <v>0</v>
      </c>
      <c r="AC1623">
        <v>-777</v>
      </c>
      <c r="AF1623">
        <v>1945</v>
      </c>
      <c r="AG1623">
        <v>1948</v>
      </c>
      <c r="AO1623" t="b">
        <v>0</v>
      </c>
      <c r="AT1623">
        <v>1121</v>
      </c>
      <c r="AU1623">
        <f t="shared" si="77"/>
        <v>3.0710000000000002</v>
      </c>
    </row>
    <row r="1624" spans="1:47" x14ac:dyDescent="0.3">
      <c r="A1624">
        <v>1622</v>
      </c>
      <c r="B1624" t="s">
        <v>6882</v>
      </c>
      <c r="C1624" t="s">
        <v>6883</v>
      </c>
      <c r="D1624">
        <v>315</v>
      </c>
      <c r="E1624" t="s">
        <v>6863</v>
      </c>
      <c r="F1624" t="str">
        <f>VLOOKUP(E1624,country_continent!A:C,2,FALSE)</f>
        <v>Czechoslovakia</v>
      </c>
      <c r="G1624" t="str">
        <f>VLOOKUP(E1624,country_continent!A:C,3,FALSE)</f>
        <v>Europe</v>
      </c>
      <c r="H1624" t="s">
        <v>6884</v>
      </c>
      <c r="I1624" s="1">
        <v>17691</v>
      </c>
      <c r="J1624" s="3">
        <f t="shared" si="75"/>
        <v>17691</v>
      </c>
      <c r="K1624" s="1">
        <v>19432</v>
      </c>
      <c r="L1624" s="3">
        <f t="shared" si="76"/>
        <v>19432</v>
      </c>
      <c r="M1624" t="s">
        <v>49</v>
      </c>
      <c r="N1624" t="s">
        <v>110</v>
      </c>
      <c r="O1624" t="s">
        <v>49</v>
      </c>
      <c r="P1624">
        <v>0</v>
      </c>
      <c r="Q1624" t="s">
        <v>111</v>
      </c>
      <c r="R1624" t="s">
        <v>51</v>
      </c>
      <c r="S1624">
        <v>1896</v>
      </c>
      <c r="T1624">
        <v>1953</v>
      </c>
      <c r="U1624" t="s">
        <v>6885</v>
      </c>
      <c r="V1624" t="s">
        <v>6886</v>
      </c>
      <c r="W1624" s="1">
        <v>19432</v>
      </c>
      <c r="X1624" s="2">
        <v>19432</v>
      </c>
      <c r="Y1624" t="s">
        <v>6887</v>
      </c>
      <c r="Z1624">
        <v>0</v>
      </c>
      <c r="AA1624">
        <v>2</v>
      </c>
      <c r="AB1624">
        <v>0</v>
      </c>
      <c r="AC1624">
        <v>-777</v>
      </c>
      <c r="AF1624">
        <v>1948</v>
      </c>
      <c r="AG1624">
        <v>1953</v>
      </c>
      <c r="AO1624" t="b">
        <v>0</v>
      </c>
      <c r="AT1624">
        <v>1741</v>
      </c>
      <c r="AU1624">
        <f t="shared" si="77"/>
        <v>4.7699999999999996</v>
      </c>
    </row>
    <row r="1625" spans="1:47" x14ac:dyDescent="0.3">
      <c r="A1625">
        <v>1623</v>
      </c>
      <c r="B1625" t="s">
        <v>6888</v>
      </c>
      <c r="C1625" t="s">
        <v>6889</v>
      </c>
      <c r="D1625">
        <v>315</v>
      </c>
      <c r="E1625" t="s">
        <v>6863</v>
      </c>
      <c r="F1625" t="str">
        <f>VLOOKUP(E1625,country_continent!A:C,2,FALSE)</f>
        <v>Czechoslovakia</v>
      </c>
      <c r="G1625" t="str">
        <f>VLOOKUP(E1625,country_continent!A:C,3,FALSE)</f>
        <v>Europe</v>
      </c>
      <c r="H1625" t="s">
        <v>6890</v>
      </c>
      <c r="I1625" s="1">
        <v>19439</v>
      </c>
      <c r="J1625" s="3">
        <f t="shared" si="75"/>
        <v>19439</v>
      </c>
      <c r="K1625" s="1">
        <v>21137</v>
      </c>
      <c r="L1625" s="3">
        <f t="shared" si="76"/>
        <v>21137</v>
      </c>
      <c r="M1625" t="s">
        <v>49</v>
      </c>
      <c r="N1625" t="s">
        <v>110</v>
      </c>
      <c r="O1625" t="s">
        <v>49</v>
      </c>
      <c r="P1625">
        <v>0</v>
      </c>
      <c r="Q1625" t="s">
        <v>111</v>
      </c>
      <c r="R1625" t="s">
        <v>51</v>
      </c>
      <c r="S1625">
        <v>1884</v>
      </c>
      <c r="T1625">
        <v>1957</v>
      </c>
      <c r="U1625" t="s">
        <v>6891</v>
      </c>
      <c r="V1625" t="s">
        <v>6892</v>
      </c>
      <c r="Y1625" t="s">
        <v>6893</v>
      </c>
      <c r="Z1625">
        <v>0</v>
      </c>
      <c r="AA1625">
        <v>2</v>
      </c>
      <c r="AB1625">
        <v>0</v>
      </c>
      <c r="AC1625">
        <v>-777</v>
      </c>
      <c r="AF1625">
        <v>1953</v>
      </c>
      <c r="AG1625">
        <v>1957</v>
      </c>
      <c r="AO1625" t="b">
        <v>0</v>
      </c>
      <c r="AT1625">
        <v>1698</v>
      </c>
      <c r="AU1625">
        <f t="shared" si="77"/>
        <v>4.6520000000000001</v>
      </c>
    </row>
    <row r="1626" spans="1:47" x14ac:dyDescent="0.3">
      <c r="A1626">
        <v>1624</v>
      </c>
      <c r="B1626" t="s">
        <v>6894</v>
      </c>
      <c r="C1626" t="s">
        <v>6895</v>
      </c>
      <c r="D1626">
        <v>315</v>
      </c>
      <c r="E1626" t="s">
        <v>6863</v>
      </c>
      <c r="F1626" t="str">
        <f>VLOOKUP(E1626,country_continent!A:C,2,FALSE)</f>
        <v>Czechoslovakia</v>
      </c>
      <c r="G1626" t="str">
        <f>VLOOKUP(E1626,country_continent!A:C,3,FALSE)</f>
        <v>Europe</v>
      </c>
      <c r="H1626" t="s">
        <v>6896</v>
      </c>
      <c r="I1626" s="1">
        <v>21143</v>
      </c>
      <c r="J1626" s="3">
        <f t="shared" si="75"/>
        <v>21143</v>
      </c>
      <c r="K1626" s="1">
        <v>24842</v>
      </c>
      <c r="L1626" s="3">
        <f t="shared" si="76"/>
        <v>24842</v>
      </c>
      <c r="M1626" t="s">
        <v>49</v>
      </c>
      <c r="N1626" t="s">
        <v>49</v>
      </c>
      <c r="O1626" t="s">
        <v>49</v>
      </c>
      <c r="P1626">
        <v>0</v>
      </c>
      <c r="Q1626" t="s">
        <v>50</v>
      </c>
      <c r="R1626" t="s">
        <v>51</v>
      </c>
      <c r="S1626">
        <v>1904</v>
      </c>
      <c r="T1626">
        <v>1975</v>
      </c>
      <c r="U1626" s="1">
        <v>1806</v>
      </c>
      <c r="V1626" s="2">
        <v>1806</v>
      </c>
      <c r="W1626" s="1">
        <v>27422</v>
      </c>
      <c r="X1626" s="2">
        <v>27422</v>
      </c>
      <c r="Y1626" t="s">
        <v>6897</v>
      </c>
      <c r="Z1626">
        <v>0</v>
      </c>
      <c r="AA1626">
        <v>1</v>
      </c>
      <c r="AB1626">
        <v>0</v>
      </c>
      <c r="AC1626">
        <v>0</v>
      </c>
      <c r="AF1626">
        <v>1957</v>
      </c>
      <c r="AG1626">
        <v>1968</v>
      </c>
      <c r="AK1626">
        <v>24.544444444444402</v>
      </c>
      <c r="AL1626">
        <v>0.35213212897203999</v>
      </c>
      <c r="AO1626" t="b">
        <v>0</v>
      </c>
      <c r="AT1626">
        <v>3699</v>
      </c>
      <c r="AU1626">
        <f t="shared" si="77"/>
        <v>10.134</v>
      </c>
    </row>
    <row r="1627" spans="1:47" x14ac:dyDescent="0.3">
      <c r="A1627">
        <v>1625</v>
      </c>
      <c r="B1627" t="s">
        <v>6898</v>
      </c>
      <c r="C1627" t="s">
        <v>6899</v>
      </c>
      <c r="D1627">
        <v>315</v>
      </c>
      <c r="E1627" t="s">
        <v>6863</v>
      </c>
      <c r="F1627" t="str">
        <f>VLOOKUP(E1627,country_continent!A:C,2,FALSE)</f>
        <v>Czechoslovakia</v>
      </c>
      <c r="G1627" t="str">
        <f>VLOOKUP(E1627,country_continent!A:C,3,FALSE)</f>
        <v>Europe</v>
      </c>
      <c r="H1627" t="s">
        <v>6900</v>
      </c>
      <c r="I1627" s="1">
        <v>24842</v>
      </c>
      <c r="J1627" s="3">
        <f t="shared" si="75"/>
        <v>24842</v>
      </c>
      <c r="K1627" s="1">
        <v>25070</v>
      </c>
      <c r="L1627" s="3">
        <f t="shared" si="76"/>
        <v>25070</v>
      </c>
      <c r="M1627" t="s">
        <v>49</v>
      </c>
      <c r="N1627" t="s">
        <v>633</v>
      </c>
      <c r="O1627" t="s">
        <v>634</v>
      </c>
      <c r="P1627">
        <v>0</v>
      </c>
      <c r="Q1627" t="s">
        <v>463</v>
      </c>
      <c r="R1627" t="s">
        <v>51</v>
      </c>
      <c r="S1627">
        <v>1921</v>
      </c>
      <c r="T1627">
        <v>1992</v>
      </c>
      <c r="U1627" s="1">
        <v>8002</v>
      </c>
      <c r="V1627" s="2">
        <v>8002</v>
      </c>
      <c r="W1627" s="1">
        <v>33915</v>
      </c>
      <c r="X1627" s="2">
        <v>33915</v>
      </c>
      <c r="Z1627">
        <v>0</v>
      </c>
      <c r="AA1627">
        <v>4</v>
      </c>
      <c r="AB1627">
        <v>9</v>
      </c>
      <c r="AC1627">
        <v>2</v>
      </c>
      <c r="AF1627">
        <v>1968</v>
      </c>
      <c r="AG1627">
        <v>1968</v>
      </c>
      <c r="AK1627">
        <v>24.7</v>
      </c>
      <c r="AL1627">
        <v>0.23768786934069799</v>
      </c>
      <c r="AO1627" t="b">
        <v>0</v>
      </c>
      <c r="AT1627">
        <v>228</v>
      </c>
      <c r="AU1627">
        <f t="shared" si="77"/>
        <v>0.625</v>
      </c>
    </row>
    <row r="1628" spans="1:47" x14ac:dyDescent="0.3">
      <c r="A1628">
        <v>1626</v>
      </c>
      <c r="B1628" t="s">
        <v>6901</v>
      </c>
      <c r="C1628" t="s">
        <v>6902</v>
      </c>
      <c r="D1628">
        <v>315</v>
      </c>
      <c r="E1628" t="s">
        <v>6863</v>
      </c>
      <c r="F1628" t="str">
        <f>VLOOKUP(E1628,country_continent!A:C,2,FALSE)</f>
        <v>Czechoslovakia</v>
      </c>
      <c r="G1628" t="str">
        <f>VLOOKUP(E1628,country_continent!A:C,3,FALSE)</f>
        <v>Europe</v>
      </c>
      <c r="H1628" t="s">
        <v>6903</v>
      </c>
      <c r="I1628" s="1">
        <v>25070</v>
      </c>
      <c r="J1628" s="3">
        <f t="shared" si="75"/>
        <v>25070</v>
      </c>
      <c r="K1628" s="1">
        <v>25078</v>
      </c>
      <c r="L1628" s="3">
        <f t="shared" si="76"/>
        <v>25078</v>
      </c>
      <c r="M1628" t="s">
        <v>49</v>
      </c>
      <c r="N1628" t="s">
        <v>633</v>
      </c>
      <c r="O1628" t="s">
        <v>634</v>
      </c>
      <c r="P1628">
        <v>0</v>
      </c>
      <c r="Q1628" t="s">
        <v>50</v>
      </c>
      <c r="R1628" t="s">
        <v>51</v>
      </c>
      <c r="S1628">
        <v>1895</v>
      </c>
      <c r="T1628">
        <v>1979</v>
      </c>
      <c r="U1628" t="s">
        <v>6904</v>
      </c>
      <c r="V1628" t="s">
        <v>6905</v>
      </c>
      <c r="W1628" s="1">
        <v>29118</v>
      </c>
      <c r="X1628" s="2">
        <v>29118</v>
      </c>
      <c r="Y1628" t="s">
        <v>6906</v>
      </c>
      <c r="Z1628">
        <v>0</v>
      </c>
      <c r="AA1628">
        <v>4</v>
      </c>
      <c r="AB1628">
        <v>9</v>
      </c>
      <c r="AC1628">
        <v>0</v>
      </c>
      <c r="AF1628">
        <v>1968</v>
      </c>
      <c r="AG1628">
        <v>1968</v>
      </c>
      <c r="AK1628">
        <v>24.7</v>
      </c>
      <c r="AL1628">
        <v>0.23768786934069799</v>
      </c>
      <c r="AO1628" t="b">
        <v>0</v>
      </c>
      <c r="AT1628">
        <v>8</v>
      </c>
      <c r="AU1628">
        <f t="shared" si="77"/>
        <v>2.1999999999999999E-2</v>
      </c>
    </row>
    <row r="1629" spans="1:47" x14ac:dyDescent="0.3">
      <c r="A1629">
        <v>1627</v>
      </c>
      <c r="B1629" t="s">
        <v>6907</v>
      </c>
      <c r="C1629" t="s">
        <v>6908</v>
      </c>
      <c r="D1629">
        <v>315</v>
      </c>
      <c r="E1629" t="s">
        <v>6863</v>
      </c>
      <c r="F1629" t="str">
        <f>VLOOKUP(E1629,country_continent!A:C,2,FALSE)</f>
        <v>Czechoslovakia</v>
      </c>
      <c r="G1629" t="str">
        <f>VLOOKUP(E1629,country_continent!A:C,3,FALSE)</f>
        <v>Europe</v>
      </c>
      <c r="H1629" t="s">
        <v>6909</v>
      </c>
      <c r="I1629" s="1">
        <v>25078</v>
      </c>
      <c r="J1629" s="3">
        <f t="shared" si="75"/>
        <v>25078</v>
      </c>
      <c r="K1629" s="1">
        <v>32859</v>
      </c>
      <c r="L1629" s="3">
        <f t="shared" si="76"/>
        <v>32859</v>
      </c>
      <c r="M1629" t="s">
        <v>637</v>
      </c>
      <c r="N1629" t="s">
        <v>49</v>
      </c>
      <c r="O1629" t="s">
        <v>49</v>
      </c>
      <c r="P1629">
        <v>0</v>
      </c>
      <c r="Q1629" t="s">
        <v>50</v>
      </c>
      <c r="R1629" t="s">
        <v>51</v>
      </c>
      <c r="S1629">
        <v>1913</v>
      </c>
      <c r="T1629">
        <v>1991</v>
      </c>
      <c r="U1629" s="1">
        <v>4759</v>
      </c>
      <c r="V1629" s="2">
        <v>4759</v>
      </c>
      <c r="W1629" s="1">
        <v>33560</v>
      </c>
      <c r="X1629" s="2">
        <v>33560</v>
      </c>
      <c r="Y1629" t="s">
        <v>6910</v>
      </c>
      <c r="Z1629">
        <v>2</v>
      </c>
      <c r="AA1629">
        <v>1</v>
      </c>
      <c r="AB1629">
        <v>0</v>
      </c>
      <c r="AC1629">
        <v>0</v>
      </c>
      <c r="AF1629">
        <v>1968</v>
      </c>
      <c r="AG1629">
        <v>1989</v>
      </c>
      <c r="AK1629">
        <v>18.590909090909001</v>
      </c>
      <c r="AL1629">
        <v>0.22858906235641599</v>
      </c>
      <c r="AO1629" t="b">
        <v>0</v>
      </c>
      <c r="AT1629">
        <v>7781</v>
      </c>
      <c r="AU1629">
        <f t="shared" si="77"/>
        <v>21.318000000000001</v>
      </c>
    </row>
    <row r="1630" spans="1:47" x14ac:dyDescent="0.3">
      <c r="A1630">
        <v>1628</v>
      </c>
      <c r="B1630" t="s">
        <v>6911</v>
      </c>
      <c r="C1630" t="s">
        <v>6912</v>
      </c>
      <c r="D1630">
        <v>315</v>
      </c>
      <c r="E1630" t="s">
        <v>6863</v>
      </c>
      <c r="F1630" t="str">
        <f>VLOOKUP(E1630,country_continent!A:C,2,FALSE)</f>
        <v>Czechoslovakia</v>
      </c>
      <c r="G1630" t="str">
        <f>VLOOKUP(E1630,country_continent!A:C,3,FALSE)</f>
        <v>Europe</v>
      </c>
      <c r="H1630" t="s">
        <v>6913</v>
      </c>
      <c r="I1630" s="1">
        <v>32859</v>
      </c>
      <c r="J1630" s="3">
        <f t="shared" si="75"/>
        <v>32859</v>
      </c>
      <c r="K1630" s="1">
        <v>33786</v>
      </c>
      <c r="L1630" s="3">
        <f t="shared" si="76"/>
        <v>33786</v>
      </c>
      <c r="M1630" t="s">
        <v>49</v>
      </c>
      <c r="N1630" t="s">
        <v>49</v>
      </c>
      <c r="O1630" t="s">
        <v>49</v>
      </c>
      <c r="P1630">
        <v>0</v>
      </c>
      <c r="Q1630" t="s">
        <v>50</v>
      </c>
      <c r="R1630" t="s">
        <v>51</v>
      </c>
      <c r="S1630">
        <v>1946</v>
      </c>
      <c r="T1630">
        <v>-777</v>
      </c>
      <c r="Y1630" t="s">
        <v>6914</v>
      </c>
      <c r="Z1630">
        <v>0</v>
      </c>
      <c r="AA1630">
        <v>1</v>
      </c>
      <c r="AB1630">
        <v>0</v>
      </c>
      <c r="AC1630">
        <v>0</v>
      </c>
      <c r="AF1630">
        <v>1989</v>
      </c>
      <c r="AG1630">
        <v>1992</v>
      </c>
      <c r="AH1630">
        <v>-6.0053598275315796</v>
      </c>
      <c r="AI1630">
        <v>3380</v>
      </c>
      <c r="AJ1630">
        <v>24.274825602568399</v>
      </c>
      <c r="AK1630">
        <v>11.85</v>
      </c>
      <c r="AL1630">
        <v>-8.7434311514417495E-2</v>
      </c>
      <c r="AM1630">
        <v>1.41562095050237</v>
      </c>
      <c r="AO1630" t="b">
        <v>0</v>
      </c>
      <c r="AT1630">
        <v>927</v>
      </c>
      <c r="AU1630">
        <f t="shared" si="77"/>
        <v>2.54</v>
      </c>
    </row>
    <row r="1631" spans="1:47" x14ac:dyDescent="0.3">
      <c r="A1631">
        <v>1629</v>
      </c>
      <c r="B1631" t="s">
        <v>6915</v>
      </c>
      <c r="C1631" t="s">
        <v>6916</v>
      </c>
      <c r="D1631">
        <v>315</v>
      </c>
      <c r="E1631" t="s">
        <v>6863</v>
      </c>
      <c r="F1631" t="str">
        <f>VLOOKUP(E1631,country_continent!A:C,2,FALSE)</f>
        <v>Czechoslovakia</v>
      </c>
      <c r="G1631" t="str">
        <f>VLOOKUP(E1631,country_continent!A:C,3,FALSE)</f>
        <v>Europe</v>
      </c>
      <c r="H1631" t="s">
        <v>6917</v>
      </c>
      <c r="I1631" s="1">
        <v>33786</v>
      </c>
      <c r="J1631" s="3">
        <f t="shared" si="75"/>
        <v>33786</v>
      </c>
      <c r="K1631" s="1">
        <v>33969</v>
      </c>
      <c r="L1631" s="3">
        <f t="shared" si="76"/>
        <v>33969</v>
      </c>
      <c r="M1631" t="s">
        <v>49</v>
      </c>
      <c r="N1631" t="s">
        <v>49</v>
      </c>
      <c r="O1631" t="s">
        <v>49</v>
      </c>
      <c r="P1631">
        <v>0</v>
      </c>
      <c r="Q1631" t="s">
        <v>50</v>
      </c>
      <c r="R1631" t="s">
        <v>51</v>
      </c>
      <c r="S1631">
        <v>1940</v>
      </c>
      <c r="T1631">
        <v>-777</v>
      </c>
      <c r="Z1631">
        <v>0</v>
      </c>
      <c r="AA1631">
        <v>1</v>
      </c>
      <c r="AB1631">
        <v>0</v>
      </c>
      <c r="AC1631">
        <v>0</v>
      </c>
      <c r="AF1631">
        <v>1992</v>
      </c>
      <c r="AG1631">
        <v>1992</v>
      </c>
      <c r="AH1631">
        <v>-0.60821362961976799</v>
      </c>
      <c r="AI1631">
        <v>3380</v>
      </c>
      <c r="AJ1631">
        <v>12.3572626077911</v>
      </c>
      <c r="AK1631">
        <v>11.1</v>
      </c>
      <c r="AL1631">
        <v>0.102241165106867</v>
      </c>
      <c r="AM1631">
        <v>1.10996929899171</v>
      </c>
      <c r="AO1631" t="b">
        <v>0</v>
      </c>
      <c r="AT1631">
        <v>183</v>
      </c>
      <c r="AU1631">
        <f t="shared" si="77"/>
        <v>0.501</v>
      </c>
    </row>
    <row r="1632" spans="1:47" x14ac:dyDescent="0.3">
      <c r="A1632">
        <v>1630</v>
      </c>
      <c r="B1632" t="s">
        <v>6918</v>
      </c>
      <c r="C1632" t="s">
        <v>6919</v>
      </c>
      <c r="D1632">
        <v>316</v>
      </c>
      <c r="E1632" t="s">
        <v>6920</v>
      </c>
      <c r="F1632" t="str">
        <f>VLOOKUP(E1632,country_continent!A:C,2,FALSE)</f>
        <v>Czech Republic</v>
      </c>
      <c r="G1632" t="str">
        <f>VLOOKUP(E1632,country_continent!A:C,3,FALSE)</f>
        <v>Europe</v>
      </c>
      <c r="H1632" t="s">
        <v>6746</v>
      </c>
      <c r="I1632" s="1">
        <v>33970</v>
      </c>
      <c r="J1632" s="3">
        <f t="shared" si="75"/>
        <v>33970</v>
      </c>
      <c r="K1632" s="1">
        <v>35781</v>
      </c>
      <c r="L1632" s="3">
        <f t="shared" si="76"/>
        <v>35781</v>
      </c>
      <c r="M1632" t="s">
        <v>49</v>
      </c>
      <c r="N1632" t="s">
        <v>49</v>
      </c>
      <c r="O1632" t="s">
        <v>49</v>
      </c>
      <c r="P1632">
        <v>0</v>
      </c>
      <c r="Q1632" t="s">
        <v>50</v>
      </c>
      <c r="R1632" t="s">
        <v>51</v>
      </c>
      <c r="S1632">
        <v>1941</v>
      </c>
      <c r="T1632">
        <v>-777</v>
      </c>
      <c r="U1632" s="1">
        <v>15146</v>
      </c>
      <c r="V1632" s="2">
        <v>15146</v>
      </c>
      <c r="Y1632" t="s">
        <v>6747</v>
      </c>
      <c r="Z1632">
        <v>0</v>
      </c>
      <c r="AA1632">
        <v>1</v>
      </c>
      <c r="AB1632">
        <v>0</v>
      </c>
      <c r="AC1632">
        <v>0</v>
      </c>
      <c r="AF1632">
        <v>1993</v>
      </c>
      <c r="AG1632">
        <v>1997</v>
      </c>
      <c r="AO1632" t="b">
        <v>0</v>
      </c>
      <c r="AT1632">
        <v>1811</v>
      </c>
      <c r="AU1632">
        <f t="shared" si="77"/>
        <v>4.9619999999999997</v>
      </c>
    </row>
    <row r="1633" spans="1:47" x14ac:dyDescent="0.3">
      <c r="A1633">
        <v>1631</v>
      </c>
      <c r="B1633" t="s">
        <v>6921</v>
      </c>
      <c r="C1633" t="s">
        <v>6922</v>
      </c>
      <c r="D1633">
        <v>316</v>
      </c>
      <c r="E1633" t="s">
        <v>6920</v>
      </c>
      <c r="F1633" t="str">
        <f>VLOOKUP(E1633,country_continent!A:C,2,FALSE)</f>
        <v>Czech Republic</v>
      </c>
      <c r="G1633" t="str">
        <f>VLOOKUP(E1633,country_continent!A:C,3,FALSE)</f>
        <v>Europe</v>
      </c>
      <c r="H1633" t="s">
        <v>6923</v>
      </c>
      <c r="I1633" s="1">
        <v>35781</v>
      </c>
      <c r="J1633" s="3">
        <f t="shared" si="75"/>
        <v>35781</v>
      </c>
      <c r="K1633" s="1">
        <v>35993</v>
      </c>
      <c r="L1633" s="3">
        <f t="shared" si="76"/>
        <v>35993</v>
      </c>
      <c r="M1633" t="s">
        <v>49</v>
      </c>
      <c r="N1633" t="s">
        <v>49</v>
      </c>
      <c r="O1633" t="s">
        <v>49</v>
      </c>
      <c r="P1633">
        <v>0</v>
      </c>
      <c r="Q1633" t="s">
        <v>50</v>
      </c>
      <c r="R1633" t="s">
        <v>51</v>
      </c>
      <c r="S1633">
        <v>1950</v>
      </c>
      <c r="T1633">
        <v>-777</v>
      </c>
      <c r="Z1633">
        <v>0</v>
      </c>
      <c r="AA1633">
        <v>1</v>
      </c>
      <c r="AB1633">
        <v>0</v>
      </c>
      <c r="AC1633">
        <v>0</v>
      </c>
      <c r="AF1633">
        <v>1997</v>
      </c>
      <c r="AG1633">
        <v>1998</v>
      </c>
      <c r="AO1633" t="b">
        <v>0</v>
      </c>
      <c r="AT1633">
        <v>212</v>
      </c>
      <c r="AU1633">
        <f t="shared" si="77"/>
        <v>0.58099999999999996</v>
      </c>
    </row>
    <row r="1634" spans="1:47" x14ac:dyDescent="0.3">
      <c r="A1634">
        <v>1632</v>
      </c>
      <c r="B1634" t="s">
        <v>6924</v>
      </c>
      <c r="C1634" t="s">
        <v>6925</v>
      </c>
      <c r="D1634">
        <v>316</v>
      </c>
      <c r="E1634" t="s">
        <v>6920</v>
      </c>
      <c r="F1634" t="str">
        <f>VLOOKUP(E1634,country_continent!A:C,2,FALSE)</f>
        <v>Czech Republic</v>
      </c>
      <c r="G1634" t="str">
        <f>VLOOKUP(E1634,country_continent!A:C,3,FALSE)</f>
        <v>Europe</v>
      </c>
      <c r="H1634" t="s">
        <v>6926</v>
      </c>
      <c r="I1634" s="1">
        <v>35993</v>
      </c>
      <c r="J1634" s="3">
        <f t="shared" si="75"/>
        <v>35993</v>
      </c>
      <c r="K1634" s="1">
        <v>37449</v>
      </c>
      <c r="L1634" s="3">
        <f t="shared" si="76"/>
        <v>37449</v>
      </c>
      <c r="M1634" t="s">
        <v>49</v>
      </c>
      <c r="N1634" t="s">
        <v>49</v>
      </c>
      <c r="O1634" t="s">
        <v>49</v>
      </c>
      <c r="P1634">
        <v>0</v>
      </c>
      <c r="Q1634" t="s">
        <v>50</v>
      </c>
      <c r="R1634" t="s">
        <v>51</v>
      </c>
      <c r="S1634">
        <v>1944</v>
      </c>
      <c r="T1634">
        <v>-777</v>
      </c>
      <c r="Z1634">
        <v>0</v>
      </c>
      <c r="AA1634">
        <v>1</v>
      </c>
      <c r="AB1634">
        <v>0</v>
      </c>
      <c r="AC1634">
        <v>0</v>
      </c>
      <c r="AF1634">
        <v>1998</v>
      </c>
      <c r="AG1634">
        <v>2002</v>
      </c>
      <c r="AO1634" t="b">
        <v>0</v>
      </c>
      <c r="AT1634">
        <v>1456</v>
      </c>
      <c r="AU1634">
        <f t="shared" si="77"/>
        <v>3.9889999999999999</v>
      </c>
    </row>
    <row r="1635" spans="1:47" x14ac:dyDescent="0.3">
      <c r="A1635">
        <v>1633</v>
      </c>
      <c r="B1635" t="s">
        <v>6927</v>
      </c>
      <c r="C1635" t="s">
        <v>6928</v>
      </c>
      <c r="D1635">
        <v>316</v>
      </c>
      <c r="E1635" t="s">
        <v>6920</v>
      </c>
      <c r="F1635" t="str">
        <f>VLOOKUP(E1635,country_continent!A:C,2,FALSE)</f>
        <v>Czech Republic</v>
      </c>
      <c r="G1635" t="str">
        <f>VLOOKUP(E1635,country_continent!A:C,3,FALSE)</f>
        <v>Europe</v>
      </c>
      <c r="H1635" t="s">
        <v>6929</v>
      </c>
      <c r="I1635" s="1">
        <v>37449</v>
      </c>
      <c r="J1635" s="3">
        <f t="shared" si="75"/>
        <v>37449</v>
      </c>
      <c r="K1635" s="1">
        <v>38194</v>
      </c>
      <c r="L1635" s="3">
        <f t="shared" si="76"/>
        <v>38194</v>
      </c>
      <c r="M1635" t="s">
        <v>49</v>
      </c>
      <c r="N1635" t="s">
        <v>49</v>
      </c>
      <c r="O1635" t="s">
        <v>49</v>
      </c>
      <c r="P1635">
        <v>0</v>
      </c>
      <c r="Q1635" t="s">
        <v>50</v>
      </c>
      <c r="R1635" t="s">
        <v>51</v>
      </c>
      <c r="S1635">
        <v>1951</v>
      </c>
      <c r="T1635">
        <v>-777</v>
      </c>
      <c r="U1635" s="1">
        <v>18740</v>
      </c>
      <c r="V1635" s="2">
        <v>18740</v>
      </c>
      <c r="Z1635">
        <v>0</v>
      </c>
      <c r="AA1635">
        <v>1</v>
      </c>
      <c r="AB1635">
        <v>0</v>
      </c>
      <c r="AC1635">
        <v>0</v>
      </c>
      <c r="AF1635">
        <v>2002</v>
      </c>
      <c r="AG1635">
        <v>2004</v>
      </c>
      <c r="AO1635" t="b">
        <v>0</v>
      </c>
      <c r="AT1635">
        <v>745</v>
      </c>
      <c r="AU1635">
        <f t="shared" si="77"/>
        <v>2.0409999999999999</v>
      </c>
    </row>
    <row r="1636" spans="1:47" x14ac:dyDescent="0.3">
      <c r="A1636">
        <v>1634</v>
      </c>
      <c r="B1636" t="s">
        <v>6930</v>
      </c>
      <c r="C1636" t="s">
        <v>6931</v>
      </c>
      <c r="D1636">
        <v>316</v>
      </c>
      <c r="E1636" t="s">
        <v>6920</v>
      </c>
      <c r="F1636" t="str">
        <f>VLOOKUP(E1636,country_continent!A:C,2,FALSE)</f>
        <v>Czech Republic</v>
      </c>
      <c r="G1636" t="str">
        <f>VLOOKUP(E1636,country_continent!A:C,3,FALSE)</f>
        <v>Europe</v>
      </c>
      <c r="H1636" t="s">
        <v>6932</v>
      </c>
      <c r="I1636" s="1">
        <v>38194</v>
      </c>
      <c r="J1636" s="3">
        <f t="shared" si="75"/>
        <v>38194</v>
      </c>
      <c r="K1636" s="1">
        <v>38467</v>
      </c>
      <c r="L1636" s="3">
        <f t="shared" si="76"/>
        <v>38467</v>
      </c>
      <c r="M1636" t="s">
        <v>49</v>
      </c>
      <c r="N1636" t="s">
        <v>49</v>
      </c>
      <c r="O1636" t="s">
        <v>49</v>
      </c>
      <c r="P1636">
        <v>0</v>
      </c>
      <c r="Q1636" t="s">
        <v>50</v>
      </c>
      <c r="R1636" t="s">
        <v>51</v>
      </c>
      <c r="S1636">
        <v>1969</v>
      </c>
      <c r="T1636">
        <v>-777</v>
      </c>
      <c r="U1636" s="1">
        <v>25506</v>
      </c>
      <c r="V1636" s="2">
        <v>25506</v>
      </c>
      <c r="Y1636" t="s">
        <v>6933</v>
      </c>
      <c r="Z1636">
        <v>0</v>
      </c>
      <c r="AA1636">
        <v>1</v>
      </c>
      <c r="AB1636">
        <v>0</v>
      </c>
      <c r="AC1636">
        <v>0</v>
      </c>
      <c r="AF1636">
        <v>2004</v>
      </c>
      <c r="AG1636">
        <v>2005</v>
      </c>
      <c r="AO1636" t="b">
        <v>0</v>
      </c>
      <c r="AT1636">
        <v>273</v>
      </c>
      <c r="AU1636">
        <f t="shared" si="77"/>
        <v>0.748</v>
      </c>
    </row>
    <row r="1637" spans="1:47" x14ac:dyDescent="0.3">
      <c r="A1637">
        <v>1635</v>
      </c>
      <c r="B1637" t="s">
        <v>6934</v>
      </c>
      <c r="C1637" t="s">
        <v>6935</v>
      </c>
      <c r="D1637">
        <v>316</v>
      </c>
      <c r="E1637" t="s">
        <v>6920</v>
      </c>
      <c r="F1637" t="str">
        <f>VLOOKUP(E1637,country_continent!A:C,2,FALSE)</f>
        <v>Czech Republic</v>
      </c>
      <c r="G1637" t="str">
        <f>VLOOKUP(E1637,country_continent!A:C,3,FALSE)</f>
        <v>Europe</v>
      </c>
      <c r="H1637" t="s">
        <v>6936</v>
      </c>
      <c r="I1637" s="1">
        <v>38467</v>
      </c>
      <c r="J1637" s="3">
        <f t="shared" si="75"/>
        <v>38467</v>
      </c>
      <c r="K1637" s="1">
        <v>38964</v>
      </c>
      <c r="L1637" s="3">
        <f t="shared" si="76"/>
        <v>38964</v>
      </c>
      <c r="M1637" t="s">
        <v>49</v>
      </c>
      <c r="N1637" t="s">
        <v>49</v>
      </c>
      <c r="O1637" t="s">
        <v>49</v>
      </c>
      <c r="P1637">
        <v>0</v>
      </c>
      <c r="Q1637" t="s">
        <v>50</v>
      </c>
      <c r="R1637" t="s">
        <v>51</v>
      </c>
      <c r="S1637">
        <v>1952</v>
      </c>
      <c r="T1637">
        <v>-777</v>
      </c>
      <c r="Z1637">
        <v>0</v>
      </c>
      <c r="AA1637">
        <v>1</v>
      </c>
      <c r="AB1637">
        <v>0</v>
      </c>
      <c r="AC1637">
        <v>0</v>
      </c>
      <c r="AF1637">
        <v>2005</v>
      </c>
      <c r="AG1637">
        <v>2006</v>
      </c>
      <c r="AO1637" t="b">
        <v>0</v>
      </c>
      <c r="AT1637">
        <v>497</v>
      </c>
      <c r="AU1637">
        <f t="shared" si="77"/>
        <v>1.3620000000000001</v>
      </c>
    </row>
    <row r="1638" spans="1:47" x14ac:dyDescent="0.3">
      <c r="A1638">
        <v>1636</v>
      </c>
      <c r="B1638" t="s">
        <v>6937</v>
      </c>
      <c r="C1638" t="s">
        <v>6938</v>
      </c>
      <c r="D1638">
        <v>316</v>
      </c>
      <c r="E1638" t="s">
        <v>6920</v>
      </c>
      <c r="F1638" t="str">
        <f>VLOOKUP(E1638,country_continent!A:C,2,FALSE)</f>
        <v>Czech Republic</v>
      </c>
      <c r="G1638" t="str">
        <f>VLOOKUP(E1638,country_continent!A:C,3,FALSE)</f>
        <v>Europe</v>
      </c>
      <c r="H1638" t="s">
        <v>6939</v>
      </c>
      <c r="I1638" s="1">
        <v>38964</v>
      </c>
      <c r="J1638" s="3">
        <f t="shared" si="75"/>
        <v>38964</v>
      </c>
      <c r="K1638" s="1">
        <v>39941</v>
      </c>
      <c r="L1638" s="3">
        <f t="shared" si="76"/>
        <v>39941</v>
      </c>
      <c r="M1638" t="s">
        <v>49</v>
      </c>
      <c r="N1638" t="s">
        <v>49</v>
      </c>
      <c r="O1638" t="s">
        <v>49</v>
      </c>
      <c r="P1638">
        <v>0</v>
      </c>
      <c r="Q1638" t="s">
        <v>50</v>
      </c>
      <c r="R1638" t="s">
        <v>51</v>
      </c>
      <c r="S1638">
        <v>1956</v>
      </c>
      <c r="T1638">
        <v>-777</v>
      </c>
      <c r="Z1638">
        <v>0</v>
      </c>
      <c r="AA1638">
        <v>1</v>
      </c>
      <c r="AB1638">
        <v>0</v>
      </c>
      <c r="AC1638">
        <v>0</v>
      </c>
      <c r="AF1638">
        <v>2006</v>
      </c>
      <c r="AG1638">
        <v>2009</v>
      </c>
      <c r="AO1638" t="b">
        <v>0</v>
      </c>
      <c r="AT1638">
        <v>977</v>
      </c>
      <c r="AU1638">
        <f t="shared" si="77"/>
        <v>2.677</v>
      </c>
    </row>
    <row r="1639" spans="1:47" x14ac:dyDescent="0.3">
      <c r="A1639">
        <v>1637</v>
      </c>
      <c r="B1639" t="s">
        <v>6940</v>
      </c>
      <c r="C1639" t="s">
        <v>6941</v>
      </c>
      <c r="D1639">
        <v>316</v>
      </c>
      <c r="E1639" t="s">
        <v>6920</v>
      </c>
      <c r="F1639" t="str">
        <f>VLOOKUP(E1639,country_continent!A:C,2,FALSE)</f>
        <v>Czech Republic</v>
      </c>
      <c r="G1639" t="str">
        <f>VLOOKUP(E1639,country_continent!A:C,3,FALSE)</f>
        <v>Europe</v>
      </c>
      <c r="H1639" t="s">
        <v>6942</v>
      </c>
      <c r="I1639" s="1">
        <v>39941</v>
      </c>
      <c r="J1639" s="3">
        <f t="shared" si="75"/>
        <v>39941</v>
      </c>
      <c r="K1639" s="1">
        <v>40372</v>
      </c>
      <c r="L1639" s="3">
        <f t="shared" si="76"/>
        <v>40372</v>
      </c>
      <c r="M1639" t="s">
        <v>49</v>
      </c>
      <c r="N1639" t="s">
        <v>49</v>
      </c>
      <c r="O1639" t="s">
        <v>49</v>
      </c>
      <c r="P1639">
        <v>0</v>
      </c>
      <c r="Q1639" t="s">
        <v>50</v>
      </c>
      <c r="R1639" t="s">
        <v>51</v>
      </c>
      <c r="S1639">
        <v>1951</v>
      </c>
      <c r="T1639">
        <v>-777</v>
      </c>
      <c r="Z1639">
        <v>0</v>
      </c>
      <c r="AA1639">
        <v>1</v>
      </c>
      <c r="AB1639">
        <v>0</v>
      </c>
      <c r="AC1639">
        <v>0</v>
      </c>
      <c r="AF1639">
        <v>2009</v>
      </c>
      <c r="AG1639">
        <v>2010</v>
      </c>
      <c r="AO1639" t="b">
        <v>0</v>
      </c>
      <c r="AT1639">
        <v>431</v>
      </c>
      <c r="AU1639">
        <f t="shared" si="77"/>
        <v>1.181</v>
      </c>
    </row>
    <row r="1640" spans="1:47" x14ac:dyDescent="0.3">
      <c r="A1640">
        <v>1638</v>
      </c>
      <c r="B1640" t="s">
        <v>6943</v>
      </c>
      <c r="C1640" t="s">
        <v>6944</v>
      </c>
      <c r="D1640">
        <v>316</v>
      </c>
      <c r="E1640" t="s">
        <v>6920</v>
      </c>
      <c r="F1640" t="str">
        <f>VLOOKUP(E1640,country_continent!A:C,2,FALSE)</f>
        <v>Czech Republic</v>
      </c>
      <c r="G1640" t="str">
        <f>VLOOKUP(E1640,country_continent!A:C,3,FALSE)</f>
        <v>Europe</v>
      </c>
      <c r="H1640" t="s">
        <v>6945</v>
      </c>
      <c r="I1640" s="1">
        <v>40372</v>
      </c>
      <c r="J1640" s="3">
        <f t="shared" si="75"/>
        <v>40372</v>
      </c>
      <c r="K1640" s="1">
        <v>41465</v>
      </c>
      <c r="L1640" s="3">
        <f t="shared" si="76"/>
        <v>41465</v>
      </c>
      <c r="M1640" t="s">
        <v>49</v>
      </c>
      <c r="N1640" t="s">
        <v>49</v>
      </c>
      <c r="O1640" t="s">
        <v>49</v>
      </c>
      <c r="P1640">
        <v>0</v>
      </c>
      <c r="Q1640" t="s">
        <v>50</v>
      </c>
      <c r="R1640" t="s">
        <v>51</v>
      </c>
      <c r="S1640">
        <v>1964</v>
      </c>
      <c r="T1640">
        <v>-777</v>
      </c>
      <c r="Z1640">
        <v>0</v>
      </c>
      <c r="AA1640">
        <v>1</v>
      </c>
      <c r="AB1640">
        <v>0</v>
      </c>
      <c r="AC1640">
        <v>0</v>
      </c>
      <c r="AF1640">
        <v>2010</v>
      </c>
      <c r="AG1640">
        <v>2013</v>
      </c>
      <c r="AO1640" t="b">
        <v>0</v>
      </c>
      <c r="AT1640">
        <v>1093</v>
      </c>
      <c r="AU1640">
        <f t="shared" si="77"/>
        <v>2.9950000000000001</v>
      </c>
    </row>
    <row r="1641" spans="1:47" x14ac:dyDescent="0.3">
      <c r="A1641">
        <v>1639</v>
      </c>
      <c r="B1641" t="s">
        <v>6946</v>
      </c>
      <c r="C1641" t="s">
        <v>6947</v>
      </c>
      <c r="D1641">
        <v>316</v>
      </c>
      <c r="E1641" t="s">
        <v>6920</v>
      </c>
      <c r="F1641" t="str">
        <f>VLOOKUP(E1641,country_continent!A:C,2,FALSE)</f>
        <v>Czech Republic</v>
      </c>
      <c r="G1641" t="str">
        <f>VLOOKUP(E1641,country_continent!A:C,3,FALSE)</f>
        <v>Europe</v>
      </c>
      <c r="H1641" t="s">
        <v>6948</v>
      </c>
      <c r="I1641" s="1">
        <v>41465</v>
      </c>
      <c r="J1641" s="3">
        <f t="shared" si="75"/>
        <v>41465</v>
      </c>
      <c r="K1641" s="1">
        <v>41668</v>
      </c>
      <c r="L1641" s="3">
        <f t="shared" si="76"/>
        <v>41668</v>
      </c>
      <c r="M1641" t="s">
        <v>49</v>
      </c>
      <c r="N1641" t="s">
        <v>49</v>
      </c>
      <c r="O1641" t="s">
        <v>49</v>
      </c>
      <c r="P1641">
        <v>0</v>
      </c>
      <c r="Q1641" t="s">
        <v>50</v>
      </c>
      <c r="R1641" t="s">
        <v>51</v>
      </c>
      <c r="S1641">
        <v>1960</v>
      </c>
      <c r="T1641">
        <v>-777</v>
      </c>
      <c r="U1641" s="1">
        <v>22205</v>
      </c>
      <c r="V1641" s="2">
        <v>22205</v>
      </c>
      <c r="Z1641">
        <v>0</v>
      </c>
      <c r="AA1641">
        <v>1</v>
      </c>
      <c r="AB1641">
        <v>0</v>
      </c>
      <c r="AC1641">
        <v>0</v>
      </c>
      <c r="AF1641">
        <v>2013</v>
      </c>
      <c r="AG1641">
        <v>2014</v>
      </c>
      <c r="AO1641" t="b">
        <v>0</v>
      </c>
      <c r="AT1641">
        <v>203</v>
      </c>
      <c r="AU1641">
        <f t="shared" si="77"/>
        <v>0.55600000000000005</v>
      </c>
    </row>
    <row r="1642" spans="1:47" x14ac:dyDescent="0.3">
      <c r="A1642">
        <v>1640</v>
      </c>
      <c r="B1642" t="s">
        <v>6949</v>
      </c>
      <c r="C1642" t="s">
        <v>6950</v>
      </c>
      <c r="D1642">
        <v>316</v>
      </c>
      <c r="E1642" t="s">
        <v>6920</v>
      </c>
      <c r="F1642" t="str">
        <f>VLOOKUP(E1642,country_continent!A:C,2,FALSE)</f>
        <v>Czech Republic</v>
      </c>
      <c r="G1642" t="str">
        <f>VLOOKUP(E1642,country_continent!A:C,3,FALSE)</f>
        <v>Europe</v>
      </c>
      <c r="H1642" t="s">
        <v>6951</v>
      </c>
      <c r="I1642" s="1">
        <v>41668</v>
      </c>
      <c r="J1642" s="3">
        <f t="shared" si="75"/>
        <v>41668</v>
      </c>
      <c r="K1642" s="1">
        <v>42369</v>
      </c>
      <c r="L1642" s="3">
        <f t="shared" si="76"/>
        <v>42369</v>
      </c>
      <c r="M1642" t="s">
        <v>49</v>
      </c>
      <c r="N1642" t="s">
        <v>173</v>
      </c>
      <c r="O1642" t="s">
        <v>173</v>
      </c>
      <c r="P1642">
        <v>0</v>
      </c>
      <c r="Q1642" t="s">
        <v>174</v>
      </c>
      <c r="R1642" t="s">
        <v>51</v>
      </c>
      <c r="S1642">
        <v>1971</v>
      </c>
      <c r="T1642">
        <v>-777</v>
      </c>
      <c r="U1642" s="1">
        <v>26229</v>
      </c>
      <c r="V1642" s="2">
        <v>26229</v>
      </c>
      <c r="Z1642">
        <v>0</v>
      </c>
      <c r="AA1642">
        <v>-888</v>
      </c>
      <c r="AB1642">
        <v>-888</v>
      </c>
      <c r="AC1642">
        <v>-888</v>
      </c>
      <c r="AF1642">
        <v>2014</v>
      </c>
      <c r="AG1642">
        <v>2015</v>
      </c>
      <c r="AO1642" t="b">
        <v>0</v>
      </c>
      <c r="AT1642">
        <v>701</v>
      </c>
      <c r="AU1642">
        <f t="shared" si="77"/>
        <v>1.921</v>
      </c>
    </row>
    <row r="1643" spans="1:47" x14ac:dyDescent="0.3">
      <c r="A1643">
        <v>1641</v>
      </c>
      <c r="B1643" t="s">
        <v>6952</v>
      </c>
      <c r="C1643" t="s">
        <v>6953</v>
      </c>
      <c r="D1643">
        <v>317</v>
      </c>
      <c r="E1643" t="s">
        <v>6954</v>
      </c>
      <c r="F1643" t="str">
        <f>VLOOKUP(E1643,country_continent!A:C,2,FALSE)</f>
        <v>Slovakia</v>
      </c>
      <c r="G1643" t="str">
        <f>VLOOKUP(E1643,country_continent!A:C,3,FALSE)</f>
        <v>Europe</v>
      </c>
      <c r="H1643" t="s">
        <v>6955</v>
      </c>
      <c r="I1643" s="1">
        <v>33970</v>
      </c>
      <c r="J1643" s="3">
        <f t="shared" si="75"/>
        <v>33970</v>
      </c>
      <c r="K1643" s="1">
        <v>34409</v>
      </c>
      <c r="L1643" s="3">
        <f t="shared" si="76"/>
        <v>34409</v>
      </c>
      <c r="M1643" t="s">
        <v>49</v>
      </c>
      <c r="N1643" t="s">
        <v>49</v>
      </c>
      <c r="O1643" t="s">
        <v>49</v>
      </c>
      <c r="P1643">
        <v>0</v>
      </c>
      <c r="Q1643" t="s">
        <v>50</v>
      </c>
      <c r="R1643" t="s">
        <v>51</v>
      </c>
      <c r="S1643">
        <v>1942</v>
      </c>
      <c r="T1643">
        <v>-777</v>
      </c>
      <c r="U1643" s="1">
        <v>15548</v>
      </c>
      <c r="V1643" s="2">
        <v>15548</v>
      </c>
      <c r="Y1643" t="s">
        <v>6956</v>
      </c>
      <c r="Z1643">
        <v>0</v>
      </c>
      <c r="AA1643">
        <v>1</v>
      </c>
      <c r="AB1643">
        <v>0</v>
      </c>
      <c r="AC1643">
        <v>0</v>
      </c>
      <c r="AF1643">
        <v>1993</v>
      </c>
      <c r="AG1643">
        <v>1994</v>
      </c>
      <c r="AO1643" t="b">
        <v>0</v>
      </c>
      <c r="AT1643">
        <v>439</v>
      </c>
      <c r="AU1643">
        <f t="shared" si="77"/>
        <v>1.2030000000000001</v>
      </c>
    </row>
    <row r="1644" spans="1:47" x14ac:dyDescent="0.3">
      <c r="A1644">
        <v>1642</v>
      </c>
      <c r="B1644" t="s">
        <v>6957</v>
      </c>
      <c r="C1644" t="s">
        <v>6958</v>
      </c>
      <c r="D1644">
        <v>317</v>
      </c>
      <c r="E1644" t="s">
        <v>6954</v>
      </c>
      <c r="F1644" t="str">
        <f>VLOOKUP(E1644,country_continent!A:C,2,FALSE)</f>
        <v>Slovakia</v>
      </c>
      <c r="G1644" t="str">
        <f>VLOOKUP(E1644,country_continent!A:C,3,FALSE)</f>
        <v>Europe</v>
      </c>
      <c r="H1644" t="s">
        <v>6959</v>
      </c>
      <c r="I1644" s="1">
        <v>34409</v>
      </c>
      <c r="J1644" s="3">
        <f t="shared" si="75"/>
        <v>34409</v>
      </c>
      <c r="K1644" s="1">
        <v>34681</v>
      </c>
      <c r="L1644" s="3">
        <f t="shared" si="76"/>
        <v>34681</v>
      </c>
      <c r="M1644" t="s">
        <v>49</v>
      </c>
      <c r="N1644" t="s">
        <v>49</v>
      </c>
      <c r="O1644" t="s">
        <v>49</v>
      </c>
      <c r="P1644">
        <v>0</v>
      </c>
      <c r="Q1644" t="s">
        <v>50</v>
      </c>
      <c r="R1644" t="s">
        <v>51</v>
      </c>
      <c r="S1644">
        <v>1945</v>
      </c>
      <c r="T1644">
        <v>-777</v>
      </c>
      <c r="Z1644">
        <v>0</v>
      </c>
      <c r="AA1644">
        <v>1</v>
      </c>
      <c r="AB1644">
        <v>0</v>
      </c>
      <c r="AC1644">
        <v>0</v>
      </c>
      <c r="AF1644">
        <v>1994</v>
      </c>
      <c r="AG1644">
        <v>1994</v>
      </c>
      <c r="AO1644" t="b">
        <v>0</v>
      </c>
      <c r="AT1644">
        <v>272</v>
      </c>
      <c r="AU1644">
        <f t="shared" si="77"/>
        <v>0.745</v>
      </c>
    </row>
    <row r="1645" spans="1:47" x14ac:dyDescent="0.3">
      <c r="A1645">
        <v>1643</v>
      </c>
      <c r="B1645" t="s">
        <v>6960</v>
      </c>
      <c r="C1645" t="s">
        <v>6953</v>
      </c>
      <c r="D1645">
        <v>317</v>
      </c>
      <c r="E1645" t="s">
        <v>6954</v>
      </c>
      <c r="F1645" t="str">
        <f>VLOOKUP(E1645,country_continent!A:C,2,FALSE)</f>
        <v>Slovakia</v>
      </c>
      <c r="G1645" t="str">
        <f>VLOOKUP(E1645,country_continent!A:C,3,FALSE)</f>
        <v>Europe</v>
      </c>
      <c r="H1645" t="s">
        <v>6955</v>
      </c>
      <c r="I1645" s="1">
        <v>34681</v>
      </c>
      <c r="J1645" s="3">
        <f t="shared" si="75"/>
        <v>34681</v>
      </c>
      <c r="K1645" s="1">
        <v>36098</v>
      </c>
      <c r="L1645" s="3">
        <f t="shared" si="76"/>
        <v>36098</v>
      </c>
      <c r="M1645" t="s">
        <v>49</v>
      </c>
      <c r="N1645" t="s">
        <v>49</v>
      </c>
      <c r="O1645" t="s">
        <v>49</v>
      </c>
      <c r="P1645">
        <v>1</v>
      </c>
      <c r="Q1645" t="s">
        <v>50</v>
      </c>
      <c r="R1645" t="s">
        <v>51</v>
      </c>
      <c r="S1645">
        <v>1942</v>
      </c>
      <c r="T1645">
        <v>-777</v>
      </c>
      <c r="U1645" s="1">
        <v>15548</v>
      </c>
      <c r="V1645" s="2">
        <v>15548</v>
      </c>
      <c r="Y1645" t="s">
        <v>6956</v>
      </c>
      <c r="Z1645">
        <v>0</v>
      </c>
      <c r="AA1645">
        <v>1</v>
      </c>
      <c r="AB1645">
        <v>0</v>
      </c>
      <c r="AC1645">
        <v>0</v>
      </c>
      <c r="AF1645">
        <v>1994</v>
      </c>
      <c r="AG1645">
        <v>1998</v>
      </c>
      <c r="AO1645" t="b">
        <v>0</v>
      </c>
      <c r="AT1645">
        <v>1417</v>
      </c>
      <c r="AU1645">
        <f t="shared" si="77"/>
        <v>3.8820000000000001</v>
      </c>
    </row>
    <row r="1646" spans="1:47" x14ac:dyDescent="0.3">
      <c r="A1646">
        <v>1644</v>
      </c>
      <c r="B1646" t="s">
        <v>6961</v>
      </c>
      <c r="C1646" t="s">
        <v>6962</v>
      </c>
      <c r="D1646">
        <v>317</v>
      </c>
      <c r="E1646" t="s">
        <v>6954</v>
      </c>
      <c r="F1646" t="str">
        <f>VLOOKUP(E1646,country_continent!A:C,2,FALSE)</f>
        <v>Slovakia</v>
      </c>
      <c r="G1646" t="str">
        <f>VLOOKUP(E1646,country_continent!A:C,3,FALSE)</f>
        <v>Europe</v>
      </c>
      <c r="H1646" t="s">
        <v>6963</v>
      </c>
      <c r="I1646" s="1">
        <v>36098</v>
      </c>
      <c r="J1646" s="3">
        <f t="shared" si="75"/>
        <v>36098</v>
      </c>
      <c r="K1646" s="1">
        <v>38902</v>
      </c>
      <c r="L1646" s="3">
        <f t="shared" si="76"/>
        <v>38902</v>
      </c>
      <c r="M1646" t="s">
        <v>49</v>
      </c>
      <c r="N1646" t="s">
        <v>49</v>
      </c>
      <c r="O1646" t="s">
        <v>49</v>
      </c>
      <c r="P1646">
        <v>0</v>
      </c>
      <c r="Q1646" t="s">
        <v>50</v>
      </c>
      <c r="R1646" t="s">
        <v>51</v>
      </c>
      <c r="S1646">
        <v>1955</v>
      </c>
      <c r="T1646">
        <v>-777</v>
      </c>
      <c r="U1646" s="1">
        <v>20124</v>
      </c>
      <c r="V1646" s="2">
        <v>20124</v>
      </c>
      <c r="Y1646" t="s">
        <v>6964</v>
      </c>
      <c r="Z1646">
        <v>0</v>
      </c>
      <c r="AA1646">
        <v>1</v>
      </c>
      <c r="AB1646">
        <v>0</v>
      </c>
      <c r="AC1646">
        <v>0</v>
      </c>
      <c r="AF1646">
        <v>1998</v>
      </c>
      <c r="AG1646">
        <v>2006</v>
      </c>
      <c r="AO1646" t="b">
        <v>0</v>
      </c>
      <c r="AT1646">
        <v>2804</v>
      </c>
      <c r="AU1646">
        <f t="shared" si="77"/>
        <v>7.6820000000000004</v>
      </c>
    </row>
    <row r="1647" spans="1:47" x14ac:dyDescent="0.3">
      <c r="A1647">
        <v>1645</v>
      </c>
      <c r="B1647" t="s">
        <v>6965</v>
      </c>
      <c r="C1647" t="s">
        <v>6966</v>
      </c>
      <c r="D1647">
        <v>317</v>
      </c>
      <c r="E1647" t="s">
        <v>6954</v>
      </c>
      <c r="F1647" t="str">
        <f>VLOOKUP(E1647,country_continent!A:C,2,FALSE)</f>
        <v>Slovakia</v>
      </c>
      <c r="G1647" t="str">
        <f>VLOOKUP(E1647,country_continent!A:C,3,FALSE)</f>
        <v>Europe</v>
      </c>
      <c r="H1647" t="s">
        <v>6967</v>
      </c>
      <c r="I1647" s="1">
        <v>38902</v>
      </c>
      <c r="J1647" s="3">
        <f t="shared" si="75"/>
        <v>38902</v>
      </c>
      <c r="K1647" s="1">
        <v>40367</v>
      </c>
      <c r="L1647" s="3">
        <f t="shared" si="76"/>
        <v>40367</v>
      </c>
      <c r="M1647" t="s">
        <v>49</v>
      </c>
      <c r="N1647" t="s">
        <v>49</v>
      </c>
      <c r="O1647" t="s">
        <v>49</v>
      </c>
      <c r="P1647">
        <v>0</v>
      </c>
      <c r="Q1647" t="s">
        <v>50</v>
      </c>
      <c r="R1647" t="s">
        <v>51</v>
      </c>
      <c r="S1647">
        <v>1964</v>
      </c>
      <c r="T1647">
        <v>-777</v>
      </c>
      <c r="Z1647">
        <v>0</v>
      </c>
      <c r="AA1647">
        <v>1</v>
      </c>
      <c r="AB1647">
        <v>0</v>
      </c>
      <c r="AC1647">
        <v>0</v>
      </c>
      <c r="AF1647">
        <v>2006</v>
      </c>
      <c r="AG1647">
        <v>2010</v>
      </c>
      <c r="AO1647" t="b">
        <v>0</v>
      </c>
      <c r="AT1647">
        <v>1465</v>
      </c>
      <c r="AU1647">
        <f t="shared" si="77"/>
        <v>4.0140000000000002</v>
      </c>
    </row>
    <row r="1648" spans="1:47" x14ac:dyDescent="0.3">
      <c r="A1648">
        <v>1646</v>
      </c>
      <c r="B1648" t="s">
        <v>6968</v>
      </c>
      <c r="C1648" t="s">
        <v>6969</v>
      </c>
      <c r="D1648">
        <v>317</v>
      </c>
      <c r="E1648" t="s">
        <v>6954</v>
      </c>
      <c r="F1648" t="str">
        <f>VLOOKUP(E1648,country_continent!A:C,2,FALSE)</f>
        <v>Slovakia</v>
      </c>
      <c r="G1648" t="str">
        <f>VLOOKUP(E1648,country_continent!A:C,3,FALSE)</f>
        <v>Europe</v>
      </c>
      <c r="H1648" t="s">
        <v>6970</v>
      </c>
      <c r="I1648" s="1">
        <v>40367</v>
      </c>
      <c r="J1648" s="3">
        <f t="shared" si="75"/>
        <v>40367</v>
      </c>
      <c r="K1648" s="1">
        <v>41003</v>
      </c>
      <c r="L1648" s="3">
        <f t="shared" si="76"/>
        <v>41003</v>
      </c>
      <c r="M1648" t="s">
        <v>49</v>
      </c>
      <c r="N1648" t="s">
        <v>49</v>
      </c>
      <c r="O1648" t="s">
        <v>49</v>
      </c>
      <c r="P1648">
        <v>0</v>
      </c>
      <c r="Q1648" t="s">
        <v>50</v>
      </c>
      <c r="R1648" t="s">
        <v>299</v>
      </c>
      <c r="S1648">
        <v>1956</v>
      </c>
      <c r="T1648">
        <v>-777</v>
      </c>
      <c r="Z1648">
        <v>0</v>
      </c>
      <c r="AA1648">
        <v>1</v>
      </c>
      <c r="AB1648">
        <v>0</v>
      </c>
      <c r="AC1648">
        <v>0</v>
      </c>
      <c r="AF1648">
        <v>2010</v>
      </c>
      <c r="AG1648">
        <v>2012</v>
      </c>
      <c r="AO1648" t="b">
        <v>0</v>
      </c>
      <c r="AT1648">
        <v>636</v>
      </c>
      <c r="AU1648">
        <f t="shared" si="77"/>
        <v>1.742</v>
      </c>
    </row>
    <row r="1649" spans="1:47" x14ac:dyDescent="0.3">
      <c r="A1649">
        <v>1647</v>
      </c>
      <c r="B1649" t="s">
        <v>6971</v>
      </c>
      <c r="C1649" t="s">
        <v>6966</v>
      </c>
      <c r="D1649">
        <v>317</v>
      </c>
      <c r="E1649" t="s">
        <v>6954</v>
      </c>
      <c r="F1649" t="str">
        <f>VLOOKUP(E1649,country_continent!A:C,2,FALSE)</f>
        <v>Slovakia</v>
      </c>
      <c r="G1649" t="str">
        <f>VLOOKUP(E1649,country_continent!A:C,3,FALSE)</f>
        <v>Europe</v>
      </c>
      <c r="H1649" t="s">
        <v>6967</v>
      </c>
      <c r="I1649" s="1">
        <v>41003</v>
      </c>
      <c r="J1649" s="3">
        <f t="shared" si="75"/>
        <v>41003</v>
      </c>
      <c r="K1649" s="1">
        <v>42369</v>
      </c>
      <c r="L1649" s="3">
        <f t="shared" si="76"/>
        <v>42369</v>
      </c>
      <c r="M1649" t="s">
        <v>49</v>
      </c>
      <c r="N1649" t="s">
        <v>173</v>
      </c>
      <c r="O1649" t="s">
        <v>173</v>
      </c>
      <c r="P1649">
        <v>1</v>
      </c>
      <c r="Q1649" t="s">
        <v>174</v>
      </c>
      <c r="R1649" t="s">
        <v>51</v>
      </c>
      <c r="S1649">
        <v>1964</v>
      </c>
      <c r="T1649">
        <v>-777</v>
      </c>
      <c r="U1649" s="1">
        <v>23635</v>
      </c>
      <c r="V1649" s="2">
        <v>23635</v>
      </c>
      <c r="Z1649">
        <v>0</v>
      </c>
      <c r="AA1649">
        <v>-888</v>
      </c>
      <c r="AB1649">
        <v>-888</v>
      </c>
      <c r="AC1649">
        <v>-888</v>
      </c>
      <c r="AF1649">
        <v>2012</v>
      </c>
      <c r="AG1649">
        <v>2015</v>
      </c>
      <c r="AO1649" t="b">
        <v>0</v>
      </c>
      <c r="AT1649">
        <v>1366</v>
      </c>
      <c r="AU1649">
        <f t="shared" si="77"/>
        <v>3.742</v>
      </c>
    </row>
    <row r="1650" spans="1:47" x14ac:dyDescent="0.3">
      <c r="A1650">
        <v>1648</v>
      </c>
      <c r="B1650" t="s">
        <v>6972</v>
      </c>
      <c r="C1650" t="s">
        <v>6973</v>
      </c>
      <c r="D1650">
        <v>325</v>
      </c>
      <c r="E1650" t="s">
        <v>6974</v>
      </c>
      <c r="F1650" t="str">
        <f>VLOOKUP(E1650,country_continent!A:C,2,FALSE)</f>
        <v>Italy</v>
      </c>
      <c r="G1650" t="str">
        <f>VLOOKUP(E1650,country_continent!A:C,3,FALSE)</f>
        <v>Europe</v>
      </c>
      <c r="H1650" t="s">
        <v>6975</v>
      </c>
      <c r="I1650" t="s">
        <v>6976</v>
      </c>
      <c r="J1650" s="3" t="str">
        <f t="shared" si="75"/>
        <v>1873/08/10</v>
      </c>
      <c r="K1650" t="s">
        <v>6977</v>
      </c>
      <c r="L1650" s="3" t="str">
        <f t="shared" si="76"/>
        <v>1876/03/18</v>
      </c>
      <c r="M1650" t="s">
        <v>49</v>
      </c>
      <c r="N1650" t="s">
        <v>49</v>
      </c>
      <c r="O1650" t="s">
        <v>49</v>
      </c>
      <c r="P1650">
        <v>1</v>
      </c>
      <c r="Q1650" t="s">
        <v>50</v>
      </c>
      <c r="R1650" t="s">
        <v>51</v>
      </c>
      <c r="S1650">
        <v>1818</v>
      </c>
      <c r="T1650">
        <v>1886</v>
      </c>
      <c r="Y1650" t="s">
        <v>6978</v>
      </c>
      <c r="Z1650">
        <v>0</v>
      </c>
      <c r="AA1650">
        <v>1</v>
      </c>
      <c r="AB1650">
        <v>0</v>
      </c>
      <c r="AC1650">
        <v>0</v>
      </c>
      <c r="AF1650">
        <v>1873</v>
      </c>
      <c r="AG1650">
        <v>1876</v>
      </c>
      <c r="AO1650" t="b">
        <v>1</v>
      </c>
      <c r="AP1650" t="s">
        <v>4202</v>
      </c>
      <c r="AQ1650">
        <v>1944</v>
      </c>
      <c r="AR1650">
        <v>1963</v>
      </c>
      <c r="AS1650" t="s">
        <v>6979</v>
      </c>
      <c r="AT1650">
        <v>2.6036960985626201</v>
      </c>
      <c r="AU1650">
        <f t="shared" si="77"/>
        <v>7.0000000000000001E-3</v>
      </c>
    </row>
    <row r="1651" spans="1:47" x14ac:dyDescent="0.3">
      <c r="A1651">
        <v>1649</v>
      </c>
      <c r="B1651" t="s">
        <v>6980</v>
      </c>
      <c r="C1651" t="s">
        <v>6981</v>
      </c>
      <c r="D1651">
        <v>325</v>
      </c>
      <c r="E1651" t="s">
        <v>6974</v>
      </c>
      <c r="F1651" t="str">
        <f>VLOOKUP(E1651,country_continent!A:C,2,FALSE)</f>
        <v>Italy</v>
      </c>
      <c r="G1651" t="str">
        <f>VLOOKUP(E1651,country_continent!A:C,3,FALSE)</f>
        <v>Europe</v>
      </c>
      <c r="H1651" t="s">
        <v>6982</v>
      </c>
      <c r="I1651" t="s">
        <v>6983</v>
      </c>
      <c r="J1651" s="3" t="str">
        <f t="shared" si="75"/>
        <v>1876/03/25</v>
      </c>
      <c r="K1651" t="s">
        <v>6984</v>
      </c>
      <c r="L1651" s="3" t="str">
        <f t="shared" si="76"/>
        <v>1878/03/11</v>
      </c>
      <c r="M1651" t="s">
        <v>49</v>
      </c>
      <c r="N1651" t="s">
        <v>49</v>
      </c>
      <c r="O1651" t="s">
        <v>49</v>
      </c>
      <c r="P1651">
        <v>0</v>
      </c>
      <c r="Q1651" t="s">
        <v>50</v>
      </c>
      <c r="R1651" t="s">
        <v>51</v>
      </c>
      <c r="S1651">
        <v>1813</v>
      </c>
      <c r="T1651">
        <v>1887</v>
      </c>
      <c r="Y1651" t="s">
        <v>6985</v>
      </c>
      <c r="Z1651">
        <v>0</v>
      </c>
      <c r="AA1651">
        <v>1</v>
      </c>
      <c r="AB1651">
        <v>0</v>
      </c>
      <c r="AC1651">
        <v>0</v>
      </c>
      <c r="AF1651">
        <v>1876</v>
      </c>
      <c r="AG1651">
        <v>1878</v>
      </c>
      <c r="AO1651" t="b">
        <v>1</v>
      </c>
      <c r="AP1651" t="s">
        <v>4202</v>
      </c>
      <c r="AQ1651">
        <v>1944</v>
      </c>
      <c r="AR1651">
        <v>1963</v>
      </c>
      <c r="AS1651" t="s">
        <v>6986</v>
      </c>
      <c r="AT1651">
        <v>1.9603011635865799</v>
      </c>
      <c r="AU1651">
        <f t="shared" si="77"/>
        <v>5.0000000000000001E-3</v>
      </c>
    </row>
    <row r="1652" spans="1:47" x14ac:dyDescent="0.3">
      <c r="A1652">
        <v>1650</v>
      </c>
      <c r="B1652" t="s">
        <v>6987</v>
      </c>
      <c r="C1652" t="s">
        <v>6988</v>
      </c>
      <c r="D1652">
        <v>325</v>
      </c>
      <c r="E1652" t="s">
        <v>6974</v>
      </c>
      <c r="F1652" t="str">
        <f>VLOOKUP(E1652,country_continent!A:C,2,FALSE)</f>
        <v>Italy</v>
      </c>
      <c r="G1652" t="str">
        <f>VLOOKUP(E1652,country_continent!A:C,3,FALSE)</f>
        <v>Europe</v>
      </c>
      <c r="H1652" t="s">
        <v>6989</v>
      </c>
      <c r="I1652" t="s">
        <v>6990</v>
      </c>
      <c r="J1652" s="3" t="str">
        <f t="shared" si="75"/>
        <v>1878/03/23</v>
      </c>
      <c r="K1652" t="s">
        <v>6991</v>
      </c>
      <c r="L1652" s="3" t="str">
        <f t="shared" si="76"/>
        <v>1878/12/09</v>
      </c>
      <c r="M1652" t="s">
        <v>49</v>
      </c>
      <c r="N1652" t="s">
        <v>49</v>
      </c>
      <c r="O1652" t="s">
        <v>49</v>
      </c>
      <c r="P1652">
        <v>0</v>
      </c>
      <c r="Q1652" t="s">
        <v>50</v>
      </c>
      <c r="R1652" t="s">
        <v>51</v>
      </c>
      <c r="S1652">
        <v>1825</v>
      </c>
      <c r="T1652">
        <v>1889</v>
      </c>
      <c r="Y1652" t="s">
        <v>6992</v>
      </c>
      <c r="Z1652">
        <v>0</v>
      </c>
      <c r="AA1652">
        <v>1</v>
      </c>
      <c r="AB1652">
        <v>0</v>
      </c>
      <c r="AC1652">
        <v>0</v>
      </c>
      <c r="AF1652">
        <v>1878</v>
      </c>
      <c r="AG1652">
        <v>1878</v>
      </c>
      <c r="AO1652" t="b">
        <v>1</v>
      </c>
      <c r="AP1652" t="s">
        <v>4202</v>
      </c>
      <c r="AQ1652">
        <v>1944</v>
      </c>
      <c r="AR1652">
        <v>1963</v>
      </c>
      <c r="AS1652" t="s">
        <v>6993</v>
      </c>
      <c r="AT1652">
        <v>0.71457905544147804</v>
      </c>
      <c r="AU1652">
        <f t="shared" si="77"/>
        <v>2E-3</v>
      </c>
    </row>
    <row r="1653" spans="1:47" x14ac:dyDescent="0.3">
      <c r="A1653">
        <v>1651</v>
      </c>
      <c r="B1653" t="s">
        <v>6994</v>
      </c>
      <c r="C1653" t="s">
        <v>6981</v>
      </c>
      <c r="D1653">
        <v>325</v>
      </c>
      <c r="E1653" t="s">
        <v>6974</v>
      </c>
      <c r="F1653" t="str">
        <f>VLOOKUP(E1653,country_continent!A:C,2,FALSE)</f>
        <v>Italy</v>
      </c>
      <c r="G1653" t="str">
        <f>VLOOKUP(E1653,country_continent!A:C,3,FALSE)</f>
        <v>Europe</v>
      </c>
      <c r="H1653" t="s">
        <v>6982</v>
      </c>
      <c r="I1653" t="s">
        <v>6995</v>
      </c>
      <c r="J1653" s="3" t="str">
        <f t="shared" si="75"/>
        <v>1878/12/18</v>
      </c>
      <c r="K1653" t="s">
        <v>6996</v>
      </c>
      <c r="L1653" s="3" t="str">
        <f t="shared" si="76"/>
        <v>1879/07/03</v>
      </c>
      <c r="M1653" t="s">
        <v>49</v>
      </c>
      <c r="N1653" t="s">
        <v>49</v>
      </c>
      <c r="O1653" t="s">
        <v>49</v>
      </c>
      <c r="P1653">
        <v>1</v>
      </c>
      <c r="Q1653" t="s">
        <v>50</v>
      </c>
      <c r="R1653" t="s">
        <v>51</v>
      </c>
      <c r="S1653">
        <v>1813</v>
      </c>
      <c r="T1653">
        <v>1887</v>
      </c>
      <c r="Y1653" t="s">
        <v>6985</v>
      </c>
      <c r="Z1653">
        <v>0</v>
      </c>
      <c r="AA1653">
        <v>1</v>
      </c>
      <c r="AB1653">
        <v>0</v>
      </c>
      <c r="AC1653">
        <v>0</v>
      </c>
      <c r="AF1653">
        <v>1878</v>
      </c>
      <c r="AG1653">
        <v>1879</v>
      </c>
      <c r="AO1653" t="b">
        <v>1</v>
      </c>
      <c r="AP1653" t="s">
        <v>4202</v>
      </c>
      <c r="AQ1653">
        <v>1944</v>
      </c>
      <c r="AR1653">
        <v>1963</v>
      </c>
      <c r="AS1653" t="s">
        <v>6997</v>
      </c>
      <c r="AT1653">
        <v>0.53935660506502303</v>
      </c>
      <c r="AU1653">
        <f t="shared" si="77"/>
        <v>1E-3</v>
      </c>
    </row>
    <row r="1654" spans="1:47" x14ac:dyDescent="0.3">
      <c r="A1654">
        <v>1652</v>
      </c>
      <c r="B1654" t="s">
        <v>6998</v>
      </c>
      <c r="C1654" t="s">
        <v>6988</v>
      </c>
      <c r="D1654">
        <v>325</v>
      </c>
      <c r="E1654" t="s">
        <v>6974</v>
      </c>
      <c r="F1654" t="str">
        <f>VLOOKUP(E1654,country_continent!A:C,2,FALSE)</f>
        <v>Italy</v>
      </c>
      <c r="G1654" t="str">
        <f>VLOOKUP(E1654,country_continent!A:C,3,FALSE)</f>
        <v>Europe</v>
      </c>
      <c r="H1654" t="s">
        <v>6989</v>
      </c>
      <c r="I1654" t="s">
        <v>6999</v>
      </c>
      <c r="J1654" s="3" t="str">
        <f t="shared" si="75"/>
        <v>1879/07/12</v>
      </c>
      <c r="K1654" t="s">
        <v>7000</v>
      </c>
      <c r="L1654" s="3" t="str">
        <f t="shared" si="76"/>
        <v>1881/05/14</v>
      </c>
      <c r="M1654" t="s">
        <v>49</v>
      </c>
      <c r="N1654" t="s">
        <v>49</v>
      </c>
      <c r="O1654" t="s">
        <v>49</v>
      </c>
      <c r="P1654">
        <v>1</v>
      </c>
      <c r="Q1654" t="s">
        <v>50</v>
      </c>
      <c r="R1654" t="s">
        <v>51</v>
      </c>
      <c r="S1654">
        <v>1825</v>
      </c>
      <c r="T1654">
        <v>1889</v>
      </c>
      <c r="Y1654" t="s">
        <v>6992</v>
      </c>
      <c r="Z1654">
        <v>0</v>
      </c>
      <c r="AA1654">
        <v>1</v>
      </c>
      <c r="AB1654">
        <v>0</v>
      </c>
      <c r="AC1654">
        <v>0</v>
      </c>
      <c r="AF1654">
        <v>1879</v>
      </c>
      <c r="AG1654">
        <v>1881</v>
      </c>
      <c r="AO1654" t="b">
        <v>1</v>
      </c>
      <c r="AP1654" t="s">
        <v>4202</v>
      </c>
      <c r="AQ1654">
        <v>1944</v>
      </c>
      <c r="AR1654">
        <v>1963</v>
      </c>
      <c r="AS1654" t="s">
        <v>7001</v>
      </c>
      <c r="AT1654">
        <v>1.83983572895277</v>
      </c>
      <c r="AU1654">
        <f t="shared" si="77"/>
        <v>5.0000000000000001E-3</v>
      </c>
    </row>
    <row r="1655" spans="1:47" x14ac:dyDescent="0.3">
      <c r="A1655">
        <v>1653</v>
      </c>
      <c r="B1655" t="s">
        <v>7002</v>
      </c>
      <c r="C1655" t="s">
        <v>6981</v>
      </c>
      <c r="D1655">
        <v>325</v>
      </c>
      <c r="E1655" t="s">
        <v>6974</v>
      </c>
      <c r="F1655" t="str">
        <f>VLOOKUP(E1655,country_continent!A:C,2,FALSE)</f>
        <v>Italy</v>
      </c>
      <c r="G1655" t="str">
        <f>VLOOKUP(E1655,country_continent!A:C,3,FALSE)</f>
        <v>Europe</v>
      </c>
      <c r="H1655" t="s">
        <v>6982</v>
      </c>
      <c r="I1655" t="s">
        <v>7003</v>
      </c>
      <c r="J1655" s="3" t="str">
        <f t="shared" si="75"/>
        <v>1881/05/28</v>
      </c>
      <c r="K1655" t="s">
        <v>7004</v>
      </c>
      <c r="L1655" s="3" t="str">
        <f t="shared" si="76"/>
        <v>1887/07/29</v>
      </c>
      <c r="M1655" t="s">
        <v>49</v>
      </c>
      <c r="N1655" t="s">
        <v>110</v>
      </c>
      <c r="O1655" t="s">
        <v>49</v>
      </c>
      <c r="P1655">
        <v>2</v>
      </c>
      <c r="Q1655" t="s">
        <v>111</v>
      </c>
      <c r="R1655" t="s">
        <v>51</v>
      </c>
      <c r="S1655">
        <v>1813</v>
      </c>
      <c r="T1655">
        <v>1887</v>
      </c>
      <c r="Y1655" t="s">
        <v>6985</v>
      </c>
      <c r="Z1655">
        <v>0</v>
      </c>
      <c r="AA1655">
        <v>2</v>
      </c>
      <c r="AB1655">
        <v>0</v>
      </c>
      <c r="AC1655">
        <v>-777</v>
      </c>
      <c r="AF1655">
        <v>1881</v>
      </c>
      <c r="AG1655">
        <v>1887</v>
      </c>
      <c r="AO1655" t="b">
        <v>1</v>
      </c>
      <c r="AP1655" t="s">
        <v>4202</v>
      </c>
      <c r="AQ1655">
        <v>1944</v>
      </c>
      <c r="AR1655">
        <v>1963</v>
      </c>
      <c r="AS1655" t="s">
        <v>7005</v>
      </c>
      <c r="AT1655">
        <v>6.16837782340862</v>
      </c>
      <c r="AU1655">
        <f t="shared" si="77"/>
        <v>1.7000000000000001E-2</v>
      </c>
    </row>
    <row r="1656" spans="1:47" x14ac:dyDescent="0.3">
      <c r="A1656">
        <v>1654</v>
      </c>
      <c r="B1656" t="s">
        <v>7006</v>
      </c>
      <c r="C1656" t="s">
        <v>7007</v>
      </c>
      <c r="D1656">
        <v>325</v>
      </c>
      <c r="E1656" t="s">
        <v>6974</v>
      </c>
      <c r="F1656" t="str">
        <f>VLOOKUP(E1656,country_continent!A:C,2,FALSE)</f>
        <v>Italy</v>
      </c>
      <c r="G1656" t="str">
        <f>VLOOKUP(E1656,country_continent!A:C,3,FALSE)</f>
        <v>Europe</v>
      </c>
      <c r="H1656" t="s">
        <v>7008</v>
      </c>
      <c r="I1656" t="s">
        <v>2367</v>
      </c>
      <c r="J1656" s="3" t="str">
        <f t="shared" si="75"/>
        <v>1887/08/08</v>
      </c>
      <c r="K1656" t="s">
        <v>7009</v>
      </c>
      <c r="L1656" s="3" t="str">
        <f t="shared" si="76"/>
        <v>1891/01/31</v>
      </c>
      <c r="M1656" t="s">
        <v>49</v>
      </c>
      <c r="N1656" t="s">
        <v>49</v>
      </c>
      <c r="O1656" t="s">
        <v>49</v>
      </c>
      <c r="P1656">
        <v>0</v>
      </c>
      <c r="Q1656" t="s">
        <v>50</v>
      </c>
      <c r="R1656" t="s">
        <v>51</v>
      </c>
      <c r="S1656">
        <v>1819</v>
      </c>
      <c r="T1656">
        <v>1901</v>
      </c>
      <c r="U1656" t="s">
        <v>7010</v>
      </c>
      <c r="V1656" t="s">
        <v>7011</v>
      </c>
      <c r="W1656" s="1">
        <v>590</v>
      </c>
      <c r="X1656" s="2">
        <v>590</v>
      </c>
      <c r="Y1656" t="s">
        <v>7012</v>
      </c>
      <c r="Z1656">
        <v>0</v>
      </c>
      <c r="AA1656">
        <v>1</v>
      </c>
      <c r="AB1656">
        <v>0</v>
      </c>
      <c r="AC1656">
        <v>0</v>
      </c>
      <c r="AF1656">
        <v>1887</v>
      </c>
      <c r="AG1656">
        <v>1891</v>
      </c>
      <c r="AO1656" t="b">
        <v>1</v>
      </c>
      <c r="AP1656" t="s">
        <v>4202</v>
      </c>
      <c r="AQ1656">
        <v>1944</v>
      </c>
      <c r="AR1656">
        <v>1963</v>
      </c>
      <c r="AS1656" t="s">
        <v>7013</v>
      </c>
      <c r="AT1656">
        <v>3.4825462012320298</v>
      </c>
      <c r="AU1656">
        <f t="shared" si="77"/>
        <v>0.01</v>
      </c>
    </row>
    <row r="1657" spans="1:47" x14ac:dyDescent="0.3">
      <c r="A1657">
        <v>1655</v>
      </c>
      <c r="B1657" t="s">
        <v>7014</v>
      </c>
      <c r="C1657" t="s">
        <v>7015</v>
      </c>
      <c r="D1657">
        <v>325</v>
      </c>
      <c r="E1657" t="s">
        <v>6974</v>
      </c>
      <c r="F1657" t="str">
        <f>VLOOKUP(E1657,country_continent!A:C,2,FALSE)</f>
        <v>Italy</v>
      </c>
      <c r="G1657" t="str">
        <f>VLOOKUP(E1657,country_continent!A:C,3,FALSE)</f>
        <v>Europe</v>
      </c>
      <c r="H1657" t="s">
        <v>7016</v>
      </c>
      <c r="I1657" t="s">
        <v>7017</v>
      </c>
      <c r="J1657" s="3" t="str">
        <f t="shared" si="75"/>
        <v>1891/02/09</v>
      </c>
      <c r="K1657" t="s">
        <v>7018</v>
      </c>
      <c r="L1657" s="3" t="str">
        <f t="shared" si="76"/>
        <v>1892/05/05</v>
      </c>
      <c r="M1657" t="s">
        <v>49</v>
      </c>
      <c r="N1657" t="s">
        <v>49</v>
      </c>
      <c r="O1657" t="s">
        <v>49</v>
      </c>
      <c r="P1657">
        <v>0</v>
      </c>
      <c r="Q1657" t="s">
        <v>50</v>
      </c>
      <c r="R1657" t="s">
        <v>51</v>
      </c>
      <c r="S1657">
        <v>1839</v>
      </c>
      <c r="T1657">
        <v>1908</v>
      </c>
      <c r="Z1657">
        <v>0</v>
      </c>
      <c r="AA1657">
        <v>1</v>
      </c>
      <c r="AB1657">
        <v>0</v>
      </c>
      <c r="AC1657">
        <v>0</v>
      </c>
      <c r="AF1657">
        <v>1891</v>
      </c>
      <c r="AG1657">
        <v>1892</v>
      </c>
      <c r="AO1657" t="b">
        <v>1</v>
      </c>
      <c r="AP1657" t="s">
        <v>4202</v>
      </c>
      <c r="AQ1657">
        <v>1944</v>
      </c>
      <c r="AR1657">
        <v>1963</v>
      </c>
      <c r="AS1657" t="s">
        <v>7019</v>
      </c>
      <c r="AT1657">
        <v>1.2347707049965699</v>
      </c>
      <c r="AU1657">
        <f t="shared" si="77"/>
        <v>3.0000000000000001E-3</v>
      </c>
    </row>
    <row r="1658" spans="1:47" x14ac:dyDescent="0.3">
      <c r="A1658">
        <v>1656</v>
      </c>
      <c r="B1658" t="s">
        <v>7020</v>
      </c>
      <c r="C1658" t="s">
        <v>7021</v>
      </c>
      <c r="D1658">
        <v>325</v>
      </c>
      <c r="E1658" t="s">
        <v>6974</v>
      </c>
      <c r="F1658" t="str">
        <f>VLOOKUP(E1658,country_continent!A:C,2,FALSE)</f>
        <v>Italy</v>
      </c>
      <c r="G1658" t="str">
        <f>VLOOKUP(E1658,country_continent!A:C,3,FALSE)</f>
        <v>Europe</v>
      </c>
      <c r="H1658" t="s">
        <v>7022</v>
      </c>
      <c r="I1658" t="s">
        <v>7023</v>
      </c>
      <c r="J1658" s="3" t="str">
        <f t="shared" si="75"/>
        <v>1892/05/15</v>
      </c>
      <c r="K1658" t="s">
        <v>7024</v>
      </c>
      <c r="L1658" s="3" t="str">
        <f t="shared" si="76"/>
        <v>1893/11/24</v>
      </c>
      <c r="M1658" t="s">
        <v>49</v>
      </c>
      <c r="N1658" t="s">
        <v>49</v>
      </c>
      <c r="O1658" t="s">
        <v>49</v>
      </c>
      <c r="P1658">
        <v>0</v>
      </c>
      <c r="Q1658" t="s">
        <v>50</v>
      </c>
      <c r="R1658" t="s">
        <v>51</v>
      </c>
      <c r="S1658">
        <v>1842</v>
      </c>
      <c r="T1658">
        <v>1928</v>
      </c>
      <c r="U1658" t="s">
        <v>7025</v>
      </c>
      <c r="V1658" t="s">
        <v>7026</v>
      </c>
      <c r="W1658" s="1">
        <v>10426</v>
      </c>
      <c r="X1658" s="2">
        <v>10426</v>
      </c>
      <c r="Y1658" t="s">
        <v>7027</v>
      </c>
      <c r="Z1658">
        <v>0</v>
      </c>
      <c r="AA1658">
        <v>1</v>
      </c>
      <c r="AB1658">
        <v>0</v>
      </c>
      <c r="AC1658">
        <v>0</v>
      </c>
      <c r="AF1658">
        <v>1892</v>
      </c>
      <c r="AG1658">
        <v>1893</v>
      </c>
      <c r="AO1658" t="b">
        <v>1</v>
      </c>
      <c r="AP1658" t="s">
        <v>4202</v>
      </c>
      <c r="AQ1658">
        <v>1944</v>
      </c>
      <c r="AR1658">
        <v>1963</v>
      </c>
      <c r="AS1658" t="s">
        <v>7028</v>
      </c>
      <c r="AT1658">
        <v>1.5277207392197101</v>
      </c>
      <c r="AU1658">
        <f t="shared" si="77"/>
        <v>4.0000000000000001E-3</v>
      </c>
    </row>
    <row r="1659" spans="1:47" x14ac:dyDescent="0.3">
      <c r="A1659">
        <v>1657</v>
      </c>
      <c r="B1659" t="s">
        <v>7029</v>
      </c>
      <c r="C1659" t="s">
        <v>7007</v>
      </c>
      <c r="D1659">
        <v>325</v>
      </c>
      <c r="E1659" t="s">
        <v>6974</v>
      </c>
      <c r="F1659" t="str">
        <f>VLOOKUP(E1659,country_continent!A:C,2,FALSE)</f>
        <v>Italy</v>
      </c>
      <c r="G1659" t="str">
        <f>VLOOKUP(E1659,country_continent!A:C,3,FALSE)</f>
        <v>Europe</v>
      </c>
      <c r="H1659" t="s">
        <v>7008</v>
      </c>
      <c r="I1659" t="s">
        <v>7030</v>
      </c>
      <c r="J1659" s="3" t="str">
        <f t="shared" si="75"/>
        <v>1893/12/10</v>
      </c>
      <c r="K1659" t="s">
        <v>7031</v>
      </c>
      <c r="L1659" s="3" t="str">
        <f t="shared" si="76"/>
        <v>1896/03/05</v>
      </c>
      <c r="M1659" t="s">
        <v>49</v>
      </c>
      <c r="N1659" t="s">
        <v>49</v>
      </c>
      <c r="O1659" t="s">
        <v>49</v>
      </c>
      <c r="P1659">
        <v>1</v>
      </c>
      <c r="Q1659" t="s">
        <v>50</v>
      </c>
      <c r="R1659" t="s">
        <v>51</v>
      </c>
      <c r="S1659">
        <v>1819</v>
      </c>
      <c r="T1659">
        <v>1901</v>
      </c>
      <c r="U1659" t="s">
        <v>7010</v>
      </c>
      <c r="V1659" t="s">
        <v>7011</v>
      </c>
      <c r="W1659" s="1">
        <v>590</v>
      </c>
      <c r="X1659" s="2">
        <v>590</v>
      </c>
      <c r="Y1659" t="s">
        <v>7012</v>
      </c>
      <c r="Z1659">
        <v>0</v>
      </c>
      <c r="AA1659">
        <v>1</v>
      </c>
      <c r="AB1659">
        <v>0</v>
      </c>
      <c r="AC1659">
        <v>0</v>
      </c>
      <c r="AF1659">
        <v>1893</v>
      </c>
      <c r="AG1659">
        <v>1896</v>
      </c>
      <c r="AO1659" t="b">
        <v>1</v>
      </c>
      <c r="AP1659" t="s">
        <v>4202</v>
      </c>
      <c r="AQ1659">
        <v>1944</v>
      </c>
      <c r="AR1659">
        <v>1963</v>
      </c>
      <c r="AS1659" t="s">
        <v>7032</v>
      </c>
      <c r="AT1659">
        <v>2.23408624229979</v>
      </c>
      <c r="AU1659">
        <f t="shared" si="77"/>
        <v>6.0000000000000001E-3</v>
      </c>
    </row>
    <row r="1660" spans="1:47" x14ac:dyDescent="0.3">
      <c r="A1660">
        <v>1658</v>
      </c>
      <c r="B1660" t="s">
        <v>7033</v>
      </c>
      <c r="C1660" t="s">
        <v>7015</v>
      </c>
      <c r="D1660">
        <v>325</v>
      </c>
      <c r="E1660" t="s">
        <v>6974</v>
      </c>
      <c r="F1660" t="str">
        <f>VLOOKUP(E1660,country_continent!A:C,2,FALSE)</f>
        <v>Italy</v>
      </c>
      <c r="G1660" t="str">
        <f>VLOOKUP(E1660,country_continent!A:C,3,FALSE)</f>
        <v>Europe</v>
      </c>
      <c r="H1660" t="s">
        <v>7016</v>
      </c>
      <c r="I1660" t="s">
        <v>7034</v>
      </c>
      <c r="J1660" s="3" t="str">
        <f t="shared" si="75"/>
        <v>1896/03/10</v>
      </c>
      <c r="K1660" t="s">
        <v>7035</v>
      </c>
      <c r="L1660" s="3" t="str">
        <f t="shared" si="76"/>
        <v>1898/06/18</v>
      </c>
      <c r="M1660" t="s">
        <v>49</v>
      </c>
      <c r="N1660" t="s">
        <v>49</v>
      </c>
      <c r="O1660" t="s">
        <v>49</v>
      </c>
      <c r="P1660">
        <v>1</v>
      </c>
      <c r="Q1660" t="s">
        <v>50</v>
      </c>
      <c r="R1660" t="s">
        <v>51</v>
      </c>
      <c r="S1660">
        <v>1839</v>
      </c>
      <c r="T1660">
        <v>1908</v>
      </c>
      <c r="Z1660">
        <v>0</v>
      </c>
      <c r="AA1660">
        <v>1</v>
      </c>
      <c r="AB1660">
        <v>0</v>
      </c>
      <c r="AC1660">
        <v>0</v>
      </c>
      <c r="AF1660">
        <v>1896</v>
      </c>
      <c r="AG1660">
        <v>1898</v>
      </c>
      <c r="AO1660" t="b">
        <v>1</v>
      </c>
      <c r="AP1660" t="s">
        <v>4202</v>
      </c>
      <c r="AQ1660">
        <v>1944</v>
      </c>
      <c r="AR1660">
        <v>1963</v>
      </c>
      <c r="AS1660" t="s">
        <v>7036</v>
      </c>
      <c r="AT1660">
        <v>2.2724161533196399</v>
      </c>
      <c r="AU1660">
        <f t="shared" si="77"/>
        <v>6.0000000000000001E-3</v>
      </c>
    </row>
    <row r="1661" spans="1:47" x14ac:dyDescent="0.3">
      <c r="A1661">
        <v>1659</v>
      </c>
      <c r="B1661" t="s">
        <v>7037</v>
      </c>
      <c r="C1661" t="s">
        <v>7038</v>
      </c>
      <c r="D1661">
        <v>325</v>
      </c>
      <c r="E1661" t="s">
        <v>6974</v>
      </c>
      <c r="F1661" t="str">
        <f>VLOOKUP(E1661,country_continent!A:C,2,FALSE)</f>
        <v>Italy</v>
      </c>
      <c r="G1661" t="str">
        <f>VLOOKUP(E1661,country_continent!A:C,3,FALSE)</f>
        <v>Europe</v>
      </c>
      <c r="H1661" t="s">
        <v>7039</v>
      </c>
      <c r="I1661" t="s">
        <v>7040</v>
      </c>
      <c r="J1661" s="3" t="str">
        <f t="shared" si="75"/>
        <v>1898/06/29</v>
      </c>
      <c r="K1661" s="1">
        <v>170</v>
      </c>
      <c r="L1661" s="3">
        <f t="shared" si="76"/>
        <v>170</v>
      </c>
      <c r="M1661" t="s">
        <v>49</v>
      </c>
      <c r="N1661" t="s">
        <v>49</v>
      </c>
      <c r="O1661" t="s">
        <v>49</v>
      </c>
      <c r="P1661">
        <v>0</v>
      </c>
      <c r="Q1661" t="s">
        <v>50</v>
      </c>
      <c r="R1661" t="s">
        <v>51</v>
      </c>
      <c r="S1661">
        <v>1839</v>
      </c>
      <c r="T1661">
        <v>1924</v>
      </c>
      <c r="U1661" t="s">
        <v>7041</v>
      </c>
      <c r="V1661" t="s">
        <v>7042</v>
      </c>
      <c r="W1661" s="1">
        <v>9066</v>
      </c>
      <c r="X1661" s="2">
        <v>9066</v>
      </c>
      <c r="Y1661" t="s">
        <v>7043</v>
      </c>
      <c r="Z1661">
        <v>0</v>
      </c>
      <c r="AA1661">
        <v>1</v>
      </c>
      <c r="AB1661">
        <v>0</v>
      </c>
      <c r="AC1661">
        <v>0</v>
      </c>
      <c r="AF1661">
        <v>1898</v>
      </c>
      <c r="AG1661">
        <v>1900</v>
      </c>
      <c r="AO1661" t="b">
        <v>1</v>
      </c>
      <c r="AP1661" t="s">
        <v>4202</v>
      </c>
      <c r="AQ1661">
        <v>1944</v>
      </c>
      <c r="AR1661">
        <v>1963</v>
      </c>
      <c r="AS1661" t="s">
        <v>7044</v>
      </c>
      <c r="AT1661">
        <v>1.9685147159479801</v>
      </c>
      <c r="AU1661">
        <f t="shared" si="77"/>
        <v>5.0000000000000001E-3</v>
      </c>
    </row>
    <row r="1662" spans="1:47" x14ac:dyDescent="0.3">
      <c r="A1662">
        <v>1660</v>
      </c>
      <c r="B1662" t="s">
        <v>7045</v>
      </c>
      <c r="C1662" t="s">
        <v>7046</v>
      </c>
      <c r="D1662">
        <v>325</v>
      </c>
      <c r="E1662" t="s">
        <v>6974</v>
      </c>
      <c r="F1662" t="str">
        <f>VLOOKUP(E1662,country_continent!A:C,2,FALSE)</f>
        <v>Italy</v>
      </c>
      <c r="G1662" t="str">
        <f>VLOOKUP(E1662,country_continent!A:C,3,FALSE)</f>
        <v>Europe</v>
      </c>
      <c r="H1662" t="s">
        <v>7047</v>
      </c>
      <c r="I1662" s="1">
        <v>172</v>
      </c>
      <c r="J1662" s="3">
        <f t="shared" si="75"/>
        <v>172</v>
      </c>
      <c r="K1662" s="1">
        <v>403</v>
      </c>
      <c r="L1662" s="3">
        <f t="shared" si="76"/>
        <v>403</v>
      </c>
      <c r="M1662" t="s">
        <v>49</v>
      </c>
      <c r="N1662" t="s">
        <v>49</v>
      </c>
      <c r="O1662" t="s">
        <v>49</v>
      </c>
      <c r="P1662">
        <v>0</v>
      </c>
      <c r="Q1662" t="s">
        <v>50</v>
      </c>
      <c r="R1662" t="s">
        <v>51</v>
      </c>
      <c r="S1662">
        <v>1821</v>
      </c>
      <c r="T1662">
        <v>1907</v>
      </c>
      <c r="U1662" t="s">
        <v>7048</v>
      </c>
      <c r="V1662" t="s">
        <v>7049</v>
      </c>
      <c r="Y1662" t="s">
        <v>7050</v>
      </c>
      <c r="Z1662">
        <v>0</v>
      </c>
      <c r="AA1662">
        <v>1</v>
      </c>
      <c r="AB1662">
        <v>0</v>
      </c>
      <c r="AC1662">
        <v>0</v>
      </c>
      <c r="AF1662">
        <v>1900</v>
      </c>
      <c r="AG1662">
        <v>1901</v>
      </c>
      <c r="AO1662" t="b">
        <v>1</v>
      </c>
      <c r="AP1662" t="s">
        <v>4202</v>
      </c>
      <c r="AQ1662">
        <v>1944</v>
      </c>
      <c r="AR1662">
        <v>1963</v>
      </c>
      <c r="AS1662" t="s">
        <v>7051</v>
      </c>
      <c r="AT1662">
        <v>0.632443531827515</v>
      </c>
      <c r="AU1662">
        <f t="shared" si="77"/>
        <v>2E-3</v>
      </c>
    </row>
    <row r="1663" spans="1:47" x14ac:dyDescent="0.3">
      <c r="A1663">
        <v>1661</v>
      </c>
      <c r="B1663" t="s">
        <v>7052</v>
      </c>
      <c r="C1663" t="s">
        <v>7053</v>
      </c>
      <c r="D1663">
        <v>325</v>
      </c>
      <c r="E1663" t="s">
        <v>6974</v>
      </c>
      <c r="F1663" t="str">
        <f>VLOOKUP(E1663,country_continent!A:C,2,FALSE)</f>
        <v>Italy</v>
      </c>
      <c r="G1663" t="str">
        <f>VLOOKUP(E1663,country_continent!A:C,3,FALSE)</f>
        <v>Europe</v>
      </c>
      <c r="H1663" t="s">
        <v>7054</v>
      </c>
      <c r="I1663" s="1">
        <v>412</v>
      </c>
      <c r="J1663" s="3">
        <f t="shared" si="75"/>
        <v>412</v>
      </c>
      <c r="K1663" s="1">
        <v>1390</v>
      </c>
      <c r="L1663" s="3">
        <f t="shared" si="76"/>
        <v>1390</v>
      </c>
      <c r="M1663" t="s">
        <v>49</v>
      </c>
      <c r="N1663" t="s">
        <v>228</v>
      </c>
      <c r="O1663" t="s">
        <v>49</v>
      </c>
      <c r="P1663">
        <v>0</v>
      </c>
      <c r="Q1663" t="s">
        <v>111</v>
      </c>
      <c r="R1663" t="s">
        <v>51</v>
      </c>
      <c r="S1663">
        <v>1826</v>
      </c>
      <c r="T1663">
        <v>1903</v>
      </c>
      <c r="U1663" t="s">
        <v>7055</v>
      </c>
      <c r="V1663" t="s">
        <v>7056</v>
      </c>
      <c r="Y1663" t="s">
        <v>7057</v>
      </c>
      <c r="Z1663">
        <v>0</v>
      </c>
      <c r="AA1663">
        <v>2.0999998999999998</v>
      </c>
      <c r="AB1663">
        <v>0</v>
      </c>
      <c r="AC1663">
        <v>-777</v>
      </c>
      <c r="AF1663">
        <v>1901</v>
      </c>
      <c r="AG1663">
        <v>1903</v>
      </c>
      <c r="AO1663" t="b">
        <v>1</v>
      </c>
      <c r="AP1663" t="s">
        <v>4202</v>
      </c>
      <c r="AQ1663">
        <v>1944</v>
      </c>
      <c r="AR1663">
        <v>1963</v>
      </c>
      <c r="AS1663" t="s">
        <v>7058</v>
      </c>
      <c r="AT1663">
        <v>2.6776180698151899</v>
      </c>
      <c r="AU1663">
        <f t="shared" si="77"/>
        <v>7.0000000000000001E-3</v>
      </c>
    </row>
    <row r="1664" spans="1:47" x14ac:dyDescent="0.3">
      <c r="A1664">
        <v>1662</v>
      </c>
      <c r="B1664" t="s">
        <v>7059</v>
      </c>
      <c r="C1664" t="s">
        <v>7021</v>
      </c>
      <c r="D1664">
        <v>325</v>
      </c>
      <c r="E1664" t="s">
        <v>6974</v>
      </c>
      <c r="F1664" t="str">
        <f>VLOOKUP(E1664,country_continent!A:C,2,FALSE)</f>
        <v>Italy</v>
      </c>
      <c r="G1664" t="str">
        <f>VLOOKUP(E1664,country_continent!A:C,3,FALSE)</f>
        <v>Europe</v>
      </c>
      <c r="H1664" t="s">
        <v>7022</v>
      </c>
      <c r="I1664" s="1">
        <v>1403</v>
      </c>
      <c r="J1664" s="3">
        <f t="shared" si="75"/>
        <v>1403</v>
      </c>
      <c r="K1664" s="1">
        <v>1890</v>
      </c>
      <c r="L1664" s="3">
        <f t="shared" si="76"/>
        <v>1890</v>
      </c>
      <c r="M1664" t="s">
        <v>49</v>
      </c>
      <c r="N1664" t="s">
        <v>49</v>
      </c>
      <c r="O1664" t="s">
        <v>49</v>
      </c>
      <c r="P1664">
        <v>1</v>
      </c>
      <c r="Q1664" t="s">
        <v>50</v>
      </c>
      <c r="R1664" t="s">
        <v>51</v>
      </c>
      <c r="S1664">
        <v>1842</v>
      </c>
      <c r="T1664">
        <v>1928</v>
      </c>
      <c r="U1664" t="s">
        <v>7025</v>
      </c>
      <c r="V1664" t="s">
        <v>7026</v>
      </c>
      <c r="W1664" s="1">
        <v>10426</v>
      </c>
      <c r="X1664" s="2">
        <v>10426</v>
      </c>
      <c r="Y1664" t="s">
        <v>7027</v>
      </c>
      <c r="Z1664">
        <v>0</v>
      </c>
      <c r="AA1664">
        <v>1</v>
      </c>
      <c r="AB1664">
        <v>0</v>
      </c>
      <c r="AC1664">
        <v>0</v>
      </c>
      <c r="AF1664">
        <v>1903</v>
      </c>
      <c r="AG1664">
        <v>1905</v>
      </c>
      <c r="AO1664" t="b">
        <v>1</v>
      </c>
      <c r="AP1664" t="s">
        <v>4202</v>
      </c>
      <c r="AQ1664">
        <v>1944</v>
      </c>
      <c r="AR1664">
        <v>1963</v>
      </c>
      <c r="AS1664" t="s">
        <v>7060</v>
      </c>
      <c r="AT1664">
        <v>1.3333333333333299</v>
      </c>
      <c r="AU1664">
        <f t="shared" si="77"/>
        <v>4.0000000000000001E-3</v>
      </c>
    </row>
    <row r="1665" spans="1:47" x14ac:dyDescent="0.3">
      <c r="A1665">
        <v>1663</v>
      </c>
      <c r="B1665" t="s">
        <v>7061</v>
      </c>
      <c r="C1665" t="s">
        <v>7062</v>
      </c>
      <c r="D1665">
        <v>325</v>
      </c>
      <c r="E1665" t="s">
        <v>6974</v>
      </c>
      <c r="F1665" t="str">
        <f>VLOOKUP(E1665,country_continent!A:C,2,FALSE)</f>
        <v>Italy</v>
      </c>
      <c r="G1665" t="str">
        <f>VLOOKUP(E1665,country_continent!A:C,3,FALSE)</f>
        <v>Europe</v>
      </c>
      <c r="H1665" t="s">
        <v>7063</v>
      </c>
      <c r="I1665" s="1">
        <v>1913</v>
      </c>
      <c r="J1665" s="3">
        <f t="shared" si="75"/>
        <v>1913</v>
      </c>
      <c r="K1665" s="1">
        <v>2224</v>
      </c>
      <c r="L1665" s="3">
        <f t="shared" si="76"/>
        <v>2224</v>
      </c>
      <c r="M1665" t="s">
        <v>49</v>
      </c>
      <c r="N1665" t="s">
        <v>49</v>
      </c>
      <c r="O1665" t="s">
        <v>49</v>
      </c>
      <c r="P1665">
        <v>0</v>
      </c>
      <c r="Q1665" t="s">
        <v>50</v>
      </c>
      <c r="R1665" t="s">
        <v>51</v>
      </c>
      <c r="S1665">
        <v>1842</v>
      </c>
      <c r="T1665">
        <v>1909</v>
      </c>
      <c r="U1665" t="s">
        <v>7064</v>
      </c>
      <c r="V1665" t="s">
        <v>7065</v>
      </c>
      <c r="W1665" s="1">
        <v>3626</v>
      </c>
      <c r="X1665" s="2">
        <v>3626</v>
      </c>
      <c r="Y1665" t="s">
        <v>7066</v>
      </c>
      <c r="Z1665">
        <v>0</v>
      </c>
      <c r="AA1665">
        <v>1</v>
      </c>
      <c r="AB1665">
        <v>0</v>
      </c>
      <c r="AC1665">
        <v>0</v>
      </c>
      <c r="AF1665">
        <v>1905</v>
      </c>
      <c r="AG1665">
        <v>1906</v>
      </c>
      <c r="AO1665" t="b">
        <v>1</v>
      </c>
      <c r="AP1665" t="s">
        <v>4202</v>
      </c>
      <c r="AQ1665">
        <v>1944</v>
      </c>
      <c r="AR1665">
        <v>1963</v>
      </c>
      <c r="AS1665" t="s">
        <v>7067</v>
      </c>
      <c r="AT1665">
        <v>0.85147159479808299</v>
      </c>
      <c r="AU1665">
        <f t="shared" si="77"/>
        <v>2E-3</v>
      </c>
    </row>
    <row r="1666" spans="1:47" x14ac:dyDescent="0.3">
      <c r="A1666">
        <v>1664</v>
      </c>
      <c r="B1666" t="s">
        <v>7068</v>
      </c>
      <c r="C1666" t="s">
        <v>7069</v>
      </c>
      <c r="D1666">
        <v>325</v>
      </c>
      <c r="E1666" t="s">
        <v>6974</v>
      </c>
      <c r="F1666" t="str">
        <f>VLOOKUP(E1666,country_continent!A:C,2,FALSE)</f>
        <v>Italy</v>
      </c>
      <c r="G1666" t="str">
        <f>VLOOKUP(E1666,country_continent!A:C,3,FALSE)</f>
        <v>Europe</v>
      </c>
      <c r="H1666" t="s">
        <v>7070</v>
      </c>
      <c r="I1666" s="1">
        <v>2231</v>
      </c>
      <c r="J1666" s="3">
        <f t="shared" si="75"/>
        <v>2231</v>
      </c>
      <c r="K1666" s="1">
        <v>2329</v>
      </c>
      <c r="L1666" s="3">
        <f t="shared" si="76"/>
        <v>2329</v>
      </c>
      <c r="M1666" t="s">
        <v>49</v>
      </c>
      <c r="N1666" t="s">
        <v>49</v>
      </c>
      <c r="O1666" t="s">
        <v>49</v>
      </c>
      <c r="P1666">
        <v>0</v>
      </c>
      <c r="Q1666" t="s">
        <v>50</v>
      </c>
      <c r="R1666" t="s">
        <v>51</v>
      </c>
      <c r="S1666">
        <v>1847</v>
      </c>
      <c r="T1666">
        <v>1922</v>
      </c>
      <c r="U1666" t="s">
        <v>7071</v>
      </c>
      <c r="V1666" t="s">
        <v>7072</v>
      </c>
      <c r="W1666" s="1">
        <v>8364</v>
      </c>
      <c r="X1666" s="2">
        <v>8364</v>
      </c>
      <c r="Y1666" t="s">
        <v>7073</v>
      </c>
      <c r="Z1666">
        <v>0</v>
      </c>
      <c r="AA1666">
        <v>1</v>
      </c>
      <c r="AB1666">
        <v>0</v>
      </c>
      <c r="AC1666">
        <v>0</v>
      </c>
      <c r="AF1666">
        <v>1906</v>
      </c>
      <c r="AG1666">
        <v>1906</v>
      </c>
      <c r="AO1666" t="b">
        <v>1</v>
      </c>
      <c r="AP1666" t="s">
        <v>4202</v>
      </c>
      <c r="AQ1666">
        <v>1944</v>
      </c>
      <c r="AR1666">
        <v>1963</v>
      </c>
      <c r="AS1666" t="s">
        <v>6410</v>
      </c>
      <c r="AT1666">
        <v>0.26830937713894498</v>
      </c>
      <c r="AU1666">
        <f t="shared" si="77"/>
        <v>1E-3</v>
      </c>
    </row>
    <row r="1667" spans="1:47" x14ac:dyDescent="0.3">
      <c r="A1667">
        <v>1665</v>
      </c>
      <c r="B1667" t="s">
        <v>7074</v>
      </c>
      <c r="C1667" t="s">
        <v>7021</v>
      </c>
      <c r="D1667">
        <v>325</v>
      </c>
      <c r="E1667" t="s">
        <v>6974</v>
      </c>
      <c r="F1667" t="str">
        <f>VLOOKUP(E1667,country_continent!A:C,2,FALSE)</f>
        <v>Italy</v>
      </c>
      <c r="G1667" t="str">
        <f>VLOOKUP(E1667,country_continent!A:C,3,FALSE)</f>
        <v>Europe</v>
      </c>
      <c r="H1667" t="s">
        <v>7022</v>
      </c>
      <c r="I1667" s="1">
        <v>2341</v>
      </c>
      <c r="J1667" s="3">
        <f t="shared" ref="J1667:J1730" si="78">IF(ISNUMBER(SEARCH("-", I1667)), SUBSTITUTE(I1667, "-", "/"), I1667)</f>
        <v>2341</v>
      </c>
      <c r="K1667" s="1">
        <v>3624</v>
      </c>
      <c r="L1667" s="3">
        <f t="shared" ref="L1667:L1730" si="79">IF(ISNUMBER(SEARCH("-", K1667)), SUBSTITUTE(K1667, "-", "/"), K1667)</f>
        <v>3624</v>
      </c>
      <c r="M1667" t="s">
        <v>49</v>
      </c>
      <c r="N1667" t="s">
        <v>49</v>
      </c>
      <c r="O1667" t="s">
        <v>49</v>
      </c>
      <c r="P1667">
        <v>2</v>
      </c>
      <c r="Q1667" t="s">
        <v>50</v>
      </c>
      <c r="R1667" t="s">
        <v>51</v>
      </c>
      <c r="S1667">
        <v>1842</v>
      </c>
      <c r="T1667">
        <v>1928</v>
      </c>
      <c r="U1667" t="s">
        <v>7025</v>
      </c>
      <c r="V1667" t="s">
        <v>7026</v>
      </c>
      <c r="W1667" s="1">
        <v>10426</v>
      </c>
      <c r="X1667" s="2">
        <v>10426</v>
      </c>
      <c r="Y1667" t="s">
        <v>7027</v>
      </c>
      <c r="Z1667">
        <v>0</v>
      </c>
      <c r="AA1667">
        <v>1</v>
      </c>
      <c r="AB1667">
        <v>0</v>
      </c>
      <c r="AC1667">
        <v>0</v>
      </c>
      <c r="AF1667">
        <v>1906</v>
      </c>
      <c r="AG1667">
        <v>1909</v>
      </c>
      <c r="AO1667" t="b">
        <v>1</v>
      </c>
      <c r="AP1667" t="s">
        <v>4202</v>
      </c>
      <c r="AQ1667">
        <v>1944</v>
      </c>
      <c r="AR1667">
        <v>1963</v>
      </c>
      <c r="AS1667" t="s">
        <v>7075</v>
      </c>
      <c r="AT1667">
        <v>3.5126625598904799</v>
      </c>
      <c r="AU1667">
        <f t="shared" si="77"/>
        <v>0.01</v>
      </c>
    </row>
    <row r="1668" spans="1:47" x14ac:dyDescent="0.3">
      <c r="A1668">
        <v>1666</v>
      </c>
      <c r="B1668" t="s">
        <v>7076</v>
      </c>
      <c r="C1668" t="s">
        <v>7069</v>
      </c>
      <c r="D1668">
        <v>325</v>
      </c>
      <c r="E1668" t="s">
        <v>6974</v>
      </c>
      <c r="F1668" t="str">
        <f>VLOOKUP(E1668,country_continent!A:C,2,FALSE)</f>
        <v>Italy</v>
      </c>
      <c r="G1668" t="str">
        <f>VLOOKUP(E1668,country_continent!A:C,3,FALSE)</f>
        <v>Europe</v>
      </c>
      <c r="H1668" t="s">
        <v>7070</v>
      </c>
      <c r="I1668" s="1">
        <v>3632</v>
      </c>
      <c r="J1668" s="3">
        <f t="shared" si="78"/>
        <v>3632</v>
      </c>
      <c r="K1668" s="1">
        <v>3733</v>
      </c>
      <c r="L1668" s="3">
        <f t="shared" si="79"/>
        <v>3733</v>
      </c>
      <c r="M1668" t="s">
        <v>49</v>
      </c>
      <c r="N1668" t="s">
        <v>49</v>
      </c>
      <c r="O1668" t="s">
        <v>49</v>
      </c>
      <c r="P1668">
        <v>1</v>
      </c>
      <c r="Q1668" t="s">
        <v>50</v>
      </c>
      <c r="R1668" t="s">
        <v>51</v>
      </c>
      <c r="S1668">
        <v>1847</v>
      </c>
      <c r="T1668">
        <v>1922</v>
      </c>
      <c r="U1668" t="s">
        <v>7071</v>
      </c>
      <c r="V1668" t="s">
        <v>7072</v>
      </c>
      <c r="W1668" s="1">
        <v>8364</v>
      </c>
      <c r="X1668" s="2">
        <v>8364</v>
      </c>
      <c r="Y1668" t="s">
        <v>7073</v>
      </c>
      <c r="Z1668">
        <v>0</v>
      </c>
      <c r="AA1668">
        <v>1</v>
      </c>
      <c r="AB1668">
        <v>0</v>
      </c>
      <c r="AC1668">
        <v>0</v>
      </c>
      <c r="AF1668">
        <v>1909</v>
      </c>
      <c r="AG1668">
        <v>1910</v>
      </c>
      <c r="AO1668" t="b">
        <v>1</v>
      </c>
      <c r="AP1668" t="s">
        <v>4202</v>
      </c>
      <c r="AQ1668">
        <v>1944</v>
      </c>
      <c r="AR1668">
        <v>1963</v>
      </c>
      <c r="AS1668" t="s">
        <v>7077</v>
      </c>
      <c r="AT1668">
        <v>0.27652292950034202</v>
      </c>
      <c r="AU1668">
        <f t="shared" ref="AU1668:AU1731" si="80">ROUND(AT1668/365,3)</f>
        <v>1E-3</v>
      </c>
    </row>
    <row r="1669" spans="1:47" x14ac:dyDescent="0.3">
      <c r="A1669">
        <v>1667</v>
      </c>
      <c r="B1669" t="s">
        <v>7078</v>
      </c>
      <c r="C1669" t="s">
        <v>7079</v>
      </c>
      <c r="D1669">
        <v>325</v>
      </c>
      <c r="E1669" t="s">
        <v>6974</v>
      </c>
      <c r="F1669" t="str">
        <f>VLOOKUP(E1669,country_continent!A:C,2,FALSE)</f>
        <v>Italy</v>
      </c>
      <c r="G1669" t="str">
        <f>VLOOKUP(E1669,country_continent!A:C,3,FALSE)</f>
        <v>Europe</v>
      </c>
      <c r="H1669" t="s">
        <v>7080</v>
      </c>
      <c r="I1669" s="1">
        <v>3742</v>
      </c>
      <c r="J1669" s="3">
        <f t="shared" si="78"/>
        <v>3742</v>
      </c>
      <c r="K1669" s="1">
        <v>4097</v>
      </c>
      <c r="L1669" s="3">
        <f t="shared" si="79"/>
        <v>4097</v>
      </c>
      <c r="M1669" t="s">
        <v>49</v>
      </c>
      <c r="N1669" t="s">
        <v>49</v>
      </c>
      <c r="O1669" t="s">
        <v>49</v>
      </c>
      <c r="P1669">
        <v>0</v>
      </c>
      <c r="Q1669" t="s">
        <v>50</v>
      </c>
      <c r="R1669" t="s">
        <v>51</v>
      </c>
      <c r="S1669">
        <v>1841</v>
      </c>
      <c r="T1669">
        <v>1927</v>
      </c>
      <c r="U1669" t="s">
        <v>7081</v>
      </c>
      <c r="V1669" t="s">
        <v>7082</v>
      </c>
      <c r="Y1669" t="s">
        <v>7083</v>
      </c>
      <c r="Z1669">
        <v>0</v>
      </c>
      <c r="AA1669">
        <v>1</v>
      </c>
      <c r="AB1669">
        <v>0</v>
      </c>
      <c r="AC1669">
        <v>0</v>
      </c>
      <c r="AF1669">
        <v>1910</v>
      </c>
      <c r="AG1669">
        <v>1911</v>
      </c>
      <c r="AO1669" t="b">
        <v>1</v>
      </c>
      <c r="AP1669" t="s">
        <v>4202</v>
      </c>
      <c r="AQ1669">
        <v>1944</v>
      </c>
      <c r="AR1669">
        <v>1963</v>
      </c>
      <c r="AS1669" t="s">
        <v>7084</v>
      </c>
      <c r="AT1669">
        <v>0.97193702943189597</v>
      </c>
      <c r="AU1669">
        <f t="shared" si="80"/>
        <v>3.0000000000000001E-3</v>
      </c>
    </row>
    <row r="1670" spans="1:47" x14ac:dyDescent="0.3">
      <c r="A1670">
        <v>1668</v>
      </c>
      <c r="B1670" t="s">
        <v>7085</v>
      </c>
      <c r="C1670" t="s">
        <v>7021</v>
      </c>
      <c r="D1670">
        <v>325</v>
      </c>
      <c r="E1670" t="s">
        <v>6974</v>
      </c>
      <c r="F1670" t="str">
        <f>VLOOKUP(E1670,country_continent!A:C,2,FALSE)</f>
        <v>Italy</v>
      </c>
      <c r="G1670" t="str">
        <f>VLOOKUP(E1670,country_continent!A:C,3,FALSE)</f>
        <v>Europe</v>
      </c>
      <c r="H1670" t="s">
        <v>7022</v>
      </c>
      <c r="I1670" s="1">
        <v>4104</v>
      </c>
      <c r="J1670" s="3">
        <f t="shared" si="78"/>
        <v>4104</v>
      </c>
      <c r="K1670" s="1">
        <v>5183</v>
      </c>
      <c r="L1670" s="3">
        <f t="shared" si="79"/>
        <v>5183</v>
      </c>
      <c r="M1670" t="s">
        <v>49</v>
      </c>
      <c r="N1670" t="s">
        <v>49</v>
      </c>
      <c r="O1670" t="s">
        <v>49</v>
      </c>
      <c r="P1670">
        <v>3</v>
      </c>
      <c r="Q1670" t="s">
        <v>50</v>
      </c>
      <c r="R1670" t="s">
        <v>51</v>
      </c>
      <c r="S1670">
        <v>1842</v>
      </c>
      <c r="T1670">
        <v>1928</v>
      </c>
      <c r="U1670" t="s">
        <v>7025</v>
      </c>
      <c r="V1670" t="s">
        <v>7026</v>
      </c>
      <c r="W1670" s="1">
        <v>10426</v>
      </c>
      <c r="X1670" s="2">
        <v>10426</v>
      </c>
      <c r="Y1670" t="s">
        <v>7027</v>
      </c>
      <c r="Z1670">
        <v>0</v>
      </c>
      <c r="AA1670">
        <v>1</v>
      </c>
      <c r="AB1670">
        <v>0</v>
      </c>
      <c r="AC1670">
        <v>0</v>
      </c>
      <c r="AF1670">
        <v>1911</v>
      </c>
      <c r="AG1670">
        <v>1914</v>
      </c>
      <c r="AO1670" t="b">
        <v>1</v>
      </c>
      <c r="AP1670" t="s">
        <v>4202</v>
      </c>
      <c r="AQ1670">
        <v>1944</v>
      </c>
      <c r="AR1670">
        <v>1963</v>
      </c>
      <c r="AS1670" t="s">
        <v>7086</v>
      </c>
      <c r="AT1670">
        <v>2.9541409993155301</v>
      </c>
      <c r="AU1670">
        <f t="shared" si="80"/>
        <v>8.0000000000000002E-3</v>
      </c>
    </row>
    <row r="1671" spans="1:47" x14ac:dyDescent="0.3">
      <c r="A1671">
        <v>1669</v>
      </c>
      <c r="B1671" t="s">
        <v>7087</v>
      </c>
      <c r="C1671" t="s">
        <v>7088</v>
      </c>
      <c r="D1671">
        <v>325</v>
      </c>
      <c r="E1671" t="s">
        <v>6974</v>
      </c>
      <c r="F1671" t="str">
        <f>VLOOKUP(E1671,country_continent!A:C,2,FALSE)</f>
        <v>Italy</v>
      </c>
      <c r="G1671" t="str">
        <f>VLOOKUP(E1671,country_continent!A:C,3,FALSE)</f>
        <v>Europe</v>
      </c>
      <c r="H1671" t="s">
        <v>7089</v>
      </c>
      <c r="I1671" s="1">
        <v>5194</v>
      </c>
      <c r="J1671" s="3">
        <f t="shared" si="78"/>
        <v>5194</v>
      </c>
      <c r="K1671" s="1">
        <v>6008</v>
      </c>
      <c r="L1671" s="3">
        <f t="shared" si="79"/>
        <v>6008</v>
      </c>
      <c r="M1671" t="s">
        <v>49</v>
      </c>
      <c r="N1671" t="s">
        <v>49</v>
      </c>
      <c r="O1671" t="s">
        <v>49</v>
      </c>
      <c r="P1671">
        <v>0</v>
      </c>
      <c r="Q1671" t="s">
        <v>50</v>
      </c>
      <c r="R1671" t="s">
        <v>51</v>
      </c>
      <c r="S1671">
        <v>1853</v>
      </c>
      <c r="T1671">
        <v>1931</v>
      </c>
      <c r="U1671" t="s">
        <v>7090</v>
      </c>
      <c r="V1671" t="s">
        <v>7091</v>
      </c>
      <c r="Y1671" t="s">
        <v>7092</v>
      </c>
      <c r="Z1671">
        <v>0</v>
      </c>
      <c r="AA1671">
        <v>1</v>
      </c>
      <c r="AB1671">
        <v>0</v>
      </c>
      <c r="AC1671">
        <v>0</v>
      </c>
      <c r="AF1671">
        <v>1914</v>
      </c>
      <c r="AG1671">
        <v>1916</v>
      </c>
      <c r="AO1671" t="b">
        <v>1</v>
      </c>
      <c r="AP1671" t="s">
        <v>4202</v>
      </c>
      <c r="AQ1671">
        <v>1944</v>
      </c>
      <c r="AR1671">
        <v>1963</v>
      </c>
      <c r="AS1671" t="s">
        <v>7093</v>
      </c>
      <c r="AT1671">
        <v>2.2286105407255299</v>
      </c>
      <c r="AU1671">
        <f t="shared" si="80"/>
        <v>6.0000000000000001E-3</v>
      </c>
    </row>
    <row r="1672" spans="1:47" x14ac:dyDescent="0.3">
      <c r="A1672">
        <v>1670</v>
      </c>
      <c r="B1672" t="s">
        <v>7094</v>
      </c>
      <c r="C1672" t="s">
        <v>7095</v>
      </c>
      <c r="D1672">
        <v>325</v>
      </c>
      <c r="E1672" t="s">
        <v>6974</v>
      </c>
      <c r="F1672" t="str">
        <f>VLOOKUP(E1672,country_continent!A:C,2,FALSE)</f>
        <v>Italy</v>
      </c>
      <c r="G1672" t="str">
        <f>VLOOKUP(E1672,country_continent!A:C,3,FALSE)</f>
        <v>Europe</v>
      </c>
      <c r="H1672" t="s">
        <v>7096</v>
      </c>
      <c r="I1672" s="1">
        <v>6013</v>
      </c>
      <c r="J1672" s="3">
        <f t="shared" si="78"/>
        <v>6013</v>
      </c>
      <c r="K1672" s="1">
        <v>6513</v>
      </c>
      <c r="L1672" s="3">
        <f t="shared" si="79"/>
        <v>6513</v>
      </c>
      <c r="M1672" t="s">
        <v>49</v>
      </c>
      <c r="N1672" t="s">
        <v>49</v>
      </c>
      <c r="O1672" t="s">
        <v>49</v>
      </c>
      <c r="P1672">
        <v>0</v>
      </c>
      <c r="Q1672" t="s">
        <v>50</v>
      </c>
      <c r="R1672" t="s">
        <v>51</v>
      </c>
      <c r="S1672">
        <v>1838</v>
      </c>
      <c r="T1672">
        <v>1932</v>
      </c>
      <c r="U1672" t="s">
        <v>7097</v>
      </c>
      <c r="V1672" t="s">
        <v>7098</v>
      </c>
      <c r="W1672" s="1">
        <v>11758</v>
      </c>
      <c r="X1672" s="2">
        <v>11758</v>
      </c>
      <c r="Y1672" t="s">
        <v>7099</v>
      </c>
      <c r="Z1672">
        <v>0</v>
      </c>
      <c r="AA1672">
        <v>1</v>
      </c>
      <c r="AB1672">
        <v>0</v>
      </c>
      <c r="AC1672">
        <v>0</v>
      </c>
      <c r="AF1672">
        <v>1916</v>
      </c>
      <c r="AG1672">
        <v>1917</v>
      </c>
      <c r="AO1672" t="b">
        <v>1</v>
      </c>
      <c r="AP1672" t="s">
        <v>4202</v>
      </c>
      <c r="AQ1672">
        <v>1944</v>
      </c>
      <c r="AR1672">
        <v>1963</v>
      </c>
      <c r="AS1672" t="s">
        <v>7100</v>
      </c>
      <c r="AT1672">
        <v>1.3689253935660499</v>
      </c>
      <c r="AU1672">
        <f t="shared" si="80"/>
        <v>4.0000000000000001E-3</v>
      </c>
    </row>
    <row r="1673" spans="1:47" x14ac:dyDescent="0.3">
      <c r="A1673">
        <v>1671</v>
      </c>
      <c r="B1673" t="s">
        <v>7101</v>
      </c>
      <c r="C1673" t="s">
        <v>7102</v>
      </c>
      <c r="D1673">
        <v>325</v>
      </c>
      <c r="E1673" t="s">
        <v>6974</v>
      </c>
      <c r="F1673" t="str">
        <f>VLOOKUP(E1673,country_continent!A:C,2,FALSE)</f>
        <v>Italy</v>
      </c>
      <c r="G1673" t="str">
        <f>VLOOKUP(E1673,country_continent!A:C,3,FALSE)</f>
        <v>Europe</v>
      </c>
      <c r="H1673" t="s">
        <v>7103</v>
      </c>
      <c r="I1673" s="1">
        <v>6513</v>
      </c>
      <c r="J1673" s="3">
        <f t="shared" si="78"/>
        <v>6513</v>
      </c>
      <c r="K1673" s="1">
        <v>7110</v>
      </c>
      <c r="L1673" s="3">
        <f t="shared" si="79"/>
        <v>7110</v>
      </c>
      <c r="M1673" t="s">
        <v>49</v>
      </c>
      <c r="N1673" t="s">
        <v>49</v>
      </c>
      <c r="O1673" t="s">
        <v>49</v>
      </c>
      <c r="P1673">
        <v>0</v>
      </c>
      <c r="Q1673" t="s">
        <v>50</v>
      </c>
      <c r="R1673" t="s">
        <v>51</v>
      </c>
      <c r="S1673">
        <v>1860</v>
      </c>
      <c r="T1673">
        <v>1952</v>
      </c>
      <c r="U1673" t="s">
        <v>7104</v>
      </c>
      <c r="V1673" t="s">
        <v>7105</v>
      </c>
      <c r="Y1673" t="s">
        <v>7106</v>
      </c>
      <c r="Z1673">
        <v>0</v>
      </c>
      <c r="AA1673">
        <v>1</v>
      </c>
      <c r="AB1673">
        <v>0</v>
      </c>
      <c r="AC1673">
        <v>0</v>
      </c>
      <c r="AF1673">
        <v>1917</v>
      </c>
      <c r="AG1673">
        <v>1919</v>
      </c>
      <c r="AO1673" t="b">
        <v>1</v>
      </c>
      <c r="AP1673" t="s">
        <v>4202</v>
      </c>
      <c r="AQ1673">
        <v>1944</v>
      </c>
      <c r="AR1673">
        <v>1963</v>
      </c>
      <c r="AS1673" t="s">
        <v>7107</v>
      </c>
      <c r="AT1673">
        <v>1.6344969199178601</v>
      </c>
      <c r="AU1673">
        <f t="shared" si="80"/>
        <v>4.0000000000000001E-3</v>
      </c>
    </row>
    <row r="1674" spans="1:47" x14ac:dyDescent="0.3">
      <c r="A1674">
        <v>1672</v>
      </c>
      <c r="B1674" t="s">
        <v>7108</v>
      </c>
      <c r="C1674" t="s">
        <v>7109</v>
      </c>
      <c r="D1674">
        <v>325</v>
      </c>
      <c r="E1674" t="s">
        <v>6974</v>
      </c>
      <c r="F1674" t="str">
        <f>VLOOKUP(E1674,country_continent!A:C,2,FALSE)</f>
        <v>Italy</v>
      </c>
      <c r="G1674" t="str">
        <f>VLOOKUP(E1674,country_continent!A:C,3,FALSE)</f>
        <v>Europe</v>
      </c>
      <c r="H1674" t="s">
        <v>7110</v>
      </c>
      <c r="I1674" s="1">
        <v>7114</v>
      </c>
      <c r="J1674" s="3">
        <f t="shared" si="78"/>
        <v>7114</v>
      </c>
      <c r="K1674" s="1">
        <v>7466</v>
      </c>
      <c r="L1674" s="3">
        <f t="shared" si="79"/>
        <v>7466</v>
      </c>
      <c r="M1674" t="s">
        <v>49</v>
      </c>
      <c r="N1674" t="s">
        <v>49</v>
      </c>
      <c r="O1674" t="s">
        <v>49</v>
      </c>
      <c r="P1674">
        <v>0</v>
      </c>
      <c r="Q1674" t="s">
        <v>50</v>
      </c>
      <c r="R1674" t="s">
        <v>51</v>
      </c>
      <c r="S1674">
        <v>1868</v>
      </c>
      <c r="T1674">
        <v>1953</v>
      </c>
      <c r="U1674" t="s">
        <v>7111</v>
      </c>
      <c r="V1674" t="s">
        <v>7112</v>
      </c>
      <c r="Y1674" t="s">
        <v>7113</v>
      </c>
      <c r="Z1674">
        <v>0</v>
      </c>
      <c r="AA1674">
        <v>1</v>
      </c>
      <c r="AB1674">
        <v>0</v>
      </c>
      <c r="AC1674">
        <v>0</v>
      </c>
      <c r="AF1674">
        <v>1919</v>
      </c>
      <c r="AG1674">
        <v>1920</v>
      </c>
      <c r="AO1674" t="b">
        <v>1</v>
      </c>
      <c r="AP1674" t="s">
        <v>4202</v>
      </c>
      <c r="AQ1674">
        <v>1944</v>
      </c>
      <c r="AR1674">
        <v>1963</v>
      </c>
      <c r="AS1674" t="s">
        <v>7114</v>
      </c>
      <c r="AT1674">
        <v>0.96372347707049899</v>
      </c>
      <c r="AU1674">
        <f t="shared" si="80"/>
        <v>3.0000000000000001E-3</v>
      </c>
    </row>
    <row r="1675" spans="1:47" x14ac:dyDescent="0.3">
      <c r="A1675">
        <v>1673</v>
      </c>
      <c r="B1675" t="s">
        <v>7115</v>
      </c>
      <c r="C1675" t="s">
        <v>7021</v>
      </c>
      <c r="D1675">
        <v>325</v>
      </c>
      <c r="E1675" t="s">
        <v>6974</v>
      </c>
      <c r="F1675" t="str">
        <f>VLOOKUP(E1675,country_continent!A:C,2,FALSE)</f>
        <v>Italy</v>
      </c>
      <c r="G1675" t="str">
        <f>VLOOKUP(E1675,country_continent!A:C,3,FALSE)</f>
        <v>Europe</v>
      </c>
      <c r="H1675" t="s">
        <v>7022</v>
      </c>
      <c r="I1675" s="1">
        <v>7473</v>
      </c>
      <c r="J1675" s="3">
        <f t="shared" si="78"/>
        <v>7473</v>
      </c>
      <c r="K1675" s="1">
        <v>7848</v>
      </c>
      <c r="L1675" s="3">
        <f t="shared" si="79"/>
        <v>7848</v>
      </c>
      <c r="M1675" t="s">
        <v>49</v>
      </c>
      <c r="N1675" t="s">
        <v>49</v>
      </c>
      <c r="O1675" t="s">
        <v>49</v>
      </c>
      <c r="P1675">
        <v>4</v>
      </c>
      <c r="Q1675" t="s">
        <v>50</v>
      </c>
      <c r="R1675" t="s">
        <v>51</v>
      </c>
      <c r="S1675">
        <v>1842</v>
      </c>
      <c r="T1675">
        <v>1928</v>
      </c>
      <c r="U1675" t="s">
        <v>7025</v>
      </c>
      <c r="V1675" t="s">
        <v>7026</v>
      </c>
      <c r="W1675" s="1">
        <v>10426</v>
      </c>
      <c r="X1675" s="2">
        <v>10426</v>
      </c>
      <c r="Y1675" t="s">
        <v>7027</v>
      </c>
      <c r="Z1675">
        <v>0</v>
      </c>
      <c r="AA1675">
        <v>1</v>
      </c>
      <c r="AB1675">
        <v>0</v>
      </c>
      <c r="AC1675">
        <v>0</v>
      </c>
      <c r="AF1675">
        <v>1920</v>
      </c>
      <c r="AG1675">
        <v>1921</v>
      </c>
      <c r="AO1675" t="b">
        <v>1</v>
      </c>
      <c r="AP1675" t="s">
        <v>4202</v>
      </c>
      <c r="AQ1675">
        <v>1944</v>
      </c>
      <c r="AR1675">
        <v>1963</v>
      </c>
      <c r="AS1675" t="s">
        <v>7116</v>
      </c>
      <c r="AT1675">
        <v>1.0266940451745299</v>
      </c>
      <c r="AU1675">
        <f t="shared" si="80"/>
        <v>3.0000000000000001E-3</v>
      </c>
    </row>
    <row r="1676" spans="1:47" x14ac:dyDescent="0.3">
      <c r="A1676">
        <v>1674</v>
      </c>
      <c r="B1676" t="s">
        <v>7117</v>
      </c>
      <c r="C1676" t="s">
        <v>7118</v>
      </c>
      <c r="D1676">
        <v>325</v>
      </c>
      <c r="E1676" t="s">
        <v>6974</v>
      </c>
      <c r="F1676" t="str">
        <f>VLOOKUP(E1676,country_continent!A:C,2,FALSE)</f>
        <v>Italy</v>
      </c>
      <c r="G1676" t="str">
        <f>VLOOKUP(E1676,country_continent!A:C,3,FALSE)</f>
        <v>Europe</v>
      </c>
      <c r="H1676" t="s">
        <v>7119</v>
      </c>
      <c r="I1676" s="1">
        <v>7848</v>
      </c>
      <c r="J1676" s="3">
        <f t="shared" si="78"/>
        <v>7848</v>
      </c>
      <c r="K1676" s="1">
        <v>8092</v>
      </c>
      <c r="L1676" s="3">
        <f t="shared" si="79"/>
        <v>8092</v>
      </c>
      <c r="M1676" t="s">
        <v>49</v>
      </c>
      <c r="N1676" t="s">
        <v>49</v>
      </c>
      <c r="O1676" t="s">
        <v>49</v>
      </c>
      <c r="P1676">
        <v>0</v>
      </c>
      <c r="Q1676" t="s">
        <v>50</v>
      </c>
      <c r="R1676" t="s">
        <v>51</v>
      </c>
      <c r="S1676">
        <v>1873</v>
      </c>
      <c r="T1676">
        <v>1951</v>
      </c>
      <c r="U1676" t="s">
        <v>7120</v>
      </c>
      <c r="V1676" t="s">
        <v>7121</v>
      </c>
      <c r="W1676" s="1">
        <v>18738</v>
      </c>
      <c r="X1676" s="2">
        <v>18738</v>
      </c>
      <c r="Y1676" t="s">
        <v>7122</v>
      </c>
      <c r="Z1676">
        <v>0</v>
      </c>
      <c r="AA1676">
        <v>1</v>
      </c>
      <c r="AB1676">
        <v>0</v>
      </c>
      <c r="AC1676">
        <v>0</v>
      </c>
      <c r="AF1676">
        <v>1921</v>
      </c>
      <c r="AG1676">
        <v>1922</v>
      </c>
      <c r="AO1676" t="b">
        <v>1</v>
      </c>
      <c r="AP1676" t="s">
        <v>4202</v>
      </c>
      <c r="AQ1676">
        <v>1944</v>
      </c>
      <c r="AR1676">
        <v>1963</v>
      </c>
      <c r="AS1676" t="s">
        <v>7123</v>
      </c>
      <c r="AT1676">
        <v>0.668035592060232</v>
      </c>
      <c r="AU1676">
        <f t="shared" si="80"/>
        <v>2E-3</v>
      </c>
    </row>
    <row r="1677" spans="1:47" x14ac:dyDescent="0.3">
      <c r="A1677">
        <v>1675</v>
      </c>
      <c r="B1677" t="s">
        <v>7124</v>
      </c>
      <c r="C1677" t="s">
        <v>7125</v>
      </c>
      <c r="D1677">
        <v>325</v>
      </c>
      <c r="E1677" t="s">
        <v>6974</v>
      </c>
      <c r="F1677" t="str">
        <f>VLOOKUP(E1677,country_continent!A:C,2,FALSE)</f>
        <v>Italy</v>
      </c>
      <c r="G1677" t="str">
        <f>VLOOKUP(E1677,country_continent!A:C,3,FALSE)</f>
        <v>Europe</v>
      </c>
      <c r="H1677" t="s">
        <v>7126</v>
      </c>
      <c r="I1677" s="1">
        <v>8092</v>
      </c>
      <c r="J1677" s="3">
        <f t="shared" si="78"/>
        <v>8092</v>
      </c>
      <c r="K1677" s="1">
        <v>8336</v>
      </c>
      <c r="L1677" s="3">
        <f t="shared" si="79"/>
        <v>8336</v>
      </c>
      <c r="M1677" t="s">
        <v>49</v>
      </c>
      <c r="N1677" t="s">
        <v>49</v>
      </c>
      <c r="O1677" t="s">
        <v>49</v>
      </c>
      <c r="P1677">
        <v>0</v>
      </c>
      <c r="Q1677" t="s">
        <v>50</v>
      </c>
      <c r="R1677" t="s">
        <v>51</v>
      </c>
      <c r="S1677">
        <v>1861</v>
      </c>
      <c r="T1677">
        <v>1930</v>
      </c>
      <c r="U1677" t="s">
        <v>7127</v>
      </c>
      <c r="V1677" t="s">
        <v>7128</v>
      </c>
      <c r="W1677" s="1">
        <v>11267</v>
      </c>
      <c r="X1677" s="2">
        <v>11267</v>
      </c>
      <c r="Y1677" t="s">
        <v>7129</v>
      </c>
      <c r="Z1677">
        <v>0</v>
      </c>
      <c r="AA1677">
        <v>1</v>
      </c>
      <c r="AB1677">
        <v>0</v>
      </c>
      <c r="AC1677">
        <v>0</v>
      </c>
      <c r="AF1677">
        <v>1922</v>
      </c>
      <c r="AG1677">
        <v>1922</v>
      </c>
      <c r="AO1677" t="b">
        <v>1</v>
      </c>
      <c r="AP1677" t="s">
        <v>4202</v>
      </c>
      <c r="AQ1677">
        <v>1944</v>
      </c>
      <c r="AR1677">
        <v>1963</v>
      </c>
      <c r="AS1677" t="s">
        <v>7123</v>
      </c>
      <c r="AT1677">
        <v>0.668035592060232</v>
      </c>
      <c r="AU1677">
        <f t="shared" si="80"/>
        <v>2E-3</v>
      </c>
    </row>
    <row r="1678" spans="1:47" x14ac:dyDescent="0.3">
      <c r="A1678">
        <v>1676</v>
      </c>
      <c r="B1678" t="s">
        <v>7130</v>
      </c>
      <c r="C1678" t="s">
        <v>7131</v>
      </c>
      <c r="D1678">
        <v>325</v>
      </c>
      <c r="E1678" t="s">
        <v>6974</v>
      </c>
      <c r="F1678" t="str">
        <f>VLOOKUP(E1678,country_continent!A:C,2,FALSE)</f>
        <v>Italy</v>
      </c>
      <c r="G1678" t="str">
        <f>VLOOKUP(E1678,country_continent!A:C,3,FALSE)</f>
        <v>Europe</v>
      </c>
      <c r="H1678" t="s">
        <v>7132</v>
      </c>
      <c r="I1678" s="1">
        <v>8339</v>
      </c>
      <c r="J1678" s="3">
        <f t="shared" si="78"/>
        <v>8339</v>
      </c>
      <c r="K1678" s="1">
        <v>15912</v>
      </c>
      <c r="L1678" s="3">
        <f t="shared" si="79"/>
        <v>15912</v>
      </c>
      <c r="M1678" t="s">
        <v>49</v>
      </c>
      <c r="N1678" t="s">
        <v>67</v>
      </c>
      <c r="O1678" t="s">
        <v>2001</v>
      </c>
      <c r="P1678">
        <v>0</v>
      </c>
      <c r="Q1678" t="s">
        <v>69</v>
      </c>
      <c r="R1678" t="s">
        <v>51</v>
      </c>
      <c r="S1678">
        <v>1883</v>
      </c>
      <c r="T1678">
        <v>1945</v>
      </c>
      <c r="U1678" t="s">
        <v>7133</v>
      </c>
      <c r="V1678" t="s">
        <v>7134</v>
      </c>
      <c r="W1678" s="1">
        <v>16555</v>
      </c>
      <c r="X1678" s="2">
        <v>16555</v>
      </c>
      <c r="Y1678" t="s">
        <v>7135</v>
      </c>
      <c r="Z1678">
        <v>0</v>
      </c>
      <c r="AA1678">
        <v>3</v>
      </c>
      <c r="AB1678">
        <v>8</v>
      </c>
      <c r="AC1678">
        <v>3</v>
      </c>
      <c r="AF1678">
        <v>1922</v>
      </c>
      <c r="AG1678">
        <v>1943</v>
      </c>
      <c r="AO1678" t="b">
        <v>1</v>
      </c>
      <c r="AP1678" t="s">
        <v>4202</v>
      </c>
      <c r="AQ1678">
        <v>1944</v>
      </c>
      <c r="AR1678">
        <v>1963</v>
      </c>
      <c r="AS1678" t="s">
        <v>7136</v>
      </c>
      <c r="AT1678">
        <v>20.733744010951401</v>
      </c>
      <c r="AU1678">
        <f t="shared" si="80"/>
        <v>5.7000000000000002E-2</v>
      </c>
    </row>
    <row r="1679" spans="1:47" x14ac:dyDescent="0.3">
      <c r="A1679">
        <v>1677</v>
      </c>
      <c r="B1679" t="s">
        <v>7137</v>
      </c>
      <c r="C1679" t="s">
        <v>7138</v>
      </c>
      <c r="D1679">
        <v>325</v>
      </c>
      <c r="E1679" t="s">
        <v>6974</v>
      </c>
      <c r="F1679" t="str">
        <f>VLOOKUP(E1679,country_continent!A:C,2,FALSE)</f>
        <v>Italy</v>
      </c>
      <c r="G1679" t="str">
        <f>VLOOKUP(E1679,country_continent!A:C,3,FALSE)</f>
        <v>Europe</v>
      </c>
      <c r="H1679" t="s">
        <v>7139</v>
      </c>
      <c r="I1679" s="1">
        <v>15915</v>
      </c>
      <c r="J1679" s="3">
        <f t="shared" si="78"/>
        <v>15915</v>
      </c>
      <c r="K1679" s="1">
        <v>16227</v>
      </c>
      <c r="L1679" s="3">
        <f t="shared" si="79"/>
        <v>16227</v>
      </c>
      <c r="M1679" t="s">
        <v>67</v>
      </c>
      <c r="N1679" t="s">
        <v>49</v>
      </c>
      <c r="O1679" t="s">
        <v>49</v>
      </c>
      <c r="P1679">
        <v>0</v>
      </c>
      <c r="Q1679" t="s">
        <v>50</v>
      </c>
      <c r="R1679" t="s">
        <v>51</v>
      </c>
      <c r="S1679">
        <v>1871</v>
      </c>
      <c r="T1679">
        <v>1956</v>
      </c>
      <c r="U1679" t="s">
        <v>377</v>
      </c>
      <c r="V1679" t="s">
        <v>378</v>
      </c>
      <c r="W1679" s="1">
        <v>20759</v>
      </c>
      <c r="X1679" s="2">
        <v>20759</v>
      </c>
      <c r="Y1679" t="s">
        <v>7140</v>
      </c>
      <c r="Z1679">
        <v>1</v>
      </c>
      <c r="AA1679">
        <v>1</v>
      </c>
      <c r="AB1679">
        <v>0</v>
      </c>
      <c r="AC1679">
        <v>0</v>
      </c>
      <c r="AF1679">
        <v>1943</v>
      </c>
      <c r="AG1679">
        <v>1944</v>
      </c>
      <c r="AO1679" t="b">
        <v>1</v>
      </c>
      <c r="AP1679" t="s">
        <v>4202</v>
      </c>
      <c r="AQ1679">
        <v>1944</v>
      </c>
      <c r="AR1679">
        <v>1963</v>
      </c>
      <c r="AS1679" t="s">
        <v>7141</v>
      </c>
      <c r="AT1679">
        <v>0.85420944558521505</v>
      </c>
      <c r="AU1679">
        <f t="shared" si="80"/>
        <v>2E-3</v>
      </c>
    </row>
    <row r="1680" spans="1:47" x14ac:dyDescent="0.3">
      <c r="A1680">
        <v>1678</v>
      </c>
      <c r="B1680" t="s">
        <v>7142</v>
      </c>
      <c r="C1680" t="s">
        <v>7118</v>
      </c>
      <c r="D1680">
        <v>325</v>
      </c>
      <c r="E1680" t="s">
        <v>6974</v>
      </c>
      <c r="F1680" t="str">
        <f>VLOOKUP(E1680,country_continent!A:C,2,FALSE)</f>
        <v>Italy</v>
      </c>
      <c r="G1680" t="str">
        <f>VLOOKUP(E1680,country_continent!A:C,3,FALSE)</f>
        <v>Europe</v>
      </c>
      <c r="H1680" t="s">
        <v>7119</v>
      </c>
      <c r="I1680" s="1">
        <v>16232</v>
      </c>
      <c r="J1680" s="3">
        <f t="shared" si="78"/>
        <v>16232</v>
      </c>
      <c r="K1680" s="1">
        <v>16608</v>
      </c>
      <c r="L1680" s="3">
        <f t="shared" si="79"/>
        <v>16608</v>
      </c>
      <c r="M1680" t="s">
        <v>49</v>
      </c>
      <c r="N1680" t="s">
        <v>49</v>
      </c>
      <c r="O1680" t="s">
        <v>49</v>
      </c>
      <c r="P1680">
        <v>1</v>
      </c>
      <c r="Q1680" t="s">
        <v>50</v>
      </c>
      <c r="R1680" t="s">
        <v>51</v>
      </c>
      <c r="S1680">
        <v>1873</v>
      </c>
      <c r="T1680">
        <v>1951</v>
      </c>
      <c r="U1680" t="s">
        <v>7120</v>
      </c>
      <c r="V1680" t="s">
        <v>7121</v>
      </c>
      <c r="W1680" s="1">
        <v>18738</v>
      </c>
      <c r="X1680" s="2">
        <v>18738</v>
      </c>
      <c r="Y1680" t="s">
        <v>7122</v>
      </c>
      <c r="Z1680">
        <v>0</v>
      </c>
      <c r="AA1680">
        <v>1</v>
      </c>
      <c r="AB1680">
        <v>0</v>
      </c>
      <c r="AC1680">
        <v>0</v>
      </c>
      <c r="AF1680">
        <v>1944</v>
      </c>
      <c r="AG1680">
        <v>1945</v>
      </c>
      <c r="AO1680" t="b">
        <v>1</v>
      </c>
      <c r="AP1680" t="s">
        <v>4202</v>
      </c>
      <c r="AQ1680">
        <v>1944</v>
      </c>
      <c r="AR1680">
        <v>1963</v>
      </c>
      <c r="AS1680" t="s">
        <v>7143</v>
      </c>
      <c r="AT1680">
        <v>1.02943189596167</v>
      </c>
      <c r="AU1680">
        <f t="shared" si="80"/>
        <v>3.0000000000000001E-3</v>
      </c>
    </row>
    <row r="1681" spans="1:47" x14ac:dyDescent="0.3">
      <c r="A1681">
        <v>1679</v>
      </c>
      <c r="B1681" t="s">
        <v>7144</v>
      </c>
      <c r="C1681" t="s">
        <v>7145</v>
      </c>
      <c r="D1681">
        <v>325</v>
      </c>
      <c r="E1681" t="s">
        <v>6974</v>
      </c>
      <c r="F1681" t="str">
        <f>VLOOKUP(E1681,country_continent!A:C,2,FALSE)</f>
        <v>Italy</v>
      </c>
      <c r="G1681" t="str">
        <f>VLOOKUP(E1681,country_continent!A:C,3,FALSE)</f>
        <v>Europe</v>
      </c>
      <c r="H1681" t="s">
        <v>7146</v>
      </c>
      <c r="I1681" s="1">
        <v>16608</v>
      </c>
      <c r="J1681" s="3">
        <f t="shared" si="78"/>
        <v>16608</v>
      </c>
      <c r="K1681" s="1">
        <v>16767</v>
      </c>
      <c r="L1681" s="3">
        <f t="shared" si="79"/>
        <v>16767</v>
      </c>
      <c r="M1681" t="s">
        <v>49</v>
      </c>
      <c r="N1681" t="s">
        <v>49</v>
      </c>
      <c r="O1681" t="s">
        <v>49</v>
      </c>
      <c r="P1681">
        <v>0</v>
      </c>
      <c r="Q1681" t="s">
        <v>50</v>
      </c>
      <c r="R1681" t="s">
        <v>51</v>
      </c>
      <c r="S1681">
        <v>1890</v>
      </c>
      <c r="T1681">
        <v>1981</v>
      </c>
      <c r="U1681" t="s">
        <v>7147</v>
      </c>
      <c r="V1681" t="s">
        <v>7148</v>
      </c>
      <c r="Y1681" t="s">
        <v>7149</v>
      </c>
      <c r="Z1681">
        <v>0</v>
      </c>
      <c r="AA1681">
        <v>1</v>
      </c>
      <c r="AB1681">
        <v>0</v>
      </c>
      <c r="AC1681">
        <v>0</v>
      </c>
      <c r="AF1681">
        <v>1945</v>
      </c>
      <c r="AG1681">
        <v>1945</v>
      </c>
      <c r="AO1681" t="b">
        <v>1</v>
      </c>
      <c r="AP1681" t="s">
        <v>4202</v>
      </c>
      <c r="AQ1681">
        <v>1944</v>
      </c>
      <c r="AR1681">
        <v>1963</v>
      </c>
      <c r="AS1681" t="s">
        <v>7150</v>
      </c>
      <c r="AT1681">
        <v>0.43531827515400401</v>
      </c>
      <c r="AU1681">
        <f t="shared" si="80"/>
        <v>1E-3</v>
      </c>
    </row>
    <row r="1682" spans="1:47" x14ac:dyDescent="0.3">
      <c r="A1682">
        <v>1680</v>
      </c>
      <c r="B1682" t="s">
        <v>7151</v>
      </c>
      <c r="C1682" t="s">
        <v>7152</v>
      </c>
      <c r="D1682">
        <v>325</v>
      </c>
      <c r="E1682" t="s">
        <v>6974</v>
      </c>
      <c r="F1682" t="str">
        <f>VLOOKUP(E1682,country_continent!A:C,2,FALSE)</f>
        <v>Italy</v>
      </c>
      <c r="G1682" t="str">
        <f>VLOOKUP(E1682,country_continent!A:C,3,FALSE)</f>
        <v>Europe</v>
      </c>
      <c r="H1682" t="s">
        <v>7153</v>
      </c>
      <c r="I1682" s="1">
        <v>16781</v>
      </c>
      <c r="J1682" s="3">
        <f t="shared" si="78"/>
        <v>16781</v>
      </c>
      <c r="K1682" s="1">
        <v>19568</v>
      </c>
      <c r="L1682" s="3">
        <f t="shared" si="79"/>
        <v>19568</v>
      </c>
      <c r="M1682" t="s">
        <v>49</v>
      </c>
      <c r="N1682" t="s">
        <v>49</v>
      </c>
      <c r="O1682" t="s">
        <v>49</v>
      </c>
      <c r="P1682">
        <v>0</v>
      </c>
      <c r="Q1682" t="s">
        <v>50</v>
      </c>
      <c r="R1682" t="s">
        <v>51</v>
      </c>
      <c r="S1682">
        <v>1881</v>
      </c>
      <c r="T1682">
        <v>1954</v>
      </c>
      <c r="U1682" t="s">
        <v>7154</v>
      </c>
      <c r="V1682" t="s">
        <v>7155</v>
      </c>
      <c r="W1682" s="1">
        <v>19955</v>
      </c>
      <c r="X1682" s="2">
        <v>19955</v>
      </c>
      <c r="Y1682" t="s">
        <v>7156</v>
      </c>
      <c r="Z1682">
        <v>0</v>
      </c>
      <c r="AA1682">
        <v>1</v>
      </c>
      <c r="AB1682">
        <v>0</v>
      </c>
      <c r="AC1682">
        <v>0</v>
      </c>
      <c r="AF1682">
        <v>1945</v>
      </c>
      <c r="AG1682">
        <v>1953</v>
      </c>
      <c r="AN1682">
        <v>9.1199999999999992</v>
      </c>
      <c r="AO1682" t="b">
        <v>1</v>
      </c>
      <c r="AP1682" t="s">
        <v>4202</v>
      </c>
      <c r="AQ1682">
        <v>1944</v>
      </c>
      <c r="AR1682">
        <v>1963</v>
      </c>
      <c r="AS1682" t="s">
        <v>7157</v>
      </c>
      <c r="AT1682">
        <v>7.6303901437371602</v>
      </c>
      <c r="AU1682">
        <f t="shared" si="80"/>
        <v>2.1000000000000001E-2</v>
      </c>
    </row>
    <row r="1683" spans="1:47" x14ac:dyDescent="0.3">
      <c r="A1683">
        <v>1681</v>
      </c>
      <c r="B1683" t="s">
        <v>7158</v>
      </c>
      <c r="C1683" t="s">
        <v>7159</v>
      </c>
      <c r="D1683">
        <v>325</v>
      </c>
      <c r="E1683" t="s">
        <v>6974</v>
      </c>
      <c r="F1683" t="str">
        <f>VLOOKUP(E1683,country_continent!A:C,2,FALSE)</f>
        <v>Italy</v>
      </c>
      <c r="G1683" t="str">
        <f>VLOOKUP(E1683,country_continent!A:C,3,FALSE)</f>
        <v>Europe</v>
      </c>
      <c r="H1683" t="s">
        <v>7160</v>
      </c>
      <c r="I1683" s="1">
        <v>19586</v>
      </c>
      <c r="J1683" s="3">
        <f t="shared" si="78"/>
        <v>19586</v>
      </c>
      <c r="K1683" s="1">
        <v>19730</v>
      </c>
      <c r="L1683" s="3">
        <f t="shared" si="79"/>
        <v>19730</v>
      </c>
      <c r="M1683" t="s">
        <v>49</v>
      </c>
      <c r="N1683" t="s">
        <v>49</v>
      </c>
      <c r="O1683" t="s">
        <v>49</v>
      </c>
      <c r="P1683">
        <v>0</v>
      </c>
      <c r="Q1683" t="s">
        <v>50</v>
      </c>
      <c r="R1683" t="s">
        <v>51</v>
      </c>
      <c r="S1683">
        <v>1902</v>
      </c>
      <c r="T1683">
        <v>1981</v>
      </c>
      <c r="U1683" s="1">
        <v>839</v>
      </c>
      <c r="V1683" s="2">
        <v>839</v>
      </c>
      <c r="W1683" s="1">
        <v>29737</v>
      </c>
      <c r="X1683" s="2">
        <v>29737</v>
      </c>
      <c r="Y1683" t="s">
        <v>7161</v>
      </c>
      <c r="Z1683">
        <v>0</v>
      </c>
      <c r="AA1683">
        <v>1</v>
      </c>
      <c r="AB1683">
        <v>0</v>
      </c>
      <c r="AC1683">
        <v>0</v>
      </c>
      <c r="AF1683">
        <v>1953</v>
      </c>
      <c r="AG1683">
        <v>1954</v>
      </c>
      <c r="AN1683">
        <v>10</v>
      </c>
      <c r="AO1683" t="b">
        <v>1</v>
      </c>
      <c r="AP1683" t="s">
        <v>4202</v>
      </c>
      <c r="AQ1683">
        <v>1944</v>
      </c>
      <c r="AR1683">
        <v>1963</v>
      </c>
      <c r="AS1683" t="s">
        <v>7162</v>
      </c>
      <c r="AT1683">
        <v>0.39425051334702199</v>
      </c>
      <c r="AU1683">
        <f t="shared" si="80"/>
        <v>1E-3</v>
      </c>
    </row>
    <row r="1684" spans="1:47" x14ac:dyDescent="0.3">
      <c r="A1684">
        <v>1682</v>
      </c>
      <c r="B1684" t="s">
        <v>7163</v>
      </c>
      <c r="C1684" t="s">
        <v>7164</v>
      </c>
      <c r="D1684">
        <v>325</v>
      </c>
      <c r="E1684" t="s">
        <v>6974</v>
      </c>
      <c r="F1684" t="str">
        <f>VLOOKUP(E1684,country_continent!A:C,2,FALSE)</f>
        <v>Italy</v>
      </c>
      <c r="G1684" t="str">
        <f>VLOOKUP(E1684,country_continent!A:C,3,FALSE)</f>
        <v>Europe</v>
      </c>
      <c r="H1684" t="s">
        <v>7165</v>
      </c>
      <c r="I1684" s="1">
        <v>19742</v>
      </c>
      <c r="J1684" s="3">
        <f t="shared" si="78"/>
        <v>19742</v>
      </c>
      <c r="K1684" s="1">
        <v>19755</v>
      </c>
      <c r="L1684" s="3">
        <f t="shared" si="79"/>
        <v>19755</v>
      </c>
      <c r="M1684" t="s">
        <v>49</v>
      </c>
      <c r="N1684" t="s">
        <v>49</v>
      </c>
      <c r="O1684" t="s">
        <v>49</v>
      </c>
      <c r="P1684">
        <v>0</v>
      </c>
      <c r="Q1684" t="s">
        <v>50</v>
      </c>
      <c r="R1684" t="s">
        <v>51</v>
      </c>
      <c r="S1684">
        <v>1908</v>
      </c>
      <c r="T1684">
        <v>1999</v>
      </c>
      <c r="U1684" s="1">
        <v>2959</v>
      </c>
      <c r="V1684" s="2">
        <v>2959</v>
      </c>
      <c r="W1684" s="1">
        <v>36484</v>
      </c>
      <c r="X1684" s="2">
        <v>36484</v>
      </c>
      <c r="Y1684" t="s">
        <v>7166</v>
      </c>
      <c r="Z1684">
        <v>0</v>
      </c>
      <c r="AA1684">
        <v>1</v>
      </c>
      <c r="AB1684">
        <v>0</v>
      </c>
      <c r="AC1684">
        <v>0</v>
      </c>
      <c r="AF1684">
        <v>1954</v>
      </c>
      <c r="AG1684">
        <v>1954</v>
      </c>
      <c r="AN1684">
        <v>10</v>
      </c>
      <c r="AO1684" t="b">
        <v>1</v>
      </c>
      <c r="AP1684" t="s">
        <v>4202</v>
      </c>
      <c r="AQ1684">
        <v>1944</v>
      </c>
      <c r="AR1684">
        <v>1963</v>
      </c>
      <c r="AS1684" t="s">
        <v>7167</v>
      </c>
      <c r="AT1684">
        <v>3.5592060232717299E-2</v>
      </c>
      <c r="AU1684">
        <f t="shared" si="80"/>
        <v>0</v>
      </c>
    </row>
    <row r="1685" spans="1:47" x14ac:dyDescent="0.3">
      <c r="A1685">
        <v>1683</v>
      </c>
      <c r="B1685" t="s">
        <v>7168</v>
      </c>
      <c r="C1685" t="s">
        <v>7169</v>
      </c>
      <c r="D1685">
        <v>325</v>
      </c>
      <c r="E1685" t="s">
        <v>6974</v>
      </c>
      <c r="F1685" t="str">
        <f>VLOOKUP(E1685,country_continent!A:C,2,FALSE)</f>
        <v>Italy</v>
      </c>
      <c r="G1685" t="str">
        <f>VLOOKUP(E1685,country_continent!A:C,3,FALSE)</f>
        <v>Europe</v>
      </c>
      <c r="H1685" t="s">
        <v>7170</v>
      </c>
      <c r="I1685" s="1">
        <v>19764</v>
      </c>
      <c r="J1685" s="3">
        <f t="shared" si="78"/>
        <v>19764</v>
      </c>
      <c r="K1685" s="1">
        <v>20262</v>
      </c>
      <c r="L1685" s="3">
        <f t="shared" si="79"/>
        <v>20262</v>
      </c>
      <c r="M1685" t="s">
        <v>49</v>
      </c>
      <c r="N1685" t="s">
        <v>49</v>
      </c>
      <c r="O1685" t="s">
        <v>49</v>
      </c>
      <c r="P1685">
        <v>0</v>
      </c>
      <c r="Q1685" t="s">
        <v>50</v>
      </c>
      <c r="R1685" t="s">
        <v>51</v>
      </c>
      <c r="S1685">
        <v>1901</v>
      </c>
      <c r="T1685">
        <v>1991</v>
      </c>
      <c r="U1685" s="1">
        <v>614</v>
      </c>
      <c r="V1685" s="2">
        <v>614</v>
      </c>
      <c r="Y1685" t="s">
        <v>7171</v>
      </c>
      <c r="Z1685">
        <v>0</v>
      </c>
      <c r="AA1685">
        <v>1</v>
      </c>
      <c r="AB1685">
        <v>0</v>
      </c>
      <c r="AC1685">
        <v>0</v>
      </c>
      <c r="AF1685">
        <v>1954</v>
      </c>
      <c r="AG1685">
        <v>1955</v>
      </c>
      <c r="AN1685">
        <v>10</v>
      </c>
      <c r="AO1685" t="b">
        <v>1</v>
      </c>
      <c r="AP1685" t="s">
        <v>4202</v>
      </c>
      <c r="AQ1685">
        <v>1944</v>
      </c>
      <c r="AR1685">
        <v>1963</v>
      </c>
      <c r="AS1685" t="s">
        <v>7172</v>
      </c>
      <c r="AT1685">
        <v>1.36344969199178</v>
      </c>
      <c r="AU1685">
        <f t="shared" si="80"/>
        <v>4.0000000000000001E-3</v>
      </c>
    </row>
    <row r="1686" spans="1:47" x14ac:dyDescent="0.3">
      <c r="A1686">
        <v>1684</v>
      </c>
      <c r="B1686" t="s">
        <v>7173</v>
      </c>
      <c r="C1686" t="s">
        <v>7174</v>
      </c>
      <c r="D1686">
        <v>325</v>
      </c>
      <c r="E1686" t="s">
        <v>6974</v>
      </c>
      <c r="F1686" t="str">
        <f>VLOOKUP(E1686,country_continent!A:C,2,FALSE)</f>
        <v>Italy</v>
      </c>
      <c r="G1686" t="str">
        <f>VLOOKUP(E1686,country_continent!A:C,3,FALSE)</f>
        <v>Europe</v>
      </c>
      <c r="H1686" t="s">
        <v>7175</v>
      </c>
      <c r="I1686" s="1">
        <v>20276</v>
      </c>
      <c r="J1686" s="3">
        <f t="shared" si="78"/>
        <v>20276</v>
      </c>
      <c r="K1686" s="1">
        <v>20946</v>
      </c>
      <c r="L1686" s="3">
        <f t="shared" si="79"/>
        <v>20946</v>
      </c>
      <c r="M1686" t="s">
        <v>49</v>
      </c>
      <c r="N1686" t="s">
        <v>49</v>
      </c>
      <c r="O1686" t="s">
        <v>49</v>
      </c>
      <c r="P1686">
        <v>0</v>
      </c>
      <c r="Q1686" t="s">
        <v>50</v>
      </c>
      <c r="R1686" t="s">
        <v>51</v>
      </c>
      <c r="S1686">
        <v>1891</v>
      </c>
      <c r="T1686">
        <v>1972</v>
      </c>
      <c r="U1686" t="s">
        <v>7176</v>
      </c>
      <c r="V1686" t="s">
        <v>7177</v>
      </c>
      <c r="Y1686" t="s">
        <v>7178</v>
      </c>
      <c r="Z1686">
        <v>0</v>
      </c>
      <c r="AA1686">
        <v>1</v>
      </c>
      <c r="AB1686">
        <v>0</v>
      </c>
      <c r="AC1686">
        <v>0</v>
      </c>
      <c r="AF1686">
        <v>1955</v>
      </c>
      <c r="AG1686">
        <v>1957</v>
      </c>
      <c r="AN1686">
        <v>10</v>
      </c>
      <c r="AO1686" t="b">
        <v>1</v>
      </c>
      <c r="AP1686" t="s">
        <v>4202</v>
      </c>
      <c r="AQ1686">
        <v>1944</v>
      </c>
      <c r="AR1686">
        <v>1963</v>
      </c>
      <c r="AS1686" t="s">
        <v>7179</v>
      </c>
      <c r="AT1686">
        <v>1.8343600273784999</v>
      </c>
      <c r="AU1686">
        <f t="shared" si="80"/>
        <v>5.0000000000000001E-3</v>
      </c>
    </row>
    <row r="1687" spans="1:47" x14ac:dyDescent="0.3">
      <c r="A1687">
        <v>1685</v>
      </c>
      <c r="B1687" t="s">
        <v>7180</v>
      </c>
      <c r="C1687" t="s">
        <v>7181</v>
      </c>
      <c r="D1687">
        <v>325</v>
      </c>
      <c r="E1687" t="s">
        <v>6974</v>
      </c>
      <c r="F1687" t="str">
        <f>VLOOKUP(E1687,country_continent!A:C,2,FALSE)</f>
        <v>Italy</v>
      </c>
      <c r="G1687" t="str">
        <f>VLOOKUP(E1687,country_continent!A:C,3,FALSE)</f>
        <v>Europe</v>
      </c>
      <c r="H1687" t="s">
        <v>7182</v>
      </c>
      <c r="I1687" s="1">
        <v>20959</v>
      </c>
      <c r="J1687" s="3">
        <f t="shared" si="78"/>
        <v>20959</v>
      </c>
      <c r="K1687" s="1">
        <v>21355</v>
      </c>
      <c r="L1687" s="3">
        <f t="shared" si="79"/>
        <v>21355</v>
      </c>
      <c r="M1687" t="s">
        <v>49</v>
      </c>
      <c r="N1687" t="s">
        <v>49</v>
      </c>
      <c r="O1687" t="s">
        <v>49</v>
      </c>
      <c r="P1687">
        <v>0</v>
      </c>
      <c r="Q1687" t="s">
        <v>50</v>
      </c>
      <c r="R1687" t="s">
        <v>51</v>
      </c>
      <c r="S1687">
        <v>1887</v>
      </c>
      <c r="T1687">
        <v>1960</v>
      </c>
      <c r="U1687" t="s">
        <v>7183</v>
      </c>
      <c r="V1687" t="s">
        <v>7184</v>
      </c>
      <c r="Y1687" t="s">
        <v>7185</v>
      </c>
      <c r="Z1687">
        <v>0</v>
      </c>
      <c r="AA1687">
        <v>1</v>
      </c>
      <c r="AB1687">
        <v>0</v>
      </c>
      <c r="AC1687">
        <v>0</v>
      </c>
      <c r="AF1687">
        <v>1957</v>
      </c>
      <c r="AG1687">
        <v>1958</v>
      </c>
      <c r="AN1687">
        <v>10</v>
      </c>
      <c r="AO1687" t="b">
        <v>1</v>
      </c>
      <c r="AP1687" t="s">
        <v>4202</v>
      </c>
      <c r="AQ1687">
        <v>1944</v>
      </c>
      <c r="AR1687">
        <v>1963</v>
      </c>
      <c r="AS1687" t="s">
        <v>7186</v>
      </c>
      <c r="AT1687">
        <v>1.08418891170431</v>
      </c>
      <c r="AU1687">
        <f t="shared" si="80"/>
        <v>3.0000000000000001E-3</v>
      </c>
    </row>
    <row r="1688" spans="1:47" x14ac:dyDescent="0.3">
      <c r="A1688">
        <v>1686</v>
      </c>
      <c r="B1688" t="s">
        <v>7187</v>
      </c>
      <c r="C1688" t="s">
        <v>7164</v>
      </c>
      <c r="D1688">
        <v>325</v>
      </c>
      <c r="E1688" t="s">
        <v>6974</v>
      </c>
      <c r="F1688" t="str">
        <f>VLOOKUP(E1688,country_continent!A:C,2,FALSE)</f>
        <v>Italy</v>
      </c>
      <c r="G1688" t="str">
        <f>VLOOKUP(E1688,country_continent!A:C,3,FALSE)</f>
        <v>Europe</v>
      </c>
      <c r="H1688" t="s">
        <v>7165</v>
      </c>
      <c r="I1688" s="1">
        <v>21368</v>
      </c>
      <c r="J1688" s="3">
        <f t="shared" si="78"/>
        <v>21368</v>
      </c>
      <c r="K1688" s="1">
        <v>21576</v>
      </c>
      <c r="L1688" s="3">
        <f t="shared" si="79"/>
        <v>21576</v>
      </c>
      <c r="M1688" t="s">
        <v>49</v>
      </c>
      <c r="N1688" t="s">
        <v>49</v>
      </c>
      <c r="O1688" t="s">
        <v>49</v>
      </c>
      <c r="P1688">
        <v>1</v>
      </c>
      <c r="Q1688" t="s">
        <v>50</v>
      </c>
      <c r="R1688" t="s">
        <v>51</v>
      </c>
      <c r="S1688">
        <v>1908</v>
      </c>
      <c r="T1688">
        <v>1999</v>
      </c>
      <c r="U1688" s="1">
        <v>2959</v>
      </c>
      <c r="V1688" s="2">
        <v>2959</v>
      </c>
      <c r="W1688" s="1">
        <v>36484</v>
      </c>
      <c r="X1688" s="2">
        <v>36484</v>
      </c>
      <c r="Y1688" t="s">
        <v>7166</v>
      </c>
      <c r="Z1688">
        <v>0</v>
      </c>
      <c r="AA1688">
        <v>1</v>
      </c>
      <c r="AB1688">
        <v>0</v>
      </c>
      <c r="AC1688">
        <v>0</v>
      </c>
      <c r="AF1688">
        <v>1958</v>
      </c>
      <c r="AG1688">
        <v>1959</v>
      </c>
      <c r="AN1688">
        <v>10</v>
      </c>
      <c r="AO1688" t="b">
        <v>1</v>
      </c>
      <c r="AP1688" t="s">
        <v>4202</v>
      </c>
      <c r="AQ1688">
        <v>1944</v>
      </c>
      <c r="AR1688">
        <v>1963</v>
      </c>
      <c r="AS1688" t="s">
        <v>7188</v>
      </c>
      <c r="AT1688">
        <v>0.569472963723477</v>
      </c>
      <c r="AU1688">
        <f t="shared" si="80"/>
        <v>2E-3</v>
      </c>
    </row>
    <row r="1689" spans="1:47" x14ac:dyDescent="0.3">
      <c r="A1689">
        <v>1687</v>
      </c>
      <c r="B1689" t="s">
        <v>7189</v>
      </c>
      <c r="C1689" t="s">
        <v>7174</v>
      </c>
      <c r="D1689">
        <v>325</v>
      </c>
      <c r="E1689" t="s">
        <v>6974</v>
      </c>
      <c r="F1689" t="str">
        <f>VLOOKUP(E1689,country_continent!A:C,2,FALSE)</f>
        <v>Italy</v>
      </c>
      <c r="G1689" t="str">
        <f>VLOOKUP(E1689,country_continent!A:C,3,FALSE)</f>
        <v>Europe</v>
      </c>
      <c r="H1689" t="s">
        <v>7175</v>
      </c>
      <c r="I1689" s="1">
        <v>21596</v>
      </c>
      <c r="J1689" s="3">
        <f t="shared" si="78"/>
        <v>21596</v>
      </c>
      <c r="K1689" s="1">
        <v>21970</v>
      </c>
      <c r="L1689" s="3">
        <f t="shared" si="79"/>
        <v>21970</v>
      </c>
      <c r="M1689" t="s">
        <v>49</v>
      </c>
      <c r="N1689" t="s">
        <v>49</v>
      </c>
      <c r="O1689" t="s">
        <v>49</v>
      </c>
      <c r="P1689">
        <v>1</v>
      </c>
      <c r="Q1689" t="s">
        <v>50</v>
      </c>
      <c r="R1689" t="s">
        <v>51</v>
      </c>
      <c r="S1689">
        <v>1891</v>
      </c>
      <c r="T1689">
        <v>1972</v>
      </c>
      <c r="U1689" t="s">
        <v>7176</v>
      </c>
      <c r="V1689" t="s">
        <v>7177</v>
      </c>
      <c r="Y1689" t="s">
        <v>7178</v>
      </c>
      <c r="Z1689">
        <v>0</v>
      </c>
      <c r="AA1689">
        <v>1</v>
      </c>
      <c r="AB1689">
        <v>0</v>
      </c>
      <c r="AC1689">
        <v>0</v>
      </c>
      <c r="AF1689">
        <v>1959</v>
      </c>
      <c r="AG1689">
        <v>1960</v>
      </c>
      <c r="AK1689">
        <v>51.9</v>
      </c>
      <c r="AN1689">
        <v>10</v>
      </c>
      <c r="AO1689" t="b">
        <v>1</v>
      </c>
      <c r="AP1689" t="s">
        <v>4202</v>
      </c>
      <c r="AQ1689">
        <v>1944</v>
      </c>
      <c r="AR1689">
        <v>1963</v>
      </c>
      <c r="AS1689" t="s">
        <v>7190</v>
      </c>
      <c r="AT1689">
        <v>1.0239561943874</v>
      </c>
      <c r="AU1689">
        <f t="shared" si="80"/>
        <v>3.0000000000000001E-3</v>
      </c>
    </row>
    <row r="1690" spans="1:47" x14ac:dyDescent="0.3">
      <c r="A1690">
        <v>1688</v>
      </c>
      <c r="B1690" t="s">
        <v>7191</v>
      </c>
      <c r="C1690" t="s">
        <v>7192</v>
      </c>
      <c r="D1690">
        <v>325</v>
      </c>
      <c r="E1690" t="s">
        <v>6974</v>
      </c>
      <c r="F1690" t="str">
        <f>VLOOKUP(E1690,country_continent!A:C,2,FALSE)</f>
        <v>Italy</v>
      </c>
      <c r="G1690" t="str">
        <f>VLOOKUP(E1690,country_continent!A:C,3,FALSE)</f>
        <v>Europe</v>
      </c>
      <c r="H1690" t="s">
        <v>7193</v>
      </c>
      <c r="I1690" s="1">
        <v>22000</v>
      </c>
      <c r="J1690" s="3">
        <f t="shared" si="78"/>
        <v>22000</v>
      </c>
      <c r="K1690" s="1">
        <v>22116</v>
      </c>
      <c r="L1690" s="3">
        <f t="shared" si="79"/>
        <v>22116</v>
      </c>
      <c r="M1690" t="s">
        <v>49</v>
      </c>
      <c r="N1690" t="s">
        <v>49</v>
      </c>
      <c r="O1690" t="s">
        <v>49</v>
      </c>
      <c r="P1690">
        <v>0</v>
      </c>
      <c r="Q1690" t="s">
        <v>50</v>
      </c>
      <c r="R1690" t="s">
        <v>51</v>
      </c>
      <c r="S1690">
        <v>1901</v>
      </c>
      <c r="T1690">
        <v>1963</v>
      </c>
      <c r="Y1690" t="s">
        <v>7194</v>
      </c>
      <c r="Z1690">
        <v>0</v>
      </c>
      <c r="AA1690">
        <v>1</v>
      </c>
      <c r="AB1690">
        <v>0</v>
      </c>
      <c r="AC1690">
        <v>0</v>
      </c>
      <c r="AF1690">
        <v>1960</v>
      </c>
      <c r="AG1690">
        <v>1960</v>
      </c>
      <c r="AK1690">
        <v>51.9</v>
      </c>
      <c r="AN1690">
        <v>10</v>
      </c>
      <c r="AO1690" t="b">
        <v>1</v>
      </c>
      <c r="AP1690" t="s">
        <v>4202</v>
      </c>
      <c r="AQ1690">
        <v>1944</v>
      </c>
      <c r="AR1690">
        <v>1963</v>
      </c>
      <c r="AS1690" t="s">
        <v>7195</v>
      </c>
      <c r="AT1690">
        <v>0.31759069130732298</v>
      </c>
      <c r="AU1690">
        <f t="shared" si="80"/>
        <v>1E-3</v>
      </c>
    </row>
    <row r="1691" spans="1:47" x14ac:dyDescent="0.3">
      <c r="A1691">
        <v>1689</v>
      </c>
      <c r="B1691" t="s">
        <v>7196</v>
      </c>
      <c r="C1691" t="s">
        <v>7164</v>
      </c>
      <c r="D1691">
        <v>325</v>
      </c>
      <c r="E1691" t="s">
        <v>6974</v>
      </c>
      <c r="F1691" t="str">
        <f>VLOOKUP(E1691,country_continent!A:C,2,FALSE)</f>
        <v>Italy</v>
      </c>
      <c r="G1691" t="str">
        <f>VLOOKUP(E1691,country_continent!A:C,3,FALSE)</f>
        <v>Europe</v>
      </c>
      <c r="H1691" t="s">
        <v>7165</v>
      </c>
      <c r="I1691" s="1">
        <v>22123</v>
      </c>
      <c r="J1691" s="3">
        <f t="shared" si="78"/>
        <v>22123</v>
      </c>
      <c r="K1691" s="1">
        <v>23147</v>
      </c>
      <c r="L1691" s="3">
        <f t="shared" si="79"/>
        <v>23147</v>
      </c>
      <c r="M1691" t="s">
        <v>49</v>
      </c>
      <c r="N1691" t="s">
        <v>49</v>
      </c>
      <c r="O1691" t="s">
        <v>49</v>
      </c>
      <c r="P1691">
        <v>2</v>
      </c>
      <c r="Q1691" t="s">
        <v>50</v>
      </c>
      <c r="R1691" t="s">
        <v>51</v>
      </c>
      <c r="S1691">
        <v>1908</v>
      </c>
      <c r="T1691">
        <v>1999</v>
      </c>
      <c r="U1691" s="1">
        <v>2959</v>
      </c>
      <c r="V1691" s="2">
        <v>2959</v>
      </c>
      <c r="W1691" s="1">
        <v>36484</v>
      </c>
      <c r="X1691" s="2">
        <v>36484</v>
      </c>
      <c r="Y1691" t="s">
        <v>7166</v>
      </c>
      <c r="Z1691">
        <v>0</v>
      </c>
      <c r="AA1691">
        <v>1</v>
      </c>
      <c r="AB1691">
        <v>0</v>
      </c>
      <c r="AC1691">
        <v>0</v>
      </c>
      <c r="AF1691">
        <v>1960</v>
      </c>
      <c r="AG1691">
        <v>1963</v>
      </c>
      <c r="AH1691">
        <v>5.9386496994182902</v>
      </c>
      <c r="AI1691">
        <v>1055</v>
      </c>
      <c r="AJ1691">
        <v>5.6779162327539803</v>
      </c>
      <c r="AK1691">
        <v>48.649999999999899</v>
      </c>
      <c r="AL1691">
        <v>0.69151970210402502</v>
      </c>
      <c r="AN1691">
        <v>10</v>
      </c>
      <c r="AO1691" t="b">
        <v>1</v>
      </c>
      <c r="AP1691" t="s">
        <v>4202</v>
      </c>
      <c r="AQ1691">
        <v>1944</v>
      </c>
      <c r="AR1691">
        <v>1963</v>
      </c>
      <c r="AS1691" t="s">
        <v>7197</v>
      </c>
      <c r="AT1691">
        <v>2.8035592060232699</v>
      </c>
      <c r="AU1691">
        <f t="shared" si="80"/>
        <v>8.0000000000000002E-3</v>
      </c>
    </row>
    <row r="1692" spans="1:47" x14ac:dyDescent="0.3">
      <c r="A1692">
        <v>1690</v>
      </c>
      <c r="B1692" t="s">
        <v>7198</v>
      </c>
      <c r="C1692" t="s">
        <v>7199</v>
      </c>
      <c r="D1692">
        <v>325</v>
      </c>
      <c r="E1692" t="s">
        <v>6974</v>
      </c>
      <c r="F1692" t="str">
        <f>VLOOKUP(E1692,country_continent!A:C,2,FALSE)</f>
        <v>Italy</v>
      </c>
      <c r="G1692" t="str">
        <f>VLOOKUP(E1692,country_continent!A:C,3,FALSE)</f>
        <v>Europe</v>
      </c>
      <c r="H1692" t="s">
        <v>7200</v>
      </c>
      <c r="I1692" s="1">
        <v>23183</v>
      </c>
      <c r="J1692" s="3">
        <f t="shared" si="78"/>
        <v>23183</v>
      </c>
      <c r="K1692" s="1">
        <v>23320</v>
      </c>
      <c r="L1692" s="3">
        <f t="shared" si="79"/>
        <v>23320</v>
      </c>
      <c r="M1692" t="s">
        <v>49</v>
      </c>
      <c r="N1692" t="s">
        <v>49</v>
      </c>
      <c r="O1692" t="s">
        <v>49</v>
      </c>
      <c r="P1692">
        <v>0</v>
      </c>
      <c r="Q1692" t="s">
        <v>50</v>
      </c>
      <c r="R1692" t="s">
        <v>51</v>
      </c>
      <c r="S1692">
        <v>1908</v>
      </c>
      <c r="T1692">
        <v>2001</v>
      </c>
      <c r="U1692" s="1">
        <v>3230</v>
      </c>
      <c r="V1692" s="2">
        <v>3230</v>
      </c>
      <c r="W1692" s="1">
        <v>37204</v>
      </c>
      <c r="X1692" s="2">
        <v>37204</v>
      </c>
      <c r="Y1692" t="s">
        <v>7201</v>
      </c>
      <c r="Z1692">
        <v>0</v>
      </c>
      <c r="AA1692">
        <v>1</v>
      </c>
      <c r="AB1692">
        <v>0</v>
      </c>
      <c r="AC1692">
        <v>0</v>
      </c>
      <c r="AF1692">
        <v>1963</v>
      </c>
      <c r="AG1692">
        <v>1963</v>
      </c>
      <c r="AH1692">
        <v>4.8420524892754804</v>
      </c>
      <c r="AI1692">
        <v>1110</v>
      </c>
      <c r="AJ1692">
        <v>8.4578599002788408</v>
      </c>
      <c r="AK1692">
        <v>45.3</v>
      </c>
      <c r="AL1692">
        <v>0.72955324223165297</v>
      </c>
      <c r="AN1692">
        <v>10</v>
      </c>
      <c r="AO1692" t="b">
        <v>1</v>
      </c>
      <c r="AP1692" t="s">
        <v>4202</v>
      </c>
      <c r="AQ1692">
        <v>1944</v>
      </c>
      <c r="AR1692">
        <v>1963</v>
      </c>
      <c r="AS1692" t="s">
        <v>7202</v>
      </c>
      <c r="AT1692">
        <v>0.37508555783709702</v>
      </c>
      <c r="AU1692">
        <f t="shared" si="80"/>
        <v>1E-3</v>
      </c>
    </row>
    <row r="1693" spans="1:47" x14ac:dyDescent="0.3">
      <c r="A1693">
        <v>1691</v>
      </c>
      <c r="B1693" t="s">
        <v>7203</v>
      </c>
      <c r="C1693" t="s">
        <v>7204</v>
      </c>
      <c r="D1693">
        <v>325</v>
      </c>
      <c r="E1693" t="s">
        <v>6974</v>
      </c>
      <c r="F1693" t="str">
        <f>VLOOKUP(E1693,country_continent!A:C,2,FALSE)</f>
        <v>Italy</v>
      </c>
      <c r="G1693" t="str">
        <f>VLOOKUP(E1693,country_continent!A:C,3,FALSE)</f>
        <v>Europe</v>
      </c>
      <c r="H1693" t="s">
        <v>7205</v>
      </c>
      <c r="I1693" s="1">
        <v>23350</v>
      </c>
      <c r="J1693" s="3">
        <f t="shared" si="78"/>
        <v>23350</v>
      </c>
      <c r="K1693" s="1">
        <v>24994</v>
      </c>
      <c r="L1693" s="3">
        <f t="shared" si="79"/>
        <v>24994</v>
      </c>
      <c r="M1693" t="s">
        <v>49</v>
      </c>
      <c r="N1693" t="s">
        <v>49</v>
      </c>
      <c r="O1693" t="s">
        <v>49</v>
      </c>
      <c r="P1693">
        <v>0</v>
      </c>
      <c r="Q1693" t="s">
        <v>50</v>
      </c>
      <c r="R1693" t="s">
        <v>51</v>
      </c>
      <c r="S1693">
        <v>1916</v>
      </c>
      <c r="T1693">
        <v>1978</v>
      </c>
      <c r="U1693" s="1">
        <v>6111</v>
      </c>
      <c r="V1693" s="2">
        <v>6111</v>
      </c>
      <c r="W1693" s="1">
        <v>28619</v>
      </c>
      <c r="X1693" s="2">
        <v>28619</v>
      </c>
      <c r="Y1693" t="s">
        <v>7206</v>
      </c>
      <c r="Z1693">
        <v>0</v>
      </c>
      <c r="AA1693">
        <v>1</v>
      </c>
      <c r="AB1693">
        <v>0</v>
      </c>
      <c r="AC1693">
        <v>0</v>
      </c>
      <c r="AF1693">
        <v>1963</v>
      </c>
      <c r="AG1693">
        <v>1968</v>
      </c>
      <c r="AH1693">
        <v>4.4405111377134103</v>
      </c>
      <c r="AI1693">
        <v>1416.6666666666599</v>
      </c>
      <c r="AJ1693">
        <v>4.3144690715612297</v>
      </c>
      <c r="AK1693">
        <v>40.5</v>
      </c>
      <c r="AL1693">
        <v>0.75451756529902603</v>
      </c>
      <c r="AN1693">
        <v>10</v>
      </c>
      <c r="AO1693" t="b">
        <v>1</v>
      </c>
      <c r="AP1693" t="s">
        <v>4202</v>
      </c>
      <c r="AQ1693">
        <v>1944</v>
      </c>
      <c r="AR1693">
        <v>1963</v>
      </c>
      <c r="AS1693" t="s">
        <v>7207</v>
      </c>
      <c r="AT1693">
        <v>4.5010266940451702</v>
      </c>
      <c r="AU1693">
        <f t="shared" si="80"/>
        <v>1.2E-2</v>
      </c>
    </row>
    <row r="1694" spans="1:47" x14ac:dyDescent="0.3">
      <c r="A1694">
        <v>1692</v>
      </c>
      <c r="B1694" t="s">
        <v>7208</v>
      </c>
      <c r="C1694" t="s">
        <v>7199</v>
      </c>
      <c r="D1694">
        <v>325</v>
      </c>
      <c r="E1694" t="s">
        <v>6974</v>
      </c>
      <c r="F1694" t="str">
        <f>VLOOKUP(E1694,country_continent!A:C,2,FALSE)</f>
        <v>Italy</v>
      </c>
      <c r="G1694" t="str">
        <f>VLOOKUP(E1694,country_continent!A:C,3,FALSE)</f>
        <v>Europe</v>
      </c>
      <c r="H1694" t="s">
        <v>7200</v>
      </c>
      <c r="I1694" s="1">
        <v>25014</v>
      </c>
      <c r="J1694" s="3">
        <f t="shared" si="78"/>
        <v>25014</v>
      </c>
      <c r="K1694" s="1">
        <v>25161</v>
      </c>
      <c r="L1694" s="3">
        <f t="shared" si="79"/>
        <v>25161</v>
      </c>
      <c r="M1694" t="s">
        <v>49</v>
      </c>
      <c r="N1694" t="s">
        <v>49</v>
      </c>
      <c r="O1694" t="s">
        <v>49</v>
      </c>
      <c r="P1694">
        <v>1</v>
      </c>
      <c r="Q1694" t="s">
        <v>50</v>
      </c>
      <c r="R1694" t="s">
        <v>51</v>
      </c>
      <c r="S1694">
        <v>1908</v>
      </c>
      <c r="T1694">
        <v>2001</v>
      </c>
      <c r="U1694" s="1">
        <v>3230</v>
      </c>
      <c r="V1694" s="2">
        <v>3230</v>
      </c>
      <c r="W1694" s="1">
        <v>37204</v>
      </c>
      <c r="X1694" s="2">
        <v>37204</v>
      </c>
      <c r="Y1694" t="s">
        <v>7201</v>
      </c>
      <c r="Z1694">
        <v>0</v>
      </c>
      <c r="AA1694">
        <v>1</v>
      </c>
      <c r="AB1694">
        <v>0</v>
      </c>
      <c r="AC1694">
        <v>0</v>
      </c>
      <c r="AF1694">
        <v>1968</v>
      </c>
      <c r="AG1694">
        <v>1968</v>
      </c>
      <c r="AH1694">
        <v>5.8735945959479201</v>
      </c>
      <c r="AI1694">
        <v>1770</v>
      </c>
      <c r="AJ1694">
        <v>1.7344511291513101</v>
      </c>
      <c r="AK1694">
        <v>36.4</v>
      </c>
      <c r="AL1694">
        <v>0.63173725275278103</v>
      </c>
      <c r="AN1694">
        <v>10</v>
      </c>
      <c r="AO1694" t="b">
        <v>1</v>
      </c>
      <c r="AP1694" t="s">
        <v>4202</v>
      </c>
      <c r="AQ1694">
        <v>1944</v>
      </c>
      <c r="AR1694">
        <v>1963</v>
      </c>
      <c r="AS1694" t="s">
        <v>7209</v>
      </c>
      <c r="AT1694">
        <v>0.40246406570841797</v>
      </c>
      <c r="AU1694">
        <f t="shared" si="80"/>
        <v>1E-3</v>
      </c>
    </row>
    <row r="1695" spans="1:47" x14ac:dyDescent="0.3">
      <c r="A1695">
        <v>1693</v>
      </c>
      <c r="B1695" t="s">
        <v>7210</v>
      </c>
      <c r="C1695" t="s">
        <v>7211</v>
      </c>
      <c r="D1695">
        <v>325</v>
      </c>
      <c r="E1695" t="s">
        <v>6974</v>
      </c>
      <c r="F1695" t="str">
        <f>VLOOKUP(E1695,country_continent!A:C,2,FALSE)</f>
        <v>Italy</v>
      </c>
      <c r="G1695" t="str">
        <f>VLOOKUP(E1695,country_continent!A:C,3,FALSE)</f>
        <v>Europe</v>
      </c>
      <c r="H1695" t="s">
        <v>7212</v>
      </c>
      <c r="I1695" s="1">
        <v>25185</v>
      </c>
      <c r="J1695" s="3">
        <f t="shared" si="78"/>
        <v>25185</v>
      </c>
      <c r="K1695" s="1">
        <v>25755</v>
      </c>
      <c r="L1695" s="3">
        <f t="shared" si="79"/>
        <v>25755</v>
      </c>
      <c r="M1695" t="s">
        <v>49</v>
      </c>
      <c r="N1695" t="s">
        <v>49</v>
      </c>
      <c r="O1695" t="s">
        <v>49</v>
      </c>
      <c r="P1695">
        <v>0</v>
      </c>
      <c r="Q1695" t="s">
        <v>50</v>
      </c>
      <c r="R1695" t="s">
        <v>51</v>
      </c>
      <c r="S1695">
        <v>1915</v>
      </c>
      <c r="T1695">
        <v>1990</v>
      </c>
      <c r="U1695" s="1">
        <v>5646</v>
      </c>
      <c r="V1695" s="2">
        <v>5646</v>
      </c>
      <c r="Y1695" t="s">
        <v>7213</v>
      </c>
      <c r="Z1695">
        <v>0</v>
      </c>
      <c r="AA1695">
        <v>1</v>
      </c>
      <c r="AB1695">
        <v>0</v>
      </c>
      <c r="AC1695">
        <v>0</v>
      </c>
      <c r="AF1695">
        <v>1968</v>
      </c>
      <c r="AG1695">
        <v>1970</v>
      </c>
      <c r="AH1695">
        <v>5.3759279008438501</v>
      </c>
      <c r="AI1695">
        <v>1940</v>
      </c>
      <c r="AJ1695">
        <v>4.2169342379324997</v>
      </c>
      <c r="AK1695">
        <v>35.033333333333303</v>
      </c>
      <c r="AL1695">
        <v>0.57555759770958503</v>
      </c>
      <c r="AM1695">
        <v>8.40688782645551E-2</v>
      </c>
      <c r="AN1695">
        <v>10</v>
      </c>
      <c r="AO1695" t="b">
        <v>1</v>
      </c>
      <c r="AP1695" t="s">
        <v>4202</v>
      </c>
      <c r="AQ1695">
        <v>1944</v>
      </c>
      <c r="AR1695">
        <v>1963</v>
      </c>
      <c r="AS1695" t="s">
        <v>7214</v>
      </c>
      <c r="AT1695">
        <v>1.56057494866529</v>
      </c>
      <c r="AU1695">
        <f t="shared" si="80"/>
        <v>4.0000000000000001E-3</v>
      </c>
    </row>
    <row r="1696" spans="1:47" x14ac:dyDescent="0.3">
      <c r="A1696">
        <v>1694</v>
      </c>
      <c r="B1696" t="s">
        <v>7215</v>
      </c>
      <c r="C1696" t="s">
        <v>7216</v>
      </c>
      <c r="D1696">
        <v>325</v>
      </c>
      <c r="E1696" t="s">
        <v>6974</v>
      </c>
      <c r="F1696" t="str">
        <f>VLOOKUP(E1696,country_continent!A:C,2,FALSE)</f>
        <v>Italy</v>
      </c>
      <c r="G1696" t="str">
        <f>VLOOKUP(E1696,country_continent!A:C,3,FALSE)</f>
        <v>Europe</v>
      </c>
      <c r="H1696" t="s">
        <v>7217</v>
      </c>
      <c r="I1696" s="1">
        <v>25786</v>
      </c>
      <c r="J1696" s="3">
        <f t="shared" si="78"/>
        <v>25786</v>
      </c>
      <c r="K1696" s="1">
        <v>26313</v>
      </c>
      <c r="L1696" s="3">
        <f t="shared" si="79"/>
        <v>26313</v>
      </c>
      <c r="M1696" t="s">
        <v>49</v>
      </c>
      <c r="N1696" t="s">
        <v>49</v>
      </c>
      <c r="O1696" t="s">
        <v>49</v>
      </c>
      <c r="P1696">
        <v>0</v>
      </c>
      <c r="Q1696" t="s">
        <v>50</v>
      </c>
      <c r="R1696" t="s">
        <v>51</v>
      </c>
      <c r="S1696">
        <v>1920</v>
      </c>
      <c r="T1696">
        <v>-777</v>
      </c>
      <c r="U1696" s="1">
        <v>7407</v>
      </c>
      <c r="V1696" s="2">
        <v>7407</v>
      </c>
      <c r="Y1696" t="s">
        <v>7218</v>
      </c>
      <c r="Z1696">
        <v>0</v>
      </c>
      <c r="AA1696">
        <v>1</v>
      </c>
      <c r="AB1696">
        <v>0</v>
      </c>
      <c r="AC1696">
        <v>0</v>
      </c>
      <c r="AF1696">
        <v>1970</v>
      </c>
      <c r="AG1696">
        <v>1972</v>
      </c>
      <c r="AH1696">
        <v>3.0675932486321602</v>
      </c>
      <c r="AI1696">
        <v>2343.3333333333298</v>
      </c>
      <c r="AJ1696">
        <v>6.5589487759326301</v>
      </c>
      <c r="AK1696">
        <v>31.733333333333299</v>
      </c>
      <c r="AL1696">
        <v>0.52101413422586995</v>
      </c>
      <c r="AM1696">
        <v>8.1485199621036897E-2</v>
      </c>
      <c r="AN1696">
        <v>10</v>
      </c>
      <c r="AO1696" t="b">
        <v>1</v>
      </c>
      <c r="AP1696" t="s">
        <v>4202</v>
      </c>
      <c r="AQ1696">
        <v>1944</v>
      </c>
      <c r="AR1696">
        <v>1963</v>
      </c>
      <c r="AS1696" t="s">
        <v>7219</v>
      </c>
      <c r="AT1696">
        <v>1.44284736481861</v>
      </c>
      <c r="AU1696">
        <f t="shared" si="80"/>
        <v>4.0000000000000001E-3</v>
      </c>
    </row>
    <row r="1697" spans="1:47" x14ac:dyDescent="0.3">
      <c r="A1697">
        <v>1695</v>
      </c>
      <c r="B1697" t="s">
        <v>7220</v>
      </c>
      <c r="C1697" t="s">
        <v>7221</v>
      </c>
      <c r="D1697">
        <v>325</v>
      </c>
      <c r="E1697" t="s">
        <v>6974</v>
      </c>
      <c r="F1697" t="str">
        <f>VLOOKUP(E1697,country_continent!A:C,2,FALSE)</f>
        <v>Italy</v>
      </c>
      <c r="G1697" t="str">
        <f>VLOOKUP(E1697,country_continent!A:C,3,FALSE)</f>
        <v>Europe</v>
      </c>
      <c r="H1697" t="s">
        <v>7222</v>
      </c>
      <c r="I1697" s="1">
        <v>26347</v>
      </c>
      <c r="J1697" s="3">
        <f t="shared" si="78"/>
        <v>26347</v>
      </c>
      <c r="K1697" s="1">
        <v>26827</v>
      </c>
      <c r="L1697" s="3">
        <f t="shared" si="79"/>
        <v>26827</v>
      </c>
      <c r="M1697" t="s">
        <v>49</v>
      </c>
      <c r="N1697" t="s">
        <v>49</v>
      </c>
      <c r="O1697" t="s">
        <v>49</v>
      </c>
      <c r="P1697">
        <v>0</v>
      </c>
      <c r="Q1697" t="s">
        <v>50</v>
      </c>
      <c r="R1697" t="s">
        <v>51</v>
      </c>
      <c r="S1697">
        <v>1919</v>
      </c>
      <c r="T1697">
        <v>-777</v>
      </c>
      <c r="U1697" s="1">
        <v>6955</v>
      </c>
      <c r="V1697" s="2">
        <v>6955</v>
      </c>
      <c r="W1697" s="1">
        <v>41400</v>
      </c>
      <c r="X1697" s="2">
        <v>41400</v>
      </c>
      <c r="Y1697" t="s">
        <v>7223</v>
      </c>
      <c r="Z1697">
        <v>0</v>
      </c>
      <c r="AA1697">
        <v>1</v>
      </c>
      <c r="AB1697">
        <v>0</v>
      </c>
      <c r="AC1697">
        <v>0</v>
      </c>
      <c r="AF1697">
        <v>1972</v>
      </c>
      <c r="AG1697">
        <v>1973</v>
      </c>
      <c r="AH1697">
        <v>4.7526478542272903</v>
      </c>
      <c r="AI1697">
        <v>2940</v>
      </c>
      <c r="AJ1697">
        <v>9.1858020622899694</v>
      </c>
      <c r="AK1697">
        <v>28.7</v>
      </c>
      <c r="AL1697">
        <v>0.62295007311586703</v>
      </c>
      <c r="AM1697">
        <v>9.0179408436757202E-2</v>
      </c>
      <c r="AN1697">
        <v>10</v>
      </c>
      <c r="AO1697" t="b">
        <v>1</v>
      </c>
      <c r="AP1697" t="s">
        <v>4202</v>
      </c>
      <c r="AQ1697">
        <v>1944</v>
      </c>
      <c r="AR1697">
        <v>1963</v>
      </c>
      <c r="AS1697" t="s">
        <v>7224</v>
      </c>
      <c r="AT1697">
        <v>1.3141683778233999</v>
      </c>
      <c r="AU1697">
        <f t="shared" si="80"/>
        <v>4.0000000000000001E-3</v>
      </c>
    </row>
    <row r="1698" spans="1:47" x14ac:dyDescent="0.3">
      <c r="A1698">
        <v>1696</v>
      </c>
      <c r="B1698" t="s">
        <v>7225</v>
      </c>
      <c r="C1698" t="s">
        <v>7211</v>
      </c>
      <c r="D1698">
        <v>325</v>
      </c>
      <c r="E1698" t="s">
        <v>6974</v>
      </c>
      <c r="F1698" t="str">
        <f>VLOOKUP(E1698,country_continent!A:C,2,FALSE)</f>
        <v>Italy</v>
      </c>
      <c r="G1698" t="str">
        <f>VLOOKUP(E1698,country_continent!A:C,3,FALSE)</f>
        <v>Europe</v>
      </c>
      <c r="H1698" t="s">
        <v>7212</v>
      </c>
      <c r="I1698" s="1">
        <v>26853</v>
      </c>
      <c r="J1698" s="3">
        <f t="shared" si="78"/>
        <v>26853</v>
      </c>
      <c r="K1698" s="1">
        <v>27356</v>
      </c>
      <c r="L1698" s="3">
        <f t="shared" si="79"/>
        <v>27356</v>
      </c>
      <c r="M1698" t="s">
        <v>49</v>
      </c>
      <c r="N1698" t="s">
        <v>49</v>
      </c>
      <c r="O1698" t="s">
        <v>49</v>
      </c>
      <c r="P1698">
        <v>1</v>
      </c>
      <c r="Q1698" t="s">
        <v>50</v>
      </c>
      <c r="R1698" t="s">
        <v>51</v>
      </c>
      <c r="S1698">
        <v>1915</v>
      </c>
      <c r="T1698">
        <v>1990</v>
      </c>
      <c r="U1698" s="1">
        <v>5646</v>
      </c>
      <c r="V1698" s="2">
        <v>5646</v>
      </c>
      <c r="Y1698" t="s">
        <v>7213</v>
      </c>
      <c r="Z1698">
        <v>0</v>
      </c>
      <c r="AA1698">
        <v>1</v>
      </c>
      <c r="AB1698">
        <v>0</v>
      </c>
      <c r="AC1698">
        <v>0</v>
      </c>
      <c r="AF1698">
        <v>1973</v>
      </c>
      <c r="AG1698">
        <v>1974</v>
      </c>
      <c r="AH1698">
        <v>5.6069098937246897</v>
      </c>
      <c r="AI1698">
        <v>3600</v>
      </c>
      <c r="AJ1698">
        <v>16.492506182663998</v>
      </c>
      <c r="AK1698">
        <v>26.45</v>
      </c>
      <c r="AL1698">
        <v>0.66628829161717396</v>
      </c>
      <c r="AM1698">
        <v>0.13040982781357499</v>
      </c>
      <c r="AN1698">
        <v>10</v>
      </c>
      <c r="AO1698" t="b">
        <v>1</v>
      </c>
      <c r="AP1698" t="s">
        <v>4202</v>
      </c>
      <c r="AQ1698">
        <v>1944</v>
      </c>
      <c r="AR1698">
        <v>1963</v>
      </c>
      <c r="AS1698" t="s">
        <v>7226</v>
      </c>
      <c r="AT1698">
        <v>1.3771389459274399</v>
      </c>
      <c r="AU1698">
        <f t="shared" si="80"/>
        <v>4.0000000000000001E-3</v>
      </c>
    </row>
    <row r="1699" spans="1:47" x14ac:dyDescent="0.3">
      <c r="A1699">
        <v>1697</v>
      </c>
      <c r="B1699" t="s">
        <v>7227</v>
      </c>
      <c r="C1699" t="s">
        <v>7204</v>
      </c>
      <c r="D1699">
        <v>325</v>
      </c>
      <c r="E1699" t="s">
        <v>6974</v>
      </c>
      <c r="F1699" t="str">
        <f>VLOOKUP(E1699,country_continent!A:C,2,FALSE)</f>
        <v>Italy</v>
      </c>
      <c r="G1699" t="str">
        <f>VLOOKUP(E1699,country_continent!A:C,3,FALSE)</f>
        <v>Europe</v>
      </c>
      <c r="H1699" t="s">
        <v>7205</v>
      </c>
      <c r="I1699" s="1">
        <v>27356</v>
      </c>
      <c r="J1699" s="3">
        <f t="shared" si="78"/>
        <v>27356</v>
      </c>
      <c r="K1699" s="1">
        <v>27971</v>
      </c>
      <c r="L1699" s="3">
        <f t="shared" si="79"/>
        <v>27971</v>
      </c>
      <c r="M1699" t="s">
        <v>49</v>
      </c>
      <c r="N1699" t="s">
        <v>49</v>
      </c>
      <c r="O1699" t="s">
        <v>49</v>
      </c>
      <c r="P1699">
        <v>1</v>
      </c>
      <c r="Q1699" t="s">
        <v>50</v>
      </c>
      <c r="R1699" t="s">
        <v>51</v>
      </c>
      <c r="S1699">
        <v>1916</v>
      </c>
      <c r="T1699">
        <v>1978</v>
      </c>
      <c r="U1699" s="1">
        <v>6111</v>
      </c>
      <c r="V1699" s="2">
        <v>6111</v>
      </c>
      <c r="W1699" s="1">
        <v>28619</v>
      </c>
      <c r="X1699" s="2">
        <v>28619</v>
      </c>
      <c r="Y1699" t="s">
        <v>7206</v>
      </c>
      <c r="Z1699">
        <v>0</v>
      </c>
      <c r="AA1699">
        <v>1</v>
      </c>
      <c r="AB1699">
        <v>0</v>
      </c>
      <c r="AC1699">
        <v>0</v>
      </c>
      <c r="AF1699">
        <v>1974</v>
      </c>
      <c r="AG1699">
        <v>1976</v>
      </c>
      <c r="AH1699">
        <v>2.9103832025538998</v>
      </c>
      <c r="AI1699">
        <v>4263.3333333333303</v>
      </c>
      <c r="AJ1699">
        <v>18.227915111882101</v>
      </c>
      <c r="AK1699">
        <v>23.1666666666666</v>
      </c>
      <c r="AL1699">
        <v>0.58349573751463502</v>
      </c>
      <c r="AM1699">
        <v>0.16797114566782601</v>
      </c>
      <c r="AN1699">
        <v>10</v>
      </c>
      <c r="AO1699" t="b">
        <v>1</v>
      </c>
      <c r="AP1699" t="s">
        <v>4202</v>
      </c>
      <c r="AQ1699">
        <v>1944</v>
      </c>
      <c r="AR1699">
        <v>1963</v>
      </c>
      <c r="AS1699" t="s">
        <v>7228</v>
      </c>
      <c r="AT1699">
        <v>1.6837782340862399</v>
      </c>
      <c r="AU1699">
        <f t="shared" si="80"/>
        <v>5.0000000000000001E-3</v>
      </c>
    </row>
    <row r="1700" spans="1:47" x14ac:dyDescent="0.3">
      <c r="A1700">
        <v>1698</v>
      </c>
      <c r="B1700" t="s">
        <v>7229</v>
      </c>
      <c r="C1700" t="s">
        <v>7221</v>
      </c>
      <c r="D1700">
        <v>325</v>
      </c>
      <c r="E1700" t="s">
        <v>6974</v>
      </c>
      <c r="F1700" t="str">
        <f>VLOOKUP(E1700,country_continent!A:C,2,FALSE)</f>
        <v>Italy</v>
      </c>
      <c r="G1700" t="str">
        <f>VLOOKUP(E1700,country_continent!A:C,3,FALSE)</f>
        <v>Europe</v>
      </c>
      <c r="H1700" t="s">
        <v>7222</v>
      </c>
      <c r="I1700" s="1">
        <v>27971</v>
      </c>
      <c r="J1700" s="3">
        <f t="shared" si="78"/>
        <v>27971</v>
      </c>
      <c r="K1700" s="1">
        <v>29072</v>
      </c>
      <c r="L1700" s="3">
        <f t="shared" si="79"/>
        <v>29072</v>
      </c>
      <c r="M1700" t="s">
        <v>49</v>
      </c>
      <c r="N1700" t="s">
        <v>49</v>
      </c>
      <c r="O1700" t="s">
        <v>49</v>
      </c>
      <c r="P1700">
        <v>1</v>
      </c>
      <c r="Q1700" t="s">
        <v>50</v>
      </c>
      <c r="R1700" t="s">
        <v>51</v>
      </c>
      <c r="S1700">
        <v>1919</v>
      </c>
      <c r="T1700">
        <v>-777</v>
      </c>
      <c r="U1700" s="1">
        <v>6955</v>
      </c>
      <c r="V1700" s="2">
        <v>6955</v>
      </c>
      <c r="W1700" s="1">
        <v>41400</v>
      </c>
      <c r="X1700" s="2">
        <v>41400</v>
      </c>
      <c r="Y1700" t="s">
        <v>7223</v>
      </c>
      <c r="Z1700">
        <v>0</v>
      </c>
      <c r="AA1700">
        <v>1</v>
      </c>
      <c r="AB1700">
        <v>0</v>
      </c>
      <c r="AC1700">
        <v>0</v>
      </c>
      <c r="AF1700">
        <v>1976</v>
      </c>
      <c r="AG1700">
        <v>1979</v>
      </c>
      <c r="AH1700">
        <v>4.3110769115028198</v>
      </c>
      <c r="AI1700">
        <v>5325</v>
      </c>
      <c r="AJ1700">
        <v>16.331858751696</v>
      </c>
      <c r="AK1700">
        <v>18.95</v>
      </c>
      <c r="AL1700">
        <v>0.39225831842668601</v>
      </c>
      <c r="AM1700">
        <v>0.16555668313998401</v>
      </c>
      <c r="AN1700">
        <v>10</v>
      </c>
      <c r="AO1700" t="b">
        <v>1</v>
      </c>
      <c r="AP1700" t="s">
        <v>4202</v>
      </c>
      <c r="AQ1700">
        <v>1944</v>
      </c>
      <c r="AR1700">
        <v>1963</v>
      </c>
      <c r="AS1700" t="s">
        <v>7230</v>
      </c>
      <c r="AT1700">
        <v>3.01437371663244</v>
      </c>
      <c r="AU1700">
        <f t="shared" si="80"/>
        <v>8.0000000000000002E-3</v>
      </c>
    </row>
    <row r="1701" spans="1:47" x14ac:dyDescent="0.3">
      <c r="A1701">
        <v>1699</v>
      </c>
      <c r="B1701" t="s">
        <v>7231</v>
      </c>
      <c r="C1701" t="s">
        <v>7232</v>
      </c>
      <c r="D1701">
        <v>325</v>
      </c>
      <c r="E1701" t="s">
        <v>6974</v>
      </c>
      <c r="F1701" t="str">
        <f>VLOOKUP(E1701,country_continent!A:C,2,FALSE)</f>
        <v>Italy</v>
      </c>
      <c r="G1701" t="str">
        <f>VLOOKUP(E1701,country_continent!A:C,3,FALSE)</f>
        <v>Europe</v>
      </c>
      <c r="H1701" t="s">
        <v>7233</v>
      </c>
      <c r="I1701" s="1">
        <v>29072</v>
      </c>
      <c r="J1701" s="3">
        <f t="shared" si="78"/>
        <v>29072</v>
      </c>
      <c r="K1701" s="1">
        <v>29512</v>
      </c>
      <c r="L1701" s="3">
        <f t="shared" si="79"/>
        <v>29512</v>
      </c>
      <c r="M1701" t="s">
        <v>49</v>
      </c>
      <c r="N1701" t="s">
        <v>49</v>
      </c>
      <c r="O1701" t="s">
        <v>49</v>
      </c>
      <c r="P1701">
        <v>0</v>
      </c>
      <c r="Q1701" t="s">
        <v>50</v>
      </c>
      <c r="R1701" t="s">
        <v>51</v>
      </c>
      <c r="S1701">
        <v>1928</v>
      </c>
      <c r="T1701">
        <v>-777</v>
      </c>
      <c r="U1701" s="1">
        <v>10435</v>
      </c>
      <c r="V1701" s="2">
        <v>10435</v>
      </c>
      <c r="Y1701" t="s">
        <v>7234</v>
      </c>
      <c r="Z1701">
        <v>0</v>
      </c>
      <c r="AA1701">
        <v>1</v>
      </c>
      <c r="AB1701">
        <v>0</v>
      </c>
      <c r="AC1701">
        <v>0</v>
      </c>
      <c r="AF1701">
        <v>1979</v>
      </c>
      <c r="AG1701">
        <v>1980</v>
      </c>
      <c r="AH1701">
        <v>4.4351970833665302</v>
      </c>
      <c r="AI1701">
        <v>7605</v>
      </c>
      <c r="AJ1701">
        <v>18.133410767873901</v>
      </c>
      <c r="AK1701">
        <v>16.55</v>
      </c>
      <c r="AL1701">
        <v>0.247573479754604</v>
      </c>
      <c r="AM1701">
        <v>0.209105124472727</v>
      </c>
      <c r="AN1701">
        <v>10</v>
      </c>
      <c r="AO1701" t="b">
        <v>1</v>
      </c>
      <c r="AP1701" t="s">
        <v>4202</v>
      </c>
      <c r="AQ1701">
        <v>1944</v>
      </c>
      <c r="AR1701">
        <v>1963</v>
      </c>
      <c r="AS1701" t="s">
        <v>7235</v>
      </c>
      <c r="AT1701">
        <v>1.2046543463381201</v>
      </c>
      <c r="AU1701">
        <f t="shared" si="80"/>
        <v>3.0000000000000001E-3</v>
      </c>
    </row>
    <row r="1702" spans="1:47" x14ac:dyDescent="0.3">
      <c r="A1702">
        <v>1700</v>
      </c>
      <c r="B1702" t="s">
        <v>7236</v>
      </c>
      <c r="C1702" t="s">
        <v>7237</v>
      </c>
      <c r="D1702">
        <v>325</v>
      </c>
      <c r="E1702" t="s">
        <v>6974</v>
      </c>
      <c r="F1702" t="str">
        <f>VLOOKUP(E1702,country_continent!A:C,2,FALSE)</f>
        <v>Italy</v>
      </c>
      <c r="G1702" t="str">
        <f>VLOOKUP(E1702,country_continent!A:C,3,FALSE)</f>
        <v>Europe</v>
      </c>
      <c r="H1702" t="s">
        <v>7238</v>
      </c>
      <c r="I1702" s="1">
        <v>29512</v>
      </c>
      <c r="J1702" s="3">
        <f t="shared" si="78"/>
        <v>29512</v>
      </c>
      <c r="K1702" s="1">
        <v>29732</v>
      </c>
      <c r="L1702" s="3">
        <f t="shared" si="79"/>
        <v>29732</v>
      </c>
      <c r="M1702" t="s">
        <v>49</v>
      </c>
      <c r="N1702" t="s">
        <v>49</v>
      </c>
      <c r="O1702" t="s">
        <v>49</v>
      </c>
      <c r="P1702">
        <v>0</v>
      </c>
      <c r="Q1702" t="s">
        <v>50</v>
      </c>
      <c r="R1702" t="s">
        <v>51</v>
      </c>
      <c r="S1702">
        <v>1925</v>
      </c>
      <c r="T1702">
        <v>-777</v>
      </c>
      <c r="U1702" s="1">
        <v>9474</v>
      </c>
      <c r="V1702" s="2">
        <v>9474</v>
      </c>
      <c r="Y1702" t="s">
        <v>7239</v>
      </c>
      <c r="Z1702">
        <v>0</v>
      </c>
      <c r="AA1702">
        <v>1</v>
      </c>
      <c r="AB1702">
        <v>0</v>
      </c>
      <c r="AC1702">
        <v>0</v>
      </c>
      <c r="AF1702">
        <v>1980</v>
      </c>
      <c r="AG1702">
        <v>1981</v>
      </c>
      <c r="AH1702">
        <v>1.9702012483256399</v>
      </c>
      <c r="AI1702">
        <v>8590</v>
      </c>
      <c r="AJ1702">
        <v>19.801510295976801</v>
      </c>
      <c r="AK1702">
        <v>15.65</v>
      </c>
      <c r="AL1702">
        <v>0.16302703596945001</v>
      </c>
      <c r="AM1702">
        <v>0.20278486826105099</v>
      </c>
      <c r="AN1702">
        <v>10</v>
      </c>
      <c r="AO1702" t="b">
        <v>1</v>
      </c>
      <c r="AP1702" t="s">
        <v>4202</v>
      </c>
      <c r="AQ1702">
        <v>1944</v>
      </c>
      <c r="AR1702">
        <v>1963</v>
      </c>
      <c r="AS1702" t="s">
        <v>7240</v>
      </c>
      <c r="AT1702">
        <v>0.60232717316906204</v>
      </c>
      <c r="AU1702">
        <f t="shared" si="80"/>
        <v>2E-3</v>
      </c>
    </row>
    <row r="1703" spans="1:47" x14ac:dyDescent="0.3">
      <c r="A1703">
        <v>1701</v>
      </c>
      <c r="B1703" t="s">
        <v>7241</v>
      </c>
      <c r="C1703" t="s">
        <v>7242</v>
      </c>
      <c r="D1703">
        <v>325</v>
      </c>
      <c r="E1703" t="s">
        <v>6974</v>
      </c>
      <c r="F1703" t="str">
        <f>VLOOKUP(E1703,country_continent!A:C,2,FALSE)</f>
        <v>Italy</v>
      </c>
      <c r="G1703" t="str">
        <f>VLOOKUP(E1703,country_continent!A:C,3,FALSE)</f>
        <v>Europe</v>
      </c>
      <c r="H1703" t="s">
        <v>7243</v>
      </c>
      <c r="I1703" s="1">
        <v>29765</v>
      </c>
      <c r="J1703" s="3">
        <f t="shared" si="78"/>
        <v>29765</v>
      </c>
      <c r="K1703" s="1">
        <v>30285</v>
      </c>
      <c r="L1703" s="3">
        <f t="shared" si="79"/>
        <v>30285</v>
      </c>
      <c r="M1703" t="s">
        <v>49</v>
      </c>
      <c r="N1703" t="s">
        <v>49</v>
      </c>
      <c r="O1703" t="s">
        <v>49</v>
      </c>
      <c r="P1703">
        <v>0</v>
      </c>
      <c r="Q1703" t="s">
        <v>50</v>
      </c>
      <c r="R1703" t="s">
        <v>51</v>
      </c>
      <c r="S1703">
        <v>1925</v>
      </c>
      <c r="T1703">
        <v>1994</v>
      </c>
      <c r="U1703" s="1">
        <v>9304</v>
      </c>
      <c r="V1703" s="2">
        <v>9304</v>
      </c>
      <c r="Y1703" t="s">
        <v>7244</v>
      </c>
      <c r="Z1703">
        <v>0</v>
      </c>
      <c r="AA1703">
        <v>1</v>
      </c>
      <c r="AB1703">
        <v>0</v>
      </c>
      <c r="AC1703">
        <v>0</v>
      </c>
      <c r="AF1703">
        <v>1981</v>
      </c>
      <c r="AG1703">
        <v>1982</v>
      </c>
      <c r="AH1703">
        <v>0.53122870523104304</v>
      </c>
      <c r="AI1703">
        <v>8485</v>
      </c>
      <c r="AJ1703">
        <v>18.164088086677801</v>
      </c>
      <c r="AK1703">
        <v>14.75</v>
      </c>
      <c r="AL1703">
        <v>9.7068090035524399E-2</v>
      </c>
      <c r="AM1703">
        <v>0.14654753483195199</v>
      </c>
      <c r="AN1703">
        <v>10</v>
      </c>
      <c r="AO1703" t="b">
        <v>1</v>
      </c>
      <c r="AP1703" t="s">
        <v>4202</v>
      </c>
      <c r="AQ1703">
        <v>1944</v>
      </c>
      <c r="AR1703">
        <v>1963</v>
      </c>
      <c r="AS1703" t="s">
        <v>7245</v>
      </c>
      <c r="AT1703">
        <v>1.4236824093086899</v>
      </c>
      <c r="AU1703">
        <f t="shared" si="80"/>
        <v>4.0000000000000001E-3</v>
      </c>
    </row>
    <row r="1704" spans="1:47" x14ac:dyDescent="0.3">
      <c r="A1704">
        <v>1702</v>
      </c>
      <c r="B1704" t="s">
        <v>7246</v>
      </c>
      <c r="C1704" t="s">
        <v>7164</v>
      </c>
      <c r="D1704">
        <v>325</v>
      </c>
      <c r="E1704" t="s">
        <v>6974</v>
      </c>
      <c r="F1704" t="str">
        <f>VLOOKUP(E1704,country_continent!A:C,2,FALSE)</f>
        <v>Italy</v>
      </c>
      <c r="G1704" t="str">
        <f>VLOOKUP(E1704,country_continent!A:C,3,FALSE)</f>
        <v>Europe</v>
      </c>
      <c r="H1704" t="s">
        <v>7165</v>
      </c>
      <c r="I1704" s="1">
        <v>30285</v>
      </c>
      <c r="J1704" s="3">
        <f t="shared" si="78"/>
        <v>30285</v>
      </c>
      <c r="K1704" s="1">
        <v>30532</v>
      </c>
      <c r="L1704" s="3">
        <f t="shared" si="79"/>
        <v>30532</v>
      </c>
      <c r="M1704" t="s">
        <v>49</v>
      </c>
      <c r="N1704" t="s">
        <v>49</v>
      </c>
      <c r="O1704" t="s">
        <v>49</v>
      </c>
      <c r="P1704">
        <v>3</v>
      </c>
      <c r="Q1704" t="s">
        <v>50</v>
      </c>
      <c r="R1704" t="s">
        <v>51</v>
      </c>
      <c r="S1704">
        <v>1908</v>
      </c>
      <c r="T1704">
        <v>1999</v>
      </c>
      <c r="U1704" s="1">
        <v>2959</v>
      </c>
      <c r="V1704" s="2">
        <v>2959</v>
      </c>
      <c r="W1704" s="1">
        <v>36484</v>
      </c>
      <c r="X1704" s="2">
        <v>36484</v>
      </c>
      <c r="Y1704" t="s">
        <v>7166</v>
      </c>
      <c r="Z1704">
        <v>0</v>
      </c>
      <c r="AA1704">
        <v>1</v>
      </c>
      <c r="AB1704">
        <v>0</v>
      </c>
      <c r="AC1704">
        <v>0</v>
      </c>
      <c r="AF1704">
        <v>1982</v>
      </c>
      <c r="AG1704">
        <v>1983</v>
      </c>
      <c r="AH1704">
        <v>0.73585804247973297</v>
      </c>
      <c r="AI1704">
        <v>7945</v>
      </c>
      <c r="AJ1704">
        <v>16.3188447251359</v>
      </c>
      <c r="AK1704">
        <v>13.9</v>
      </c>
      <c r="AL1704">
        <v>5.5188248330667301E-2</v>
      </c>
      <c r="AM1704">
        <v>0.12715506128985199</v>
      </c>
      <c r="AN1704">
        <v>10</v>
      </c>
      <c r="AO1704" t="b">
        <v>1</v>
      </c>
      <c r="AP1704" t="s">
        <v>4202</v>
      </c>
      <c r="AQ1704">
        <v>1944</v>
      </c>
      <c r="AR1704">
        <v>1963</v>
      </c>
      <c r="AS1704" t="s">
        <v>7247</v>
      </c>
      <c r="AT1704">
        <v>0.67624914442162898</v>
      </c>
      <c r="AU1704">
        <f t="shared" si="80"/>
        <v>2E-3</v>
      </c>
    </row>
    <row r="1705" spans="1:47" x14ac:dyDescent="0.3">
      <c r="A1705">
        <v>1703</v>
      </c>
      <c r="B1705" t="s">
        <v>7248</v>
      </c>
      <c r="C1705" t="s">
        <v>7249</v>
      </c>
      <c r="D1705">
        <v>325</v>
      </c>
      <c r="E1705" t="s">
        <v>6974</v>
      </c>
      <c r="F1705" t="str">
        <f>VLOOKUP(E1705,country_continent!A:C,2,FALSE)</f>
        <v>Italy</v>
      </c>
      <c r="G1705" t="str">
        <f>VLOOKUP(E1705,country_continent!A:C,3,FALSE)</f>
        <v>Europe</v>
      </c>
      <c r="H1705" t="s">
        <v>7250</v>
      </c>
      <c r="I1705" s="1">
        <v>30532</v>
      </c>
      <c r="J1705" s="3">
        <f t="shared" si="78"/>
        <v>30532</v>
      </c>
      <c r="K1705" s="1">
        <v>31885</v>
      </c>
      <c r="L1705" s="3">
        <f t="shared" si="79"/>
        <v>31885</v>
      </c>
      <c r="M1705" t="s">
        <v>49</v>
      </c>
      <c r="N1705" t="s">
        <v>49</v>
      </c>
      <c r="O1705" t="s">
        <v>49</v>
      </c>
      <c r="P1705">
        <v>0</v>
      </c>
      <c r="Q1705" t="s">
        <v>50</v>
      </c>
      <c r="R1705" t="s">
        <v>51</v>
      </c>
      <c r="S1705">
        <v>1934</v>
      </c>
      <c r="T1705">
        <v>2000</v>
      </c>
      <c r="U1705" s="1">
        <v>12474</v>
      </c>
      <c r="V1705" s="2">
        <v>12474</v>
      </c>
      <c r="W1705" s="1">
        <v>36544</v>
      </c>
      <c r="X1705" s="2">
        <v>36544</v>
      </c>
      <c r="Y1705" t="s">
        <v>7251</v>
      </c>
      <c r="Z1705">
        <v>0</v>
      </c>
      <c r="AA1705">
        <v>1</v>
      </c>
      <c r="AB1705">
        <v>0</v>
      </c>
      <c r="AC1705">
        <v>0</v>
      </c>
      <c r="AF1705">
        <v>1983</v>
      </c>
      <c r="AG1705">
        <v>1987</v>
      </c>
      <c r="AH1705">
        <v>2.6278905587583301</v>
      </c>
      <c r="AI1705">
        <v>9014</v>
      </c>
      <c r="AJ1705">
        <v>9.7061855552663694</v>
      </c>
      <c r="AK1705">
        <v>12.08</v>
      </c>
      <c r="AL1705">
        <v>2.0639978087531999E-2</v>
      </c>
      <c r="AM1705">
        <v>0.117947674542936</v>
      </c>
      <c r="AN1705">
        <v>10</v>
      </c>
      <c r="AO1705" t="b">
        <v>1</v>
      </c>
      <c r="AP1705" t="s">
        <v>4202</v>
      </c>
      <c r="AQ1705">
        <v>1944</v>
      </c>
      <c r="AR1705">
        <v>1963</v>
      </c>
      <c r="AS1705" t="s">
        <v>7252</v>
      </c>
      <c r="AT1705">
        <v>3.70431211498973</v>
      </c>
      <c r="AU1705">
        <f t="shared" si="80"/>
        <v>0.01</v>
      </c>
    </row>
    <row r="1706" spans="1:47" x14ac:dyDescent="0.3">
      <c r="A1706">
        <v>1704</v>
      </c>
      <c r="B1706" t="s">
        <v>7253</v>
      </c>
      <c r="C1706" t="s">
        <v>7164</v>
      </c>
      <c r="D1706">
        <v>325</v>
      </c>
      <c r="E1706" t="s">
        <v>6974</v>
      </c>
      <c r="F1706" t="str">
        <f>VLOOKUP(E1706,country_continent!A:C,2,FALSE)</f>
        <v>Italy</v>
      </c>
      <c r="G1706" t="str">
        <f>VLOOKUP(E1706,country_continent!A:C,3,FALSE)</f>
        <v>Europe</v>
      </c>
      <c r="H1706" t="s">
        <v>7165</v>
      </c>
      <c r="I1706" s="1">
        <v>31885</v>
      </c>
      <c r="J1706" s="3">
        <f t="shared" si="78"/>
        <v>31885</v>
      </c>
      <c r="K1706" s="1">
        <v>31987</v>
      </c>
      <c r="L1706" s="3">
        <f t="shared" si="79"/>
        <v>31987</v>
      </c>
      <c r="M1706" t="s">
        <v>49</v>
      </c>
      <c r="N1706" t="s">
        <v>49</v>
      </c>
      <c r="O1706" t="s">
        <v>49</v>
      </c>
      <c r="P1706">
        <v>4</v>
      </c>
      <c r="Q1706" t="s">
        <v>50</v>
      </c>
      <c r="R1706" t="s">
        <v>51</v>
      </c>
      <c r="S1706">
        <v>1908</v>
      </c>
      <c r="T1706">
        <v>1999</v>
      </c>
      <c r="U1706" s="1">
        <v>2959</v>
      </c>
      <c r="V1706" s="2">
        <v>2959</v>
      </c>
      <c r="W1706" s="1">
        <v>36484</v>
      </c>
      <c r="X1706" s="2">
        <v>36484</v>
      </c>
      <c r="Y1706" t="s">
        <v>7166</v>
      </c>
      <c r="Z1706">
        <v>0</v>
      </c>
      <c r="AA1706">
        <v>1</v>
      </c>
      <c r="AB1706">
        <v>0</v>
      </c>
      <c r="AC1706">
        <v>0</v>
      </c>
      <c r="AF1706">
        <v>1987</v>
      </c>
      <c r="AG1706">
        <v>1987</v>
      </c>
      <c r="AH1706">
        <v>3.1814302957740899</v>
      </c>
      <c r="AI1706">
        <v>12190</v>
      </c>
      <c r="AJ1706">
        <v>6.0092829352980699</v>
      </c>
      <c r="AK1706">
        <v>10.8</v>
      </c>
      <c r="AL1706">
        <v>1.02051195547741E-2</v>
      </c>
      <c r="AM1706">
        <v>6.9151936618737905E-2</v>
      </c>
      <c r="AN1706">
        <v>10</v>
      </c>
      <c r="AO1706" t="b">
        <v>1</v>
      </c>
      <c r="AP1706" t="s">
        <v>4202</v>
      </c>
      <c r="AQ1706">
        <v>1944</v>
      </c>
      <c r="AR1706">
        <v>1963</v>
      </c>
      <c r="AS1706" t="s">
        <v>6468</v>
      </c>
      <c r="AT1706">
        <v>0.27926078028747398</v>
      </c>
      <c r="AU1706">
        <f t="shared" si="80"/>
        <v>1E-3</v>
      </c>
    </row>
    <row r="1707" spans="1:47" x14ac:dyDescent="0.3">
      <c r="A1707">
        <v>1705</v>
      </c>
      <c r="B1707" t="s">
        <v>7254</v>
      </c>
      <c r="C1707" t="s">
        <v>7255</v>
      </c>
      <c r="D1707">
        <v>325</v>
      </c>
      <c r="E1707" t="s">
        <v>6974</v>
      </c>
      <c r="F1707" t="str">
        <f>VLOOKUP(E1707,country_continent!A:C,2,FALSE)</f>
        <v>Italy</v>
      </c>
      <c r="G1707" t="str">
        <f>VLOOKUP(E1707,country_continent!A:C,3,FALSE)</f>
        <v>Europe</v>
      </c>
      <c r="H1707" t="s">
        <v>7256</v>
      </c>
      <c r="I1707" s="1">
        <v>31987</v>
      </c>
      <c r="J1707" s="3">
        <f t="shared" si="78"/>
        <v>31987</v>
      </c>
      <c r="K1707" s="1">
        <v>32246</v>
      </c>
      <c r="L1707" s="3">
        <f t="shared" si="79"/>
        <v>32246</v>
      </c>
      <c r="M1707" t="s">
        <v>49</v>
      </c>
      <c r="N1707" t="s">
        <v>49</v>
      </c>
      <c r="O1707" t="s">
        <v>49</v>
      </c>
      <c r="P1707">
        <v>0</v>
      </c>
      <c r="Q1707" t="s">
        <v>50</v>
      </c>
      <c r="R1707" t="s">
        <v>51</v>
      </c>
      <c r="S1707">
        <v>1943</v>
      </c>
      <c r="T1707">
        <v>1994</v>
      </c>
      <c r="U1707" s="1">
        <v>15917</v>
      </c>
      <c r="V1707" s="2">
        <v>15917</v>
      </c>
      <c r="W1707" s="1">
        <v>34475</v>
      </c>
      <c r="X1707" s="2">
        <v>34475</v>
      </c>
      <c r="Y1707" t="s">
        <v>7257</v>
      </c>
      <c r="Z1707">
        <v>0</v>
      </c>
      <c r="AA1707">
        <v>1</v>
      </c>
      <c r="AB1707">
        <v>0</v>
      </c>
      <c r="AC1707">
        <v>0</v>
      </c>
      <c r="AF1707">
        <v>1987</v>
      </c>
      <c r="AG1707">
        <v>1988</v>
      </c>
      <c r="AH1707">
        <v>3.6627361816263</v>
      </c>
      <c r="AI1707">
        <v>14090</v>
      </c>
      <c r="AJ1707">
        <v>6.3298427376173798</v>
      </c>
      <c r="AK1707">
        <v>10.6</v>
      </c>
      <c r="AL1707">
        <v>2.92628583009748E-2</v>
      </c>
      <c r="AM1707">
        <v>7.0858000724307799E-2</v>
      </c>
      <c r="AN1707">
        <v>10</v>
      </c>
      <c r="AO1707" t="b">
        <v>1</v>
      </c>
      <c r="AP1707" t="s">
        <v>4202</v>
      </c>
      <c r="AQ1707">
        <v>1944</v>
      </c>
      <c r="AR1707">
        <v>1963</v>
      </c>
      <c r="AS1707" t="s">
        <v>7258</v>
      </c>
      <c r="AT1707">
        <v>0.70910335386721401</v>
      </c>
      <c r="AU1707">
        <f t="shared" si="80"/>
        <v>2E-3</v>
      </c>
    </row>
    <row r="1708" spans="1:47" x14ac:dyDescent="0.3">
      <c r="A1708">
        <v>1706</v>
      </c>
      <c r="B1708" t="s">
        <v>7259</v>
      </c>
      <c r="C1708" t="s">
        <v>7260</v>
      </c>
      <c r="D1708">
        <v>325</v>
      </c>
      <c r="E1708" t="s">
        <v>6974</v>
      </c>
      <c r="F1708" t="str">
        <f>VLOOKUP(E1708,country_continent!A:C,2,FALSE)</f>
        <v>Italy</v>
      </c>
      <c r="G1708" t="str">
        <f>VLOOKUP(E1708,country_continent!A:C,3,FALSE)</f>
        <v>Europe</v>
      </c>
      <c r="H1708" t="s">
        <v>7261</v>
      </c>
      <c r="I1708" s="1">
        <v>32246</v>
      </c>
      <c r="J1708" s="3">
        <f t="shared" si="78"/>
        <v>32246</v>
      </c>
      <c r="K1708" s="1">
        <v>32701</v>
      </c>
      <c r="L1708" s="3">
        <f t="shared" si="79"/>
        <v>32701</v>
      </c>
      <c r="M1708" t="s">
        <v>49</v>
      </c>
      <c r="N1708" t="s">
        <v>49</v>
      </c>
      <c r="O1708" t="s">
        <v>49</v>
      </c>
      <c r="P1708">
        <v>0</v>
      </c>
      <c r="Q1708" t="s">
        <v>50</v>
      </c>
      <c r="R1708" t="s">
        <v>51</v>
      </c>
      <c r="S1708">
        <v>1928</v>
      </c>
      <c r="T1708">
        <v>-777</v>
      </c>
      <c r="U1708" s="1">
        <v>10260</v>
      </c>
      <c r="V1708" s="2">
        <v>10260</v>
      </c>
      <c r="Y1708" t="s">
        <v>7262</v>
      </c>
      <c r="Z1708">
        <v>0</v>
      </c>
      <c r="AA1708">
        <v>1</v>
      </c>
      <c r="AB1708">
        <v>0</v>
      </c>
      <c r="AC1708">
        <v>0</v>
      </c>
      <c r="AF1708">
        <v>1988</v>
      </c>
      <c r="AG1708">
        <v>1989</v>
      </c>
      <c r="AH1708">
        <v>3.7274520264729798</v>
      </c>
      <c r="AI1708">
        <v>16665</v>
      </c>
      <c r="AJ1708">
        <v>6.4238952678208303</v>
      </c>
      <c r="AK1708">
        <v>10.199999999999999</v>
      </c>
      <c r="AL1708">
        <v>6.1664800791209597E-2</v>
      </c>
      <c r="AM1708">
        <v>7.9168232333062596E-2</v>
      </c>
      <c r="AN1708">
        <v>10</v>
      </c>
      <c r="AO1708" t="b">
        <v>1</v>
      </c>
      <c r="AP1708" t="s">
        <v>4202</v>
      </c>
      <c r="AQ1708">
        <v>1944</v>
      </c>
      <c r="AR1708">
        <v>1963</v>
      </c>
      <c r="AS1708" t="s">
        <v>7263</v>
      </c>
      <c r="AT1708">
        <v>1.2457221081451</v>
      </c>
      <c r="AU1708">
        <f t="shared" si="80"/>
        <v>3.0000000000000001E-3</v>
      </c>
    </row>
    <row r="1709" spans="1:47" x14ac:dyDescent="0.3">
      <c r="A1709">
        <v>1707</v>
      </c>
      <c r="B1709" t="s">
        <v>7264</v>
      </c>
      <c r="C1709" t="s">
        <v>7221</v>
      </c>
      <c r="D1709">
        <v>325</v>
      </c>
      <c r="E1709" t="s">
        <v>6974</v>
      </c>
      <c r="F1709" t="str">
        <f>VLOOKUP(E1709,country_continent!A:C,2,FALSE)</f>
        <v>Italy</v>
      </c>
      <c r="G1709" t="str">
        <f>VLOOKUP(E1709,country_continent!A:C,3,FALSE)</f>
        <v>Europe</v>
      </c>
      <c r="H1709" t="s">
        <v>7222</v>
      </c>
      <c r="I1709" s="1">
        <v>32712</v>
      </c>
      <c r="J1709" s="3">
        <f t="shared" si="78"/>
        <v>32712</v>
      </c>
      <c r="K1709" s="1">
        <v>33783</v>
      </c>
      <c r="L1709" s="3">
        <f t="shared" si="79"/>
        <v>33783</v>
      </c>
      <c r="M1709" t="s">
        <v>49</v>
      </c>
      <c r="N1709" t="s">
        <v>49</v>
      </c>
      <c r="O1709" t="s">
        <v>49</v>
      </c>
      <c r="P1709">
        <v>2</v>
      </c>
      <c r="Q1709" t="s">
        <v>50</v>
      </c>
      <c r="R1709" t="s">
        <v>51</v>
      </c>
      <c r="S1709">
        <v>1919</v>
      </c>
      <c r="T1709">
        <v>-777</v>
      </c>
      <c r="U1709" s="1">
        <v>6955</v>
      </c>
      <c r="V1709" s="2">
        <v>6955</v>
      </c>
      <c r="W1709" s="1">
        <v>41400</v>
      </c>
      <c r="X1709" s="2">
        <v>41400</v>
      </c>
      <c r="Y1709" t="s">
        <v>7223</v>
      </c>
      <c r="Z1709">
        <v>0</v>
      </c>
      <c r="AA1709">
        <v>1</v>
      </c>
      <c r="AB1709">
        <v>0</v>
      </c>
      <c r="AC1709">
        <v>0</v>
      </c>
      <c r="AF1709">
        <v>1989</v>
      </c>
      <c r="AG1709">
        <v>1992</v>
      </c>
      <c r="AH1709">
        <v>1.8613212490862501</v>
      </c>
      <c r="AI1709">
        <v>19867.5</v>
      </c>
      <c r="AJ1709">
        <v>6.7652239015448403</v>
      </c>
      <c r="AK1709">
        <v>9.4749999999999996</v>
      </c>
      <c r="AL1709">
        <v>7.3968299882051794E-2</v>
      </c>
      <c r="AM1709">
        <v>6.1427447235111898E-2</v>
      </c>
      <c r="AN1709">
        <v>10</v>
      </c>
      <c r="AO1709" t="b">
        <v>1</v>
      </c>
      <c r="AP1709" t="s">
        <v>4202</v>
      </c>
      <c r="AQ1709">
        <v>1944</v>
      </c>
      <c r="AR1709">
        <v>1963</v>
      </c>
      <c r="AS1709" t="s">
        <v>7265</v>
      </c>
      <c r="AT1709">
        <v>2.9322381930184802</v>
      </c>
      <c r="AU1709">
        <f t="shared" si="80"/>
        <v>8.0000000000000002E-3</v>
      </c>
    </row>
    <row r="1710" spans="1:47" x14ac:dyDescent="0.3">
      <c r="A1710">
        <v>1708</v>
      </c>
      <c r="B1710" t="s">
        <v>7266</v>
      </c>
      <c r="C1710" t="s">
        <v>7267</v>
      </c>
      <c r="D1710">
        <v>325</v>
      </c>
      <c r="E1710" t="s">
        <v>6974</v>
      </c>
      <c r="F1710" t="str">
        <f>VLOOKUP(E1710,country_continent!A:C,2,FALSE)</f>
        <v>Italy</v>
      </c>
      <c r="G1710" t="str">
        <f>VLOOKUP(E1710,country_continent!A:C,3,FALSE)</f>
        <v>Europe</v>
      </c>
      <c r="H1710" t="s">
        <v>7268</v>
      </c>
      <c r="I1710" s="1">
        <v>33783</v>
      </c>
      <c r="J1710" s="3">
        <f t="shared" si="78"/>
        <v>33783</v>
      </c>
      <c r="K1710" s="1">
        <v>34088</v>
      </c>
      <c r="L1710" s="3">
        <f t="shared" si="79"/>
        <v>34088</v>
      </c>
      <c r="M1710" t="s">
        <v>49</v>
      </c>
      <c r="N1710" t="s">
        <v>49</v>
      </c>
      <c r="O1710" t="s">
        <v>49</v>
      </c>
      <c r="P1710">
        <v>0</v>
      </c>
      <c r="Q1710" t="s">
        <v>50</v>
      </c>
      <c r="R1710" t="s">
        <v>51</v>
      </c>
      <c r="S1710">
        <v>1938</v>
      </c>
      <c r="T1710">
        <v>-777</v>
      </c>
      <c r="U1710" s="1">
        <v>14013</v>
      </c>
      <c r="V1710" s="2">
        <v>14013</v>
      </c>
      <c r="Y1710" t="s">
        <v>7269</v>
      </c>
      <c r="Z1710">
        <v>0</v>
      </c>
      <c r="AA1710">
        <v>1</v>
      </c>
      <c r="AB1710">
        <v>0</v>
      </c>
      <c r="AC1710">
        <v>0</v>
      </c>
      <c r="AF1710">
        <v>1992</v>
      </c>
      <c r="AG1710">
        <v>1993</v>
      </c>
      <c r="AH1710">
        <v>-7.3797063372118998E-2</v>
      </c>
      <c r="AI1710">
        <v>22325</v>
      </c>
      <c r="AJ1710">
        <v>4.1270337148321801</v>
      </c>
      <c r="AK1710">
        <v>8.6999999999999993</v>
      </c>
      <c r="AL1710">
        <v>6.4530143041902396E-2</v>
      </c>
      <c r="AM1710">
        <v>4.8438416768996503E-2</v>
      </c>
      <c r="AN1710">
        <v>10</v>
      </c>
      <c r="AO1710" t="b">
        <v>1</v>
      </c>
      <c r="AP1710" t="s">
        <v>4202</v>
      </c>
      <c r="AQ1710">
        <v>1944</v>
      </c>
      <c r="AR1710">
        <v>1963</v>
      </c>
      <c r="AS1710" t="s">
        <v>7270</v>
      </c>
      <c r="AT1710">
        <v>0.83504449007529002</v>
      </c>
      <c r="AU1710">
        <f t="shared" si="80"/>
        <v>2E-3</v>
      </c>
    </row>
    <row r="1711" spans="1:47" x14ac:dyDescent="0.3">
      <c r="A1711">
        <v>1709</v>
      </c>
      <c r="B1711" t="s">
        <v>7271</v>
      </c>
      <c r="C1711" t="s">
        <v>7272</v>
      </c>
      <c r="D1711">
        <v>325</v>
      </c>
      <c r="E1711" t="s">
        <v>6974</v>
      </c>
      <c r="F1711" t="str">
        <f>VLOOKUP(E1711,country_continent!A:C,2,FALSE)</f>
        <v>Italy</v>
      </c>
      <c r="G1711" t="str">
        <f>VLOOKUP(E1711,country_continent!A:C,3,FALSE)</f>
        <v>Europe</v>
      </c>
      <c r="H1711" t="s">
        <v>7273</v>
      </c>
      <c r="I1711" s="1">
        <v>34088</v>
      </c>
      <c r="J1711" s="3">
        <f t="shared" si="78"/>
        <v>34088</v>
      </c>
      <c r="K1711" s="1">
        <v>34465</v>
      </c>
      <c r="L1711" s="3">
        <f t="shared" si="79"/>
        <v>34465</v>
      </c>
      <c r="M1711" t="s">
        <v>49</v>
      </c>
      <c r="N1711" t="s">
        <v>49</v>
      </c>
      <c r="O1711" t="s">
        <v>49</v>
      </c>
      <c r="P1711">
        <v>0</v>
      </c>
      <c r="Q1711" t="s">
        <v>50</v>
      </c>
      <c r="R1711" t="s">
        <v>51</v>
      </c>
      <c r="S1711">
        <v>1920</v>
      </c>
      <c r="T1711">
        <v>-777</v>
      </c>
      <c r="U1711" s="1">
        <v>7649</v>
      </c>
      <c r="V1711" s="2">
        <v>7649</v>
      </c>
      <c r="Y1711" t="s">
        <v>7274</v>
      </c>
      <c r="Z1711">
        <v>0</v>
      </c>
      <c r="AA1711">
        <v>1</v>
      </c>
      <c r="AB1711">
        <v>0</v>
      </c>
      <c r="AC1711">
        <v>0</v>
      </c>
      <c r="AF1711">
        <v>1993</v>
      </c>
      <c r="AG1711">
        <v>1994</v>
      </c>
      <c r="AH1711">
        <v>0.60840690911309903</v>
      </c>
      <c r="AI1711">
        <v>21275</v>
      </c>
      <c r="AJ1711">
        <v>3.7142126561803899</v>
      </c>
      <c r="AK1711">
        <v>8.25</v>
      </c>
      <c r="AL1711">
        <v>4.0753963474321697E-2</v>
      </c>
      <c r="AM1711">
        <v>5.9102296462545001E-2</v>
      </c>
      <c r="AN1711">
        <v>10</v>
      </c>
      <c r="AO1711" t="b">
        <v>1</v>
      </c>
      <c r="AP1711" t="s">
        <v>4202</v>
      </c>
      <c r="AQ1711">
        <v>1944</v>
      </c>
      <c r="AR1711">
        <v>1963</v>
      </c>
      <c r="AS1711" t="s">
        <v>7275</v>
      </c>
      <c r="AT1711">
        <v>1.0321697467488</v>
      </c>
      <c r="AU1711">
        <f t="shared" si="80"/>
        <v>3.0000000000000001E-3</v>
      </c>
    </row>
    <row r="1712" spans="1:47" x14ac:dyDescent="0.3">
      <c r="A1712">
        <v>1710</v>
      </c>
      <c r="B1712" t="s">
        <v>7276</v>
      </c>
      <c r="C1712" t="s">
        <v>7277</v>
      </c>
      <c r="D1712">
        <v>325</v>
      </c>
      <c r="E1712" t="s">
        <v>6974</v>
      </c>
      <c r="F1712" t="str">
        <f>VLOOKUP(E1712,country_continent!A:C,2,FALSE)</f>
        <v>Italy</v>
      </c>
      <c r="G1712" t="str">
        <f>VLOOKUP(E1712,country_continent!A:C,3,FALSE)</f>
        <v>Europe</v>
      </c>
      <c r="H1712" t="s">
        <v>7278</v>
      </c>
      <c r="I1712" s="1">
        <v>34465</v>
      </c>
      <c r="J1712" s="3">
        <f t="shared" si="78"/>
        <v>34465</v>
      </c>
      <c r="K1712" s="1">
        <v>34716</v>
      </c>
      <c r="L1712" s="3">
        <f t="shared" si="79"/>
        <v>34716</v>
      </c>
      <c r="M1712" t="s">
        <v>49</v>
      </c>
      <c r="N1712" t="s">
        <v>49</v>
      </c>
      <c r="O1712" t="s">
        <v>49</v>
      </c>
      <c r="P1712">
        <v>0</v>
      </c>
      <c r="Q1712" t="s">
        <v>50</v>
      </c>
      <c r="R1712" t="s">
        <v>51</v>
      </c>
      <c r="S1712">
        <v>1936</v>
      </c>
      <c r="T1712">
        <v>-777</v>
      </c>
      <c r="U1712" s="1">
        <v>13422</v>
      </c>
      <c r="V1712" s="2">
        <v>13422</v>
      </c>
      <c r="Y1712" t="s">
        <v>7279</v>
      </c>
      <c r="Z1712">
        <v>0</v>
      </c>
      <c r="AA1712">
        <v>1</v>
      </c>
      <c r="AB1712">
        <v>0</v>
      </c>
      <c r="AC1712">
        <v>0</v>
      </c>
      <c r="AF1712">
        <v>1994</v>
      </c>
      <c r="AG1712">
        <v>1995</v>
      </c>
      <c r="AH1712">
        <v>2.50770890950003</v>
      </c>
      <c r="AI1712">
        <v>20815</v>
      </c>
      <c r="AJ1712">
        <v>4.2338590437006802</v>
      </c>
      <c r="AK1712">
        <v>7.75</v>
      </c>
      <c r="AL1712">
        <v>1.0980318127446599E-2</v>
      </c>
      <c r="AM1712">
        <v>6.8561604552026603E-2</v>
      </c>
      <c r="AN1712">
        <v>10</v>
      </c>
      <c r="AO1712" t="b">
        <v>1</v>
      </c>
      <c r="AP1712" t="s">
        <v>4202</v>
      </c>
      <c r="AQ1712">
        <v>1944</v>
      </c>
      <c r="AR1712">
        <v>1963</v>
      </c>
      <c r="AS1712" t="s">
        <v>7280</v>
      </c>
      <c r="AT1712">
        <v>0.68720054757015703</v>
      </c>
      <c r="AU1712">
        <f t="shared" si="80"/>
        <v>2E-3</v>
      </c>
    </row>
    <row r="1713" spans="1:47" x14ac:dyDescent="0.3">
      <c r="A1713">
        <v>1711</v>
      </c>
      <c r="B1713" t="s">
        <v>7281</v>
      </c>
      <c r="C1713" t="s">
        <v>7282</v>
      </c>
      <c r="D1713">
        <v>325</v>
      </c>
      <c r="E1713" t="s">
        <v>6974</v>
      </c>
      <c r="F1713" t="str">
        <f>VLOOKUP(E1713,country_continent!A:C,2,FALSE)</f>
        <v>Italy</v>
      </c>
      <c r="G1713" t="str">
        <f>VLOOKUP(E1713,country_continent!A:C,3,FALSE)</f>
        <v>Europe</v>
      </c>
      <c r="H1713" t="s">
        <v>7283</v>
      </c>
      <c r="I1713" s="1">
        <v>34716</v>
      </c>
      <c r="J1713" s="3">
        <f t="shared" si="78"/>
        <v>34716</v>
      </c>
      <c r="K1713" s="1">
        <v>35203</v>
      </c>
      <c r="L1713" s="3">
        <f t="shared" si="79"/>
        <v>35203</v>
      </c>
      <c r="M1713" t="s">
        <v>49</v>
      </c>
      <c r="N1713" t="s">
        <v>49</v>
      </c>
      <c r="O1713" t="s">
        <v>49</v>
      </c>
      <c r="P1713">
        <v>0</v>
      </c>
      <c r="Q1713" t="s">
        <v>50</v>
      </c>
      <c r="R1713" t="s">
        <v>51</v>
      </c>
      <c r="S1713">
        <v>1931</v>
      </c>
      <c r="T1713">
        <v>-777</v>
      </c>
      <c r="U1713" s="1">
        <v>11383</v>
      </c>
      <c r="V1713" s="2">
        <v>11383</v>
      </c>
      <c r="Y1713" t="s">
        <v>7284</v>
      </c>
      <c r="Z1713">
        <v>0</v>
      </c>
      <c r="AA1713">
        <v>1</v>
      </c>
      <c r="AB1713">
        <v>0</v>
      </c>
      <c r="AC1713">
        <v>0</v>
      </c>
      <c r="AF1713">
        <v>1995</v>
      </c>
      <c r="AG1713">
        <v>1996</v>
      </c>
      <c r="AH1713">
        <v>2.1011542540363299</v>
      </c>
      <c r="AI1713">
        <v>21300</v>
      </c>
      <c r="AJ1713">
        <v>4.6490164800288403</v>
      </c>
      <c r="AK1713">
        <v>7.25</v>
      </c>
      <c r="AL1713">
        <v>1.48464851582247E-2</v>
      </c>
      <c r="AM1713">
        <v>7.9736636090646199E-2</v>
      </c>
      <c r="AN1713">
        <v>10</v>
      </c>
      <c r="AO1713" t="b">
        <v>1</v>
      </c>
      <c r="AP1713" t="s">
        <v>4202</v>
      </c>
      <c r="AQ1713">
        <v>1944</v>
      </c>
      <c r="AR1713">
        <v>1963</v>
      </c>
      <c r="AS1713" t="s">
        <v>7060</v>
      </c>
      <c r="AT1713">
        <v>1.3333333333333299</v>
      </c>
      <c r="AU1713">
        <f t="shared" si="80"/>
        <v>4.0000000000000001E-3</v>
      </c>
    </row>
    <row r="1714" spans="1:47" x14ac:dyDescent="0.3">
      <c r="A1714">
        <v>1712</v>
      </c>
      <c r="B1714" t="s">
        <v>7285</v>
      </c>
      <c r="C1714" t="s">
        <v>7286</v>
      </c>
      <c r="D1714">
        <v>325</v>
      </c>
      <c r="E1714" t="s">
        <v>6974</v>
      </c>
      <c r="F1714" t="str">
        <f>VLOOKUP(E1714,country_continent!A:C,2,FALSE)</f>
        <v>Italy</v>
      </c>
      <c r="G1714" t="str">
        <f>VLOOKUP(E1714,country_continent!A:C,3,FALSE)</f>
        <v>Europe</v>
      </c>
      <c r="H1714" t="s">
        <v>7287</v>
      </c>
      <c r="I1714" s="1">
        <v>35203</v>
      </c>
      <c r="J1714" s="3">
        <f t="shared" si="78"/>
        <v>35203</v>
      </c>
      <c r="K1714" s="1">
        <v>36089</v>
      </c>
      <c r="L1714" s="3">
        <f t="shared" si="79"/>
        <v>36089</v>
      </c>
      <c r="M1714" t="s">
        <v>49</v>
      </c>
      <c r="N1714" t="s">
        <v>49</v>
      </c>
      <c r="O1714" t="s">
        <v>49</v>
      </c>
      <c r="P1714">
        <v>0</v>
      </c>
      <c r="Q1714" t="s">
        <v>50</v>
      </c>
      <c r="R1714" t="s">
        <v>51</v>
      </c>
      <c r="S1714">
        <v>1939</v>
      </c>
      <c r="T1714">
        <v>-777</v>
      </c>
      <c r="U1714" s="1">
        <v>14466</v>
      </c>
      <c r="V1714" s="2">
        <v>14466</v>
      </c>
      <c r="Y1714" t="s">
        <v>7288</v>
      </c>
      <c r="Z1714">
        <v>0</v>
      </c>
      <c r="AA1714">
        <v>1</v>
      </c>
      <c r="AB1714">
        <v>0</v>
      </c>
      <c r="AC1714">
        <v>0</v>
      </c>
      <c r="AF1714">
        <v>1996</v>
      </c>
      <c r="AG1714">
        <v>1998</v>
      </c>
      <c r="AH1714">
        <v>1.6546667282895799</v>
      </c>
      <c r="AI1714">
        <v>22173.333333333299</v>
      </c>
      <c r="AJ1714">
        <v>3.0951585876438799</v>
      </c>
      <c r="AK1714">
        <v>6.6</v>
      </c>
      <c r="AL1714">
        <v>3.6595124715107598E-2</v>
      </c>
      <c r="AM1714">
        <v>6.1735719497858901E-2</v>
      </c>
      <c r="AN1714">
        <v>10</v>
      </c>
      <c r="AO1714" t="b">
        <v>1</v>
      </c>
      <c r="AP1714" t="s">
        <v>4202</v>
      </c>
      <c r="AQ1714">
        <v>1944</v>
      </c>
      <c r="AR1714">
        <v>1963</v>
      </c>
      <c r="AS1714" t="s">
        <v>7289</v>
      </c>
      <c r="AT1714">
        <v>2.4257357973990401</v>
      </c>
      <c r="AU1714">
        <f t="shared" si="80"/>
        <v>7.0000000000000001E-3</v>
      </c>
    </row>
    <row r="1715" spans="1:47" x14ac:dyDescent="0.3">
      <c r="A1715">
        <v>1713</v>
      </c>
      <c r="B1715" t="s">
        <v>7290</v>
      </c>
      <c r="C1715" t="s">
        <v>7291</v>
      </c>
      <c r="D1715">
        <v>325</v>
      </c>
      <c r="E1715" t="s">
        <v>6974</v>
      </c>
      <c r="F1715" t="str">
        <f>VLOOKUP(E1715,country_continent!A:C,2,FALSE)</f>
        <v>Italy</v>
      </c>
      <c r="G1715" t="str">
        <f>VLOOKUP(E1715,country_continent!A:C,3,FALSE)</f>
        <v>Europe</v>
      </c>
      <c r="H1715" t="s">
        <v>7292</v>
      </c>
      <c r="I1715" s="1">
        <v>36089</v>
      </c>
      <c r="J1715" s="3">
        <f t="shared" si="78"/>
        <v>36089</v>
      </c>
      <c r="K1715" s="1">
        <v>36642</v>
      </c>
      <c r="L1715" s="3">
        <f t="shared" si="79"/>
        <v>36642</v>
      </c>
      <c r="M1715" t="s">
        <v>49</v>
      </c>
      <c r="N1715" t="s">
        <v>49</v>
      </c>
      <c r="O1715" t="s">
        <v>49</v>
      </c>
      <c r="P1715">
        <v>0</v>
      </c>
      <c r="Q1715" t="s">
        <v>50</v>
      </c>
      <c r="R1715" t="s">
        <v>51</v>
      </c>
      <c r="S1715">
        <v>1949</v>
      </c>
      <c r="T1715">
        <v>-777</v>
      </c>
      <c r="U1715" s="1">
        <v>18008</v>
      </c>
      <c r="V1715" s="2">
        <v>18008</v>
      </c>
      <c r="Z1715">
        <v>0</v>
      </c>
      <c r="AA1715">
        <v>1</v>
      </c>
      <c r="AB1715">
        <v>0</v>
      </c>
      <c r="AC1715">
        <v>0</v>
      </c>
      <c r="AF1715">
        <v>1998</v>
      </c>
      <c r="AG1715">
        <v>2000</v>
      </c>
      <c r="AH1715">
        <v>2.4236737856483201</v>
      </c>
      <c r="AI1715">
        <v>22100</v>
      </c>
      <c r="AJ1715">
        <v>1.8672889571592699</v>
      </c>
      <c r="AK1715">
        <v>5.9</v>
      </c>
      <c r="AL1715">
        <v>3.02994971571399E-2</v>
      </c>
      <c r="AM1715">
        <v>5.1124399105618501E-2</v>
      </c>
      <c r="AN1715">
        <v>10</v>
      </c>
      <c r="AO1715" t="b">
        <v>1</v>
      </c>
      <c r="AP1715" t="s">
        <v>4202</v>
      </c>
      <c r="AQ1715">
        <v>1944</v>
      </c>
      <c r="AR1715">
        <v>1963</v>
      </c>
      <c r="AS1715" t="s">
        <v>6454</v>
      </c>
      <c r="AT1715">
        <v>1.51403148528405</v>
      </c>
      <c r="AU1715">
        <f t="shared" si="80"/>
        <v>4.0000000000000001E-3</v>
      </c>
    </row>
    <row r="1716" spans="1:47" x14ac:dyDescent="0.3">
      <c r="A1716">
        <v>1714</v>
      </c>
      <c r="B1716" t="s">
        <v>7293</v>
      </c>
      <c r="C1716" t="s">
        <v>7267</v>
      </c>
      <c r="D1716">
        <v>325</v>
      </c>
      <c r="E1716" t="s">
        <v>6974</v>
      </c>
      <c r="F1716" t="str">
        <f>VLOOKUP(E1716,country_continent!A:C,2,FALSE)</f>
        <v>Italy</v>
      </c>
      <c r="G1716" t="str">
        <f>VLOOKUP(E1716,country_continent!A:C,3,FALSE)</f>
        <v>Europe</v>
      </c>
      <c r="H1716" t="s">
        <v>7268</v>
      </c>
      <c r="I1716" s="1">
        <v>36642</v>
      </c>
      <c r="J1716" s="3">
        <f t="shared" si="78"/>
        <v>36642</v>
      </c>
      <c r="K1716" s="1">
        <v>37053</v>
      </c>
      <c r="L1716" s="3">
        <f t="shared" si="79"/>
        <v>37053</v>
      </c>
      <c r="M1716" t="s">
        <v>49</v>
      </c>
      <c r="N1716" t="s">
        <v>49</v>
      </c>
      <c r="O1716" t="s">
        <v>49</v>
      </c>
      <c r="P1716">
        <v>1</v>
      </c>
      <c r="Q1716" t="s">
        <v>50</v>
      </c>
      <c r="R1716" t="s">
        <v>51</v>
      </c>
      <c r="S1716">
        <v>1938</v>
      </c>
      <c r="T1716">
        <v>-777</v>
      </c>
      <c r="U1716" s="1">
        <v>14013</v>
      </c>
      <c r="V1716" s="2">
        <v>14013</v>
      </c>
      <c r="Y1716" t="s">
        <v>7269</v>
      </c>
      <c r="Z1716">
        <v>0</v>
      </c>
      <c r="AA1716">
        <v>1</v>
      </c>
      <c r="AB1716">
        <v>0</v>
      </c>
      <c r="AC1716">
        <v>0</v>
      </c>
      <c r="AF1716">
        <v>2000</v>
      </c>
      <c r="AG1716">
        <v>2001</v>
      </c>
      <c r="AH1716">
        <v>2.8895234900014799</v>
      </c>
      <c r="AI1716">
        <v>21620</v>
      </c>
      <c r="AJ1716">
        <v>2.4100042712533098</v>
      </c>
      <c r="AK1716">
        <v>5.4499999999999904</v>
      </c>
      <c r="AL1716">
        <v>5.3263894190580599E-2</v>
      </c>
      <c r="AM1716">
        <v>9.7026421104331795E-2</v>
      </c>
      <c r="AN1716">
        <v>10</v>
      </c>
      <c r="AO1716" t="b">
        <v>1</v>
      </c>
      <c r="AP1716" t="s">
        <v>4202</v>
      </c>
      <c r="AQ1716">
        <v>1944</v>
      </c>
      <c r="AR1716">
        <v>1963</v>
      </c>
      <c r="AS1716" t="s">
        <v>7294</v>
      </c>
      <c r="AT1716">
        <v>1.1252566735112901</v>
      </c>
      <c r="AU1716">
        <f t="shared" si="80"/>
        <v>3.0000000000000001E-3</v>
      </c>
    </row>
    <row r="1717" spans="1:47" x14ac:dyDescent="0.3">
      <c r="A1717">
        <v>1715</v>
      </c>
      <c r="B1717" t="s">
        <v>7295</v>
      </c>
      <c r="C1717" t="s">
        <v>7277</v>
      </c>
      <c r="D1717">
        <v>325</v>
      </c>
      <c r="E1717" t="s">
        <v>6974</v>
      </c>
      <c r="F1717" t="str">
        <f>VLOOKUP(E1717,country_continent!A:C,2,FALSE)</f>
        <v>Italy</v>
      </c>
      <c r="G1717" t="str">
        <f>VLOOKUP(E1717,country_continent!A:C,3,FALSE)</f>
        <v>Europe</v>
      </c>
      <c r="H1717" t="s">
        <v>7278</v>
      </c>
      <c r="I1717" s="1">
        <v>37053</v>
      </c>
      <c r="J1717" s="3">
        <f t="shared" si="78"/>
        <v>37053</v>
      </c>
      <c r="K1717" s="1">
        <v>38854</v>
      </c>
      <c r="L1717" s="3">
        <f t="shared" si="79"/>
        <v>38854</v>
      </c>
      <c r="M1717" t="s">
        <v>49</v>
      </c>
      <c r="N1717" t="s">
        <v>49</v>
      </c>
      <c r="O1717" t="s">
        <v>49</v>
      </c>
      <c r="P1717">
        <v>1</v>
      </c>
      <c r="Q1717" t="s">
        <v>50</v>
      </c>
      <c r="R1717" t="s">
        <v>51</v>
      </c>
      <c r="S1717">
        <v>1936</v>
      </c>
      <c r="T1717">
        <v>-777</v>
      </c>
      <c r="U1717" s="1">
        <v>13422</v>
      </c>
      <c r="V1717" s="2">
        <v>13422</v>
      </c>
      <c r="Y1717" t="s">
        <v>7279</v>
      </c>
      <c r="Z1717">
        <v>0</v>
      </c>
      <c r="AA1717">
        <v>1</v>
      </c>
      <c r="AB1717">
        <v>0</v>
      </c>
      <c r="AC1717">
        <v>0</v>
      </c>
      <c r="AF1717">
        <v>2001</v>
      </c>
      <c r="AG1717">
        <v>2006</v>
      </c>
      <c r="AH1717">
        <v>0.63887463789458498</v>
      </c>
      <c r="AI1717">
        <v>26776.666666666599</v>
      </c>
      <c r="AJ1717">
        <v>2.7443513524551899</v>
      </c>
      <c r="AK1717">
        <v>4.7666666666666604</v>
      </c>
      <c r="AL1717">
        <v>0.421306785061411</v>
      </c>
      <c r="AM1717">
        <v>9.6165849545048296E-2</v>
      </c>
      <c r="AN1717">
        <v>10</v>
      </c>
      <c r="AO1717" t="b">
        <v>1</v>
      </c>
      <c r="AP1717" t="s">
        <v>4202</v>
      </c>
      <c r="AQ1717">
        <v>1944</v>
      </c>
      <c r="AR1717">
        <v>1963</v>
      </c>
      <c r="AS1717" t="s">
        <v>7296</v>
      </c>
      <c r="AT1717">
        <v>4.9308692676249102</v>
      </c>
      <c r="AU1717">
        <f t="shared" si="80"/>
        <v>1.4E-2</v>
      </c>
    </row>
    <row r="1718" spans="1:47" x14ac:dyDescent="0.3">
      <c r="A1718">
        <v>1716</v>
      </c>
      <c r="B1718" t="s">
        <v>7297</v>
      </c>
      <c r="C1718" t="s">
        <v>7286</v>
      </c>
      <c r="D1718">
        <v>325</v>
      </c>
      <c r="E1718" t="s">
        <v>6974</v>
      </c>
      <c r="F1718" t="str">
        <f>VLOOKUP(E1718,country_continent!A:C,2,FALSE)</f>
        <v>Italy</v>
      </c>
      <c r="G1718" t="str">
        <f>VLOOKUP(E1718,country_continent!A:C,3,FALSE)</f>
        <v>Europe</v>
      </c>
      <c r="H1718" t="s">
        <v>7287</v>
      </c>
      <c r="I1718" s="1">
        <v>38854</v>
      </c>
      <c r="J1718" s="3">
        <f t="shared" si="78"/>
        <v>38854</v>
      </c>
      <c r="K1718" s="1">
        <v>39576</v>
      </c>
      <c r="L1718" s="3">
        <f t="shared" si="79"/>
        <v>39576</v>
      </c>
      <c r="M1718" t="s">
        <v>49</v>
      </c>
      <c r="N1718" t="s">
        <v>49</v>
      </c>
      <c r="O1718" t="s">
        <v>49</v>
      </c>
      <c r="P1718">
        <v>1</v>
      </c>
      <c r="Q1718" t="s">
        <v>50</v>
      </c>
      <c r="R1718" t="s">
        <v>51</v>
      </c>
      <c r="S1718">
        <v>1939</v>
      </c>
      <c r="T1718">
        <v>-777</v>
      </c>
      <c r="U1718" s="1">
        <v>14466</v>
      </c>
      <c r="V1718" s="2">
        <v>14466</v>
      </c>
      <c r="Z1718">
        <v>0</v>
      </c>
      <c r="AA1718">
        <v>1</v>
      </c>
      <c r="AB1718">
        <v>0</v>
      </c>
      <c r="AC1718">
        <v>0</v>
      </c>
      <c r="AF1718">
        <v>2006</v>
      </c>
      <c r="AG1718">
        <v>2008</v>
      </c>
      <c r="AH1718">
        <v>0.15209515856299</v>
      </c>
      <c r="AI1718">
        <v>36003.333333333299</v>
      </c>
      <c r="AJ1718">
        <v>2.3624104389289</v>
      </c>
      <c r="AK1718">
        <v>4.2</v>
      </c>
      <c r="AL1718">
        <v>0.59325585717297102</v>
      </c>
      <c r="AM1718">
        <v>0.13041789529010001</v>
      </c>
      <c r="AN1718">
        <v>10</v>
      </c>
      <c r="AO1718" t="b">
        <v>1</v>
      </c>
      <c r="AP1718" t="s">
        <v>4202</v>
      </c>
      <c r="AQ1718">
        <v>1944</v>
      </c>
      <c r="AR1718">
        <v>1963</v>
      </c>
      <c r="AS1718" t="s">
        <v>7298</v>
      </c>
      <c r="AT1718">
        <v>1.9767282683093701</v>
      </c>
      <c r="AU1718">
        <f t="shared" si="80"/>
        <v>5.0000000000000001E-3</v>
      </c>
    </row>
    <row r="1719" spans="1:47" x14ac:dyDescent="0.3">
      <c r="A1719">
        <v>1717</v>
      </c>
      <c r="B1719" t="s">
        <v>7299</v>
      </c>
      <c r="C1719" t="s">
        <v>7277</v>
      </c>
      <c r="D1719">
        <v>325</v>
      </c>
      <c r="E1719" t="s">
        <v>6974</v>
      </c>
      <c r="F1719" t="str">
        <f>VLOOKUP(E1719,country_continent!A:C,2,FALSE)</f>
        <v>Italy</v>
      </c>
      <c r="G1719" t="str">
        <f>VLOOKUP(E1719,country_continent!A:C,3,FALSE)</f>
        <v>Europe</v>
      </c>
      <c r="H1719" t="s">
        <v>7278</v>
      </c>
      <c r="I1719" s="1">
        <v>39576</v>
      </c>
      <c r="J1719" s="3">
        <f t="shared" si="78"/>
        <v>39576</v>
      </c>
      <c r="K1719" s="1">
        <v>40863</v>
      </c>
      <c r="L1719" s="3">
        <f t="shared" si="79"/>
        <v>40863</v>
      </c>
      <c r="M1719" t="s">
        <v>49</v>
      </c>
      <c r="N1719" t="s">
        <v>49</v>
      </c>
      <c r="O1719" t="s">
        <v>49</v>
      </c>
      <c r="P1719">
        <v>2</v>
      </c>
      <c r="Q1719" t="s">
        <v>50</v>
      </c>
      <c r="R1719" t="s">
        <v>51</v>
      </c>
      <c r="S1719">
        <v>1936</v>
      </c>
      <c r="T1719">
        <v>-777</v>
      </c>
      <c r="U1719" s="1">
        <v>13422</v>
      </c>
      <c r="V1719" s="2">
        <v>13422</v>
      </c>
      <c r="Z1719">
        <v>0</v>
      </c>
      <c r="AA1719">
        <v>1</v>
      </c>
      <c r="AB1719">
        <v>0</v>
      </c>
      <c r="AC1719">
        <v>0</v>
      </c>
      <c r="AF1719">
        <v>2008</v>
      </c>
      <c r="AG1719">
        <v>2011</v>
      </c>
      <c r="AH1719">
        <v>-1.5518899606910801</v>
      </c>
      <c r="AI1719">
        <v>37782.5</v>
      </c>
      <c r="AJ1719">
        <v>1.62593843355201</v>
      </c>
      <c r="AK1719">
        <v>4.0249999999999897</v>
      </c>
      <c r="AL1719">
        <v>0.53485832261491095</v>
      </c>
      <c r="AM1719">
        <v>0.12658926242511501</v>
      </c>
      <c r="AN1719">
        <v>10</v>
      </c>
      <c r="AO1719" t="b">
        <v>1</v>
      </c>
      <c r="AP1719" t="s">
        <v>4202</v>
      </c>
      <c r="AQ1719">
        <v>1944</v>
      </c>
      <c r="AR1719">
        <v>1963</v>
      </c>
      <c r="AS1719" t="s">
        <v>7300</v>
      </c>
      <c r="AT1719">
        <v>3.52361396303901</v>
      </c>
      <c r="AU1719">
        <f t="shared" si="80"/>
        <v>0.01</v>
      </c>
    </row>
    <row r="1720" spans="1:47" x14ac:dyDescent="0.3">
      <c r="A1720">
        <v>1718</v>
      </c>
      <c r="B1720" t="s">
        <v>7301</v>
      </c>
      <c r="C1720" t="s">
        <v>7302</v>
      </c>
      <c r="D1720">
        <v>325</v>
      </c>
      <c r="E1720" t="s">
        <v>6974</v>
      </c>
      <c r="F1720" t="str">
        <f>VLOOKUP(E1720,country_continent!A:C,2,FALSE)</f>
        <v>Italy</v>
      </c>
      <c r="G1720" t="str">
        <f>VLOOKUP(E1720,country_continent!A:C,3,FALSE)</f>
        <v>Europe</v>
      </c>
      <c r="H1720" t="s">
        <v>7303</v>
      </c>
      <c r="I1720" s="1">
        <v>40863</v>
      </c>
      <c r="J1720" s="3">
        <f t="shared" si="78"/>
        <v>40863</v>
      </c>
      <c r="K1720" s="1">
        <v>41392</v>
      </c>
      <c r="L1720" s="3">
        <f t="shared" si="79"/>
        <v>41392</v>
      </c>
      <c r="M1720" t="s">
        <v>49</v>
      </c>
      <c r="N1720" t="s">
        <v>49</v>
      </c>
      <c r="O1720" t="s">
        <v>49</v>
      </c>
      <c r="P1720">
        <v>0</v>
      </c>
      <c r="Q1720" t="s">
        <v>50</v>
      </c>
      <c r="R1720" t="s">
        <v>51</v>
      </c>
      <c r="S1720">
        <v>1943</v>
      </c>
      <c r="T1720">
        <v>-777</v>
      </c>
      <c r="U1720" s="1">
        <v>15784</v>
      </c>
      <c r="V1720" s="2">
        <v>15784</v>
      </c>
      <c r="Z1720">
        <v>0</v>
      </c>
      <c r="AA1720">
        <v>1</v>
      </c>
      <c r="AB1720">
        <v>0</v>
      </c>
      <c r="AC1720">
        <v>0</v>
      </c>
      <c r="AF1720">
        <v>2011</v>
      </c>
      <c r="AG1720">
        <v>2013</v>
      </c>
      <c r="AH1720">
        <v>-1.68544036831013</v>
      </c>
      <c r="AI1720">
        <v>36460</v>
      </c>
      <c r="AJ1720">
        <v>1.51898252275532</v>
      </c>
      <c r="AK1720">
        <v>3.7999999999999901</v>
      </c>
      <c r="AL1720">
        <v>0.27315107250640602</v>
      </c>
      <c r="AM1720">
        <v>0.160376353622118</v>
      </c>
      <c r="AN1720">
        <v>10</v>
      </c>
      <c r="AO1720" t="b">
        <v>1</v>
      </c>
      <c r="AP1720" t="s">
        <v>4202</v>
      </c>
      <c r="AQ1720">
        <v>1944</v>
      </c>
      <c r="AR1720">
        <v>1963</v>
      </c>
      <c r="AS1720" t="s">
        <v>7304</v>
      </c>
      <c r="AT1720">
        <v>1.4483230663928801</v>
      </c>
      <c r="AU1720">
        <f t="shared" si="80"/>
        <v>4.0000000000000001E-3</v>
      </c>
    </row>
    <row r="1721" spans="1:47" x14ac:dyDescent="0.3">
      <c r="A1721">
        <v>1719</v>
      </c>
      <c r="B1721" t="s">
        <v>7305</v>
      </c>
      <c r="C1721" t="s">
        <v>7306</v>
      </c>
      <c r="D1721">
        <v>325</v>
      </c>
      <c r="E1721" t="s">
        <v>6974</v>
      </c>
      <c r="F1721" t="str">
        <f>VLOOKUP(E1721,country_continent!A:C,2,FALSE)</f>
        <v>Italy</v>
      </c>
      <c r="G1721" t="str">
        <f>VLOOKUP(E1721,country_continent!A:C,3,FALSE)</f>
        <v>Europe</v>
      </c>
      <c r="H1721" t="s">
        <v>7307</v>
      </c>
      <c r="I1721" s="1">
        <v>41392</v>
      </c>
      <c r="J1721" s="3">
        <f t="shared" si="78"/>
        <v>41392</v>
      </c>
      <c r="K1721" s="1">
        <v>41692</v>
      </c>
      <c r="L1721" s="3">
        <f t="shared" si="79"/>
        <v>41692</v>
      </c>
      <c r="M1721" t="s">
        <v>49</v>
      </c>
      <c r="N1721" t="s">
        <v>49</v>
      </c>
      <c r="O1721" t="s">
        <v>49</v>
      </c>
      <c r="P1721">
        <v>0</v>
      </c>
      <c r="Q1721" t="s">
        <v>50</v>
      </c>
      <c r="R1721" t="s">
        <v>51</v>
      </c>
      <c r="S1721">
        <v>1966</v>
      </c>
      <c r="T1721">
        <v>-777</v>
      </c>
      <c r="U1721" s="1">
        <v>24339</v>
      </c>
      <c r="V1721" s="2">
        <v>24339</v>
      </c>
      <c r="Z1721">
        <v>0</v>
      </c>
      <c r="AA1721">
        <v>1</v>
      </c>
      <c r="AB1721">
        <v>0</v>
      </c>
      <c r="AC1721">
        <v>0</v>
      </c>
      <c r="AF1721">
        <v>2013</v>
      </c>
      <c r="AG1721">
        <v>2014</v>
      </c>
      <c r="AH1721">
        <v>-1.01521690372037</v>
      </c>
      <c r="AI1721">
        <v>35535</v>
      </c>
      <c r="AJ1721">
        <v>1.01416737253392</v>
      </c>
      <c r="AK1721">
        <v>3.65</v>
      </c>
      <c r="AL1721">
        <v>0.107425069051299</v>
      </c>
      <c r="AM1721">
        <v>0.146964496075632</v>
      </c>
      <c r="AN1721">
        <v>10</v>
      </c>
      <c r="AO1721" t="b">
        <v>1</v>
      </c>
      <c r="AP1721" t="s">
        <v>4202</v>
      </c>
      <c r="AQ1721">
        <v>1944</v>
      </c>
      <c r="AR1721">
        <v>1963</v>
      </c>
      <c r="AS1721" t="s">
        <v>7308</v>
      </c>
      <c r="AT1721">
        <v>0.82135523613963002</v>
      </c>
      <c r="AU1721">
        <f t="shared" si="80"/>
        <v>2E-3</v>
      </c>
    </row>
    <row r="1722" spans="1:47" x14ac:dyDescent="0.3">
      <c r="A1722">
        <v>1720</v>
      </c>
      <c r="B1722" t="s">
        <v>7309</v>
      </c>
      <c r="C1722" t="s">
        <v>7310</v>
      </c>
      <c r="D1722">
        <v>325</v>
      </c>
      <c r="E1722" t="s">
        <v>6974</v>
      </c>
      <c r="F1722" t="str">
        <f>VLOOKUP(E1722,country_continent!A:C,2,FALSE)</f>
        <v>Italy</v>
      </c>
      <c r="G1722" t="str">
        <f>VLOOKUP(E1722,country_continent!A:C,3,FALSE)</f>
        <v>Europe</v>
      </c>
      <c r="H1722" t="s">
        <v>7311</v>
      </c>
      <c r="I1722" s="1">
        <v>41692</v>
      </c>
      <c r="J1722" s="3">
        <f t="shared" si="78"/>
        <v>41692</v>
      </c>
      <c r="K1722" s="1">
        <v>42369</v>
      </c>
      <c r="L1722" s="3">
        <f t="shared" si="79"/>
        <v>42369</v>
      </c>
      <c r="M1722" t="s">
        <v>49</v>
      </c>
      <c r="N1722" t="s">
        <v>173</v>
      </c>
      <c r="O1722" t="s">
        <v>173</v>
      </c>
      <c r="P1722">
        <v>0</v>
      </c>
      <c r="Q1722" t="s">
        <v>174</v>
      </c>
      <c r="R1722" t="s">
        <v>51</v>
      </c>
      <c r="S1722">
        <v>1975</v>
      </c>
      <c r="T1722">
        <v>-777</v>
      </c>
      <c r="U1722" s="1">
        <v>27405</v>
      </c>
      <c r="V1722" s="2">
        <v>27405</v>
      </c>
      <c r="Z1722">
        <v>0</v>
      </c>
      <c r="AA1722">
        <v>-888</v>
      </c>
      <c r="AB1722">
        <v>-888</v>
      </c>
      <c r="AC1722">
        <v>-888</v>
      </c>
      <c r="AF1722">
        <v>2014</v>
      </c>
      <c r="AG1722">
        <v>2015</v>
      </c>
      <c r="AH1722">
        <v>0.51090081317873604</v>
      </c>
      <c r="AI1722">
        <v>34415</v>
      </c>
      <c r="AJ1722">
        <v>0.842663593287582</v>
      </c>
      <c r="AK1722">
        <v>3.55</v>
      </c>
      <c r="AL1722">
        <v>-6.8033170738741197E-2</v>
      </c>
      <c r="AM1722">
        <v>0.11018045576954801</v>
      </c>
      <c r="AN1722">
        <v>10</v>
      </c>
      <c r="AO1722" t="b">
        <v>1</v>
      </c>
      <c r="AP1722" t="s">
        <v>4202</v>
      </c>
      <c r="AQ1722">
        <v>1944</v>
      </c>
      <c r="AR1722">
        <v>1963</v>
      </c>
      <c r="AS1722" t="s">
        <v>7312</v>
      </c>
      <c r="AT1722">
        <v>1.8535249828884299</v>
      </c>
      <c r="AU1722">
        <f t="shared" si="80"/>
        <v>5.0000000000000001E-3</v>
      </c>
    </row>
    <row r="1723" spans="1:47" x14ac:dyDescent="0.3">
      <c r="A1723">
        <v>1721</v>
      </c>
      <c r="B1723" t="s">
        <v>7313</v>
      </c>
      <c r="C1723" t="s">
        <v>7314</v>
      </c>
      <c r="D1723">
        <v>338</v>
      </c>
      <c r="E1723" t="s">
        <v>7315</v>
      </c>
      <c r="F1723" t="str">
        <f>VLOOKUP(E1723,country_continent!A:C,2,FALSE)</f>
        <v>Malta</v>
      </c>
      <c r="G1723" t="str">
        <f>VLOOKUP(E1723,country_continent!A:C,3,FALSE)</f>
        <v>Europe</v>
      </c>
      <c r="H1723" t="s">
        <v>7316</v>
      </c>
      <c r="I1723" s="1">
        <v>22710</v>
      </c>
      <c r="J1723" s="3">
        <f t="shared" si="78"/>
        <v>22710</v>
      </c>
      <c r="K1723" s="1">
        <v>26105</v>
      </c>
      <c r="L1723" s="3">
        <f t="shared" si="79"/>
        <v>26105</v>
      </c>
      <c r="M1723" t="s">
        <v>49</v>
      </c>
      <c r="N1723" t="s">
        <v>49</v>
      </c>
      <c r="O1723" t="s">
        <v>49</v>
      </c>
      <c r="P1723">
        <v>0</v>
      </c>
      <c r="Q1723" t="s">
        <v>50</v>
      </c>
      <c r="R1723" t="s">
        <v>51</v>
      </c>
      <c r="S1723">
        <v>1911</v>
      </c>
      <c r="T1723">
        <v>1980</v>
      </c>
      <c r="U1723" s="1">
        <v>4204</v>
      </c>
      <c r="V1723" s="2">
        <v>4204</v>
      </c>
      <c r="W1723" s="1">
        <v>29523</v>
      </c>
      <c r="X1723" s="2">
        <v>29523</v>
      </c>
      <c r="Y1723" t="s">
        <v>7317</v>
      </c>
      <c r="Z1723">
        <v>0</v>
      </c>
      <c r="AA1723">
        <v>1</v>
      </c>
      <c r="AB1723">
        <v>0</v>
      </c>
      <c r="AC1723">
        <v>0</v>
      </c>
      <c r="AF1723">
        <v>1962</v>
      </c>
      <c r="AG1723">
        <v>1971</v>
      </c>
      <c r="AH1723">
        <v>2.4370702568748301</v>
      </c>
      <c r="AJ1723">
        <v>0.63319291357997498</v>
      </c>
      <c r="AK1723">
        <v>32.26</v>
      </c>
      <c r="AL1723">
        <v>-0.71851901364941595</v>
      </c>
      <c r="AM1723">
        <v>0</v>
      </c>
      <c r="AO1723" t="b">
        <v>0</v>
      </c>
      <c r="AT1723">
        <v>3395</v>
      </c>
      <c r="AU1723">
        <f t="shared" si="80"/>
        <v>9.3010000000000002</v>
      </c>
    </row>
    <row r="1724" spans="1:47" x14ac:dyDescent="0.3">
      <c r="A1724">
        <v>1722</v>
      </c>
      <c r="B1724" t="s">
        <v>7318</v>
      </c>
      <c r="C1724" t="s">
        <v>7319</v>
      </c>
      <c r="D1724">
        <v>338</v>
      </c>
      <c r="E1724" t="s">
        <v>7315</v>
      </c>
      <c r="F1724" t="str">
        <f>VLOOKUP(E1724,country_continent!A:C,2,FALSE)</f>
        <v>Malta</v>
      </c>
      <c r="G1724" t="str">
        <f>VLOOKUP(E1724,country_continent!A:C,3,FALSE)</f>
        <v>Europe</v>
      </c>
      <c r="H1724" t="s">
        <v>7320</v>
      </c>
      <c r="I1724" s="1">
        <v>26105</v>
      </c>
      <c r="J1724" s="3">
        <f t="shared" si="78"/>
        <v>26105</v>
      </c>
      <c r="K1724" s="1">
        <v>31038</v>
      </c>
      <c r="L1724" s="3">
        <f t="shared" si="79"/>
        <v>31038</v>
      </c>
      <c r="M1724" t="s">
        <v>49</v>
      </c>
      <c r="N1724" t="s">
        <v>49</v>
      </c>
      <c r="O1724" t="s">
        <v>49</v>
      </c>
      <c r="P1724">
        <v>0</v>
      </c>
      <c r="Q1724" t="s">
        <v>50</v>
      </c>
      <c r="R1724" t="s">
        <v>51</v>
      </c>
      <c r="S1724">
        <v>1916</v>
      </c>
      <c r="T1724">
        <v>-777</v>
      </c>
      <c r="U1724" s="1">
        <v>6063</v>
      </c>
      <c r="V1724" s="2">
        <v>6063</v>
      </c>
      <c r="W1724" s="1">
        <v>41133</v>
      </c>
      <c r="X1724" s="2">
        <v>41133</v>
      </c>
      <c r="Y1724" t="s">
        <v>7321</v>
      </c>
      <c r="Z1724">
        <v>0</v>
      </c>
      <c r="AA1724">
        <v>1</v>
      </c>
      <c r="AB1724">
        <v>0</v>
      </c>
      <c r="AC1724">
        <v>0</v>
      </c>
      <c r="AF1724">
        <v>1971</v>
      </c>
      <c r="AG1724">
        <v>1984</v>
      </c>
      <c r="AH1724">
        <v>6.8905419548729796</v>
      </c>
      <c r="AI1724">
        <v>2890</v>
      </c>
      <c r="AJ1724">
        <v>4.3046292401559203</v>
      </c>
      <c r="AK1724">
        <v>19.55</v>
      </c>
      <c r="AL1724">
        <v>0.63079278000963701</v>
      </c>
      <c r="AM1724">
        <v>0</v>
      </c>
      <c r="AO1724" t="b">
        <v>0</v>
      </c>
      <c r="AT1724">
        <v>4933</v>
      </c>
      <c r="AU1724">
        <f t="shared" si="80"/>
        <v>13.515000000000001</v>
      </c>
    </row>
    <row r="1725" spans="1:47" x14ac:dyDescent="0.3">
      <c r="A1725">
        <v>1723</v>
      </c>
      <c r="B1725" t="s">
        <v>7322</v>
      </c>
      <c r="C1725" t="s">
        <v>7323</v>
      </c>
      <c r="D1725">
        <v>338</v>
      </c>
      <c r="E1725" t="s">
        <v>7315</v>
      </c>
      <c r="F1725" t="str">
        <f>VLOOKUP(E1725,country_continent!A:C,2,FALSE)</f>
        <v>Malta</v>
      </c>
      <c r="G1725" t="str">
        <f>VLOOKUP(E1725,country_continent!A:C,3,FALSE)</f>
        <v>Europe</v>
      </c>
      <c r="H1725" t="s">
        <v>7324</v>
      </c>
      <c r="I1725" s="1">
        <v>31038</v>
      </c>
      <c r="J1725" s="3">
        <f t="shared" si="78"/>
        <v>31038</v>
      </c>
      <c r="K1725" s="1">
        <v>31909</v>
      </c>
      <c r="L1725" s="3">
        <f t="shared" si="79"/>
        <v>31909</v>
      </c>
      <c r="M1725" t="s">
        <v>49</v>
      </c>
      <c r="N1725" t="s">
        <v>49</v>
      </c>
      <c r="O1725" t="s">
        <v>49</v>
      </c>
      <c r="P1725">
        <v>0</v>
      </c>
      <c r="Q1725" t="s">
        <v>50</v>
      </c>
      <c r="R1725" t="s">
        <v>51</v>
      </c>
      <c r="S1725">
        <v>1933</v>
      </c>
      <c r="T1725">
        <v>-777</v>
      </c>
      <c r="U1725" s="1">
        <v>12252</v>
      </c>
      <c r="V1725" s="2">
        <v>12252</v>
      </c>
      <c r="Z1725">
        <v>0</v>
      </c>
      <c r="AA1725">
        <v>1</v>
      </c>
      <c r="AB1725">
        <v>0</v>
      </c>
      <c r="AC1725">
        <v>0</v>
      </c>
      <c r="AF1725">
        <v>1984</v>
      </c>
      <c r="AG1725">
        <v>1987</v>
      </c>
      <c r="AH1725">
        <v>1.8200037467169301</v>
      </c>
      <c r="AI1725">
        <v>4112.5</v>
      </c>
      <c r="AJ1725">
        <v>1.75726045600286</v>
      </c>
      <c r="AK1725">
        <v>13.625</v>
      </c>
      <c r="AL1725">
        <v>1.03428185599079</v>
      </c>
      <c r="AM1725">
        <v>0</v>
      </c>
      <c r="AO1725" t="b">
        <v>0</v>
      </c>
      <c r="AT1725">
        <v>871</v>
      </c>
      <c r="AU1725">
        <f t="shared" si="80"/>
        <v>2.3860000000000001</v>
      </c>
    </row>
    <row r="1726" spans="1:47" x14ac:dyDescent="0.3">
      <c r="A1726">
        <v>1724</v>
      </c>
      <c r="B1726" t="s">
        <v>7325</v>
      </c>
      <c r="C1726" t="s">
        <v>7326</v>
      </c>
      <c r="D1726">
        <v>338</v>
      </c>
      <c r="E1726" t="s">
        <v>7315</v>
      </c>
      <c r="F1726" t="str">
        <f>VLOOKUP(E1726,country_continent!A:C,2,FALSE)</f>
        <v>Malta</v>
      </c>
      <c r="G1726" t="str">
        <f>VLOOKUP(E1726,country_continent!A:C,3,FALSE)</f>
        <v>Europe</v>
      </c>
      <c r="H1726" t="s">
        <v>7327</v>
      </c>
      <c r="I1726" s="1">
        <v>31909</v>
      </c>
      <c r="J1726" s="3">
        <f t="shared" si="78"/>
        <v>31909</v>
      </c>
      <c r="K1726" s="1">
        <v>35366</v>
      </c>
      <c r="L1726" s="3">
        <f t="shared" si="79"/>
        <v>35366</v>
      </c>
      <c r="M1726" t="s">
        <v>49</v>
      </c>
      <c r="N1726" t="s">
        <v>49</v>
      </c>
      <c r="O1726" t="s">
        <v>49</v>
      </c>
      <c r="P1726">
        <v>0</v>
      </c>
      <c r="Q1726" t="s">
        <v>50</v>
      </c>
      <c r="R1726" t="s">
        <v>51</v>
      </c>
      <c r="S1726">
        <v>1934</v>
      </c>
      <c r="T1726">
        <v>-777</v>
      </c>
      <c r="U1726" s="1">
        <v>12457</v>
      </c>
      <c r="V1726" s="2">
        <v>12457</v>
      </c>
      <c r="Y1726" t="s">
        <v>7328</v>
      </c>
      <c r="Z1726">
        <v>0</v>
      </c>
      <c r="AA1726">
        <v>1</v>
      </c>
      <c r="AB1726">
        <v>0</v>
      </c>
      <c r="AC1726">
        <v>0</v>
      </c>
      <c r="AF1726">
        <v>1987</v>
      </c>
      <c r="AG1726">
        <v>1996</v>
      </c>
      <c r="AH1726">
        <v>4.7171193462759602</v>
      </c>
      <c r="AI1726">
        <v>7880</v>
      </c>
      <c r="AJ1726">
        <v>3.3586001652502202</v>
      </c>
      <c r="AK1726">
        <v>10.82</v>
      </c>
      <c r="AL1726">
        <v>1.04756745805901</v>
      </c>
      <c r="AM1726">
        <v>0</v>
      </c>
      <c r="AO1726" t="b">
        <v>0</v>
      </c>
      <c r="AT1726">
        <v>3457</v>
      </c>
      <c r="AU1726">
        <f t="shared" si="80"/>
        <v>9.4710000000000001</v>
      </c>
    </row>
    <row r="1727" spans="1:47" x14ac:dyDescent="0.3">
      <c r="A1727">
        <v>1725</v>
      </c>
      <c r="B1727" t="s">
        <v>7329</v>
      </c>
      <c r="C1727" t="s">
        <v>7330</v>
      </c>
      <c r="D1727">
        <v>338</v>
      </c>
      <c r="E1727" t="s">
        <v>7315</v>
      </c>
      <c r="F1727" t="str">
        <f>VLOOKUP(E1727,country_continent!A:C,2,FALSE)</f>
        <v>Malta</v>
      </c>
      <c r="G1727" t="str">
        <f>VLOOKUP(E1727,country_continent!A:C,3,FALSE)</f>
        <v>Europe</v>
      </c>
      <c r="H1727" t="s">
        <v>7331</v>
      </c>
      <c r="I1727" s="1">
        <v>35366</v>
      </c>
      <c r="J1727" s="3">
        <f t="shared" si="78"/>
        <v>35366</v>
      </c>
      <c r="K1727" s="1">
        <v>36044</v>
      </c>
      <c r="L1727" s="3">
        <f t="shared" si="79"/>
        <v>36044</v>
      </c>
      <c r="M1727" t="s">
        <v>49</v>
      </c>
      <c r="N1727" t="s">
        <v>49</v>
      </c>
      <c r="O1727" t="s">
        <v>49</v>
      </c>
      <c r="P1727">
        <v>0</v>
      </c>
      <c r="Q1727" t="s">
        <v>50</v>
      </c>
      <c r="R1727" t="s">
        <v>51</v>
      </c>
      <c r="S1727">
        <v>1948</v>
      </c>
      <c r="T1727">
        <v>-777</v>
      </c>
      <c r="Z1727">
        <v>0</v>
      </c>
      <c r="AA1727">
        <v>1</v>
      </c>
      <c r="AB1727">
        <v>0</v>
      </c>
      <c r="AC1727">
        <v>0</v>
      </c>
      <c r="AF1727">
        <v>1996</v>
      </c>
      <c r="AG1727">
        <v>1998</v>
      </c>
      <c r="AH1727">
        <v>4.0020737142864196</v>
      </c>
      <c r="AI1727">
        <v>10260</v>
      </c>
      <c r="AJ1727">
        <v>1.18099717019154</v>
      </c>
      <c r="AK1727">
        <v>8.6</v>
      </c>
      <c r="AL1727">
        <v>0.68775116635620903</v>
      </c>
      <c r="AM1727">
        <v>0</v>
      </c>
      <c r="AO1727" t="b">
        <v>0</v>
      </c>
      <c r="AT1727">
        <v>678</v>
      </c>
      <c r="AU1727">
        <f t="shared" si="80"/>
        <v>1.8580000000000001</v>
      </c>
    </row>
    <row r="1728" spans="1:47" x14ac:dyDescent="0.3">
      <c r="A1728">
        <v>1726</v>
      </c>
      <c r="B1728" t="s">
        <v>7332</v>
      </c>
      <c r="C1728" t="s">
        <v>7326</v>
      </c>
      <c r="D1728">
        <v>338</v>
      </c>
      <c r="E1728" t="s">
        <v>7315</v>
      </c>
      <c r="F1728" t="str">
        <f>VLOOKUP(E1728,country_continent!A:C,2,FALSE)</f>
        <v>Malta</v>
      </c>
      <c r="G1728" t="str">
        <f>VLOOKUP(E1728,country_continent!A:C,3,FALSE)</f>
        <v>Europe</v>
      </c>
      <c r="H1728" t="s">
        <v>7327</v>
      </c>
      <c r="I1728" s="1">
        <v>36044</v>
      </c>
      <c r="J1728" s="3">
        <f t="shared" si="78"/>
        <v>36044</v>
      </c>
      <c r="K1728" s="1">
        <v>38069</v>
      </c>
      <c r="L1728" s="3">
        <f t="shared" si="79"/>
        <v>38069</v>
      </c>
      <c r="M1728" t="s">
        <v>49</v>
      </c>
      <c r="N1728" t="s">
        <v>49</v>
      </c>
      <c r="O1728" t="s">
        <v>49</v>
      </c>
      <c r="P1728">
        <v>1</v>
      </c>
      <c r="Q1728" t="s">
        <v>50</v>
      </c>
      <c r="R1728" t="s">
        <v>51</v>
      </c>
      <c r="S1728">
        <v>1934</v>
      </c>
      <c r="T1728">
        <v>-777</v>
      </c>
      <c r="U1728" s="1">
        <v>12457</v>
      </c>
      <c r="V1728" s="2">
        <v>12457</v>
      </c>
      <c r="Y1728" t="s">
        <v>7328</v>
      </c>
      <c r="Z1728">
        <v>0</v>
      </c>
      <c r="AA1728">
        <v>1</v>
      </c>
      <c r="AB1728">
        <v>0</v>
      </c>
      <c r="AC1728">
        <v>0</v>
      </c>
      <c r="AF1728">
        <v>1998</v>
      </c>
      <c r="AG1728">
        <v>2004</v>
      </c>
      <c r="AH1728">
        <v>4.3836107499330899</v>
      </c>
      <c r="AI1728">
        <v>11522.857142857099</v>
      </c>
      <c r="AJ1728">
        <v>0.511140140111355</v>
      </c>
      <c r="AK1728">
        <v>7.4857142857142804</v>
      </c>
      <c r="AL1728">
        <v>0.67343407029305102</v>
      </c>
      <c r="AM1728">
        <v>0</v>
      </c>
      <c r="AO1728" t="b">
        <v>0</v>
      </c>
      <c r="AT1728">
        <v>2025</v>
      </c>
      <c r="AU1728">
        <f t="shared" si="80"/>
        <v>5.548</v>
      </c>
    </row>
    <row r="1729" spans="1:47" x14ac:dyDescent="0.3">
      <c r="A1729">
        <v>1727</v>
      </c>
      <c r="B1729" t="s">
        <v>7333</v>
      </c>
      <c r="C1729" t="s">
        <v>7334</v>
      </c>
      <c r="D1729">
        <v>338</v>
      </c>
      <c r="E1729" t="s">
        <v>7315</v>
      </c>
      <c r="F1729" t="str">
        <f>VLOOKUP(E1729,country_continent!A:C,2,FALSE)</f>
        <v>Malta</v>
      </c>
      <c r="G1729" t="str">
        <f>VLOOKUP(E1729,country_continent!A:C,3,FALSE)</f>
        <v>Europe</v>
      </c>
      <c r="H1729" t="s">
        <v>7335</v>
      </c>
      <c r="I1729" s="1">
        <v>38069</v>
      </c>
      <c r="J1729" s="3">
        <f t="shared" si="78"/>
        <v>38069</v>
      </c>
      <c r="K1729" s="1">
        <v>41344</v>
      </c>
      <c r="L1729" s="3">
        <f t="shared" si="79"/>
        <v>41344</v>
      </c>
      <c r="M1729" t="s">
        <v>49</v>
      </c>
      <c r="N1729" t="s">
        <v>49</v>
      </c>
      <c r="O1729" t="s">
        <v>49</v>
      </c>
      <c r="P1729">
        <v>0</v>
      </c>
      <c r="Q1729" t="s">
        <v>50</v>
      </c>
      <c r="R1729" t="s">
        <v>51</v>
      </c>
      <c r="S1729">
        <v>1953</v>
      </c>
      <c r="T1729">
        <v>-777</v>
      </c>
      <c r="U1729" s="1">
        <v>19541</v>
      </c>
      <c r="V1729" s="2">
        <v>19541</v>
      </c>
      <c r="Z1729">
        <v>0</v>
      </c>
      <c r="AA1729">
        <v>1</v>
      </c>
      <c r="AB1729">
        <v>0</v>
      </c>
      <c r="AC1729">
        <v>0</v>
      </c>
      <c r="AF1729">
        <v>2004</v>
      </c>
      <c r="AG1729">
        <v>2013</v>
      </c>
      <c r="AH1729">
        <v>2.4701858556110401</v>
      </c>
      <c r="AI1729">
        <v>19344</v>
      </c>
      <c r="AJ1729">
        <v>2.3274227877649998</v>
      </c>
      <c r="AK1729">
        <v>6.87</v>
      </c>
      <c r="AL1729">
        <v>0.63728761434445802</v>
      </c>
      <c r="AM1729">
        <v>3.9412660442952E-3</v>
      </c>
      <c r="AO1729" t="b">
        <v>0</v>
      </c>
      <c r="AT1729">
        <v>3275</v>
      </c>
      <c r="AU1729">
        <f t="shared" si="80"/>
        <v>8.9730000000000008</v>
      </c>
    </row>
    <row r="1730" spans="1:47" x14ac:dyDescent="0.3">
      <c r="A1730">
        <v>1728</v>
      </c>
      <c r="B1730" t="s">
        <v>7336</v>
      </c>
      <c r="C1730" t="s">
        <v>7337</v>
      </c>
      <c r="D1730">
        <v>338</v>
      </c>
      <c r="E1730" t="s">
        <v>7315</v>
      </c>
      <c r="F1730" t="str">
        <f>VLOOKUP(E1730,country_continent!A:C,2,FALSE)</f>
        <v>Malta</v>
      </c>
      <c r="G1730" t="str">
        <f>VLOOKUP(E1730,country_continent!A:C,3,FALSE)</f>
        <v>Europe</v>
      </c>
      <c r="H1730" t="s">
        <v>7338</v>
      </c>
      <c r="I1730" s="1">
        <v>41344</v>
      </c>
      <c r="J1730" s="3">
        <f t="shared" si="78"/>
        <v>41344</v>
      </c>
      <c r="K1730" s="1">
        <v>42369</v>
      </c>
      <c r="L1730" s="3">
        <f t="shared" si="79"/>
        <v>42369</v>
      </c>
      <c r="M1730" t="s">
        <v>49</v>
      </c>
      <c r="N1730" t="s">
        <v>173</v>
      </c>
      <c r="O1730" t="s">
        <v>173</v>
      </c>
      <c r="P1730">
        <v>0</v>
      </c>
      <c r="Q1730" t="s">
        <v>174</v>
      </c>
      <c r="R1730" t="s">
        <v>51</v>
      </c>
      <c r="S1730">
        <v>1974</v>
      </c>
      <c r="T1730">
        <v>-777</v>
      </c>
      <c r="U1730" s="1">
        <v>27051</v>
      </c>
      <c r="V1730" s="2">
        <v>27051</v>
      </c>
      <c r="Z1730">
        <v>0</v>
      </c>
      <c r="AA1730">
        <v>-888</v>
      </c>
      <c r="AB1730">
        <v>-888</v>
      </c>
      <c r="AC1730">
        <v>-888</v>
      </c>
      <c r="AF1730">
        <v>2013</v>
      </c>
      <c r="AG1730">
        <v>2015</v>
      </c>
      <c r="AH1730">
        <v>5.8481292316071203</v>
      </c>
      <c r="AI1730">
        <v>24463.333333333299</v>
      </c>
      <c r="AJ1730">
        <v>2.9090004359412598</v>
      </c>
      <c r="AK1730">
        <v>6.6666666666666599</v>
      </c>
      <c r="AL1730">
        <v>1.86661864961352</v>
      </c>
      <c r="AM1730">
        <v>0</v>
      </c>
      <c r="AO1730" t="b">
        <v>0</v>
      </c>
      <c r="AT1730">
        <v>1025</v>
      </c>
      <c r="AU1730">
        <f t="shared" si="80"/>
        <v>2.8079999999999998</v>
      </c>
    </row>
    <row r="1731" spans="1:47" x14ac:dyDescent="0.3">
      <c r="A1731">
        <v>1729</v>
      </c>
      <c r="B1731" t="s">
        <v>7339</v>
      </c>
      <c r="C1731" t="s">
        <v>7340</v>
      </c>
      <c r="D1731">
        <v>339</v>
      </c>
      <c r="E1731" t="s">
        <v>7341</v>
      </c>
      <c r="F1731" t="str">
        <f>VLOOKUP(E1731,country_continent!A:C,2,FALSE)</f>
        <v>Albania</v>
      </c>
      <c r="G1731" t="str">
        <f>VLOOKUP(E1731,country_continent!A:C,3,FALSE)</f>
        <v>Europe</v>
      </c>
      <c r="H1731" t="s">
        <v>7342</v>
      </c>
      <c r="I1731" s="1">
        <v>4717</v>
      </c>
      <c r="J1731" s="3">
        <f t="shared" ref="J1731:J1794" si="81">IF(ISNUMBER(SEARCH("-", I1731)), SUBSTITUTE(I1731, "-", "/"), I1731)</f>
        <v>4717</v>
      </c>
      <c r="K1731" s="1">
        <v>5136</v>
      </c>
      <c r="L1731" s="3">
        <f t="shared" ref="L1731:L1794" si="82">IF(ISNUMBER(SEARCH("-", K1731)), SUBSTITUTE(K1731, "-", "/"), K1731)</f>
        <v>5136</v>
      </c>
      <c r="M1731" t="s">
        <v>67</v>
      </c>
      <c r="N1731" t="s">
        <v>67</v>
      </c>
      <c r="O1731" t="s">
        <v>347</v>
      </c>
      <c r="P1731">
        <v>0</v>
      </c>
      <c r="Q1731" t="s">
        <v>362</v>
      </c>
      <c r="R1731" t="s">
        <v>51</v>
      </c>
      <c r="S1731">
        <v>1844</v>
      </c>
      <c r="T1731">
        <v>1919</v>
      </c>
      <c r="Z1731">
        <v>1</v>
      </c>
      <c r="AA1731">
        <v>3</v>
      </c>
      <c r="AB1731">
        <v>-999</v>
      </c>
      <c r="AC1731">
        <v>1</v>
      </c>
      <c r="AF1731">
        <v>1912</v>
      </c>
      <c r="AG1731">
        <v>1914</v>
      </c>
      <c r="AO1731" t="b">
        <v>1</v>
      </c>
      <c r="AP1731" t="s">
        <v>4202</v>
      </c>
      <c r="AQ1731">
        <v>1944</v>
      </c>
      <c r="AR1731">
        <v>1963</v>
      </c>
      <c r="AS1731" t="s">
        <v>7343</v>
      </c>
      <c r="AT1731">
        <v>1.14715947980835</v>
      </c>
      <c r="AU1731">
        <f t="shared" si="80"/>
        <v>3.0000000000000001E-3</v>
      </c>
    </row>
    <row r="1732" spans="1:47" x14ac:dyDescent="0.3">
      <c r="A1732">
        <v>1730</v>
      </c>
      <c r="B1732" t="s">
        <v>7344</v>
      </c>
      <c r="C1732" t="s">
        <v>7345</v>
      </c>
      <c r="D1732">
        <v>339</v>
      </c>
      <c r="E1732" t="s">
        <v>7341</v>
      </c>
      <c r="F1732" t="str">
        <f>VLOOKUP(E1732,country_continent!A:C,2,FALSE)</f>
        <v>Albania</v>
      </c>
      <c r="G1732" t="str">
        <f>VLOOKUP(E1732,country_continent!A:C,3,FALSE)</f>
        <v>Europe</v>
      </c>
      <c r="H1732" t="s">
        <v>7346</v>
      </c>
      <c r="I1732" s="1">
        <v>5136</v>
      </c>
      <c r="J1732" s="3">
        <f t="shared" si="81"/>
        <v>5136</v>
      </c>
      <c r="K1732" s="1">
        <v>5166</v>
      </c>
      <c r="L1732" s="3">
        <f t="shared" si="82"/>
        <v>5166</v>
      </c>
      <c r="M1732" t="s">
        <v>347</v>
      </c>
      <c r="N1732" t="s">
        <v>347</v>
      </c>
      <c r="O1732" t="s">
        <v>347</v>
      </c>
      <c r="P1732">
        <v>0</v>
      </c>
      <c r="Q1732" t="s">
        <v>1453</v>
      </c>
      <c r="R1732" t="s">
        <v>51</v>
      </c>
      <c r="S1732">
        <v>1876</v>
      </c>
      <c r="T1732">
        <v>1945</v>
      </c>
      <c r="Z1732">
        <v>-666</v>
      </c>
      <c r="AA1732">
        <v>-666</v>
      </c>
      <c r="AB1732">
        <v>-999</v>
      </c>
      <c r="AC1732">
        <v>-666</v>
      </c>
      <c r="AF1732">
        <v>1914</v>
      </c>
      <c r="AG1732">
        <v>1914</v>
      </c>
      <c r="AO1732" t="b">
        <v>1</v>
      </c>
      <c r="AP1732" t="s">
        <v>4202</v>
      </c>
      <c r="AQ1732">
        <v>1944</v>
      </c>
      <c r="AR1732">
        <v>1963</v>
      </c>
      <c r="AS1732" t="s">
        <v>7347</v>
      </c>
      <c r="AT1732">
        <v>8.2135523613962994E-2</v>
      </c>
      <c r="AU1732">
        <f t="shared" ref="AU1732:AU1795" si="83">ROUND(AT1732/365,3)</f>
        <v>0</v>
      </c>
    </row>
    <row r="1733" spans="1:47" x14ac:dyDescent="0.3">
      <c r="A1733">
        <v>1731</v>
      </c>
      <c r="B1733" t="s">
        <v>7348</v>
      </c>
      <c r="C1733" t="s">
        <v>7349</v>
      </c>
      <c r="D1733">
        <v>339</v>
      </c>
      <c r="E1733" t="s">
        <v>7341</v>
      </c>
      <c r="F1733" t="str">
        <f>VLOOKUP(E1733,country_continent!A:C,2,FALSE)</f>
        <v>Albania</v>
      </c>
      <c r="G1733" t="str">
        <f>VLOOKUP(E1733,country_continent!A:C,3,FALSE)</f>
        <v>Europe</v>
      </c>
      <c r="H1733" t="s">
        <v>7350</v>
      </c>
      <c r="I1733" s="1">
        <v>5166</v>
      </c>
      <c r="J1733" s="3">
        <f t="shared" si="81"/>
        <v>5166</v>
      </c>
      <c r="K1733" s="1">
        <v>5360</v>
      </c>
      <c r="L1733" s="3">
        <f t="shared" si="82"/>
        <v>5360</v>
      </c>
      <c r="M1733" t="s">
        <v>67</v>
      </c>
      <c r="N1733" t="s">
        <v>49</v>
      </c>
      <c r="O1733" t="s">
        <v>49</v>
      </c>
      <c r="P1733">
        <v>0</v>
      </c>
      <c r="Q1733" t="s">
        <v>362</v>
      </c>
      <c r="R1733" t="s">
        <v>51</v>
      </c>
      <c r="S1733">
        <v>1871</v>
      </c>
      <c r="T1733">
        <v>1945</v>
      </c>
      <c r="Z1733">
        <v>1</v>
      </c>
      <c r="AA1733">
        <v>1</v>
      </c>
      <c r="AB1733">
        <v>0</v>
      </c>
      <c r="AC1733">
        <v>1</v>
      </c>
      <c r="AF1733">
        <v>1914</v>
      </c>
      <c r="AG1733">
        <v>1914</v>
      </c>
      <c r="AO1733" t="b">
        <v>1</v>
      </c>
      <c r="AP1733" t="s">
        <v>4202</v>
      </c>
      <c r="AQ1733">
        <v>1944</v>
      </c>
      <c r="AR1733">
        <v>1963</v>
      </c>
      <c r="AS1733" t="s">
        <v>7351</v>
      </c>
      <c r="AT1733">
        <v>0.53114305270362705</v>
      </c>
      <c r="AU1733">
        <f t="shared" si="83"/>
        <v>1E-3</v>
      </c>
    </row>
    <row r="1734" spans="1:47" x14ac:dyDescent="0.3">
      <c r="A1734">
        <v>1732</v>
      </c>
      <c r="B1734" t="s">
        <v>7352</v>
      </c>
      <c r="C1734" t="s">
        <v>7353</v>
      </c>
      <c r="D1734">
        <v>339</v>
      </c>
      <c r="E1734" t="s">
        <v>7341</v>
      </c>
      <c r="F1734" t="str">
        <f>VLOOKUP(E1734,country_continent!A:C,2,FALSE)</f>
        <v>Albania</v>
      </c>
      <c r="G1734" t="str">
        <f>VLOOKUP(E1734,country_continent!A:C,3,FALSE)</f>
        <v>Europe</v>
      </c>
      <c r="H1734" t="s">
        <v>7354</v>
      </c>
      <c r="I1734" s="1">
        <v>5392</v>
      </c>
      <c r="J1734" s="3">
        <f t="shared" si="81"/>
        <v>5392</v>
      </c>
      <c r="K1734" s="1">
        <v>5899</v>
      </c>
      <c r="L1734" s="3">
        <f t="shared" si="82"/>
        <v>5899</v>
      </c>
      <c r="M1734" t="s">
        <v>67</v>
      </c>
      <c r="N1734" t="s">
        <v>633</v>
      </c>
      <c r="O1734" t="s">
        <v>347</v>
      </c>
      <c r="P1734">
        <v>0</v>
      </c>
      <c r="Q1734" t="s">
        <v>362</v>
      </c>
      <c r="R1734" t="s">
        <v>51</v>
      </c>
      <c r="S1734">
        <v>1863</v>
      </c>
      <c r="T1734">
        <v>1920</v>
      </c>
      <c r="Z1734">
        <v>1</v>
      </c>
      <c r="AA1734">
        <v>4</v>
      </c>
      <c r="AB1734">
        <v>-999</v>
      </c>
      <c r="AC1734">
        <v>1</v>
      </c>
      <c r="AF1734">
        <v>1914</v>
      </c>
      <c r="AG1734">
        <v>1916</v>
      </c>
      <c r="AO1734" t="b">
        <v>1</v>
      </c>
      <c r="AP1734" t="s">
        <v>4202</v>
      </c>
      <c r="AQ1734">
        <v>1944</v>
      </c>
      <c r="AR1734">
        <v>1963</v>
      </c>
      <c r="AS1734" t="s">
        <v>7355</v>
      </c>
      <c r="AT1734">
        <v>1.38809034907597</v>
      </c>
      <c r="AU1734">
        <f t="shared" si="83"/>
        <v>4.0000000000000001E-3</v>
      </c>
    </row>
    <row r="1735" spans="1:47" x14ac:dyDescent="0.3">
      <c r="A1735">
        <v>1733</v>
      </c>
      <c r="B1735" t="s">
        <v>7356</v>
      </c>
      <c r="C1735" t="s">
        <v>7357</v>
      </c>
      <c r="D1735">
        <v>339</v>
      </c>
      <c r="E1735" t="s">
        <v>7341</v>
      </c>
      <c r="F1735" t="str">
        <f>VLOOKUP(E1735,country_continent!A:C,2,FALSE)</f>
        <v>Albania</v>
      </c>
      <c r="G1735" t="str">
        <f>VLOOKUP(E1735,country_continent!A:C,3,FALSE)</f>
        <v>Europe</v>
      </c>
      <c r="H1735" t="s">
        <v>7358</v>
      </c>
      <c r="I1735" s="1">
        <v>6937</v>
      </c>
      <c r="J1735" s="3">
        <f t="shared" si="81"/>
        <v>6937</v>
      </c>
      <c r="K1735" s="1">
        <v>7392</v>
      </c>
      <c r="L1735" s="3">
        <f t="shared" si="82"/>
        <v>7392</v>
      </c>
      <c r="M1735" t="s">
        <v>637</v>
      </c>
      <c r="N1735" t="s">
        <v>49</v>
      </c>
      <c r="O1735" t="s">
        <v>49</v>
      </c>
      <c r="P1735">
        <v>0</v>
      </c>
      <c r="Q1735" t="s">
        <v>362</v>
      </c>
      <c r="R1735" t="s">
        <v>51</v>
      </c>
      <c r="S1735">
        <v>1839</v>
      </c>
      <c r="T1735">
        <v>1927</v>
      </c>
      <c r="Z1735">
        <v>2</v>
      </c>
      <c r="AA1735">
        <v>1</v>
      </c>
      <c r="AB1735">
        <v>0</v>
      </c>
      <c r="AC1735">
        <v>1</v>
      </c>
      <c r="AF1735">
        <v>1918</v>
      </c>
      <c r="AG1735">
        <v>1920</v>
      </c>
      <c r="AO1735" t="b">
        <v>1</v>
      </c>
      <c r="AP1735" t="s">
        <v>4202</v>
      </c>
      <c r="AQ1735">
        <v>1944</v>
      </c>
      <c r="AR1735">
        <v>1963</v>
      </c>
      <c r="AS1735" t="s">
        <v>7263</v>
      </c>
      <c r="AT1735">
        <v>1.2457221081451</v>
      </c>
      <c r="AU1735">
        <f t="shared" si="83"/>
        <v>3.0000000000000001E-3</v>
      </c>
    </row>
    <row r="1736" spans="1:47" x14ac:dyDescent="0.3">
      <c r="A1736">
        <v>1734</v>
      </c>
      <c r="B1736" t="s">
        <v>7359</v>
      </c>
      <c r="C1736" t="s">
        <v>7360</v>
      </c>
      <c r="D1736">
        <v>339</v>
      </c>
      <c r="E1736" t="s">
        <v>7341</v>
      </c>
      <c r="F1736" t="str">
        <f>VLOOKUP(E1736,country_continent!A:C,2,FALSE)</f>
        <v>Albania</v>
      </c>
      <c r="G1736" t="str">
        <f>VLOOKUP(E1736,country_continent!A:C,3,FALSE)</f>
        <v>Europe</v>
      </c>
      <c r="H1736" t="s">
        <v>7361</v>
      </c>
      <c r="I1736" s="1">
        <v>7392</v>
      </c>
      <c r="J1736" s="3">
        <f t="shared" si="81"/>
        <v>7392</v>
      </c>
      <c r="K1736" s="1">
        <v>7630</v>
      </c>
      <c r="L1736" s="3">
        <f t="shared" si="82"/>
        <v>7630</v>
      </c>
      <c r="M1736" t="s">
        <v>49</v>
      </c>
      <c r="N1736" t="s">
        <v>49</v>
      </c>
      <c r="O1736" t="s">
        <v>49</v>
      </c>
      <c r="P1736">
        <v>0</v>
      </c>
      <c r="Q1736" t="s">
        <v>50</v>
      </c>
      <c r="R1736" t="s">
        <v>51</v>
      </c>
      <c r="S1736">
        <v>1882</v>
      </c>
      <c r="T1736">
        <v>1932</v>
      </c>
      <c r="Z1736">
        <v>0</v>
      </c>
      <c r="AA1736">
        <v>1</v>
      </c>
      <c r="AB1736">
        <v>0</v>
      </c>
      <c r="AC1736">
        <v>0</v>
      </c>
      <c r="AF1736">
        <v>1920</v>
      </c>
      <c r="AG1736">
        <v>1920</v>
      </c>
      <c r="AO1736" t="b">
        <v>1</v>
      </c>
      <c r="AP1736" t="s">
        <v>4202</v>
      </c>
      <c r="AQ1736">
        <v>1944</v>
      </c>
      <c r="AR1736">
        <v>1963</v>
      </c>
      <c r="AS1736" t="s">
        <v>7362</v>
      </c>
      <c r="AT1736">
        <v>0.65160848733744003</v>
      </c>
      <c r="AU1736">
        <f t="shared" si="83"/>
        <v>2E-3</v>
      </c>
    </row>
    <row r="1737" spans="1:47" x14ac:dyDescent="0.3">
      <c r="A1737">
        <v>1735</v>
      </c>
      <c r="B1737" t="s">
        <v>7363</v>
      </c>
      <c r="C1737" t="s">
        <v>7364</v>
      </c>
      <c r="D1737">
        <v>339</v>
      </c>
      <c r="E1737" t="s">
        <v>7341</v>
      </c>
      <c r="F1737" t="str">
        <f>VLOOKUP(E1737,country_continent!A:C,2,FALSE)</f>
        <v>Albania</v>
      </c>
      <c r="G1737" t="str">
        <f>VLOOKUP(E1737,country_continent!A:C,3,FALSE)</f>
        <v>Europe</v>
      </c>
      <c r="H1737" t="s">
        <v>7365</v>
      </c>
      <c r="I1737" s="1">
        <v>7651</v>
      </c>
      <c r="J1737" s="3">
        <f t="shared" si="81"/>
        <v>7651</v>
      </c>
      <c r="K1737" s="1">
        <v>7961</v>
      </c>
      <c r="L1737" s="3">
        <f t="shared" si="82"/>
        <v>7961</v>
      </c>
      <c r="M1737" t="s">
        <v>49</v>
      </c>
      <c r="N1737" t="s">
        <v>49</v>
      </c>
      <c r="O1737" t="s">
        <v>49</v>
      </c>
      <c r="P1737">
        <v>0</v>
      </c>
      <c r="Q1737" t="s">
        <v>50</v>
      </c>
      <c r="R1737" t="s">
        <v>51</v>
      </c>
      <c r="S1737">
        <v>1883</v>
      </c>
      <c r="T1737">
        <v>1932</v>
      </c>
      <c r="Z1737">
        <v>0</v>
      </c>
      <c r="AA1737">
        <v>1</v>
      </c>
      <c r="AB1737">
        <v>0</v>
      </c>
      <c r="AC1737">
        <v>0</v>
      </c>
      <c r="AF1737">
        <v>1920</v>
      </c>
      <c r="AG1737">
        <v>1921</v>
      </c>
      <c r="AO1737" t="b">
        <v>1</v>
      </c>
      <c r="AP1737" t="s">
        <v>4202</v>
      </c>
      <c r="AQ1737">
        <v>1944</v>
      </c>
      <c r="AR1737">
        <v>1963</v>
      </c>
      <c r="AS1737" t="s">
        <v>7366</v>
      </c>
      <c r="AT1737">
        <v>0.84873374401095103</v>
      </c>
      <c r="AU1737">
        <f t="shared" si="83"/>
        <v>2E-3</v>
      </c>
    </row>
    <row r="1738" spans="1:47" x14ac:dyDescent="0.3">
      <c r="A1738">
        <v>1736</v>
      </c>
      <c r="B1738" t="s">
        <v>7367</v>
      </c>
      <c r="C1738" t="s">
        <v>7368</v>
      </c>
      <c r="D1738">
        <v>339</v>
      </c>
      <c r="E1738" t="s">
        <v>7341</v>
      </c>
      <c r="F1738" t="str">
        <f>VLOOKUP(E1738,country_continent!A:C,2,FALSE)</f>
        <v>Albania</v>
      </c>
      <c r="G1738" t="str">
        <f>VLOOKUP(E1738,country_continent!A:C,3,FALSE)</f>
        <v>Europe</v>
      </c>
      <c r="H1738" t="s">
        <v>7369</v>
      </c>
      <c r="I1738" s="1">
        <v>7961</v>
      </c>
      <c r="J1738" s="3">
        <f t="shared" si="81"/>
        <v>7961</v>
      </c>
      <c r="K1738" s="1">
        <v>8012</v>
      </c>
      <c r="L1738" s="3">
        <f t="shared" si="82"/>
        <v>8012</v>
      </c>
      <c r="M1738" t="s">
        <v>49</v>
      </c>
      <c r="N1738" t="s">
        <v>49</v>
      </c>
      <c r="O1738" t="s">
        <v>49</v>
      </c>
      <c r="P1738">
        <v>0</v>
      </c>
      <c r="Q1738" t="s">
        <v>50</v>
      </c>
      <c r="R1738" t="s">
        <v>51</v>
      </c>
      <c r="S1738">
        <v>1859</v>
      </c>
      <c r="T1738">
        <v>1939</v>
      </c>
      <c r="Z1738">
        <v>0</v>
      </c>
      <c r="AA1738">
        <v>1</v>
      </c>
      <c r="AB1738">
        <v>0</v>
      </c>
      <c r="AC1738">
        <v>0</v>
      </c>
      <c r="AF1738">
        <v>1921</v>
      </c>
      <c r="AG1738">
        <v>1921</v>
      </c>
      <c r="AO1738" t="b">
        <v>1</v>
      </c>
      <c r="AP1738" t="s">
        <v>4202</v>
      </c>
      <c r="AQ1738">
        <v>1944</v>
      </c>
      <c r="AR1738">
        <v>1963</v>
      </c>
      <c r="AS1738" t="s">
        <v>7370</v>
      </c>
      <c r="AT1738">
        <v>0.13963039014373699</v>
      </c>
      <c r="AU1738">
        <f t="shared" si="83"/>
        <v>0</v>
      </c>
    </row>
    <row r="1739" spans="1:47" x14ac:dyDescent="0.3">
      <c r="A1739">
        <v>1737</v>
      </c>
      <c r="B1739" t="s">
        <v>7371</v>
      </c>
      <c r="C1739" t="s">
        <v>7372</v>
      </c>
      <c r="D1739">
        <v>339</v>
      </c>
      <c r="E1739" t="s">
        <v>7341</v>
      </c>
      <c r="F1739" t="str">
        <f>VLOOKUP(E1739,country_continent!A:C,2,FALSE)</f>
        <v>Albania</v>
      </c>
      <c r="G1739" t="str">
        <f>VLOOKUP(E1739,country_continent!A:C,3,FALSE)</f>
        <v>Europe</v>
      </c>
      <c r="H1739" t="s">
        <v>7373</v>
      </c>
      <c r="I1739" s="1">
        <v>8012</v>
      </c>
      <c r="J1739" s="3">
        <f t="shared" si="81"/>
        <v>8012</v>
      </c>
      <c r="K1739" s="1">
        <v>8016</v>
      </c>
      <c r="L1739" s="3">
        <f t="shared" si="82"/>
        <v>8016</v>
      </c>
      <c r="M1739" t="s">
        <v>49</v>
      </c>
      <c r="N1739" t="s">
        <v>49</v>
      </c>
      <c r="O1739" t="s">
        <v>49</v>
      </c>
      <c r="P1739">
        <v>0</v>
      </c>
      <c r="Q1739" t="s">
        <v>50</v>
      </c>
      <c r="R1739" t="s">
        <v>51</v>
      </c>
      <c r="S1739">
        <v>1873</v>
      </c>
      <c r="T1739">
        <v>1933</v>
      </c>
      <c r="Z1739">
        <v>0</v>
      </c>
      <c r="AA1739">
        <v>1</v>
      </c>
      <c r="AB1739">
        <v>0</v>
      </c>
      <c r="AC1739">
        <v>0</v>
      </c>
      <c r="AF1739">
        <v>1921</v>
      </c>
      <c r="AG1739">
        <v>1921</v>
      </c>
      <c r="AO1739" t="b">
        <v>1</v>
      </c>
      <c r="AP1739" t="s">
        <v>4202</v>
      </c>
      <c r="AQ1739">
        <v>1944</v>
      </c>
      <c r="AR1739">
        <v>1963</v>
      </c>
      <c r="AS1739" t="s">
        <v>7374</v>
      </c>
      <c r="AT1739">
        <v>1.09514031485284E-2</v>
      </c>
      <c r="AU1739">
        <f t="shared" si="83"/>
        <v>0</v>
      </c>
    </row>
    <row r="1740" spans="1:47" x14ac:dyDescent="0.3">
      <c r="A1740">
        <v>1738</v>
      </c>
      <c r="B1740" t="s">
        <v>7375</v>
      </c>
      <c r="C1740" t="s">
        <v>7376</v>
      </c>
      <c r="D1740">
        <v>339</v>
      </c>
      <c r="E1740" t="s">
        <v>7341</v>
      </c>
      <c r="F1740" t="str">
        <f>VLOOKUP(E1740,country_continent!A:C,2,FALSE)</f>
        <v>Albania</v>
      </c>
      <c r="G1740" t="str">
        <f>VLOOKUP(E1740,country_continent!A:C,3,FALSE)</f>
        <v>Europe</v>
      </c>
      <c r="H1740" t="s">
        <v>7377</v>
      </c>
      <c r="I1740" s="1">
        <v>8016</v>
      </c>
      <c r="J1740" s="3">
        <f t="shared" si="81"/>
        <v>8016</v>
      </c>
      <c r="K1740" s="1">
        <v>8029</v>
      </c>
      <c r="L1740" s="3">
        <f t="shared" si="82"/>
        <v>8029</v>
      </c>
      <c r="M1740" t="s">
        <v>49</v>
      </c>
      <c r="N1740" t="s">
        <v>49</v>
      </c>
      <c r="O1740" t="s">
        <v>49</v>
      </c>
      <c r="P1740">
        <v>0</v>
      </c>
      <c r="Q1740" t="s">
        <v>1453</v>
      </c>
      <c r="R1740" t="s">
        <v>51</v>
      </c>
      <c r="S1740">
        <v>1873</v>
      </c>
      <c r="T1740">
        <v>1943</v>
      </c>
      <c r="Z1740">
        <v>0</v>
      </c>
      <c r="AA1740">
        <v>1</v>
      </c>
      <c r="AB1740">
        <v>0</v>
      </c>
      <c r="AC1740">
        <v>-666</v>
      </c>
      <c r="AF1740">
        <v>1921</v>
      </c>
      <c r="AG1740">
        <v>1921</v>
      </c>
      <c r="AO1740" t="b">
        <v>1</v>
      </c>
      <c r="AP1740" t="s">
        <v>4202</v>
      </c>
      <c r="AQ1740">
        <v>1944</v>
      </c>
      <c r="AR1740">
        <v>1963</v>
      </c>
      <c r="AS1740" t="s">
        <v>7167</v>
      </c>
      <c r="AT1740">
        <v>3.5592060232717299E-2</v>
      </c>
      <c r="AU1740">
        <f t="shared" si="83"/>
        <v>0</v>
      </c>
    </row>
    <row r="1741" spans="1:47" x14ac:dyDescent="0.3">
      <c r="A1741">
        <v>1739</v>
      </c>
      <c r="B1741" t="s">
        <v>7378</v>
      </c>
      <c r="C1741" t="s">
        <v>7379</v>
      </c>
      <c r="D1741">
        <v>339</v>
      </c>
      <c r="E1741" t="s">
        <v>7341</v>
      </c>
      <c r="F1741" t="str">
        <f>VLOOKUP(E1741,country_continent!A:C,2,FALSE)</f>
        <v>Albania</v>
      </c>
      <c r="G1741" t="str">
        <f>VLOOKUP(E1741,country_continent!A:C,3,FALSE)</f>
        <v>Europe</v>
      </c>
      <c r="H1741" t="s">
        <v>7380</v>
      </c>
      <c r="I1741" s="1">
        <v>8029</v>
      </c>
      <c r="J1741" s="3">
        <f t="shared" si="81"/>
        <v>8029</v>
      </c>
      <c r="K1741" s="1">
        <v>8372</v>
      </c>
      <c r="L1741" s="3">
        <f t="shared" si="82"/>
        <v>8372</v>
      </c>
      <c r="M1741" t="s">
        <v>49</v>
      </c>
      <c r="N1741" t="s">
        <v>49</v>
      </c>
      <c r="O1741" t="s">
        <v>49</v>
      </c>
      <c r="P1741">
        <v>0</v>
      </c>
      <c r="Q1741" t="s">
        <v>50</v>
      </c>
      <c r="R1741" t="s">
        <v>51</v>
      </c>
      <c r="S1741">
        <v>1880</v>
      </c>
      <c r="T1741">
        <v>1940</v>
      </c>
      <c r="Z1741">
        <v>0</v>
      </c>
      <c r="AA1741">
        <v>1</v>
      </c>
      <c r="AB1741">
        <v>0</v>
      </c>
      <c r="AC1741">
        <v>0</v>
      </c>
      <c r="AF1741">
        <v>1921</v>
      </c>
      <c r="AG1741">
        <v>1922</v>
      </c>
      <c r="AO1741" t="b">
        <v>1</v>
      </c>
      <c r="AP1741" t="s">
        <v>4202</v>
      </c>
      <c r="AQ1741">
        <v>1944</v>
      </c>
      <c r="AR1741">
        <v>1963</v>
      </c>
      <c r="AS1741" t="s">
        <v>7381</v>
      </c>
      <c r="AT1741">
        <v>0.93908281998631005</v>
      </c>
      <c r="AU1741">
        <f t="shared" si="83"/>
        <v>3.0000000000000001E-3</v>
      </c>
    </row>
    <row r="1742" spans="1:47" x14ac:dyDescent="0.3">
      <c r="A1742">
        <v>1740</v>
      </c>
      <c r="B1742" t="s">
        <v>7382</v>
      </c>
      <c r="C1742" t="s">
        <v>7383</v>
      </c>
      <c r="D1742">
        <v>339</v>
      </c>
      <c r="E1742" t="s">
        <v>7341</v>
      </c>
      <c r="F1742" t="str">
        <f>VLOOKUP(E1742,country_continent!A:C,2,FALSE)</f>
        <v>Albania</v>
      </c>
      <c r="G1742" t="str">
        <f>VLOOKUP(E1742,country_continent!A:C,3,FALSE)</f>
        <v>Europe</v>
      </c>
      <c r="H1742" t="s">
        <v>7384</v>
      </c>
      <c r="I1742" s="1">
        <v>8373</v>
      </c>
      <c r="J1742" s="3">
        <f t="shared" si="81"/>
        <v>8373</v>
      </c>
      <c r="K1742" s="1">
        <v>8829</v>
      </c>
      <c r="L1742" s="3">
        <f t="shared" si="82"/>
        <v>8829</v>
      </c>
      <c r="M1742" t="s">
        <v>49</v>
      </c>
      <c r="N1742" t="s">
        <v>49</v>
      </c>
      <c r="O1742" t="s">
        <v>49</v>
      </c>
      <c r="P1742">
        <v>0</v>
      </c>
      <c r="Q1742" t="s">
        <v>362</v>
      </c>
      <c r="R1742" t="s">
        <v>51</v>
      </c>
      <c r="S1742">
        <v>1895</v>
      </c>
      <c r="T1742">
        <v>1961</v>
      </c>
      <c r="Y1742" t="s">
        <v>7385</v>
      </c>
      <c r="Z1742">
        <v>0</v>
      </c>
      <c r="AA1742">
        <v>1</v>
      </c>
      <c r="AB1742">
        <v>0</v>
      </c>
      <c r="AC1742">
        <v>1</v>
      </c>
      <c r="AF1742">
        <v>1922</v>
      </c>
      <c r="AG1742">
        <v>1924</v>
      </c>
      <c r="AO1742" t="b">
        <v>1</v>
      </c>
      <c r="AP1742" t="s">
        <v>4202</v>
      </c>
      <c r="AQ1742">
        <v>1944</v>
      </c>
      <c r="AR1742">
        <v>1963</v>
      </c>
      <c r="AS1742" t="s">
        <v>7386</v>
      </c>
      <c r="AT1742">
        <v>1.2484599589322301</v>
      </c>
      <c r="AU1742">
        <f t="shared" si="83"/>
        <v>3.0000000000000001E-3</v>
      </c>
    </row>
    <row r="1743" spans="1:47" x14ac:dyDescent="0.3">
      <c r="A1743">
        <v>1741</v>
      </c>
      <c r="B1743" t="s">
        <v>7387</v>
      </c>
      <c r="C1743" t="s">
        <v>7388</v>
      </c>
      <c r="D1743">
        <v>339</v>
      </c>
      <c r="E1743" t="s">
        <v>7341</v>
      </c>
      <c r="F1743" t="str">
        <f>VLOOKUP(E1743,country_continent!A:C,2,FALSE)</f>
        <v>Albania</v>
      </c>
      <c r="G1743" t="str">
        <f>VLOOKUP(E1743,country_continent!A:C,3,FALSE)</f>
        <v>Europe</v>
      </c>
      <c r="H1743" t="s">
        <v>7389</v>
      </c>
      <c r="I1743" s="1">
        <v>8831</v>
      </c>
      <c r="J1743" s="3">
        <f t="shared" si="81"/>
        <v>8831</v>
      </c>
      <c r="K1743" s="1">
        <v>8919</v>
      </c>
      <c r="L1743" s="3">
        <f t="shared" si="82"/>
        <v>8919</v>
      </c>
      <c r="M1743" t="s">
        <v>49</v>
      </c>
      <c r="N1743" t="s">
        <v>49</v>
      </c>
      <c r="O1743" t="s">
        <v>49</v>
      </c>
      <c r="P1743">
        <v>0</v>
      </c>
      <c r="Q1743" t="s">
        <v>362</v>
      </c>
      <c r="R1743" t="s">
        <v>51</v>
      </c>
      <c r="S1743">
        <v>1877</v>
      </c>
      <c r="T1743">
        <v>1946</v>
      </c>
      <c r="Z1743">
        <v>0</v>
      </c>
      <c r="AA1743">
        <v>1</v>
      </c>
      <c r="AB1743">
        <v>0</v>
      </c>
      <c r="AC1743">
        <v>1</v>
      </c>
      <c r="AF1743">
        <v>1924</v>
      </c>
      <c r="AG1743">
        <v>1924</v>
      </c>
      <c r="AO1743" t="b">
        <v>1</v>
      </c>
      <c r="AP1743" t="s">
        <v>4202</v>
      </c>
      <c r="AQ1743">
        <v>1944</v>
      </c>
      <c r="AR1743">
        <v>1963</v>
      </c>
      <c r="AS1743" t="s">
        <v>7390</v>
      </c>
      <c r="AT1743">
        <v>0.240930869267624</v>
      </c>
      <c r="AU1743">
        <f t="shared" si="83"/>
        <v>1E-3</v>
      </c>
    </row>
    <row r="1744" spans="1:47" x14ac:dyDescent="0.3">
      <c r="A1744">
        <v>1742</v>
      </c>
      <c r="B1744" t="s">
        <v>7391</v>
      </c>
      <c r="C1744" t="s">
        <v>7364</v>
      </c>
      <c r="D1744">
        <v>339</v>
      </c>
      <c r="E1744" t="s">
        <v>7341</v>
      </c>
      <c r="F1744" t="str">
        <f>VLOOKUP(E1744,country_continent!A:C,2,FALSE)</f>
        <v>Albania</v>
      </c>
      <c r="G1744" t="str">
        <f>VLOOKUP(E1744,country_continent!A:C,3,FALSE)</f>
        <v>Europe</v>
      </c>
      <c r="H1744" t="s">
        <v>7365</v>
      </c>
      <c r="I1744" s="1">
        <v>8919</v>
      </c>
      <c r="J1744" s="3">
        <f t="shared" si="81"/>
        <v>8919</v>
      </c>
      <c r="K1744" s="1">
        <v>8928</v>
      </c>
      <c r="L1744" s="3">
        <f t="shared" si="82"/>
        <v>8928</v>
      </c>
      <c r="M1744" t="s">
        <v>49</v>
      </c>
      <c r="N1744" t="s">
        <v>67</v>
      </c>
      <c r="O1744" t="s">
        <v>433</v>
      </c>
      <c r="P1744">
        <v>1</v>
      </c>
      <c r="Q1744" t="s">
        <v>50</v>
      </c>
      <c r="R1744" t="s">
        <v>51</v>
      </c>
      <c r="S1744">
        <v>1883</v>
      </c>
      <c r="T1744">
        <v>1932</v>
      </c>
      <c r="Z1744">
        <v>0</v>
      </c>
      <c r="AA1744">
        <v>3</v>
      </c>
      <c r="AB1744">
        <v>4</v>
      </c>
      <c r="AC1744">
        <v>0</v>
      </c>
      <c r="AF1744">
        <v>1924</v>
      </c>
      <c r="AG1744">
        <v>1924</v>
      </c>
      <c r="AO1744" t="b">
        <v>1</v>
      </c>
      <c r="AP1744" t="s">
        <v>4202</v>
      </c>
      <c r="AQ1744">
        <v>1944</v>
      </c>
      <c r="AR1744">
        <v>1963</v>
      </c>
      <c r="AS1744" t="s">
        <v>7392</v>
      </c>
      <c r="AT1744">
        <v>2.4640657084188899E-2</v>
      </c>
      <c r="AU1744">
        <f t="shared" si="83"/>
        <v>0</v>
      </c>
    </row>
    <row r="1745" spans="1:47" x14ac:dyDescent="0.3">
      <c r="A1745">
        <v>1743</v>
      </c>
      <c r="B1745" t="s">
        <v>7393</v>
      </c>
      <c r="C1745" t="s">
        <v>7394</v>
      </c>
      <c r="D1745">
        <v>339</v>
      </c>
      <c r="E1745" t="s">
        <v>7341</v>
      </c>
      <c r="F1745" t="str">
        <f>VLOOKUP(E1745,country_continent!A:C,2,FALSE)</f>
        <v>Albania</v>
      </c>
      <c r="G1745" t="str">
        <f>VLOOKUP(E1745,country_continent!A:C,3,FALSE)</f>
        <v>Europe</v>
      </c>
      <c r="H1745" t="s">
        <v>7395</v>
      </c>
      <c r="I1745" s="1">
        <v>8930</v>
      </c>
      <c r="J1745" s="3">
        <f t="shared" si="81"/>
        <v>8930</v>
      </c>
      <c r="K1745" s="1">
        <v>9125</v>
      </c>
      <c r="L1745" s="3">
        <f t="shared" si="82"/>
        <v>9125</v>
      </c>
      <c r="M1745" t="s">
        <v>67</v>
      </c>
      <c r="N1745" t="s">
        <v>67</v>
      </c>
      <c r="O1745" t="s">
        <v>433</v>
      </c>
      <c r="P1745">
        <v>0</v>
      </c>
      <c r="Q1745" t="s">
        <v>362</v>
      </c>
      <c r="R1745" t="s">
        <v>51</v>
      </c>
      <c r="S1745">
        <v>1882</v>
      </c>
      <c r="T1745">
        <v>1965</v>
      </c>
      <c r="Y1745" t="s">
        <v>7396</v>
      </c>
      <c r="Z1745">
        <v>1</v>
      </c>
      <c r="AA1745">
        <v>3</v>
      </c>
      <c r="AB1745">
        <v>4</v>
      </c>
      <c r="AC1745">
        <v>1</v>
      </c>
      <c r="AF1745">
        <v>1924</v>
      </c>
      <c r="AG1745">
        <v>1924</v>
      </c>
      <c r="AO1745" t="b">
        <v>1</v>
      </c>
      <c r="AP1745" t="s">
        <v>4202</v>
      </c>
      <c r="AQ1745">
        <v>1944</v>
      </c>
      <c r="AR1745">
        <v>1963</v>
      </c>
      <c r="AS1745" t="s">
        <v>7397</v>
      </c>
      <c r="AT1745">
        <v>0.53388090349075901</v>
      </c>
      <c r="AU1745">
        <f t="shared" si="83"/>
        <v>1E-3</v>
      </c>
    </row>
    <row r="1746" spans="1:47" x14ac:dyDescent="0.3">
      <c r="A1746">
        <v>1744</v>
      </c>
      <c r="B1746" t="s">
        <v>7398</v>
      </c>
      <c r="C1746" t="s">
        <v>7364</v>
      </c>
      <c r="D1746">
        <v>339</v>
      </c>
      <c r="E1746" t="s">
        <v>7341</v>
      </c>
      <c r="F1746" t="str">
        <f>VLOOKUP(E1746,country_continent!A:C,2,FALSE)</f>
        <v>Albania</v>
      </c>
      <c r="G1746" t="str">
        <f>VLOOKUP(E1746,country_continent!A:C,3,FALSE)</f>
        <v>Europe</v>
      </c>
      <c r="H1746" t="s">
        <v>7365</v>
      </c>
      <c r="I1746" s="1">
        <v>9125</v>
      </c>
      <c r="J1746" s="3">
        <f t="shared" si="81"/>
        <v>9125</v>
      </c>
      <c r="K1746" s="1">
        <v>9142</v>
      </c>
      <c r="L1746" s="3">
        <f t="shared" si="82"/>
        <v>9142</v>
      </c>
      <c r="M1746" t="s">
        <v>67</v>
      </c>
      <c r="N1746" t="s">
        <v>67</v>
      </c>
      <c r="O1746" t="s">
        <v>2001</v>
      </c>
      <c r="P1746">
        <v>2</v>
      </c>
      <c r="Q1746" t="s">
        <v>50</v>
      </c>
      <c r="R1746" t="s">
        <v>51</v>
      </c>
      <c r="S1746">
        <v>1883</v>
      </c>
      <c r="T1746">
        <v>1932</v>
      </c>
      <c r="Z1746">
        <v>1</v>
      </c>
      <c r="AA1746">
        <v>3</v>
      </c>
      <c r="AB1746">
        <v>8</v>
      </c>
      <c r="AC1746">
        <v>0</v>
      </c>
      <c r="AF1746">
        <v>1924</v>
      </c>
      <c r="AG1746">
        <v>1925</v>
      </c>
      <c r="AO1746" t="b">
        <v>1</v>
      </c>
      <c r="AP1746" t="s">
        <v>4202</v>
      </c>
      <c r="AQ1746">
        <v>1944</v>
      </c>
      <c r="AR1746">
        <v>1963</v>
      </c>
      <c r="AS1746" t="s">
        <v>7399</v>
      </c>
      <c r="AT1746">
        <v>4.6543463381245702E-2</v>
      </c>
      <c r="AU1746">
        <f t="shared" si="83"/>
        <v>0</v>
      </c>
    </row>
    <row r="1747" spans="1:47" x14ac:dyDescent="0.3">
      <c r="A1747">
        <v>1745</v>
      </c>
      <c r="B1747" t="s">
        <v>7400</v>
      </c>
      <c r="C1747" t="s">
        <v>7383</v>
      </c>
      <c r="D1747">
        <v>339</v>
      </c>
      <c r="E1747" t="s">
        <v>7341</v>
      </c>
      <c r="F1747" t="str">
        <f>VLOOKUP(E1747,country_continent!A:C,2,FALSE)</f>
        <v>Albania</v>
      </c>
      <c r="G1747" t="str">
        <f>VLOOKUP(E1747,country_continent!A:C,3,FALSE)</f>
        <v>Europe</v>
      </c>
      <c r="H1747" t="s">
        <v>7384</v>
      </c>
      <c r="I1747" s="1">
        <v>9142</v>
      </c>
      <c r="J1747" s="3">
        <f t="shared" si="81"/>
        <v>9142</v>
      </c>
      <c r="K1747" s="1">
        <v>14347</v>
      </c>
      <c r="L1747" s="3">
        <f t="shared" si="82"/>
        <v>14347</v>
      </c>
      <c r="M1747" t="s">
        <v>67</v>
      </c>
      <c r="N1747" t="s">
        <v>633</v>
      </c>
      <c r="O1747" t="s">
        <v>634</v>
      </c>
      <c r="P1747">
        <v>1</v>
      </c>
      <c r="Q1747" t="s">
        <v>362</v>
      </c>
      <c r="R1747" t="s">
        <v>51</v>
      </c>
      <c r="S1747">
        <v>1895</v>
      </c>
      <c r="T1747">
        <v>1961</v>
      </c>
      <c r="Y1747" t="s">
        <v>7385</v>
      </c>
      <c r="Z1747">
        <v>1</v>
      </c>
      <c r="AA1747">
        <v>4</v>
      </c>
      <c r="AB1747">
        <v>9</v>
      </c>
      <c r="AC1747">
        <v>1</v>
      </c>
      <c r="AF1747">
        <v>1925</v>
      </c>
      <c r="AG1747">
        <v>1939</v>
      </c>
      <c r="AO1747" t="b">
        <v>1</v>
      </c>
      <c r="AP1747" t="s">
        <v>4202</v>
      </c>
      <c r="AQ1747">
        <v>1944</v>
      </c>
      <c r="AR1747">
        <v>1963</v>
      </c>
      <c r="AS1747" t="s">
        <v>7401</v>
      </c>
      <c r="AT1747">
        <v>14.250513347022499</v>
      </c>
      <c r="AU1747">
        <f t="shared" si="83"/>
        <v>3.9E-2</v>
      </c>
    </row>
    <row r="1748" spans="1:47" x14ac:dyDescent="0.3">
      <c r="A1748">
        <v>1746</v>
      </c>
      <c r="B1748" t="s">
        <v>7402</v>
      </c>
      <c r="C1748" t="s">
        <v>7403</v>
      </c>
      <c r="D1748">
        <v>339</v>
      </c>
      <c r="E1748" t="s">
        <v>7341</v>
      </c>
      <c r="F1748" t="str">
        <f>VLOOKUP(E1748,country_continent!A:C,2,FALSE)</f>
        <v>Albania</v>
      </c>
      <c r="G1748" t="str">
        <f>VLOOKUP(E1748,country_continent!A:C,3,FALSE)</f>
        <v>Europe</v>
      </c>
      <c r="H1748" t="s">
        <v>7404</v>
      </c>
      <c r="I1748" s="1">
        <v>16405</v>
      </c>
      <c r="J1748" s="3">
        <f t="shared" si="81"/>
        <v>16405</v>
      </c>
      <c r="K1748" s="1">
        <v>31148</v>
      </c>
      <c r="L1748" s="3">
        <f t="shared" si="82"/>
        <v>31148</v>
      </c>
      <c r="M1748" t="s">
        <v>67</v>
      </c>
      <c r="N1748" t="s">
        <v>110</v>
      </c>
      <c r="O1748" t="s">
        <v>49</v>
      </c>
      <c r="P1748">
        <v>0</v>
      </c>
      <c r="Q1748" t="s">
        <v>111</v>
      </c>
      <c r="R1748" t="s">
        <v>51</v>
      </c>
      <c r="S1748">
        <v>1908</v>
      </c>
      <c r="T1748">
        <v>1985</v>
      </c>
      <c r="U1748" s="1">
        <v>3212</v>
      </c>
      <c r="V1748" s="2">
        <v>3212</v>
      </c>
      <c r="W1748" s="1">
        <v>31148</v>
      </c>
      <c r="X1748" s="2">
        <v>31148</v>
      </c>
      <c r="Y1748" t="s">
        <v>7405</v>
      </c>
      <c r="Z1748">
        <v>1</v>
      </c>
      <c r="AA1748">
        <v>2</v>
      </c>
      <c r="AB1748">
        <v>0</v>
      </c>
      <c r="AC1748">
        <v>-777</v>
      </c>
      <c r="AF1748">
        <v>1944</v>
      </c>
      <c r="AG1748">
        <v>1985</v>
      </c>
      <c r="AH1748">
        <v>-3.4081220920617702E-2</v>
      </c>
      <c r="AI1748">
        <v>635</v>
      </c>
      <c r="AJ1748">
        <v>-0.37023683344896702</v>
      </c>
      <c r="AK1748">
        <v>73.400000000000006</v>
      </c>
      <c r="AL1748">
        <v>2.4452327997483398</v>
      </c>
      <c r="AM1748">
        <v>8.7877709033755202</v>
      </c>
      <c r="AN1748">
        <v>-9</v>
      </c>
      <c r="AO1748" t="b">
        <v>1</v>
      </c>
      <c r="AP1748" t="s">
        <v>4202</v>
      </c>
      <c r="AQ1748">
        <v>1944</v>
      </c>
      <c r="AR1748">
        <v>1963</v>
      </c>
      <c r="AS1748" t="s">
        <v>7406</v>
      </c>
      <c r="AT1748">
        <v>40.3641341546885</v>
      </c>
      <c r="AU1748">
        <f t="shared" si="83"/>
        <v>0.111</v>
      </c>
    </row>
    <row r="1749" spans="1:47" x14ac:dyDescent="0.3">
      <c r="A1749">
        <v>1747</v>
      </c>
      <c r="B1749" t="s">
        <v>7407</v>
      </c>
      <c r="C1749" t="s">
        <v>7408</v>
      </c>
      <c r="D1749">
        <v>339</v>
      </c>
      <c r="E1749" t="s">
        <v>7341</v>
      </c>
      <c r="F1749" t="str">
        <f>VLOOKUP(E1749,country_continent!A:C,2,FALSE)</f>
        <v>Albania</v>
      </c>
      <c r="G1749" t="str">
        <f>VLOOKUP(E1749,country_continent!A:C,3,FALSE)</f>
        <v>Europe</v>
      </c>
      <c r="H1749" t="s">
        <v>7409</v>
      </c>
      <c r="I1749" s="1">
        <v>31150</v>
      </c>
      <c r="J1749" s="3">
        <f t="shared" si="81"/>
        <v>31150</v>
      </c>
      <c r="K1749" s="1">
        <v>33697</v>
      </c>
      <c r="L1749" s="3">
        <f t="shared" si="82"/>
        <v>33697</v>
      </c>
      <c r="M1749" t="s">
        <v>49</v>
      </c>
      <c r="N1749" t="s">
        <v>49</v>
      </c>
      <c r="O1749" t="s">
        <v>49</v>
      </c>
      <c r="P1749">
        <v>0</v>
      </c>
      <c r="Q1749" t="s">
        <v>463</v>
      </c>
      <c r="R1749" t="s">
        <v>51</v>
      </c>
      <c r="S1749">
        <v>1925</v>
      </c>
      <c r="T1749">
        <v>-777</v>
      </c>
      <c r="U1749" s="1">
        <v>9423</v>
      </c>
      <c r="V1749" s="2">
        <v>9423</v>
      </c>
      <c r="Y1749" t="s">
        <v>7410</v>
      </c>
      <c r="Z1749">
        <v>0</v>
      </c>
      <c r="AA1749">
        <v>1</v>
      </c>
      <c r="AB1749">
        <v>0</v>
      </c>
      <c r="AC1749">
        <v>2</v>
      </c>
      <c r="AF1749">
        <v>1985</v>
      </c>
      <c r="AG1749">
        <v>1992</v>
      </c>
      <c r="AH1749">
        <v>-5.1427023217418304</v>
      </c>
      <c r="AI1749">
        <v>612.5</v>
      </c>
      <c r="AJ1749">
        <v>33.250531674467901</v>
      </c>
      <c r="AK1749">
        <v>44.887500000000003</v>
      </c>
      <c r="AL1749">
        <v>1.3938336351381899</v>
      </c>
      <c r="AM1749">
        <v>8.2523289019250008</v>
      </c>
      <c r="AN1749">
        <v>-4.5</v>
      </c>
      <c r="AO1749" t="b">
        <v>1</v>
      </c>
      <c r="AP1749" t="s">
        <v>4202</v>
      </c>
      <c r="AQ1749">
        <v>1944</v>
      </c>
      <c r="AR1749">
        <v>1963</v>
      </c>
      <c r="AS1749" t="s">
        <v>7411</v>
      </c>
      <c r="AT1749">
        <v>6.9733059548254603</v>
      </c>
      <c r="AU1749">
        <f t="shared" si="83"/>
        <v>1.9E-2</v>
      </c>
    </row>
    <row r="1750" spans="1:47" x14ac:dyDescent="0.3">
      <c r="A1750">
        <v>1748</v>
      </c>
      <c r="B1750" t="s">
        <v>7412</v>
      </c>
      <c r="C1750" t="s">
        <v>7413</v>
      </c>
      <c r="D1750">
        <v>339</v>
      </c>
      <c r="E1750" t="s">
        <v>7341</v>
      </c>
      <c r="F1750" t="str">
        <f>VLOOKUP(E1750,country_continent!A:C,2,FALSE)</f>
        <v>Albania</v>
      </c>
      <c r="G1750" t="str">
        <f>VLOOKUP(E1750,country_continent!A:C,3,FALSE)</f>
        <v>Europe</v>
      </c>
      <c r="H1750" t="s">
        <v>7414</v>
      </c>
      <c r="I1750" s="1">
        <v>33703</v>
      </c>
      <c r="J1750" s="3">
        <f t="shared" si="81"/>
        <v>33703</v>
      </c>
      <c r="K1750" s="1">
        <v>35635</v>
      </c>
      <c r="L1750" s="3">
        <f t="shared" si="82"/>
        <v>35635</v>
      </c>
      <c r="M1750" t="s">
        <v>49</v>
      </c>
      <c r="N1750" t="s">
        <v>49</v>
      </c>
      <c r="O1750" t="s">
        <v>49</v>
      </c>
      <c r="P1750">
        <v>0</v>
      </c>
      <c r="Q1750" t="s">
        <v>50</v>
      </c>
      <c r="R1750" t="s">
        <v>51</v>
      </c>
      <c r="S1750">
        <v>1944</v>
      </c>
      <c r="T1750">
        <v>-777</v>
      </c>
      <c r="U1750" s="1">
        <v>16360</v>
      </c>
      <c r="V1750" s="2">
        <v>16360</v>
      </c>
      <c r="Y1750" t="s">
        <v>7415</v>
      </c>
      <c r="Z1750">
        <v>0</v>
      </c>
      <c r="AA1750">
        <v>1</v>
      </c>
      <c r="AB1750">
        <v>0</v>
      </c>
      <c r="AC1750">
        <v>0</v>
      </c>
      <c r="AF1750">
        <v>1992</v>
      </c>
      <c r="AG1750">
        <v>1997</v>
      </c>
      <c r="AH1750">
        <v>3.9082515073258302</v>
      </c>
      <c r="AI1750">
        <v>575</v>
      </c>
      <c r="AJ1750">
        <v>76.280896252191397</v>
      </c>
      <c r="AK1750">
        <v>34.299999999999997</v>
      </c>
      <c r="AL1750">
        <v>-0.61585436336931698</v>
      </c>
      <c r="AM1750">
        <v>3.5059397572992199</v>
      </c>
      <c r="AN1750">
        <v>4.17</v>
      </c>
      <c r="AO1750" t="b">
        <v>1</v>
      </c>
      <c r="AP1750" t="s">
        <v>4202</v>
      </c>
      <c r="AQ1750">
        <v>1944</v>
      </c>
      <c r="AR1750">
        <v>1963</v>
      </c>
      <c r="AS1750" t="s">
        <v>7416</v>
      </c>
      <c r="AT1750">
        <v>5.28952772073922</v>
      </c>
      <c r="AU1750">
        <f t="shared" si="83"/>
        <v>1.4E-2</v>
      </c>
    </row>
    <row r="1751" spans="1:47" x14ac:dyDescent="0.3">
      <c r="A1751">
        <v>1749</v>
      </c>
      <c r="B1751" t="s">
        <v>7417</v>
      </c>
      <c r="C1751" t="s">
        <v>7418</v>
      </c>
      <c r="D1751">
        <v>339</v>
      </c>
      <c r="E1751" t="s">
        <v>7341</v>
      </c>
      <c r="F1751" t="str">
        <f>VLOOKUP(E1751,country_continent!A:C,2,FALSE)</f>
        <v>Albania</v>
      </c>
      <c r="G1751" t="str">
        <f>VLOOKUP(E1751,country_continent!A:C,3,FALSE)</f>
        <v>Europe</v>
      </c>
      <c r="H1751" t="s">
        <v>7419</v>
      </c>
      <c r="I1751" s="1">
        <v>35635</v>
      </c>
      <c r="J1751" s="3">
        <f t="shared" si="81"/>
        <v>35635</v>
      </c>
      <c r="K1751" s="1">
        <v>36070</v>
      </c>
      <c r="L1751" s="3">
        <f t="shared" si="82"/>
        <v>36070</v>
      </c>
      <c r="M1751" t="s">
        <v>49</v>
      </c>
      <c r="N1751" t="s">
        <v>49</v>
      </c>
      <c r="O1751" t="s">
        <v>49</v>
      </c>
      <c r="P1751">
        <v>0</v>
      </c>
      <c r="Q1751" t="s">
        <v>50</v>
      </c>
      <c r="R1751" t="s">
        <v>51</v>
      </c>
      <c r="S1751">
        <v>1952</v>
      </c>
      <c r="T1751">
        <v>-777</v>
      </c>
      <c r="U1751" s="1">
        <v>19253</v>
      </c>
      <c r="V1751" s="2">
        <v>19253</v>
      </c>
      <c r="Y1751" t="s">
        <v>7420</v>
      </c>
      <c r="Z1751">
        <v>0</v>
      </c>
      <c r="AA1751">
        <v>1</v>
      </c>
      <c r="AB1751">
        <v>0</v>
      </c>
      <c r="AC1751">
        <v>0</v>
      </c>
      <c r="AF1751">
        <v>1997</v>
      </c>
      <c r="AG1751">
        <v>1998</v>
      </c>
      <c r="AH1751">
        <v>-1.0819268514393401</v>
      </c>
      <c r="AI1751">
        <v>865</v>
      </c>
      <c r="AJ1751">
        <v>10.3055462969552</v>
      </c>
      <c r="AK1751">
        <v>30.45</v>
      </c>
      <c r="AL1751">
        <v>-0.62738224471298398</v>
      </c>
      <c r="AM1751">
        <v>0.84459083711474403</v>
      </c>
      <c r="AN1751">
        <v>5</v>
      </c>
      <c r="AO1751" t="b">
        <v>1</v>
      </c>
      <c r="AP1751" t="s">
        <v>4202</v>
      </c>
      <c r="AQ1751">
        <v>1944</v>
      </c>
      <c r="AR1751">
        <v>1963</v>
      </c>
      <c r="AS1751" t="s">
        <v>7421</v>
      </c>
      <c r="AT1751">
        <v>1.19096509240246</v>
      </c>
      <c r="AU1751">
        <f t="shared" si="83"/>
        <v>3.0000000000000001E-3</v>
      </c>
    </row>
    <row r="1752" spans="1:47" x14ac:dyDescent="0.3">
      <c r="A1752">
        <v>1750</v>
      </c>
      <c r="B1752" t="s">
        <v>7422</v>
      </c>
      <c r="C1752" t="s">
        <v>7423</v>
      </c>
      <c r="D1752">
        <v>339</v>
      </c>
      <c r="E1752" t="s">
        <v>7341</v>
      </c>
      <c r="F1752" t="str">
        <f>VLOOKUP(E1752,country_continent!A:C,2,FALSE)</f>
        <v>Albania</v>
      </c>
      <c r="G1752" t="str">
        <f>VLOOKUP(E1752,country_continent!A:C,3,FALSE)</f>
        <v>Europe</v>
      </c>
      <c r="H1752" t="s">
        <v>7424</v>
      </c>
      <c r="I1752" s="1">
        <v>36070</v>
      </c>
      <c r="J1752" s="3">
        <f t="shared" si="81"/>
        <v>36070</v>
      </c>
      <c r="K1752" s="1">
        <v>36462</v>
      </c>
      <c r="L1752" s="3">
        <f t="shared" si="82"/>
        <v>36462</v>
      </c>
      <c r="M1752" t="s">
        <v>49</v>
      </c>
      <c r="N1752" t="s">
        <v>49</v>
      </c>
      <c r="O1752" t="s">
        <v>49</v>
      </c>
      <c r="P1752">
        <v>0</v>
      </c>
      <c r="Q1752" t="s">
        <v>50</v>
      </c>
      <c r="R1752" t="s">
        <v>51</v>
      </c>
      <c r="S1752">
        <v>1967</v>
      </c>
      <c r="T1752">
        <v>-777</v>
      </c>
      <c r="U1752" s="1">
        <v>24791</v>
      </c>
      <c r="V1752" s="2">
        <v>24791</v>
      </c>
      <c r="Y1752" t="s">
        <v>7425</v>
      </c>
      <c r="Z1752">
        <v>0</v>
      </c>
      <c r="AA1752">
        <v>1</v>
      </c>
      <c r="AB1752">
        <v>0</v>
      </c>
      <c r="AC1752">
        <v>0</v>
      </c>
      <c r="AF1752">
        <v>1998</v>
      </c>
      <c r="AG1752">
        <v>1999</v>
      </c>
      <c r="AH1752">
        <v>10.978866852516401</v>
      </c>
      <c r="AI1752">
        <v>915</v>
      </c>
      <c r="AJ1752">
        <v>5.3201158429717701</v>
      </c>
      <c r="AK1752">
        <v>29.1</v>
      </c>
      <c r="AL1752">
        <v>-0.63134333325658099</v>
      </c>
      <c r="AM1752">
        <v>0.47792037516952701</v>
      </c>
      <c r="AN1752">
        <v>5</v>
      </c>
      <c r="AO1752" t="b">
        <v>1</v>
      </c>
      <c r="AP1752" t="s">
        <v>4202</v>
      </c>
      <c r="AQ1752">
        <v>1944</v>
      </c>
      <c r="AR1752">
        <v>1963</v>
      </c>
      <c r="AS1752" t="s">
        <v>7426</v>
      </c>
      <c r="AT1752">
        <v>1.0732375085557799</v>
      </c>
      <c r="AU1752">
        <f t="shared" si="83"/>
        <v>3.0000000000000001E-3</v>
      </c>
    </row>
    <row r="1753" spans="1:47" x14ac:dyDescent="0.3">
      <c r="A1753">
        <v>1751</v>
      </c>
      <c r="B1753" t="s">
        <v>7427</v>
      </c>
      <c r="C1753" t="s">
        <v>7428</v>
      </c>
      <c r="D1753">
        <v>339</v>
      </c>
      <c r="E1753" t="s">
        <v>7341</v>
      </c>
      <c r="F1753" t="str">
        <f>VLOOKUP(E1753,country_continent!A:C,2,FALSE)</f>
        <v>Albania</v>
      </c>
      <c r="G1753" t="str">
        <f>VLOOKUP(E1753,country_continent!A:C,3,FALSE)</f>
        <v>Europe</v>
      </c>
      <c r="H1753" t="s">
        <v>7429</v>
      </c>
      <c r="I1753" s="1">
        <v>36462</v>
      </c>
      <c r="J1753" s="3">
        <f t="shared" si="81"/>
        <v>36462</v>
      </c>
      <c r="K1753" s="1">
        <v>37309</v>
      </c>
      <c r="L1753" s="3">
        <f t="shared" si="82"/>
        <v>37309</v>
      </c>
      <c r="M1753" t="s">
        <v>49</v>
      </c>
      <c r="N1753" t="s">
        <v>49</v>
      </c>
      <c r="O1753" t="s">
        <v>49</v>
      </c>
      <c r="P1753">
        <v>0</v>
      </c>
      <c r="Q1753" t="s">
        <v>50</v>
      </c>
      <c r="R1753" t="s">
        <v>51</v>
      </c>
      <c r="S1753">
        <v>1969</v>
      </c>
      <c r="T1753">
        <v>-777</v>
      </c>
      <c r="Z1753">
        <v>0</v>
      </c>
      <c r="AA1753">
        <v>1</v>
      </c>
      <c r="AB1753">
        <v>0</v>
      </c>
      <c r="AC1753">
        <v>0</v>
      </c>
      <c r="AF1753">
        <v>1999</v>
      </c>
      <c r="AG1753">
        <v>2002</v>
      </c>
      <c r="AH1753">
        <v>8.9866778377895002</v>
      </c>
      <c r="AI1753">
        <v>1207.5</v>
      </c>
      <c r="AJ1753">
        <v>4.0936193203592302</v>
      </c>
      <c r="AK1753">
        <v>26.375</v>
      </c>
      <c r="AL1753">
        <v>-0.62726405818187303</v>
      </c>
      <c r="AM1753">
        <v>0.83218248454168198</v>
      </c>
      <c r="AN1753">
        <v>5.5</v>
      </c>
      <c r="AO1753" t="b">
        <v>1</v>
      </c>
      <c r="AP1753" t="s">
        <v>4202</v>
      </c>
      <c r="AQ1753">
        <v>1944</v>
      </c>
      <c r="AR1753">
        <v>1963</v>
      </c>
      <c r="AS1753" t="s">
        <v>7430</v>
      </c>
      <c r="AT1753">
        <v>2.3189596167008899</v>
      </c>
      <c r="AU1753">
        <f t="shared" si="83"/>
        <v>6.0000000000000001E-3</v>
      </c>
    </row>
    <row r="1754" spans="1:47" x14ac:dyDescent="0.3">
      <c r="A1754">
        <v>1752</v>
      </c>
      <c r="B1754" t="s">
        <v>7431</v>
      </c>
      <c r="C1754" t="s">
        <v>7423</v>
      </c>
      <c r="D1754">
        <v>339</v>
      </c>
      <c r="E1754" t="s">
        <v>7341</v>
      </c>
      <c r="F1754" t="str">
        <f>VLOOKUP(E1754,country_continent!A:C,2,FALSE)</f>
        <v>Albania</v>
      </c>
      <c r="G1754" t="str">
        <f>VLOOKUP(E1754,country_continent!A:C,3,FALSE)</f>
        <v>Europe</v>
      </c>
      <c r="H1754" t="s">
        <v>7424</v>
      </c>
      <c r="I1754" s="1">
        <v>37309</v>
      </c>
      <c r="J1754" s="3">
        <f t="shared" si="81"/>
        <v>37309</v>
      </c>
      <c r="K1754" s="1">
        <v>37468</v>
      </c>
      <c r="L1754" s="3">
        <f t="shared" si="82"/>
        <v>37468</v>
      </c>
      <c r="M1754" t="s">
        <v>49</v>
      </c>
      <c r="N1754" t="s">
        <v>49</v>
      </c>
      <c r="O1754" t="s">
        <v>49</v>
      </c>
      <c r="P1754">
        <v>1</v>
      </c>
      <c r="Q1754" t="s">
        <v>50</v>
      </c>
      <c r="R1754" t="s">
        <v>51</v>
      </c>
      <c r="S1754">
        <v>1967</v>
      </c>
      <c r="T1754">
        <v>-777</v>
      </c>
      <c r="U1754" s="1">
        <v>24791</v>
      </c>
      <c r="V1754" s="2">
        <v>24791</v>
      </c>
      <c r="Y1754" t="s">
        <v>7425</v>
      </c>
      <c r="Z1754">
        <v>0</v>
      </c>
      <c r="AA1754">
        <v>1</v>
      </c>
      <c r="AB1754">
        <v>0</v>
      </c>
      <c r="AC1754">
        <v>0</v>
      </c>
      <c r="AF1754">
        <v>2002</v>
      </c>
      <c r="AG1754">
        <v>2002</v>
      </c>
      <c r="AH1754">
        <v>4.9426229631366203</v>
      </c>
      <c r="AI1754">
        <v>1420</v>
      </c>
      <c r="AJ1754">
        <v>3.9038814110042699</v>
      </c>
      <c r="AK1754">
        <v>24.3</v>
      </c>
      <c r="AL1754">
        <v>-0.299876697084691</v>
      </c>
      <c r="AM1754">
        <v>0.76580888184120199</v>
      </c>
      <c r="AN1754">
        <v>7</v>
      </c>
      <c r="AO1754" t="b">
        <v>1</v>
      </c>
      <c r="AP1754" t="s">
        <v>4202</v>
      </c>
      <c r="AQ1754">
        <v>1944</v>
      </c>
      <c r="AR1754">
        <v>1963</v>
      </c>
      <c r="AS1754" t="s">
        <v>7150</v>
      </c>
      <c r="AT1754">
        <v>0.43531827515400401</v>
      </c>
      <c r="AU1754">
        <f t="shared" si="83"/>
        <v>1E-3</v>
      </c>
    </row>
    <row r="1755" spans="1:47" x14ac:dyDescent="0.3">
      <c r="A1755">
        <v>1753</v>
      </c>
      <c r="B1755" t="s">
        <v>7432</v>
      </c>
      <c r="C1755" t="s">
        <v>7418</v>
      </c>
      <c r="D1755">
        <v>339</v>
      </c>
      <c r="E1755" t="s">
        <v>7341</v>
      </c>
      <c r="F1755" t="str">
        <f>VLOOKUP(E1755,country_continent!A:C,2,FALSE)</f>
        <v>Albania</v>
      </c>
      <c r="G1755" t="str">
        <f>VLOOKUP(E1755,country_continent!A:C,3,FALSE)</f>
        <v>Europe</v>
      </c>
      <c r="H1755" t="s">
        <v>7419</v>
      </c>
      <c r="I1755" s="1">
        <v>37468</v>
      </c>
      <c r="J1755" s="3">
        <f t="shared" si="81"/>
        <v>37468</v>
      </c>
      <c r="K1755" s="1">
        <v>38606</v>
      </c>
      <c r="L1755" s="3">
        <f t="shared" si="82"/>
        <v>38606</v>
      </c>
      <c r="M1755" t="s">
        <v>49</v>
      </c>
      <c r="N1755" t="s">
        <v>49</v>
      </c>
      <c r="O1755" t="s">
        <v>49</v>
      </c>
      <c r="P1755">
        <v>2</v>
      </c>
      <c r="Q1755" t="s">
        <v>50</v>
      </c>
      <c r="R1755" t="s">
        <v>51</v>
      </c>
      <c r="S1755">
        <v>1952</v>
      </c>
      <c r="T1755">
        <v>-777</v>
      </c>
      <c r="U1755" s="1">
        <v>19253</v>
      </c>
      <c r="V1755" s="2">
        <v>19253</v>
      </c>
      <c r="Y1755" t="s">
        <v>7420</v>
      </c>
      <c r="Z1755">
        <v>0</v>
      </c>
      <c r="AA1755">
        <v>1</v>
      </c>
      <c r="AB1755">
        <v>0</v>
      </c>
      <c r="AC1755">
        <v>0</v>
      </c>
      <c r="AF1755">
        <v>2002</v>
      </c>
      <c r="AG1755">
        <v>2005</v>
      </c>
      <c r="AH1755">
        <v>5.5120255769895801</v>
      </c>
      <c r="AI1755">
        <v>1995</v>
      </c>
      <c r="AJ1755">
        <v>3.7701113908483199</v>
      </c>
      <c r="AK1755">
        <v>22.15</v>
      </c>
      <c r="AL1755">
        <v>-0.40093684018097098</v>
      </c>
      <c r="AM1755">
        <v>0.87540315735276297</v>
      </c>
      <c r="AN1755">
        <v>7.5</v>
      </c>
      <c r="AO1755" t="b">
        <v>1</v>
      </c>
      <c r="AP1755" t="s">
        <v>4202</v>
      </c>
      <c r="AQ1755">
        <v>1944</v>
      </c>
      <c r="AR1755">
        <v>1963</v>
      </c>
      <c r="AS1755" t="s">
        <v>7433</v>
      </c>
      <c r="AT1755">
        <v>3.1156741957563301</v>
      </c>
      <c r="AU1755">
        <f t="shared" si="83"/>
        <v>8.9999999999999993E-3</v>
      </c>
    </row>
    <row r="1756" spans="1:47" x14ac:dyDescent="0.3">
      <c r="A1756">
        <v>1754</v>
      </c>
      <c r="B1756" t="s">
        <v>7434</v>
      </c>
      <c r="C1756" t="s">
        <v>7413</v>
      </c>
      <c r="D1756">
        <v>339</v>
      </c>
      <c r="E1756" t="s">
        <v>7341</v>
      </c>
      <c r="F1756" t="str">
        <f>VLOOKUP(E1756,country_continent!A:C,2,FALSE)</f>
        <v>Albania</v>
      </c>
      <c r="G1756" t="str">
        <f>VLOOKUP(E1756,country_continent!A:C,3,FALSE)</f>
        <v>Europe</v>
      </c>
      <c r="H1756" t="s">
        <v>7414</v>
      </c>
      <c r="I1756" s="1">
        <v>38606</v>
      </c>
      <c r="J1756" s="3">
        <f t="shared" si="81"/>
        <v>38606</v>
      </c>
      <c r="K1756" s="1">
        <v>41532</v>
      </c>
      <c r="L1756" s="3">
        <f t="shared" si="82"/>
        <v>41532</v>
      </c>
      <c r="M1756" t="s">
        <v>49</v>
      </c>
      <c r="N1756" t="s">
        <v>49</v>
      </c>
      <c r="O1756" t="s">
        <v>49</v>
      </c>
      <c r="P1756">
        <v>1</v>
      </c>
      <c r="Q1756" t="s">
        <v>50</v>
      </c>
      <c r="R1756" t="s">
        <v>51</v>
      </c>
      <c r="S1756">
        <v>1944</v>
      </c>
      <c r="T1756">
        <v>-777</v>
      </c>
      <c r="U1756" s="1">
        <v>16360</v>
      </c>
      <c r="V1756" s="2">
        <v>16360</v>
      </c>
      <c r="Z1756">
        <v>0</v>
      </c>
      <c r="AA1756">
        <v>1</v>
      </c>
      <c r="AB1756">
        <v>0</v>
      </c>
      <c r="AC1756">
        <v>0</v>
      </c>
      <c r="AF1756">
        <v>2005</v>
      </c>
      <c r="AG1756">
        <v>2013</v>
      </c>
      <c r="AH1756">
        <v>4.4504282568087898</v>
      </c>
      <c r="AI1756">
        <v>3974.4444444444398</v>
      </c>
      <c r="AJ1756">
        <v>2.60539551370695</v>
      </c>
      <c r="AK1756">
        <v>14.788888888888801</v>
      </c>
      <c r="AL1756">
        <v>-0.494833204685312</v>
      </c>
      <c r="AM1756">
        <v>2.0514578422415499</v>
      </c>
      <c r="AN1756">
        <v>9</v>
      </c>
      <c r="AO1756" t="b">
        <v>1</v>
      </c>
      <c r="AP1756" t="s">
        <v>4202</v>
      </c>
      <c r="AQ1756">
        <v>1944</v>
      </c>
      <c r="AR1756">
        <v>1963</v>
      </c>
      <c r="AS1756" t="s">
        <v>7435</v>
      </c>
      <c r="AT1756">
        <v>8.0109514031485194</v>
      </c>
      <c r="AU1756">
        <f t="shared" si="83"/>
        <v>2.1999999999999999E-2</v>
      </c>
    </row>
    <row r="1757" spans="1:47" x14ac:dyDescent="0.3">
      <c r="A1757">
        <v>1755</v>
      </c>
      <c r="B1757" t="s">
        <v>7436</v>
      </c>
      <c r="C1757" t="s">
        <v>7437</v>
      </c>
      <c r="D1757">
        <v>339</v>
      </c>
      <c r="E1757" t="s">
        <v>7341</v>
      </c>
      <c r="F1757" t="str">
        <f>VLOOKUP(E1757,country_continent!A:C,2,FALSE)</f>
        <v>Albania</v>
      </c>
      <c r="G1757" t="str">
        <f>VLOOKUP(E1757,country_continent!A:C,3,FALSE)</f>
        <v>Europe</v>
      </c>
      <c r="H1757" t="s">
        <v>7438</v>
      </c>
      <c r="I1757" s="1">
        <v>41532</v>
      </c>
      <c r="J1757" s="3">
        <f t="shared" si="81"/>
        <v>41532</v>
      </c>
      <c r="K1757" s="1">
        <v>42369</v>
      </c>
      <c r="L1757" s="3">
        <f t="shared" si="82"/>
        <v>42369</v>
      </c>
      <c r="M1757" t="s">
        <v>49</v>
      </c>
      <c r="N1757" t="s">
        <v>173</v>
      </c>
      <c r="O1757" t="s">
        <v>173</v>
      </c>
      <c r="P1757">
        <v>0</v>
      </c>
      <c r="Q1757" t="s">
        <v>174</v>
      </c>
      <c r="R1757" t="s">
        <v>51</v>
      </c>
      <c r="S1757">
        <v>1964</v>
      </c>
      <c r="T1757">
        <v>-777</v>
      </c>
      <c r="U1757" s="1">
        <v>23562</v>
      </c>
      <c r="V1757" s="2">
        <v>23562</v>
      </c>
      <c r="Z1757">
        <v>0</v>
      </c>
      <c r="AA1757">
        <v>-888</v>
      </c>
      <c r="AB1757">
        <v>-888</v>
      </c>
      <c r="AC1757">
        <v>-888</v>
      </c>
      <c r="AF1757">
        <v>2013</v>
      </c>
      <c r="AG1757">
        <v>2015</v>
      </c>
      <c r="AH1757">
        <v>2.2905669491088299</v>
      </c>
      <c r="AI1757">
        <v>4513.3333333333303</v>
      </c>
      <c r="AJ1757">
        <v>0.85585353825688504</v>
      </c>
      <c r="AK1757">
        <v>10</v>
      </c>
      <c r="AL1757">
        <v>-0.22715472373581</v>
      </c>
      <c r="AM1757">
        <v>2.8265843823846599</v>
      </c>
      <c r="AN1757">
        <v>9</v>
      </c>
      <c r="AO1757" t="b">
        <v>1</v>
      </c>
      <c r="AP1757" t="s">
        <v>4202</v>
      </c>
      <c r="AQ1757">
        <v>1944</v>
      </c>
      <c r="AR1757">
        <v>1963</v>
      </c>
      <c r="AS1757" t="s">
        <v>7439</v>
      </c>
      <c r="AT1757">
        <v>2.2915811088295599</v>
      </c>
      <c r="AU1757">
        <f t="shared" si="83"/>
        <v>6.0000000000000001E-3</v>
      </c>
    </row>
    <row r="1758" spans="1:47" x14ac:dyDescent="0.3">
      <c r="A1758">
        <v>1756</v>
      </c>
      <c r="B1758" t="s">
        <v>7440</v>
      </c>
      <c r="C1758" t="s">
        <v>7441</v>
      </c>
      <c r="D1758">
        <v>340</v>
      </c>
      <c r="E1758" t="s">
        <v>7442</v>
      </c>
      <c r="F1758" t="str">
        <f>VLOOKUP(E1758,country_continent!A:C,2,FALSE)</f>
        <v>Serbia</v>
      </c>
      <c r="G1758" t="str">
        <f>VLOOKUP(E1758,country_continent!A:C,3,FALSE)</f>
        <v>Europe</v>
      </c>
      <c r="H1758" t="s">
        <v>7443</v>
      </c>
      <c r="I1758" t="s">
        <v>7444</v>
      </c>
      <c r="J1758" s="3" t="str">
        <f t="shared" si="81"/>
        <v>1882/03/06</v>
      </c>
      <c r="K1758" t="s">
        <v>7445</v>
      </c>
      <c r="L1758" s="3" t="str">
        <f t="shared" si="82"/>
        <v>1889/03/06</v>
      </c>
      <c r="M1758" t="s">
        <v>67</v>
      </c>
      <c r="N1758" t="s">
        <v>49</v>
      </c>
      <c r="O1758" t="s">
        <v>49</v>
      </c>
      <c r="P1758">
        <v>0</v>
      </c>
      <c r="Q1758" t="s">
        <v>362</v>
      </c>
      <c r="R1758" t="s">
        <v>51</v>
      </c>
      <c r="S1758">
        <v>1854</v>
      </c>
      <c r="T1758">
        <v>1901</v>
      </c>
      <c r="Y1758" t="s">
        <v>7446</v>
      </c>
      <c r="Z1758">
        <v>1</v>
      </c>
      <c r="AA1758">
        <v>1</v>
      </c>
      <c r="AB1758">
        <v>0</v>
      </c>
      <c r="AC1758">
        <v>1</v>
      </c>
      <c r="AF1758">
        <v>1882</v>
      </c>
      <c r="AG1758">
        <v>1889</v>
      </c>
      <c r="AO1758" t="b">
        <v>0</v>
      </c>
      <c r="AT1758">
        <v>2557</v>
      </c>
      <c r="AU1758">
        <f t="shared" si="83"/>
        <v>7.0049999999999999</v>
      </c>
    </row>
    <row r="1759" spans="1:47" x14ac:dyDescent="0.3">
      <c r="A1759">
        <v>1757</v>
      </c>
      <c r="B1759" t="s">
        <v>7447</v>
      </c>
      <c r="C1759" t="s">
        <v>7448</v>
      </c>
      <c r="D1759">
        <v>340</v>
      </c>
      <c r="E1759" t="s">
        <v>7442</v>
      </c>
      <c r="F1759" t="str">
        <f>VLOOKUP(E1759,country_continent!A:C,2,FALSE)</f>
        <v>Serbia</v>
      </c>
      <c r="G1759" t="str">
        <f>VLOOKUP(E1759,country_continent!A:C,3,FALSE)</f>
        <v>Europe</v>
      </c>
      <c r="H1759" t="s">
        <v>7449</v>
      </c>
      <c r="I1759" t="s">
        <v>7445</v>
      </c>
      <c r="J1759" s="3" t="str">
        <f t="shared" si="81"/>
        <v>1889/03/06</v>
      </c>
      <c r="K1759" t="s">
        <v>7450</v>
      </c>
      <c r="L1759" s="3" t="str">
        <f t="shared" si="82"/>
        <v>1893/04/13</v>
      </c>
      <c r="M1759" t="s">
        <v>49</v>
      </c>
      <c r="N1759" t="s">
        <v>67</v>
      </c>
      <c r="O1759" t="s">
        <v>347</v>
      </c>
      <c r="P1759">
        <v>0</v>
      </c>
      <c r="Q1759" t="s">
        <v>463</v>
      </c>
      <c r="R1759" t="s">
        <v>51</v>
      </c>
      <c r="S1759">
        <v>1831</v>
      </c>
      <c r="T1759">
        <v>1899</v>
      </c>
      <c r="Z1759">
        <v>0</v>
      </c>
      <c r="AA1759">
        <v>3</v>
      </c>
      <c r="AB1759">
        <v>-999</v>
      </c>
      <c r="AC1759">
        <v>2</v>
      </c>
      <c r="AF1759">
        <v>1889</v>
      </c>
      <c r="AG1759">
        <v>1893</v>
      </c>
      <c r="AO1759" t="b">
        <v>0</v>
      </c>
      <c r="AT1759">
        <v>1499</v>
      </c>
      <c r="AU1759">
        <f t="shared" si="83"/>
        <v>4.1070000000000002</v>
      </c>
    </row>
    <row r="1760" spans="1:47" x14ac:dyDescent="0.3">
      <c r="A1760">
        <v>1758</v>
      </c>
      <c r="B1760" t="s">
        <v>7451</v>
      </c>
      <c r="C1760" t="s">
        <v>7452</v>
      </c>
      <c r="D1760">
        <v>340</v>
      </c>
      <c r="E1760" t="s">
        <v>7442</v>
      </c>
      <c r="F1760" t="str">
        <f>VLOOKUP(E1760,country_continent!A:C,2,FALSE)</f>
        <v>Serbia</v>
      </c>
      <c r="G1760" t="str">
        <f>VLOOKUP(E1760,country_continent!A:C,3,FALSE)</f>
        <v>Europe</v>
      </c>
      <c r="H1760" t="s">
        <v>7453</v>
      </c>
      <c r="I1760" t="s">
        <v>7450</v>
      </c>
      <c r="J1760" s="3" t="str">
        <f t="shared" si="81"/>
        <v>1893/04/13</v>
      </c>
      <c r="K1760" s="1">
        <v>1258</v>
      </c>
      <c r="L1760" s="3">
        <f t="shared" si="82"/>
        <v>1258</v>
      </c>
      <c r="M1760" t="s">
        <v>67</v>
      </c>
      <c r="N1760" t="s">
        <v>67</v>
      </c>
      <c r="O1760" t="s">
        <v>347</v>
      </c>
      <c r="P1760">
        <v>0</v>
      </c>
      <c r="Q1760" t="s">
        <v>69</v>
      </c>
      <c r="R1760" t="s">
        <v>51</v>
      </c>
      <c r="S1760">
        <v>1876</v>
      </c>
      <c r="T1760">
        <v>1903</v>
      </c>
      <c r="Y1760" t="s">
        <v>7454</v>
      </c>
      <c r="Z1760">
        <v>1</v>
      </c>
      <c r="AA1760">
        <v>3</v>
      </c>
      <c r="AB1760">
        <v>-999</v>
      </c>
      <c r="AC1760">
        <v>3</v>
      </c>
      <c r="AF1760">
        <v>1893</v>
      </c>
      <c r="AG1760">
        <v>1903</v>
      </c>
      <c r="AO1760" t="b">
        <v>0</v>
      </c>
      <c r="AT1760">
        <v>3710</v>
      </c>
      <c r="AU1760">
        <f t="shared" si="83"/>
        <v>10.164</v>
      </c>
    </row>
    <row r="1761" spans="1:47" x14ac:dyDescent="0.3">
      <c r="A1761">
        <v>1759</v>
      </c>
      <c r="B1761" t="s">
        <v>7455</v>
      </c>
      <c r="C1761" t="s">
        <v>7456</v>
      </c>
      <c r="D1761">
        <v>340</v>
      </c>
      <c r="E1761" t="s">
        <v>7442</v>
      </c>
      <c r="F1761" t="str">
        <f>VLOOKUP(E1761,country_continent!A:C,2,FALSE)</f>
        <v>Serbia</v>
      </c>
      <c r="G1761" t="str">
        <f>VLOOKUP(E1761,country_continent!A:C,3,FALSE)</f>
        <v>Europe</v>
      </c>
      <c r="H1761" t="s">
        <v>7457</v>
      </c>
      <c r="I1761" s="1">
        <v>1262</v>
      </c>
      <c r="J1761" s="3">
        <f t="shared" si="81"/>
        <v>1262</v>
      </c>
      <c r="K1761" s="1">
        <v>5289</v>
      </c>
      <c r="L1761" s="3">
        <f t="shared" si="82"/>
        <v>5289</v>
      </c>
      <c r="M1761" t="s">
        <v>67</v>
      </c>
      <c r="N1761" t="s">
        <v>228</v>
      </c>
      <c r="O1761" t="s">
        <v>49</v>
      </c>
      <c r="P1761">
        <v>0</v>
      </c>
      <c r="Q1761" t="s">
        <v>50</v>
      </c>
      <c r="R1761" t="s">
        <v>51</v>
      </c>
      <c r="S1761">
        <v>1844</v>
      </c>
      <c r="T1761">
        <v>1921</v>
      </c>
      <c r="Z1761">
        <v>1</v>
      </c>
      <c r="AA1761">
        <v>2.0999998999999998</v>
      </c>
      <c r="AB1761">
        <v>0</v>
      </c>
      <c r="AC1761">
        <v>0</v>
      </c>
      <c r="AF1761">
        <v>1903</v>
      </c>
      <c r="AG1761">
        <v>1914</v>
      </c>
      <c r="AO1761" t="b">
        <v>0</v>
      </c>
      <c r="AT1761">
        <v>4027</v>
      </c>
      <c r="AU1761">
        <f t="shared" si="83"/>
        <v>11.032999999999999</v>
      </c>
    </row>
    <row r="1762" spans="1:47" x14ac:dyDescent="0.3">
      <c r="A1762">
        <v>1760</v>
      </c>
      <c r="B1762" t="s">
        <v>7458</v>
      </c>
      <c r="C1762" t="s">
        <v>7459</v>
      </c>
      <c r="D1762">
        <v>340</v>
      </c>
      <c r="E1762" t="s">
        <v>7442</v>
      </c>
      <c r="F1762" t="str">
        <f>VLOOKUP(E1762,country_continent!A:C,2,FALSE)</f>
        <v>Serbia</v>
      </c>
      <c r="G1762" t="str">
        <f>VLOOKUP(E1762,country_continent!A:C,3,FALSE)</f>
        <v>Europe</v>
      </c>
      <c r="H1762" t="s">
        <v>7460</v>
      </c>
      <c r="I1762" s="1">
        <v>5289</v>
      </c>
      <c r="J1762" s="3">
        <f t="shared" si="81"/>
        <v>5289</v>
      </c>
      <c r="K1762" s="1">
        <v>5753</v>
      </c>
      <c r="L1762" s="3">
        <f t="shared" si="82"/>
        <v>5753</v>
      </c>
      <c r="M1762" t="s">
        <v>49</v>
      </c>
      <c r="N1762" t="s">
        <v>633</v>
      </c>
      <c r="O1762" t="s">
        <v>347</v>
      </c>
      <c r="P1762">
        <v>0</v>
      </c>
      <c r="Q1762" t="s">
        <v>362</v>
      </c>
      <c r="R1762" t="s">
        <v>51</v>
      </c>
      <c r="S1762">
        <v>1888</v>
      </c>
      <c r="T1762">
        <v>1934</v>
      </c>
      <c r="U1762" t="s">
        <v>7461</v>
      </c>
      <c r="V1762" t="s">
        <v>7462</v>
      </c>
      <c r="W1762" s="1">
        <v>12701</v>
      </c>
      <c r="X1762" s="2">
        <v>12701</v>
      </c>
      <c r="Y1762" t="s">
        <v>7463</v>
      </c>
      <c r="Z1762">
        <v>0</v>
      </c>
      <c r="AA1762">
        <v>4</v>
      </c>
      <c r="AB1762">
        <v>-999</v>
      </c>
      <c r="AC1762">
        <v>1</v>
      </c>
      <c r="AF1762">
        <v>1914</v>
      </c>
      <c r="AG1762">
        <v>1915</v>
      </c>
      <c r="AO1762" t="b">
        <v>0</v>
      </c>
      <c r="AT1762">
        <v>464</v>
      </c>
      <c r="AU1762">
        <f t="shared" si="83"/>
        <v>1.2709999999999999</v>
      </c>
    </row>
    <row r="1763" spans="1:47" x14ac:dyDescent="0.3">
      <c r="A1763">
        <v>1761</v>
      </c>
      <c r="B1763" t="s">
        <v>7464</v>
      </c>
      <c r="C1763" t="s">
        <v>7465</v>
      </c>
      <c r="D1763">
        <v>340</v>
      </c>
      <c r="E1763" t="s">
        <v>7442</v>
      </c>
      <c r="F1763" t="str">
        <f>VLOOKUP(E1763,country_continent!A:C,2,FALSE)</f>
        <v>Serbia</v>
      </c>
      <c r="G1763" t="str">
        <f>VLOOKUP(E1763,country_continent!A:C,3,FALSE)</f>
        <v>Europe</v>
      </c>
      <c r="H1763" t="s">
        <v>7466</v>
      </c>
      <c r="I1763" s="1">
        <v>38872</v>
      </c>
      <c r="J1763" s="3">
        <f t="shared" si="81"/>
        <v>38872</v>
      </c>
      <c r="K1763" s="1">
        <v>39636</v>
      </c>
      <c r="L1763" s="3">
        <f t="shared" si="82"/>
        <v>39636</v>
      </c>
      <c r="M1763" t="s">
        <v>49</v>
      </c>
      <c r="N1763" t="s">
        <v>49</v>
      </c>
      <c r="O1763" t="s">
        <v>49</v>
      </c>
      <c r="P1763">
        <v>1</v>
      </c>
      <c r="Q1763" t="s">
        <v>50</v>
      </c>
      <c r="R1763" t="s">
        <v>51</v>
      </c>
      <c r="S1763">
        <v>1944</v>
      </c>
      <c r="T1763">
        <v>-777</v>
      </c>
      <c r="U1763" s="1">
        <v>16155</v>
      </c>
      <c r="V1763" s="2">
        <v>16155</v>
      </c>
      <c r="Y1763" t="s">
        <v>7467</v>
      </c>
      <c r="Z1763">
        <v>0</v>
      </c>
      <c r="AA1763">
        <v>1</v>
      </c>
      <c r="AB1763">
        <v>0</v>
      </c>
      <c r="AC1763">
        <v>0</v>
      </c>
      <c r="AF1763">
        <v>2006</v>
      </c>
      <c r="AG1763">
        <v>2008</v>
      </c>
      <c r="AO1763" t="b">
        <v>0</v>
      </c>
      <c r="AT1763">
        <v>764</v>
      </c>
      <c r="AU1763">
        <f t="shared" si="83"/>
        <v>2.093</v>
      </c>
    </row>
    <row r="1764" spans="1:47" x14ac:dyDescent="0.3">
      <c r="A1764">
        <v>1762</v>
      </c>
      <c r="B1764" t="s">
        <v>7468</v>
      </c>
      <c r="C1764" t="s">
        <v>7469</v>
      </c>
      <c r="D1764">
        <v>340</v>
      </c>
      <c r="E1764" t="s">
        <v>7442</v>
      </c>
      <c r="F1764" t="str">
        <f>VLOOKUP(E1764,country_continent!A:C,2,FALSE)</f>
        <v>Serbia</v>
      </c>
      <c r="G1764" t="str">
        <f>VLOOKUP(E1764,country_continent!A:C,3,FALSE)</f>
        <v>Europe</v>
      </c>
      <c r="H1764" t="s">
        <v>7470</v>
      </c>
      <c r="I1764" s="1">
        <v>39636</v>
      </c>
      <c r="J1764" s="3">
        <f t="shared" si="81"/>
        <v>39636</v>
      </c>
      <c r="K1764" s="1">
        <v>41117</v>
      </c>
      <c r="L1764" s="3">
        <f t="shared" si="82"/>
        <v>41117</v>
      </c>
      <c r="M1764" t="s">
        <v>49</v>
      </c>
      <c r="N1764" t="s">
        <v>49</v>
      </c>
      <c r="O1764" t="s">
        <v>49</v>
      </c>
      <c r="P1764">
        <v>0</v>
      </c>
      <c r="Q1764" t="s">
        <v>50</v>
      </c>
      <c r="R1764" t="s">
        <v>51</v>
      </c>
      <c r="S1764">
        <v>1950</v>
      </c>
      <c r="T1764">
        <v>-777</v>
      </c>
      <c r="Z1764">
        <v>0</v>
      </c>
      <c r="AA1764">
        <v>1</v>
      </c>
      <c r="AB1764">
        <v>0</v>
      </c>
      <c r="AC1764">
        <v>0</v>
      </c>
      <c r="AF1764">
        <v>2008</v>
      </c>
      <c r="AG1764">
        <v>2012</v>
      </c>
      <c r="AO1764" t="b">
        <v>0</v>
      </c>
      <c r="AT1764">
        <v>1481</v>
      </c>
      <c r="AU1764">
        <f t="shared" si="83"/>
        <v>4.0579999999999998</v>
      </c>
    </row>
    <row r="1765" spans="1:47" x14ac:dyDescent="0.3">
      <c r="A1765">
        <v>1763</v>
      </c>
      <c r="B1765" t="s">
        <v>7471</v>
      </c>
      <c r="C1765" t="s">
        <v>7472</v>
      </c>
      <c r="D1765">
        <v>340</v>
      </c>
      <c r="E1765" t="s">
        <v>7442</v>
      </c>
      <c r="F1765" t="str">
        <f>VLOOKUP(E1765,country_continent!A:C,2,FALSE)</f>
        <v>Serbia</v>
      </c>
      <c r="G1765" t="str">
        <f>VLOOKUP(E1765,country_continent!A:C,3,FALSE)</f>
        <v>Europe</v>
      </c>
      <c r="H1765" t="s">
        <v>7473</v>
      </c>
      <c r="I1765" s="1">
        <v>41117</v>
      </c>
      <c r="J1765" s="3">
        <f t="shared" si="81"/>
        <v>41117</v>
      </c>
      <c r="K1765" s="1">
        <v>41756</v>
      </c>
      <c r="L1765" s="3">
        <f t="shared" si="82"/>
        <v>41756</v>
      </c>
      <c r="M1765" t="s">
        <v>49</v>
      </c>
      <c r="N1765" t="s">
        <v>49</v>
      </c>
      <c r="O1765" t="s">
        <v>49</v>
      </c>
      <c r="P1765">
        <v>0</v>
      </c>
      <c r="Q1765" t="s">
        <v>50</v>
      </c>
      <c r="R1765" t="s">
        <v>51</v>
      </c>
      <c r="S1765">
        <v>1966</v>
      </c>
      <c r="T1765">
        <v>-777</v>
      </c>
      <c r="U1765" s="1">
        <v>24108</v>
      </c>
      <c r="V1765" s="2">
        <v>24108</v>
      </c>
      <c r="Z1765">
        <v>0</v>
      </c>
      <c r="AA1765">
        <v>1</v>
      </c>
      <c r="AB1765">
        <v>0</v>
      </c>
      <c r="AC1765">
        <v>0</v>
      </c>
      <c r="AF1765">
        <v>2012</v>
      </c>
      <c r="AG1765">
        <v>2014</v>
      </c>
      <c r="AO1765" t="b">
        <v>0</v>
      </c>
      <c r="AT1765">
        <v>639</v>
      </c>
      <c r="AU1765">
        <f t="shared" si="83"/>
        <v>1.7509999999999999</v>
      </c>
    </row>
    <row r="1766" spans="1:47" x14ac:dyDescent="0.3">
      <c r="A1766">
        <v>1764</v>
      </c>
      <c r="B1766" t="s">
        <v>7474</v>
      </c>
      <c r="C1766" t="s">
        <v>7475</v>
      </c>
      <c r="D1766">
        <v>340</v>
      </c>
      <c r="E1766" t="s">
        <v>7442</v>
      </c>
      <c r="F1766" t="str">
        <f>VLOOKUP(E1766,country_continent!A:C,2,FALSE)</f>
        <v>Serbia</v>
      </c>
      <c r="G1766" t="str">
        <f>VLOOKUP(E1766,country_continent!A:C,3,FALSE)</f>
        <v>Europe</v>
      </c>
      <c r="H1766" t="s">
        <v>7476</v>
      </c>
      <c r="I1766" s="1">
        <v>41756</v>
      </c>
      <c r="J1766" s="3">
        <f t="shared" si="81"/>
        <v>41756</v>
      </c>
      <c r="K1766" s="1">
        <v>42369</v>
      </c>
      <c r="L1766" s="3">
        <f t="shared" si="82"/>
        <v>42369</v>
      </c>
      <c r="M1766" t="s">
        <v>49</v>
      </c>
      <c r="N1766" t="s">
        <v>173</v>
      </c>
      <c r="O1766" t="s">
        <v>173</v>
      </c>
      <c r="P1766">
        <v>0</v>
      </c>
      <c r="Q1766" t="s">
        <v>174</v>
      </c>
      <c r="R1766" t="s">
        <v>51</v>
      </c>
      <c r="S1766">
        <v>1970</v>
      </c>
      <c r="T1766">
        <v>-777</v>
      </c>
      <c r="U1766" s="1">
        <v>25632</v>
      </c>
      <c r="V1766" s="2">
        <v>25632</v>
      </c>
      <c r="Z1766">
        <v>0</v>
      </c>
      <c r="AA1766">
        <v>-888</v>
      </c>
      <c r="AB1766">
        <v>-888</v>
      </c>
      <c r="AC1766">
        <v>-888</v>
      </c>
      <c r="AF1766">
        <v>2014</v>
      </c>
      <c r="AG1766">
        <v>2015</v>
      </c>
      <c r="AO1766" t="b">
        <v>0</v>
      </c>
      <c r="AT1766">
        <v>613</v>
      </c>
      <c r="AU1766">
        <f t="shared" si="83"/>
        <v>1.679</v>
      </c>
    </row>
    <row r="1767" spans="1:47" x14ac:dyDescent="0.3">
      <c r="A1767">
        <v>1765</v>
      </c>
      <c r="B1767" t="s">
        <v>7477</v>
      </c>
      <c r="C1767" t="s">
        <v>7478</v>
      </c>
      <c r="D1767">
        <v>341</v>
      </c>
      <c r="E1767" t="s">
        <v>7479</v>
      </c>
      <c r="F1767" t="str">
        <f>VLOOKUP(E1767,country_continent!A:C,2,FALSE)</f>
        <v>Montenegro</v>
      </c>
      <c r="G1767" t="str">
        <f>VLOOKUP(E1767,country_continent!A:C,3,FALSE)</f>
        <v>Europe</v>
      </c>
      <c r="H1767" t="s">
        <v>7480</v>
      </c>
      <c r="I1767" t="s">
        <v>7481</v>
      </c>
      <c r="J1767" s="3" t="str">
        <f t="shared" si="81"/>
        <v>1860/08/13</v>
      </c>
      <c r="K1767" s="1">
        <v>6227</v>
      </c>
      <c r="L1767" s="3">
        <f t="shared" si="82"/>
        <v>6227</v>
      </c>
      <c r="M1767" t="s">
        <v>49</v>
      </c>
      <c r="N1767" t="s">
        <v>633</v>
      </c>
      <c r="O1767" t="s">
        <v>347</v>
      </c>
      <c r="P1767">
        <v>0</v>
      </c>
      <c r="Q1767" t="s">
        <v>362</v>
      </c>
      <c r="R1767" t="s">
        <v>51</v>
      </c>
      <c r="S1767">
        <v>1841</v>
      </c>
      <c r="T1767">
        <v>1921</v>
      </c>
      <c r="Z1767">
        <v>0</v>
      </c>
      <c r="AA1767">
        <v>4</v>
      </c>
      <c r="AB1767">
        <v>-999</v>
      </c>
      <c r="AC1767">
        <v>1</v>
      </c>
      <c r="AF1767">
        <v>1860</v>
      </c>
      <c r="AG1767">
        <v>1917</v>
      </c>
      <c r="AO1767" t="b">
        <v>0</v>
      </c>
      <c r="AT1767">
        <v>20610</v>
      </c>
      <c r="AU1767">
        <f t="shared" si="83"/>
        <v>56.466000000000001</v>
      </c>
    </row>
    <row r="1768" spans="1:47" x14ac:dyDescent="0.3">
      <c r="A1768">
        <v>1766</v>
      </c>
      <c r="B1768" t="s">
        <v>7482</v>
      </c>
      <c r="C1768" t="s">
        <v>7483</v>
      </c>
      <c r="D1768">
        <v>343</v>
      </c>
      <c r="E1768" t="s">
        <v>7484</v>
      </c>
      <c r="F1768" t="str">
        <f>VLOOKUP(E1768,country_continent!A:C,2,FALSE)</f>
        <v>Macedonia</v>
      </c>
      <c r="G1768" t="str">
        <f>VLOOKUP(E1768,country_continent!A:C,3,FALSE)</f>
        <v>Europe</v>
      </c>
      <c r="H1768" t="s">
        <v>7485</v>
      </c>
      <c r="I1768" s="1">
        <v>33265</v>
      </c>
      <c r="J1768" s="3">
        <f t="shared" si="81"/>
        <v>33265</v>
      </c>
      <c r="K1768" s="1">
        <v>33833</v>
      </c>
      <c r="L1768" s="3">
        <f t="shared" si="82"/>
        <v>33833</v>
      </c>
      <c r="M1768" t="s">
        <v>67</v>
      </c>
      <c r="N1768" t="s">
        <v>49</v>
      </c>
      <c r="O1768" t="s">
        <v>49</v>
      </c>
      <c r="P1768">
        <v>0</v>
      </c>
      <c r="Q1768" t="s">
        <v>50</v>
      </c>
      <c r="R1768" t="s">
        <v>51</v>
      </c>
      <c r="S1768">
        <v>1927</v>
      </c>
      <c r="T1768">
        <v>2008</v>
      </c>
      <c r="Z1768">
        <v>1</v>
      </c>
      <c r="AA1768">
        <v>1</v>
      </c>
      <c r="AB1768">
        <v>0</v>
      </c>
      <c r="AC1768">
        <v>0</v>
      </c>
      <c r="AF1768">
        <v>1991</v>
      </c>
      <c r="AG1768">
        <v>1992</v>
      </c>
      <c r="AH1768">
        <v>3.0777368682983699</v>
      </c>
      <c r="AI1768">
        <v>11165</v>
      </c>
      <c r="AJ1768">
        <v>13.1953994784903</v>
      </c>
      <c r="AL1768">
        <v>5.0975608770634198</v>
      </c>
      <c r="AM1768">
        <v>1.9303788657187E-3</v>
      </c>
      <c r="AO1768" t="b">
        <v>0</v>
      </c>
      <c r="AT1768">
        <v>568</v>
      </c>
      <c r="AU1768">
        <f t="shared" si="83"/>
        <v>1.556</v>
      </c>
    </row>
    <row r="1769" spans="1:47" x14ac:dyDescent="0.3">
      <c r="A1769">
        <v>1767</v>
      </c>
      <c r="B1769" t="s">
        <v>7486</v>
      </c>
      <c r="C1769" t="s">
        <v>7487</v>
      </c>
      <c r="D1769">
        <v>343</v>
      </c>
      <c r="E1769" t="s">
        <v>7484</v>
      </c>
      <c r="F1769" t="str">
        <f>VLOOKUP(E1769,country_continent!A:C,2,FALSE)</f>
        <v>Macedonia</v>
      </c>
      <c r="G1769" t="str">
        <f>VLOOKUP(E1769,country_continent!A:C,3,FALSE)</f>
        <v>Europe</v>
      </c>
      <c r="H1769" t="s">
        <v>7488</v>
      </c>
      <c r="I1769" s="1">
        <v>33833</v>
      </c>
      <c r="J1769" s="3">
        <f t="shared" si="81"/>
        <v>33833</v>
      </c>
      <c r="K1769" s="1">
        <v>36129</v>
      </c>
      <c r="L1769" s="3">
        <f t="shared" si="82"/>
        <v>36129</v>
      </c>
      <c r="M1769" t="s">
        <v>49</v>
      </c>
      <c r="N1769" t="s">
        <v>49</v>
      </c>
      <c r="O1769" t="s">
        <v>49</v>
      </c>
      <c r="P1769">
        <v>0</v>
      </c>
      <c r="Q1769" t="s">
        <v>50</v>
      </c>
      <c r="R1769" t="s">
        <v>51</v>
      </c>
      <c r="S1769">
        <v>1962</v>
      </c>
      <c r="T1769">
        <v>-777</v>
      </c>
      <c r="Z1769">
        <v>0</v>
      </c>
      <c r="AA1769">
        <v>1</v>
      </c>
      <c r="AB1769">
        <v>0</v>
      </c>
      <c r="AC1769">
        <v>0</v>
      </c>
      <c r="AF1769">
        <v>1992</v>
      </c>
      <c r="AG1769">
        <v>1998</v>
      </c>
      <c r="AH1769">
        <v>0.24742803126514601</v>
      </c>
      <c r="AI1769">
        <v>15174.285714285699</v>
      </c>
      <c r="AJ1769">
        <v>5.8855821448557304</v>
      </c>
      <c r="AL1769">
        <v>2.6154228455124402</v>
      </c>
      <c r="AM1769">
        <v>2.1513655835334999E-3</v>
      </c>
      <c r="AO1769" t="b">
        <v>0</v>
      </c>
      <c r="AT1769">
        <v>2296</v>
      </c>
      <c r="AU1769">
        <f t="shared" si="83"/>
        <v>6.29</v>
      </c>
    </row>
    <row r="1770" spans="1:47" x14ac:dyDescent="0.3">
      <c r="A1770">
        <v>1768</v>
      </c>
      <c r="B1770" t="s">
        <v>7489</v>
      </c>
      <c r="C1770" t="s">
        <v>7490</v>
      </c>
      <c r="D1770">
        <v>343</v>
      </c>
      <c r="E1770" t="s">
        <v>7484</v>
      </c>
      <c r="F1770" t="str">
        <f>VLOOKUP(E1770,country_continent!A:C,2,FALSE)</f>
        <v>Macedonia</v>
      </c>
      <c r="G1770" t="str">
        <f>VLOOKUP(E1770,country_continent!A:C,3,FALSE)</f>
        <v>Europe</v>
      </c>
      <c r="H1770" t="s">
        <v>7491</v>
      </c>
      <c r="I1770" s="1">
        <v>36129</v>
      </c>
      <c r="J1770" s="3">
        <f t="shared" si="81"/>
        <v>36129</v>
      </c>
      <c r="K1770" s="1">
        <v>37561</v>
      </c>
      <c r="L1770" s="3">
        <f t="shared" si="82"/>
        <v>37561</v>
      </c>
      <c r="M1770" t="s">
        <v>49</v>
      </c>
      <c r="N1770" t="s">
        <v>49</v>
      </c>
      <c r="O1770" t="s">
        <v>49</v>
      </c>
      <c r="P1770">
        <v>0</v>
      </c>
      <c r="Q1770" t="s">
        <v>50</v>
      </c>
      <c r="R1770" t="s">
        <v>51</v>
      </c>
      <c r="S1770">
        <v>1966</v>
      </c>
      <c r="T1770">
        <v>-777</v>
      </c>
      <c r="Z1770">
        <v>0</v>
      </c>
      <c r="AA1770">
        <v>1</v>
      </c>
      <c r="AB1770">
        <v>0</v>
      </c>
      <c r="AC1770">
        <v>0</v>
      </c>
      <c r="AF1770">
        <v>1998</v>
      </c>
      <c r="AG1770">
        <v>2002</v>
      </c>
      <c r="AH1770">
        <v>1.1269732905444301</v>
      </c>
      <c r="AI1770">
        <v>15350</v>
      </c>
      <c r="AJ1770">
        <v>-1.5389248531247499</v>
      </c>
      <c r="AL1770">
        <v>0.98652696072597301</v>
      </c>
      <c r="AM1770">
        <v>1.3721660771157001E-3</v>
      </c>
      <c r="AO1770" t="b">
        <v>0</v>
      </c>
      <c r="AT1770">
        <v>1432</v>
      </c>
      <c r="AU1770">
        <f t="shared" si="83"/>
        <v>3.923</v>
      </c>
    </row>
    <row r="1771" spans="1:47" x14ac:dyDescent="0.3">
      <c r="A1771">
        <v>1769</v>
      </c>
      <c r="B1771" t="s">
        <v>7492</v>
      </c>
      <c r="C1771" t="s">
        <v>7487</v>
      </c>
      <c r="D1771">
        <v>343</v>
      </c>
      <c r="E1771" t="s">
        <v>7484</v>
      </c>
      <c r="F1771" t="str">
        <f>VLOOKUP(E1771,country_continent!A:C,2,FALSE)</f>
        <v>Macedonia</v>
      </c>
      <c r="G1771" t="str">
        <f>VLOOKUP(E1771,country_continent!A:C,3,FALSE)</f>
        <v>Europe</v>
      </c>
      <c r="H1771" t="s">
        <v>7488</v>
      </c>
      <c r="I1771" s="1">
        <v>37561</v>
      </c>
      <c r="J1771" s="3">
        <f t="shared" si="81"/>
        <v>37561</v>
      </c>
      <c r="K1771" s="1">
        <v>38119</v>
      </c>
      <c r="L1771" s="3">
        <f t="shared" si="82"/>
        <v>38119</v>
      </c>
      <c r="M1771" t="s">
        <v>49</v>
      </c>
      <c r="N1771" t="s">
        <v>49</v>
      </c>
      <c r="O1771" t="s">
        <v>49</v>
      </c>
      <c r="P1771">
        <v>1</v>
      </c>
      <c r="Q1771" t="s">
        <v>50</v>
      </c>
      <c r="R1771" t="s">
        <v>51</v>
      </c>
      <c r="S1771">
        <v>1962</v>
      </c>
      <c r="T1771">
        <v>2010</v>
      </c>
      <c r="Z1771">
        <v>0</v>
      </c>
      <c r="AA1771">
        <v>1</v>
      </c>
      <c r="AB1771">
        <v>0</v>
      </c>
      <c r="AC1771">
        <v>0</v>
      </c>
      <c r="AF1771">
        <v>2002</v>
      </c>
      <c r="AG1771">
        <v>2004</v>
      </c>
      <c r="AH1771">
        <v>13.888160797978999</v>
      </c>
      <c r="AI1771">
        <v>19410</v>
      </c>
      <c r="AJ1771">
        <v>0.215408297672325</v>
      </c>
      <c r="AL1771">
        <v>1.5607922675553201</v>
      </c>
      <c r="AM1771">
        <v>1.4595202159579999E-3</v>
      </c>
      <c r="AO1771" t="b">
        <v>0</v>
      </c>
      <c r="AT1771">
        <v>558</v>
      </c>
      <c r="AU1771">
        <f t="shared" si="83"/>
        <v>1.5289999999999999</v>
      </c>
    </row>
    <row r="1772" spans="1:47" x14ac:dyDescent="0.3">
      <c r="A1772">
        <v>1770</v>
      </c>
      <c r="B1772" t="s">
        <v>7493</v>
      </c>
      <c r="C1772" t="s">
        <v>7494</v>
      </c>
      <c r="D1772">
        <v>343</v>
      </c>
      <c r="E1772" t="s">
        <v>7484</v>
      </c>
      <c r="F1772" t="str">
        <f>VLOOKUP(E1772,country_continent!A:C,2,FALSE)</f>
        <v>Macedonia</v>
      </c>
      <c r="G1772" t="str">
        <f>VLOOKUP(E1772,country_continent!A:C,3,FALSE)</f>
        <v>Europe</v>
      </c>
      <c r="H1772" t="s">
        <v>7495</v>
      </c>
      <c r="I1772" s="1">
        <v>38119</v>
      </c>
      <c r="J1772" s="3">
        <f t="shared" si="81"/>
        <v>38119</v>
      </c>
      <c r="K1772" s="1">
        <v>38140</v>
      </c>
      <c r="L1772" s="3">
        <f t="shared" si="82"/>
        <v>38140</v>
      </c>
      <c r="M1772" t="s">
        <v>49</v>
      </c>
      <c r="N1772" t="s">
        <v>49</v>
      </c>
      <c r="O1772" t="s">
        <v>49</v>
      </c>
      <c r="P1772">
        <v>0</v>
      </c>
      <c r="Q1772" t="s">
        <v>50</v>
      </c>
      <c r="R1772" t="s">
        <v>51</v>
      </c>
      <c r="S1772">
        <v>1972</v>
      </c>
      <c r="T1772">
        <v>-777</v>
      </c>
      <c r="U1772" s="1">
        <v>26490</v>
      </c>
      <c r="V1772" s="2">
        <v>26490</v>
      </c>
      <c r="Z1772">
        <v>0</v>
      </c>
      <c r="AA1772">
        <v>1</v>
      </c>
      <c r="AB1772">
        <v>0</v>
      </c>
      <c r="AC1772">
        <v>0</v>
      </c>
      <c r="AF1772">
        <v>2004</v>
      </c>
      <c r="AG1772">
        <v>2004</v>
      </c>
      <c r="AH1772">
        <v>23.5397069366621</v>
      </c>
      <c r="AI1772">
        <v>23050</v>
      </c>
      <c r="AJ1772">
        <v>1.93332430512438</v>
      </c>
      <c r="AL1772">
        <v>2.4714605354752801</v>
      </c>
      <c r="AM1772">
        <v>1.4200657384636E-3</v>
      </c>
      <c r="AO1772" t="b">
        <v>0</v>
      </c>
      <c r="AT1772">
        <v>21</v>
      </c>
      <c r="AU1772">
        <f t="shared" si="83"/>
        <v>5.8000000000000003E-2</v>
      </c>
    </row>
    <row r="1773" spans="1:47" x14ac:dyDescent="0.3">
      <c r="A1773">
        <v>1771</v>
      </c>
      <c r="B1773" t="s">
        <v>7496</v>
      </c>
      <c r="C1773" t="s">
        <v>7497</v>
      </c>
      <c r="D1773">
        <v>343</v>
      </c>
      <c r="E1773" t="s">
        <v>7484</v>
      </c>
      <c r="F1773" t="str">
        <f>VLOOKUP(E1773,country_continent!A:C,2,FALSE)</f>
        <v>Macedonia</v>
      </c>
      <c r="G1773" t="str">
        <f>VLOOKUP(E1773,country_continent!A:C,3,FALSE)</f>
        <v>Europe</v>
      </c>
      <c r="H1773" t="s">
        <v>7498</v>
      </c>
      <c r="I1773" s="1">
        <v>38140</v>
      </c>
      <c r="J1773" s="3">
        <f t="shared" si="81"/>
        <v>38140</v>
      </c>
      <c r="K1773" s="1">
        <v>38309</v>
      </c>
      <c r="L1773" s="3">
        <f t="shared" si="82"/>
        <v>38309</v>
      </c>
      <c r="M1773" t="s">
        <v>49</v>
      </c>
      <c r="N1773" t="s">
        <v>49</v>
      </c>
      <c r="O1773" t="s">
        <v>49</v>
      </c>
      <c r="P1773">
        <v>0</v>
      </c>
      <c r="Q1773" t="s">
        <v>50</v>
      </c>
      <c r="R1773" t="s">
        <v>51</v>
      </c>
      <c r="S1773">
        <v>1959</v>
      </c>
      <c r="T1773">
        <v>-777</v>
      </c>
      <c r="Z1773">
        <v>0</v>
      </c>
      <c r="AA1773">
        <v>1</v>
      </c>
      <c r="AB1773">
        <v>0</v>
      </c>
      <c r="AC1773">
        <v>0</v>
      </c>
      <c r="AF1773">
        <v>2004</v>
      </c>
      <c r="AG1773">
        <v>2004</v>
      </c>
      <c r="AH1773">
        <v>23.5397069366621</v>
      </c>
      <c r="AI1773">
        <v>23050</v>
      </c>
      <c r="AJ1773">
        <v>1.93332430512438</v>
      </c>
      <c r="AL1773">
        <v>2.4714605354752801</v>
      </c>
      <c r="AM1773">
        <v>1.4200657384636E-3</v>
      </c>
      <c r="AO1773" t="b">
        <v>0</v>
      </c>
      <c r="AT1773">
        <v>169</v>
      </c>
      <c r="AU1773">
        <f t="shared" si="83"/>
        <v>0.46300000000000002</v>
      </c>
    </row>
    <row r="1774" spans="1:47" x14ac:dyDescent="0.3">
      <c r="A1774">
        <v>1772</v>
      </c>
      <c r="B1774" t="s">
        <v>7499</v>
      </c>
      <c r="C1774" t="s">
        <v>7494</v>
      </c>
      <c r="D1774">
        <v>343</v>
      </c>
      <c r="E1774" t="s">
        <v>7484</v>
      </c>
      <c r="F1774" t="str">
        <f>VLOOKUP(E1774,country_continent!A:C,2,FALSE)</f>
        <v>Macedonia</v>
      </c>
      <c r="G1774" t="str">
        <f>VLOOKUP(E1774,country_continent!A:C,3,FALSE)</f>
        <v>Europe</v>
      </c>
      <c r="H1774" t="s">
        <v>7495</v>
      </c>
      <c r="I1774" s="1">
        <v>38309</v>
      </c>
      <c r="J1774" s="3">
        <f t="shared" si="81"/>
        <v>38309</v>
      </c>
      <c r="K1774" s="1">
        <v>38338</v>
      </c>
      <c r="L1774" s="3">
        <f t="shared" si="82"/>
        <v>38338</v>
      </c>
      <c r="M1774" t="s">
        <v>49</v>
      </c>
      <c r="N1774" t="s">
        <v>49</v>
      </c>
      <c r="O1774" t="s">
        <v>49</v>
      </c>
      <c r="P1774">
        <v>1</v>
      </c>
      <c r="Q1774" t="s">
        <v>50</v>
      </c>
      <c r="R1774" t="s">
        <v>51</v>
      </c>
      <c r="S1774">
        <v>1972</v>
      </c>
      <c r="T1774">
        <v>-777</v>
      </c>
      <c r="U1774" s="1">
        <v>26490</v>
      </c>
      <c r="V1774" s="2">
        <v>26490</v>
      </c>
      <c r="Z1774">
        <v>0</v>
      </c>
      <c r="AA1774">
        <v>1</v>
      </c>
      <c r="AB1774">
        <v>0</v>
      </c>
      <c r="AC1774">
        <v>0</v>
      </c>
      <c r="AF1774">
        <v>2004</v>
      </c>
      <c r="AG1774">
        <v>2004</v>
      </c>
      <c r="AH1774">
        <v>23.5397069366621</v>
      </c>
      <c r="AI1774">
        <v>23050</v>
      </c>
      <c r="AJ1774">
        <v>1.93332430512438</v>
      </c>
      <c r="AL1774">
        <v>2.4714605354752801</v>
      </c>
      <c r="AM1774">
        <v>1.4200657384636E-3</v>
      </c>
      <c r="AO1774" t="b">
        <v>0</v>
      </c>
      <c r="AT1774">
        <v>29</v>
      </c>
      <c r="AU1774">
        <f t="shared" si="83"/>
        <v>7.9000000000000001E-2</v>
      </c>
    </row>
    <row r="1775" spans="1:47" x14ac:dyDescent="0.3">
      <c r="A1775">
        <v>1773</v>
      </c>
      <c r="B1775" t="s">
        <v>7500</v>
      </c>
      <c r="C1775" t="s">
        <v>7501</v>
      </c>
      <c r="D1775">
        <v>343</v>
      </c>
      <c r="E1775" t="s">
        <v>7484</v>
      </c>
      <c r="F1775" t="str">
        <f>VLOOKUP(E1775,country_continent!A:C,2,FALSE)</f>
        <v>Macedonia</v>
      </c>
      <c r="G1775" t="str">
        <f>VLOOKUP(E1775,country_continent!A:C,3,FALSE)</f>
        <v>Europe</v>
      </c>
      <c r="H1775" t="s">
        <v>7502</v>
      </c>
      <c r="I1775" s="1">
        <v>38338</v>
      </c>
      <c r="J1775" s="3">
        <f t="shared" si="81"/>
        <v>38338</v>
      </c>
      <c r="K1775" s="1">
        <v>38956</v>
      </c>
      <c r="L1775" s="3">
        <f t="shared" si="82"/>
        <v>38956</v>
      </c>
      <c r="M1775" t="s">
        <v>49</v>
      </c>
      <c r="N1775" t="s">
        <v>49</v>
      </c>
      <c r="O1775" t="s">
        <v>49</v>
      </c>
      <c r="P1775">
        <v>0</v>
      </c>
      <c r="Q1775" t="s">
        <v>50</v>
      </c>
      <c r="R1775" t="s">
        <v>51</v>
      </c>
      <c r="S1775">
        <v>1962</v>
      </c>
      <c r="T1775">
        <v>-777</v>
      </c>
      <c r="U1775" s="1">
        <v>22982</v>
      </c>
      <c r="V1775" s="2">
        <v>22982</v>
      </c>
      <c r="Y1775" t="s">
        <v>7503</v>
      </c>
      <c r="Z1775">
        <v>0</v>
      </c>
      <c r="AA1775">
        <v>1</v>
      </c>
      <c r="AB1775">
        <v>0</v>
      </c>
      <c r="AC1775">
        <v>0</v>
      </c>
      <c r="AF1775">
        <v>2004</v>
      </c>
      <c r="AG1775">
        <v>2006</v>
      </c>
      <c r="AH1775">
        <v>11.6471781055445</v>
      </c>
      <c r="AI1775">
        <v>24466.666666666599</v>
      </c>
      <c r="AJ1775">
        <v>5.0820325629849199</v>
      </c>
      <c r="AL1775">
        <v>3.9160806463593101</v>
      </c>
      <c r="AM1775">
        <v>9.9873475445090001E-4</v>
      </c>
      <c r="AO1775" t="b">
        <v>0</v>
      </c>
      <c r="AT1775">
        <v>618</v>
      </c>
      <c r="AU1775">
        <f t="shared" si="83"/>
        <v>1.6930000000000001</v>
      </c>
    </row>
    <row r="1776" spans="1:47" x14ac:dyDescent="0.3">
      <c r="A1776">
        <v>1774</v>
      </c>
      <c r="B1776" t="s">
        <v>7504</v>
      </c>
      <c r="C1776" t="s">
        <v>7505</v>
      </c>
      <c r="D1776">
        <v>343</v>
      </c>
      <c r="E1776" t="s">
        <v>7484</v>
      </c>
      <c r="F1776" t="str">
        <f>VLOOKUP(E1776,country_continent!A:C,2,FALSE)</f>
        <v>Macedonia</v>
      </c>
      <c r="G1776" t="str">
        <f>VLOOKUP(E1776,country_continent!A:C,3,FALSE)</f>
        <v>Europe</v>
      </c>
      <c r="H1776" t="s">
        <v>7506</v>
      </c>
      <c r="I1776" s="1">
        <v>38956</v>
      </c>
      <c r="J1776" s="3">
        <f t="shared" si="81"/>
        <v>38956</v>
      </c>
      <c r="K1776" s="1">
        <v>42004</v>
      </c>
      <c r="L1776" s="3">
        <f t="shared" si="82"/>
        <v>42004</v>
      </c>
      <c r="M1776" t="s">
        <v>49</v>
      </c>
      <c r="N1776" t="s">
        <v>173</v>
      </c>
      <c r="O1776" t="s">
        <v>173</v>
      </c>
      <c r="P1776">
        <v>0</v>
      </c>
      <c r="Q1776" t="s">
        <v>174</v>
      </c>
      <c r="R1776" t="s">
        <v>51</v>
      </c>
      <c r="S1776">
        <v>1970</v>
      </c>
      <c r="T1776">
        <v>-777</v>
      </c>
      <c r="U1776" s="1">
        <v>25811</v>
      </c>
      <c r="V1776" s="2">
        <v>25811</v>
      </c>
      <c r="Z1776">
        <v>0</v>
      </c>
      <c r="AA1776">
        <v>-888</v>
      </c>
      <c r="AB1776">
        <v>-888</v>
      </c>
      <c r="AC1776">
        <v>-888</v>
      </c>
      <c r="AF1776">
        <v>2006</v>
      </c>
      <c r="AG1776">
        <v>2014</v>
      </c>
      <c r="AH1776">
        <v>7.5492804031084297</v>
      </c>
      <c r="AI1776">
        <v>47036.666666666599</v>
      </c>
      <c r="AJ1776">
        <v>7.01863378829922</v>
      </c>
      <c r="AL1776">
        <v>3.0256194294351002</v>
      </c>
      <c r="AM1776">
        <v>8.8205364463500005E-4</v>
      </c>
      <c r="AO1776" t="b">
        <v>0</v>
      </c>
      <c r="AT1776">
        <v>3048</v>
      </c>
      <c r="AU1776">
        <f t="shared" si="83"/>
        <v>8.3510000000000009</v>
      </c>
    </row>
    <row r="1777" spans="1:47" x14ac:dyDescent="0.3">
      <c r="A1777">
        <v>1775</v>
      </c>
      <c r="B1777" t="s">
        <v>7507</v>
      </c>
      <c r="C1777" t="s">
        <v>7508</v>
      </c>
      <c r="D1777">
        <v>344</v>
      </c>
      <c r="E1777" t="s">
        <v>7509</v>
      </c>
      <c r="F1777" t="str">
        <f>VLOOKUP(E1777,country_continent!A:C,2,FALSE)</f>
        <v>Croatia</v>
      </c>
      <c r="G1777" t="str">
        <f>VLOOKUP(E1777,country_continent!A:C,3,FALSE)</f>
        <v>Europe</v>
      </c>
      <c r="H1777" t="s">
        <v>7510</v>
      </c>
      <c r="I1777" s="1">
        <v>33023</v>
      </c>
      <c r="J1777" s="3">
        <f t="shared" si="81"/>
        <v>33023</v>
      </c>
      <c r="K1777" s="1">
        <v>36490</v>
      </c>
      <c r="L1777" s="3">
        <f t="shared" si="82"/>
        <v>36490</v>
      </c>
      <c r="M1777" t="s">
        <v>49</v>
      </c>
      <c r="N1777" t="s">
        <v>110</v>
      </c>
      <c r="O1777" t="s">
        <v>49</v>
      </c>
      <c r="P1777">
        <v>0</v>
      </c>
      <c r="Q1777" t="s">
        <v>111</v>
      </c>
      <c r="R1777" t="s">
        <v>51</v>
      </c>
      <c r="S1777">
        <v>1922</v>
      </c>
      <c r="T1777">
        <v>1999</v>
      </c>
      <c r="Y1777" t="s">
        <v>7511</v>
      </c>
      <c r="Z1777">
        <v>0</v>
      </c>
      <c r="AA1777">
        <v>2</v>
      </c>
      <c r="AB1777">
        <v>0</v>
      </c>
      <c r="AC1777">
        <v>-777</v>
      </c>
      <c r="AF1777">
        <v>1990</v>
      </c>
      <c r="AG1777">
        <v>1999</v>
      </c>
      <c r="AO1777" t="b">
        <v>0</v>
      </c>
      <c r="AT1777">
        <v>3467</v>
      </c>
      <c r="AU1777">
        <f t="shared" si="83"/>
        <v>9.4990000000000006</v>
      </c>
    </row>
    <row r="1778" spans="1:47" x14ac:dyDescent="0.3">
      <c r="A1778">
        <v>1776</v>
      </c>
      <c r="B1778" t="s">
        <v>7512</v>
      </c>
      <c r="C1778" t="s">
        <v>7513</v>
      </c>
      <c r="D1778">
        <v>344</v>
      </c>
      <c r="E1778" t="s">
        <v>7509</v>
      </c>
      <c r="F1778" t="str">
        <f>VLOOKUP(E1778,country_continent!A:C,2,FALSE)</f>
        <v>Croatia</v>
      </c>
      <c r="G1778" t="str">
        <f>VLOOKUP(E1778,country_continent!A:C,3,FALSE)</f>
        <v>Europe</v>
      </c>
      <c r="H1778" t="s">
        <v>7514</v>
      </c>
      <c r="I1778" s="1">
        <v>36490</v>
      </c>
      <c r="J1778" s="3">
        <f t="shared" si="81"/>
        <v>36490</v>
      </c>
      <c r="K1778" s="1">
        <v>36558</v>
      </c>
      <c r="L1778" s="3">
        <f t="shared" si="82"/>
        <v>36558</v>
      </c>
      <c r="M1778" t="s">
        <v>49</v>
      </c>
      <c r="N1778" t="s">
        <v>49</v>
      </c>
      <c r="O1778" t="s">
        <v>49</v>
      </c>
      <c r="P1778">
        <v>0</v>
      </c>
      <c r="Q1778" t="s">
        <v>50</v>
      </c>
      <c r="R1778" t="s">
        <v>51</v>
      </c>
      <c r="S1778">
        <v>1930</v>
      </c>
      <c r="T1778">
        <v>2007</v>
      </c>
      <c r="Z1778">
        <v>0</v>
      </c>
      <c r="AA1778">
        <v>1</v>
      </c>
      <c r="AB1778">
        <v>0</v>
      </c>
      <c r="AC1778">
        <v>0</v>
      </c>
      <c r="AF1778">
        <v>1999</v>
      </c>
      <c r="AG1778">
        <v>2000</v>
      </c>
      <c r="AO1778" t="b">
        <v>0</v>
      </c>
      <c r="AT1778">
        <v>68</v>
      </c>
      <c r="AU1778">
        <f t="shared" si="83"/>
        <v>0.186</v>
      </c>
    </row>
    <row r="1779" spans="1:47" x14ac:dyDescent="0.3">
      <c r="A1779">
        <v>1777</v>
      </c>
      <c r="B1779" t="s">
        <v>7515</v>
      </c>
      <c r="C1779" t="s">
        <v>7516</v>
      </c>
      <c r="D1779">
        <v>344</v>
      </c>
      <c r="E1779" t="s">
        <v>7509</v>
      </c>
      <c r="F1779" t="str">
        <f>VLOOKUP(E1779,country_continent!A:C,2,FALSE)</f>
        <v>Croatia</v>
      </c>
      <c r="G1779" t="str">
        <f>VLOOKUP(E1779,country_continent!A:C,3,FALSE)</f>
        <v>Europe</v>
      </c>
      <c r="H1779" t="s">
        <v>7517</v>
      </c>
      <c r="I1779" s="1">
        <v>36558</v>
      </c>
      <c r="J1779" s="3">
        <f t="shared" si="81"/>
        <v>36558</v>
      </c>
      <c r="K1779" s="1">
        <v>36574</v>
      </c>
      <c r="L1779" s="3">
        <f t="shared" si="82"/>
        <v>36574</v>
      </c>
      <c r="M1779" t="s">
        <v>49</v>
      </c>
      <c r="N1779" t="s">
        <v>49</v>
      </c>
      <c r="O1779" t="s">
        <v>49</v>
      </c>
      <c r="P1779">
        <v>0</v>
      </c>
      <c r="Q1779" t="s">
        <v>50</v>
      </c>
      <c r="R1779" t="s">
        <v>51</v>
      </c>
      <c r="S1779">
        <v>1945</v>
      </c>
      <c r="T1779">
        <v>-777</v>
      </c>
      <c r="Z1779">
        <v>0</v>
      </c>
      <c r="AA1779">
        <v>1</v>
      </c>
      <c r="AB1779">
        <v>0</v>
      </c>
      <c r="AC1779">
        <v>0</v>
      </c>
      <c r="AF1779">
        <v>2000</v>
      </c>
      <c r="AG1779">
        <v>2000</v>
      </c>
      <c r="AO1779" t="b">
        <v>0</v>
      </c>
      <c r="AT1779">
        <v>16</v>
      </c>
      <c r="AU1779">
        <f t="shared" si="83"/>
        <v>4.3999999999999997E-2</v>
      </c>
    </row>
    <row r="1780" spans="1:47" x14ac:dyDescent="0.3">
      <c r="A1780">
        <v>1778</v>
      </c>
      <c r="B1780" t="s">
        <v>7518</v>
      </c>
      <c r="C1780" t="s">
        <v>7519</v>
      </c>
      <c r="D1780">
        <v>344</v>
      </c>
      <c r="E1780" t="s">
        <v>7509</v>
      </c>
      <c r="F1780" t="str">
        <f>VLOOKUP(E1780,country_continent!A:C,2,FALSE)</f>
        <v>Croatia</v>
      </c>
      <c r="G1780" t="str">
        <f>VLOOKUP(E1780,country_continent!A:C,3,FALSE)</f>
        <v>Europe</v>
      </c>
      <c r="H1780" t="s">
        <v>7520</v>
      </c>
      <c r="I1780" s="1">
        <v>36574</v>
      </c>
      <c r="J1780" s="3">
        <f t="shared" si="81"/>
        <v>36574</v>
      </c>
      <c r="K1780" s="1">
        <v>40227</v>
      </c>
      <c r="L1780" s="3">
        <f t="shared" si="82"/>
        <v>40227</v>
      </c>
      <c r="M1780" t="s">
        <v>49</v>
      </c>
      <c r="N1780" t="s">
        <v>49</v>
      </c>
      <c r="O1780" t="s">
        <v>49</v>
      </c>
      <c r="P1780">
        <v>0</v>
      </c>
      <c r="Q1780" t="s">
        <v>50</v>
      </c>
      <c r="R1780" t="s">
        <v>51</v>
      </c>
      <c r="S1780">
        <v>1934</v>
      </c>
      <c r="T1780">
        <v>-777</v>
      </c>
      <c r="U1780" s="1">
        <v>12777</v>
      </c>
      <c r="V1780" s="2">
        <v>12777</v>
      </c>
      <c r="Y1780" t="s">
        <v>7521</v>
      </c>
      <c r="Z1780">
        <v>0</v>
      </c>
      <c r="AA1780">
        <v>1</v>
      </c>
      <c r="AB1780">
        <v>0</v>
      </c>
      <c r="AC1780">
        <v>0</v>
      </c>
      <c r="AF1780">
        <v>2000</v>
      </c>
      <c r="AG1780">
        <v>2010</v>
      </c>
      <c r="AO1780" t="b">
        <v>0</v>
      </c>
      <c r="AT1780">
        <v>3653</v>
      </c>
      <c r="AU1780">
        <f t="shared" si="83"/>
        <v>10.007999999999999</v>
      </c>
    </row>
    <row r="1781" spans="1:47" x14ac:dyDescent="0.3">
      <c r="A1781">
        <v>1779</v>
      </c>
      <c r="B1781" t="s">
        <v>7522</v>
      </c>
      <c r="C1781" t="s">
        <v>7523</v>
      </c>
      <c r="D1781">
        <v>344</v>
      </c>
      <c r="E1781" t="s">
        <v>7509</v>
      </c>
      <c r="F1781" t="str">
        <f>VLOOKUP(E1781,country_continent!A:C,2,FALSE)</f>
        <v>Croatia</v>
      </c>
      <c r="G1781" t="str">
        <f>VLOOKUP(E1781,country_continent!A:C,3,FALSE)</f>
        <v>Europe</v>
      </c>
      <c r="H1781" t="s">
        <v>7524</v>
      </c>
      <c r="I1781" s="1">
        <v>40227</v>
      </c>
      <c r="J1781" s="3">
        <f t="shared" si="81"/>
        <v>40227</v>
      </c>
      <c r="K1781" s="1">
        <v>42053</v>
      </c>
      <c r="L1781" s="3">
        <f t="shared" si="82"/>
        <v>42053</v>
      </c>
      <c r="M1781" t="s">
        <v>49</v>
      </c>
      <c r="N1781" t="s">
        <v>49</v>
      </c>
      <c r="O1781" t="s">
        <v>49</v>
      </c>
      <c r="P1781">
        <v>0</v>
      </c>
      <c r="Q1781" t="s">
        <v>312</v>
      </c>
      <c r="R1781" t="s">
        <v>51</v>
      </c>
      <c r="S1781">
        <v>1957</v>
      </c>
      <c r="T1781">
        <v>-777</v>
      </c>
      <c r="U1781" s="1">
        <v>21060</v>
      </c>
      <c r="V1781" s="2">
        <v>21060</v>
      </c>
      <c r="Z1781">
        <v>0</v>
      </c>
      <c r="AA1781">
        <v>1</v>
      </c>
      <c r="AB1781">
        <v>0</v>
      </c>
      <c r="AC1781">
        <v>-999</v>
      </c>
      <c r="AF1781">
        <v>2010</v>
      </c>
      <c r="AG1781">
        <v>2015</v>
      </c>
      <c r="AO1781" t="b">
        <v>0</v>
      </c>
      <c r="AT1781">
        <v>1826</v>
      </c>
      <c r="AU1781">
        <f t="shared" si="83"/>
        <v>5.0030000000000001</v>
      </c>
    </row>
    <row r="1782" spans="1:47" x14ac:dyDescent="0.3">
      <c r="A1782">
        <v>1780</v>
      </c>
      <c r="B1782" t="s">
        <v>7525</v>
      </c>
      <c r="C1782" t="s">
        <v>7526</v>
      </c>
      <c r="D1782">
        <v>344</v>
      </c>
      <c r="E1782" t="s">
        <v>7509</v>
      </c>
      <c r="F1782" t="str">
        <f>VLOOKUP(E1782,country_continent!A:C,2,FALSE)</f>
        <v>Croatia</v>
      </c>
      <c r="G1782" t="str">
        <f>VLOOKUP(E1782,country_continent!A:C,3,FALSE)</f>
        <v>Europe</v>
      </c>
      <c r="H1782" t="s">
        <v>7527</v>
      </c>
      <c r="I1782" s="1">
        <v>42054</v>
      </c>
      <c r="J1782" s="3">
        <f t="shared" si="81"/>
        <v>42054</v>
      </c>
      <c r="K1782" s="1">
        <v>42369</v>
      </c>
      <c r="L1782" s="3">
        <f t="shared" si="82"/>
        <v>42369</v>
      </c>
      <c r="M1782" t="s">
        <v>49</v>
      </c>
      <c r="N1782" t="s">
        <v>173</v>
      </c>
      <c r="O1782" t="s">
        <v>173</v>
      </c>
      <c r="P1782">
        <v>0</v>
      </c>
      <c r="Q1782" t="s">
        <v>174</v>
      </c>
      <c r="R1782" t="s">
        <v>299</v>
      </c>
      <c r="S1782">
        <v>1968</v>
      </c>
      <c r="T1782">
        <v>-777</v>
      </c>
      <c r="U1782" s="1">
        <v>24957</v>
      </c>
      <c r="V1782" s="2">
        <v>24957</v>
      </c>
      <c r="Z1782">
        <v>0</v>
      </c>
      <c r="AA1782">
        <v>-888</v>
      </c>
      <c r="AB1782">
        <v>-888</v>
      </c>
      <c r="AC1782">
        <v>-888</v>
      </c>
      <c r="AF1782">
        <v>2015</v>
      </c>
      <c r="AG1782">
        <v>2015</v>
      </c>
      <c r="AO1782" t="b">
        <v>0</v>
      </c>
      <c r="AT1782">
        <v>315</v>
      </c>
      <c r="AU1782">
        <f t="shared" si="83"/>
        <v>0.86299999999999999</v>
      </c>
    </row>
    <row r="1783" spans="1:47" x14ac:dyDescent="0.3">
      <c r="A1783">
        <v>1781</v>
      </c>
      <c r="B1783" t="s">
        <v>7528</v>
      </c>
      <c r="C1783" t="s">
        <v>7529</v>
      </c>
      <c r="D1783">
        <v>345</v>
      </c>
      <c r="E1783" t="s">
        <v>7530</v>
      </c>
      <c r="F1783" t="str">
        <f>VLOOKUP(E1783,country_continent!A:C,2,FALSE)</f>
        <v>Yugoslavia</v>
      </c>
      <c r="G1783" t="str">
        <f>VLOOKUP(E1783,country_continent!A:C,3,FALSE)</f>
        <v>Europe</v>
      </c>
      <c r="H1783" t="s">
        <v>7460</v>
      </c>
      <c r="I1783" s="1">
        <v>6910</v>
      </c>
      <c r="J1783" s="3">
        <f t="shared" si="81"/>
        <v>6910</v>
      </c>
      <c r="K1783" s="1">
        <v>12701</v>
      </c>
      <c r="L1783" s="3">
        <f t="shared" si="82"/>
        <v>12701</v>
      </c>
      <c r="M1783" t="s">
        <v>49</v>
      </c>
      <c r="N1783" t="s">
        <v>67</v>
      </c>
      <c r="O1783" t="s">
        <v>68</v>
      </c>
      <c r="P1783">
        <v>1</v>
      </c>
      <c r="Q1783" t="s">
        <v>69</v>
      </c>
      <c r="R1783" t="s">
        <v>51</v>
      </c>
      <c r="S1783">
        <v>1888</v>
      </c>
      <c r="T1783">
        <v>1934</v>
      </c>
      <c r="Y1783" t="s">
        <v>7463</v>
      </c>
      <c r="Z1783">
        <v>0</v>
      </c>
      <c r="AA1783">
        <v>3</v>
      </c>
      <c r="AB1783">
        <v>11</v>
      </c>
      <c r="AC1783">
        <v>3</v>
      </c>
      <c r="AF1783">
        <v>1918</v>
      </c>
      <c r="AG1783">
        <v>1934</v>
      </c>
      <c r="AO1783" t="b">
        <v>0</v>
      </c>
      <c r="AT1783">
        <v>5791</v>
      </c>
      <c r="AU1783">
        <f t="shared" si="83"/>
        <v>15.866</v>
      </c>
    </row>
    <row r="1784" spans="1:47" x14ac:dyDescent="0.3">
      <c r="A1784">
        <v>1782</v>
      </c>
      <c r="B1784" t="s">
        <v>7531</v>
      </c>
      <c r="C1784" t="s">
        <v>7532</v>
      </c>
      <c r="D1784">
        <v>345</v>
      </c>
      <c r="E1784" t="s">
        <v>7530</v>
      </c>
      <c r="F1784" t="str">
        <f>VLOOKUP(E1784,country_continent!A:C,2,FALSE)</f>
        <v>Yugoslavia</v>
      </c>
      <c r="G1784" t="str">
        <f>VLOOKUP(E1784,country_continent!A:C,3,FALSE)</f>
        <v>Europe</v>
      </c>
      <c r="H1784" t="s">
        <v>7533</v>
      </c>
      <c r="I1784" s="1">
        <v>12701</v>
      </c>
      <c r="J1784" s="3">
        <f t="shared" si="81"/>
        <v>12701</v>
      </c>
      <c r="K1784" s="1">
        <v>15062</v>
      </c>
      <c r="L1784" s="3">
        <f t="shared" si="82"/>
        <v>15062</v>
      </c>
      <c r="M1784" t="s">
        <v>49</v>
      </c>
      <c r="N1784" t="s">
        <v>67</v>
      </c>
      <c r="O1784" t="s">
        <v>376</v>
      </c>
      <c r="P1784">
        <v>0</v>
      </c>
      <c r="Q1784" t="s">
        <v>362</v>
      </c>
      <c r="R1784" t="s">
        <v>51</v>
      </c>
      <c r="S1784">
        <v>1893</v>
      </c>
      <c r="T1784">
        <v>1976</v>
      </c>
      <c r="Z1784">
        <v>0</v>
      </c>
      <c r="AA1784">
        <v>3</v>
      </c>
      <c r="AB1784">
        <v>6</v>
      </c>
      <c r="AC1784">
        <v>1</v>
      </c>
      <c r="AF1784">
        <v>1934</v>
      </c>
      <c r="AG1784">
        <v>1941</v>
      </c>
      <c r="AO1784" t="b">
        <v>0</v>
      </c>
      <c r="AT1784">
        <v>2361</v>
      </c>
      <c r="AU1784">
        <f t="shared" si="83"/>
        <v>6.468</v>
      </c>
    </row>
    <row r="1785" spans="1:47" x14ac:dyDescent="0.3">
      <c r="A1785">
        <v>1783</v>
      </c>
      <c r="B1785" t="s">
        <v>7534</v>
      </c>
      <c r="C1785" t="s">
        <v>7535</v>
      </c>
      <c r="D1785">
        <v>345</v>
      </c>
      <c r="E1785" t="s">
        <v>7530</v>
      </c>
      <c r="F1785" t="str">
        <f>VLOOKUP(E1785,country_continent!A:C,2,FALSE)</f>
        <v>Yugoslavia</v>
      </c>
      <c r="G1785" t="str">
        <f>VLOOKUP(E1785,country_continent!A:C,3,FALSE)</f>
        <v>Europe</v>
      </c>
      <c r="H1785" t="s">
        <v>7536</v>
      </c>
      <c r="I1785" s="1">
        <v>15062</v>
      </c>
      <c r="J1785" s="3">
        <f t="shared" si="81"/>
        <v>15062</v>
      </c>
      <c r="K1785" s="1">
        <v>15086</v>
      </c>
      <c r="L1785" s="3">
        <f t="shared" si="82"/>
        <v>15086</v>
      </c>
      <c r="M1785" t="s">
        <v>67</v>
      </c>
      <c r="N1785" t="s">
        <v>633</v>
      </c>
      <c r="O1785" t="s">
        <v>634</v>
      </c>
      <c r="P1785">
        <v>0</v>
      </c>
      <c r="Q1785" t="s">
        <v>362</v>
      </c>
      <c r="R1785" t="s">
        <v>51</v>
      </c>
      <c r="S1785">
        <v>1923</v>
      </c>
      <c r="T1785">
        <v>1970</v>
      </c>
      <c r="U1785" s="1">
        <v>8650</v>
      </c>
      <c r="V1785" s="2">
        <v>8650</v>
      </c>
      <c r="W1785" s="1">
        <v>25875</v>
      </c>
      <c r="X1785" s="2">
        <v>25875</v>
      </c>
      <c r="Y1785" t="s">
        <v>7537</v>
      </c>
      <c r="Z1785">
        <v>1</v>
      </c>
      <c r="AA1785">
        <v>4</v>
      </c>
      <c r="AB1785">
        <v>9</v>
      </c>
      <c r="AC1785">
        <v>1</v>
      </c>
      <c r="AF1785">
        <v>1941</v>
      </c>
      <c r="AG1785">
        <v>1941</v>
      </c>
      <c r="AO1785" t="b">
        <v>0</v>
      </c>
      <c r="AT1785">
        <v>24</v>
      </c>
      <c r="AU1785">
        <f t="shared" si="83"/>
        <v>6.6000000000000003E-2</v>
      </c>
    </row>
    <row r="1786" spans="1:47" x14ac:dyDescent="0.3">
      <c r="A1786">
        <v>1784</v>
      </c>
      <c r="B1786" t="s">
        <v>7538</v>
      </c>
      <c r="C1786" t="s">
        <v>7539</v>
      </c>
      <c r="D1786">
        <v>345</v>
      </c>
      <c r="E1786" t="s">
        <v>7530</v>
      </c>
      <c r="F1786" t="str">
        <f>VLOOKUP(E1786,country_continent!A:C,2,FALSE)</f>
        <v>Yugoslavia</v>
      </c>
      <c r="G1786" t="str">
        <f>VLOOKUP(E1786,country_continent!A:C,3,FALSE)</f>
        <v>Europe</v>
      </c>
      <c r="H1786" t="s">
        <v>7540</v>
      </c>
      <c r="I1786" s="1">
        <v>16502</v>
      </c>
      <c r="J1786" s="3">
        <f t="shared" si="81"/>
        <v>16502</v>
      </c>
      <c r="K1786" s="1">
        <v>29345</v>
      </c>
      <c r="L1786" s="3">
        <f t="shared" si="82"/>
        <v>29345</v>
      </c>
      <c r="M1786" t="s">
        <v>67</v>
      </c>
      <c r="N1786" t="s">
        <v>110</v>
      </c>
      <c r="O1786" t="s">
        <v>49</v>
      </c>
      <c r="P1786">
        <v>0</v>
      </c>
      <c r="Q1786" t="s">
        <v>111</v>
      </c>
      <c r="R1786" t="s">
        <v>51</v>
      </c>
      <c r="S1786">
        <v>1892</v>
      </c>
      <c r="T1786">
        <v>1980</v>
      </c>
      <c r="U1786" t="s">
        <v>7541</v>
      </c>
      <c r="V1786" t="s">
        <v>7542</v>
      </c>
      <c r="W1786" s="1">
        <v>29345</v>
      </c>
      <c r="X1786" s="2">
        <v>29345</v>
      </c>
      <c r="Y1786" t="s">
        <v>7543</v>
      </c>
      <c r="Z1786">
        <v>1</v>
      </c>
      <c r="AA1786">
        <v>2</v>
      </c>
      <c r="AB1786">
        <v>0</v>
      </c>
      <c r="AC1786">
        <v>-777</v>
      </c>
      <c r="AF1786">
        <v>1945</v>
      </c>
      <c r="AG1786">
        <v>1980</v>
      </c>
      <c r="AN1786">
        <v>-6.94</v>
      </c>
      <c r="AO1786" t="b">
        <v>0</v>
      </c>
      <c r="AT1786">
        <v>12843</v>
      </c>
      <c r="AU1786">
        <f t="shared" si="83"/>
        <v>35.186</v>
      </c>
    </row>
    <row r="1787" spans="1:47" x14ac:dyDescent="0.3">
      <c r="A1787">
        <v>1785</v>
      </c>
      <c r="B1787" t="s">
        <v>7544</v>
      </c>
      <c r="C1787" t="s">
        <v>7545</v>
      </c>
      <c r="D1787">
        <v>345</v>
      </c>
      <c r="E1787" t="s">
        <v>7530</v>
      </c>
      <c r="F1787" t="str">
        <f>VLOOKUP(E1787,country_continent!A:C,2,FALSE)</f>
        <v>Yugoslavia</v>
      </c>
      <c r="G1787" t="str">
        <f>VLOOKUP(E1787,country_continent!A:C,3,FALSE)</f>
        <v>Europe</v>
      </c>
      <c r="H1787" t="s">
        <v>7546</v>
      </c>
      <c r="I1787" s="1">
        <v>29345</v>
      </c>
      <c r="J1787" s="3">
        <f t="shared" si="81"/>
        <v>29345</v>
      </c>
      <c r="K1787" s="1">
        <v>29356</v>
      </c>
      <c r="L1787" s="3">
        <f t="shared" si="82"/>
        <v>29356</v>
      </c>
      <c r="M1787" t="s">
        <v>49</v>
      </c>
      <c r="N1787" t="s">
        <v>49</v>
      </c>
      <c r="O1787" t="s">
        <v>49</v>
      </c>
      <c r="P1787">
        <v>0</v>
      </c>
      <c r="Q1787" t="s">
        <v>50</v>
      </c>
      <c r="R1787" t="s">
        <v>51</v>
      </c>
      <c r="S1787">
        <v>1914</v>
      </c>
      <c r="T1787">
        <v>2000</v>
      </c>
      <c r="Z1787">
        <v>0</v>
      </c>
      <c r="AA1787">
        <v>1</v>
      </c>
      <c r="AB1787">
        <v>0</v>
      </c>
      <c r="AC1787">
        <v>0</v>
      </c>
      <c r="AF1787">
        <v>1980</v>
      </c>
      <c r="AG1787">
        <v>1980</v>
      </c>
      <c r="AN1787">
        <v>-5</v>
      </c>
      <c r="AO1787" t="b">
        <v>0</v>
      </c>
      <c r="AT1787">
        <v>11</v>
      </c>
      <c r="AU1787">
        <f t="shared" si="83"/>
        <v>0.03</v>
      </c>
    </row>
    <row r="1788" spans="1:47" x14ac:dyDescent="0.3">
      <c r="A1788">
        <v>1786</v>
      </c>
      <c r="B1788" t="s">
        <v>7547</v>
      </c>
      <c r="C1788" t="s">
        <v>7548</v>
      </c>
      <c r="D1788">
        <v>345</v>
      </c>
      <c r="E1788" t="s">
        <v>7530</v>
      </c>
      <c r="F1788" t="str">
        <f>VLOOKUP(E1788,country_continent!A:C,2,FALSE)</f>
        <v>Yugoslavia</v>
      </c>
      <c r="G1788" t="str">
        <f>VLOOKUP(E1788,country_continent!A:C,3,FALSE)</f>
        <v>Europe</v>
      </c>
      <c r="H1788" t="s">
        <v>7549</v>
      </c>
      <c r="I1788" s="1">
        <v>29356</v>
      </c>
      <c r="J1788" s="3">
        <f t="shared" si="81"/>
        <v>29356</v>
      </c>
      <c r="K1788" s="1">
        <v>29721</v>
      </c>
      <c r="L1788" s="3">
        <f t="shared" si="82"/>
        <v>29721</v>
      </c>
      <c r="M1788" t="s">
        <v>49</v>
      </c>
      <c r="N1788" t="s">
        <v>49</v>
      </c>
      <c r="O1788" t="s">
        <v>49</v>
      </c>
      <c r="P1788">
        <v>0</v>
      </c>
      <c r="Q1788" t="s">
        <v>50</v>
      </c>
      <c r="R1788" t="s">
        <v>51</v>
      </c>
      <c r="S1788">
        <v>1912</v>
      </c>
      <c r="T1788">
        <v>1993</v>
      </c>
      <c r="Y1788" t="s">
        <v>7550</v>
      </c>
      <c r="Z1788">
        <v>0</v>
      </c>
      <c r="AA1788">
        <v>1</v>
      </c>
      <c r="AB1788">
        <v>0</v>
      </c>
      <c r="AC1788">
        <v>0</v>
      </c>
      <c r="AF1788">
        <v>1980</v>
      </c>
      <c r="AG1788">
        <v>1981</v>
      </c>
      <c r="AN1788">
        <v>-5</v>
      </c>
      <c r="AO1788" t="b">
        <v>0</v>
      </c>
      <c r="AT1788">
        <v>365</v>
      </c>
      <c r="AU1788">
        <f t="shared" si="83"/>
        <v>1</v>
      </c>
    </row>
    <row r="1789" spans="1:47" x14ac:dyDescent="0.3">
      <c r="A1789">
        <v>1787</v>
      </c>
      <c r="B1789" t="s">
        <v>7551</v>
      </c>
      <c r="C1789" t="s">
        <v>7552</v>
      </c>
      <c r="D1789">
        <v>345</v>
      </c>
      <c r="E1789" t="s">
        <v>7530</v>
      </c>
      <c r="F1789" t="str">
        <f>VLOOKUP(E1789,country_continent!A:C,2,FALSE)</f>
        <v>Yugoslavia</v>
      </c>
      <c r="G1789" t="str">
        <f>VLOOKUP(E1789,country_continent!A:C,3,FALSE)</f>
        <v>Europe</v>
      </c>
      <c r="H1789" t="s">
        <v>7553</v>
      </c>
      <c r="I1789" s="1">
        <v>29721</v>
      </c>
      <c r="J1789" s="3">
        <f t="shared" si="81"/>
        <v>29721</v>
      </c>
      <c r="K1789" s="1">
        <v>30087</v>
      </c>
      <c r="L1789" s="3">
        <f t="shared" si="82"/>
        <v>30087</v>
      </c>
      <c r="M1789" t="s">
        <v>49</v>
      </c>
      <c r="N1789" t="s">
        <v>49</v>
      </c>
      <c r="O1789" t="s">
        <v>49</v>
      </c>
      <c r="P1789">
        <v>0</v>
      </c>
      <c r="Q1789" t="s">
        <v>50</v>
      </c>
      <c r="R1789" t="s">
        <v>51</v>
      </c>
      <c r="S1789">
        <v>1914</v>
      </c>
      <c r="T1789">
        <v>2001</v>
      </c>
      <c r="Z1789">
        <v>0</v>
      </c>
      <c r="AA1789">
        <v>1</v>
      </c>
      <c r="AB1789">
        <v>0</v>
      </c>
      <c r="AC1789">
        <v>0</v>
      </c>
      <c r="AF1789">
        <v>1981</v>
      </c>
      <c r="AG1789">
        <v>1982</v>
      </c>
      <c r="AN1789">
        <v>-5</v>
      </c>
      <c r="AO1789" t="b">
        <v>0</v>
      </c>
      <c r="AT1789">
        <v>366</v>
      </c>
      <c r="AU1789">
        <f t="shared" si="83"/>
        <v>1.0029999999999999</v>
      </c>
    </row>
    <row r="1790" spans="1:47" x14ac:dyDescent="0.3">
      <c r="A1790">
        <v>1788</v>
      </c>
      <c r="B1790" t="s">
        <v>7554</v>
      </c>
      <c r="C1790" t="s">
        <v>7555</v>
      </c>
      <c r="D1790">
        <v>345</v>
      </c>
      <c r="E1790" t="s">
        <v>7530</v>
      </c>
      <c r="F1790" t="str">
        <f>VLOOKUP(E1790,country_continent!A:C,2,FALSE)</f>
        <v>Yugoslavia</v>
      </c>
      <c r="G1790" t="str">
        <f>VLOOKUP(E1790,country_continent!A:C,3,FALSE)</f>
        <v>Europe</v>
      </c>
      <c r="H1790" t="s">
        <v>7556</v>
      </c>
      <c r="I1790" s="1">
        <v>30087</v>
      </c>
      <c r="J1790" s="3">
        <f t="shared" si="81"/>
        <v>30087</v>
      </c>
      <c r="K1790" s="1">
        <v>30449</v>
      </c>
      <c r="L1790" s="3">
        <f t="shared" si="82"/>
        <v>30449</v>
      </c>
      <c r="M1790" t="s">
        <v>49</v>
      </c>
      <c r="N1790" t="s">
        <v>49</v>
      </c>
      <c r="O1790" t="s">
        <v>49</v>
      </c>
      <c r="P1790">
        <v>0</v>
      </c>
      <c r="Q1790" t="s">
        <v>50</v>
      </c>
      <c r="R1790" t="s">
        <v>51</v>
      </c>
      <c r="S1790">
        <v>1912</v>
      </c>
      <c r="T1790">
        <v>-777</v>
      </c>
      <c r="W1790" s="1">
        <v>36763</v>
      </c>
      <c r="X1790" s="2">
        <v>36763</v>
      </c>
      <c r="Z1790">
        <v>0</v>
      </c>
      <c r="AA1790">
        <v>1</v>
      </c>
      <c r="AB1790">
        <v>0</v>
      </c>
      <c r="AC1790">
        <v>0</v>
      </c>
      <c r="AF1790">
        <v>1982</v>
      </c>
      <c r="AG1790">
        <v>1983</v>
      </c>
      <c r="AN1790">
        <v>-5</v>
      </c>
      <c r="AO1790" t="b">
        <v>0</v>
      </c>
      <c r="AT1790">
        <v>362</v>
      </c>
      <c r="AU1790">
        <f t="shared" si="83"/>
        <v>0.99199999999999999</v>
      </c>
    </row>
    <row r="1791" spans="1:47" x14ac:dyDescent="0.3">
      <c r="A1791">
        <v>1789</v>
      </c>
      <c r="B1791" t="s">
        <v>7557</v>
      </c>
      <c r="C1791" t="s">
        <v>7558</v>
      </c>
      <c r="D1791">
        <v>345</v>
      </c>
      <c r="E1791" t="s">
        <v>7530</v>
      </c>
      <c r="F1791" t="str">
        <f>VLOOKUP(E1791,country_continent!A:C,2,FALSE)</f>
        <v>Yugoslavia</v>
      </c>
      <c r="G1791" t="str">
        <f>VLOOKUP(E1791,country_continent!A:C,3,FALSE)</f>
        <v>Europe</v>
      </c>
      <c r="H1791" t="s">
        <v>7559</v>
      </c>
      <c r="I1791" s="1">
        <v>30449</v>
      </c>
      <c r="J1791" s="3">
        <f t="shared" si="81"/>
        <v>30449</v>
      </c>
      <c r="K1791" s="1">
        <v>30817</v>
      </c>
      <c r="L1791" s="3">
        <f t="shared" si="82"/>
        <v>30817</v>
      </c>
      <c r="M1791" t="s">
        <v>49</v>
      </c>
      <c r="N1791" t="s">
        <v>49</v>
      </c>
      <c r="O1791" t="s">
        <v>49</v>
      </c>
      <c r="P1791">
        <v>0</v>
      </c>
      <c r="Q1791" t="s">
        <v>50</v>
      </c>
      <c r="R1791" t="s">
        <v>51</v>
      </c>
      <c r="S1791">
        <v>1916</v>
      </c>
      <c r="T1791">
        <v>2007</v>
      </c>
      <c r="Z1791">
        <v>0</v>
      </c>
      <c r="AA1791">
        <v>1</v>
      </c>
      <c r="AB1791">
        <v>0</v>
      </c>
      <c r="AC1791">
        <v>0</v>
      </c>
      <c r="AF1791">
        <v>1983</v>
      </c>
      <c r="AG1791">
        <v>1984</v>
      </c>
      <c r="AN1791">
        <v>-5</v>
      </c>
      <c r="AO1791" t="b">
        <v>0</v>
      </c>
      <c r="AT1791">
        <v>368</v>
      </c>
      <c r="AU1791">
        <f t="shared" si="83"/>
        <v>1.008</v>
      </c>
    </row>
    <row r="1792" spans="1:47" x14ac:dyDescent="0.3">
      <c r="A1792">
        <v>1790</v>
      </c>
      <c r="B1792" t="s">
        <v>7560</v>
      </c>
      <c r="C1792" t="s">
        <v>7561</v>
      </c>
      <c r="D1792">
        <v>345</v>
      </c>
      <c r="E1792" t="s">
        <v>7530</v>
      </c>
      <c r="F1792" t="str">
        <f>VLOOKUP(E1792,country_continent!A:C,2,FALSE)</f>
        <v>Yugoslavia</v>
      </c>
      <c r="G1792" t="str">
        <f>VLOOKUP(E1792,country_continent!A:C,3,FALSE)</f>
        <v>Europe</v>
      </c>
      <c r="H1792" t="s">
        <v>7562</v>
      </c>
      <c r="I1792" s="1">
        <v>30817</v>
      </c>
      <c r="J1792" s="3">
        <f t="shared" si="81"/>
        <v>30817</v>
      </c>
      <c r="K1792" s="1">
        <v>31182</v>
      </c>
      <c r="L1792" s="3">
        <f t="shared" si="82"/>
        <v>31182</v>
      </c>
      <c r="M1792" t="s">
        <v>49</v>
      </c>
      <c r="N1792" t="s">
        <v>49</v>
      </c>
      <c r="O1792" t="s">
        <v>49</v>
      </c>
      <c r="P1792">
        <v>0</v>
      </c>
      <c r="Q1792" t="s">
        <v>50</v>
      </c>
      <c r="R1792" t="s">
        <v>51</v>
      </c>
      <c r="S1792">
        <v>1926</v>
      </c>
      <c r="T1792">
        <v>1997</v>
      </c>
      <c r="Z1792">
        <v>0</v>
      </c>
      <c r="AA1792">
        <v>1</v>
      </c>
      <c r="AB1792">
        <v>0</v>
      </c>
      <c r="AC1792">
        <v>0</v>
      </c>
      <c r="AF1792">
        <v>1984</v>
      </c>
      <c r="AG1792">
        <v>1985</v>
      </c>
      <c r="AN1792">
        <v>-5</v>
      </c>
      <c r="AO1792" t="b">
        <v>0</v>
      </c>
      <c r="AT1792">
        <v>365</v>
      </c>
      <c r="AU1792">
        <f t="shared" si="83"/>
        <v>1</v>
      </c>
    </row>
    <row r="1793" spans="1:47" x14ac:dyDescent="0.3">
      <c r="A1793">
        <v>1791</v>
      </c>
      <c r="B1793" t="s">
        <v>7563</v>
      </c>
      <c r="C1793" t="s">
        <v>7564</v>
      </c>
      <c r="D1793">
        <v>345</v>
      </c>
      <c r="E1793" t="s">
        <v>7530</v>
      </c>
      <c r="F1793" t="str">
        <f>VLOOKUP(E1793,country_continent!A:C,2,FALSE)</f>
        <v>Yugoslavia</v>
      </c>
      <c r="G1793" t="str">
        <f>VLOOKUP(E1793,country_continent!A:C,3,FALSE)</f>
        <v>Europe</v>
      </c>
      <c r="H1793" t="s">
        <v>7565</v>
      </c>
      <c r="I1793" s="1">
        <v>31182</v>
      </c>
      <c r="J1793" s="3">
        <f t="shared" si="81"/>
        <v>31182</v>
      </c>
      <c r="K1793" s="1">
        <v>31547</v>
      </c>
      <c r="L1793" s="3">
        <f t="shared" si="82"/>
        <v>31547</v>
      </c>
      <c r="M1793" t="s">
        <v>49</v>
      </c>
      <c r="N1793" t="s">
        <v>49</v>
      </c>
      <c r="O1793" t="s">
        <v>49</v>
      </c>
      <c r="P1793">
        <v>0</v>
      </c>
      <c r="Q1793" t="s">
        <v>50</v>
      </c>
      <c r="R1793" t="s">
        <v>51</v>
      </c>
      <c r="S1793">
        <v>1922</v>
      </c>
      <c r="T1793">
        <v>2001</v>
      </c>
      <c r="Y1793" t="s">
        <v>7566</v>
      </c>
      <c r="Z1793">
        <v>0</v>
      </c>
      <c r="AA1793">
        <v>1</v>
      </c>
      <c r="AB1793">
        <v>0</v>
      </c>
      <c r="AC1793">
        <v>0</v>
      </c>
      <c r="AF1793">
        <v>1985</v>
      </c>
      <c r="AG1793">
        <v>1986</v>
      </c>
      <c r="AN1793">
        <v>-5</v>
      </c>
      <c r="AO1793" t="b">
        <v>0</v>
      </c>
      <c r="AT1793">
        <v>365</v>
      </c>
      <c r="AU1793">
        <f t="shared" si="83"/>
        <v>1</v>
      </c>
    </row>
    <row r="1794" spans="1:47" x14ac:dyDescent="0.3">
      <c r="A1794">
        <v>1792</v>
      </c>
      <c r="B1794" t="s">
        <v>7567</v>
      </c>
      <c r="C1794" t="s">
        <v>7568</v>
      </c>
      <c r="D1794">
        <v>345</v>
      </c>
      <c r="E1794" t="s">
        <v>7530</v>
      </c>
      <c r="F1794" t="str">
        <f>VLOOKUP(E1794,country_continent!A:C,2,FALSE)</f>
        <v>Yugoslavia</v>
      </c>
      <c r="G1794" t="str">
        <f>VLOOKUP(E1794,country_continent!A:C,3,FALSE)</f>
        <v>Europe</v>
      </c>
      <c r="H1794" t="s">
        <v>7569</v>
      </c>
      <c r="I1794" s="1">
        <v>31547</v>
      </c>
      <c r="J1794" s="3">
        <f t="shared" si="81"/>
        <v>31547</v>
      </c>
      <c r="K1794" s="1">
        <v>31912</v>
      </c>
      <c r="L1794" s="3">
        <f t="shared" si="82"/>
        <v>31912</v>
      </c>
      <c r="M1794" t="s">
        <v>49</v>
      </c>
      <c r="N1794" t="s">
        <v>49</v>
      </c>
      <c r="O1794" t="s">
        <v>49</v>
      </c>
      <c r="P1794">
        <v>0</v>
      </c>
      <c r="Q1794" t="s">
        <v>50</v>
      </c>
      <c r="R1794" t="s">
        <v>51</v>
      </c>
      <c r="S1794">
        <v>1922</v>
      </c>
      <c r="T1794">
        <v>-777</v>
      </c>
      <c r="Z1794">
        <v>0</v>
      </c>
      <c r="AA1794">
        <v>1</v>
      </c>
      <c r="AB1794">
        <v>0</v>
      </c>
      <c r="AC1794">
        <v>0</v>
      </c>
      <c r="AF1794">
        <v>1986</v>
      </c>
      <c r="AG1794">
        <v>1987</v>
      </c>
      <c r="AN1794">
        <v>-5</v>
      </c>
      <c r="AO1794" t="b">
        <v>0</v>
      </c>
      <c r="AT1794">
        <v>365</v>
      </c>
      <c r="AU1794">
        <f t="shared" si="83"/>
        <v>1</v>
      </c>
    </row>
    <row r="1795" spans="1:47" x14ac:dyDescent="0.3">
      <c r="A1795">
        <v>1793</v>
      </c>
      <c r="B1795" t="s">
        <v>7570</v>
      </c>
      <c r="C1795" t="s">
        <v>7571</v>
      </c>
      <c r="D1795">
        <v>345</v>
      </c>
      <c r="E1795" t="s">
        <v>7530</v>
      </c>
      <c r="F1795" t="str">
        <f>VLOOKUP(E1795,country_continent!A:C,2,FALSE)</f>
        <v>Yugoslavia</v>
      </c>
      <c r="G1795" t="str">
        <f>VLOOKUP(E1795,country_continent!A:C,3,FALSE)</f>
        <v>Europe</v>
      </c>
      <c r="H1795" t="s">
        <v>7572</v>
      </c>
      <c r="I1795" s="1">
        <v>31912</v>
      </c>
      <c r="J1795" s="3">
        <f t="shared" ref="J1795:J1858" si="84">IF(ISNUMBER(SEARCH("-", I1795)), SUBSTITUTE(I1795, "-", "/"), I1795)</f>
        <v>31912</v>
      </c>
      <c r="K1795" s="1">
        <v>32278</v>
      </c>
      <c r="L1795" s="3">
        <f t="shared" ref="L1795:L1858" si="85">IF(ISNUMBER(SEARCH("-", K1795)), SUBSTITUTE(K1795, "-", "/"), K1795)</f>
        <v>32278</v>
      </c>
      <c r="M1795" t="s">
        <v>49</v>
      </c>
      <c r="N1795" t="s">
        <v>49</v>
      </c>
      <c r="O1795" t="s">
        <v>49</v>
      </c>
      <c r="P1795">
        <v>0</v>
      </c>
      <c r="Q1795" t="s">
        <v>50</v>
      </c>
      <c r="R1795" t="s">
        <v>51</v>
      </c>
      <c r="S1795">
        <v>1920</v>
      </c>
      <c r="T1795">
        <v>-777</v>
      </c>
      <c r="Z1795">
        <v>0</v>
      </c>
      <c r="AA1795">
        <v>1</v>
      </c>
      <c r="AB1795">
        <v>0</v>
      </c>
      <c r="AC1795">
        <v>0</v>
      </c>
      <c r="AF1795">
        <v>1987</v>
      </c>
      <c r="AG1795">
        <v>1988</v>
      </c>
      <c r="AN1795">
        <v>-5</v>
      </c>
      <c r="AO1795" t="b">
        <v>0</v>
      </c>
      <c r="AT1795">
        <v>366</v>
      </c>
      <c r="AU1795">
        <f t="shared" si="83"/>
        <v>1.0029999999999999</v>
      </c>
    </row>
    <row r="1796" spans="1:47" x14ac:dyDescent="0.3">
      <c r="A1796">
        <v>1794</v>
      </c>
      <c r="B1796" t="s">
        <v>7573</v>
      </c>
      <c r="C1796" t="s">
        <v>7574</v>
      </c>
      <c r="D1796">
        <v>345</v>
      </c>
      <c r="E1796" t="s">
        <v>7530</v>
      </c>
      <c r="F1796" t="str">
        <f>VLOOKUP(E1796,country_continent!A:C,2,FALSE)</f>
        <v>Yugoslavia</v>
      </c>
      <c r="G1796" t="str">
        <f>VLOOKUP(E1796,country_continent!A:C,3,FALSE)</f>
        <v>Europe</v>
      </c>
      <c r="H1796" t="s">
        <v>7575</v>
      </c>
      <c r="I1796" s="1">
        <v>32278</v>
      </c>
      <c r="J1796" s="3">
        <f t="shared" si="84"/>
        <v>32278</v>
      </c>
      <c r="K1796" s="1">
        <v>32643</v>
      </c>
      <c r="L1796" s="3">
        <f t="shared" si="85"/>
        <v>32643</v>
      </c>
      <c r="M1796" t="s">
        <v>49</v>
      </c>
      <c r="N1796" t="s">
        <v>49</v>
      </c>
      <c r="O1796" t="s">
        <v>49</v>
      </c>
      <c r="P1796">
        <v>0</v>
      </c>
      <c r="Q1796" t="s">
        <v>50</v>
      </c>
      <c r="R1796" t="s">
        <v>51</v>
      </c>
      <c r="S1796">
        <v>1926</v>
      </c>
      <c r="T1796">
        <v>-777</v>
      </c>
      <c r="Z1796">
        <v>0</v>
      </c>
      <c r="AA1796">
        <v>1</v>
      </c>
      <c r="AB1796">
        <v>0</v>
      </c>
      <c r="AC1796">
        <v>0</v>
      </c>
      <c r="AF1796">
        <v>1988</v>
      </c>
      <c r="AG1796">
        <v>1989</v>
      </c>
      <c r="AN1796">
        <v>-5</v>
      </c>
      <c r="AO1796" t="b">
        <v>0</v>
      </c>
      <c r="AT1796">
        <v>365</v>
      </c>
      <c r="AU1796">
        <f t="shared" ref="AU1796:AU1859" si="86">ROUND(AT1796/365,3)</f>
        <v>1</v>
      </c>
    </row>
    <row r="1797" spans="1:47" x14ac:dyDescent="0.3">
      <c r="A1797">
        <v>1795</v>
      </c>
      <c r="B1797" t="s">
        <v>7576</v>
      </c>
      <c r="C1797" t="s">
        <v>7577</v>
      </c>
      <c r="D1797">
        <v>345</v>
      </c>
      <c r="E1797" t="s">
        <v>7530</v>
      </c>
      <c r="F1797" t="str">
        <f>VLOOKUP(E1797,country_continent!A:C,2,FALSE)</f>
        <v>Yugoslavia</v>
      </c>
      <c r="G1797" t="str">
        <f>VLOOKUP(E1797,country_continent!A:C,3,FALSE)</f>
        <v>Europe</v>
      </c>
      <c r="H1797" t="s">
        <v>7578</v>
      </c>
      <c r="I1797" s="1">
        <v>32643</v>
      </c>
      <c r="J1797" s="3">
        <f t="shared" si="84"/>
        <v>32643</v>
      </c>
      <c r="K1797" s="1">
        <v>36806</v>
      </c>
      <c r="L1797" s="3">
        <f t="shared" si="85"/>
        <v>36806</v>
      </c>
      <c r="M1797" t="s">
        <v>49</v>
      </c>
      <c r="N1797" t="s">
        <v>49</v>
      </c>
      <c r="O1797" t="s">
        <v>49</v>
      </c>
      <c r="P1797">
        <v>0</v>
      </c>
      <c r="Q1797" t="s">
        <v>463</v>
      </c>
      <c r="R1797" t="s">
        <v>51</v>
      </c>
      <c r="S1797">
        <v>1941</v>
      </c>
      <c r="T1797">
        <v>2006</v>
      </c>
      <c r="U1797" s="1">
        <v>15208</v>
      </c>
      <c r="V1797" s="2">
        <v>15208</v>
      </c>
      <c r="W1797" s="1">
        <v>38787</v>
      </c>
      <c r="X1797" s="2">
        <v>38787</v>
      </c>
      <c r="Y1797" t="s">
        <v>7579</v>
      </c>
      <c r="Z1797">
        <v>0</v>
      </c>
      <c r="AA1797">
        <v>1</v>
      </c>
      <c r="AB1797">
        <v>0</v>
      </c>
      <c r="AC1797">
        <v>2</v>
      </c>
      <c r="AF1797">
        <v>1989</v>
      </c>
      <c r="AG1797">
        <v>2000</v>
      </c>
      <c r="AN1797">
        <v>-5</v>
      </c>
      <c r="AO1797" t="b">
        <v>0</v>
      </c>
      <c r="AT1797">
        <v>4163</v>
      </c>
      <c r="AU1797">
        <f t="shared" si="86"/>
        <v>11.404999999999999</v>
      </c>
    </row>
    <row r="1798" spans="1:47" x14ac:dyDescent="0.3">
      <c r="A1798">
        <v>1796</v>
      </c>
      <c r="B1798" t="s">
        <v>7580</v>
      </c>
      <c r="C1798" t="s">
        <v>7465</v>
      </c>
      <c r="D1798">
        <v>345</v>
      </c>
      <c r="E1798" t="s">
        <v>7530</v>
      </c>
      <c r="F1798" t="str">
        <f>VLOOKUP(E1798,country_continent!A:C,2,FALSE)</f>
        <v>Yugoslavia</v>
      </c>
      <c r="G1798" t="str">
        <f>VLOOKUP(E1798,country_continent!A:C,3,FALSE)</f>
        <v>Europe</v>
      </c>
      <c r="H1798" t="s">
        <v>7466</v>
      </c>
      <c r="I1798" s="1">
        <v>36807</v>
      </c>
      <c r="J1798" s="3">
        <f t="shared" si="84"/>
        <v>36807</v>
      </c>
      <c r="K1798" s="1">
        <v>37687</v>
      </c>
      <c r="L1798" s="3">
        <f t="shared" si="85"/>
        <v>37687</v>
      </c>
      <c r="M1798" t="s">
        <v>49</v>
      </c>
      <c r="N1798" t="s">
        <v>49</v>
      </c>
      <c r="O1798" t="s">
        <v>49</v>
      </c>
      <c r="P1798">
        <v>0</v>
      </c>
      <c r="Q1798" t="s">
        <v>50</v>
      </c>
      <c r="R1798" t="s">
        <v>51</v>
      </c>
      <c r="S1798">
        <v>1944</v>
      </c>
      <c r="T1798">
        <v>-777</v>
      </c>
      <c r="U1798" s="1">
        <v>16155</v>
      </c>
      <c r="V1798" s="2">
        <v>16155</v>
      </c>
      <c r="Y1798" t="s">
        <v>7467</v>
      </c>
      <c r="Z1798">
        <v>0</v>
      </c>
      <c r="AA1798">
        <v>1</v>
      </c>
      <c r="AB1798">
        <v>0</v>
      </c>
      <c r="AC1798">
        <v>0</v>
      </c>
      <c r="AF1798">
        <v>2000</v>
      </c>
      <c r="AG1798">
        <v>2003</v>
      </c>
      <c r="AO1798" t="b">
        <v>0</v>
      </c>
      <c r="AT1798">
        <v>880</v>
      </c>
      <c r="AU1798">
        <f t="shared" si="86"/>
        <v>2.411</v>
      </c>
    </row>
    <row r="1799" spans="1:47" x14ac:dyDescent="0.3">
      <c r="A1799">
        <v>1797</v>
      </c>
      <c r="B1799" t="s">
        <v>7581</v>
      </c>
      <c r="C1799" t="s">
        <v>7582</v>
      </c>
      <c r="D1799">
        <v>345</v>
      </c>
      <c r="E1799" t="s">
        <v>7530</v>
      </c>
      <c r="F1799" t="str">
        <f>VLOOKUP(E1799,country_continent!A:C,2,FALSE)</f>
        <v>Yugoslavia</v>
      </c>
      <c r="G1799" t="str">
        <f>VLOOKUP(E1799,country_continent!A:C,3,FALSE)</f>
        <v>Europe</v>
      </c>
      <c r="H1799" t="s">
        <v>7583</v>
      </c>
      <c r="I1799" s="1">
        <v>37687</v>
      </c>
      <c r="J1799" s="3">
        <f t="shared" si="84"/>
        <v>37687</v>
      </c>
      <c r="K1799" s="1">
        <v>38872</v>
      </c>
      <c r="L1799" s="3">
        <f t="shared" si="85"/>
        <v>38872</v>
      </c>
      <c r="M1799" t="s">
        <v>49</v>
      </c>
      <c r="N1799" t="s">
        <v>49</v>
      </c>
      <c r="O1799" t="s">
        <v>49</v>
      </c>
      <c r="P1799">
        <v>0</v>
      </c>
      <c r="Q1799" t="s">
        <v>50</v>
      </c>
      <c r="R1799" t="s">
        <v>51</v>
      </c>
      <c r="S1799">
        <v>1955</v>
      </c>
      <c r="T1799">
        <v>-777</v>
      </c>
      <c r="U1799" s="1">
        <v>20179</v>
      </c>
      <c r="V1799" s="2">
        <v>20179</v>
      </c>
      <c r="Z1799">
        <v>0</v>
      </c>
      <c r="AA1799">
        <v>1</v>
      </c>
      <c r="AB1799">
        <v>0</v>
      </c>
      <c r="AC1799">
        <v>0</v>
      </c>
      <c r="AF1799">
        <v>2003</v>
      </c>
      <c r="AG1799">
        <v>2006</v>
      </c>
      <c r="AO1799" t="b">
        <v>0</v>
      </c>
      <c r="AT1799">
        <v>1185</v>
      </c>
      <c r="AU1799">
        <f t="shared" si="86"/>
        <v>3.2469999999999999</v>
      </c>
    </row>
    <row r="1800" spans="1:47" x14ac:dyDescent="0.3">
      <c r="A1800">
        <v>1798</v>
      </c>
      <c r="B1800" t="s">
        <v>7584</v>
      </c>
      <c r="C1800" t="s">
        <v>7585</v>
      </c>
      <c r="D1800">
        <v>346</v>
      </c>
      <c r="E1800" t="s">
        <v>7586</v>
      </c>
      <c r="F1800" t="str">
        <f>VLOOKUP(E1800,country_continent!A:C,2,FALSE)</f>
        <v>Bosnia and Herzegovina</v>
      </c>
      <c r="G1800" t="str">
        <f>VLOOKUP(E1800,country_continent!A:C,3,FALSE)</f>
        <v>Europe</v>
      </c>
      <c r="H1800" t="s">
        <v>7587</v>
      </c>
      <c r="I1800" s="1">
        <v>33227</v>
      </c>
      <c r="J1800" s="3">
        <f t="shared" si="84"/>
        <v>33227</v>
      </c>
      <c r="K1800" s="1">
        <v>36081</v>
      </c>
      <c r="L1800" s="3">
        <f t="shared" si="85"/>
        <v>36081</v>
      </c>
      <c r="M1800" t="s">
        <v>49</v>
      </c>
      <c r="N1800" t="s">
        <v>49</v>
      </c>
      <c r="O1800" t="s">
        <v>49</v>
      </c>
      <c r="P1800">
        <v>0</v>
      </c>
      <c r="Q1800" t="s">
        <v>50</v>
      </c>
      <c r="R1800" t="s">
        <v>51</v>
      </c>
      <c r="S1800">
        <v>1925</v>
      </c>
      <c r="T1800">
        <v>2003</v>
      </c>
      <c r="U1800" s="1">
        <v>9352</v>
      </c>
      <c r="V1800" s="2">
        <v>9352</v>
      </c>
      <c r="W1800" s="1">
        <v>37913</v>
      </c>
      <c r="X1800" s="2">
        <v>37913</v>
      </c>
      <c r="Y1800" t="s">
        <v>7588</v>
      </c>
      <c r="Z1800">
        <v>0</v>
      </c>
      <c r="AA1800">
        <v>1</v>
      </c>
      <c r="AB1800">
        <v>0</v>
      </c>
      <c r="AC1800">
        <v>0</v>
      </c>
      <c r="AD1800" t="s">
        <v>7589</v>
      </c>
      <c r="AE1800">
        <v>0</v>
      </c>
      <c r="AF1800">
        <v>1990</v>
      </c>
      <c r="AG1800">
        <v>1998</v>
      </c>
      <c r="AO1800" t="b">
        <v>0</v>
      </c>
      <c r="AT1800">
        <v>2854</v>
      </c>
      <c r="AU1800">
        <f t="shared" si="86"/>
        <v>7.819</v>
      </c>
    </row>
    <row r="1801" spans="1:47" x14ac:dyDescent="0.3">
      <c r="A1801">
        <v>1799</v>
      </c>
      <c r="B1801" t="s">
        <v>7590</v>
      </c>
      <c r="C1801" t="s">
        <v>7591</v>
      </c>
      <c r="D1801">
        <v>346</v>
      </c>
      <c r="E1801" t="s">
        <v>7586</v>
      </c>
      <c r="F1801" t="str">
        <f>VLOOKUP(E1801,country_continent!A:C,2,FALSE)</f>
        <v>Bosnia and Herzegovina</v>
      </c>
      <c r="G1801" t="str">
        <f>VLOOKUP(E1801,country_continent!A:C,3,FALSE)</f>
        <v>Europe</v>
      </c>
      <c r="H1801" t="s">
        <v>7592</v>
      </c>
      <c r="I1801" s="1">
        <v>36081</v>
      </c>
      <c r="J1801" s="3">
        <f t="shared" si="84"/>
        <v>36081</v>
      </c>
      <c r="K1801" s="1">
        <v>36326</v>
      </c>
      <c r="L1801" s="3">
        <f t="shared" si="85"/>
        <v>36326</v>
      </c>
      <c r="M1801" t="s">
        <v>49</v>
      </c>
      <c r="N1801" t="s">
        <v>49</v>
      </c>
      <c r="O1801" t="s">
        <v>49</v>
      </c>
      <c r="P1801">
        <v>0</v>
      </c>
      <c r="Q1801" t="s">
        <v>50</v>
      </c>
      <c r="R1801" t="s">
        <v>51</v>
      </c>
      <c r="S1801">
        <v>1937</v>
      </c>
      <c r="T1801">
        <v>-777</v>
      </c>
      <c r="U1801" s="1">
        <v>13742</v>
      </c>
      <c r="V1801" s="2">
        <v>13742</v>
      </c>
      <c r="Z1801">
        <v>0</v>
      </c>
      <c r="AA1801">
        <v>1</v>
      </c>
      <c r="AB1801">
        <v>0</v>
      </c>
      <c r="AC1801">
        <v>0</v>
      </c>
      <c r="AF1801">
        <v>1998</v>
      </c>
      <c r="AG1801">
        <v>1999</v>
      </c>
      <c r="AO1801" t="b">
        <v>0</v>
      </c>
      <c r="AT1801">
        <v>245</v>
      </c>
      <c r="AU1801">
        <f t="shared" si="86"/>
        <v>0.67100000000000004</v>
      </c>
    </row>
    <row r="1802" spans="1:47" x14ac:dyDescent="0.3">
      <c r="A1802">
        <v>1800</v>
      </c>
      <c r="B1802" t="s">
        <v>7593</v>
      </c>
      <c r="C1802" t="s">
        <v>7594</v>
      </c>
      <c r="D1802">
        <v>346</v>
      </c>
      <c r="E1802" t="s">
        <v>7586</v>
      </c>
      <c r="F1802" t="str">
        <f>VLOOKUP(E1802,country_continent!A:C,2,FALSE)</f>
        <v>Bosnia and Herzegovina</v>
      </c>
      <c r="G1802" t="str">
        <f>VLOOKUP(E1802,country_continent!A:C,3,FALSE)</f>
        <v>Europe</v>
      </c>
      <c r="H1802" t="s">
        <v>7595</v>
      </c>
      <c r="I1802" s="1">
        <v>36326</v>
      </c>
      <c r="J1802" s="3">
        <f t="shared" si="84"/>
        <v>36326</v>
      </c>
      <c r="K1802" s="1">
        <v>36570</v>
      </c>
      <c r="L1802" s="3">
        <f t="shared" si="85"/>
        <v>36570</v>
      </c>
      <c r="M1802" t="s">
        <v>49</v>
      </c>
      <c r="N1802" t="s">
        <v>49</v>
      </c>
      <c r="O1802" t="s">
        <v>49</v>
      </c>
      <c r="P1802">
        <v>0</v>
      </c>
      <c r="Q1802" t="s">
        <v>50</v>
      </c>
      <c r="R1802" t="s">
        <v>51</v>
      </c>
      <c r="S1802">
        <v>1963</v>
      </c>
      <c r="T1802">
        <v>-777</v>
      </c>
      <c r="U1802" s="1">
        <v>23244</v>
      </c>
      <c r="V1802" s="2">
        <v>23244</v>
      </c>
      <c r="Z1802">
        <v>0</v>
      </c>
      <c r="AA1802">
        <v>1</v>
      </c>
      <c r="AB1802">
        <v>0</v>
      </c>
      <c r="AC1802">
        <v>0</v>
      </c>
      <c r="AF1802">
        <v>1999</v>
      </c>
      <c r="AG1802">
        <v>2000</v>
      </c>
      <c r="AO1802" t="b">
        <v>0</v>
      </c>
      <c r="AT1802">
        <v>244</v>
      </c>
      <c r="AU1802">
        <f t="shared" si="86"/>
        <v>0.66800000000000004</v>
      </c>
    </row>
    <row r="1803" spans="1:47" x14ac:dyDescent="0.3">
      <c r="A1803">
        <v>1801</v>
      </c>
      <c r="B1803" t="s">
        <v>7596</v>
      </c>
      <c r="C1803" t="s">
        <v>7585</v>
      </c>
      <c r="D1803">
        <v>346</v>
      </c>
      <c r="E1803" t="s">
        <v>7586</v>
      </c>
      <c r="F1803" t="str">
        <f>VLOOKUP(E1803,country_continent!A:C,2,FALSE)</f>
        <v>Bosnia and Herzegovina</v>
      </c>
      <c r="G1803" t="str">
        <f>VLOOKUP(E1803,country_continent!A:C,3,FALSE)</f>
        <v>Europe</v>
      </c>
      <c r="H1803" t="s">
        <v>7597</v>
      </c>
      <c r="I1803" s="1">
        <v>36570</v>
      </c>
      <c r="J1803" s="3">
        <f t="shared" si="84"/>
        <v>36570</v>
      </c>
      <c r="K1803" s="1">
        <v>36813</v>
      </c>
      <c r="L1803" s="3">
        <f t="shared" si="85"/>
        <v>36813</v>
      </c>
      <c r="M1803" t="s">
        <v>49</v>
      </c>
      <c r="N1803" t="s">
        <v>228</v>
      </c>
      <c r="O1803" t="s">
        <v>49</v>
      </c>
      <c r="P1803">
        <v>1</v>
      </c>
      <c r="Q1803" t="s">
        <v>50</v>
      </c>
      <c r="R1803" t="s">
        <v>51</v>
      </c>
      <c r="S1803">
        <v>1925</v>
      </c>
      <c r="T1803">
        <v>2003</v>
      </c>
      <c r="U1803" s="1">
        <v>9352</v>
      </c>
      <c r="V1803" s="2">
        <v>9352</v>
      </c>
      <c r="W1803" s="1">
        <v>37913</v>
      </c>
      <c r="X1803" s="2">
        <v>37913</v>
      </c>
      <c r="Y1803" t="s">
        <v>7588</v>
      </c>
      <c r="Z1803">
        <v>0</v>
      </c>
      <c r="AA1803">
        <v>2.0999998999999998</v>
      </c>
      <c r="AB1803">
        <v>0</v>
      </c>
      <c r="AC1803">
        <v>0</v>
      </c>
      <c r="AD1803" t="s">
        <v>7589</v>
      </c>
      <c r="AE1803">
        <v>0</v>
      </c>
      <c r="AF1803">
        <v>2000</v>
      </c>
      <c r="AG1803">
        <v>2000</v>
      </c>
      <c r="AO1803" t="b">
        <v>0</v>
      </c>
      <c r="AT1803">
        <v>243</v>
      </c>
      <c r="AU1803">
        <f t="shared" si="86"/>
        <v>0.66600000000000004</v>
      </c>
    </row>
    <row r="1804" spans="1:47" x14ac:dyDescent="0.3">
      <c r="A1804">
        <v>1802</v>
      </c>
      <c r="B1804" t="s">
        <v>7598</v>
      </c>
      <c r="C1804" t="s">
        <v>7591</v>
      </c>
      <c r="D1804">
        <v>346</v>
      </c>
      <c r="E1804" t="s">
        <v>7586</v>
      </c>
      <c r="F1804" t="str">
        <f>VLOOKUP(E1804,country_continent!A:C,2,FALSE)</f>
        <v>Bosnia and Herzegovina</v>
      </c>
      <c r="G1804" t="str">
        <f>VLOOKUP(E1804,country_continent!A:C,3,FALSE)</f>
        <v>Europe</v>
      </c>
      <c r="H1804" t="s">
        <v>7592</v>
      </c>
      <c r="I1804" s="1">
        <v>36813</v>
      </c>
      <c r="J1804" s="3">
        <f t="shared" si="84"/>
        <v>36813</v>
      </c>
      <c r="K1804" s="1">
        <v>37056</v>
      </c>
      <c r="L1804" s="3">
        <f t="shared" si="85"/>
        <v>37056</v>
      </c>
      <c r="M1804" t="s">
        <v>49</v>
      </c>
      <c r="N1804" t="s">
        <v>49</v>
      </c>
      <c r="O1804" t="s">
        <v>49</v>
      </c>
      <c r="P1804">
        <v>1</v>
      </c>
      <c r="Q1804" t="s">
        <v>50</v>
      </c>
      <c r="R1804" t="s">
        <v>51</v>
      </c>
      <c r="S1804">
        <v>1937</v>
      </c>
      <c r="T1804">
        <v>-777</v>
      </c>
      <c r="U1804" s="1">
        <v>13742</v>
      </c>
      <c r="V1804" s="2">
        <v>13742</v>
      </c>
      <c r="Z1804">
        <v>0</v>
      </c>
      <c r="AA1804">
        <v>1</v>
      </c>
      <c r="AB1804">
        <v>0</v>
      </c>
      <c r="AC1804">
        <v>0</v>
      </c>
      <c r="AF1804">
        <v>2000</v>
      </c>
      <c r="AG1804">
        <v>2001</v>
      </c>
      <c r="AO1804" t="b">
        <v>0</v>
      </c>
      <c r="AT1804">
        <v>243</v>
      </c>
      <c r="AU1804">
        <f t="shared" si="86"/>
        <v>0.66600000000000004</v>
      </c>
    </row>
    <row r="1805" spans="1:47" x14ac:dyDescent="0.3">
      <c r="A1805">
        <v>1803</v>
      </c>
      <c r="B1805" t="s">
        <v>7599</v>
      </c>
      <c r="C1805" t="s">
        <v>7600</v>
      </c>
      <c r="D1805">
        <v>346</v>
      </c>
      <c r="E1805" t="s">
        <v>7586</v>
      </c>
      <c r="F1805" t="str">
        <f>VLOOKUP(E1805,country_continent!A:C,2,FALSE)</f>
        <v>Bosnia and Herzegovina</v>
      </c>
      <c r="G1805" t="str">
        <f>VLOOKUP(E1805,country_continent!A:C,3,FALSE)</f>
        <v>Europe</v>
      </c>
      <c r="H1805" t="s">
        <v>7601</v>
      </c>
      <c r="I1805" s="1">
        <v>37056</v>
      </c>
      <c r="J1805" s="3">
        <f t="shared" si="84"/>
        <v>37056</v>
      </c>
      <c r="K1805" s="1">
        <v>37301</v>
      </c>
      <c r="L1805" s="3">
        <f t="shared" si="85"/>
        <v>37301</v>
      </c>
      <c r="M1805" t="s">
        <v>49</v>
      </c>
      <c r="N1805" t="s">
        <v>49</v>
      </c>
      <c r="O1805" t="s">
        <v>49</v>
      </c>
      <c r="P1805">
        <v>0</v>
      </c>
      <c r="Q1805" t="s">
        <v>50</v>
      </c>
      <c r="R1805" t="s">
        <v>51</v>
      </c>
      <c r="S1805">
        <v>1944</v>
      </c>
      <c r="T1805">
        <v>2009</v>
      </c>
      <c r="Y1805" t="s">
        <v>7602</v>
      </c>
      <c r="Z1805">
        <v>0</v>
      </c>
      <c r="AA1805">
        <v>1</v>
      </c>
      <c r="AB1805">
        <v>0</v>
      </c>
      <c r="AC1805">
        <v>0</v>
      </c>
      <c r="AF1805">
        <v>2001</v>
      </c>
      <c r="AG1805">
        <v>2002</v>
      </c>
      <c r="AO1805" t="b">
        <v>0</v>
      </c>
      <c r="AT1805">
        <v>245</v>
      </c>
      <c r="AU1805">
        <f t="shared" si="86"/>
        <v>0.67100000000000004</v>
      </c>
    </row>
    <row r="1806" spans="1:47" x14ac:dyDescent="0.3">
      <c r="A1806">
        <v>1804</v>
      </c>
      <c r="B1806" t="s">
        <v>7603</v>
      </c>
      <c r="C1806" t="s">
        <v>7604</v>
      </c>
      <c r="D1806">
        <v>346</v>
      </c>
      <c r="E1806" t="s">
        <v>7586</v>
      </c>
      <c r="F1806" t="str">
        <f>VLOOKUP(E1806,country_continent!A:C,2,FALSE)</f>
        <v>Bosnia and Herzegovina</v>
      </c>
      <c r="G1806" t="str">
        <f>VLOOKUP(E1806,country_continent!A:C,3,FALSE)</f>
        <v>Europe</v>
      </c>
      <c r="H1806" t="s">
        <v>7605</v>
      </c>
      <c r="I1806" s="1">
        <v>37301</v>
      </c>
      <c r="J1806" s="3">
        <f t="shared" si="84"/>
        <v>37301</v>
      </c>
      <c r="K1806" s="1">
        <v>37557</v>
      </c>
      <c r="L1806" s="3">
        <f t="shared" si="85"/>
        <v>37557</v>
      </c>
      <c r="M1806" t="s">
        <v>49</v>
      </c>
      <c r="N1806" t="s">
        <v>49</v>
      </c>
      <c r="O1806" t="s">
        <v>49</v>
      </c>
      <c r="P1806">
        <v>0</v>
      </c>
      <c r="Q1806" t="s">
        <v>50</v>
      </c>
      <c r="R1806" t="s">
        <v>51</v>
      </c>
      <c r="S1806">
        <v>1946</v>
      </c>
      <c r="T1806">
        <v>-777</v>
      </c>
      <c r="Z1806">
        <v>0</v>
      </c>
      <c r="AA1806">
        <v>1</v>
      </c>
      <c r="AB1806">
        <v>0</v>
      </c>
      <c r="AC1806">
        <v>0</v>
      </c>
      <c r="AF1806">
        <v>2002</v>
      </c>
      <c r="AG1806">
        <v>2002</v>
      </c>
      <c r="AO1806" t="b">
        <v>0</v>
      </c>
      <c r="AT1806">
        <v>256</v>
      </c>
      <c r="AU1806">
        <f t="shared" si="86"/>
        <v>0.70099999999999996</v>
      </c>
    </row>
    <row r="1807" spans="1:47" x14ac:dyDescent="0.3">
      <c r="A1807">
        <v>1805</v>
      </c>
      <c r="B1807" t="s">
        <v>7606</v>
      </c>
      <c r="C1807" t="s">
        <v>7607</v>
      </c>
      <c r="D1807">
        <v>346</v>
      </c>
      <c r="E1807" t="s">
        <v>7586</v>
      </c>
      <c r="F1807" t="str">
        <f>VLOOKUP(E1807,country_continent!A:C,2,FALSE)</f>
        <v>Bosnia and Herzegovina</v>
      </c>
      <c r="G1807" t="str">
        <f>VLOOKUP(E1807,country_continent!A:C,3,FALSE)</f>
        <v>Europe</v>
      </c>
      <c r="H1807" t="s">
        <v>7608</v>
      </c>
      <c r="I1807" s="1">
        <v>37557</v>
      </c>
      <c r="J1807" s="3">
        <f t="shared" si="84"/>
        <v>37557</v>
      </c>
      <c r="K1807" s="1">
        <v>37713</v>
      </c>
      <c r="L1807" s="3">
        <f t="shared" si="85"/>
        <v>37713</v>
      </c>
      <c r="M1807" t="s">
        <v>49</v>
      </c>
      <c r="N1807" t="s">
        <v>49</v>
      </c>
      <c r="O1807" t="s">
        <v>49</v>
      </c>
      <c r="P1807">
        <v>0</v>
      </c>
      <c r="Q1807" t="s">
        <v>50</v>
      </c>
      <c r="R1807" t="s">
        <v>51</v>
      </c>
      <c r="S1807">
        <v>1956</v>
      </c>
      <c r="T1807">
        <v>-777</v>
      </c>
      <c r="U1807" s="1">
        <v>20714</v>
      </c>
      <c r="V1807" s="2">
        <v>20714</v>
      </c>
      <c r="Z1807">
        <v>0</v>
      </c>
      <c r="AA1807">
        <v>1</v>
      </c>
      <c r="AB1807">
        <v>0</v>
      </c>
      <c r="AC1807">
        <v>0</v>
      </c>
      <c r="AF1807">
        <v>2002</v>
      </c>
      <c r="AG1807">
        <v>2003</v>
      </c>
      <c r="AO1807" t="b">
        <v>0</v>
      </c>
      <c r="AT1807">
        <v>156</v>
      </c>
      <c r="AU1807">
        <f t="shared" si="86"/>
        <v>0.42699999999999999</v>
      </c>
    </row>
    <row r="1808" spans="1:47" x14ac:dyDescent="0.3">
      <c r="A1808">
        <v>1806</v>
      </c>
      <c r="B1808" t="s">
        <v>7609</v>
      </c>
      <c r="C1808" t="s">
        <v>7610</v>
      </c>
      <c r="D1808">
        <v>346</v>
      </c>
      <c r="E1808" t="s">
        <v>7586</v>
      </c>
      <c r="F1808" t="str">
        <f>VLOOKUP(E1808,country_continent!A:C,2,FALSE)</f>
        <v>Bosnia and Herzegovina</v>
      </c>
      <c r="G1808" t="str">
        <f>VLOOKUP(E1808,country_continent!A:C,3,FALSE)</f>
        <v>Europe</v>
      </c>
      <c r="H1808" t="s">
        <v>7611</v>
      </c>
      <c r="I1808" s="1">
        <v>37721</v>
      </c>
      <c r="J1808" s="3">
        <f t="shared" si="84"/>
        <v>37721</v>
      </c>
      <c r="K1808" s="1">
        <v>37799</v>
      </c>
      <c r="L1808" s="3">
        <f t="shared" si="85"/>
        <v>37799</v>
      </c>
      <c r="M1808" t="s">
        <v>49</v>
      </c>
      <c r="N1808" t="s">
        <v>49</v>
      </c>
      <c r="O1808" t="s">
        <v>49</v>
      </c>
      <c r="P1808">
        <v>0</v>
      </c>
      <c r="Q1808" t="s">
        <v>50</v>
      </c>
      <c r="R1808" t="s">
        <v>51</v>
      </c>
      <c r="S1808">
        <v>1943</v>
      </c>
      <c r="T1808">
        <v>-777</v>
      </c>
      <c r="Z1808">
        <v>0</v>
      </c>
      <c r="AA1808">
        <v>1</v>
      </c>
      <c r="AB1808">
        <v>0</v>
      </c>
      <c r="AC1808">
        <v>0</v>
      </c>
      <c r="AF1808">
        <v>2003</v>
      </c>
      <c r="AG1808">
        <v>2003</v>
      </c>
      <c r="AO1808" t="b">
        <v>0</v>
      </c>
      <c r="AT1808">
        <v>78</v>
      </c>
      <c r="AU1808">
        <f t="shared" si="86"/>
        <v>0.214</v>
      </c>
    </row>
    <row r="1809" spans="1:47" x14ac:dyDescent="0.3">
      <c r="A1809">
        <v>1807</v>
      </c>
      <c r="B1809" t="s">
        <v>7612</v>
      </c>
      <c r="C1809" t="s">
        <v>7613</v>
      </c>
      <c r="D1809">
        <v>346</v>
      </c>
      <c r="E1809" t="s">
        <v>7586</v>
      </c>
      <c r="F1809" t="str">
        <f>VLOOKUP(E1809,country_continent!A:C,2,FALSE)</f>
        <v>Bosnia and Herzegovina</v>
      </c>
      <c r="G1809" t="str">
        <f>VLOOKUP(E1809,country_continent!A:C,3,FALSE)</f>
        <v>Europe</v>
      </c>
      <c r="H1809" t="s">
        <v>7614</v>
      </c>
      <c r="I1809" s="1">
        <v>37799</v>
      </c>
      <c r="J1809" s="3">
        <f t="shared" si="84"/>
        <v>37799</v>
      </c>
      <c r="K1809" s="1">
        <v>38045</v>
      </c>
      <c r="L1809" s="3">
        <f t="shared" si="85"/>
        <v>38045</v>
      </c>
      <c r="M1809" t="s">
        <v>49</v>
      </c>
      <c r="N1809" t="s">
        <v>49</v>
      </c>
      <c r="O1809" t="s">
        <v>49</v>
      </c>
      <c r="P1809">
        <v>0</v>
      </c>
      <c r="Q1809" t="s">
        <v>50</v>
      </c>
      <c r="R1809" t="s">
        <v>51</v>
      </c>
      <c r="S1809">
        <v>1956</v>
      </c>
      <c r="T1809">
        <v>-777</v>
      </c>
      <c r="Z1809">
        <v>0</v>
      </c>
      <c r="AA1809">
        <v>1</v>
      </c>
      <c r="AB1809">
        <v>0</v>
      </c>
      <c r="AC1809">
        <v>0</v>
      </c>
      <c r="AF1809">
        <v>2003</v>
      </c>
      <c r="AG1809">
        <v>2004</v>
      </c>
      <c r="AO1809" t="b">
        <v>0</v>
      </c>
      <c r="AT1809">
        <v>246</v>
      </c>
      <c r="AU1809">
        <f t="shared" si="86"/>
        <v>0.67400000000000004</v>
      </c>
    </row>
    <row r="1810" spans="1:47" x14ac:dyDescent="0.3">
      <c r="A1810">
        <v>1808</v>
      </c>
      <c r="B1810" t="s">
        <v>7615</v>
      </c>
      <c r="C1810" t="s">
        <v>7616</v>
      </c>
      <c r="D1810">
        <v>346</v>
      </c>
      <c r="E1810" t="s">
        <v>7586</v>
      </c>
      <c r="F1810" t="str">
        <f>VLOOKUP(E1810,country_continent!A:C,2,FALSE)</f>
        <v>Bosnia and Herzegovina</v>
      </c>
      <c r="G1810" t="str">
        <f>VLOOKUP(E1810,country_continent!A:C,3,FALSE)</f>
        <v>Europe</v>
      </c>
      <c r="H1810" t="s">
        <v>7617</v>
      </c>
      <c r="I1810" s="1">
        <v>38045</v>
      </c>
      <c r="J1810" s="3">
        <f t="shared" si="84"/>
        <v>38045</v>
      </c>
      <c r="K1810" s="1">
        <v>38288</v>
      </c>
      <c r="L1810" s="3">
        <f t="shared" si="85"/>
        <v>38288</v>
      </c>
      <c r="M1810" t="s">
        <v>49</v>
      </c>
      <c r="N1810" t="s">
        <v>49</v>
      </c>
      <c r="O1810" t="s">
        <v>49</v>
      </c>
      <c r="P1810">
        <v>0</v>
      </c>
      <c r="Q1810" t="s">
        <v>50</v>
      </c>
      <c r="R1810" t="s">
        <v>51</v>
      </c>
      <c r="S1810">
        <v>1951</v>
      </c>
      <c r="T1810">
        <v>-777</v>
      </c>
      <c r="Z1810">
        <v>0</v>
      </c>
      <c r="AA1810">
        <v>1</v>
      </c>
      <c r="AB1810">
        <v>0</v>
      </c>
      <c r="AC1810">
        <v>0</v>
      </c>
      <c r="AF1810">
        <v>2004</v>
      </c>
      <c r="AG1810">
        <v>2004</v>
      </c>
      <c r="AO1810" t="b">
        <v>0</v>
      </c>
      <c r="AT1810">
        <v>243</v>
      </c>
      <c r="AU1810">
        <f t="shared" si="86"/>
        <v>0.66600000000000004</v>
      </c>
    </row>
    <row r="1811" spans="1:47" x14ac:dyDescent="0.3">
      <c r="A1811">
        <v>1809</v>
      </c>
      <c r="B1811" t="s">
        <v>7618</v>
      </c>
      <c r="C1811" t="s">
        <v>7610</v>
      </c>
      <c r="D1811">
        <v>346</v>
      </c>
      <c r="E1811" t="s">
        <v>7586</v>
      </c>
      <c r="F1811" t="str">
        <f>VLOOKUP(E1811,country_continent!A:C,2,FALSE)</f>
        <v>Bosnia and Herzegovina</v>
      </c>
      <c r="G1811" t="str">
        <f>VLOOKUP(E1811,country_continent!A:C,3,FALSE)</f>
        <v>Europe</v>
      </c>
      <c r="H1811" t="s">
        <v>7611</v>
      </c>
      <c r="I1811" s="1">
        <v>38288</v>
      </c>
      <c r="J1811" s="3">
        <f t="shared" si="84"/>
        <v>38288</v>
      </c>
      <c r="K1811" s="1">
        <v>38531</v>
      </c>
      <c r="L1811" s="3">
        <f t="shared" si="85"/>
        <v>38531</v>
      </c>
      <c r="M1811" t="s">
        <v>49</v>
      </c>
      <c r="N1811" t="s">
        <v>49</v>
      </c>
      <c r="O1811" t="s">
        <v>49</v>
      </c>
      <c r="P1811">
        <v>1</v>
      </c>
      <c r="Q1811" t="s">
        <v>50</v>
      </c>
      <c r="R1811" t="s">
        <v>51</v>
      </c>
      <c r="S1811">
        <v>1943</v>
      </c>
      <c r="T1811">
        <v>-777</v>
      </c>
      <c r="Z1811">
        <v>0</v>
      </c>
      <c r="AA1811">
        <v>1</v>
      </c>
      <c r="AB1811">
        <v>0</v>
      </c>
      <c r="AC1811">
        <v>0</v>
      </c>
      <c r="AF1811">
        <v>2004</v>
      </c>
      <c r="AG1811">
        <v>2005</v>
      </c>
      <c r="AO1811" t="b">
        <v>0</v>
      </c>
      <c r="AT1811">
        <v>243</v>
      </c>
      <c r="AU1811">
        <f t="shared" si="86"/>
        <v>0.66600000000000004</v>
      </c>
    </row>
    <row r="1812" spans="1:47" x14ac:dyDescent="0.3">
      <c r="A1812">
        <v>1810</v>
      </c>
      <c r="B1812" t="s">
        <v>7619</v>
      </c>
      <c r="C1812" t="s">
        <v>7620</v>
      </c>
      <c r="D1812">
        <v>346</v>
      </c>
      <c r="E1812" t="s">
        <v>7586</v>
      </c>
      <c r="F1812" t="str">
        <f>VLOOKUP(E1812,country_continent!A:C,2,FALSE)</f>
        <v>Bosnia and Herzegovina</v>
      </c>
      <c r="G1812" t="str">
        <f>VLOOKUP(E1812,country_continent!A:C,3,FALSE)</f>
        <v>Europe</v>
      </c>
      <c r="H1812" t="s">
        <v>7621</v>
      </c>
      <c r="I1812" s="1">
        <v>38531</v>
      </c>
      <c r="J1812" s="3">
        <f t="shared" si="84"/>
        <v>38531</v>
      </c>
      <c r="K1812" s="1">
        <v>38776</v>
      </c>
      <c r="L1812" s="3">
        <f t="shared" si="85"/>
        <v>38776</v>
      </c>
      <c r="M1812" t="s">
        <v>49</v>
      </c>
      <c r="N1812" t="s">
        <v>49</v>
      </c>
      <c r="O1812" t="s">
        <v>49</v>
      </c>
      <c r="P1812">
        <v>0</v>
      </c>
      <c r="Q1812" t="s">
        <v>50</v>
      </c>
      <c r="R1812" t="s">
        <v>51</v>
      </c>
      <c r="S1812">
        <v>1950</v>
      </c>
      <c r="T1812">
        <v>-777</v>
      </c>
      <c r="Z1812">
        <v>0</v>
      </c>
      <c r="AA1812">
        <v>1</v>
      </c>
      <c r="AB1812">
        <v>0</v>
      </c>
      <c r="AC1812">
        <v>0</v>
      </c>
      <c r="AF1812">
        <v>2005</v>
      </c>
      <c r="AG1812">
        <v>2006</v>
      </c>
      <c r="AO1812" t="b">
        <v>0</v>
      </c>
      <c r="AT1812">
        <v>245</v>
      </c>
      <c r="AU1812">
        <f t="shared" si="86"/>
        <v>0.67100000000000004</v>
      </c>
    </row>
    <row r="1813" spans="1:47" x14ac:dyDescent="0.3">
      <c r="A1813">
        <v>1811</v>
      </c>
      <c r="B1813" t="s">
        <v>7622</v>
      </c>
      <c r="C1813" t="s">
        <v>7616</v>
      </c>
      <c r="D1813">
        <v>346</v>
      </c>
      <c r="E1813" t="s">
        <v>7586</v>
      </c>
      <c r="F1813" t="str">
        <f>VLOOKUP(E1813,country_continent!A:C,2,FALSE)</f>
        <v>Bosnia and Herzegovina</v>
      </c>
      <c r="G1813" t="str">
        <f>VLOOKUP(E1813,country_continent!A:C,3,FALSE)</f>
        <v>Europe</v>
      </c>
      <c r="H1813" t="s">
        <v>7617</v>
      </c>
      <c r="I1813" s="1">
        <v>38776</v>
      </c>
      <c r="J1813" s="3">
        <f t="shared" si="84"/>
        <v>38776</v>
      </c>
      <c r="K1813" s="1">
        <v>39027</v>
      </c>
      <c r="L1813" s="3">
        <f t="shared" si="85"/>
        <v>39027</v>
      </c>
      <c r="M1813" t="s">
        <v>49</v>
      </c>
      <c r="N1813" t="s">
        <v>49</v>
      </c>
      <c r="O1813" t="s">
        <v>49</v>
      </c>
      <c r="P1813">
        <v>1</v>
      </c>
      <c r="Q1813" t="s">
        <v>50</v>
      </c>
      <c r="R1813" t="s">
        <v>51</v>
      </c>
      <c r="S1813">
        <v>1951</v>
      </c>
      <c r="T1813">
        <v>-777</v>
      </c>
      <c r="Z1813">
        <v>0</v>
      </c>
      <c r="AA1813">
        <v>1</v>
      </c>
      <c r="AB1813">
        <v>0</v>
      </c>
      <c r="AC1813">
        <v>0</v>
      </c>
      <c r="AF1813">
        <v>2006</v>
      </c>
      <c r="AG1813">
        <v>2006</v>
      </c>
      <c r="AO1813" t="b">
        <v>0</v>
      </c>
      <c r="AT1813">
        <v>251</v>
      </c>
      <c r="AU1813">
        <f t="shared" si="86"/>
        <v>0.68799999999999994</v>
      </c>
    </row>
    <row r="1814" spans="1:47" x14ac:dyDescent="0.3">
      <c r="A1814">
        <v>1812</v>
      </c>
      <c r="B1814" t="s">
        <v>7623</v>
      </c>
      <c r="C1814" t="s">
        <v>7624</v>
      </c>
      <c r="D1814">
        <v>346</v>
      </c>
      <c r="E1814" t="s">
        <v>7586</v>
      </c>
      <c r="F1814" t="str">
        <f>VLOOKUP(E1814,country_continent!A:C,2,FALSE)</f>
        <v>Bosnia and Herzegovina</v>
      </c>
      <c r="G1814" t="str">
        <f>VLOOKUP(E1814,country_continent!A:C,3,FALSE)</f>
        <v>Europe</v>
      </c>
      <c r="H1814" t="s">
        <v>7625</v>
      </c>
      <c r="I1814" s="1">
        <v>39027</v>
      </c>
      <c r="J1814" s="3">
        <f t="shared" si="84"/>
        <v>39027</v>
      </c>
      <c r="K1814" s="1">
        <v>39269</v>
      </c>
      <c r="L1814" s="3">
        <f t="shared" si="85"/>
        <v>39269</v>
      </c>
      <c r="M1814" t="s">
        <v>49</v>
      </c>
      <c r="N1814" t="s">
        <v>49</v>
      </c>
      <c r="O1814" t="s">
        <v>49</v>
      </c>
      <c r="P1814">
        <v>0</v>
      </c>
      <c r="Q1814" t="s">
        <v>50</v>
      </c>
      <c r="R1814" t="s">
        <v>51</v>
      </c>
      <c r="S1814">
        <v>1949</v>
      </c>
      <c r="T1814">
        <v>-777</v>
      </c>
      <c r="Z1814">
        <v>0</v>
      </c>
      <c r="AA1814">
        <v>1</v>
      </c>
      <c r="AB1814">
        <v>0</v>
      </c>
      <c r="AC1814">
        <v>0</v>
      </c>
      <c r="AF1814">
        <v>2006</v>
      </c>
      <c r="AG1814">
        <v>2007</v>
      </c>
      <c r="AO1814" t="b">
        <v>0</v>
      </c>
      <c r="AT1814">
        <v>242</v>
      </c>
      <c r="AU1814">
        <f t="shared" si="86"/>
        <v>0.66300000000000003</v>
      </c>
    </row>
    <row r="1815" spans="1:47" x14ac:dyDescent="0.3">
      <c r="A1815">
        <v>1813</v>
      </c>
      <c r="B1815" t="s">
        <v>7626</v>
      </c>
      <c r="C1815" t="s">
        <v>7627</v>
      </c>
      <c r="D1815">
        <v>346</v>
      </c>
      <c r="E1815" t="s">
        <v>7586</v>
      </c>
      <c r="F1815" t="str">
        <f>VLOOKUP(E1815,country_continent!A:C,2,FALSE)</f>
        <v>Bosnia and Herzegovina</v>
      </c>
      <c r="G1815" t="str">
        <f>VLOOKUP(E1815,country_continent!A:C,3,FALSE)</f>
        <v>Europe</v>
      </c>
      <c r="H1815" t="s">
        <v>7628</v>
      </c>
      <c r="I1815" s="1">
        <v>39269</v>
      </c>
      <c r="J1815" s="3">
        <f t="shared" si="84"/>
        <v>39269</v>
      </c>
      <c r="K1815" s="1">
        <v>39513</v>
      </c>
      <c r="L1815" s="3">
        <f t="shared" si="85"/>
        <v>39513</v>
      </c>
      <c r="M1815" t="s">
        <v>49</v>
      </c>
      <c r="N1815" t="s">
        <v>49</v>
      </c>
      <c r="O1815" t="s">
        <v>49</v>
      </c>
      <c r="P1815">
        <v>0</v>
      </c>
      <c r="Q1815" t="s">
        <v>50</v>
      </c>
      <c r="R1815" t="s">
        <v>51</v>
      </c>
      <c r="S1815">
        <v>1964</v>
      </c>
      <c r="T1815">
        <v>-777</v>
      </c>
      <c r="Z1815">
        <v>0</v>
      </c>
      <c r="AA1815">
        <v>1</v>
      </c>
      <c r="AB1815">
        <v>0</v>
      </c>
      <c r="AC1815">
        <v>0</v>
      </c>
      <c r="AF1815">
        <v>2007</v>
      </c>
      <c r="AG1815">
        <v>2008</v>
      </c>
      <c r="AO1815" t="b">
        <v>0</v>
      </c>
      <c r="AT1815">
        <v>244</v>
      </c>
      <c r="AU1815">
        <f t="shared" si="86"/>
        <v>0.66800000000000004</v>
      </c>
    </row>
    <row r="1816" spans="1:47" x14ac:dyDescent="0.3">
      <c r="A1816">
        <v>1814</v>
      </c>
      <c r="B1816" t="s">
        <v>7629</v>
      </c>
      <c r="C1816" t="s">
        <v>7630</v>
      </c>
      <c r="D1816">
        <v>346</v>
      </c>
      <c r="E1816" t="s">
        <v>7586</v>
      </c>
      <c r="F1816" t="str">
        <f>VLOOKUP(E1816,country_continent!A:C,2,FALSE)</f>
        <v>Bosnia and Herzegovina</v>
      </c>
      <c r="G1816" t="str">
        <f>VLOOKUP(E1816,country_continent!A:C,3,FALSE)</f>
        <v>Europe</v>
      </c>
      <c r="H1816" t="s">
        <v>7631</v>
      </c>
      <c r="I1816" s="1">
        <v>39513</v>
      </c>
      <c r="J1816" s="3">
        <f t="shared" si="84"/>
        <v>39513</v>
      </c>
      <c r="K1816" s="1">
        <v>39758</v>
      </c>
      <c r="L1816" s="3">
        <f t="shared" si="85"/>
        <v>39758</v>
      </c>
      <c r="M1816" t="s">
        <v>49</v>
      </c>
      <c r="N1816" t="s">
        <v>49</v>
      </c>
      <c r="O1816" t="s">
        <v>49</v>
      </c>
      <c r="P1816">
        <v>0</v>
      </c>
      <c r="Q1816" t="s">
        <v>50</v>
      </c>
      <c r="R1816" t="s">
        <v>51</v>
      </c>
      <c r="S1816">
        <v>1945</v>
      </c>
      <c r="T1816">
        <v>-777</v>
      </c>
      <c r="Z1816">
        <v>0</v>
      </c>
      <c r="AA1816">
        <v>1</v>
      </c>
      <c r="AB1816">
        <v>0</v>
      </c>
      <c r="AC1816">
        <v>0</v>
      </c>
      <c r="AF1816">
        <v>2008</v>
      </c>
      <c r="AG1816">
        <v>2008</v>
      </c>
      <c r="AO1816" t="b">
        <v>0</v>
      </c>
      <c r="AT1816">
        <v>245</v>
      </c>
      <c r="AU1816">
        <f t="shared" si="86"/>
        <v>0.67100000000000004</v>
      </c>
    </row>
    <row r="1817" spans="1:47" x14ac:dyDescent="0.3">
      <c r="A1817">
        <v>1815</v>
      </c>
      <c r="B1817" t="s">
        <v>7632</v>
      </c>
      <c r="C1817" t="s">
        <v>7624</v>
      </c>
      <c r="D1817">
        <v>346</v>
      </c>
      <c r="E1817" t="s">
        <v>7586</v>
      </c>
      <c r="F1817" t="str">
        <f>VLOOKUP(E1817,country_continent!A:C,2,FALSE)</f>
        <v>Bosnia and Herzegovina</v>
      </c>
      <c r="G1817" t="str">
        <f>VLOOKUP(E1817,country_continent!A:C,3,FALSE)</f>
        <v>Europe</v>
      </c>
      <c r="H1817" t="s">
        <v>7625</v>
      </c>
      <c r="I1817" s="1">
        <v>39758</v>
      </c>
      <c r="J1817" s="3">
        <f t="shared" si="84"/>
        <v>39758</v>
      </c>
      <c r="K1817" s="1">
        <v>40000</v>
      </c>
      <c r="L1817" s="3">
        <f t="shared" si="85"/>
        <v>40000</v>
      </c>
      <c r="M1817" t="s">
        <v>49</v>
      </c>
      <c r="N1817" t="s">
        <v>49</v>
      </c>
      <c r="O1817" t="s">
        <v>49</v>
      </c>
      <c r="P1817">
        <v>1</v>
      </c>
      <c r="Q1817" t="s">
        <v>50</v>
      </c>
      <c r="R1817" t="s">
        <v>51</v>
      </c>
      <c r="S1817">
        <v>1949</v>
      </c>
      <c r="T1817">
        <v>-777</v>
      </c>
      <c r="Z1817">
        <v>0</v>
      </c>
      <c r="AA1817">
        <v>1</v>
      </c>
      <c r="AB1817">
        <v>0</v>
      </c>
      <c r="AC1817">
        <v>0</v>
      </c>
      <c r="AF1817">
        <v>2008</v>
      </c>
      <c r="AG1817">
        <v>2009</v>
      </c>
      <c r="AO1817" t="b">
        <v>0</v>
      </c>
      <c r="AT1817">
        <v>242</v>
      </c>
      <c r="AU1817">
        <f t="shared" si="86"/>
        <v>0.66300000000000003</v>
      </c>
    </row>
    <row r="1818" spans="1:47" x14ac:dyDescent="0.3">
      <c r="A1818">
        <v>1816</v>
      </c>
      <c r="B1818" t="s">
        <v>7633</v>
      </c>
      <c r="C1818" t="s">
        <v>7627</v>
      </c>
      <c r="D1818">
        <v>346</v>
      </c>
      <c r="E1818" t="s">
        <v>7586</v>
      </c>
      <c r="F1818" t="str">
        <f>VLOOKUP(E1818,country_continent!A:C,2,FALSE)</f>
        <v>Bosnia and Herzegovina</v>
      </c>
      <c r="G1818" t="str">
        <f>VLOOKUP(E1818,country_continent!A:C,3,FALSE)</f>
        <v>Europe</v>
      </c>
      <c r="H1818" t="s">
        <v>7628</v>
      </c>
      <c r="I1818" s="1">
        <v>40000</v>
      </c>
      <c r="J1818" s="3">
        <f t="shared" si="84"/>
        <v>40000</v>
      </c>
      <c r="K1818" s="1">
        <v>40243</v>
      </c>
      <c r="L1818" s="3">
        <f t="shared" si="85"/>
        <v>40243</v>
      </c>
      <c r="M1818" t="s">
        <v>49</v>
      </c>
      <c r="N1818" t="s">
        <v>49</v>
      </c>
      <c r="O1818" t="s">
        <v>49</v>
      </c>
      <c r="P1818">
        <v>1</v>
      </c>
      <c r="Q1818" t="s">
        <v>50</v>
      </c>
      <c r="R1818" t="s">
        <v>51</v>
      </c>
      <c r="S1818">
        <v>1964</v>
      </c>
      <c r="T1818">
        <v>-777</v>
      </c>
      <c r="Z1818">
        <v>0</v>
      </c>
      <c r="AA1818">
        <v>1</v>
      </c>
      <c r="AB1818">
        <v>0</v>
      </c>
      <c r="AC1818">
        <v>0</v>
      </c>
      <c r="AF1818">
        <v>2009</v>
      </c>
      <c r="AG1818">
        <v>2010</v>
      </c>
      <c r="AO1818" t="b">
        <v>0</v>
      </c>
      <c r="AT1818">
        <v>243</v>
      </c>
      <c r="AU1818">
        <f t="shared" si="86"/>
        <v>0.66600000000000004</v>
      </c>
    </row>
    <row r="1819" spans="1:47" x14ac:dyDescent="0.3">
      <c r="A1819">
        <v>1817</v>
      </c>
      <c r="B1819" t="s">
        <v>7634</v>
      </c>
      <c r="C1819" t="s">
        <v>7630</v>
      </c>
      <c r="D1819">
        <v>346</v>
      </c>
      <c r="E1819" t="s">
        <v>7586</v>
      </c>
      <c r="F1819" t="str">
        <f>VLOOKUP(E1819,country_continent!A:C,2,FALSE)</f>
        <v>Bosnia and Herzegovina</v>
      </c>
      <c r="G1819" t="str">
        <f>VLOOKUP(E1819,country_continent!A:C,3,FALSE)</f>
        <v>Europe</v>
      </c>
      <c r="H1819" t="s">
        <v>7631</v>
      </c>
      <c r="I1819" s="1">
        <v>40243</v>
      </c>
      <c r="J1819" s="3">
        <f t="shared" si="84"/>
        <v>40243</v>
      </c>
      <c r="K1819" s="1">
        <v>40492</v>
      </c>
      <c r="L1819" s="3">
        <f t="shared" si="85"/>
        <v>40492</v>
      </c>
      <c r="M1819" t="s">
        <v>49</v>
      </c>
      <c r="N1819" t="s">
        <v>49</v>
      </c>
      <c r="O1819" t="s">
        <v>49</v>
      </c>
      <c r="P1819">
        <v>1</v>
      </c>
      <c r="Q1819" t="s">
        <v>50</v>
      </c>
      <c r="R1819" t="s">
        <v>51</v>
      </c>
      <c r="S1819">
        <v>1945</v>
      </c>
      <c r="T1819">
        <v>-777</v>
      </c>
      <c r="Z1819">
        <v>0</v>
      </c>
      <c r="AA1819">
        <v>1</v>
      </c>
      <c r="AB1819">
        <v>0</v>
      </c>
      <c r="AC1819">
        <v>0</v>
      </c>
      <c r="AF1819">
        <v>2010</v>
      </c>
      <c r="AG1819">
        <v>2010</v>
      </c>
      <c r="AO1819" t="b">
        <v>0</v>
      </c>
      <c r="AT1819">
        <v>249</v>
      </c>
      <c r="AU1819">
        <f t="shared" si="86"/>
        <v>0.68200000000000005</v>
      </c>
    </row>
    <row r="1820" spans="1:47" x14ac:dyDescent="0.3">
      <c r="A1820">
        <v>1818</v>
      </c>
      <c r="B1820" t="s">
        <v>7635</v>
      </c>
      <c r="C1820" t="s">
        <v>7624</v>
      </c>
      <c r="D1820">
        <v>346</v>
      </c>
      <c r="E1820" t="s">
        <v>7586</v>
      </c>
      <c r="F1820" t="str">
        <f>VLOOKUP(E1820,country_continent!A:C,2,FALSE)</f>
        <v>Bosnia and Herzegovina</v>
      </c>
      <c r="G1820" t="str">
        <f>VLOOKUP(E1820,country_continent!A:C,3,FALSE)</f>
        <v>Europe</v>
      </c>
      <c r="H1820" t="s">
        <v>7625</v>
      </c>
      <c r="I1820" s="1">
        <v>40492</v>
      </c>
      <c r="J1820" s="3">
        <f t="shared" si="84"/>
        <v>40492</v>
      </c>
      <c r="K1820" s="1">
        <v>40734</v>
      </c>
      <c r="L1820" s="3">
        <f t="shared" si="85"/>
        <v>40734</v>
      </c>
      <c r="M1820" t="s">
        <v>49</v>
      </c>
      <c r="N1820" t="s">
        <v>49</v>
      </c>
      <c r="O1820" t="s">
        <v>49</v>
      </c>
      <c r="P1820">
        <v>2</v>
      </c>
      <c r="Q1820" t="s">
        <v>50</v>
      </c>
      <c r="R1820" t="s">
        <v>51</v>
      </c>
      <c r="S1820">
        <v>1949</v>
      </c>
      <c r="T1820">
        <v>-777</v>
      </c>
      <c r="Z1820">
        <v>0</v>
      </c>
      <c r="AA1820">
        <v>1</v>
      </c>
      <c r="AB1820">
        <v>0</v>
      </c>
      <c r="AC1820">
        <v>0</v>
      </c>
      <c r="AF1820">
        <v>2010</v>
      </c>
      <c r="AG1820">
        <v>2011</v>
      </c>
      <c r="AO1820" t="b">
        <v>0</v>
      </c>
      <c r="AT1820">
        <v>242</v>
      </c>
      <c r="AU1820">
        <f t="shared" si="86"/>
        <v>0.66300000000000003</v>
      </c>
    </row>
    <row r="1821" spans="1:47" x14ac:dyDescent="0.3">
      <c r="A1821">
        <v>1819</v>
      </c>
      <c r="B1821" t="s">
        <v>7636</v>
      </c>
      <c r="C1821" t="s">
        <v>7627</v>
      </c>
      <c r="D1821">
        <v>346</v>
      </c>
      <c r="E1821" t="s">
        <v>7586</v>
      </c>
      <c r="F1821" t="str">
        <f>VLOOKUP(E1821,country_continent!A:C,2,FALSE)</f>
        <v>Bosnia and Herzegovina</v>
      </c>
      <c r="G1821" t="str">
        <f>VLOOKUP(E1821,country_continent!A:C,3,FALSE)</f>
        <v>Europe</v>
      </c>
      <c r="H1821" t="s">
        <v>7628</v>
      </c>
      <c r="I1821" s="1">
        <v>40734</v>
      </c>
      <c r="J1821" s="3">
        <f t="shared" si="84"/>
        <v>40734</v>
      </c>
      <c r="K1821" s="1">
        <v>41708</v>
      </c>
      <c r="L1821" s="3">
        <f t="shared" si="85"/>
        <v>41708</v>
      </c>
      <c r="M1821" t="s">
        <v>49</v>
      </c>
      <c r="N1821" t="s">
        <v>49</v>
      </c>
      <c r="O1821" t="s">
        <v>49</v>
      </c>
      <c r="P1821">
        <v>2</v>
      </c>
      <c r="Q1821" t="s">
        <v>50</v>
      </c>
      <c r="R1821" t="s">
        <v>51</v>
      </c>
      <c r="S1821">
        <v>1964</v>
      </c>
      <c r="T1821">
        <v>-777</v>
      </c>
      <c r="U1821" s="1">
        <v>23396</v>
      </c>
      <c r="V1821" s="2">
        <v>23396</v>
      </c>
      <c r="Z1821">
        <v>0</v>
      </c>
      <c r="AA1821">
        <v>1</v>
      </c>
      <c r="AB1821">
        <v>0</v>
      </c>
      <c r="AC1821">
        <v>0</v>
      </c>
      <c r="AF1821">
        <v>2011</v>
      </c>
      <c r="AG1821">
        <v>2014</v>
      </c>
      <c r="AO1821" t="b">
        <v>0</v>
      </c>
      <c r="AT1821">
        <v>974</v>
      </c>
      <c r="AU1821">
        <f t="shared" si="86"/>
        <v>2.6680000000000001</v>
      </c>
    </row>
    <row r="1822" spans="1:47" x14ac:dyDescent="0.3">
      <c r="A1822">
        <v>1820</v>
      </c>
      <c r="B1822" t="s">
        <v>7637</v>
      </c>
      <c r="C1822" t="s">
        <v>7638</v>
      </c>
      <c r="D1822">
        <v>346</v>
      </c>
      <c r="E1822" t="s">
        <v>7586</v>
      </c>
      <c r="F1822" t="str">
        <f>VLOOKUP(E1822,country_continent!A:C,2,FALSE)</f>
        <v>Bosnia and Herzegovina</v>
      </c>
      <c r="G1822" t="str">
        <f>VLOOKUP(E1822,country_continent!A:C,3,FALSE)</f>
        <v>Europe</v>
      </c>
      <c r="H1822" t="s">
        <v>7639</v>
      </c>
      <c r="I1822" s="1">
        <v>41708</v>
      </c>
      <c r="J1822" s="3">
        <f t="shared" si="84"/>
        <v>41708</v>
      </c>
      <c r="K1822" s="1">
        <v>41960</v>
      </c>
      <c r="L1822" s="3">
        <f t="shared" si="85"/>
        <v>41960</v>
      </c>
      <c r="M1822" t="s">
        <v>49</v>
      </c>
      <c r="N1822" t="s">
        <v>49</v>
      </c>
      <c r="O1822" t="s">
        <v>49</v>
      </c>
      <c r="P1822">
        <v>0</v>
      </c>
      <c r="Q1822" t="s">
        <v>50</v>
      </c>
      <c r="R1822" t="s">
        <v>51</v>
      </c>
      <c r="S1822">
        <v>1956</v>
      </c>
      <c r="T1822">
        <v>-777</v>
      </c>
      <c r="U1822" s="1">
        <v>20634</v>
      </c>
      <c r="V1822" s="2">
        <v>20634</v>
      </c>
      <c r="Z1822">
        <v>0</v>
      </c>
      <c r="AA1822">
        <v>1</v>
      </c>
      <c r="AB1822">
        <v>0</v>
      </c>
      <c r="AC1822">
        <v>0</v>
      </c>
      <c r="AD1822" t="s">
        <v>7640</v>
      </c>
      <c r="AE1822">
        <v>1</v>
      </c>
      <c r="AF1822">
        <v>2014</v>
      </c>
      <c r="AG1822">
        <v>2014</v>
      </c>
      <c r="AO1822" t="b">
        <v>0</v>
      </c>
      <c r="AT1822">
        <v>252</v>
      </c>
      <c r="AU1822">
        <f t="shared" si="86"/>
        <v>0.69</v>
      </c>
    </row>
    <row r="1823" spans="1:47" x14ac:dyDescent="0.3">
      <c r="A1823">
        <v>1821</v>
      </c>
      <c r="B1823" t="s">
        <v>7641</v>
      </c>
      <c r="C1823" t="s">
        <v>7642</v>
      </c>
      <c r="D1823">
        <v>346</v>
      </c>
      <c r="E1823" t="s">
        <v>7586</v>
      </c>
      <c r="F1823" t="str">
        <f>VLOOKUP(E1823,country_continent!A:C,2,FALSE)</f>
        <v>Bosnia and Herzegovina</v>
      </c>
      <c r="G1823" t="str">
        <f>VLOOKUP(E1823,country_continent!A:C,3,FALSE)</f>
        <v>Europe</v>
      </c>
      <c r="H1823" t="s">
        <v>7643</v>
      </c>
      <c r="I1823" s="1">
        <v>41960</v>
      </c>
      <c r="J1823" s="3">
        <f t="shared" si="84"/>
        <v>41960</v>
      </c>
      <c r="K1823" s="1">
        <v>42202</v>
      </c>
      <c r="L1823" s="3">
        <f t="shared" si="85"/>
        <v>42202</v>
      </c>
      <c r="M1823" t="s">
        <v>49</v>
      </c>
      <c r="N1823" t="s">
        <v>49</v>
      </c>
      <c r="O1823" t="s">
        <v>49</v>
      </c>
      <c r="P1823">
        <v>0</v>
      </c>
      <c r="Q1823" t="s">
        <v>312</v>
      </c>
      <c r="R1823" t="s">
        <v>51</v>
      </c>
      <c r="S1823">
        <v>1958</v>
      </c>
      <c r="T1823">
        <v>-777</v>
      </c>
      <c r="U1823" s="1">
        <v>21444</v>
      </c>
      <c r="V1823" s="2">
        <v>21444</v>
      </c>
      <c r="Z1823">
        <v>0</v>
      </c>
      <c r="AA1823">
        <v>1</v>
      </c>
      <c r="AB1823">
        <v>0</v>
      </c>
      <c r="AC1823">
        <v>-999</v>
      </c>
      <c r="AF1823">
        <v>2014</v>
      </c>
      <c r="AG1823">
        <v>2015</v>
      </c>
      <c r="AO1823" t="b">
        <v>0</v>
      </c>
      <c r="AT1823">
        <v>242</v>
      </c>
      <c r="AU1823">
        <f t="shared" si="86"/>
        <v>0.66300000000000003</v>
      </c>
    </row>
    <row r="1824" spans="1:47" x14ac:dyDescent="0.3">
      <c r="A1824">
        <v>1822</v>
      </c>
      <c r="B1824" t="s">
        <v>7644</v>
      </c>
      <c r="C1824" t="s">
        <v>7645</v>
      </c>
      <c r="D1824">
        <v>346</v>
      </c>
      <c r="E1824" t="s">
        <v>7586</v>
      </c>
      <c r="F1824" t="str">
        <f>VLOOKUP(E1824,country_continent!A:C,2,FALSE)</f>
        <v>Bosnia and Herzegovina</v>
      </c>
      <c r="G1824" t="str">
        <f>VLOOKUP(E1824,country_continent!A:C,3,FALSE)</f>
        <v>Europe</v>
      </c>
      <c r="H1824" t="s">
        <v>7614</v>
      </c>
      <c r="I1824" s="1">
        <v>42202</v>
      </c>
      <c r="J1824" s="3">
        <f t="shared" si="84"/>
        <v>42202</v>
      </c>
      <c r="K1824" s="1">
        <v>42369</v>
      </c>
      <c r="L1824" s="3">
        <f t="shared" si="85"/>
        <v>42369</v>
      </c>
      <c r="M1824" t="s">
        <v>49</v>
      </c>
      <c r="N1824" t="s">
        <v>173</v>
      </c>
      <c r="O1824" t="s">
        <v>173</v>
      </c>
      <c r="P1824">
        <v>0</v>
      </c>
      <c r="Q1824" t="s">
        <v>174</v>
      </c>
      <c r="R1824" t="s">
        <v>51</v>
      </c>
      <c r="S1824">
        <v>1956</v>
      </c>
      <c r="T1824">
        <v>-777</v>
      </c>
      <c r="U1824" s="1">
        <v>20687</v>
      </c>
      <c r="V1824" s="2">
        <v>20687</v>
      </c>
      <c r="Z1824">
        <v>0</v>
      </c>
      <c r="AA1824">
        <v>-888</v>
      </c>
      <c r="AB1824">
        <v>-888</v>
      </c>
      <c r="AC1824">
        <v>-888</v>
      </c>
      <c r="AF1824">
        <v>2015</v>
      </c>
      <c r="AG1824">
        <v>2015</v>
      </c>
      <c r="AO1824" t="b">
        <v>0</v>
      </c>
      <c r="AT1824">
        <v>167</v>
      </c>
      <c r="AU1824">
        <f t="shared" si="86"/>
        <v>0.45800000000000002</v>
      </c>
    </row>
    <row r="1825" spans="1:47" x14ac:dyDescent="0.3">
      <c r="A1825">
        <v>1823</v>
      </c>
      <c r="B1825" t="s">
        <v>7646</v>
      </c>
      <c r="C1825" t="s">
        <v>7647</v>
      </c>
      <c r="D1825">
        <v>347</v>
      </c>
      <c r="E1825" t="s">
        <v>7648</v>
      </c>
      <c r="F1825" t="str">
        <f>VLOOKUP(E1825,country_continent!A:C,2,FALSE)</f>
        <v>Kosovo</v>
      </c>
      <c r="G1825" t="str">
        <f>VLOOKUP(E1825,country_continent!A:C,3,FALSE)</f>
        <v>Europe</v>
      </c>
      <c r="H1825" t="s">
        <v>7649</v>
      </c>
      <c r="I1825" s="1">
        <v>39495</v>
      </c>
      <c r="J1825" s="3">
        <f t="shared" si="84"/>
        <v>39495</v>
      </c>
      <c r="K1825" s="1">
        <v>41982</v>
      </c>
      <c r="L1825" s="3">
        <f t="shared" si="85"/>
        <v>41982</v>
      </c>
      <c r="M1825" t="s">
        <v>49</v>
      </c>
      <c r="N1825" t="s">
        <v>49</v>
      </c>
      <c r="O1825" t="s">
        <v>49</v>
      </c>
      <c r="P1825">
        <v>0</v>
      </c>
      <c r="Q1825" t="s">
        <v>50</v>
      </c>
      <c r="R1825" t="s">
        <v>51</v>
      </c>
      <c r="S1825">
        <v>1968</v>
      </c>
      <c r="T1825">
        <v>-777</v>
      </c>
      <c r="U1825" s="1">
        <v>24952</v>
      </c>
      <c r="V1825" s="2">
        <v>24952</v>
      </c>
      <c r="Z1825">
        <v>0</v>
      </c>
      <c r="AA1825">
        <v>1</v>
      </c>
      <c r="AB1825">
        <v>0</v>
      </c>
      <c r="AC1825">
        <v>0</v>
      </c>
      <c r="AF1825">
        <v>2008</v>
      </c>
      <c r="AG1825">
        <v>2014</v>
      </c>
      <c r="AO1825" t="b">
        <v>0</v>
      </c>
      <c r="AT1825">
        <v>2487</v>
      </c>
      <c r="AU1825">
        <f t="shared" si="86"/>
        <v>6.8140000000000001</v>
      </c>
    </row>
    <row r="1826" spans="1:47" x14ac:dyDescent="0.3">
      <c r="A1826">
        <v>1824</v>
      </c>
      <c r="B1826" t="s">
        <v>7650</v>
      </c>
      <c r="C1826" t="s">
        <v>7651</v>
      </c>
      <c r="D1826">
        <v>347</v>
      </c>
      <c r="E1826" t="s">
        <v>7648</v>
      </c>
      <c r="F1826" t="str">
        <f>VLOOKUP(E1826,country_continent!A:C,2,FALSE)</f>
        <v>Kosovo</v>
      </c>
      <c r="G1826" t="str">
        <f>VLOOKUP(E1826,country_continent!A:C,3,FALSE)</f>
        <v>Europe</v>
      </c>
      <c r="H1826" t="s">
        <v>7652</v>
      </c>
      <c r="I1826" s="1">
        <v>41982</v>
      </c>
      <c r="J1826" s="3">
        <f t="shared" si="84"/>
        <v>41982</v>
      </c>
      <c r="K1826" s="1">
        <v>42369</v>
      </c>
      <c r="L1826" s="3">
        <f t="shared" si="85"/>
        <v>42369</v>
      </c>
      <c r="M1826" t="s">
        <v>49</v>
      </c>
      <c r="N1826" t="s">
        <v>173</v>
      </c>
      <c r="O1826" t="s">
        <v>173</v>
      </c>
      <c r="P1826">
        <v>0</v>
      </c>
      <c r="Q1826" t="s">
        <v>174</v>
      </c>
      <c r="R1826" t="s">
        <v>51</v>
      </c>
      <c r="S1826">
        <v>1951</v>
      </c>
      <c r="T1826">
        <v>-777</v>
      </c>
      <c r="U1826" s="1">
        <v>18763</v>
      </c>
      <c r="V1826" s="2">
        <v>18763</v>
      </c>
      <c r="Z1826">
        <v>0</v>
      </c>
      <c r="AA1826">
        <v>-888</v>
      </c>
      <c r="AB1826">
        <v>-888</v>
      </c>
      <c r="AC1826">
        <v>-888</v>
      </c>
      <c r="AF1826">
        <v>2014</v>
      </c>
      <c r="AG1826">
        <v>2015</v>
      </c>
      <c r="AO1826" t="b">
        <v>0</v>
      </c>
      <c r="AT1826">
        <v>387</v>
      </c>
      <c r="AU1826">
        <f t="shared" si="86"/>
        <v>1.06</v>
      </c>
    </row>
    <row r="1827" spans="1:47" x14ac:dyDescent="0.3">
      <c r="A1827">
        <v>1825</v>
      </c>
      <c r="B1827" t="s">
        <v>7653</v>
      </c>
      <c r="C1827" t="s">
        <v>7654</v>
      </c>
      <c r="D1827">
        <v>349</v>
      </c>
      <c r="E1827" t="s">
        <v>7655</v>
      </c>
      <c r="F1827" t="str">
        <f>VLOOKUP(E1827,country_continent!A:C,2,FALSE)</f>
        <v>Slovenia</v>
      </c>
      <c r="G1827" t="str">
        <f>VLOOKUP(E1827,country_continent!A:C,3,FALSE)</f>
        <v>Europe</v>
      </c>
      <c r="H1827" t="s">
        <v>7656</v>
      </c>
      <c r="I1827" s="1">
        <v>32985</v>
      </c>
      <c r="J1827" s="3">
        <f t="shared" si="84"/>
        <v>32985</v>
      </c>
      <c r="K1827" s="1">
        <v>33595</v>
      </c>
      <c r="L1827" s="3">
        <f t="shared" si="85"/>
        <v>33595</v>
      </c>
      <c r="M1827" t="s">
        <v>49</v>
      </c>
      <c r="N1827" t="s">
        <v>49</v>
      </c>
      <c r="O1827" t="s">
        <v>49</v>
      </c>
      <c r="P1827">
        <v>0</v>
      </c>
      <c r="Q1827" t="s">
        <v>50</v>
      </c>
      <c r="R1827" t="s">
        <v>51</v>
      </c>
      <c r="S1827">
        <v>1941</v>
      </c>
      <c r="T1827">
        <v>-777</v>
      </c>
      <c r="Z1827">
        <v>0</v>
      </c>
      <c r="AA1827">
        <v>1</v>
      </c>
      <c r="AB1827">
        <v>0</v>
      </c>
      <c r="AC1827">
        <v>0</v>
      </c>
      <c r="AF1827">
        <v>1990</v>
      </c>
      <c r="AG1827">
        <v>1991</v>
      </c>
      <c r="AH1827">
        <v>1.3049518836599601</v>
      </c>
      <c r="AI1827">
        <v>895</v>
      </c>
      <c r="AJ1827">
        <v>6.2630633239272901</v>
      </c>
      <c r="AK1827">
        <v>57.75</v>
      </c>
      <c r="AL1827">
        <v>1.81692200026886</v>
      </c>
      <c r="AM1827">
        <v>0.96848956999259905</v>
      </c>
      <c r="AN1827">
        <v>6</v>
      </c>
      <c r="AO1827" t="b">
        <v>0</v>
      </c>
      <c r="AT1827">
        <v>610</v>
      </c>
      <c r="AU1827">
        <f t="shared" si="86"/>
        <v>1.671</v>
      </c>
    </row>
    <row r="1828" spans="1:47" x14ac:dyDescent="0.3">
      <c r="A1828">
        <v>1826</v>
      </c>
      <c r="B1828" t="s">
        <v>7657</v>
      </c>
      <c r="C1828" t="s">
        <v>7658</v>
      </c>
      <c r="D1828">
        <v>349</v>
      </c>
      <c r="E1828" t="s">
        <v>7655</v>
      </c>
      <c r="F1828" t="str">
        <f>VLOOKUP(E1828,country_continent!A:C,2,FALSE)</f>
        <v>Slovenia</v>
      </c>
      <c r="G1828" t="str">
        <f>VLOOKUP(E1828,country_continent!A:C,3,FALSE)</f>
        <v>Europe</v>
      </c>
      <c r="H1828" t="s">
        <v>7659</v>
      </c>
      <c r="I1828" s="1">
        <v>33595</v>
      </c>
      <c r="J1828" s="3">
        <f t="shared" si="84"/>
        <v>33595</v>
      </c>
      <c r="K1828" s="1">
        <v>33738</v>
      </c>
      <c r="L1828" s="3">
        <f t="shared" si="85"/>
        <v>33738</v>
      </c>
      <c r="M1828" t="s">
        <v>49</v>
      </c>
      <c r="N1828" t="s">
        <v>49</v>
      </c>
      <c r="O1828" t="s">
        <v>49</v>
      </c>
      <c r="P1828">
        <v>0</v>
      </c>
      <c r="Q1828" t="s">
        <v>50</v>
      </c>
      <c r="R1828" t="s">
        <v>51</v>
      </c>
      <c r="S1828">
        <v>1948</v>
      </c>
      <c r="T1828">
        <v>-777</v>
      </c>
      <c r="Z1828">
        <v>0</v>
      </c>
      <c r="AA1828">
        <v>1</v>
      </c>
      <c r="AB1828">
        <v>0</v>
      </c>
      <c r="AC1828">
        <v>0</v>
      </c>
      <c r="AF1828">
        <v>1991</v>
      </c>
      <c r="AG1828">
        <v>1992</v>
      </c>
      <c r="AH1828">
        <v>2.5101485280719902</v>
      </c>
      <c r="AI1828">
        <v>965</v>
      </c>
      <c r="AJ1828">
        <v>5.4201606666713502</v>
      </c>
      <c r="AK1828">
        <v>54.55</v>
      </c>
      <c r="AL1828">
        <v>1.6922628555683801</v>
      </c>
      <c r="AM1828">
        <v>0.94135024735002704</v>
      </c>
      <c r="AN1828">
        <v>6</v>
      </c>
      <c r="AO1828" t="b">
        <v>0</v>
      </c>
      <c r="AT1828">
        <v>143</v>
      </c>
      <c r="AU1828">
        <f t="shared" si="86"/>
        <v>0.39200000000000002</v>
      </c>
    </row>
    <row r="1829" spans="1:47" x14ac:dyDescent="0.3">
      <c r="A1829">
        <v>1827</v>
      </c>
      <c r="B1829" t="s">
        <v>7660</v>
      </c>
      <c r="C1829" t="s">
        <v>7661</v>
      </c>
      <c r="D1829">
        <v>349</v>
      </c>
      <c r="E1829" t="s">
        <v>7655</v>
      </c>
      <c r="F1829" t="str">
        <f>VLOOKUP(E1829,country_continent!A:C,2,FALSE)</f>
        <v>Slovenia</v>
      </c>
      <c r="G1829" t="str">
        <f>VLOOKUP(E1829,country_continent!A:C,3,FALSE)</f>
        <v>Europe</v>
      </c>
      <c r="H1829" t="s">
        <v>7662</v>
      </c>
      <c r="I1829" s="1">
        <v>33738</v>
      </c>
      <c r="J1829" s="3">
        <f t="shared" si="84"/>
        <v>33738</v>
      </c>
      <c r="K1829" s="1">
        <v>36649</v>
      </c>
      <c r="L1829" s="3">
        <f t="shared" si="85"/>
        <v>36649</v>
      </c>
      <c r="M1829" t="s">
        <v>49</v>
      </c>
      <c r="N1829" t="s">
        <v>49</v>
      </c>
      <c r="O1829" t="s">
        <v>49</v>
      </c>
      <c r="P1829">
        <v>0</v>
      </c>
      <c r="Q1829" t="s">
        <v>50</v>
      </c>
      <c r="R1829" t="s">
        <v>51</v>
      </c>
      <c r="S1829">
        <v>1950</v>
      </c>
      <c r="T1829">
        <v>2008</v>
      </c>
      <c r="U1829" s="1">
        <v>18400</v>
      </c>
      <c r="V1829" s="2">
        <v>18400</v>
      </c>
      <c r="Y1829" t="s">
        <v>7663</v>
      </c>
      <c r="Z1829">
        <v>0</v>
      </c>
      <c r="AA1829">
        <v>1</v>
      </c>
      <c r="AB1829">
        <v>0</v>
      </c>
      <c r="AC1829">
        <v>0</v>
      </c>
      <c r="AF1829">
        <v>1992</v>
      </c>
      <c r="AG1829">
        <v>2000</v>
      </c>
      <c r="AH1829">
        <v>2.6689113702696998</v>
      </c>
      <c r="AI1829">
        <v>1497.7777777777701</v>
      </c>
      <c r="AJ1829">
        <v>5.6898586688783004</v>
      </c>
      <c r="AK1829">
        <v>41.977777777777703</v>
      </c>
      <c r="AL1829">
        <v>0.87136710055591704</v>
      </c>
      <c r="AM1829">
        <v>0.63602766695203095</v>
      </c>
      <c r="AN1829">
        <v>6.78</v>
      </c>
      <c r="AO1829" t="b">
        <v>0</v>
      </c>
      <c r="AT1829">
        <v>2911</v>
      </c>
      <c r="AU1829">
        <f t="shared" si="86"/>
        <v>7.9749999999999996</v>
      </c>
    </row>
    <row r="1830" spans="1:47" x14ac:dyDescent="0.3">
      <c r="A1830">
        <v>1828</v>
      </c>
      <c r="B1830" t="s">
        <v>7664</v>
      </c>
      <c r="C1830" t="s">
        <v>7665</v>
      </c>
      <c r="D1830">
        <v>349</v>
      </c>
      <c r="E1830" t="s">
        <v>7655</v>
      </c>
      <c r="F1830" t="str">
        <f>VLOOKUP(E1830,country_continent!A:C,2,FALSE)</f>
        <v>Slovenia</v>
      </c>
      <c r="G1830" t="str">
        <f>VLOOKUP(E1830,country_continent!A:C,3,FALSE)</f>
        <v>Europe</v>
      </c>
      <c r="H1830" t="s">
        <v>7666</v>
      </c>
      <c r="I1830" s="1">
        <v>36649</v>
      </c>
      <c r="J1830" s="3">
        <f t="shared" si="84"/>
        <v>36649</v>
      </c>
      <c r="K1830" s="1">
        <v>36847</v>
      </c>
      <c r="L1830" s="3">
        <f t="shared" si="85"/>
        <v>36847</v>
      </c>
      <c r="M1830" t="s">
        <v>49</v>
      </c>
      <c r="N1830" t="s">
        <v>49</v>
      </c>
      <c r="O1830" t="s">
        <v>49</v>
      </c>
      <c r="P1830">
        <v>0</v>
      </c>
      <c r="Q1830" t="s">
        <v>50</v>
      </c>
      <c r="R1830" t="s">
        <v>51</v>
      </c>
      <c r="S1830">
        <v>1943</v>
      </c>
      <c r="T1830">
        <v>2011</v>
      </c>
      <c r="U1830" s="1">
        <v>15997</v>
      </c>
      <c r="V1830" s="2">
        <v>15997</v>
      </c>
      <c r="Y1830" t="s">
        <v>7667</v>
      </c>
      <c r="Z1830">
        <v>0</v>
      </c>
      <c r="AA1830">
        <v>1</v>
      </c>
      <c r="AB1830">
        <v>0</v>
      </c>
      <c r="AC1830">
        <v>0</v>
      </c>
      <c r="AF1830">
        <v>2000</v>
      </c>
      <c r="AG1830">
        <v>2000</v>
      </c>
      <c r="AH1830">
        <v>0.62653537907095802</v>
      </c>
      <c r="AI1830">
        <v>1890</v>
      </c>
      <c r="AJ1830">
        <v>3.2726316704968701</v>
      </c>
      <c r="AK1830">
        <v>32.299999999999997</v>
      </c>
      <c r="AL1830">
        <v>0.49701272883886199</v>
      </c>
      <c r="AM1830">
        <v>0.49707730566403802</v>
      </c>
      <c r="AN1830">
        <v>7</v>
      </c>
      <c r="AO1830" t="b">
        <v>0</v>
      </c>
      <c r="AT1830">
        <v>198</v>
      </c>
      <c r="AU1830">
        <f t="shared" si="86"/>
        <v>0.54200000000000004</v>
      </c>
    </row>
    <row r="1831" spans="1:47" x14ac:dyDescent="0.3">
      <c r="A1831">
        <v>1829</v>
      </c>
      <c r="B1831" t="s">
        <v>7668</v>
      </c>
      <c r="C1831" t="s">
        <v>7661</v>
      </c>
      <c r="D1831">
        <v>349</v>
      </c>
      <c r="E1831" t="s">
        <v>7655</v>
      </c>
      <c r="F1831" t="str">
        <f>VLOOKUP(E1831,country_continent!A:C,2,FALSE)</f>
        <v>Slovenia</v>
      </c>
      <c r="G1831" t="str">
        <f>VLOOKUP(E1831,country_continent!A:C,3,FALSE)</f>
        <v>Europe</v>
      </c>
      <c r="H1831" t="s">
        <v>7662</v>
      </c>
      <c r="I1831" s="1">
        <v>36847</v>
      </c>
      <c r="J1831" s="3">
        <f t="shared" si="84"/>
        <v>36847</v>
      </c>
      <c r="K1831" s="1">
        <v>37601</v>
      </c>
      <c r="L1831" s="3">
        <f t="shared" si="85"/>
        <v>37601</v>
      </c>
      <c r="M1831" t="s">
        <v>49</v>
      </c>
      <c r="N1831" t="s">
        <v>49</v>
      </c>
      <c r="O1831" t="s">
        <v>49</v>
      </c>
      <c r="P1831">
        <v>1</v>
      </c>
      <c r="Q1831" t="s">
        <v>50</v>
      </c>
      <c r="R1831" t="s">
        <v>51</v>
      </c>
      <c r="S1831">
        <v>1950</v>
      </c>
      <c r="T1831">
        <v>2008</v>
      </c>
      <c r="U1831" s="1">
        <v>18400</v>
      </c>
      <c r="V1831" s="2">
        <v>18400</v>
      </c>
      <c r="Y1831" t="s">
        <v>7663</v>
      </c>
      <c r="Z1831">
        <v>0</v>
      </c>
      <c r="AA1831">
        <v>1</v>
      </c>
      <c r="AB1831">
        <v>0</v>
      </c>
      <c r="AC1831">
        <v>0</v>
      </c>
      <c r="AF1831">
        <v>2000</v>
      </c>
      <c r="AG1831">
        <v>2002</v>
      </c>
      <c r="AH1831">
        <v>0.78219047951746701</v>
      </c>
      <c r="AI1831">
        <v>1940</v>
      </c>
      <c r="AJ1831">
        <v>2.6989654458329402</v>
      </c>
      <c r="AK1831">
        <v>30.433333333333302</v>
      </c>
      <c r="AL1831">
        <v>0.40744347488501498</v>
      </c>
      <c r="AM1831">
        <v>0.48453411354584902</v>
      </c>
      <c r="AN1831">
        <v>7</v>
      </c>
      <c r="AO1831" t="b">
        <v>0</v>
      </c>
      <c r="AT1831">
        <v>754</v>
      </c>
      <c r="AU1831">
        <f t="shared" si="86"/>
        <v>2.0659999999999998</v>
      </c>
    </row>
    <row r="1832" spans="1:47" x14ac:dyDescent="0.3">
      <c r="A1832">
        <v>1830</v>
      </c>
      <c r="B1832" t="s">
        <v>7669</v>
      </c>
      <c r="C1832" t="s">
        <v>7670</v>
      </c>
      <c r="D1832">
        <v>349</v>
      </c>
      <c r="E1832" t="s">
        <v>7655</v>
      </c>
      <c r="F1832" t="str">
        <f>VLOOKUP(E1832,country_continent!A:C,2,FALSE)</f>
        <v>Slovenia</v>
      </c>
      <c r="G1832" t="str">
        <f>VLOOKUP(E1832,country_continent!A:C,3,FALSE)</f>
        <v>Europe</v>
      </c>
      <c r="H1832" t="s">
        <v>7671</v>
      </c>
      <c r="I1832" s="1">
        <v>37601</v>
      </c>
      <c r="J1832" s="3">
        <f t="shared" si="84"/>
        <v>37601</v>
      </c>
      <c r="K1832" s="1">
        <v>38300</v>
      </c>
      <c r="L1832" s="3">
        <f t="shared" si="85"/>
        <v>38300</v>
      </c>
      <c r="M1832" t="s">
        <v>49</v>
      </c>
      <c r="N1832" t="s">
        <v>49</v>
      </c>
      <c r="O1832" t="s">
        <v>49</v>
      </c>
      <c r="P1832">
        <v>0</v>
      </c>
      <c r="Q1832" t="s">
        <v>50</v>
      </c>
      <c r="R1832" t="s">
        <v>51</v>
      </c>
      <c r="S1832">
        <v>1960</v>
      </c>
      <c r="T1832">
        <v>-777</v>
      </c>
      <c r="U1832" s="1">
        <v>22277</v>
      </c>
      <c r="V1832" s="2">
        <v>22277</v>
      </c>
      <c r="Y1832" t="s">
        <v>7672</v>
      </c>
      <c r="Z1832">
        <v>0</v>
      </c>
      <c r="AA1832">
        <v>1</v>
      </c>
      <c r="AB1832">
        <v>0</v>
      </c>
      <c r="AC1832">
        <v>0</v>
      </c>
      <c r="AF1832">
        <v>2002</v>
      </c>
      <c r="AG1832">
        <v>2004</v>
      </c>
      <c r="AH1832">
        <v>1.1359905709242499</v>
      </c>
      <c r="AI1832">
        <v>2130</v>
      </c>
      <c r="AJ1832">
        <v>2.3979926024546998</v>
      </c>
      <c r="AK1832">
        <v>27.033333333333299</v>
      </c>
      <c r="AL1832">
        <v>0.203858329462861</v>
      </c>
      <c r="AM1832">
        <v>0.462560760539034</v>
      </c>
      <c r="AN1832">
        <v>7</v>
      </c>
      <c r="AO1832" t="b">
        <v>0</v>
      </c>
      <c r="AT1832">
        <v>699</v>
      </c>
      <c r="AU1832">
        <f t="shared" si="86"/>
        <v>1.915</v>
      </c>
    </row>
    <row r="1833" spans="1:47" x14ac:dyDescent="0.3">
      <c r="A1833">
        <v>1831</v>
      </c>
      <c r="B1833" t="s">
        <v>7673</v>
      </c>
      <c r="C1833" t="s">
        <v>7674</v>
      </c>
      <c r="D1833">
        <v>349</v>
      </c>
      <c r="E1833" t="s">
        <v>7655</v>
      </c>
      <c r="F1833" t="str">
        <f>VLOOKUP(E1833,country_continent!A:C,2,FALSE)</f>
        <v>Slovenia</v>
      </c>
      <c r="G1833" t="str">
        <f>VLOOKUP(E1833,country_continent!A:C,3,FALSE)</f>
        <v>Europe</v>
      </c>
      <c r="H1833" t="s">
        <v>7675</v>
      </c>
      <c r="I1833" s="1">
        <v>38300</v>
      </c>
      <c r="J1833" s="3">
        <f t="shared" si="84"/>
        <v>38300</v>
      </c>
      <c r="K1833" s="1">
        <v>39773</v>
      </c>
      <c r="L1833" s="3">
        <f t="shared" si="85"/>
        <v>39773</v>
      </c>
      <c r="M1833" t="s">
        <v>49</v>
      </c>
      <c r="N1833" t="s">
        <v>49</v>
      </c>
      <c r="O1833" t="s">
        <v>49</v>
      </c>
      <c r="P1833">
        <v>0</v>
      </c>
      <c r="Q1833" t="s">
        <v>50</v>
      </c>
      <c r="R1833" t="s">
        <v>51</v>
      </c>
      <c r="S1833">
        <v>1958</v>
      </c>
      <c r="T1833">
        <v>-777</v>
      </c>
      <c r="U1833" s="1">
        <v>21445</v>
      </c>
      <c r="V1833" s="2">
        <v>21445</v>
      </c>
      <c r="Y1833" t="s">
        <v>7676</v>
      </c>
      <c r="Z1833">
        <v>0</v>
      </c>
      <c r="AA1833">
        <v>1</v>
      </c>
      <c r="AB1833">
        <v>0</v>
      </c>
      <c r="AC1833">
        <v>0</v>
      </c>
      <c r="AF1833">
        <v>2004</v>
      </c>
      <c r="AG1833">
        <v>2008</v>
      </c>
      <c r="AH1833">
        <v>2.2782486906106199</v>
      </c>
      <c r="AI1833">
        <v>2590</v>
      </c>
      <c r="AJ1833">
        <v>3.8485571113002601</v>
      </c>
      <c r="AK1833">
        <v>22.82</v>
      </c>
      <c r="AL1833">
        <v>0.102089564641359</v>
      </c>
      <c r="AM1833">
        <v>0.860703235086961</v>
      </c>
      <c r="AN1833">
        <v>7</v>
      </c>
      <c r="AO1833" t="b">
        <v>0</v>
      </c>
      <c r="AT1833">
        <v>1473</v>
      </c>
      <c r="AU1833">
        <f t="shared" si="86"/>
        <v>4.0359999999999996</v>
      </c>
    </row>
    <row r="1834" spans="1:47" x14ac:dyDescent="0.3">
      <c r="A1834">
        <v>1832</v>
      </c>
      <c r="B1834" t="s">
        <v>7677</v>
      </c>
      <c r="C1834" t="s">
        <v>7678</v>
      </c>
      <c r="D1834">
        <v>349</v>
      </c>
      <c r="E1834" t="s">
        <v>7655</v>
      </c>
      <c r="F1834" t="str">
        <f>VLOOKUP(E1834,country_continent!A:C,2,FALSE)</f>
        <v>Slovenia</v>
      </c>
      <c r="G1834" t="str">
        <f>VLOOKUP(E1834,country_continent!A:C,3,FALSE)</f>
        <v>Europe</v>
      </c>
      <c r="H1834" t="s">
        <v>7679</v>
      </c>
      <c r="I1834" s="1">
        <v>39773</v>
      </c>
      <c r="J1834" s="3">
        <f t="shared" si="84"/>
        <v>39773</v>
      </c>
      <c r="K1834" s="1">
        <v>40949</v>
      </c>
      <c r="L1834" s="3">
        <f t="shared" si="85"/>
        <v>40949</v>
      </c>
      <c r="M1834" t="s">
        <v>49</v>
      </c>
      <c r="N1834" t="s">
        <v>49</v>
      </c>
      <c r="O1834" t="s">
        <v>49</v>
      </c>
      <c r="P1834">
        <v>0</v>
      </c>
      <c r="Q1834" t="s">
        <v>50</v>
      </c>
      <c r="R1834" t="s">
        <v>51</v>
      </c>
      <c r="S1834">
        <v>1963</v>
      </c>
      <c r="T1834">
        <v>-777</v>
      </c>
      <c r="U1834" s="1">
        <v>23317</v>
      </c>
      <c r="V1834" s="2">
        <v>23317</v>
      </c>
      <c r="Z1834">
        <v>0</v>
      </c>
      <c r="AA1834">
        <v>1</v>
      </c>
      <c r="AB1834">
        <v>0</v>
      </c>
      <c r="AC1834">
        <v>0</v>
      </c>
      <c r="AF1834">
        <v>2008</v>
      </c>
      <c r="AG1834">
        <v>2012</v>
      </c>
      <c r="AH1834">
        <v>1.42273347841255</v>
      </c>
      <c r="AI1834">
        <v>3024</v>
      </c>
      <c r="AJ1834">
        <v>2.89904347799258</v>
      </c>
      <c r="AK1834">
        <v>18.479999999999901</v>
      </c>
      <c r="AL1834">
        <v>0.34363341783273299</v>
      </c>
      <c r="AM1834">
        <v>0.90347231463640099</v>
      </c>
      <c r="AN1834">
        <v>7.8</v>
      </c>
      <c r="AO1834" t="b">
        <v>0</v>
      </c>
      <c r="AT1834">
        <v>1176</v>
      </c>
      <c r="AU1834">
        <f t="shared" si="86"/>
        <v>3.222</v>
      </c>
    </row>
    <row r="1835" spans="1:47" x14ac:dyDescent="0.3">
      <c r="A1835">
        <v>1833</v>
      </c>
      <c r="B1835" t="s">
        <v>7680</v>
      </c>
      <c r="C1835" t="s">
        <v>7674</v>
      </c>
      <c r="D1835">
        <v>349</v>
      </c>
      <c r="E1835" t="s">
        <v>7655</v>
      </c>
      <c r="F1835" t="str">
        <f>VLOOKUP(E1835,country_continent!A:C,2,FALSE)</f>
        <v>Slovenia</v>
      </c>
      <c r="G1835" t="str">
        <f>VLOOKUP(E1835,country_continent!A:C,3,FALSE)</f>
        <v>Europe</v>
      </c>
      <c r="H1835" t="s">
        <v>7675</v>
      </c>
      <c r="I1835" s="1">
        <v>40949</v>
      </c>
      <c r="J1835" s="3">
        <f t="shared" si="84"/>
        <v>40949</v>
      </c>
      <c r="K1835" s="1">
        <v>41353</v>
      </c>
      <c r="L1835" s="3">
        <f t="shared" si="85"/>
        <v>41353</v>
      </c>
      <c r="M1835" t="s">
        <v>49</v>
      </c>
      <c r="N1835" t="s">
        <v>49</v>
      </c>
      <c r="O1835" t="s">
        <v>49</v>
      </c>
      <c r="P1835">
        <v>1</v>
      </c>
      <c r="Q1835" t="s">
        <v>463</v>
      </c>
      <c r="R1835" t="s">
        <v>51</v>
      </c>
      <c r="S1835">
        <v>1958</v>
      </c>
      <c r="T1835">
        <v>-777</v>
      </c>
      <c r="U1835" s="1">
        <v>21445</v>
      </c>
      <c r="V1835" s="2">
        <v>21445</v>
      </c>
      <c r="Z1835">
        <v>0</v>
      </c>
      <c r="AA1835">
        <v>1</v>
      </c>
      <c r="AB1835">
        <v>0</v>
      </c>
      <c r="AC1835">
        <v>2</v>
      </c>
      <c r="AF1835">
        <v>2012</v>
      </c>
      <c r="AG1835">
        <v>2013</v>
      </c>
      <c r="AH1835">
        <v>2.1277311257401101</v>
      </c>
      <c r="AI1835">
        <v>3345</v>
      </c>
      <c r="AJ1835">
        <v>1.5534308290225001</v>
      </c>
      <c r="AK1835">
        <v>16.3</v>
      </c>
      <c r="AL1835">
        <v>0.39833504843183298</v>
      </c>
      <c r="AM1835">
        <v>0.85496715469308504</v>
      </c>
      <c r="AN1835">
        <v>8</v>
      </c>
      <c r="AO1835" t="b">
        <v>0</v>
      </c>
      <c r="AT1835">
        <v>404</v>
      </c>
      <c r="AU1835">
        <f t="shared" si="86"/>
        <v>1.107</v>
      </c>
    </row>
    <row r="1836" spans="1:47" x14ac:dyDescent="0.3">
      <c r="A1836">
        <v>1834</v>
      </c>
      <c r="B1836" t="s">
        <v>7681</v>
      </c>
      <c r="C1836" t="s">
        <v>7682</v>
      </c>
      <c r="D1836">
        <v>349</v>
      </c>
      <c r="E1836" t="s">
        <v>7655</v>
      </c>
      <c r="F1836" t="str">
        <f>VLOOKUP(E1836,country_continent!A:C,2,FALSE)</f>
        <v>Slovenia</v>
      </c>
      <c r="G1836" t="str">
        <f>VLOOKUP(E1836,country_continent!A:C,3,FALSE)</f>
        <v>Europe</v>
      </c>
      <c r="H1836" t="s">
        <v>7683</v>
      </c>
      <c r="I1836" s="1">
        <v>41353</v>
      </c>
      <c r="J1836" s="3">
        <f t="shared" si="84"/>
        <v>41353</v>
      </c>
      <c r="K1836" s="1">
        <v>41900</v>
      </c>
      <c r="L1836" s="3">
        <f t="shared" si="85"/>
        <v>41900</v>
      </c>
      <c r="M1836" t="s">
        <v>49</v>
      </c>
      <c r="N1836" t="s">
        <v>49</v>
      </c>
      <c r="O1836" t="s">
        <v>49</v>
      </c>
      <c r="P1836">
        <v>0</v>
      </c>
      <c r="Q1836" t="s">
        <v>50</v>
      </c>
      <c r="R1836" t="s">
        <v>299</v>
      </c>
      <c r="S1836">
        <v>1970</v>
      </c>
      <c r="T1836">
        <v>-777</v>
      </c>
      <c r="U1836" s="1">
        <v>25658</v>
      </c>
      <c r="V1836" s="2">
        <v>25658</v>
      </c>
      <c r="Z1836">
        <v>0</v>
      </c>
      <c r="AA1836">
        <v>1</v>
      </c>
      <c r="AB1836">
        <v>0</v>
      </c>
      <c r="AC1836">
        <v>0</v>
      </c>
      <c r="AF1836">
        <v>2013</v>
      </c>
      <c r="AG1836">
        <v>2014</v>
      </c>
      <c r="AH1836">
        <v>1.55020492170756</v>
      </c>
      <c r="AI1836">
        <v>3445</v>
      </c>
      <c r="AJ1836">
        <v>0.81227127506067998</v>
      </c>
      <c r="AK1836">
        <v>15.55</v>
      </c>
      <c r="AL1836">
        <v>0.39896179152371403</v>
      </c>
      <c r="AM1836">
        <v>0.99698899928543105</v>
      </c>
      <c r="AN1836">
        <v>8</v>
      </c>
      <c r="AO1836" t="b">
        <v>0</v>
      </c>
      <c r="AT1836">
        <v>547</v>
      </c>
      <c r="AU1836">
        <f t="shared" si="86"/>
        <v>1.4990000000000001</v>
      </c>
    </row>
    <row r="1837" spans="1:47" x14ac:dyDescent="0.3">
      <c r="A1837">
        <v>1835</v>
      </c>
      <c r="B1837" t="s">
        <v>7684</v>
      </c>
      <c r="C1837" t="s">
        <v>7685</v>
      </c>
      <c r="D1837">
        <v>349</v>
      </c>
      <c r="E1837" t="s">
        <v>7655</v>
      </c>
      <c r="F1837" t="str">
        <f>VLOOKUP(E1837,country_continent!A:C,2,FALSE)</f>
        <v>Slovenia</v>
      </c>
      <c r="G1837" t="str">
        <f>VLOOKUP(E1837,country_continent!A:C,3,FALSE)</f>
        <v>Europe</v>
      </c>
      <c r="H1837" t="s">
        <v>7686</v>
      </c>
      <c r="I1837" s="1">
        <v>41900</v>
      </c>
      <c r="J1837" s="3">
        <f t="shared" si="84"/>
        <v>41900</v>
      </c>
      <c r="K1837" s="1">
        <v>42369</v>
      </c>
      <c r="L1837" s="3">
        <f t="shared" si="85"/>
        <v>42369</v>
      </c>
      <c r="M1837" t="s">
        <v>49</v>
      </c>
      <c r="N1837" t="s">
        <v>173</v>
      </c>
      <c r="O1837" t="s">
        <v>173</v>
      </c>
      <c r="P1837">
        <v>0</v>
      </c>
      <c r="Q1837" t="s">
        <v>174</v>
      </c>
      <c r="R1837" t="s">
        <v>51</v>
      </c>
      <c r="S1837">
        <v>1963</v>
      </c>
      <c r="T1837">
        <v>-777</v>
      </c>
      <c r="U1837" s="1">
        <v>23248</v>
      </c>
      <c r="V1837" s="2">
        <v>23248</v>
      </c>
      <c r="Z1837">
        <v>0</v>
      </c>
      <c r="AA1837">
        <v>-888</v>
      </c>
      <c r="AB1837">
        <v>-888</v>
      </c>
      <c r="AC1837">
        <v>-888</v>
      </c>
      <c r="AF1837">
        <v>2014</v>
      </c>
      <c r="AG1837">
        <v>2015</v>
      </c>
      <c r="AH1837">
        <v>1.69409637302281</v>
      </c>
      <c r="AI1837">
        <v>3500</v>
      </c>
      <c r="AJ1837">
        <v>1.15042431604567</v>
      </c>
      <c r="AK1837">
        <v>14.85</v>
      </c>
      <c r="AL1837">
        <v>0.36386401538971802</v>
      </c>
      <c r="AM1837">
        <v>0.95290115419830701</v>
      </c>
      <c r="AN1837">
        <v>8</v>
      </c>
      <c r="AO1837" t="b">
        <v>0</v>
      </c>
      <c r="AT1837">
        <v>469</v>
      </c>
      <c r="AU1837">
        <f t="shared" si="86"/>
        <v>1.2849999999999999</v>
      </c>
    </row>
    <row r="1838" spans="1:47" x14ac:dyDescent="0.3">
      <c r="A1838">
        <v>1836</v>
      </c>
      <c r="B1838" t="s">
        <v>7687</v>
      </c>
      <c r="C1838" t="s">
        <v>7688</v>
      </c>
      <c r="D1838">
        <v>350</v>
      </c>
      <c r="E1838" t="s">
        <v>7689</v>
      </c>
      <c r="F1838" t="str">
        <f>VLOOKUP(E1838,country_continent!A:C,2,FALSE)</f>
        <v>Greece</v>
      </c>
      <c r="G1838" t="str">
        <f>VLOOKUP(E1838,country_continent!A:C,3,FALSE)</f>
        <v>Europe</v>
      </c>
      <c r="H1838" t="s">
        <v>7690</v>
      </c>
      <c r="I1838" t="s">
        <v>7691</v>
      </c>
      <c r="J1838" s="3" t="str">
        <f t="shared" si="84"/>
        <v>1863/03/30</v>
      </c>
      <c r="K1838" s="1">
        <v>4826</v>
      </c>
      <c r="L1838" s="3">
        <f t="shared" si="85"/>
        <v>4826</v>
      </c>
      <c r="M1838" t="s">
        <v>49</v>
      </c>
      <c r="N1838" t="s">
        <v>67</v>
      </c>
      <c r="O1838" t="s">
        <v>347</v>
      </c>
      <c r="P1838">
        <v>0</v>
      </c>
      <c r="Q1838" t="s">
        <v>69</v>
      </c>
      <c r="R1838" t="s">
        <v>51</v>
      </c>
      <c r="S1838">
        <v>1845</v>
      </c>
      <c r="T1838">
        <v>1913</v>
      </c>
      <c r="U1838" t="s">
        <v>7692</v>
      </c>
      <c r="V1838" t="s">
        <v>7693</v>
      </c>
      <c r="W1838" s="1">
        <v>4826</v>
      </c>
      <c r="X1838" s="2">
        <v>4826</v>
      </c>
      <c r="Y1838" t="s">
        <v>7694</v>
      </c>
      <c r="Z1838">
        <v>0</v>
      </c>
      <c r="AA1838">
        <v>3</v>
      </c>
      <c r="AB1838">
        <v>-999</v>
      </c>
      <c r="AC1838">
        <v>3</v>
      </c>
      <c r="AF1838">
        <v>1863</v>
      </c>
      <c r="AG1838">
        <v>1913</v>
      </c>
      <c r="AO1838" t="b">
        <v>1</v>
      </c>
      <c r="AP1838" t="s">
        <v>4202</v>
      </c>
      <c r="AQ1838">
        <v>1944</v>
      </c>
      <c r="AR1838">
        <v>1963</v>
      </c>
      <c r="AS1838" t="s">
        <v>7695</v>
      </c>
      <c r="AT1838">
        <v>49.965776865160798</v>
      </c>
      <c r="AU1838">
        <f t="shared" si="86"/>
        <v>0.13700000000000001</v>
      </c>
    </row>
    <row r="1839" spans="1:47" x14ac:dyDescent="0.3">
      <c r="A1839">
        <v>1837</v>
      </c>
      <c r="B1839" t="s">
        <v>7696</v>
      </c>
      <c r="C1839" t="s">
        <v>7697</v>
      </c>
      <c r="D1839">
        <v>350</v>
      </c>
      <c r="E1839" t="s">
        <v>7689</v>
      </c>
      <c r="F1839" t="str">
        <f>VLOOKUP(E1839,country_continent!A:C,2,FALSE)</f>
        <v>Greece</v>
      </c>
      <c r="G1839" t="str">
        <f>VLOOKUP(E1839,country_continent!A:C,3,FALSE)</f>
        <v>Europe</v>
      </c>
      <c r="H1839" t="s">
        <v>7698</v>
      </c>
      <c r="I1839" s="1">
        <v>4826</v>
      </c>
      <c r="J1839" s="3">
        <f t="shared" si="84"/>
        <v>4826</v>
      </c>
      <c r="K1839" s="1">
        <v>6373</v>
      </c>
      <c r="L1839" s="3">
        <f t="shared" si="85"/>
        <v>6373</v>
      </c>
      <c r="M1839" t="s">
        <v>67</v>
      </c>
      <c r="N1839" t="s">
        <v>633</v>
      </c>
      <c r="O1839" t="s">
        <v>347</v>
      </c>
      <c r="P1839">
        <v>0</v>
      </c>
      <c r="Q1839" t="s">
        <v>362</v>
      </c>
      <c r="R1839" t="s">
        <v>51</v>
      </c>
      <c r="S1839">
        <v>1868</v>
      </c>
      <c r="T1839">
        <v>1923</v>
      </c>
      <c r="Y1839" t="s">
        <v>7699</v>
      </c>
      <c r="Z1839">
        <v>1</v>
      </c>
      <c r="AA1839">
        <v>4</v>
      </c>
      <c r="AB1839">
        <v>-999</v>
      </c>
      <c r="AC1839">
        <v>1</v>
      </c>
      <c r="AF1839">
        <v>1913</v>
      </c>
      <c r="AG1839">
        <v>1917</v>
      </c>
      <c r="AO1839" t="b">
        <v>1</v>
      </c>
      <c r="AP1839" t="s">
        <v>4202</v>
      </c>
      <c r="AQ1839">
        <v>1944</v>
      </c>
      <c r="AR1839">
        <v>1963</v>
      </c>
      <c r="AS1839" t="s">
        <v>7700</v>
      </c>
      <c r="AT1839">
        <v>4.2354551676933596</v>
      </c>
      <c r="AU1839">
        <f t="shared" si="86"/>
        <v>1.2E-2</v>
      </c>
    </row>
    <row r="1840" spans="1:47" x14ac:dyDescent="0.3">
      <c r="A1840">
        <v>1838</v>
      </c>
      <c r="B1840" t="s">
        <v>7701</v>
      </c>
      <c r="C1840" t="s">
        <v>7702</v>
      </c>
      <c r="D1840">
        <v>350</v>
      </c>
      <c r="E1840" t="s">
        <v>7689</v>
      </c>
      <c r="F1840" t="str">
        <f>VLOOKUP(E1840,country_continent!A:C,2,FALSE)</f>
        <v>Greece</v>
      </c>
      <c r="G1840" t="str">
        <f>VLOOKUP(E1840,country_continent!A:C,3,FALSE)</f>
        <v>Europe</v>
      </c>
      <c r="H1840" t="s">
        <v>7703</v>
      </c>
      <c r="I1840" s="1">
        <v>6388</v>
      </c>
      <c r="J1840" s="3">
        <f t="shared" si="84"/>
        <v>6388</v>
      </c>
      <c r="K1840" s="1">
        <v>7628</v>
      </c>
      <c r="L1840" s="3">
        <f t="shared" si="85"/>
        <v>7628</v>
      </c>
      <c r="M1840" t="s">
        <v>637</v>
      </c>
      <c r="N1840" t="s">
        <v>49</v>
      </c>
      <c r="O1840" t="s">
        <v>49</v>
      </c>
      <c r="P1840">
        <v>0</v>
      </c>
      <c r="Q1840" t="s">
        <v>362</v>
      </c>
      <c r="R1840" t="s">
        <v>51</v>
      </c>
      <c r="S1840">
        <v>1864</v>
      </c>
      <c r="T1840">
        <v>1936</v>
      </c>
      <c r="U1840" t="s">
        <v>7704</v>
      </c>
      <c r="V1840" t="s">
        <v>7705</v>
      </c>
      <c r="Y1840" t="s">
        <v>7706</v>
      </c>
      <c r="Z1840">
        <v>2</v>
      </c>
      <c r="AA1840">
        <v>1</v>
      </c>
      <c r="AB1840">
        <v>0</v>
      </c>
      <c r="AC1840">
        <v>1</v>
      </c>
      <c r="AD1840" t="s">
        <v>7707</v>
      </c>
      <c r="AE1840">
        <v>0</v>
      </c>
      <c r="AF1840">
        <v>1917</v>
      </c>
      <c r="AG1840">
        <v>1920</v>
      </c>
      <c r="AO1840" t="b">
        <v>1</v>
      </c>
      <c r="AP1840" t="s">
        <v>4202</v>
      </c>
      <c r="AQ1840">
        <v>1944</v>
      </c>
      <c r="AR1840">
        <v>1963</v>
      </c>
      <c r="AS1840" t="s">
        <v>7708</v>
      </c>
      <c r="AT1840">
        <v>3.3949349760438001</v>
      </c>
      <c r="AU1840">
        <f t="shared" si="86"/>
        <v>8.9999999999999993E-3</v>
      </c>
    </row>
    <row r="1841" spans="1:47" x14ac:dyDescent="0.3">
      <c r="A1841">
        <v>1839</v>
      </c>
      <c r="B1841" t="s">
        <v>7709</v>
      </c>
      <c r="C1841" t="s">
        <v>7710</v>
      </c>
      <c r="D1841">
        <v>350</v>
      </c>
      <c r="E1841" t="s">
        <v>7689</v>
      </c>
      <c r="F1841" t="str">
        <f>VLOOKUP(E1841,country_continent!A:C,2,FALSE)</f>
        <v>Greece</v>
      </c>
      <c r="G1841" t="str">
        <f>VLOOKUP(E1841,country_continent!A:C,3,FALSE)</f>
        <v>Europe</v>
      </c>
      <c r="H1841" t="s">
        <v>7711</v>
      </c>
      <c r="I1841" s="1">
        <v>7628</v>
      </c>
      <c r="J1841" s="3">
        <f t="shared" si="84"/>
        <v>7628</v>
      </c>
      <c r="K1841" s="1">
        <v>7651</v>
      </c>
      <c r="L1841" s="3">
        <f t="shared" si="85"/>
        <v>7651</v>
      </c>
      <c r="M1841" t="s">
        <v>49</v>
      </c>
      <c r="N1841" t="s">
        <v>228</v>
      </c>
      <c r="O1841" t="s">
        <v>49</v>
      </c>
      <c r="P1841">
        <v>0</v>
      </c>
      <c r="Q1841" t="s">
        <v>50</v>
      </c>
      <c r="R1841" t="s">
        <v>51</v>
      </c>
      <c r="S1841">
        <v>1844</v>
      </c>
      <c r="T1841">
        <v>1921</v>
      </c>
      <c r="Z1841">
        <v>0</v>
      </c>
      <c r="AA1841">
        <v>2.0999998999999998</v>
      </c>
      <c r="AB1841">
        <v>0</v>
      </c>
      <c r="AC1841">
        <v>0</v>
      </c>
      <c r="AD1841" t="s">
        <v>7712</v>
      </c>
      <c r="AE1841">
        <v>0</v>
      </c>
      <c r="AF1841">
        <v>1920</v>
      </c>
      <c r="AG1841">
        <v>1920</v>
      </c>
      <c r="AO1841" t="b">
        <v>1</v>
      </c>
      <c r="AP1841" t="s">
        <v>4202</v>
      </c>
      <c r="AQ1841">
        <v>1944</v>
      </c>
      <c r="AR1841">
        <v>1963</v>
      </c>
      <c r="AS1841" t="s">
        <v>6521</v>
      </c>
      <c r="AT1841">
        <v>6.2970568104038296E-2</v>
      </c>
      <c r="AU1841">
        <f t="shared" si="86"/>
        <v>0</v>
      </c>
    </row>
    <row r="1842" spans="1:47" x14ac:dyDescent="0.3">
      <c r="A1842">
        <v>1840</v>
      </c>
      <c r="B1842" t="s">
        <v>7713</v>
      </c>
      <c r="C1842" t="s">
        <v>7697</v>
      </c>
      <c r="D1842">
        <v>350</v>
      </c>
      <c r="E1842" t="s">
        <v>7689</v>
      </c>
      <c r="F1842" t="str">
        <f>VLOOKUP(E1842,country_continent!A:C,2,FALSE)</f>
        <v>Greece</v>
      </c>
      <c r="G1842" t="str">
        <f>VLOOKUP(E1842,country_continent!A:C,3,FALSE)</f>
        <v>Europe</v>
      </c>
      <c r="H1842" t="s">
        <v>7698</v>
      </c>
      <c r="I1842" s="1">
        <v>7651</v>
      </c>
      <c r="J1842" s="3">
        <f t="shared" si="84"/>
        <v>7651</v>
      </c>
      <c r="K1842" s="1">
        <v>8306</v>
      </c>
      <c r="L1842" s="3">
        <f t="shared" si="85"/>
        <v>8306</v>
      </c>
      <c r="M1842" t="s">
        <v>49</v>
      </c>
      <c r="N1842" t="s">
        <v>67</v>
      </c>
      <c r="O1842" t="s">
        <v>376</v>
      </c>
      <c r="P1842">
        <v>1</v>
      </c>
      <c r="Q1842" t="s">
        <v>362</v>
      </c>
      <c r="R1842" t="s">
        <v>51</v>
      </c>
      <c r="S1842">
        <v>1868</v>
      </c>
      <c r="T1842">
        <v>1923</v>
      </c>
      <c r="Y1842" t="s">
        <v>7699</v>
      </c>
      <c r="Z1842">
        <v>0</v>
      </c>
      <c r="AA1842">
        <v>3</v>
      </c>
      <c r="AB1842">
        <v>6</v>
      </c>
      <c r="AC1842">
        <v>1</v>
      </c>
      <c r="AF1842">
        <v>1920</v>
      </c>
      <c r="AG1842">
        <v>1922</v>
      </c>
      <c r="AO1842" t="b">
        <v>1</v>
      </c>
      <c r="AP1842" t="s">
        <v>4202</v>
      </c>
      <c r="AQ1842">
        <v>1944</v>
      </c>
      <c r="AR1842">
        <v>1963</v>
      </c>
      <c r="AS1842" t="s">
        <v>7714</v>
      </c>
      <c r="AT1842">
        <v>1.79329226557152</v>
      </c>
      <c r="AU1842">
        <f t="shared" si="86"/>
        <v>5.0000000000000001E-3</v>
      </c>
    </row>
    <row r="1843" spans="1:47" x14ac:dyDescent="0.3">
      <c r="A1843">
        <v>1841</v>
      </c>
      <c r="B1843" t="s">
        <v>7715</v>
      </c>
      <c r="C1843" t="s">
        <v>7716</v>
      </c>
      <c r="D1843">
        <v>350</v>
      </c>
      <c r="E1843" t="s">
        <v>7689</v>
      </c>
      <c r="F1843" t="str">
        <f>VLOOKUP(E1843,country_continent!A:C,2,FALSE)</f>
        <v>Greece</v>
      </c>
      <c r="G1843" t="str">
        <f>VLOOKUP(E1843,country_continent!A:C,3,FALSE)</f>
        <v>Europe</v>
      </c>
      <c r="H1843" t="s">
        <v>7717</v>
      </c>
      <c r="I1843" s="1">
        <v>8306</v>
      </c>
      <c r="J1843" s="3">
        <f t="shared" si="84"/>
        <v>8306</v>
      </c>
      <c r="K1843" s="1">
        <v>8367</v>
      </c>
      <c r="L1843" s="3">
        <f t="shared" si="85"/>
        <v>8367</v>
      </c>
      <c r="M1843" t="s">
        <v>67</v>
      </c>
      <c r="N1843" t="s">
        <v>49</v>
      </c>
      <c r="O1843" t="s">
        <v>49</v>
      </c>
      <c r="P1843">
        <v>0</v>
      </c>
      <c r="Q1843" t="s">
        <v>50</v>
      </c>
      <c r="R1843" t="s">
        <v>51</v>
      </c>
      <c r="S1843">
        <v>1883</v>
      </c>
      <c r="T1843">
        <v>1953</v>
      </c>
      <c r="Y1843" t="s">
        <v>7718</v>
      </c>
      <c r="Z1843">
        <v>1</v>
      </c>
      <c r="AA1843">
        <v>1</v>
      </c>
      <c r="AB1843">
        <v>0</v>
      </c>
      <c r="AC1843">
        <v>0</v>
      </c>
      <c r="AF1843">
        <v>1922</v>
      </c>
      <c r="AG1843">
        <v>1922</v>
      </c>
      <c r="AO1843" t="b">
        <v>1</v>
      </c>
      <c r="AP1843" t="s">
        <v>4202</v>
      </c>
      <c r="AQ1843">
        <v>1944</v>
      </c>
      <c r="AR1843">
        <v>1963</v>
      </c>
      <c r="AS1843" t="s">
        <v>7719</v>
      </c>
      <c r="AT1843">
        <v>0.167008898015058</v>
      </c>
      <c r="AU1843">
        <f t="shared" si="86"/>
        <v>0</v>
      </c>
    </row>
    <row r="1844" spans="1:47" x14ac:dyDescent="0.3">
      <c r="A1844">
        <v>1842</v>
      </c>
      <c r="B1844" t="s">
        <v>7720</v>
      </c>
      <c r="C1844" t="s">
        <v>7721</v>
      </c>
      <c r="D1844">
        <v>350</v>
      </c>
      <c r="E1844" t="s">
        <v>7689</v>
      </c>
      <c r="F1844" t="str">
        <f>VLOOKUP(E1844,country_continent!A:C,2,FALSE)</f>
        <v>Greece</v>
      </c>
      <c r="G1844" t="str">
        <f>VLOOKUP(E1844,country_continent!A:C,3,FALSE)</f>
        <v>Europe</v>
      </c>
      <c r="H1844" t="s">
        <v>7722</v>
      </c>
      <c r="I1844" s="1">
        <v>8367</v>
      </c>
      <c r="J1844" s="3">
        <f t="shared" si="84"/>
        <v>8367</v>
      </c>
      <c r="K1844" s="1">
        <v>8790</v>
      </c>
      <c r="L1844" s="3">
        <f t="shared" si="85"/>
        <v>8790</v>
      </c>
      <c r="M1844" t="s">
        <v>67</v>
      </c>
      <c r="N1844" t="s">
        <v>49</v>
      </c>
      <c r="O1844" t="s">
        <v>49</v>
      </c>
      <c r="P1844">
        <v>0</v>
      </c>
      <c r="Q1844" t="s">
        <v>50</v>
      </c>
      <c r="R1844" t="s">
        <v>51</v>
      </c>
      <c r="S1844">
        <v>1876</v>
      </c>
      <c r="T1844">
        <v>1966</v>
      </c>
      <c r="Z1844">
        <v>1</v>
      </c>
      <c r="AA1844">
        <v>1</v>
      </c>
      <c r="AB1844">
        <v>0</v>
      </c>
      <c r="AC1844">
        <v>0</v>
      </c>
      <c r="AF1844">
        <v>1922</v>
      </c>
      <c r="AG1844">
        <v>1924</v>
      </c>
      <c r="AO1844" t="b">
        <v>1</v>
      </c>
      <c r="AP1844" t="s">
        <v>4202</v>
      </c>
      <c r="AQ1844">
        <v>1944</v>
      </c>
      <c r="AR1844">
        <v>1963</v>
      </c>
      <c r="AS1844" t="s">
        <v>7723</v>
      </c>
      <c r="AT1844">
        <v>1.15811088295687</v>
      </c>
      <c r="AU1844">
        <f t="shared" si="86"/>
        <v>3.0000000000000001E-3</v>
      </c>
    </row>
    <row r="1845" spans="1:47" x14ac:dyDescent="0.3">
      <c r="A1845">
        <v>1843</v>
      </c>
      <c r="B1845" t="s">
        <v>7724</v>
      </c>
      <c r="C1845" t="s">
        <v>7702</v>
      </c>
      <c r="D1845">
        <v>350</v>
      </c>
      <c r="E1845" t="s">
        <v>7689</v>
      </c>
      <c r="F1845" t="str">
        <f>VLOOKUP(E1845,country_continent!A:C,2,FALSE)</f>
        <v>Greece</v>
      </c>
      <c r="G1845" t="str">
        <f>VLOOKUP(E1845,country_continent!A:C,3,FALSE)</f>
        <v>Europe</v>
      </c>
      <c r="H1845" t="s">
        <v>7703</v>
      </c>
      <c r="I1845" s="1">
        <v>8790</v>
      </c>
      <c r="J1845" s="3">
        <f t="shared" si="84"/>
        <v>8790</v>
      </c>
      <c r="K1845" s="1">
        <v>8816</v>
      </c>
      <c r="L1845" s="3">
        <f t="shared" si="85"/>
        <v>8816</v>
      </c>
      <c r="M1845" t="s">
        <v>49</v>
      </c>
      <c r="N1845" t="s">
        <v>228</v>
      </c>
      <c r="O1845" t="s">
        <v>49</v>
      </c>
      <c r="P1845">
        <v>1</v>
      </c>
      <c r="Q1845" t="s">
        <v>50</v>
      </c>
      <c r="R1845" t="s">
        <v>51</v>
      </c>
      <c r="S1845">
        <v>1864</v>
      </c>
      <c r="T1845">
        <v>1936</v>
      </c>
      <c r="U1845" t="s">
        <v>7704</v>
      </c>
      <c r="V1845" t="s">
        <v>7705</v>
      </c>
      <c r="Y1845" t="s">
        <v>7706</v>
      </c>
      <c r="Z1845">
        <v>0</v>
      </c>
      <c r="AA1845">
        <v>2.0999998999999998</v>
      </c>
      <c r="AB1845">
        <v>0</v>
      </c>
      <c r="AC1845">
        <v>0</v>
      </c>
      <c r="AD1845" t="s">
        <v>7707</v>
      </c>
      <c r="AE1845">
        <v>0</v>
      </c>
      <c r="AF1845">
        <v>1924</v>
      </c>
      <c r="AG1845">
        <v>1924</v>
      </c>
      <c r="AO1845" t="b">
        <v>1</v>
      </c>
      <c r="AP1845" t="s">
        <v>4202</v>
      </c>
      <c r="AQ1845">
        <v>1944</v>
      </c>
      <c r="AR1845">
        <v>1963</v>
      </c>
      <c r="AS1845" t="s">
        <v>7725</v>
      </c>
      <c r="AT1845">
        <v>7.1184120465434597E-2</v>
      </c>
      <c r="AU1845">
        <f t="shared" si="86"/>
        <v>0</v>
      </c>
    </row>
    <row r="1846" spans="1:47" x14ac:dyDescent="0.3">
      <c r="A1846">
        <v>1844</v>
      </c>
      <c r="B1846" t="s">
        <v>7726</v>
      </c>
      <c r="C1846" t="s">
        <v>7727</v>
      </c>
      <c r="D1846">
        <v>350</v>
      </c>
      <c r="E1846" t="s">
        <v>7689</v>
      </c>
      <c r="F1846" t="str">
        <f>VLOOKUP(E1846,country_continent!A:C,2,FALSE)</f>
        <v>Greece</v>
      </c>
      <c r="G1846" t="str">
        <f>VLOOKUP(E1846,country_continent!A:C,3,FALSE)</f>
        <v>Europe</v>
      </c>
      <c r="H1846" t="s">
        <v>7728</v>
      </c>
      <c r="I1846" s="1">
        <v>8816</v>
      </c>
      <c r="J1846" s="3">
        <f t="shared" si="84"/>
        <v>8816</v>
      </c>
      <c r="K1846" s="1">
        <v>8838</v>
      </c>
      <c r="L1846" s="3">
        <f t="shared" si="85"/>
        <v>8838</v>
      </c>
      <c r="M1846" t="s">
        <v>49</v>
      </c>
      <c r="N1846" t="s">
        <v>49</v>
      </c>
      <c r="O1846" t="s">
        <v>49</v>
      </c>
      <c r="P1846">
        <v>0</v>
      </c>
      <c r="Q1846" t="s">
        <v>50</v>
      </c>
      <c r="R1846" t="s">
        <v>51</v>
      </c>
      <c r="S1846">
        <v>1873</v>
      </c>
      <c r="T1846">
        <v>1946</v>
      </c>
      <c r="Y1846" t="s">
        <v>7729</v>
      </c>
      <c r="Z1846">
        <v>0</v>
      </c>
      <c r="AA1846">
        <v>1</v>
      </c>
      <c r="AB1846">
        <v>0</v>
      </c>
      <c r="AC1846">
        <v>0</v>
      </c>
      <c r="AF1846">
        <v>1924</v>
      </c>
      <c r="AG1846">
        <v>1924</v>
      </c>
      <c r="AO1846" t="b">
        <v>1</v>
      </c>
      <c r="AP1846" t="s">
        <v>4202</v>
      </c>
      <c r="AQ1846">
        <v>1944</v>
      </c>
      <c r="AR1846">
        <v>1963</v>
      </c>
      <c r="AS1846" t="s">
        <v>7730</v>
      </c>
      <c r="AT1846">
        <v>6.0232717316906201E-2</v>
      </c>
      <c r="AU1846">
        <f t="shared" si="86"/>
        <v>0</v>
      </c>
    </row>
    <row r="1847" spans="1:47" x14ac:dyDescent="0.3">
      <c r="A1847">
        <v>1845</v>
      </c>
      <c r="B1847" t="s">
        <v>7731</v>
      </c>
      <c r="C1847" t="s">
        <v>7732</v>
      </c>
      <c r="D1847">
        <v>350</v>
      </c>
      <c r="E1847" t="s">
        <v>7689</v>
      </c>
      <c r="F1847" t="str">
        <f>VLOOKUP(E1847,country_continent!A:C,2,FALSE)</f>
        <v>Greece</v>
      </c>
      <c r="G1847" t="str">
        <f>VLOOKUP(E1847,country_continent!A:C,3,FALSE)</f>
        <v>Europe</v>
      </c>
      <c r="H1847" t="s">
        <v>7733</v>
      </c>
      <c r="I1847" s="1">
        <v>8838</v>
      </c>
      <c r="J1847" s="3">
        <f t="shared" si="84"/>
        <v>8838</v>
      </c>
      <c r="K1847" s="1">
        <v>8972</v>
      </c>
      <c r="L1847" s="3">
        <f t="shared" si="85"/>
        <v>8972</v>
      </c>
      <c r="M1847" t="s">
        <v>49</v>
      </c>
      <c r="N1847" t="s">
        <v>49</v>
      </c>
      <c r="O1847" t="s">
        <v>49</v>
      </c>
      <c r="P1847">
        <v>0</v>
      </c>
      <c r="Q1847" t="s">
        <v>50</v>
      </c>
      <c r="R1847" t="s">
        <v>51</v>
      </c>
      <c r="S1847">
        <v>1876</v>
      </c>
      <c r="T1847">
        <v>1936</v>
      </c>
      <c r="Y1847" t="s">
        <v>7734</v>
      </c>
      <c r="Z1847">
        <v>0</v>
      </c>
      <c r="AA1847">
        <v>1</v>
      </c>
      <c r="AB1847">
        <v>0</v>
      </c>
      <c r="AC1847">
        <v>0</v>
      </c>
      <c r="AF1847">
        <v>1924</v>
      </c>
      <c r="AG1847">
        <v>1924</v>
      </c>
      <c r="AO1847" t="b">
        <v>1</v>
      </c>
      <c r="AP1847" t="s">
        <v>4202</v>
      </c>
      <c r="AQ1847">
        <v>1944</v>
      </c>
      <c r="AR1847">
        <v>1963</v>
      </c>
      <c r="AS1847" t="s">
        <v>7735</v>
      </c>
      <c r="AT1847">
        <v>0.36687200547570098</v>
      </c>
      <c r="AU1847">
        <f t="shared" si="86"/>
        <v>1E-3</v>
      </c>
    </row>
    <row r="1848" spans="1:47" x14ac:dyDescent="0.3">
      <c r="A1848">
        <v>1846</v>
      </c>
      <c r="B1848" t="s">
        <v>7736</v>
      </c>
      <c r="C1848" t="s">
        <v>7737</v>
      </c>
      <c r="D1848">
        <v>350</v>
      </c>
      <c r="E1848" t="s">
        <v>7689</v>
      </c>
      <c r="F1848" t="str">
        <f>VLOOKUP(E1848,country_continent!A:C,2,FALSE)</f>
        <v>Greece</v>
      </c>
      <c r="G1848" t="str">
        <f>VLOOKUP(E1848,country_continent!A:C,3,FALSE)</f>
        <v>Europe</v>
      </c>
      <c r="H1848" t="s">
        <v>7738</v>
      </c>
      <c r="I1848" s="1">
        <v>8972</v>
      </c>
      <c r="J1848" s="3">
        <f t="shared" si="84"/>
        <v>8972</v>
      </c>
      <c r="K1848" s="1">
        <v>9047</v>
      </c>
      <c r="L1848" s="3">
        <f t="shared" si="85"/>
        <v>9047</v>
      </c>
      <c r="M1848" t="s">
        <v>49</v>
      </c>
      <c r="N1848" t="s">
        <v>49</v>
      </c>
      <c r="O1848" t="s">
        <v>49</v>
      </c>
      <c r="P1848">
        <v>0</v>
      </c>
      <c r="Q1848" t="s">
        <v>50</v>
      </c>
      <c r="R1848" t="s">
        <v>51</v>
      </c>
      <c r="S1848">
        <v>1861</v>
      </c>
      <c r="T1848">
        <v>1949</v>
      </c>
      <c r="Z1848">
        <v>0</v>
      </c>
      <c r="AA1848">
        <v>1</v>
      </c>
      <c r="AB1848">
        <v>0</v>
      </c>
      <c r="AC1848">
        <v>0</v>
      </c>
      <c r="AF1848">
        <v>1924</v>
      </c>
      <c r="AG1848">
        <v>1924</v>
      </c>
      <c r="AO1848" t="b">
        <v>1</v>
      </c>
      <c r="AP1848" t="s">
        <v>4202</v>
      </c>
      <c r="AQ1848">
        <v>1944</v>
      </c>
      <c r="AR1848">
        <v>1963</v>
      </c>
      <c r="AS1848" t="s">
        <v>7739</v>
      </c>
      <c r="AT1848">
        <v>0.205338809034907</v>
      </c>
      <c r="AU1848">
        <f t="shared" si="86"/>
        <v>1E-3</v>
      </c>
    </row>
    <row r="1849" spans="1:47" x14ac:dyDescent="0.3">
      <c r="A1849">
        <v>1847</v>
      </c>
      <c r="B1849" t="s">
        <v>7740</v>
      </c>
      <c r="C1849" t="s">
        <v>7741</v>
      </c>
      <c r="D1849">
        <v>350</v>
      </c>
      <c r="E1849" t="s">
        <v>7689</v>
      </c>
      <c r="F1849" t="str">
        <f>VLOOKUP(E1849,country_continent!A:C,2,FALSE)</f>
        <v>Greece</v>
      </c>
      <c r="G1849" t="str">
        <f>VLOOKUP(E1849,country_continent!A:C,3,FALSE)</f>
        <v>Europe</v>
      </c>
      <c r="H1849" t="s">
        <v>7742</v>
      </c>
      <c r="I1849" s="1">
        <v>9047</v>
      </c>
      <c r="J1849" s="3">
        <f t="shared" si="84"/>
        <v>9047</v>
      </c>
      <c r="K1849" s="1">
        <v>9309</v>
      </c>
      <c r="L1849" s="3">
        <f t="shared" si="85"/>
        <v>9309</v>
      </c>
      <c r="M1849" t="s">
        <v>49</v>
      </c>
      <c r="N1849" t="s">
        <v>67</v>
      </c>
      <c r="O1849" t="s">
        <v>376</v>
      </c>
      <c r="P1849">
        <v>0</v>
      </c>
      <c r="Q1849" t="s">
        <v>50</v>
      </c>
      <c r="R1849" t="s">
        <v>51</v>
      </c>
      <c r="S1849">
        <v>1876</v>
      </c>
      <c r="T1849">
        <v>1938</v>
      </c>
      <c r="Z1849">
        <v>0</v>
      </c>
      <c r="AA1849">
        <v>3</v>
      </c>
      <c r="AB1849">
        <v>6</v>
      </c>
      <c r="AC1849">
        <v>0</v>
      </c>
      <c r="AF1849">
        <v>1924</v>
      </c>
      <c r="AG1849">
        <v>1925</v>
      </c>
      <c r="AO1849" t="b">
        <v>1</v>
      </c>
      <c r="AP1849" t="s">
        <v>4202</v>
      </c>
      <c r="AQ1849">
        <v>1944</v>
      </c>
      <c r="AR1849">
        <v>1963</v>
      </c>
      <c r="AS1849" t="s">
        <v>7743</v>
      </c>
      <c r="AT1849">
        <v>0.71731690622861</v>
      </c>
      <c r="AU1849">
        <f t="shared" si="86"/>
        <v>2E-3</v>
      </c>
    </row>
    <row r="1850" spans="1:47" x14ac:dyDescent="0.3">
      <c r="A1850">
        <v>1848</v>
      </c>
      <c r="B1850" t="s">
        <v>7744</v>
      </c>
      <c r="C1850" t="s">
        <v>7745</v>
      </c>
      <c r="D1850">
        <v>350</v>
      </c>
      <c r="E1850" t="s">
        <v>7689</v>
      </c>
      <c r="F1850" t="str">
        <f>VLOOKUP(E1850,country_continent!A:C,2,FALSE)</f>
        <v>Greece</v>
      </c>
      <c r="G1850" t="str">
        <f>VLOOKUP(E1850,country_continent!A:C,3,FALSE)</f>
        <v>Europe</v>
      </c>
      <c r="H1850" t="s">
        <v>7746</v>
      </c>
      <c r="I1850" s="1">
        <v>9309</v>
      </c>
      <c r="J1850" s="3">
        <f t="shared" si="84"/>
        <v>9309</v>
      </c>
      <c r="K1850" s="1">
        <v>9731</v>
      </c>
      <c r="L1850" s="3">
        <f t="shared" si="85"/>
        <v>9731</v>
      </c>
      <c r="M1850" t="s">
        <v>67</v>
      </c>
      <c r="N1850" t="s">
        <v>67</v>
      </c>
      <c r="O1850" t="s">
        <v>376</v>
      </c>
      <c r="P1850">
        <v>0</v>
      </c>
      <c r="Q1850" t="s">
        <v>463</v>
      </c>
      <c r="R1850" t="s">
        <v>51</v>
      </c>
      <c r="S1850">
        <v>1878</v>
      </c>
      <c r="T1850">
        <v>1952</v>
      </c>
      <c r="U1850" t="s">
        <v>7747</v>
      </c>
      <c r="V1850" t="s">
        <v>7748</v>
      </c>
      <c r="W1850" s="1">
        <v>19050</v>
      </c>
      <c r="X1850" s="2">
        <v>19050</v>
      </c>
      <c r="Z1850">
        <v>1</v>
      </c>
      <c r="AA1850">
        <v>3</v>
      </c>
      <c r="AB1850">
        <v>6</v>
      </c>
      <c r="AC1850">
        <v>2</v>
      </c>
      <c r="AF1850">
        <v>1925</v>
      </c>
      <c r="AG1850">
        <v>1926</v>
      </c>
      <c r="AO1850" t="b">
        <v>1</v>
      </c>
      <c r="AP1850" t="s">
        <v>4202</v>
      </c>
      <c r="AQ1850">
        <v>1944</v>
      </c>
      <c r="AR1850">
        <v>1963</v>
      </c>
      <c r="AS1850" t="s">
        <v>7749</v>
      </c>
      <c r="AT1850">
        <v>1.15537303216974</v>
      </c>
      <c r="AU1850">
        <f t="shared" si="86"/>
        <v>3.0000000000000001E-3</v>
      </c>
    </row>
    <row r="1851" spans="1:47" x14ac:dyDescent="0.3">
      <c r="A1851">
        <v>1849</v>
      </c>
      <c r="B1851" t="s">
        <v>7750</v>
      </c>
      <c r="C1851" t="s">
        <v>7751</v>
      </c>
      <c r="D1851">
        <v>350</v>
      </c>
      <c r="E1851" t="s">
        <v>7689</v>
      </c>
      <c r="F1851" t="str">
        <f>VLOOKUP(E1851,country_continent!A:C,2,FALSE)</f>
        <v>Greece</v>
      </c>
      <c r="G1851" t="str">
        <f>VLOOKUP(E1851,country_continent!A:C,3,FALSE)</f>
        <v>Europe</v>
      </c>
      <c r="H1851" t="s">
        <v>7752</v>
      </c>
      <c r="I1851" s="1">
        <v>9732</v>
      </c>
      <c r="J1851" s="3">
        <f t="shared" si="84"/>
        <v>9732</v>
      </c>
      <c r="K1851" s="1">
        <v>9835</v>
      </c>
      <c r="L1851" s="3">
        <f t="shared" si="85"/>
        <v>9835</v>
      </c>
      <c r="M1851" t="s">
        <v>67</v>
      </c>
      <c r="N1851" t="s">
        <v>49</v>
      </c>
      <c r="O1851" t="s">
        <v>49</v>
      </c>
      <c r="P1851">
        <v>0</v>
      </c>
      <c r="Q1851" t="s">
        <v>50</v>
      </c>
      <c r="R1851" t="s">
        <v>51</v>
      </c>
      <c r="S1851">
        <v>1879</v>
      </c>
      <c r="T1851">
        <v>1936</v>
      </c>
      <c r="W1851" s="1">
        <v>13180</v>
      </c>
      <c r="X1851" s="2">
        <v>13180</v>
      </c>
      <c r="Z1851">
        <v>1</v>
      </c>
      <c r="AA1851">
        <v>1</v>
      </c>
      <c r="AB1851">
        <v>0</v>
      </c>
      <c r="AC1851">
        <v>0</v>
      </c>
      <c r="AF1851">
        <v>1926</v>
      </c>
      <c r="AG1851">
        <v>1926</v>
      </c>
      <c r="AO1851" t="b">
        <v>1</v>
      </c>
      <c r="AP1851" t="s">
        <v>4202</v>
      </c>
      <c r="AQ1851">
        <v>1944</v>
      </c>
      <c r="AR1851">
        <v>1963</v>
      </c>
      <c r="AS1851" t="s">
        <v>7753</v>
      </c>
      <c r="AT1851">
        <v>0.28199863107460599</v>
      </c>
      <c r="AU1851">
        <f t="shared" si="86"/>
        <v>1E-3</v>
      </c>
    </row>
    <row r="1852" spans="1:47" x14ac:dyDescent="0.3">
      <c r="A1852">
        <v>1850</v>
      </c>
      <c r="B1852" t="s">
        <v>7754</v>
      </c>
      <c r="C1852" t="s">
        <v>7755</v>
      </c>
      <c r="D1852">
        <v>350</v>
      </c>
      <c r="E1852" t="s">
        <v>7689</v>
      </c>
      <c r="F1852" t="str">
        <f>VLOOKUP(E1852,country_continent!A:C,2,FALSE)</f>
        <v>Greece</v>
      </c>
      <c r="G1852" t="str">
        <f>VLOOKUP(E1852,country_continent!A:C,3,FALSE)</f>
        <v>Europe</v>
      </c>
      <c r="H1852" t="s">
        <v>7756</v>
      </c>
      <c r="I1852" s="1">
        <v>9835</v>
      </c>
      <c r="J1852" s="3">
        <f t="shared" si="84"/>
        <v>9835</v>
      </c>
      <c r="K1852" s="1">
        <v>10413</v>
      </c>
      <c r="L1852" s="3">
        <f t="shared" si="85"/>
        <v>10413</v>
      </c>
      <c r="M1852" t="s">
        <v>49</v>
      </c>
      <c r="N1852" t="s">
        <v>49</v>
      </c>
      <c r="O1852" t="s">
        <v>49</v>
      </c>
      <c r="P1852">
        <v>0</v>
      </c>
      <c r="Q1852" t="s">
        <v>50</v>
      </c>
      <c r="R1852" t="s">
        <v>51</v>
      </c>
      <c r="S1852">
        <v>1855</v>
      </c>
      <c r="T1852">
        <v>1936</v>
      </c>
      <c r="Y1852" t="s">
        <v>7757</v>
      </c>
      <c r="Z1852">
        <v>0</v>
      </c>
      <c r="AA1852">
        <v>1</v>
      </c>
      <c r="AB1852">
        <v>0</v>
      </c>
      <c r="AC1852">
        <v>0</v>
      </c>
      <c r="AF1852">
        <v>1926</v>
      </c>
      <c r="AG1852">
        <v>1928</v>
      </c>
      <c r="AO1852" t="b">
        <v>1</v>
      </c>
      <c r="AP1852" t="s">
        <v>4202</v>
      </c>
      <c r="AQ1852">
        <v>1944</v>
      </c>
      <c r="AR1852">
        <v>1963</v>
      </c>
      <c r="AS1852" t="s">
        <v>7758</v>
      </c>
      <c r="AT1852">
        <v>1.5824777549623501</v>
      </c>
      <c r="AU1852">
        <f t="shared" si="86"/>
        <v>4.0000000000000001E-3</v>
      </c>
    </row>
    <row r="1853" spans="1:47" x14ac:dyDescent="0.3">
      <c r="A1853">
        <v>1851</v>
      </c>
      <c r="B1853" t="s">
        <v>7759</v>
      </c>
      <c r="C1853" t="s">
        <v>7702</v>
      </c>
      <c r="D1853">
        <v>350</v>
      </c>
      <c r="E1853" t="s">
        <v>7689</v>
      </c>
      <c r="F1853" t="str">
        <f>VLOOKUP(E1853,country_continent!A:C,2,FALSE)</f>
        <v>Greece</v>
      </c>
      <c r="G1853" t="str">
        <f>VLOOKUP(E1853,country_continent!A:C,3,FALSE)</f>
        <v>Europe</v>
      </c>
      <c r="H1853" t="s">
        <v>7703</v>
      </c>
      <c r="I1853" s="1">
        <v>10413</v>
      </c>
      <c r="J1853" s="3">
        <f t="shared" si="84"/>
        <v>10413</v>
      </c>
      <c r="K1853" s="1">
        <v>11835</v>
      </c>
      <c r="L1853" s="3">
        <f t="shared" si="85"/>
        <v>11835</v>
      </c>
      <c r="M1853" t="s">
        <v>49</v>
      </c>
      <c r="N1853" t="s">
        <v>49</v>
      </c>
      <c r="O1853" t="s">
        <v>49</v>
      </c>
      <c r="P1853">
        <v>2</v>
      </c>
      <c r="Q1853" t="s">
        <v>50</v>
      </c>
      <c r="R1853" t="s">
        <v>51</v>
      </c>
      <c r="S1853">
        <v>1864</v>
      </c>
      <c r="T1853">
        <v>1936</v>
      </c>
      <c r="U1853" t="s">
        <v>7704</v>
      </c>
      <c r="V1853" t="s">
        <v>7705</v>
      </c>
      <c r="Y1853" t="s">
        <v>7706</v>
      </c>
      <c r="Z1853">
        <v>0</v>
      </c>
      <c r="AA1853">
        <v>1</v>
      </c>
      <c r="AB1853">
        <v>0</v>
      </c>
      <c r="AC1853">
        <v>0</v>
      </c>
      <c r="AD1853" t="s">
        <v>7707</v>
      </c>
      <c r="AE1853">
        <v>0</v>
      </c>
      <c r="AF1853">
        <v>1928</v>
      </c>
      <c r="AG1853">
        <v>1932</v>
      </c>
      <c r="AO1853" t="b">
        <v>1</v>
      </c>
      <c r="AP1853" t="s">
        <v>4202</v>
      </c>
      <c r="AQ1853">
        <v>1944</v>
      </c>
      <c r="AR1853">
        <v>1963</v>
      </c>
      <c r="AS1853" t="s">
        <v>7760</v>
      </c>
      <c r="AT1853">
        <v>3.89322381930184</v>
      </c>
      <c r="AU1853">
        <f t="shared" si="86"/>
        <v>1.0999999999999999E-2</v>
      </c>
    </row>
    <row r="1854" spans="1:47" x14ac:dyDescent="0.3">
      <c r="A1854">
        <v>1852</v>
      </c>
      <c r="B1854" t="s">
        <v>7761</v>
      </c>
      <c r="C1854" t="s">
        <v>7732</v>
      </c>
      <c r="D1854">
        <v>350</v>
      </c>
      <c r="E1854" t="s">
        <v>7689</v>
      </c>
      <c r="F1854" t="str">
        <f>VLOOKUP(E1854,country_continent!A:C,2,FALSE)</f>
        <v>Greece</v>
      </c>
      <c r="G1854" t="str">
        <f>VLOOKUP(E1854,country_continent!A:C,3,FALSE)</f>
        <v>Europe</v>
      </c>
      <c r="H1854" t="s">
        <v>7733</v>
      </c>
      <c r="I1854" s="1">
        <v>11835</v>
      </c>
      <c r="J1854" s="3">
        <f t="shared" si="84"/>
        <v>11835</v>
      </c>
      <c r="K1854" s="1">
        <v>11845</v>
      </c>
      <c r="L1854" s="3">
        <f t="shared" si="85"/>
        <v>11845</v>
      </c>
      <c r="M1854" t="s">
        <v>49</v>
      </c>
      <c r="N1854" t="s">
        <v>49</v>
      </c>
      <c r="O1854" t="s">
        <v>49</v>
      </c>
      <c r="P1854">
        <v>1</v>
      </c>
      <c r="Q1854" t="s">
        <v>50</v>
      </c>
      <c r="R1854" t="s">
        <v>51</v>
      </c>
      <c r="S1854">
        <v>1876</v>
      </c>
      <c r="T1854">
        <v>1936</v>
      </c>
      <c r="Y1854" t="s">
        <v>7734</v>
      </c>
      <c r="Z1854">
        <v>0</v>
      </c>
      <c r="AA1854">
        <v>1</v>
      </c>
      <c r="AB1854">
        <v>0</v>
      </c>
      <c r="AC1854">
        <v>0</v>
      </c>
      <c r="AF1854">
        <v>1932</v>
      </c>
      <c r="AG1854">
        <v>1932</v>
      </c>
      <c r="AO1854" t="b">
        <v>1</v>
      </c>
      <c r="AP1854" t="s">
        <v>4202</v>
      </c>
      <c r="AQ1854">
        <v>1944</v>
      </c>
      <c r="AR1854">
        <v>1963</v>
      </c>
      <c r="AS1854" t="s">
        <v>7762</v>
      </c>
      <c r="AT1854">
        <v>2.7378507871321001E-2</v>
      </c>
      <c r="AU1854">
        <f t="shared" si="86"/>
        <v>0</v>
      </c>
    </row>
    <row r="1855" spans="1:47" x14ac:dyDescent="0.3">
      <c r="A1855">
        <v>1853</v>
      </c>
      <c r="B1855" t="s">
        <v>7763</v>
      </c>
      <c r="C1855" t="s">
        <v>7702</v>
      </c>
      <c r="D1855">
        <v>350</v>
      </c>
      <c r="E1855" t="s">
        <v>7689</v>
      </c>
      <c r="F1855" t="str">
        <f>VLOOKUP(E1855,country_continent!A:C,2,FALSE)</f>
        <v>Greece</v>
      </c>
      <c r="G1855" t="str">
        <f>VLOOKUP(E1855,country_continent!A:C,3,FALSE)</f>
        <v>Europe</v>
      </c>
      <c r="H1855" t="s">
        <v>7703</v>
      </c>
      <c r="I1855" s="1">
        <v>11845</v>
      </c>
      <c r="J1855" s="3">
        <f t="shared" si="84"/>
        <v>11845</v>
      </c>
      <c r="K1855" s="1">
        <v>11996</v>
      </c>
      <c r="L1855" s="3">
        <f t="shared" si="85"/>
        <v>11996</v>
      </c>
      <c r="M1855" t="s">
        <v>49</v>
      </c>
      <c r="N1855" t="s">
        <v>49</v>
      </c>
      <c r="O1855" t="s">
        <v>49</v>
      </c>
      <c r="P1855">
        <v>3</v>
      </c>
      <c r="Q1855" t="s">
        <v>50</v>
      </c>
      <c r="R1855" t="s">
        <v>51</v>
      </c>
      <c r="S1855">
        <v>1864</v>
      </c>
      <c r="T1855">
        <v>1936</v>
      </c>
      <c r="U1855" t="s">
        <v>7704</v>
      </c>
      <c r="V1855" t="s">
        <v>7705</v>
      </c>
      <c r="Y1855" t="s">
        <v>7706</v>
      </c>
      <c r="Z1855">
        <v>0</v>
      </c>
      <c r="AA1855">
        <v>1</v>
      </c>
      <c r="AB1855">
        <v>0</v>
      </c>
      <c r="AC1855">
        <v>0</v>
      </c>
      <c r="AD1855" t="s">
        <v>7707</v>
      </c>
      <c r="AE1855">
        <v>0</v>
      </c>
      <c r="AF1855">
        <v>1932</v>
      </c>
      <c r="AG1855">
        <v>1932</v>
      </c>
      <c r="AO1855" t="b">
        <v>1</v>
      </c>
      <c r="AP1855" t="s">
        <v>4202</v>
      </c>
      <c r="AQ1855">
        <v>1944</v>
      </c>
      <c r="AR1855">
        <v>1963</v>
      </c>
      <c r="AS1855" t="s">
        <v>7764</v>
      </c>
      <c r="AT1855">
        <v>0.41341546885694702</v>
      </c>
      <c r="AU1855">
        <f t="shared" si="86"/>
        <v>1E-3</v>
      </c>
    </row>
    <row r="1856" spans="1:47" x14ac:dyDescent="0.3">
      <c r="A1856">
        <v>1854</v>
      </c>
      <c r="B1856" t="s">
        <v>7765</v>
      </c>
      <c r="C1856" t="s">
        <v>7766</v>
      </c>
      <c r="D1856">
        <v>350</v>
      </c>
      <c r="E1856" t="s">
        <v>7689</v>
      </c>
      <c r="F1856" t="str">
        <f>VLOOKUP(E1856,country_continent!A:C,2,FALSE)</f>
        <v>Greece</v>
      </c>
      <c r="G1856" t="str">
        <f>VLOOKUP(E1856,country_continent!A:C,3,FALSE)</f>
        <v>Europe</v>
      </c>
      <c r="H1856" t="s">
        <v>7767</v>
      </c>
      <c r="I1856" s="1">
        <v>11997</v>
      </c>
      <c r="J1856" s="3">
        <f t="shared" si="84"/>
        <v>11997</v>
      </c>
      <c r="K1856" s="1">
        <v>12065</v>
      </c>
      <c r="L1856" s="3">
        <f t="shared" si="85"/>
        <v>12065</v>
      </c>
      <c r="M1856" t="s">
        <v>49</v>
      </c>
      <c r="N1856" t="s">
        <v>49</v>
      </c>
      <c r="O1856" t="s">
        <v>49</v>
      </c>
      <c r="P1856">
        <v>0</v>
      </c>
      <c r="Q1856" t="s">
        <v>50</v>
      </c>
      <c r="R1856" t="s">
        <v>51</v>
      </c>
      <c r="S1856">
        <v>1868</v>
      </c>
      <c r="T1856">
        <v>1936</v>
      </c>
      <c r="Z1856">
        <v>0</v>
      </c>
      <c r="AA1856">
        <v>1</v>
      </c>
      <c r="AB1856">
        <v>0</v>
      </c>
      <c r="AC1856">
        <v>0</v>
      </c>
      <c r="AD1856" t="s">
        <v>7768</v>
      </c>
      <c r="AE1856">
        <v>0</v>
      </c>
      <c r="AF1856">
        <v>1932</v>
      </c>
      <c r="AG1856">
        <v>1933</v>
      </c>
      <c r="AO1856" t="b">
        <v>1</v>
      </c>
      <c r="AP1856" t="s">
        <v>4202</v>
      </c>
      <c r="AQ1856">
        <v>1944</v>
      </c>
      <c r="AR1856">
        <v>1963</v>
      </c>
      <c r="AS1856" t="s">
        <v>7769</v>
      </c>
      <c r="AT1856">
        <v>0.186173853524982</v>
      </c>
      <c r="AU1856">
        <f t="shared" si="86"/>
        <v>1E-3</v>
      </c>
    </row>
    <row r="1857" spans="1:47" x14ac:dyDescent="0.3">
      <c r="A1857">
        <v>1855</v>
      </c>
      <c r="B1857" t="s">
        <v>7770</v>
      </c>
      <c r="C1857" t="s">
        <v>7702</v>
      </c>
      <c r="D1857">
        <v>350</v>
      </c>
      <c r="E1857" t="s">
        <v>7689</v>
      </c>
      <c r="F1857" t="str">
        <f>VLOOKUP(E1857,country_continent!A:C,2,FALSE)</f>
        <v>Greece</v>
      </c>
      <c r="G1857" t="str">
        <f>VLOOKUP(E1857,country_continent!A:C,3,FALSE)</f>
        <v>Europe</v>
      </c>
      <c r="H1857" t="s">
        <v>7703</v>
      </c>
      <c r="I1857" s="1">
        <v>12070</v>
      </c>
      <c r="J1857" s="3">
        <f t="shared" si="84"/>
        <v>12070</v>
      </c>
      <c r="K1857" s="1">
        <v>12119</v>
      </c>
      <c r="L1857" s="3">
        <f t="shared" si="85"/>
        <v>12119</v>
      </c>
      <c r="M1857" t="s">
        <v>49</v>
      </c>
      <c r="N1857" t="s">
        <v>49</v>
      </c>
      <c r="O1857" t="s">
        <v>49</v>
      </c>
      <c r="P1857">
        <v>4</v>
      </c>
      <c r="Q1857" t="s">
        <v>50</v>
      </c>
      <c r="R1857" t="s">
        <v>51</v>
      </c>
      <c r="S1857">
        <v>1864</v>
      </c>
      <c r="T1857">
        <v>1936</v>
      </c>
      <c r="U1857" t="s">
        <v>7704</v>
      </c>
      <c r="V1857" t="s">
        <v>7705</v>
      </c>
      <c r="Y1857" t="s">
        <v>7706</v>
      </c>
      <c r="Z1857">
        <v>0</v>
      </c>
      <c r="AA1857">
        <v>1</v>
      </c>
      <c r="AB1857">
        <v>0</v>
      </c>
      <c r="AC1857">
        <v>0</v>
      </c>
      <c r="AD1857" t="s">
        <v>7707</v>
      </c>
      <c r="AE1857">
        <v>0</v>
      </c>
      <c r="AF1857">
        <v>1933</v>
      </c>
      <c r="AG1857">
        <v>1933</v>
      </c>
      <c r="AO1857" t="b">
        <v>1</v>
      </c>
      <c r="AP1857" t="s">
        <v>4202</v>
      </c>
      <c r="AQ1857">
        <v>1944</v>
      </c>
      <c r="AR1857">
        <v>1963</v>
      </c>
      <c r="AS1857" t="s">
        <v>7771</v>
      </c>
      <c r="AT1857">
        <v>0.13415468856947199</v>
      </c>
      <c r="AU1857">
        <f t="shared" si="86"/>
        <v>0</v>
      </c>
    </row>
    <row r="1858" spans="1:47" x14ac:dyDescent="0.3">
      <c r="A1858">
        <v>1856</v>
      </c>
      <c r="B1858" t="s">
        <v>7772</v>
      </c>
      <c r="C1858" t="s">
        <v>7716</v>
      </c>
      <c r="D1858">
        <v>350</v>
      </c>
      <c r="E1858" t="s">
        <v>7689</v>
      </c>
      <c r="F1858" t="str">
        <f>VLOOKUP(E1858,country_continent!A:C,2,FALSE)</f>
        <v>Greece</v>
      </c>
      <c r="G1858" t="str">
        <f>VLOOKUP(E1858,country_continent!A:C,3,FALSE)</f>
        <v>Europe</v>
      </c>
      <c r="H1858" t="s">
        <v>7717</v>
      </c>
      <c r="I1858" s="1">
        <v>12119</v>
      </c>
      <c r="J1858" s="3">
        <f t="shared" si="84"/>
        <v>12119</v>
      </c>
      <c r="K1858" s="1">
        <v>12123</v>
      </c>
      <c r="L1858" s="3">
        <f t="shared" si="85"/>
        <v>12123</v>
      </c>
      <c r="M1858" t="s">
        <v>67</v>
      </c>
      <c r="N1858" t="s">
        <v>67</v>
      </c>
      <c r="O1858" t="s">
        <v>376</v>
      </c>
      <c r="P1858">
        <v>1</v>
      </c>
      <c r="Q1858" t="s">
        <v>362</v>
      </c>
      <c r="R1858" t="s">
        <v>51</v>
      </c>
      <c r="S1858">
        <v>1883</v>
      </c>
      <c r="T1858">
        <v>1953</v>
      </c>
      <c r="Y1858" t="s">
        <v>7718</v>
      </c>
      <c r="Z1858">
        <v>1</v>
      </c>
      <c r="AA1858">
        <v>3</v>
      </c>
      <c r="AB1858">
        <v>6</v>
      </c>
      <c r="AC1858">
        <v>1</v>
      </c>
      <c r="AF1858">
        <v>1933</v>
      </c>
      <c r="AG1858">
        <v>1933</v>
      </c>
      <c r="AO1858" t="b">
        <v>1</v>
      </c>
      <c r="AP1858" t="s">
        <v>4202</v>
      </c>
      <c r="AQ1858">
        <v>1944</v>
      </c>
      <c r="AR1858">
        <v>1963</v>
      </c>
      <c r="AS1858" t="s">
        <v>7374</v>
      </c>
      <c r="AT1858">
        <v>1.09514031485284E-2</v>
      </c>
      <c r="AU1858">
        <f t="shared" si="86"/>
        <v>0</v>
      </c>
    </row>
    <row r="1859" spans="1:47" x14ac:dyDescent="0.3">
      <c r="A1859">
        <v>1857</v>
      </c>
      <c r="B1859" t="s">
        <v>7773</v>
      </c>
      <c r="C1859" t="s">
        <v>7766</v>
      </c>
      <c r="D1859">
        <v>350</v>
      </c>
      <c r="E1859" t="s">
        <v>7689</v>
      </c>
      <c r="F1859" t="str">
        <f>VLOOKUP(E1859,country_continent!A:C,2,FALSE)</f>
        <v>Greece</v>
      </c>
      <c r="G1859" t="str">
        <f>VLOOKUP(E1859,country_continent!A:C,3,FALSE)</f>
        <v>Europe</v>
      </c>
      <c r="H1859" t="s">
        <v>7767</v>
      </c>
      <c r="I1859" s="1">
        <v>12123</v>
      </c>
      <c r="J1859" s="3">
        <f t="shared" ref="J1859:J1922" si="87">IF(ISNUMBER(SEARCH("-", I1859)), SUBSTITUTE(I1859, "-", "/"), I1859)</f>
        <v>12123</v>
      </c>
      <c r="K1859" s="1">
        <v>13067</v>
      </c>
      <c r="L1859" s="3">
        <f t="shared" ref="L1859:L1922" si="88">IF(ISNUMBER(SEARCH("-", K1859)), SUBSTITUTE(K1859, "-", "/"), K1859)</f>
        <v>13067</v>
      </c>
      <c r="M1859" t="s">
        <v>49</v>
      </c>
      <c r="N1859" t="s">
        <v>67</v>
      </c>
      <c r="O1859" t="s">
        <v>376</v>
      </c>
      <c r="P1859">
        <v>1</v>
      </c>
      <c r="Q1859" t="s">
        <v>50</v>
      </c>
      <c r="R1859" t="s">
        <v>51</v>
      </c>
      <c r="S1859">
        <v>1868</v>
      </c>
      <c r="T1859">
        <v>1936</v>
      </c>
      <c r="Z1859">
        <v>0</v>
      </c>
      <c r="AA1859">
        <v>3</v>
      </c>
      <c r="AB1859">
        <v>6</v>
      </c>
      <c r="AC1859">
        <v>0</v>
      </c>
      <c r="AD1859" t="s">
        <v>7768</v>
      </c>
      <c r="AE1859">
        <v>0</v>
      </c>
      <c r="AF1859">
        <v>1933</v>
      </c>
      <c r="AG1859">
        <v>1935</v>
      </c>
      <c r="AO1859" t="b">
        <v>1</v>
      </c>
      <c r="AP1859" t="s">
        <v>4202</v>
      </c>
      <c r="AQ1859">
        <v>1944</v>
      </c>
      <c r="AR1859">
        <v>1963</v>
      </c>
      <c r="AS1859" t="s">
        <v>7774</v>
      </c>
      <c r="AT1859">
        <v>2.5845311430527</v>
      </c>
      <c r="AU1859">
        <f t="shared" si="86"/>
        <v>7.0000000000000001E-3</v>
      </c>
    </row>
    <row r="1860" spans="1:47" x14ac:dyDescent="0.3">
      <c r="A1860">
        <v>1858</v>
      </c>
      <c r="B1860" t="s">
        <v>7775</v>
      </c>
      <c r="C1860" t="s">
        <v>7751</v>
      </c>
      <c r="D1860">
        <v>350</v>
      </c>
      <c r="E1860" t="s">
        <v>7689</v>
      </c>
      <c r="F1860" t="str">
        <f>VLOOKUP(E1860,country_continent!A:C,2,FALSE)</f>
        <v>Greece</v>
      </c>
      <c r="G1860" t="str">
        <f>VLOOKUP(E1860,country_continent!A:C,3,FALSE)</f>
        <v>Europe</v>
      </c>
      <c r="H1860" t="s">
        <v>7752</v>
      </c>
      <c r="I1860" s="1">
        <v>13067</v>
      </c>
      <c r="J1860" s="3">
        <f t="shared" si="87"/>
        <v>13067</v>
      </c>
      <c r="K1860" s="1">
        <v>13118</v>
      </c>
      <c r="L1860" s="3">
        <f t="shared" si="88"/>
        <v>13118</v>
      </c>
      <c r="M1860" t="s">
        <v>67</v>
      </c>
      <c r="N1860" t="s">
        <v>49</v>
      </c>
      <c r="O1860" t="s">
        <v>49</v>
      </c>
      <c r="P1860">
        <v>1</v>
      </c>
      <c r="Q1860" t="s">
        <v>362</v>
      </c>
      <c r="R1860" t="s">
        <v>51</v>
      </c>
      <c r="S1860">
        <v>1879</v>
      </c>
      <c r="T1860">
        <v>1936</v>
      </c>
      <c r="W1860" s="1">
        <v>13180</v>
      </c>
      <c r="X1860" s="2">
        <v>13180</v>
      </c>
      <c r="Z1860">
        <v>1</v>
      </c>
      <c r="AA1860">
        <v>1</v>
      </c>
      <c r="AB1860">
        <v>0</v>
      </c>
      <c r="AC1860">
        <v>1</v>
      </c>
      <c r="AF1860">
        <v>1935</v>
      </c>
      <c r="AG1860">
        <v>1935</v>
      </c>
      <c r="AO1860" t="b">
        <v>1</v>
      </c>
      <c r="AP1860" t="s">
        <v>4202</v>
      </c>
      <c r="AQ1860">
        <v>1944</v>
      </c>
      <c r="AR1860">
        <v>1963</v>
      </c>
      <c r="AS1860" t="s">
        <v>7370</v>
      </c>
      <c r="AT1860">
        <v>0.13963039014373699</v>
      </c>
      <c r="AU1860">
        <f t="shared" ref="AU1860:AU1923" si="89">ROUND(AT1860/365,3)</f>
        <v>0</v>
      </c>
    </row>
    <row r="1861" spans="1:47" x14ac:dyDescent="0.3">
      <c r="A1861">
        <v>1859</v>
      </c>
      <c r="B1861" t="s">
        <v>7776</v>
      </c>
      <c r="C1861" t="s">
        <v>7777</v>
      </c>
      <c r="D1861">
        <v>350</v>
      </c>
      <c r="E1861" t="s">
        <v>7689</v>
      </c>
      <c r="F1861" t="str">
        <f>VLOOKUP(E1861,country_continent!A:C,2,FALSE)</f>
        <v>Greece</v>
      </c>
      <c r="G1861" t="str">
        <f>VLOOKUP(E1861,country_continent!A:C,3,FALSE)</f>
        <v>Europe</v>
      </c>
      <c r="H1861" t="s">
        <v>7778</v>
      </c>
      <c r="I1861" s="1">
        <v>13118</v>
      </c>
      <c r="J1861" s="3">
        <f t="shared" si="87"/>
        <v>13118</v>
      </c>
      <c r="K1861" s="1">
        <v>13252</v>
      </c>
      <c r="L1861" s="3">
        <f t="shared" si="88"/>
        <v>13252</v>
      </c>
      <c r="M1861" t="s">
        <v>49</v>
      </c>
      <c r="N1861" t="s">
        <v>110</v>
      </c>
      <c r="O1861" t="s">
        <v>49</v>
      </c>
      <c r="P1861">
        <v>0</v>
      </c>
      <c r="Q1861" t="s">
        <v>111</v>
      </c>
      <c r="R1861" t="s">
        <v>51</v>
      </c>
      <c r="S1861">
        <v>1876</v>
      </c>
      <c r="T1861">
        <v>1936</v>
      </c>
      <c r="W1861" s="1">
        <v>13252</v>
      </c>
      <c r="X1861" s="2">
        <v>13252</v>
      </c>
      <c r="Z1861">
        <v>0</v>
      </c>
      <c r="AA1861">
        <v>2</v>
      </c>
      <c r="AB1861">
        <v>0</v>
      </c>
      <c r="AC1861">
        <v>-777</v>
      </c>
      <c r="AF1861">
        <v>1935</v>
      </c>
      <c r="AG1861">
        <v>1936</v>
      </c>
      <c r="AO1861" t="b">
        <v>1</v>
      </c>
      <c r="AP1861" t="s">
        <v>4202</v>
      </c>
      <c r="AQ1861">
        <v>1944</v>
      </c>
      <c r="AR1861">
        <v>1963</v>
      </c>
      <c r="AS1861" t="s">
        <v>7735</v>
      </c>
      <c r="AT1861">
        <v>0.36687200547570098</v>
      </c>
      <c r="AU1861">
        <f t="shared" si="89"/>
        <v>1E-3</v>
      </c>
    </row>
    <row r="1862" spans="1:47" x14ac:dyDescent="0.3">
      <c r="A1862">
        <v>1860</v>
      </c>
      <c r="B1862" t="s">
        <v>7779</v>
      </c>
      <c r="C1862" t="s">
        <v>7780</v>
      </c>
      <c r="D1862">
        <v>350</v>
      </c>
      <c r="E1862" t="s">
        <v>7689</v>
      </c>
      <c r="F1862" t="str">
        <f>VLOOKUP(E1862,country_continent!A:C,2,FALSE)</f>
        <v>Greece</v>
      </c>
      <c r="G1862" t="str">
        <f>VLOOKUP(E1862,country_continent!A:C,3,FALSE)</f>
        <v>Europe</v>
      </c>
      <c r="H1862" t="s">
        <v>7781</v>
      </c>
      <c r="I1862" s="1">
        <v>13262</v>
      </c>
      <c r="J1862" s="3">
        <f t="shared" si="87"/>
        <v>13262</v>
      </c>
      <c r="K1862" s="1">
        <v>15005</v>
      </c>
      <c r="L1862" s="3">
        <f t="shared" si="88"/>
        <v>15005</v>
      </c>
      <c r="M1862" t="s">
        <v>67</v>
      </c>
      <c r="N1862" t="s">
        <v>110</v>
      </c>
      <c r="O1862" t="s">
        <v>49</v>
      </c>
      <c r="P1862">
        <v>0</v>
      </c>
      <c r="Q1862" t="s">
        <v>111</v>
      </c>
      <c r="R1862" t="s">
        <v>51</v>
      </c>
      <c r="S1862">
        <v>1871</v>
      </c>
      <c r="T1862">
        <v>1941</v>
      </c>
      <c r="U1862" t="s">
        <v>7782</v>
      </c>
      <c r="V1862" t="s">
        <v>7783</v>
      </c>
      <c r="W1862" s="1">
        <v>15005</v>
      </c>
      <c r="X1862" s="2">
        <v>15005</v>
      </c>
      <c r="Y1862" t="s">
        <v>7784</v>
      </c>
      <c r="Z1862">
        <v>1</v>
      </c>
      <c r="AA1862">
        <v>2</v>
      </c>
      <c r="AB1862">
        <v>0</v>
      </c>
      <c r="AC1862">
        <v>-777</v>
      </c>
      <c r="AF1862">
        <v>1936</v>
      </c>
      <c r="AG1862">
        <v>1941</v>
      </c>
      <c r="AO1862" t="b">
        <v>1</v>
      </c>
      <c r="AP1862" t="s">
        <v>4202</v>
      </c>
      <c r="AQ1862">
        <v>1944</v>
      </c>
      <c r="AR1862">
        <v>1963</v>
      </c>
      <c r="AS1862" t="s">
        <v>7785</v>
      </c>
      <c r="AT1862">
        <v>4.7720739219712502</v>
      </c>
      <c r="AU1862">
        <f t="shared" si="89"/>
        <v>1.2999999999999999E-2</v>
      </c>
    </row>
    <row r="1863" spans="1:47" x14ac:dyDescent="0.3">
      <c r="A1863">
        <v>1861</v>
      </c>
      <c r="B1863" t="s">
        <v>7786</v>
      </c>
      <c r="C1863" t="s">
        <v>7787</v>
      </c>
      <c r="D1863">
        <v>350</v>
      </c>
      <c r="E1863" t="s">
        <v>7689</v>
      </c>
      <c r="F1863" t="str">
        <f>VLOOKUP(E1863,country_continent!A:C,2,FALSE)</f>
        <v>Greece</v>
      </c>
      <c r="G1863" t="str">
        <f>VLOOKUP(E1863,country_continent!A:C,3,FALSE)</f>
        <v>Europe</v>
      </c>
      <c r="H1863" t="s">
        <v>7788</v>
      </c>
      <c r="I1863" s="1">
        <v>15005</v>
      </c>
      <c r="J1863" s="3">
        <f t="shared" si="87"/>
        <v>15005</v>
      </c>
      <c r="K1863" s="1">
        <v>15084</v>
      </c>
      <c r="L1863" s="3">
        <f t="shared" si="88"/>
        <v>15084</v>
      </c>
      <c r="M1863" t="s">
        <v>49</v>
      </c>
      <c r="N1863" t="s">
        <v>110</v>
      </c>
      <c r="O1863" t="s">
        <v>49</v>
      </c>
      <c r="P1863">
        <v>0</v>
      </c>
      <c r="Q1863" t="s">
        <v>111</v>
      </c>
      <c r="R1863" t="s">
        <v>51</v>
      </c>
      <c r="S1863">
        <v>1885</v>
      </c>
      <c r="T1863">
        <v>1941</v>
      </c>
      <c r="Z1863">
        <v>0</v>
      </c>
      <c r="AA1863">
        <v>2</v>
      </c>
      <c r="AB1863">
        <v>0</v>
      </c>
      <c r="AC1863">
        <v>-777</v>
      </c>
      <c r="AF1863">
        <v>1941</v>
      </c>
      <c r="AG1863">
        <v>1941</v>
      </c>
      <c r="AO1863" t="b">
        <v>1</v>
      </c>
      <c r="AP1863" t="s">
        <v>4202</v>
      </c>
      <c r="AQ1863">
        <v>1944</v>
      </c>
      <c r="AR1863">
        <v>1963</v>
      </c>
      <c r="AS1863" t="s">
        <v>7789</v>
      </c>
      <c r="AT1863">
        <v>0.216290212183436</v>
      </c>
      <c r="AU1863">
        <f t="shared" si="89"/>
        <v>1E-3</v>
      </c>
    </row>
    <row r="1864" spans="1:47" x14ac:dyDescent="0.3">
      <c r="A1864">
        <v>1862</v>
      </c>
      <c r="B1864" t="s">
        <v>7790</v>
      </c>
      <c r="C1864" t="s">
        <v>7791</v>
      </c>
      <c r="D1864">
        <v>350</v>
      </c>
      <c r="E1864" t="s">
        <v>7689</v>
      </c>
      <c r="F1864" t="str">
        <f>VLOOKUP(E1864,country_continent!A:C,2,FALSE)</f>
        <v>Greece</v>
      </c>
      <c r="G1864" t="str">
        <f>VLOOKUP(E1864,country_continent!A:C,3,FALSE)</f>
        <v>Europe</v>
      </c>
      <c r="H1864" t="s">
        <v>7792</v>
      </c>
      <c r="I1864" s="1">
        <v>15087</v>
      </c>
      <c r="J1864" s="3">
        <f t="shared" si="87"/>
        <v>15087</v>
      </c>
      <c r="K1864" s="1">
        <v>15095</v>
      </c>
      <c r="L1864" s="3">
        <f t="shared" si="88"/>
        <v>15095</v>
      </c>
      <c r="M1864" t="s">
        <v>49</v>
      </c>
      <c r="N1864" t="s">
        <v>633</v>
      </c>
      <c r="O1864" t="s">
        <v>634</v>
      </c>
      <c r="P1864">
        <v>0</v>
      </c>
      <c r="Q1864" t="s">
        <v>362</v>
      </c>
      <c r="R1864" t="s">
        <v>51</v>
      </c>
      <c r="S1864">
        <v>1882</v>
      </c>
      <c r="T1864">
        <v>1956</v>
      </c>
      <c r="Z1864">
        <v>0</v>
      </c>
      <c r="AA1864">
        <v>4</v>
      </c>
      <c r="AB1864">
        <v>9</v>
      </c>
      <c r="AC1864">
        <v>1</v>
      </c>
      <c r="AF1864">
        <v>1941</v>
      </c>
      <c r="AG1864">
        <v>1941</v>
      </c>
      <c r="AO1864" t="b">
        <v>1</v>
      </c>
      <c r="AP1864" t="s">
        <v>4202</v>
      </c>
      <c r="AQ1864">
        <v>1944</v>
      </c>
      <c r="AR1864">
        <v>1963</v>
      </c>
      <c r="AS1864" t="s">
        <v>7793</v>
      </c>
      <c r="AT1864">
        <v>2.19028062970568E-2</v>
      </c>
      <c r="AU1864">
        <f t="shared" si="89"/>
        <v>0</v>
      </c>
    </row>
    <row r="1865" spans="1:47" x14ac:dyDescent="0.3">
      <c r="A1865">
        <v>1863</v>
      </c>
      <c r="B1865" t="s">
        <v>7794</v>
      </c>
      <c r="C1865" t="s">
        <v>7795</v>
      </c>
      <c r="D1865">
        <v>350</v>
      </c>
      <c r="E1865" t="s">
        <v>7689</v>
      </c>
      <c r="F1865" t="str">
        <f>VLOOKUP(E1865,country_continent!A:C,2,FALSE)</f>
        <v>Greece</v>
      </c>
      <c r="G1865" t="str">
        <f>VLOOKUP(E1865,country_continent!A:C,3,FALSE)</f>
        <v>Europe</v>
      </c>
      <c r="H1865" t="s">
        <v>7796</v>
      </c>
      <c r="I1865" s="1">
        <v>16363</v>
      </c>
      <c r="J1865" s="3">
        <f t="shared" si="87"/>
        <v>16363</v>
      </c>
      <c r="K1865" s="1">
        <v>16440</v>
      </c>
      <c r="L1865" s="3">
        <f t="shared" si="88"/>
        <v>16440</v>
      </c>
      <c r="M1865" t="s">
        <v>67</v>
      </c>
      <c r="N1865" t="s">
        <v>49</v>
      </c>
      <c r="O1865" t="s">
        <v>49</v>
      </c>
      <c r="P1865">
        <v>0</v>
      </c>
      <c r="Q1865" t="s">
        <v>50</v>
      </c>
      <c r="R1865" t="s">
        <v>51</v>
      </c>
      <c r="S1865">
        <v>1888</v>
      </c>
      <c r="T1865">
        <v>1968</v>
      </c>
      <c r="U1865" t="s">
        <v>7797</v>
      </c>
      <c r="V1865" t="s">
        <v>7798</v>
      </c>
      <c r="W1865" s="1">
        <v>25143</v>
      </c>
      <c r="X1865" s="2">
        <v>25143</v>
      </c>
      <c r="Z1865">
        <v>1</v>
      </c>
      <c r="AA1865">
        <v>1</v>
      </c>
      <c r="AB1865">
        <v>0</v>
      </c>
      <c r="AC1865">
        <v>0</v>
      </c>
      <c r="AD1865" t="s">
        <v>7799</v>
      </c>
      <c r="AE1865">
        <v>0</v>
      </c>
      <c r="AF1865">
        <v>1944</v>
      </c>
      <c r="AG1865">
        <v>1945</v>
      </c>
      <c r="AO1865" t="b">
        <v>1</v>
      </c>
      <c r="AP1865" t="s">
        <v>4202</v>
      </c>
      <c r="AQ1865">
        <v>1944</v>
      </c>
      <c r="AR1865">
        <v>1963</v>
      </c>
      <c r="AS1865" t="s">
        <v>7800</v>
      </c>
      <c r="AT1865">
        <v>0.210814510609171</v>
      </c>
      <c r="AU1865">
        <f t="shared" si="89"/>
        <v>1E-3</v>
      </c>
    </row>
    <row r="1866" spans="1:47" x14ac:dyDescent="0.3">
      <c r="A1866">
        <v>1864</v>
      </c>
      <c r="B1866" t="s">
        <v>7801</v>
      </c>
      <c r="C1866" t="s">
        <v>7716</v>
      </c>
      <c r="D1866">
        <v>350</v>
      </c>
      <c r="E1866" t="s">
        <v>7689</v>
      </c>
      <c r="F1866" t="str">
        <f>VLOOKUP(E1866,country_continent!A:C,2,FALSE)</f>
        <v>Greece</v>
      </c>
      <c r="G1866" t="str">
        <f>VLOOKUP(E1866,country_continent!A:C,3,FALSE)</f>
        <v>Europe</v>
      </c>
      <c r="H1866" t="s">
        <v>7717</v>
      </c>
      <c r="I1866" s="1">
        <v>16440</v>
      </c>
      <c r="J1866" s="3">
        <f t="shared" si="87"/>
        <v>16440</v>
      </c>
      <c r="K1866" s="1">
        <v>16536</v>
      </c>
      <c r="L1866" s="3">
        <f t="shared" si="88"/>
        <v>16536</v>
      </c>
      <c r="M1866" t="s">
        <v>49</v>
      </c>
      <c r="N1866" t="s">
        <v>49</v>
      </c>
      <c r="O1866" t="s">
        <v>49</v>
      </c>
      <c r="P1866">
        <v>2</v>
      </c>
      <c r="Q1866" t="s">
        <v>50</v>
      </c>
      <c r="R1866" t="s">
        <v>51</v>
      </c>
      <c r="S1866">
        <v>1883</v>
      </c>
      <c r="T1866">
        <v>1953</v>
      </c>
      <c r="Y1866" t="s">
        <v>7718</v>
      </c>
      <c r="Z1866">
        <v>0</v>
      </c>
      <c r="AA1866">
        <v>1</v>
      </c>
      <c r="AB1866">
        <v>0</v>
      </c>
      <c r="AC1866">
        <v>0</v>
      </c>
      <c r="AF1866">
        <v>1945</v>
      </c>
      <c r="AG1866">
        <v>1945</v>
      </c>
      <c r="AO1866" t="b">
        <v>1</v>
      </c>
      <c r="AP1866" t="s">
        <v>4202</v>
      </c>
      <c r="AQ1866">
        <v>1944</v>
      </c>
      <c r="AR1866">
        <v>1963</v>
      </c>
      <c r="AS1866" t="s">
        <v>7802</v>
      </c>
      <c r="AT1866">
        <v>0.26283367556468101</v>
      </c>
      <c r="AU1866">
        <f t="shared" si="89"/>
        <v>1E-3</v>
      </c>
    </row>
    <row r="1867" spans="1:47" x14ac:dyDescent="0.3">
      <c r="A1867">
        <v>1865</v>
      </c>
      <c r="B1867" t="s">
        <v>7803</v>
      </c>
      <c r="C1867" t="s">
        <v>7804</v>
      </c>
      <c r="D1867">
        <v>350</v>
      </c>
      <c r="E1867" t="s">
        <v>7689</v>
      </c>
      <c r="F1867" t="str">
        <f>VLOOKUP(E1867,country_continent!A:C,2,FALSE)</f>
        <v>Greece</v>
      </c>
      <c r="G1867" t="str">
        <f>VLOOKUP(E1867,country_continent!A:C,3,FALSE)</f>
        <v>Europe</v>
      </c>
      <c r="H1867" t="s">
        <v>7805</v>
      </c>
      <c r="I1867" s="1">
        <v>16536</v>
      </c>
      <c r="J1867" s="3">
        <f t="shared" si="87"/>
        <v>16536</v>
      </c>
      <c r="K1867" s="1">
        <v>16719</v>
      </c>
      <c r="L1867" s="3">
        <f t="shared" si="88"/>
        <v>16719</v>
      </c>
      <c r="M1867" t="s">
        <v>49</v>
      </c>
      <c r="N1867" t="s">
        <v>49</v>
      </c>
      <c r="O1867" t="s">
        <v>49</v>
      </c>
      <c r="P1867">
        <v>0</v>
      </c>
      <c r="Q1867" t="s">
        <v>50</v>
      </c>
      <c r="R1867" t="s">
        <v>51</v>
      </c>
      <c r="S1867">
        <v>1884</v>
      </c>
      <c r="T1867">
        <v>1957</v>
      </c>
      <c r="Y1867" t="s">
        <v>7806</v>
      </c>
      <c r="Z1867">
        <v>0</v>
      </c>
      <c r="AA1867">
        <v>1</v>
      </c>
      <c r="AB1867">
        <v>0</v>
      </c>
      <c r="AC1867">
        <v>0</v>
      </c>
      <c r="AF1867">
        <v>1945</v>
      </c>
      <c r="AG1867">
        <v>1945</v>
      </c>
      <c r="AO1867" t="b">
        <v>1</v>
      </c>
      <c r="AP1867" t="s">
        <v>4202</v>
      </c>
      <c r="AQ1867">
        <v>1944</v>
      </c>
      <c r="AR1867">
        <v>1963</v>
      </c>
      <c r="AS1867" t="s">
        <v>7807</v>
      </c>
      <c r="AT1867">
        <v>0.50102669404517397</v>
      </c>
      <c r="AU1867">
        <f t="shared" si="89"/>
        <v>1E-3</v>
      </c>
    </row>
    <row r="1868" spans="1:47" x14ac:dyDescent="0.3">
      <c r="A1868">
        <v>1866</v>
      </c>
      <c r="B1868" t="s">
        <v>7808</v>
      </c>
      <c r="C1868" t="s">
        <v>7809</v>
      </c>
      <c r="D1868">
        <v>350</v>
      </c>
      <c r="E1868" t="s">
        <v>7689</v>
      </c>
      <c r="F1868" t="str">
        <f>VLOOKUP(E1868,country_continent!A:C,2,FALSE)</f>
        <v>Greece</v>
      </c>
      <c r="G1868" t="str">
        <f>VLOOKUP(E1868,country_continent!A:C,3,FALSE)</f>
        <v>Europe</v>
      </c>
      <c r="H1868" t="s">
        <v>7810</v>
      </c>
      <c r="I1868" s="1">
        <v>16727</v>
      </c>
      <c r="J1868" s="3">
        <f t="shared" si="87"/>
        <v>16727</v>
      </c>
      <c r="K1868" s="1">
        <v>16742</v>
      </c>
      <c r="L1868" s="3">
        <f t="shared" si="88"/>
        <v>16742</v>
      </c>
      <c r="M1868" t="s">
        <v>67</v>
      </c>
      <c r="N1868" t="s">
        <v>49</v>
      </c>
      <c r="O1868" t="s">
        <v>49</v>
      </c>
      <c r="P1868">
        <v>0</v>
      </c>
      <c r="Q1868" t="s">
        <v>50</v>
      </c>
      <c r="R1868" t="s">
        <v>51</v>
      </c>
      <c r="S1868">
        <v>1891</v>
      </c>
      <c r="T1868">
        <v>1949</v>
      </c>
      <c r="U1868" t="s">
        <v>7811</v>
      </c>
      <c r="V1868" t="s">
        <v>7812</v>
      </c>
      <c r="W1868" s="1">
        <v>18038</v>
      </c>
      <c r="X1868" s="2">
        <v>18038</v>
      </c>
      <c r="Z1868">
        <v>1</v>
      </c>
      <c r="AA1868">
        <v>1</v>
      </c>
      <c r="AB1868">
        <v>0</v>
      </c>
      <c r="AC1868">
        <v>0</v>
      </c>
      <c r="AF1868">
        <v>1945</v>
      </c>
      <c r="AG1868">
        <v>1945</v>
      </c>
      <c r="AO1868" t="b">
        <v>1</v>
      </c>
      <c r="AP1868" t="s">
        <v>4202</v>
      </c>
      <c r="AQ1868">
        <v>1944</v>
      </c>
      <c r="AR1868">
        <v>1963</v>
      </c>
      <c r="AS1868" t="s">
        <v>7813</v>
      </c>
      <c r="AT1868">
        <v>4.1067761806981497E-2</v>
      </c>
      <c r="AU1868">
        <f t="shared" si="89"/>
        <v>0</v>
      </c>
    </row>
    <row r="1869" spans="1:47" x14ac:dyDescent="0.3">
      <c r="A1869">
        <v>1867</v>
      </c>
      <c r="B1869" t="s">
        <v>7814</v>
      </c>
      <c r="C1869" t="s">
        <v>7815</v>
      </c>
      <c r="D1869">
        <v>350</v>
      </c>
      <c r="E1869" t="s">
        <v>7689</v>
      </c>
      <c r="F1869" t="str">
        <f>VLOOKUP(E1869,country_continent!A:C,2,FALSE)</f>
        <v>Greece</v>
      </c>
      <c r="G1869" t="str">
        <f>VLOOKUP(E1869,country_continent!A:C,3,FALSE)</f>
        <v>Europe</v>
      </c>
      <c r="H1869" t="s">
        <v>7816</v>
      </c>
      <c r="I1869" s="1">
        <v>16742</v>
      </c>
      <c r="J1869" s="3">
        <f t="shared" si="87"/>
        <v>16742</v>
      </c>
      <c r="K1869" s="1">
        <v>16763</v>
      </c>
      <c r="L1869" s="3">
        <f t="shared" si="88"/>
        <v>16763</v>
      </c>
      <c r="M1869" t="s">
        <v>49</v>
      </c>
      <c r="N1869" t="s">
        <v>49</v>
      </c>
      <c r="O1869" t="s">
        <v>49</v>
      </c>
      <c r="P1869">
        <v>0</v>
      </c>
      <c r="Q1869" t="s">
        <v>50</v>
      </c>
      <c r="R1869" t="s">
        <v>51</v>
      </c>
      <c r="S1869">
        <v>1902</v>
      </c>
      <c r="T1869">
        <v>1986</v>
      </c>
      <c r="U1869" s="1">
        <v>1078</v>
      </c>
      <c r="V1869" s="2">
        <v>1078</v>
      </c>
      <c r="W1869" s="1">
        <v>31666</v>
      </c>
      <c r="X1869" s="2">
        <v>31666</v>
      </c>
      <c r="Z1869">
        <v>0</v>
      </c>
      <c r="AA1869">
        <v>1</v>
      </c>
      <c r="AB1869">
        <v>0</v>
      </c>
      <c r="AC1869">
        <v>0</v>
      </c>
      <c r="AF1869">
        <v>1945</v>
      </c>
      <c r="AG1869">
        <v>1945</v>
      </c>
      <c r="AO1869" t="b">
        <v>1</v>
      </c>
      <c r="AP1869" t="s">
        <v>4202</v>
      </c>
      <c r="AQ1869">
        <v>1944</v>
      </c>
      <c r="AR1869">
        <v>1963</v>
      </c>
      <c r="AS1869" t="s">
        <v>7817</v>
      </c>
      <c r="AT1869">
        <v>5.7494866529774098E-2</v>
      </c>
      <c r="AU1869">
        <f t="shared" si="89"/>
        <v>0</v>
      </c>
    </row>
    <row r="1870" spans="1:47" x14ac:dyDescent="0.3">
      <c r="A1870">
        <v>1868</v>
      </c>
      <c r="B1870" t="s">
        <v>7818</v>
      </c>
      <c r="C1870" t="s">
        <v>7737</v>
      </c>
      <c r="D1870">
        <v>350</v>
      </c>
      <c r="E1870" t="s">
        <v>7689</v>
      </c>
      <c r="F1870" t="str">
        <f>VLOOKUP(E1870,country_continent!A:C,2,FALSE)</f>
        <v>Greece</v>
      </c>
      <c r="G1870" t="str">
        <f>VLOOKUP(E1870,country_continent!A:C,3,FALSE)</f>
        <v>Europe</v>
      </c>
      <c r="H1870" t="s">
        <v>7738</v>
      </c>
      <c r="I1870" s="1">
        <v>16763</v>
      </c>
      <c r="J1870" s="3">
        <f t="shared" si="87"/>
        <v>16763</v>
      </c>
      <c r="K1870" s="1">
        <v>16896</v>
      </c>
      <c r="L1870" s="3">
        <f t="shared" si="88"/>
        <v>16896</v>
      </c>
      <c r="M1870" t="s">
        <v>49</v>
      </c>
      <c r="N1870" t="s">
        <v>49</v>
      </c>
      <c r="O1870" t="s">
        <v>49</v>
      </c>
      <c r="P1870">
        <v>1</v>
      </c>
      <c r="Q1870" t="s">
        <v>50</v>
      </c>
      <c r="R1870" t="s">
        <v>51</v>
      </c>
      <c r="S1870">
        <v>1861</v>
      </c>
      <c r="T1870">
        <v>1949</v>
      </c>
      <c r="Z1870">
        <v>0</v>
      </c>
      <c r="AA1870">
        <v>1</v>
      </c>
      <c r="AB1870">
        <v>0</v>
      </c>
      <c r="AC1870">
        <v>0</v>
      </c>
      <c r="AF1870">
        <v>1945</v>
      </c>
      <c r="AG1870">
        <v>1946</v>
      </c>
      <c r="AN1870">
        <v>8</v>
      </c>
      <c r="AO1870" t="b">
        <v>1</v>
      </c>
      <c r="AP1870" t="s">
        <v>4202</v>
      </c>
      <c r="AQ1870">
        <v>1944</v>
      </c>
      <c r="AR1870">
        <v>1963</v>
      </c>
      <c r="AS1870" t="s">
        <v>7819</v>
      </c>
      <c r="AT1870">
        <v>0.36413415468856902</v>
      </c>
      <c r="AU1870">
        <f t="shared" si="89"/>
        <v>1E-3</v>
      </c>
    </row>
    <row r="1871" spans="1:47" x14ac:dyDescent="0.3">
      <c r="A1871">
        <v>1869</v>
      </c>
      <c r="B1871" t="s">
        <v>7820</v>
      </c>
      <c r="C1871" t="s">
        <v>7821</v>
      </c>
      <c r="D1871">
        <v>350</v>
      </c>
      <c r="E1871" t="s">
        <v>7689</v>
      </c>
      <c r="F1871" t="str">
        <f>VLOOKUP(E1871,country_continent!A:C,2,FALSE)</f>
        <v>Greece</v>
      </c>
      <c r="G1871" t="str">
        <f>VLOOKUP(E1871,country_continent!A:C,3,FALSE)</f>
        <v>Europe</v>
      </c>
      <c r="H1871" t="s">
        <v>7822</v>
      </c>
      <c r="I1871" s="1">
        <v>16896</v>
      </c>
      <c r="J1871" s="3">
        <f t="shared" si="87"/>
        <v>16896</v>
      </c>
      <c r="K1871" s="1">
        <v>16910</v>
      </c>
      <c r="L1871" s="3">
        <f t="shared" si="88"/>
        <v>16910</v>
      </c>
      <c r="M1871" t="s">
        <v>49</v>
      </c>
      <c r="N1871" t="s">
        <v>49</v>
      </c>
      <c r="O1871" t="s">
        <v>49</v>
      </c>
      <c r="P1871">
        <v>0</v>
      </c>
      <c r="Q1871" t="s">
        <v>50</v>
      </c>
      <c r="R1871" t="s">
        <v>51</v>
      </c>
      <c r="S1871">
        <v>1881</v>
      </c>
      <c r="T1871">
        <v>1968</v>
      </c>
      <c r="Z1871">
        <v>0</v>
      </c>
      <c r="AA1871">
        <v>1</v>
      </c>
      <c r="AB1871">
        <v>0</v>
      </c>
      <c r="AC1871">
        <v>0</v>
      </c>
      <c r="AF1871">
        <v>1946</v>
      </c>
      <c r="AG1871">
        <v>1946</v>
      </c>
      <c r="AN1871">
        <v>8</v>
      </c>
      <c r="AO1871" t="b">
        <v>1</v>
      </c>
      <c r="AP1871" t="s">
        <v>4202</v>
      </c>
      <c r="AQ1871">
        <v>1944</v>
      </c>
      <c r="AR1871">
        <v>1963</v>
      </c>
      <c r="AS1871" t="s">
        <v>7823</v>
      </c>
      <c r="AT1871">
        <v>3.8329911019849401E-2</v>
      </c>
      <c r="AU1871">
        <f t="shared" si="89"/>
        <v>0</v>
      </c>
    </row>
    <row r="1872" spans="1:47" x14ac:dyDescent="0.3">
      <c r="A1872">
        <v>1870</v>
      </c>
      <c r="B1872" t="s">
        <v>7824</v>
      </c>
      <c r="C1872" t="s">
        <v>7825</v>
      </c>
      <c r="D1872">
        <v>350</v>
      </c>
      <c r="E1872" t="s">
        <v>7689</v>
      </c>
      <c r="F1872" t="str">
        <f>VLOOKUP(E1872,country_continent!A:C,2,FALSE)</f>
        <v>Greece</v>
      </c>
      <c r="G1872" t="str">
        <f>VLOOKUP(E1872,country_continent!A:C,3,FALSE)</f>
        <v>Europe</v>
      </c>
      <c r="H1872" t="s">
        <v>7826</v>
      </c>
      <c r="I1872" s="1">
        <v>16910</v>
      </c>
      <c r="J1872" s="3">
        <f t="shared" si="87"/>
        <v>16910</v>
      </c>
      <c r="K1872" s="1">
        <v>17189</v>
      </c>
      <c r="L1872" s="3">
        <f t="shared" si="88"/>
        <v>17189</v>
      </c>
      <c r="M1872" t="s">
        <v>49</v>
      </c>
      <c r="N1872" t="s">
        <v>49</v>
      </c>
      <c r="O1872" t="s">
        <v>49</v>
      </c>
      <c r="P1872">
        <v>0</v>
      </c>
      <c r="Q1872" t="s">
        <v>50</v>
      </c>
      <c r="R1872" t="s">
        <v>51</v>
      </c>
      <c r="S1872">
        <v>1884</v>
      </c>
      <c r="T1872">
        <v>1970</v>
      </c>
      <c r="Z1872">
        <v>0</v>
      </c>
      <c r="AA1872">
        <v>1</v>
      </c>
      <c r="AB1872">
        <v>0</v>
      </c>
      <c r="AC1872">
        <v>0</v>
      </c>
      <c r="AD1872" t="s">
        <v>7827</v>
      </c>
      <c r="AE1872">
        <v>1</v>
      </c>
      <c r="AF1872">
        <v>1946</v>
      </c>
      <c r="AG1872">
        <v>1947</v>
      </c>
      <c r="AN1872">
        <v>8</v>
      </c>
      <c r="AO1872" t="b">
        <v>1</v>
      </c>
      <c r="AP1872" t="s">
        <v>4202</v>
      </c>
      <c r="AQ1872">
        <v>1944</v>
      </c>
      <c r="AR1872">
        <v>1963</v>
      </c>
      <c r="AS1872" t="s">
        <v>6437</v>
      </c>
      <c r="AT1872">
        <v>0.76386036960985604</v>
      </c>
      <c r="AU1872">
        <f t="shared" si="89"/>
        <v>2E-3</v>
      </c>
    </row>
    <row r="1873" spans="1:47" x14ac:dyDescent="0.3">
      <c r="A1873">
        <v>1871</v>
      </c>
      <c r="B1873" t="s">
        <v>7828</v>
      </c>
      <c r="C1873" t="s">
        <v>7829</v>
      </c>
      <c r="D1873">
        <v>350</v>
      </c>
      <c r="E1873" t="s">
        <v>7689</v>
      </c>
      <c r="F1873" t="str">
        <f>VLOOKUP(E1873,country_continent!A:C,2,FALSE)</f>
        <v>Greece</v>
      </c>
      <c r="G1873" t="str">
        <f>VLOOKUP(E1873,country_continent!A:C,3,FALSE)</f>
        <v>Europe</v>
      </c>
      <c r="H1873" t="s">
        <v>7830</v>
      </c>
      <c r="I1873" s="1">
        <v>17192</v>
      </c>
      <c r="J1873" s="3">
        <f t="shared" si="87"/>
        <v>17192</v>
      </c>
      <c r="K1873" s="1">
        <v>17404</v>
      </c>
      <c r="L1873" s="3">
        <f t="shared" si="88"/>
        <v>17404</v>
      </c>
      <c r="M1873" t="s">
        <v>49</v>
      </c>
      <c r="N1873" t="s">
        <v>49</v>
      </c>
      <c r="O1873" t="s">
        <v>49</v>
      </c>
      <c r="P1873">
        <v>0</v>
      </c>
      <c r="Q1873" t="s">
        <v>50</v>
      </c>
      <c r="R1873" t="s">
        <v>51</v>
      </c>
      <c r="S1873">
        <v>1873</v>
      </c>
      <c r="T1873">
        <v>1955</v>
      </c>
      <c r="Z1873">
        <v>0</v>
      </c>
      <c r="AA1873">
        <v>1</v>
      </c>
      <c r="AB1873">
        <v>0</v>
      </c>
      <c r="AC1873">
        <v>0</v>
      </c>
      <c r="AF1873">
        <v>1947</v>
      </c>
      <c r="AG1873">
        <v>1947</v>
      </c>
      <c r="AN1873">
        <v>8</v>
      </c>
      <c r="AO1873" t="b">
        <v>1</v>
      </c>
      <c r="AP1873" t="s">
        <v>4202</v>
      </c>
      <c r="AQ1873">
        <v>1944</v>
      </c>
      <c r="AR1873">
        <v>1963</v>
      </c>
      <c r="AS1873" t="s">
        <v>7831</v>
      </c>
      <c r="AT1873">
        <v>0.58042436687200505</v>
      </c>
      <c r="AU1873">
        <f t="shared" si="89"/>
        <v>2E-3</v>
      </c>
    </row>
    <row r="1874" spans="1:47" x14ac:dyDescent="0.3">
      <c r="A1874">
        <v>1872</v>
      </c>
      <c r="B1874" t="s">
        <v>7832</v>
      </c>
      <c r="C1874" t="s">
        <v>7825</v>
      </c>
      <c r="D1874">
        <v>350</v>
      </c>
      <c r="E1874" t="s">
        <v>7689</v>
      </c>
      <c r="F1874" t="str">
        <f>VLOOKUP(E1874,country_continent!A:C,2,FALSE)</f>
        <v>Greece</v>
      </c>
      <c r="G1874" t="str">
        <f>VLOOKUP(E1874,country_continent!A:C,3,FALSE)</f>
        <v>Europe</v>
      </c>
      <c r="H1874" t="s">
        <v>7826</v>
      </c>
      <c r="I1874" s="1">
        <v>17408</v>
      </c>
      <c r="J1874" s="3">
        <f t="shared" si="87"/>
        <v>17408</v>
      </c>
      <c r="K1874" s="1">
        <v>17415</v>
      </c>
      <c r="L1874" s="3">
        <f t="shared" si="88"/>
        <v>17415</v>
      </c>
      <c r="M1874" t="s">
        <v>49</v>
      </c>
      <c r="N1874" t="s">
        <v>49</v>
      </c>
      <c r="O1874" t="s">
        <v>49</v>
      </c>
      <c r="P1874">
        <v>1</v>
      </c>
      <c r="Q1874" t="s">
        <v>50</v>
      </c>
      <c r="R1874" t="s">
        <v>51</v>
      </c>
      <c r="S1874">
        <v>1884</v>
      </c>
      <c r="T1874">
        <v>1970</v>
      </c>
      <c r="Z1874">
        <v>0</v>
      </c>
      <c r="AA1874">
        <v>1</v>
      </c>
      <c r="AB1874">
        <v>0</v>
      </c>
      <c r="AC1874">
        <v>0</v>
      </c>
      <c r="AD1874" t="s">
        <v>7827</v>
      </c>
      <c r="AE1874">
        <v>1</v>
      </c>
      <c r="AF1874">
        <v>1947</v>
      </c>
      <c r="AG1874">
        <v>1947</v>
      </c>
      <c r="AN1874">
        <v>8</v>
      </c>
      <c r="AO1874" t="b">
        <v>1</v>
      </c>
      <c r="AP1874" t="s">
        <v>4202</v>
      </c>
      <c r="AQ1874">
        <v>1944</v>
      </c>
      <c r="AR1874">
        <v>1963</v>
      </c>
      <c r="AS1874" t="s">
        <v>7833</v>
      </c>
      <c r="AT1874">
        <v>1.9164955509924701E-2</v>
      </c>
      <c r="AU1874">
        <f t="shared" si="89"/>
        <v>0</v>
      </c>
    </row>
    <row r="1875" spans="1:47" x14ac:dyDescent="0.3">
      <c r="A1875">
        <v>1873</v>
      </c>
      <c r="B1875" t="s">
        <v>7834</v>
      </c>
      <c r="C1875" t="s">
        <v>7737</v>
      </c>
      <c r="D1875">
        <v>350</v>
      </c>
      <c r="E1875" t="s">
        <v>7689</v>
      </c>
      <c r="F1875" t="str">
        <f>VLOOKUP(E1875,country_continent!A:C,2,FALSE)</f>
        <v>Greece</v>
      </c>
      <c r="G1875" t="str">
        <f>VLOOKUP(E1875,country_continent!A:C,3,FALSE)</f>
        <v>Europe</v>
      </c>
      <c r="H1875" t="s">
        <v>7738</v>
      </c>
      <c r="I1875" s="1">
        <v>17418</v>
      </c>
      <c r="J1875" s="3">
        <f t="shared" si="87"/>
        <v>17418</v>
      </c>
      <c r="K1875" s="1">
        <v>18073</v>
      </c>
      <c r="L1875" s="3">
        <f t="shared" si="88"/>
        <v>18073</v>
      </c>
      <c r="M1875" t="s">
        <v>49</v>
      </c>
      <c r="N1875" t="s">
        <v>110</v>
      </c>
      <c r="O1875" t="s">
        <v>49</v>
      </c>
      <c r="P1875">
        <v>2</v>
      </c>
      <c r="Q1875" t="s">
        <v>111</v>
      </c>
      <c r="R1875" t="s">
        <v>51</v>
      </c>
      <c r="S1875">
        <v>1861</v>
      </c>
      <c r="T1875">
        <v>1949</v>
      </c>
      <c r="Z1875">
        <v>0</v>
      </c>
      <c r="AA1875">
        <v>2</v>
      </c>
      <c r="AB1875">
        <v>0</v>
      </c>
      <c r="AC1875">
        <v>-777</v>
      </c>
      <c r="AF1875">
        <v>1947</v>
      </c>
      <c r="AG1875">
        <v>1949</v>
      </c>
      <c r="AN1875">
        <v>6.67</v>
      </c>
      <c r="AO1875" t="b">
        <v>1</v>
      </c>
      <c r="AP1875" t="s">
        <v>4202</v>
      </c>
      <c r="AQ1875">
        <v>1944</v>
      </c>
      <c r="AR1875">
        <v>1963</v>
      </c>
      <c r="AS1875" t="s">
        <v>7714</v>
      </c>
      <c r="AT1875">
        <v>1.79329226557152</v>
      </c>
      <c r="AU1875">
        <f t="shared" si="89"/>
        <v>5.0000000000000001E-3</v>
      </c>
    </row>
    <row r="1876" spans="1:47" x14ac:dyDescent="0.3">
      <c r="A1876">
        <v>1874</v>
      </c>
      <c r="B1876" t="s">
        <v>7835</v>
      </c>
      <c r="C1876" t="s">
        <v>7836</v>
      </c>
      <c r="D1876">
        <v>350</v>
      </c>
      <c r="E1876" t="s">
        <v>7689</v>
      </c>
      <c r="F1876" t="str">
        <f>VLOOKUP(E1876,country_continent!A:C,2,FALSE)</f>
        <v>Greece</v>
      </c>
      <c r="G1876" t="str">
        <f>VLOOKUP(E1876,country_continent!A:C,3,FALSE)</f>
        <v>Europe</v>
      </c>
      <c r="H1876" t="s">
        <v>7837</v>
      </c>
      <c r="I1876" s="1">
        <v>18079</v>
      </c>
      <c r="J1876" s="3">
        <f t="shared" si="87"/>
        <v>18079</v>
      </c>
      <c r="K1876" s="1">
        <v>18269</v>
      </c>
      <c r="L1876" s="3">
        <f t="shared" si="88"/>
        <v>18269</v>
      </c>
      <c r="M1876" t="s">
        <v>49</v>
      </c>
      <c r="N1876" t="s">
        <v>49</v>
      </c>
      <c r="O1876" t="s">
        <v>49</v>
      </c>
      <c r="P1876">
        <v>0</v>
      </c>
      <c r="Q1876" t="s">
        <v>50</v>
      </c>
      <c r="R1876" t="s">
        <v>51</v>
      </c>
      <c r="S1876">
        <v>1875</v>
      </c>
      <c r="T1876">
        <v>1950</v>
      </c>
      <c r="Y1876" t="s">
        <v>7838</v>
      </c>
      <c r="Z1876">
        <v>0</v>
      </c>
      <c r="AA1876">
        <v>1</v>
      </c>
      <c r="AB1876">
        <v>0</v>
      </c>
      <c r="AC1876">
        <v>0</v>
      </c>
      <c r="AF1876">
        <v>1949</v>
      </c>
      <c r="AG1876">
        <v>1950</v>
      </c>
      <c r="AN1876">
        <v>4</v>
      </c>
      <c r="AO1876" t="b">
        <v>1</v>
      </c>
      <c r="AP1876" t="s">
        <v>4202</v>
      </c>
      <c r="AQ1876">
        <v>1944</v>
      </c>
      <c r="AR1876">
        <v>1963</v>
      </c>
      <c r="AS1876" t="s">
        <v>7839</v>
      </c>
      <c r="AT1876">
        <v>0.520191649555099</v>
      </c>
      <c r="AU1876">
        <f t="shared" si="89"/>
        <v>1E-3</v>
      </c>
    </row>
    <row r="1877" spans="1:47" x14ac:dyDescent="0.3">
      <c r="A1877">
        <v>1875</v>
      </c>
      <c r="B1877" t="s">
        <v>7840</v>
      </c>
      <c r="C1877" t="s">
        <v>7841</v>
      </c>
      <c r="D1877">
        <v>350</v>
      </c>
      <c r="E1877" t="s">
        <v>7689</v>
      </c>
      <c r="F1877" t="str">
        <f>VLOOKUP(E1877,country_continent!A:C,2,FALSE)</f>
        <v>Greece</v>
      </c>
      <c r="G1877" t="str">
        <f>VLOOKUP(E1877,country_continent!A:C,3,FALSE)</f>
        <v>Europe</v>
      </c>
      <c r="H1877" t="s">
        <v>7842</v>
      </c>
      <c r="I1877" s="1">
        <v>18269</v>
      </c>
      <c r="J1877" s="3">
        <f t="shared" si="87"/>
        <v>18269</v>
      </c>
      <c r="K1877" s="1">
        <v>18327</v>
      </c>
      <c r="L1877" s="3">
        <f t="shared" si="88"/>
        <v>18327</v>
      </c>
      <c r="M1877" t="s">
        <v>49</v>
      </c>
      <c r="N1877" t="s">
        <v>49</v>
      </c>
      <c r="O1877" t="s">
        <v>49</v>
      </c>
      <c r="P1877">
        <v>0</v>
      </c>
      <c r="Q1877" t="s">
        <v>50</v>
      </c>
      <c r="R1877" t="s">
        <v>51</v>
      </c>
      <c r="S1877">
        <v>1880</v>
      </c>
      <c r="T1877">
        <v>1961</v>
      </c>
      <c r="Z1877">
        <v>0</v>
      </c>
      <c r="AA1877">
        <v>1</v>
      </c>
      <c r="AB1877">
        <v>0</v>
      </c>
      <c r="AC1877">
        <v>0</v>
      </c>
      <c r="AF1877">
        <v>1950</v>
      </c>
      <c r="AG1877">
        <v>1950</v>
      </c>
      <c r="AN1877">
        <v>4</v>
      </c>
      <c r="AO1877" t="b">
        <v>1</v>
      </c>
      <c r="AP1877" t="s">
        <v>4202</v>
      </c>
      <c r="AQ1877">
        <v>1944</v>
      </c>
      <c r="AR1877">
        <v>1963</v>
      </c>
      <c r="AS1877" t="s">
        <v>7843</v>
      </c>
      <c r="AT1877">
        <v>0.15879534565366099</v>
      </c>
      <c r="AU1877">
        <f t="shared" si="89"/>
        <v>0</v>
      </c>
    </row>
    <row r="1878" spans="1:47" x14ac:dyDescent="0.3">
      <c r="A1878">
        <v>1876</v>
      </c>
      <c r="B1878" t="s">
        <v>7844</v>
      </c>
      <c r="C1878" t="s">
        <v>7845</v>
      </c>
      <c r="D1878">
        <v>350</v>
      </c>
      <c r="E1878" t="s">
        <v>7689</v>
      </c>
      <c r="F1878" t="str">
        <f>VLOOKUP(E1878,country_continent!A:C,2,FALSE)</f>
        <v>Greece</v>
      </c>
      <c r="G1878" t="str">
        <f>VLOOKUP(E1878,country_continent!A:C,3,FALSE)</f>
        <v>Europe</v>
      </c>
      <c r="H1878" t="s">
        <v>7846</v>
      </c>
      <c r="I1878" s="1">
        <v>18345</v>
      </c>
      <c r="J1878" s="3">
        <f t="shared" si="87"/>
        <v>18345</v>
      </c>
      <c r="K1878" s="1">
        <v>18368</v>
      </c>
      <c r="L1878" s="3">
        <f t="shared" si="88"/>
        <v>18368</v>
      </c>
      <c r="M1878" t="s">
        <v>49</v>
      </c>
      <c r="N1878" t="s">
        <v>49</v>
      </c>
      <c r="O1878" t="s">
        <v>49</v>
      </c>
      <c r="P1878">
        <v>0</v>
      </c>
      <c r="Q1878" t="s">
        <v>50</v>
      </c>
      <c r="R1878" t="s">
        <v>51</v>
      </c>
      <c r="S1878">
        <v>1894</v>
      </c>
      <c r="T1878">
        <v>1964</v>
      </c>
      <c r="Z1878">
        <v>0</v>
      </c>
      <c r="AA1878">
        <v>1</v>
      </c>
      <c r="AB1878">
        <v>0</v>
      </c>
      <c r="AC1878">
        <v>0</v>
      </c>
      <c r="AD1878" t="s">
        <v>7847</v>
      </c>
      <c r="AE1878">
        <v>1</v>
      </c>
      <c r="AF1878">
        <v>1950</v>
      </c>
      <c r="AG1878">
        <v>1950</v>
      </c>
      <c r="AN1878">
        <v>4</v>
      </c>
      <c r="AO1878" t="b">
        <v>1</v>
      </c>
      <c r="AP1878" t="s">
        <v>4202</v>
      </c>
      <c r="AQ1878">
        <v>1944</v>
      </c>
      <c r="AR1878">
        <v>1963</v>
      </c>
      <c r="AS1878" t="s">
        <v>6521</v>
      </c>
      <c r="AT1878">
        <v>6.2970568104038296E-2</v>
      </c>
      <c r="AU1878">
        <f t="shared" si="89"/>
        <v>0</v>
      </c>
    </row>
    <row r="1879" spans="1:47" x14ac:dyDescent="0.3">
      <c r="A1879">
        <v>1877</v>
      </c>
      <c r="B1879" t="s">
        <v>7848</v>
      </c>
      <c r="C1879" t="s">
        <v>7716</v>
      </c>
      <c r="D1879">
        <v>350</v>
      </c>
      <c r="E1879" t="s">
        <v>7689</v>
      </c>
      <c r="F1879" t="str">
        <f>VLOOKUP(E1879,country_continent!A:C,2,FALSE)</f>
        <v>Greece</v>
      </c>
      <c r="G1879" t="str">
        <f>VLOOKUP(E1879,country_continent!A:C,3,FALSE)</f>
        <v>Europe</v>
      </c>
      <c r="H1879" t="s">
        <v>7717</v>
      </c>
      <c r="I1879" s="1">
        <v>18368</v>
      </c>
      <c r="J1879" s="3">
        <f t="shared" si="87"/>
        <v>18368</v>
      </c>
      <c r="K1879" s="1">
        <v>18496</v>
      </c>
      <c r="L1879" s="3">
        <f t="shared" si="88"/>
        <v>18496</v>
      </c>
      <c r="M1879" t="s">
        <v>49</v>
      </c>
      <c r="N1879" t="s">
        <v>49</v>
      </c>
      <c r="O1879" t="s">
        <v>49</v>
      </c>
      <c r="P1879">
        <v>3</v>
      </c>
      <c r="Q1879" t="s">
        <v>50</v>
      </c>
      <c r="R1879" t="s">
        <v>51</v>
      </c>
      <c r="S1879">
        <v>1883</v>
      </c>
      <c r="T1879">
        <v>1953</v>
      </c>
      <c r="Y1879" t="s">
        <v>7718</v>
      </c>
      <c r="Z1879">
        <v>0</v>
      </c>
      <c r="AA1879">
        <v>1</v>
      </c>
      <c r="AB1879">
        <v>0</v>
      </c>
      <c r="AC1879">
        <v>0</v>
      </c>
      <c r="AF1879">
        <v>1950</v>
      </c>
      <c r="AG1879">
        <v>1950</v>
      </c>
      <c r="AN1879">
        <v>4</v>
      </c>
      <c r="AO1879" t="b">
        <v>1</v>
      </c>
      <c r="AP1879" t="s">
        <v>4202</v>
      </c>
      <c r="AQ1879">
        <v>1944</v>
      </c>
      <c r="AR1879">
        <v>1963</v>
      </c>
      <c r="AS1879" t="s">
        <v>6430</v>
      </c>
      <c r="AT1879">
        <v>0.35044490075290802</v>
      </c>
      <c r="AU1879">
        <f t="shared" si="89"/>
        <v>1E-3</v>
      </c>
    </row>
    <row r="1880" spans="1:47" x14ac:dyDescent="0.3">
      <c r="A1880">
        <v>1878</v>
      </c>
      <c r="B1880" t="s">
        <v>7849</v>
      </c>
      <c r="C1880" t="s">
        <v>7845</v>
      </c>
      <c r="D1880">
        <v>350</v>
      </c>
      <c r="E1880" t="s">
        <v>7689</v>
      </c>
      <c r="F1880" t="str">
        <f>VLOOKUP(E1880,country_continent!A:C,2,FALSE)</f>
        <v>Greece</v>
      </c>
      <c r="G1880" t="str">
        <f>VLOOKUP(E1880,country_continent!A:C,3,FALSE)</f>
        <v>Europe</v>
      </c>
      <c r="H1880" t="s">
        <v>7846</v>
      </c>
      <c r="I1880" s="1">
        <v>18496</v>
      </c>
      <c r="J1880" s="3">
        <f t="shared" si="87"/>
        <v>18496</v>
      </c>
      <c r="K1880" s="1">
        <v>18933</v>
      </c>
      <c r="L1880" s="3">
        <f t="shared" si="88"/>
        <v>18933</v>
      </c>
      <c r="M1880" t="s">
        <v>49</v>
      </c>
      <c r="N1880" t="s">
        <v>49</v>
      </c>
      <c r="O1880" t="s">
        <v>49</v>
      </c>
      <c r="P1880">
        <v>1</v>
      </c>
      <c r="Q1880" t="s">
        <v>50</v>
      </c>
      <c r="R1880" t="s">
        <v>51</v>
      </c>
      <c r="S1880">
        <v>1894</v>
      </c>
      <c r="T1880">
        <v>1964</v>
      </c>
      <c r="Z1880">
        <v>0</v>
      </c>
      <c r="AA1880">
        <v>1</v>
      </c>
      <c r="AB1880">
        <v>0</v>
      </c>
      <c r="AC1880">
        <v>0</v>
      </c>
      <c r="AD1880" t="s">
        <v>7847</v>
      </c>
      <c r="AE1880">
        <v>1</v>
      </c>
      <c r="AF1880">
        <v>1950</v>
      </c>
      <c r="AG1880">
        <v>1951</v>
      </c>
      <c r="AN1880">
        <v>4</v>
      </c>
      <c r="AO1880" t="b">
        <v>1</v>
      </c>
      <c r="AP1880" t="s">
        <v>4202</v>
      </c>
      <c r="AQ1880">
        <v>1944</v>
      </c>
      <c r="AR1880">
        <v>1963</v>
      </c>
      <c r="AS1880" t="s">
        <v>7850</v>
      </c>
      <c r="AT1880">
        <v>1.1964407939767201</v>
      </c>
      <c r="AU1880">
        <f t="shared" si="89"/>
        <v>3.0000000000000001E-3</v>
      </c>
    </row>
    <row r="1881" spans="1:47" x14ac:dyDescent="0.3">
      <c r="A1881">
        <v>1879</v>
      </c>
      <c r="B1881" t="s">
        <v>7851</v>
      </c>
      <c r="C1881" t="s">
        <v>7716</v>
      </c>
      <c r="D1881">
        <v>350</v>
      </c>
      <c r="E1881" t="s">
        <v>7689</v>
      </c>
      <c r="F1881" t="str">
        <f>VLOOKUP(E1881,country_continent!A:C,2,FALSE)</f>
        <v>Greece</v>
      </c>
      <c r="G1881" t="str">
        <f>VLOOKUP(E1881,country_continent!A:C,3,FALSE)</f>
        <v>Europe</v>
      </c>
      <c r="H1881" t="s">
        <v>7717</v>
      </c>
      <c r="I1881" s="1">
        <v>18933</v>
      </c>
      <c r="J1881" s="3">
        <f t="shared" si="87"/>
        <v>18933</v>
      </c>
      <c r="K1881" s="1">
        <v>19278</v>
      </c>
      <c r="L1881" s="3">
        <f t="shared" si="88"/>
        <v>19278</v>
      </c>
      <c r="M1881" t="s">
        <v>49</v>
      </c>
      <c r="N1881" t="s">
        <v>228</v>
      </c>
      <c r="O1881" t="s">
        <v>49</v>
      </c>
      <c r="P1881">
        <v>4</v>
      </c>
      <c r="Q1881" t="s">
        <v>50</v>
      </c>
      <c r="R1881" t="s">
        <v>51</v>
      </c>
      <c r="S1881">
        <v>1883</v>
      </c>
      <c r="T1881">
        <v>1953</v>
      </c>
      <c r="Y1881" t="s">
        <v>7718</v>
      </c>
      <c r="Z1881">
        <v>0</v>
      </c>
      <c r="AA1881">
        <v>2.0999998999999998</v>
      </c>
      <c r="AB1881">
        <v>0</v>
      </c>
      <c r="AC1881">
        <v>0</v>
      </c>
      <c r="AF1881">
        <v>1951</v>
      </c>
      <c r="AG1881">
        <v>1952</v>
      </c>
      <c r="AN1881">
        <v>4</v>
      </c>
      <c r="AO1881" t="b">
        <v>1</v>
      </c>
      <c r="AP1881" t="s">
        <v>4202</v>
      </c>
      <c r="AQ1881">
        <v>1944</v>
      </c>
      <c r="AR1881">
        <v>1963</v>
      </c>
      <c r="AS1881" t="s">
        <v>7852</v>
      </c>
      <c r="AT1881">
        <v>0.94455852156057496</v>
      </c>
      <c r="AU1881">
        <f t="shared" si="89"/>
        <v>3.0000000000000001E-3</v>
      </c>
    </row>
    <row r="1882" spans="1:47" x14ac:dyDescent="0.3">
      <c r="A1882">
        <v>1880</v>
      </c>
      <c r="B1882" t="s">
        <v>7853</v>
      </c>
      <c r="C1882" t="s">
        <v>7854</v>
      </c>
      <c r="D1882">
        <v>350</v>
      </c>
      <c r="E1882" t="s">
        <v>7689</v>
      </c>
      <c r="F1882" t="str">
        <f>VLOOKUP(E1882,country_continent!A:C,2,FALSE)</f>
        <v>Greece</v>
      </c>
      <c r="G1882" t="str">
        <f>VLOOKUP(E1882,country_continent!A:C,3,FALSE)</f>
        <v>Europe</v>
      </c>
      <c r="H1882" t="s">
        <v>7855</v>
      </c>
      <c r="I1882" s="1">
        <v>19278</v>
      </c>
      <c r="J1882" s="3">
        <f t="shared" si="87"/>
        <v>19278</v>
      </c>
      <c r="K1882" s="1">
        <v>19317</v>
      </c>
      <c r="L1882" s="3">
        <f t="shared" si="88"/>
        <v>19317</v>
      </c>
      <c r="M1882" t="s">
        <v>49</v>
      </c>
      <c r="N1882" t="s">
        <v>49</v>
      </c>
      <c r="O1882" t="s">
        <v>49</v>
      </c>
      <c r="P1882">
        <v>0</v>
      </c>
      <c r="Q1882" t="s">
        <v>1453</v>
      </c>
      <c r="R1882" t="s">
        <v>51</v>
      </c>
      <c r="S1882">
        <v>1892</v>
      </c>
      <c r="T1882">
        <v>1977</v>
      </c>
      <c r="Y1882" t="s">
        <v>7856</v>
      </c>
      <c r="Z1882">
        <v>0</v>
      </c>
      <c r="AA1882">
        <v>1</v>
      </c>
      <c r="AB1882">
        <v>0</v>
      </c>
      <c r="AC1882">
        <v>-666</v>
      </c>
      <c r="AF1882">
        <v>1952</v>
      </c>
      <c r="AG1882">
        <v>1952</v>
      </c>
      <c r="AN1882">
        <v>4</v>
      </c>
      <c r="AO1882" t="b">
        <v>1</v>
      </c>
      <c r="AP1882" t="s">
        <v>4202</v>
      </c>
      <c r="AQ1882">
        <v>1944</v>
      </c>
      <c r="AR1882">
        <v>1963</v>
      </c>
      <c r="AS1882" t="s">
        <v>7857</v>
      </c>
      <c r="AT1882">
        <v>0.10677618069815099</v>
      </c>
      <c r="AU1882">
        <f t="shared" si="89"/>
        <v>0</v>
      </c>
    </row>
    <row r="1883" spans="1:47" x14ac:dyDescent="0.3">
      <c r="A1883">
        <v>1881</v>
      </c>
      <c r="B1883" t="s">
        <v>7858</v>
      </c>
      <c r="C1883" t="s">
        <v>7859</v>
      </c>
      <c r="D1883">
        <v>350</v>
      </c>
      <c r="E1883" t="s">
        <v>7689</v>
      </c>
      <c r="F1883" t="str">
        <f>VLOOKUP(E1883,country_continent!A:C,2,FALSE)</f>
        <v>Greece</v>
      </c>
      <c r="G1883" t="str">
        <f>VLOOKUP(E1883,country_continent!A:C,3,FALSE)</f>
        <v>Europe</v>
      </c>
      <c r="H1883" t="s">
        <v>7860</v>
      </c>
      <c r="I1883" s="1">
        <v>19317</v>
      </c>
      <c r="J1883" s="3">
        <f t="shared" si="87"/>
        <v>19317</v>
      </c>
      <c r="K1883" s="1">
        <v>20366</v>
      </c>
      <c r="L1883" s="3">
        <f t="shared" si="88"/>
        <v>20366</v>
      </c>
      <c r="M1883" t="s">
        <v>49</v>
      </c>
      <c r="N1883" t="s">
        <v>110</v>
      </c>
      <c r="O1883" t="s">
        <v>49</v>
      </c>
      <c r="P1883">
        <v>0</v>
      </c>
      <c r="Q1883" t="s">
        <v>111</v>
      </c>
      <c r="R1883" t="s">
        <v>51</v>
      </c>
      <c r="S1883">
        <v>1883</v>
      </c>
      <c r="T1883">
        <v>1955</v>
      </c>
      <c r="Y1883" t="s">
        <v>7861</v>
      </c>
      <c r="Z1883">
        <v>0</v>
      </c>
      <c r="AA1883">
        <v>2</v>
      </c>
      <c r="AB1883">
        <v>0</v>
      </c>
      <c r="AC1883">
        <v>-777</v>
      </c>
      <c r="AF1883">
        <v>1952</v>
      </c>
      <c r="AG1883">
        <v>1955</v>
      </c>
      <c r="AN1883">
        <v>4</v>
      </c>
      <c r="AO1883" t="b">
        <v>1</v>
      </c>
      <c r="AP1883" t="s">
        <v>4202</v>
      </c>
      <c r="AQ1883">
        <v>1944</v>
      </c>
      <c r="AR1883">
        <v>1963</v>
      </c>
      <c r="AS1883" t="s">
        <v>7862</v>
      </c>
      <c r="AT1883">
        <v>2.8720054757015698</v>
      </c>
      <c r="AU1883">
        <f t="shared" si="89"/>
        <v>8.0000000000000002E-3</v>
      </c>
    </row>
    <row r="1884" spans="1:47" x14ac:dyDescent="0.3">
      <c r="A1884">
        <v>1882</v>
      </c>
      <c r="B1884" t="s">
        <v>7863</v>
      </c>
      <c r="C1884" t="s">
        <v>7864</v>
      </c>
      <c r="D1884">
        <v>350</v>
      </c>
      <c r="E1884" t="s">
        <v>7689</v>
      </c>
      <c r="F1884" t="str">
        <f>VLOOKUP(E1884,country_continent!A:C,2,FALSE)</f>
        <v>Greece</v>
      </c>
      <c r="G1884" t="str">
        <f>VLOOKUP(E1884,country_continent!A:C,3,FALSE)</f>
        <v>Europe</v>
      </c>
      <c r="H1884" t="s">
        <v>7865</v>
      </c>
      <c r="I1884" s="1">
        <v>20366</v>
      </c>
      <c r="J1884" s="3">
        <f t="shared" si="87"/>
        <v>20366</v>
      </c>
      <c r="K1884" s="1">
        <v>20368</v>
      </c>
      <c r="L1884" s="3">
        <f t="shared" si="88"/>
        <v>20368</v>
      </c>
      <c r="M1884" t="s">
        <v>49</v>
      </c>
      <c r="N1884" t="s">
        <v>49</v>
      </c>
      <c r="O1884" t="s">
        <v>49</v>
      </c>
      <c r="P1884">
        <v>0</v>
      </c>
      <c r="Q1884" t="s">
        <v>50</v>
      </c>
      <c r="R1884" t="s">
        <v>51</v>
      </c>
      <c r="S1884">
        <v>1898</v>
      </c>
      <c r="T1884">
        <v>1982</v>
      </c>
      <c r="Z1884">
        <v>0</v>
      </c>
      <c r="AA1884">
        <v>1</v>
      </c>
      <c r="AB1884">
        <v>0</v>
      </c>
      <c r="AC1884">
        <v>0</v>
      </c>
      <c r="AF1884">
        <v>1955</v>
      </c>
      <c r="AG1884">
        <v>1955</v>
      </c>
      <c r="AN1884">
        <v>4</v>
      </c>
      <c r="AO1884" t="b">
        <v>1</v>
      </c>
      <c r="AP1884" t="s">
        <v>4202</v>
      </c>
      <c r="AQ1884">
        <v>1944</v>
      </c>
      <c r="AR1884">
        <v>1963</v>
      </c>
      <c r="AS1884" t="s">
        <v>7866</v>
      </c>
      <c r="AT1884">
        <v>5.4757015742641999E-3</v>
      </c>
      <c r="AU1884">
        <f t="shared" si="89"/>
        <v>0</v>
      </c>
    </row>
    <row r="1885" spans="1:47" x14ac:dyDescent="0.3">
      <c r="A1885">
        <v>1883</v>
      </c>
      <c r="B1885" t="s">
        <v>7867</v>
      </c>
      <c r="C1885" t="s">
        <v>7868</v>
      </c>
      <c r="D1885">
        <v>350</v>
      </c>
      <c r="E1885" t="s">
        <v>7689</v>
      </c>
      <c r="F1885" t="str">
        <f>VLOOKUP(E1885,country_continent!A:C,2,FALSE)</f>
        <v>Greece</v>
      </c>
      <c r="G1885" t="str">
        <f>VLOOKUP(E1885,country_continent!A:C,3,FALSE)</f>
        <v>Europe</v>
      </c>
      <c r="H1885" t="s">
        <v>7869</v>
      </c>
      <c r="I1885" s="1">
        <v>20368</v>
      </c>
      <c r="J1885" s="3">
        <f t="shared" si="87"/>
        <v>20368</v>
      </c>
      <c r="K1885" s="1">
        <v>21249</v>
      </c>
      <c r="L1885" s="3">
        <f t="shared" si="88"/>
        <v>21249</v>
      </c>
      <c r="M1885" t="s">
        <v>49</v>
      </c>
      <c r="N1885" t="s">
        <v>49</v>
      </c>
      <c r="O1885" t="s">
        <v>49</v>
      </c>
      <c r="P1885">
        <v>0</v>
      </c>
      <c r="Q1885" t="s">
        <v>50</v>
      </c>
      <c r="R1885" t="s">
        <v>51</v>
      </c>
      <c r="S1885">
        <v>1907</v>
      </c>
      <c r="T1885">
        <v>1998</v>
      </c>
      <c r="U1885" s="1">
        <v>2624</v>
      </c>
      <c r="V1885" s="2">
        <v>2624</v>
      </c>
      <c r="W1885" s="1">
        <v>35907</v>
      </c>
      <c r="X1885" s="2">
        <v>35907</v>
      </c>
      <c r="Z1885">
        <v>0</v>
      </c>
      <c r="AA1885">
        <v>1</v>
      </c>
      <c r="AB1885">
        <v>0</v>
      </c>
      <c r="AC1885">
        <v>0</v>
      </c>
      <c r="AD1885" t="s">
        <v>7870</v>
      </c>
      <c r="AE1885">
        <v>0</v>
      </c>
      <c r="AF1885">
        <v>1955</v>
      </c>
      <c r="AG1885">
        <v>1958</v>
      </c>
      <c r="AN1885">
        <v>4</v>
      </c>
      <c r="AO1885" t="b">
        <v>1</v>
      </c>
      <c r="AP1885" t="s">
        <v>4202</v>
      </c>
      <c r="AQ1885">
        <v>1944</v>
      </c>
      <c r="AR1885">
        <v>1963</v>
      </c>
      <c r="AS1885" t="s">
        <v>7871</v>
      </c>
      <c r="AT1885">
        <v>2.4120465434633802</v>
      </c>
      <c r="AU1885">
        <f t="shared" si="89"/>
        <v>7.0000000000000001E-3</v>
      </c>
    </row>
    <row r="1886" spans="1:47" x14ac:dyDescent="0.3">
      <c r="A1886">
        <v>1884</v>
      </c>
      <c r="B1886" t="s">
        <v>7872</v>
      </c>
      <c r="C1886" t="s">
        <v>7873</v>
      </c>
      <c r="D1886">
        <v>350</v>
      </c>
      <c r="E1886" t="s">
        <v>7689</v>
      </c>
      <c r="F1886" t="str">
        <f>VLOOKUP(E1886,country_continent!A:C,2,FALSE)</f>
        <v>Greece</v>
      </c>
      <c r="G1886" t="str">
        <f>VLOOKUP(E1886,country_continent!A:C,3,FALSE)</f>
        <v>Europe</v>
      </c>
      <c r="H1886" t="s">
        <v>7874</v>
      </c>
      <c r="I1886" s="1">
        <v>21249</v>
      </c>
      <c r="J1886" s="3">
        <f t="shared" si="87"/>
        <v>21249</v>
      </c>
      <c r="K1886" s="1">
        <v>21322</v>
      </c>
      <c r="L1886" s="3">
        <f t="shared" si="88"/>
        <v>21322</v>
      </c>
      <c r="M1886" t="s">
        <v>49</v>
      </c>
      <c r="N1886" t="s">
        <v>49</v>
      </c>
      <c r="O1886" t="s">
        <v>49</v>
      </c>
      <c r="P1886">
        <v>0</v>
      </c>
      <c r="Q1886" t="s">
        <v>50</v>
      </c>
      <c r="R1886" t="s">
        <v>51</v>
      </c>
      <c r="S1886">
        <v>1890</v>
      </c>
      <c r="T1886">
        <v>1978</v>
      </c>
      <c r="Z1886">
        <v>0</v>
      </c>
      <c r="AA1886">
        <v>1</v>
      </c>
      <c r="AB1886">
        <v>0</v>
      </c>
      <c r="AC1886">
        <v>0</v>
      </c>
      <c r="AF1886">
        <v>1958</v>
      </c>
      <c r="AG1886">
        <v>1958</v>
      </c>
      <c r="AN1886">
        <v>4</v>
      </c>
      <c r="AO1886" t="b">
        <v>1</v>
      </c>
      <c r="AP1886" t="s">
        <v>4202</v>
      </c>
      <c r="AQ1886">
        <v>1944</v>
      </c>
      <c r="AR1886">
        <v>1963</v>
      </c>
      <c r="AS1886" t="s">
        <v>6440</v>
      </c>
      <c r="AT1886">
        <v>0.19986310746064301</v>
      </c>
      <c r="AU1886">
        <f t="shared" si="89"/>
        <v>1E-3</v>
      </c>
    </row>
    <row r="1887" spans="1:47" x14ac:dyDescent="0.3">
      <c r="A1887">
        <v>1885</v>
      </c>
      <c r="B1887" t="s">
        <v>7875</v>
      </c>
      <c r="C1887" t="s">
        <v>7868</v>
      </c>
      <c r="D1887">
        <v>350</v>
      </c>
      <c r="E1887" t="s">
        <v>7689</v>
      </c>
      <c r="F1887" t="str">
        <f>VLOOKUP(E1887,country_continent!A:C,2,FALSE)</f>
        <v>Greece</v>
      </c>
      <c r="G1887" t="str">
        <f>VLOOKUP(E1887,country_continent!A:C,3,FALSE)</f>
        <v>Europe</v>
      </c>
      <c r="H1887" t="s">
        <v>7869</v>
      </c>
      <c r="I1887" s="1">
        <v>21322</v>
      </c>
      <c r="J1887" s="3">
        <f t="shared" si="87"/>
        <v>21322</v>
      </c>
      <c r="K1887" s="1">
        <v>22544</v>
      </c>
      <c r="L1887" s="3">
        <f t="shared" si="88"/>
        <v>22544</v>
      </c>
      <c r="M1887" t="s">
        <v>49</v>
      </c>
      <c r="N1887" t="s">
        <v>49</v>
      </c>
      <c r="O1887" t="s">
        <v>49</v>
      </c>
      <c r="P1887">
        <v>1</v>
      </c>
      <c r="Q1887" t="s">
        <v>50</v>
      </c>
      <c r="R1887" t="s">
        <v>51</v>
      </c>
      <c r="S1887">
        <v>1907</v>
      </c>
      <c r="T1887">
        <v>1998</v>
      </c>
      <c r="U1887" s="1">
        <v>2624</v>
      </c>
      <c r="V1887" s="2">
        <v>2624</v>
      </c>
      <c r="W1887" s="1">
        <v>35907</v>
      </c>
      <c r="X1887" s="2">
        <v>35907</v>
      </c>
      <c r="Z1887">
        <v>0</v>
      </c>
      <c r="AA1887">
        <v>1</v>
      </c>
      <c r="AB1887">
        <v>0</v>
      </c>
      <c r="AC1887">
        <v>0</v>
      </c>
      <c r="AD1887" t="s">
        <v>7870</v>
      </c>
      <c r="AE1887">
        <v>0</v>
      </c>
      <c r="AF1887">
        <v>1958</v>
      </c>
      <c r="AG1887">
        <v>1961</v>
      </c>
      <c r="AH1887">
        <v>12.3097924164889</v>
      </c>
      <c r="AJ1887">
        <v>1.09637902436618</v>
      </c>
      <c r="AK1887">
        <v>45.65</v>
      </c>
      <c r="AL1887">
        <v>0.79290184696066202</v>
      </c>
      <c r="AN1887">
        <v>4</v>
      </c>
      <c r="AO1887" t="b">
        <v>1</v>
      </c>
      <c r="AP1887" t="s">
        <v>4202</v>
      </c>
      <c r="AQ1887">
        <v>1944</v>
      </c>
      <c r="AR1887">
        <v>1963</v>
      </c>
      <c r="AS1887" t="s">
        <v>7876</v>
      </c>
      <c r="AT1887">
        <v>3.3456536618754198</v>
      </c>
      <c r="AU1887">
        <f t="shared" si="89"/>
        <v>8.9999999999999993E-3</v>
      </c>
    </row>
    <row r="1888" spans="1:47" x14ac:dyDescent="0.3">
      <c r="A1888">
        <v>1886</v>
      </c>
      <c r="B1888" t="s">
        <v>7877</v>
      </c>
      <c r="C1888" t="s">
        <v>7878</v>
      </c>
      <c r="D1888">
        <v>350</v>
      </c>
      <c r="E1888" t="s">
        <v>7689</v>
      </c>
      <c r="F1888" t="str">
        <f>VLOOKUP(E1888,country_continent!A:C,2,FALSE)</f>
        <v>Greece</v>
      </c>
      <c r="G1888" t="str">
        <f>VLOOKUP(E1888,country_continent!A:C,3,FALSE)</f>
        <v>Europe</v>
      </c>
      <c r="H1888" t="s">
        <v>7879</v>
      </c>
      <c r="I1888" s="1">
        <v>22544</v>
      </c>
      <c r="J1888" s="3">
        <f t="shared" si="87"/>
        <v>22544</v>
      </c>
      <c r="K1888" s="1">
        <v>22589</v>
      </c>
      <c r="L1888" s="3">
        <f t="shared" si="88"/>
        <v>22589</v>
      </c>
      <c r="M1888" t="s">
        <v>49</v>
      </c>
      <c r="N1888" t="s">
        <v>49</v>
      </c>
      <c r="O1888" t="s">
        <v>49</v>
      </c>
      <c r="P1888">
        <v>0</v>
      </c>
      <c r="Q1888" t="s">
        <v>50</v>
      </c>
      <c r="R1888" t="s">
        <v>51</v>
      </c>
      <c r="S1888">
        <v>1898</v>
      </c>
      <c r="T1888">
        <v>1973</v>
      </c>
      <c r="Z1888">
        <v>0</v>
      </c>
      <c r="AA1888">
        <v>1</v>
      </c>
      <c r="AB1888">
        <v>0</v>
      </c>
      <c r="AC1888">
        <v>0</v>
      </c>
      <c r="AF1888">
        <v>1961</v>
      </c>
      <c r="AG1888">
        <v>1961</v>
      </c>
      <c r="AH1888">
        <v>12.3097924164889</v>
      </c>
      <c r="AJ1888">
        <v>1.09637902436618</v>
      </c>
      <c r="AK1888">
        <v>45.1</v>
      </c>
      <c r="AL1888">
        <v>0.79290184696066202</v>
      </c>
      <c r="AN1888">
        <v>4</v>
      </c>
      <c r="AO1888" t="b">
        <v>1</v>
      </c>
      <c r="AP1888" t="s">
        <v>4202</v>
      </c>
      <c r="AQ1888">
        <v>1944</v>
      </c>
      <c r="AR1888">
        <v>1963</v>
      </c>
      <c r="AS1888" t="s">
        <v>7880</v>
      </c>
      <c r="AT1888">
        <v>0.123203285420944</v>
      </c>
      <c r="AU1888">
        <f t="shared" si="89"/>
        <v>0</v>
      </c>
    </row>
    <row r="1889" spans="1:47" x14ac:dyDescent="0.3">
      <c r="A1889">
        <v>1887</v>
      </c>
      <c r="B1889" t="s">
        <v>7881</v>
      </c>
      <c r="C1889" t="s">
        <v>7868</v>
      </c>
      <c r="D1889">
        <v>350</v>
      </c>
      <c r="E1889" t="s">
        <v>7689</v>
      </c>
      <c r="F1889" t="str">
        <f>VLOOKUP(E1889,country_continent!A:C,2,FALSE)</f>
        <v>Greece</v>
      </c>
      <c r="G1889" t="str">
        <f>VLOOKUP(E1889,country_continent!A:C,3,FALSE)</f>
        <v>Europe</v>
      </c>
      <c r="H1889" t="s">
        <v>7869</v>
      </c>
      <c r="I1889" s="1">
        <v>22589</v>
      </c>
      <c r="J1889" s="3">
        <f t="shared" si="87"/>
        <v>22589</v>
      </c>
      <c r="K1889" s="1">
        <v>23173</v>
      </c>
      <c r="L1889" s="3">
        <f t="shared" si="88"/>
        <v>23173</v>
      </c>
      <c r="M1889" t="s">
        <v>49</v>
      </c>
      <c r="N1889" t="s">
        <v>49</v>
      </c>
      <c r="O1889" t="s">
        <v>49</v>
      </c>
      <c r="P1889">
        <v>2</v>
      </c>
      <c r="Q1889" t="s">
        <v>362</v>
      </c>
      <c r="R1889" t="s">
        <v>51</v>
      </c>
      <c r="S1889">
        <v>1907</v>
      </c>
      <c r="T1889">
        <v>1998</v>
      </c>
      <c r="U1889" s="1">
        <v>2624</v>
      </c>
      <c r="V1889" s="2">
        <v>2624</v>
      </c>
      <c r="W1889" s="1">
        <v>35907</v>
      </c>
      <c r="X1889" s="2">
        <v>35907</v>
      </c>
      <c r="Z1889">
        <v>0</v>
      </c>
      <c r="AA1889">
        <v>1</v>
      </c>
      <c r="AB1889">
        <v>0</v>
      </c>
      <c r="AC1889">
        <v>1</v>
      </c>
      <c r="AD1889" t="s">
        <v>7870</v>
      </c>
      <c r="AE1889">
        <v>0</v>
      </c>
      <c r="AF1889">
        <v>1961</v>
      </c>
      <c r="AG1889">
        <v>1963</v>
      </c>
      <c r="AH1889">
        <v>7.8364143832620199</v>
      </c>
      <c r="AI1889">
        <v>695</v>
      </c>
      <c r="AJ1889">
        <v>2.2990343655492498</v>
      </c>
      <c r="AK1889">
        <v>43.8333333333333</v>
      </c>
      <c r="AL1889">
        <v>0.58652365182319099</v>
      </c>
      <c r="AN1889">
        <v>4</v>
      </c>
      <c r="AO1889" t="b">
        <v>1</v>
      </c>
      <c r="AP1889" t="s">
        <v>4202</v>
      </c>
      <c r="AQ1889">
        <v>1944</v>
      </c>
      <c r="AR1889">
        <v>1963</v>
      </c>
      <c r="AS1889" t="s">
        <v>7882</v>
      </c>
      <c r="AT1889">
        <v>1.5989048596851401</v>
      </c>
      <c r="AU1889">
        <f t="shared" si="89"/>
        <v>4.0000000000000001E-3</v>
      </c>
    </row>
    <row r="1890" spans="1:47" x14ac:dyDescent="0.3">
      <c r="A1890">
        <v>1888</v>
      </c>
      <c r="B1890" t="s">
        <v>7883</v>
      </c>
      <c r="C1890" t="s">
        <v>7884</v>
      </c>
      <c r="D1890">
        <v>350</v>
      </c>
      <c r="E1890" t="s">
        <v>7689</v>
      </c>
      <c r="F1890" t="str">
        <f>VLOOKUP(E1890,country_continent!A:C,2,FALSE)</f>
        <v>Greece</v>
      </c>
      <c r="G1890" t="str">
        <f>VLOOKUP(E1890,country_continent!A:C,3,FALSE)</f>
        <v>Europe</v>
      </c>
      <c r="H1890" t="s">
        <v>7885</v>
      </c>
      <c r="I1890" s="1">
        <v>23179</v>
      </c>
      <c r="J1890" s="3">
        <f t="shared" si="87"/>
        <v>23179</v>
      </c>
      <c r="K1890" s="1">
        <v>23283</v>
      </c>
      <c r="L1890" s="3">
        <f t="shared" si="88"/>
        <v>23283</v>
      </c>
      <c r="M1890" t="s">
        <v>49</v>
      </c>
      <c r="N1890" t="s">
        <v>49</v>
      </c>
      <c r="O1890" t="s">
        <v>49</v>
      </c>
      <c r="P1890">
        <v>0</v>
      </c>
      <c r="Q1890" t="s">
        <v>50</v>
      </c>
      <c r="R1890" t="s">
        <v>51</v>
      </c>
      <c r="S1890">
        <v>1899</v>
      </c>
      <c r="T1890">
        <v>1970</v>
      </c>
      <c r="Z1890">
        <v>0</v>
      </c>
      <c r="AA1890">
        <v>1</v>
      </c>
      <c r="AB1890">
        <v>0</v>
      </c>
      <c r="AC1890">
        <v>0</v>
      </c>
      <c r="AF1890">
        <v>1963</v>
      </c>
      <c r="AG1890">
        <v>1963</v>
      </c>
      <c r="AH1890">
        <v>11.430811320652101</v>
      </c>
      <c r="AI1890">
        <v>740</v>
      </c>
      <c r="AJ1890">
        <v>1.1105832012779699</v>
      </c>
      <c r="AK1890">
        <v>42.5</v>
      </c>
      <c r="AL1890">
        <v>0.37089200518951498</v>
      </c>
      <c r="AN1890">
        <v>4</v>
      </c>
      <c r="AO1890" t="b">
        <v>1</v>
      </c>
      <c r="AP1890" t="s">
        <v>4202</v>
      </c>
      <c r="AQ1890">
        <v>1944</v>
      </c>
      <c r="AR1890">
        <v>1963</v>
      </c>
      <c r="AS1890" t="s">
        <v>7886</v>
      </c>
      <c r="AT1890">
        <v>0.284736481861738</v>
      </c>
      <c r="AU1890">
        <f t="shared" si="89"/>
        <v>1E-3</v>
      </c>
    </row>
    <row r="1891" spans="1:47" x14ac:dyDescent="0.3">
      <c r="A1891">
        <v>1889</v>
      </c>
      <c r="B1891" t="s">
        <v>7887</v>
      </c>
      <c r="C1891" t="s">
        <v>7888</v>
      </c>
      <c r="D1891">
        <v>350</v>
      </c>
      <c r="E1891" t="s">
        <v>7689</v>
      </c>
      <c r="F1891" t="str">
        <f>VLOOKUP(E1891,country_continent!A:C,2,FALSE)</f>
        <v>Greece</v>
      </c>
      <c r="G1891" t="str">
        <f>VLOOKUP(E1891,country_continent!A:C,3,FALSE)</f>
        <v>Europe</v>
      </c>
      <c r="H1891" t="s">
        <v>7889</v>
      </c>
      <c r="I1891" s="1">
        <v>23283</v>
      </c>
      <c r="J1891" s="3">
        <f t="shared" si="87"/>
        <v>23283</v>
      </c>
      <c r="K1891" s="1">
        <v>23323</v>
      </c>
      <c r="L1891" s="3">
        <f t="shared" si="88"/>
        <v>23323</v>
      </c>
      <c r="M1891" t="s">
        <v>49</v>
      </c>
      <c r="N1891" t="s">
        <v>49</v>
      </c>
      <c r="O1891" t="s">
        <v>49</v>
      </c>
      <c r="P1891">
        <v>0</v>
      </c>
      <c r="Q1891" t="s">
        <v>50</v>
      </c>
      <c r="R1891" t="s">
        <v>51</v>
      </c>
      <c r="S1891">
        <v>1900</v>
      </c>
      <c r="T1891">
        <v>1981</v>
      </c>
      <c r="Y1891" t="s">
        <v>7890</v>
      </c>
      <c r="Z1891">
        <v>0</v>
      </c>
      <c r="AA1891">
        <v>1</v>
      </c>
      <c r="AB1891">
        <v>0</v>
      </c>
      <c r="AC1891">
        <v>0</v>
      </c>
      <c r="AF1891">
        <v>1963</v>
      </c>
      <c r="AG1891">
        <v>1963</v>
      </c>
      <c r="AH1891">
        <v>11.430811320652101</v>
      </c>
      <c r="AI1891">
        <v>740</v>
      </c>
      <c r="AJ1891">
        <v>1.1105832012779699</v>
      </c>
      <c r="AK1891">
        <v>42.5</v>
      </c>
      <c r="AL1891">
        <v>0.37089200518951498</v>
      </c>
      <c r="AN1891">
        <v>4</v>
      </c>
      <c r="AO1891" t="b">
        <v>1</v>
      </c>
      <c r="AP1891" t="s">
        <v>4202</v>
      </c>
      <c r="AQ1891">
        <v>1944</v>
      </c>
      <c r="AR1891">
        <v>1963</v>
      </c>
      <c r="AS1891" t="s">
        <v>7891</v>
      </c>
      <c r="AT1891">
        <v>0.10951403148528401</v>
      </c>
      <c r="AU1891">
        <f t="shared" si="89"/>
        <v>0</v>
      </c>
    </row>
    <row r="1892" spans="1:47" x14ac:dyDescent="0.3">
      <c r="A1892">
        <v>1890</v>
      </c>
      <c r="B1892" t="s">
        <v>7892</v>
      </c>
      <c r="C1892" t="s">
        <v>7795</v>
      </c>
      <c r="D1892">
        <v>350</v>
      </c>
      <c r="E1892" t="s">
        <v>7689</v>
      </c>
      <c r="F1892" t="str">
        <f>VLOOKUP(E1892,country_continent!A:C,2,FALSE)</f>
        <v>Greece</v>
      </c>
      <c r="G1892" t="str">
        <f>VLOOKUP(E1892,country_continent!A:C,3,FALSE)</f>
        <v>Europe</v>
      </c>
      <c r="H1892" t="s">
        <v>7796</v>
      </c>
      <c r="I1892" s="1">
        <v>23323</v>
      </c>
      <c r="J1892" s="3">
        <f t="shared" si="87"/>
        <v>23323</v>
      </c>
      <c r="K1892" s="1">
        <v>23369</v>
      </c>
      <c r="L1892" s="3">
        <f t="shared" si="88"/>
        <v>23369</v>
      </c>
      <c r="M1892" t="s">
        <v>49</v>
      </c>
      <c r="N1892" t="s">
        <v>49</v>
      </c>
      <c r="O1892" t="s">
        <v>49</v>
      </c>
      <c r="P1892">
        <v>1</v>
      </c>
      <c r="Q1892" t="s">
        <v>50</v>
      </c>
      <c r="R1892" t="s">
        <v>51</v>
      </c>
      <c r="S1892">
        <v>1888</v>
      </c>
      <c r="T1892">
        <v>1968</v>
      </c>
      <c r="U1892" t="s">
        <v>7797</v>
      </c>
      <c r="V1892" t="s">
        <v>7798</v>
      </c>
      <c r="W1892" s="1">
        <v>25143</v>
      </c>
      <c r="X1892" s="2">
        <v>25143</v>
      </c>
      <c r="Z1892">
        <v>0</v>
      </c>
      <c r="AA1892">
        <v>1</v>
      </c>
      <c r="AB1892">
        <v>0</v>
      </c>
      <c r="AC1892">
        <v>0</v>
      </c>
      <c r="AD1892" t="s">
        <v>7799</v>
      </c>
      <c r="AE1892">
        <v>0</v>
      </c>
      <c r="AF1892">
        <v>1963</v>
      </c>
      <c r="AG1892">
        <v>1963</v>
      </c>
      <c r="AH1892">
        <v>11.430811320652101</v>
      </c>
      <c r="AI1892">
        <v>740</v>
      </c>
      <c r="AJ1892">
        <v>1.1105832012779699</v>
      </c>
      <c r="AK1892">
        <v>42.5</v>
      </c>
      <c r="AL1892">
        <v>0.37089200518951498</v>
      </c>
      <c r="AN1892">
        <v>4</v>
      </c>
      <c r="AO1892" t="b">
        <v>1</v>
      </c>
      <c r="AP1892" t="s">
        <v>4202</v>
      </c>
      <c r="AQ1892">
        <v>1944</v>
      </c>
      <c r="AR1892">
        <v>1963</v>
      </c>
      <c r="AS1892" t="s">
        <v>7893</v>
      </c>
      <c r="AT1892">
        <v>0.12594113620807601</v>
      </c>
      <c r="AU1892">
        <f t="shared" si="89"/>
        <v>0</v>
      </c>
    </row>
    <row r="1893" spans="1:47" x14ac:dyDescent="0.3">
      <c r="A1893">
        <v>1891</v>
      </c>
      <c r="B1893" t="s">
        <v>7894</v>
      </c>
      <c r="C1893" t="s">
        <v>7895</v>
      </c>
      <c r="D1893">
        <v>350</v>
      </c>
      <c r="E1893" t="s">
        <v>7689</v>
      </c>
      <c r="F1893" t="str">
        <f>VLOOKUP(E1893,country_continent!A:C,2,FALSE)</f>
        <v>Greece</v>
      </c>
      <c r="G1893" t="str">
        <f>VLOOKUP(E1893,country_continent!A:C,3,FALSE)</f>
        <v>Europe</v>
      </c>
      <c r="H1893" t="s">
        <v>7896</v>
      </c>
      <c r="I1893" s="1">
        <v>23376</v>
      </c>
      <c r="J1893" s="3">
        <f t="shared" si="87"/>
        <v>23376</v>
      </c>
      <c r="K1893" s="1">
        <v>23425</v>
      </c>
      <c r="L1893" s="3">
        <f t="shared" si="88"/>
        <v>23425</v>
      </c>
      <c r="M1893" t="s">
        <v>49</v>
      </c>
      <c r="N1893" t="s">
        <v>49</v>
      </c>
      <c r="O1893" t="s">
        <v>49</v>
      </c>
      <c r="P1893">
        <v>0</v>
      </c>
      <c r="Q1893" t="s">
        <v>50</v>
      </c>
      <c r="R1893" t="s">
        <v>51</v>
      </c>
      <c r="S1893">
        <v>1900</v>
      </c>
      <c r="T1893">
        <v>1984</v>
      </c>
      <c r="Z1893">
        <v>0</v>
      </c>
      <c r="AA1893">
        <v>1</v>
      </c>
      <c r="AB1893">
        <v>0</v>
      </c>
      <c r="AC1893">
        <v>0</v>
      </c>
      <c r="AF1893">
        <v>1963</v>
      </c>
      <c r="AG1893">
        <v>1964</v>
      </c>
      <c r="AH1893">
        <v>10.222236930279299</v>
      </c>
      <c r="AI1893">
        <v>780</v>
      </c>
      <c r="AJ1893">
        <v>2.25811536447257</v>
      </c>
      <c r="AK1893">
        <v>41.75</v>
      </c>
      <c r="AL1893">
        <v>0.36675227597638699</v>
      </c>
      <c r="AN1893">
        <v>4</v>
      </c>
      <c r="AO1893" t="b">
        <v>1</v>
      </c>
      <c r="AP1893" t="s">
        <v>4202</v>
      </c>
      <c r="AQ1893">
        <v>1944</v>
      </c>
      <c r="AR1893">
        <v>1963</v>
      </c>
      <c r="AS1893" t="s">
        <v>7771</v>
      </c>
      <c r="AT1893">
        <v>0.13415468856947199</v>
      </c>
      <c r="AU1893">
        <f t="shared" si="89"/>
        <v>0</v>
      </c>
    </row>
    <row r="1894" spans="1:47" x14ac:dyDescent="0.3">
      <c r="A1894">
        <v>1892</v>
      </c>
      <c r="B1894" t="s">
        <v>7897</v>
      </c>
      <c r="C1894" t="s">
        <v>7795</v>
      </c>
      <c r="D1894">
        <v>350</v>
      </c>
      <c r="E1894" t="s">
        <v>7689</v>
      </c>
      <c r="F1894" t="str">
        <f>VLOOKUP(E1894,country_continent!A:C,2,FALSE)</f>
        <v>Greece</v>
      </c>
      <c r="G1894" t="str">
        <f>VLOOKUP(E1894,country_continent!A:C,3,FALSE)</f>
        <v>Europe</v>
      </c>
      <c r="H1894" t="s">
        <v>7796</v>
      </c>
      <c r="I1894" s="1">
        <v>23425</v>
      </c>
      <c r="J1894" s="3">
        <f t="shared" si="87"/>
        <v>23425</v>
      </c>
      <c r="K1894" s="1">
        <v>23938</v>
      </c>
      <c r="L1894" s="3">
        <f t="shared" si="88"/>
        <v>23938</v>
      </c>
      <c r="M1894" t="s">
        <v>49</v>
      </c>
      <c r="N1894" t="s">
        <v>67</v>
      </c>
      <c r="O1894" t="s">
        <v>2001</v>
      </c>
      <c r="P1894">
        <v>2</v>
      </c>
      <c r="Q1894" t="s">
        <v>50</v>
      </c>
      <c r="R1894" t="s">
        <v>51</v>
      </c>
      <c r="S1894">
        <v>1888</v>
      </c>
      <c r="T1894">
        <v>1968</v>
      </c>
      <c r="U1894" t="s">
        <v>7797</v>
      </c>
      <c r="V1894" t="s">
        <v>7798</v>
      </c>
      <c r="W1894" s="1">
        <v>25143</v>
      </c>
      <c r="X1894" s="2">
        <v>25143</v>
      </c>
      <c r="Z1894">
        <v>0</v>
      </c>
      <c r="AA1894">
        <v>3</v>
      </c>
      <c r="AB1894">
        <v>8</v>
      </c>
      <c r="AC1894">
        <v>0</v>
      </c>
      <c r="AD1894" t="s">
        <v>7799</v>
      </c>
      <c r="AE1894">
        <v>0</v>
      </c>
      <c r="AF1894">
        <v>1964</v>
      </c>
      <c r="AG1894">
        <v>1965</v>
      </c>
      <c r="AH1894">
        <v>9.6323622199628094</v>
      </c>
      <c r="AI1894">
        <v>870</v>
      </c>
      <c r="AJ1894">
        <v>3.7419240376362901</v>
      </c>
      <c r="AK1894">
        <v>40.35</v>
      </c>
      <c r="AL1894">
        <v>0.41520012153852698</v>
      </c>
      <c r="AN1894">
        <v>4</v>
      </c>
      <c r="AO1894" t="b">
        <v>1</v>
      </c>
      <c r="AP1894" t="s">
        <v>4202</v>
      </c>
      <c r="AQ1894">
        <v>1944</v>
      </c>
      <c r="AR1894">
        <v>1963</v>
      </c>
      <c r="AS1894" t="s">
        <v>7898</v>
      </c>
      <c r="AT1894">
        <v>1.4045174537987599</v>
      </c>
      <c r="AU1894">
        <f t="shared" si="89"/>
        <v>4.0000000000000001E-3</v>
      </c>
    </row>
    <row r="1895" spans="1:47" x14ac:dyDescent="0.3">
      <c r="A1895">
        <v>1893</v>
      </c>
      <c r="B1895" t="s">
        <v>7899</v>
      </c>
      <c r="C1895" t="s">
        <v>7900</v>
      </c>
      <c r="D1895">
        <v>350</v>
      </c>
      <c r="E1895" t="s">
        <v>7689</v>
      </c>
      <c r="F1895" t="str">
        <f>VLOOKUP(E1895,country_continent!A:C,2,FALSE)</f>
        <v>Greece</v>
      </c>
      <c r="G1895" t="str">
        <f>VLOOKUP(E1895,country_continent!A:C,3,FALSE)</f>
        <v>Europe</v>
      </c>
      <c r="H1895" t="s">
        <v>7901</v>
      </c>
      <c r="I1895" s="1">
        <v>23938</v>
      </c>
      <c r="J1895" s="3">
        <f t="shared" si="87"/>
        <v>23938</v>
      </c>
      <c r="K1895" s="1">
        <v>23959</v>
      </c>
      <c r="L1895" s="3">
        <f t="shared" si="88"/>
        <v>23959</v>
      </c>
      <c r="M1895" t="s">
        <v>67</v>
      </c>
      <c r="N1895" t="s">
        <v>49</v>
      </c>
      <c r="O1895" t="s">
        <v>49</v>
      </c>
      <c r="P1895">
        <v>0</v>
      </c>
      <c r="Q1895" t="s">
        <v>50</v>
      </c>
      <c r="R1895" t="s">
        <v>51</v>
      </c>
      <c r="S1895">
        <v>1893</v>
      </c>
      <c r="T1895">
        <v>1987</v>
      </c>
      <c r="Y1895" t="s">
        <v>7902</v>
      </c>
      <c r="Z1895">
        <v>1</v>
      </c>
      <c r="AA1895">
        <v>1</v>
      </c>
      <c r="AB1895">
        <v>0</v>
      </c>
      <c r="AC1895">
        <v>0</v>
      </c>
      <c r="AF1895">
        <v>1965</v>
      </c>
      <c r="AG1895">
        <v>1965</v>
      </c>
      <c r="AH1895">
        <v>10.251061900019099</v>
      </c>
      <c r="AI1895">
        <v>920</v>
      </c>
      <c r="AJ1895">
        <v>4.0782005476054097</v>
      </c>
      <c r="AK1895">
        <v>39.700000000000003</v>
      </c>
      <c r="AL1895">
        <v>0.46778769631379402</v>
      </c>
      <c r="AN1895">
        <v>4</v>
      </c>
      <c r="AO1895" t="b">
        <v>1</v>
      </c>
      <c r="AP1895" t="s">
        <v>4202</v>
      </c>
      <c r="AQ1895">
        <v>1944</v>
      </c>
      <c r="AR1895">
        <v>1963</v>
      </c>
      <c r="AS1895" t="s">
        <v>7817</v>
      </c>
      <c r="AT1895">
        <v>5.7494866529774098E-2</v>
      </c>
      <c r="AU1895">
        <f t="shared" si="89"/>
        <v>0</v>
      </c>
    </row>
    <row r="1896" spans="1:47" x14ac:dyDescent="0.3">
      <c r="A1896">
        <v>1894</v>
      </c>
      <c r="B1896" t="s">
        <v>7903</v>
      </c>
      <c r="C1896" t="s">
        <v>7904</v>
      </c>
      <c r="D1896">
        <v>350</v>
      </c>
      <c r="E1896" t="s">
        <v>7689</v>
      </c>
      <c r="F1896" t="str">
        <f>VLOOKUP(E1896,country_continent!A:C,2,FALSE)</f>
        <v>Greece</v>
      </c>
      <c r="G1896" t="str">
        <f>VLOOKUP(E1896,country_continent!A:C,3,FALSE)</f>
        <v>Europe</v>
      </c>
      <c r="H1896" t="s">
        <v>7905</v>
      </c>
      <c r="I1896" s="1">
        <v>23974</v>
      </c>
      <c r="J1896" s="3">
        <f t="shared" si="87"/>
        <v>23974</v>
      </c>
      <c r="K1896" s="1">
        <v>23983</v>
      </c>
      <c r="L1896" s="3">
        <f t="shared" si="88"/>
        <v>23983</v>
      </c>
      <c r="M1896" t="s">
        <v>49</v>
      </c>
      <c r="N1896" t="s">
        <v>49</v>
      </c>
      <c r="O1896" t="s">
        <v>49</v>
      </c>
      <c r="P1896">
        <v>0</v>
      </c>
      <c r="Q1896" t="s">
        <v>50</v>
      </c>
      <c r="R1896" t="s">
        <v>51</v>
      </c>
      <c r="S1896">
        <v>1907</v>
      </c>
      <c r="T1896">
        <v>1968</v>
      </c>
      <c r="Z1896">
        <v>0</v>
      </c>
      <c r="AA1896">
        <v>1</v>
      </c>
      <c r="AB1896">
        <v>0</v>
      </c>
      <c r="AC1896">
        <v>0</v>
      </c>
      <c r="AF1896">
        <v>1965</v>
      </c>
      <c r="AG1896">
        <v>1965</v>
      </c>
      <c r="AH1896">
        <v>10.251061900019099</v>
      </c>
      <c r="AI1896">
        <v>920</v>
      </c>
      <c r="AJ1896">
        <v>4.0782005476054097</v>
      </c>
      <c r="AK1896">
        <v>39.700000000000003</v>
      </c>
      <c r="AL1896">
        <v>0.46778769631379402</v>
      </c>
      <c r="AN1896">
        <v>4</v>
      </c>
      <c r="AO1896" t="b">
        <v>1</v>
      </c>
      <c r="AP1896" t="s">
        <v>4202</v>
      </c>
      <c r="AQ1896">
        <v>1944</v>
      </c>
      <c r="AR1896">
        <v>1963</v>
      </c>
      <c r="AS1896" t="s">
        <v>7392</v>
      </c>
      <c r="AT1896">
        <v>2.4640657084188899E-2</v>
      </c>
      <c r="AU1896">
        <f t="shared" si="89"/>
        <v>0</v>
      </c>
    </row>
    <row r="1897" spans="1:47" x14ac:dyDescent="0.3">
      <c r="A1897">
        <v>1895</v>
      </c>
      <c r="B1897" t="s">
        <v>7906</v>
      </c>
      <c r="C1897" t="s">
        <v>7864</v>
      </c>
      <c r="D1897">
        <v>350</v>
      </c>
      <c r="E1897" t="s">
        <v>7689</v>
      </c>
      <c r="F1897" t="str">
        <f>VLOOKUP(E1897,country_continent!A:C,2,FALSE)</f>
        <v>Greece</v>
      </c>
      <c r="G1897" t="str">
        <f>VLOOKUP(E1897,country_continent!A:C,3,FALSE)</f>
        <v>Europe</v>
      </c>
      <c r="H1897" t="s">
        <v>7865</v>
      </c>
      <c r="I1897" s="1">
        <v>24002</v>
      </c>
      <c r="J1897" s="3">
        <f t="shared" si="87"/>
        <v>24002</v>
      </c>
      <c r="K1897" s="1">
        <v>24463</v>
      </c>
      <c r="L1897" s="3">
        <f t="shared" si="88"/>
        <v>24463</v>
      </c>
      <c r="M1897" t="s">
        <v>49</v>
      </c>
      <c r="N1897" t="s">
        <v>49</v>
      </c>
      <c r="O1897" t="s">
        <v>49</v>
      </c>
      <c r="P1897">
        <v>1</v>
      </c>
      <c r="Q1897" t="s">
        <v>463</v>
      </c>
      <c r="R1897" t="s">
        <v>51</v>
      </c>
      <c r="S1897">
        <v>1898</v>
      </c>
      <c r="T1897">
        <v>1982</v>
      </c>
      <c r="Z1897">
        <v>0</v>
      </c>
      <c r="AA1897">
        <v>1</v>
      </c>
      <c r="AB1897">
        <v>0</v>
      </c>
      <c r="AC1897">
        <v>2</v>
      </c>
      <c r="AF1897">
        <v>1965</v>
      </c>
      <c r="AG1897">
        <v>1966</v>
      </c>
      <c r="AH1897">
        <v>7.9813669638631497</v>
      </c>
      <c r="AI1897">
        <v>970</v>
      </c>
      <c r="AJ1897">
        <v>4.4997998401894401</v>
      </c>
      <c r="AK1897">
        <v>39.15</v>
      </c>
      <c r="AL1897">
        <v>0.60279588878208701</v>
      </c>
      <c r="AN1897">
        <v>4</v>
      </c>
      <c r="AO1897" t="b">
        <v>1</v>
      </c>
      <c r="AP1897" t="s">
        <v>4202</v>
      </c>
      <c r="AQ1897">
        <v>1944</v>
      </c>
      <c r="AR1897">
        <v>1963</v>
      </c>
      <c r="AS1897" t="s">
        <v>7907</v>
      </c>
      <c r="AT1897">
        <v>1.2621492128678899</v>
      </c>
      <c r="AU1897">
        <f t="shared" si="89"/>
        <v>3.0000000000000001E-3</v>
      </c>
    </row>
    <row r="1898" spans="1:47" x14ac:dyDescent="0.3">
      <c r="A1898">
        <v>1896</v>
      </c>
      <c r="B1898" t="s">
        <v>7908</v>
      </c>
      <c r="C1898" t="s">
        <v>7895</v>
      </c>
      <c r="D1898">
        <v>350</v>
      </c>
      <c r="E1898" t="s">
        <v>7689</v>
      </c>
      <c r="F1898" t="str">
        <f>VLOOKUP(E1898,country_continent!A:C,2,FALSE)</f>
        <v>Greece</v>
      </c>
      <c r="G1898" t="str">
        <f>VLOOKUP(E1898,country_continent!A:C,3,FALSE)</f>
        <v>Europe</v>
      </c>
      <c r="H1898" t="s">
        <v>7896</v>
      </c>
      <c r="I1898" s="1">
        <v>24463</v>
      </c>
      <c r="J1898" s="3">
        <f t="shared" si="87"/>
        <v>24463</v>
      </c>
      <c r="K1898" s="1">
        <v>24561</v>
      </c>
      <c r="L1898" s="3">
        <f t="shared" si="88"/>
        <v>24561</v>
      </c>
      <c r="M1898" t="s">
        <v>49</v>
      </c>
      <c r="N1898" t="s">
        <v>49</v>
      </c>
      <c r="O1898" t="s">
        <v>49</v>
      </c>
      <c r="P1898">
        <v>1</v>
      </c>
      <c r="Q1898" t="s">
        <v>50</v>
      </c>
      <c r="R1898" t="s">
        <v>51</v>
      </c>
      <c r="S1898">
        <v>1900</v>
      </c>
      <c r="T1898">
        <v>1984</v>
      </c>
      <c r="Z1898">
        <v>0</v>
      </c>
      <c r="AA1898">
        <v>1</v>
      </c>
      <c r="AB1898">
        <v>0</v>
      </c>
      <c r="AC1898">
        <v>0</v>
      </c>
      <c r="AF1898">
        <v>1966</v>
      </c>
      <c r="AG1898">
        <v>1967</v>
      </c>
      <c r="AH1898">
        <v>5.2620344245538497</v>
      </c>
      <c r="AI1898">
        <v>1065</v>
      </c>
      <c r="AJ1898">
        <v>3.5456184084764302</v>
      </c>
      <c r="AK1898">
        <v>37.950000000000003</v>
      </c>
      <c r="AL1898">
        <v>0.77610779925179496</v>
      </c>
      <c r="AN1898">
        <v>-1.5</v>
      </c>
      <c r="AO1898" t="b">
        <v>1</v>
      </c>
      <c r="AP1898" t="s">
        <v>4202</v>
      </c>
      <c r="AQ1898">
        <v>1944</v>
      </c>
      <c r="AR1898">
        <v>1963</v>
      </c>
      <c r="AS1898" t="s">
        <v>6410</v>
      </c>
      <c r="AT1898">
        <v>0.26830937713894498</v>
      </c>
      <c r="AU1898">
        <f t="shared" si="89"/>
        <v>1E-3</v>
      </c>
    </row>
    <row r="1899" spans="1:47" x14ac:dyDescent="0.3">
      <c r="A1899">
        <v>1897</v>
      </c>
      <c r="B1899" t="s">
        <v>7909</v>
      </c>
      <c r="C1899" t="s">
        <v>7815</v>
      </c>
      <c r="D1899">
        <v>350</v>
      </c>
      <c r="E1899" t="s">
        <v>7689</v>
      </c>
      <c r="F1899" t="str">
        <f>VLOOKUP(E1899,country_continent!A:C,2,FALSE)</f>
        <v>Greece</v>
      </c>
      <c r="G1899" t="str">
        <f>VLOOKUP(E1899,country_continent!A:C,3,FALSE)</f>
        <v>Europe</v>
      </c>
      <c r="H1899" t="s">
        <v>7816</v>
      </c>
      <c r="I1899" s="1">
        <v>24565</v>
      </c>
      <c r="J1899" s="3">
        <f t="shared" si="87"/>
        <v>24565</v>
      </c>
      <c r="K1899" s="1">
        <v>24583</v>
      </c>
      <c r="L1899" s="3">
        <f t="shared" si="88"/>
        <v>24583</v>
      </c>
      <c r="M1899" t="s">
        <v>49</v>
      </c>
      <c r="N1899" t="s">
        <v>67</v>
      </c>
      <c r="O1899" t="s">
        <v>376</v>
      </c>
      <c r="P1899">
        <v>1</v>
      </c>
      <c r="Q1899" t="s">
        <v>463</v>
      </c>
      <c r="R1899" t="s">
        <v>51</v>
      </c>
      <c r="S1899">
        <v>1902</v>
      </c>
      <c r="T1899">
        <v>1986</v>
      </c>
      <c r="U1899" s="1">
        <v>1078</v>
      </c>
      <c r="V1899" s="2">
        <v>1078</v>
      </c>
      <c r="W1899" s="1">
        <v>31666</v>
      </c>
      <c r="X1899" s="2">
        <v>31666</v>
      </c>
      <c r="Z1899">
        <v>0</v>
      </c>
      <c r="AA1899">
        <v>3</v>
      </c>
      <c r="AB1899">
        <v>6</v>
      </c>
      <c r="AC1899">
        <v>2</v>
      </c>
      <c r="AF1899">
        <v>1967</v>
      </c>
      <c r="AG1899">
        <v>1967</v>
      </c>
      <c r="AH1899">
        <v>4.8123968214005401</v>
      </c>
      <c r="AI1899">
        <v>1110</v>
      </c>
      <c r="AJ1899">
        <v>2.1698376841793898</v>
      </c>
      <c r="AK1899">
        <v>37.299999999999997</v>
      </c>
      <c r="AL1899">
        <v>0.81441151725321104</v>
      </c>
      <c r="AN1899">
        <v>-7</v>
      </c>
      <c r="AO1899" t="b">
        <v>1</v>
      </c>
      <c r="AP1899" t="s">
        <v>4202</v>
      </c>
      <c r="AQ1899">
        <v>1944</v>
      </c>
      <c r="AR1899">
        <v>1963</v>
      </c>
      <c r="AS1899" t="s">
        <v>7910</v>
      </c>
      <c r="AT1899">
        <v>4.9281314168377797E-2</v>
      </c>
      <c r="AU1899">
        <f t="shared" si="89"/>
        <v>0</v>
      </c>
    </row>
    <row r="1900" spans="1:47" x14ac:dyDescent="0.3">
      <c r="A1900">
        <v>1898</v>
      </c>
      <c r="B1900" t="s">
        <v>7911</v>
      </c>
      <c r="C1900" t="s">
        <v>7912</v>
      </c>
      <c r="D1900">
        <v>350</v>
      </c>
      <c r="E1900" t="s">
        <v>7689</v>
      </c>
      <c r="F1900" t="str">
        <f>VLOOKUP(E1900,country_continent!A:C,2,FALSE)</f>
        <v>Greece</v>
      </c>
      <c r="G1900" t="str">
        <f>VLOOKUP(E1900,country_continent!A:C,3,FALSE)</f>
        <v>Europe</v>
      </c>
      <c r="H1900" t="s">
        <v>7913</v>
      </c>
      <c r="I1900" s="1">
        <v>24583</v>
      </c>
      <c r="J1900" s="3">
        <f t="shared" si="87"/>
        <v>24583</v>
      </c>
      <c r="K1900" s="1">
        <v>24819</v>
      </c>
      <c r="L1900" s="3">
        <f t="shared" si="88"/>
        <v>24819</v>
      </c>
      <c r="M1900" t="s">
        <v>67</v>
      </c>
      <c r="N1900" t="s">
        <v>67</v>
      </c>
      <c r="O1900" t="s">
        <v>376</v>
      </c>
      <c r="P1900">
        <v>0</v>
      </c>
      <c r="Q1900" t="s">
        <v>362</v>
      </c>
      <c r="R1900" t="s">
        <v>51</v>
      </c>
      <c r="S1900">
        <v>1901</v>
      </c>
      <c r="T1900">
        <v>1998</v>
      </c>
      <c r="Z1900">
        <v>1</v>
      </c>
      <c r="AA1900">
        <v>3</v>
      </c>
      <c r="AB1900">
        <v>6</v>
      </c>
      <c r="AC1900">
        <v>1</v>
      </c>
      <c r="AF1900">
        <v>1967</v>
      </c>
      <c r="AG1900">
        <v>1967</v>
      </c>
      <c r="AH1900">
        <v>4.8123968214005401</v>
      </c>
      <c r="AI1900">
        <v>1110</v>
      </c>
      <c r="AJ1900">
        <v>2.1698376841793898</v>
      </c>
      <c r="AK1900">
        <v>37.299999999999997</v>
      </c>
      <c r="AL1900">
        <v>0.81441151725321104</v>
      </c>
      <c r="AN1900">
        <v>-7</v>
      </c>
      <c r="AO1900" t="b">
        <v>1</v>
      </c>
      <c r="AP1900" t="s">
        <v>4202</v>
      </c>
      <c r="AQ1900">
        <v>1944</v>
      </c>
      <c r="AR1900">
        <v>1963</v>
      </c>
      <c r="AS1900" t="s">
        <v>7914</v>
      </c>
      <c r="AT1900">
        <v>0.64613278576317501</v>
      </c>
      <c r="AU1900">
        <f t="shared" si="89"/>
        <v>2E-3</v>
      </c>
    </row>
    <row r="1901" spans="1:47" x14ac:dyDescent="0.3">
      <c r="A1901">
        <v>1899</v>
      </c>
      <c r="B1901" t="s">
        <v>7915</v>
      </c>
      <c r="C1901" t="s">
        <v>7916</v>
      </c>
      <c r="D1901">
        <v>350</v>
      </c>
      <c r="E1901" t="s">
        <v>7689</v>
      </c>
      <c r="F1901" t="str">
        <f>VLOOKUP(E1901,country_continent!A:C,2,FALSE)</f>
        <v>Greece</v>
      </c>
      <c r="G1901" t="str">
        <f>VLOOKUP(E1901,country_continent!A:C,3,FALSE)</f>
        <v>Europe</v>
      </c>
      <c r="H1901" t="s">
        <v>7917</v>
      </c>
      <c r="I1901" s="1">
        <v>24819</v>
      </c>
      <c r="J1901" s="3">
        <f t="shared" si="87"/>
        <v>24819</v>
      </c>
      <c r="K1901" s="1">
        <v>26993</v>
      </c>
      <c r="L1901" s="3">
        <f t="shared" si="88"/>
        <v>26993</v>
      </c>
      <c r="M1901" t="s">
        <v>67</v>
      </c>
      <c r="N1901" t="s">
        <v>67</v>
      </c>
      <c r="O1901" t="s">
        <v>376</v>
      </c>
      <c r="P1901">
        <v>0</v>
      </c>
      <c r="Q1901" t="s">
        <v>463</v>
      </c>
      <c r="R1901" t="s">
        <v>51</v>
      </c>
      <c r="S1901">
        <v>1919</v>
      </c>
      <c r="T1901">
        <v>1999</v>
      </c>
      <c r="U1901" s="1">
        <v>7065</v>
      </c>
      <c r="V1901" s="2">
        <v>7065</v>
      </c>
      <c r="W1901" s="1">
        <v>36338</v>
      </c>
      <c r="X1901" s="2">
        <v>36338</v>
      </c>
      <c r="Y1901" t="s">
        <v>7918</v>
      </c>
      <c r="Z1901">
        <v>1</v>
      </c>
      <c r="AA1901">
        <v>3</v>
      </c>
      <c r="AB1901">
        <v>6</v>
      </c>
      <c r="AC1901">
        <v>2</v>
      </c>
      <c r="AF1901">
        <v>1967</v>
      </c>
      <c r="AG1901">
        <v>1973</v>
      </c>
      <c r="AH1901">
        <v>7.9404761932956598</v>
      </c>
      <c r="AI1901">
        <v>1638.57142857142</v>
      </c>
      <c r="AJ1901">
        <v>5.6513709119442597</v>
      </c>
      <c r="AK1901">
        <v>31.842857142857099</v>
      </c>
      <c r="AL1901">
        <v>0.51379668078882801</v>
      </c>
      <c r="AM1901">
        <v>0.19902601595978101</v>
      </c>
      <c r="AN1901">
        <v>-7</v>
      </c>
      <c r="AO1901" t="b">
        <v>1</v>
      </c>
      <c r="AP1901" t="s">
        <v>4202</v>
      </c>
      <c r="AQ1901">
        <v>1944</v>
      </c>
      <c r="AR1901">
        <v>1963</v>
      </c>
      <c r="AS1901" t="s">
        <v>7919</v>
      </c>
      <c r="AT1901">
        <v>5.9520876112251804</v>
      </c>
      <c r="AU1901">
        <f t="shared" si="89"/>
        <v>1.6E-2</v>
      </c>
    </row>
    <row r="1902" spans="1:47" x14ac:dyDescent="0.3">
      <c r="A1902">
        <v>1900</v>
      </c>
      <c r="B1902" t="s">
        <v>7920</v>
      </c>
      <c r="C1902" t="s">
        <v>7921</v>
      </c>
      <c r="D1902">
        <v>350</v>
      </c>
      <c r="E1902" t="s">
        <v>7689</v>
      </c>
      <c r="F1902" t="str">
        <f>VLOOKUP(E1902,country_continent!A:C,2,FALSE)</f>
        <v>Greece</v>
      </c>
      <c r="G1902" t="str">
        <f>VLOOKUP(E1902,country_continent!A:C,3,FALSE)</f>
        <v>Europe</v>
      </c>
      <c r="H1902" t="s">
        <v>7922</v>
      </c>
      <c r="I1902" s="1">
        <v>26993</v>
      </c>
      <c r="J1902" s="3">
        <f t="shared" si="87"/>
        <v>26993</v>
      </c>
      <c r="K1902" s="1">
        <v>27234</v>
      </c>
      <c r="L1902" s="3">
        <f t="shared" si="88"/>
        <v>27234</v>
      </c>
      <c r="M1902" t="s">
        <v>67</v>
      </c>
      <c r="N1902" t="s">
        <v>49</v>
      </c>
      <c r="O1902" t="s">
        <v>49</v>
      </c>
      <c r="P1902">
        <v>0</v>
      </c>
      <c r="Q1902" t="s">
        <v>463</v>
      </c>
      <c r="R1902" t="s">
        <v>51</v>
      </c>
      <c r="S1902">
        <v>1923</v>
      </c>
      <c r="T1902">
        <v>1999</v>
      </c>
      <c r="U1902" s="1">
        <v>8473</v>
      </c>
      <c r="V1902" s="2">
        <v>8473</v>
      </c>
      <c r="W1902" s="1">
        <v>36368</v>
      </c>
      <c r="X1902" s="2">
        <v>36368</v>
      </c>
      <c r="Z1902">
        <v>1</v>
      </c>
      <c r="AA1902">
        <v>1</v>
      </c>
      <c r="AB1902">
        <v>0</v>
      </c>
      <c r="AC1902">
        <v>2</v>
      </c>
      <c r="AF1902">
        <v>1973</v>
      </c>
      <c r="AG1902">
        <v>1974</v>
      </c>
      <c r="AH1902">
        <v>0.41026137742838997</v>
      </c>
      <c r="AI1902">
        <v>2670</v>
      </c>
      <c r="AJ1902">
        <v>21.845416622663599</v>
      </c>
      <c r="AK1902">
        <v>27.3</v>
      </c>
      <c r="AL1902">
        <v>0.41115821315950601</v>
      </c>
      <c r="AM1902">
        <v>0.25985052216138399</v>
      </c>
      <c r="AN1902">
        <v>-3</v>
      </c>
      <c r="AO1902" t="b">
        <v>1</v>
      </c>
      <c r="AP1902" t="s">
        <v>4202</v>
      </c>
      <c r="AQ1902">
        <v>1944</v>
      </c>
      <c r="AR1902">
        <v>1963</v>
      </c>
      <c r="AS1902" t="s">
        <v>7923</v>
      </c>
      <c r="AT1902">
        <v>0.65982203969883602</v>
      </c>
      <c r="AU1902">
        <f t="shared" si="89"/>
        <v>2E-3</v>
      </c>
    </row>
    <row r="1903" spans="1:47" x14ac:dyDescent="0.3">
      <c r="A1903">
        <v>1901</v>
      </c>
      <c r="B1903" t="s">
        <v>7924</v>
      </c>
      <c r="C1903" t="s">
        <v>7868</v>
      </c>
      <c r="D1903">
        <v>350</v>
      </c>
      <c r="E1903" t="s">
        <v>7689</v>
      </c>
      <c r="F1903" t="str">
        <f>VLOOKUP(E1903,country_continent!A:C,2,FALSE)</f>
        <v>Greece</v>
      </c>
      <c r="G1903" t="str">
        <f>VLOOKUP(E1903,country_continent!A:C,3,FALSE)</f>
        <v>Europe</v>
      </c>
      <c r="H1903" t="s">
        <v>7869</v>
      </c>
      <c r="I1903" s="1">
        <v>27234</v>
      </c>
      <c r="J1903" s="3">
        <f t="shared" si="87"/>
        <v>27234</v>
      </c>
      <c r="K1903" s="1">
        <v>29350</v>
      </c>
      <c r="L1903" s="3">
        <f t="shared" si="88"/>
        <v>29350</v>
      </c>
      <c r="M1903" t="s">
        <v>49</v>
      </c>
      <c r="N1903" t="s">
        <v>49</v>
      </c>
      <c r="O1903" t="s">
        <v>49</v>
      </c>
      <c r="P1903">
        <v>3</v>
      </c>
      <c r="Q1903" t="s">
        <v>50</v>
      </c>
      <c r="R1903" t="s">
        <v>51</v>
      </c>
      <c r="S1903">
        <v>1907</v>
      </c>
      <c r="T1903">
        <v>1998</v>
      </c>
      <c r="U1903" s="1">
        <v>2624</v>
      </c>
      <c r="V1903" s="2">
        <v>2624</v>
      </c>
      <c r="W1903" s="1">
        <v>35907</v>
      </c>
      <c r="X1903" s="2">
        <v>35907</v>
      </c>
      <c r="Z1903">
        <v>0</v>
      </c>
      <c r="AA1903">
        <v>1</v>
      </c>
      <c r="AB1903">
        <v>0</v>
      </c>
      <c r="AC1903">
        <v>0</v>
      </c>
      <c r="AD1903" t="s">
        <v>7870</v>
      </c>
      <c r="AE1903">
        <v>0</v>
      </c>
      <c r="AF1903">
        <v>1974</v>
      </c>
      <c r="AG1903">
        <v>1980</v>
      </c>
      <c r="AH1903">
        <v>1.85245504505818</v>
      </c>
      <c r="AI1903">
        <v>4395.7142857142799</v>
      </c>
      <c r="AJ1903">
        <v>17.038224266596298</v>
      </c>
      <c r="AK1903">
        <v>23.571428571428498</v>
      </c>
      <c r="AL1903">
        <v>1.0980984515921699</v>
      </c>
      <c r="AM1903">
        <v>0.30576471623100598</v>
      </c>
      <c r="AN1903">
        <v>7</v>
      </c>
      <c r="AO1903" t="b">
        <v>1</v>
      </c>
      <c r="AP1903" t="s">
        <v>4202</v>
      </c>
      <c r="AQ1903">
        <v>1944</v>
      </c>
      <c r="AR1903">
        <v>1963</v>
      </c>
      <c r="AS1903" t="s">
        <v>7925</v>
      </c>
      <c r="AT1903">
        <v>5.7932922655715204</v>
      </c>
      <c r="AU1903">
        <f t="shared" si="89"/>
        <v>1.6E-2</v>
      </c>
    </row>
    <row r="1904" spans="1:47" x14ac:dyDescent="0.3">
      <c r="A1904">
        <v>1902</v>
      </c>
      <c r="B1904" t="s">
        <v>7926</v>
      </c>
      <c r="C1904" t="s">
        <v>7927</v>
      </c>
      <c r="D1904">
        <v>350</v>
      </c>
      <c r="E1904" t="s">
        <v>7689</v>
      </c>
      <c r="F1904" t="str">
        <f>VLOOKUP(E1904,country_continent!A:C,2,FALSE)</f>
        <v>Greece</v>
      </c>
      <c r="G1904" t="str">
        <f>VLOOKUP(E1904,country_continent!A:C,3,FALSE)</f>
        <v>Europe</v>
      </c>
      <c r="H1904" t="s">
        <v>7928</v>
      </c>
      <c r="I1904" s="1">
        <v>29350</v>
      </c>
      <c r="J1904" s="3">
        <f t="shared" si="87"/>
        <v>29350</v>
      </c>
      <c r="K1904" s="1">
        <v>29880</v>
      </c>
      <c r="L1904" s="3">
        <f t="shared" si="88"/>
        <v>29880</v>
      </c>
      <c r="M1904" t="s">
        <v>49</v>
      </c>
      <c r="N1904" t="s">
        <v>49</v>
      </c>
      <c r="O1904" t="s">
        <v>49</v>
      </c>
      <c r="P1904">
        <v>0</v>
      </c>
      <c r="Q1904" t="s">
        <v>50</v>
      </c>
      <c r="R1904" t="s">
        <v>51</v>
      </c>
      <c r="S1904">
        <v>1918</v>
      </c>
      <c r="T1904">
        <v>2006</v>
      </c>
      <c r="U1904" s="1">
        <v>6935</v>
      </c>
      <c r="V1904" s="2">
        <v>6935</v>
      </c>
      <c r="W1904" s="1">
        <v>38791</v>
      </c>
      <c r="X1904" s="2">
        <v>38791</v>
      </c>
      <c r="Y1904" t="s">
        <v>7929</v>
      </c>
      <c r="Z1904">
        <v>0</v>
      </c>
      <c r="AA1904">
        <v>1</v>
      </c>
      <c r="AB1904">
        <v>0</v>
      </c>
      <c r="AC1904">
        <v>0</v>
      </c>
      <c r="AF1904">
        <v>1980</v>
      </c>
      <c r="AG1904">
        <v>1981</v>
      </c>
      <c r="AH1904">
        <v>-1.3696800080909399</v>
      </c>
      <c r="AI1904">
        <v>6435</v>
      </c>
      <c r="AJ1904">
        <v>20.425746758480599</v>
      </c>
      <c r="AK1904">
        <v>18.95</v>
      </c>
      <c r="AL1904">
        <v>0.93941803946528302</v>
      </c>
      <c r="AM1904">
        <v>0.38291385932713701</v>
      </c>
      <c r="AN1904">
        <v>8</v>
      </c>
      <c r="AO1904" t="b">
        <v>1</v>
      </c>
      <c r="AP1904" t="s">
        <v>4202</v>
      </c>
      <c r="AQ1904">
        <v>1944</v>
      </c>
      <c r="AR1904">
        <v>1963</v>
      </c>
      <c r="AS1904" t="s">
        <v>7930</v>
      </c>
      <c r="AT1904">
        <v>1.45106091718001</v>
      </c>
      <c r="AU1904">
        <f t="shared" si="89"/>
        <v>4.0000000000000001E-3</v>
      </c>
    </row>
    <row r="1905" spans="1:47" x14ac:dyDescent="0.3">
      <c r="A1905">
        <v>1903</v>
      </c>
      <c r="B1905" t="s">
        <v>7931</v>
      </c>
      <c r="C1905" t="s">
        <v>7932</v>
      </c>
      <c r="D1905">
        <v>350</v>
      </c>
      <c r="E1905" t="s">
        <v>7689</v>
      </c>
      <c r="F1905" t="str">
        <f>VLOOKUP(E1905,country_continent!A:C,2,FALSE)</f>
        <v>Greece</v>
      </c>
      <c r="G1905" t="str">
        <f>VLOOKUP(E1905,country_continent!A:C,3,FALSE)</f>
        <v>Europe</v>
      </c>
      <c r="H1905" t="s">
        <v>7933</v>
      </c>
      <c r="I1905" s="1">
        <v>29880</v>
      </c>
      <c r="J1905" s="3">
        <f t="shared" si="87"/>
        <v>29880</v>
      </c>
      <c r="K1905" s="1">
        <v>32691</v>
      </c>
      <c r="L1905" s="3">
        <f t="shared" si="88"/>
        <v>32691</v>
      </c>
      <c r="M1905" t="s">
        <v>49</v>
      </c>
      <c r="N1905" t="s">
        <v>49</v>
      </c>
      <c r="O1905" t="s">
        <v>49</v>
      </c>
      <c r="P1905">
        <v>0</v>
      </c>
      <c r="Q1905" t="s">
        <v>50</v>
      </c>
      <c r="R1905" t="s">
        <v>51</v>
      </c>
      <c r="S1905">
        <v>1919</v>
      </c>
      <c r="T1905">
        <v>1996</v>
      </c>
      <c r="U1905" s="1">
        <v>6976</v>
      </c>
      <c r="V1905" s="2">
        <v>6976</v>
      </c>
      <c r="W1905" s="1">
        <v>35239</v>
      </c>
      <c r="X1905" s="2">
        <v>35239</v>
      </c>
      <c r="Y1905" t="s">
        <v>7934</v>
      </c>
      <c r="Z1905">
        <v>0</v>
      </c>
      <c r="AA1905">
        <v>1</v>
      </c>
      <c r="AB1905">
        <v>0</v>
      </c>
      <c r="AC1905">
        <v>0</v>
      </c>
      <c r="AD1905" t="s">
        <v>7935</v>
      </c>
      <c r="AE1905">
        <v>1</v>
      </c>
      <c r="AF1905">
        <v>1981</v>
      </c>
      <c r="AG1905">
        <v>1989</v>
      </c>
      <c r="AH1905">
        <v>0.284552518183807</v>
      </c>
      <c r="AI1905">
        <v>6122.2222222222199</v>
      </c>
      <c r="AJ1905">
        <v>19.521657842847301</v>
      </c>
      <c r="AK1905">
        <v>14.5555555555555</v>
      </c>
      <c r="AL1905">
        <v>0.50349056955631499</v>
      </c>
      <c r="AM1905">
        <v>0.433752806514345</v>
      </c>
      <c r="AN1905">
        <v>8.89</v>
      </c>
      <c r="AO1905" t="b">
        <v>1</v>
      </c>
      <c r="AP1905" t="s">
        <v>4202</v>
      </c>
      <c r="AQ1905">
        <v>1944</v>
      </c>
      <c r="AR1905">
        <v>1963</v>
      </c>
      <c r="AS1905" t="s">
        <v>7936</v>
      </c>
      <c r="AT1905">
        <v>7.6960985626283298</v>
      </c>
      <c r="AU1905">
        <f t="shared" si="89"/>
        <v>2.1000000000000001E-2</v>
      </c>
    </row>
    <row r="1906" spans="1:47" x14ac:dyDescent="0.3">
      <c r="A1906">
        <v>1904</v>
      </c>
      <c r="B1906" t="s">
        <v>7937</v>
      </c>
      <c r="C1906" t="s">
        <v>7938</v>
      </c>
      <c r="D1906">
        <v>350</v>
      </c>
      <c r="E1906" t="s">
        <v>7689</v>
      </c>
      <c r="F1906" t="str">
        <f>VLOOKUP(E1906,country_continent!A:C,2,FALSE)</f>
        <v>Greece</v>
      </c>
      <c r="G1906" t="str">
        <f>VLOOKUP(E1906,country_continent!A:C,3,FALSE)</f>
        <v>Europe</v>
      </c>
      <c r="H1906" t="s">
        <v>7939</v>
      </c>
      <c r="I1906" s="1">
        <v>32691</v>
      </c>
      <c r="J1906" s="3">
        <f t="shared" si="87"/>
        <v>32691</v>
      </c>
      <c r="K1906" s="1">
        <v>32792</v>
      </c>
      <c r="L1906" s="3">
        <f t="shared" si="88"/>
        <v>32792</v>
      </c>
      <c r="M1906" t="s">
        <v>49</v>
      </c>
      <c r="N1906" t="s">
        <v>49</v>
      </c>
      <c r="O1906" t="s">
        <v>49</v>
      </c>
      <c r="P1906">
        <v>0</v>
      </c>
      <c r="Q1906" t="s">
        <v>50</v>
      </c>
      <c r="R1906" t="s">
        <v>51</v>
      </c>
      <c r="S1906">
        <v>1927</v>
      </c>
      <c r="T1906">
        <v>2010</v>
      </c>
      <c r="Z1906">
        <v>0</v>
      </c>
      <c r="AA1906">
        <v>1</v>
      </c>
      <c r="AB1906">
        <v>0</v>
      </c>
      <c r="AC1906">
        <v>0</v>
      </c>
      <c r="AF1906">
        <v>1989</v>
      </c>
      <c r="AG1906">
        <v>1989</v>
      </c>
      <c r="AH1906">
        <v>3.2597295650424698</v>
      </c>
      <c r="AI1906">
        <v>8310</v>
      </c>
      <c r="AJ1906">
        <v>14.498973147711199</v>
      </c>
      <c r="AK1906">
        <v>11.1</v>
      </c>
      <c r="AL1906">
        <v>0.52185098008620001</v>
      </c>
      <c r="AM1906">
        <v>0.35053784077716299</v>
      </c>
      <c r="AN1906">
        <v>10</v>
      </c>
      <c r="AO1906" t="b">
        <v>1</v>
      </c>
      <c r="AP1906" t="s">
        <v>4202</v>
      </c>
      <c r="AQ1906">
        <v>1944</v>
      </c>
      <c r="AR1906">
        <v>1963</v>
      </c>
      <c r="AS1906" t="s">
        <v>7077</v>
      </c>
      <c r="AT1906">
        <v>0.27652292950034202</v>
      </c>
      <c r="AU1906">
        <f t="shared" si="89"/>
        <v>1E-3</v>
      </c>
    </row>
    <row r="1907" spans="1:47" x14ac:dyDescent="0.3">
      <c r="A1907">
        <v>1905</v>
      </c>
      <c r="B1907" t="s">
        <v>7940</v>
      </c>
      <c r="C1907" t="s">
        <v>7941</v>
      </c>
      <c r="D1907">
        <v>350</v>
      </c>
      <c r="E1907" t="s">
        <v>7689</v>
      </c>
      <c r="F1907" t="str">
        <f>VLOOKUP(E1907,country_continent!A:C,2,FALSE)</f>
        <v>Greece</v>
      </c>
      <c r="G1907" t="str">
        <f>VLOOKUP(E1907,country_continent!A:C,3,FALSE)</f>
        <v>Europe</v>
      </c>
      <c r="H1907" t="s">
        <v>7942</v>
      </c>
      <c r="I1907" s="1">
        <v>32792</v>
      </c>
      <c r="J1907" s="3">
        <f t="shared" si="87"/>
        <v>32792</v>
      </c>
      <c r="K1907" s="1">
        <v>32835</v>
      </c>
      <c r="L1907" s="3">
        <f t="shared" si="88"/>
        <v>32835</v>
      </c>
      <c r="M1907" t="s">
        <v>49</v>
      </c>
      <c r="N1907" t="s">
        <v>49</v>
      </c>
      <c r="O1907" t="s">
        <v>49</v>
      </c>
      <c r="P1907">
        <v>0</v>
      </c>
      <c r="Q1907" t="s">
        <v>50</v>
      </c>
      <c r="R1907" t="s">
        <v>51</v>
      </c>
      <c r="S1907">
        <v>1923</v>
      </c>
      <c r="T1907">
        <v>-777</v>
      </c>
      <c r="Z1907">
        <v>0</v>
      </c>
      <c r="AA1907">
        <v>1</v>
      </c>
      <c r="AB1907">
        <v>0</v>
      </c>
      <c r="AC1907">
        <v>0</v>
      </c>
      <c r="AF1907">
        <v>1989</v>
      </c>
      <c r="AG1907">
        <v>1989</v>
      </c>
      <c r="AH1907">
        <v>3.2597295650424698</v>
      </c>
      <c r="AI1907">
        <v>8310</v>
      </c>
      <c r="AJ1907">
        <v>14.498973147711199</v>
      </c>
      <c r="AK1907">
        <v>11.1</v>
      </c>
      <c r="AL1907">
        <v>0.52185098008620001</v>
      </c>
      <c r="AM1907">
        <v>0.35053784077716299</v>
      </c>
      <c r="AN1907">
        <v>10</v>
      </c>
      <c r="AO1907" t="b">
        <v>1</v>
      </c>
      <c r="AP1907" t="s">
        <v>4202</v>
      </c>
      <c r="AQ1907">
        <v>1944</v>
      </c>
      <c r="AR1907">
        <v>1963</v>
      </c>
      <c r="AS1907" t="s">
        <v>7943</v>
      </c>
      <c r="AT1907">
        <v>0.11772758384668</v>
      </c>
      <c r="AU1907">
        <f t="shared" si="89"/>
        <v>0</v>
      </c>
    </row>
    <row r="1908" spans="1:47" x14ac:dyDescent="0.3">
      <c r="A1908">
        <v>1906</v>
      </c>
      <c r="B1908" t="s">
        <v>7944</v>
      </c>
      <c r="C1908" t="s">
        <v>7945</v>
      </c>
      <c r="D1908">
        <v>350</v>
      </c>
      <c r="E1908" t="s">
        <v>7689</v>
      </c>
      <c r="F1908" t="str">
        <f>VLOOKUP(E1908,country_continent!A:C,2,FALSE)</f>
        <v>Greece</v>
      </c>
      <c r="G1908" t="str">
        <f>VLOOKUP(E1908,country_continent!A:C,3,FALSE)</f>
        <v>Europe</v>
      </c>
      <c r="H1908" t="s">
        <v>7946</v>
      </c>
      <c r="I1908" s="1">
        <v>32840</v>
      </c>
      <c r="J1908" s="3">
        <f t="shared" si="87"/>
        <v>32840</v>
      </c>
      <c r="K1908" s="1">
        <v>32973</v>
      </c>
      <c r="L1908" s="3">
        <f t="shared" si="88"/>
        <v>32973</v>
      </c>
      <c r="M1908" t="s">
        <v>49</v>
      </c>
      <c r="N1908" t="s">
        <v>49</v>
      </c>
      <c r="O1908" t="s">
        <v>49</v>
      </c>
      <c r="P1908">
        <v>0</v>
      </c>
      <c r="Q1908" t="s">
        <v>50</v>
      </c>
      <c r="R1908" t="s">
        <v>51</v>
      </c>
      <c r="S1908">
        <v>1904</v>
      </c>
      <c r="T1908">
        <v>2004</v>
      </c>
      <c r="Y1908" t="s">
        <v>7947</v>
      </c>
      <c r="Z1908">
        <v>0</v>
      </c>
      <c r="AA1908">
        <v>1</v>
      </c>
      <c r="AB1908">
        <v>0</v>
      </c>
      <c r="AC1908">
        <v>0</v>
      </c>
      <c r="AF1908">
        <v>1989</v>
      </c>
      <c r="AG1908">
        <v>1990</v>
      </c>
      <c r="AH1908">
        <v>1.10374833334781</v>
      </c>
      <c r="AI1908">
        <v>8640</v>
      </c>
      <c r="AJ1908">
        <v>17.594785009154801</v>
      </c>
      <c r="AK1908">
        <v>10.8</v>
      </c>
      <c r="AL1908">
        <v>0.78982949603405905</v>
      </c>
      <c r="AM1908">
        <v>0.30113347931090101</v>
      </c>
      <c r="AN1908">
        <v>10</v>
      </c>
      <c r="AO1908" t="b">
        <v>1</v>
      </c>
      <c r="AP1908" t="s">
        <v>4202</v>
      </c>
      <c r="AQ1908">
        <v>1944</v>
      </c>
      <c r="AR1908">
        <v>1963</v>
      </c>
      <c r="AS1908" t="s">
        <v>7819</v>
      </c>
      <c r="AT1908">
        <v>0.36413415468856902</v>
      </c>
      <c r="AU1908">
        <f t="shared" si="89"/>
        <v>1E-3</v>
      </c>
    </row>
    <row r="1909" spans="1:47" x14ac:dyDescent="0.3">
      <c r="A1909">
        <v>1907</v>
      </c>
      <c r="B1909" t="s">
        <v>7948</v>
      </c>
      <c r="C1909" t="s">
        <v>7949</v>
      </c>
      <c r="D1909">
        <v>350</v>
      </c>
      <c r="E1909" t="s">
        <v>7689</v>
      </c>
      <c r="F1909" t="str">
        <f>VLOOKUP(E1909,country_continent!A:C,2,FALSE)</f>
        <v>Greece</v>
      </c>
      <c r="G1909" t="str">
        <f>VLOOKUP(E1909,country_continent!A:C,3,FALSE)</f>
        <v>Europe</v>
      </c>
      <c r="H1909" t="s">
        <v>7950</v>
      </c>
      <c r="I1909" s="1">
        <v>32974</v>
      </c>
      <c r="J1909" s="3">
        <f t="shared" si="87"/>
        <v>32974</v>
      </c>
      <c r="K1909" s="1">
        <v>34255</v>
      </c>
      <c r="L1909" s="3">
        <f t="shared" si="88"/>
        <v>34255</v>
      </c>
      <c r="M1909" t="s">
        <v>49</v>
      </c>
      <c r="N1909" t="s">
        <v>49</v>
      </c>
      <c r="O1909" t="s">
        <v>49</v>
      </c>
      <c r="P1909">
        <v>0</v>
      </c>
      <c r="Q1909" t="s">
        <v>50</v>
      </c>
      <c r="R1909" t="s">
        <v>51</v>
      </c>
      <c r="S1909">
        <v>1918</v>
      </c>
      <c r="T1909">
        <v>-777</v>
      </c>
      <c r="Z1909">
        <v>0</v>
      </c>
      <c r="AA1909">
        <v>1</v>
      </c>
      <c r="AB1909">
        <v>0</v>
      </c>
      <c r="AC1909">
        <v>0</v>
      </c>
      <c r="AF1909">
        <v>1990</v>
      </c>
      <c r="AG1909">
        <v>1993</v>
      </c>
      <c r="AH1909">
        <v>-0.356462063950782</v>
      </c>
      <c r="AI1909">
        <v>10290</v>
      </c>
      <c r="AJ1909">
        <v>17.426475413493801</v>
      </c>
      <c r="AK1909">
        <v>9.75</v>
      </c>
      <c r="AL1909">
        <v>0.90257629760104896</v>
      </c>
      <c r="AM1909">
        <v>0.18810950099527499</v>
      </c>
      <c r="AN1909">
        <v>10</v>
      </c>
      <c r="AO1909" t="b">
        <v>1</v>
      </c>
      <c r="AP1909" t="s">
        <v>4202</v>
      </c>
      <c r="AQ1909">
        <v>1944</v>
      </c>
      <c r="AR1909">
        <v>1963</v>
      </c>
      <c r="AS1909" t="s">
        <v>7951</v>
      </c>
      <c r="AT1909">
        <v>3.5071868583162198</v>
      </c>
      <c r="AU1909">
        <f t="shared" si="89"/>
        <v>0.01</v>
      </c>
    </row>
    <row r="1910" spans="1:47" x14ac:dyDescent="0.3">
      <c r="A1910">
        <v>1908</v>
      </c>
      <c r="B1910" t="s">
        <v>7952</v>
      </c>
      <c r="C1910" t="s">
        <v>7932</v>
      </c>
      <c r="D1910">
        <v>350</v>
      </c>
      <c r="E1910" t="s">
        <v>7689</v>
      </c>
      <c r="F1910" t="str">
        <f>VLOOKUP(E1910,country_continent!A:C,2,FALSE)</f>
        <v>Greece</v>
      </c>
      <c r="G1910" t="str">
        <f>VLOOKUP(E1910,country_continent!A:C,3,FALSE)</f>
        <v>Europe</v>
      </c>
      <c r="H1910" t="s">
        <v>7933</v>
      </c>
      <c r="I1910" s="1">
        <v>34255</v>
      </c>
      <c r="J1910" s="3">
        <f t="shared" si="87"/>
        <v>34255</v>
      </c>
      <c r="K1910" s="1">
        <v>35023</v>
      </c>
      <c r="L1910" s="3">
        <f t="shared" si="88"/>
        <v>35023</v>
      </c>
      <c r="M1910" t="s">
        <v>49</v>
      </c>
      <c r="N1910" t="s">
        <v>228</v>
      </c>
      <c r="O1910" t="s">
        <v>49</v>
      </c>
      <c r="P1910">
        <v>1</v>
      </c>
      <c r="Q1910" t="s">
        <v>111</v>
      </c>
      <c r="R1910" t="s">
        <v>51</v>
      </c>
      <c r="S1910">
        <v>1919</v>
      </c>
      <c r="T1910">
        <v>1996</v>
      </c>
      <c r="U1910" s="1">
        <v>6976</v>
      </c>
      <c r="V1910" s="2">
        <v>6976</v>
      </c>
      <c r="W1910" s="1">
        <v>35239</v>
      </c>
      <c r="X1910" s="2">
        <v>35239</v>
      </c>
      <c r="Y1910" t="s">
        <v>7934</v>
      </c>
      <c r="Z1910">
        <v>0</v>
      </c>
      <c r="AA1910">
        <v>2.0999998999999998</v>
      </c>
      <c r="AB1910">
        <v>0</v>
      </c>
      <c r="AC1910">
        <v>-777</v>
      </c>
      <c r="AD1910" t="s">
        <v>7935</v>
      </c>
      <c r="AE1910">
        <v>1</v>
      </c>
      <c r="AF1910">
        <v>1993</v>
      </c>
      <c r="AG1910">
        <v>1995</v>
      </c>
      <c r="AH1910">
        <v>0.31241108393470501</v>
      </c>
      <c r="AI1910">
        <v>11720</v>
      </c>
      <c r="AJ1910">
        <v>11.800824528248899</v>
      </c>
      <c r="AK1910">
        <v>8.7999999999999901</v>
      </c>
      <c r="AL1910">
        <v>0.51872088210350997</v>
      </c>
      <c r="AM1910">
        <v>7.7275257450598406E-2</v>
      </c>
      <c r="AN1910">
        <v>10</v>
      </c>
      <c r="AO1910" t="b">
        <v>1</v>
      </c>
      <c r="AP1910" t="s">
        <v>4202</v>
      </c>
      <c r="AQ1910">
        <v>1944</v>
      </c>
      <c r="AR1910">
        <v>1963</v>
      </c>
      <c r="AS1910" t="s">
        <v>7953</v>
      </c>
      <c r="AT1910">
        <v>2.1026694045174499</v>
      </c>
      <c r="AU1910">
        <f t="shared" si="89"/>
        <v>6.0000000000000001E-3</v>
      </c>
    </row>
    <row r="1911" spans="1:47" x14ac:dyDescent="0.3">
      <c r="A1911">
        <v>1909</v>
      </c>
      <c r="B1911" t="s">
        <v>7954</v>
      </c>
      <c r="C1911" t="s">
        <v>7955</v>
      </c>
      <c r="D1911">
        <v>350</v>
      </c>
      <c r="E1911" t="s">
        <v>7689</v>
      </c>
      <c r="F1911" t="str">
        <f>VLOOKUP(E1911,country_continent!A:C,2,FALSE)</f>
        <v>Greece</v>
      </c>
      <c r="G1911" t="str">
        <f>VLOOKUP(E1911,country_continent!A:C,3,FALSE)</f>
        <v>Europe</v>
      </c>
      <c r="H1911" t="s">
        <v>7956</v>
      </c>
      <c r="I1911" s="1">
        <v>35023</v>
      </c>
      <c r="J1911" s="3">
        <f t="shared" si="87"/>
        <v>35023</v>
      </c>
      <c r="K1911" s="1">
        <v>35086</v>
      </c>
      <c r="L1911" s="3">
        <f t="shared" si="88"/>
        <v>35086</v>
      </c>
      <c r="M1911" t="s">
        <v>49</v>
      </c>
      <c r="N1911" t="s">
        <v>49</v>
      </c>
      <c r="O1911" t="s">
        <v>49</v>
      </c>
      <c r="P1911">
        <v>0</v>
      </c>
      <c r="Q1911" t="s">
        <v>50</v>
      </c>
      <c r="R1911" t="s">
        <v>51</v>
      </c>
      <c r="S1911">
        <v>1939</v>
      </c>
      <c r="T1911">
        <v>-777</v>
      </c>
      <c r="Z1911">
        <v>0</v>
      </c>
      <c r="AA1911">
        <v>1</v>
      </c>
      <c r="AB1911">
        <v>0</v>
      </c>
      <c r="AC1911">
        <v>0</v>
      </c>
      <c r="AF1911">
        <v>1995</v>
      </c>
      <c r="AG1911">
        <v>1996</v>
      </c>
      <c r="AH1911">
        <v>1.2802578963281701</v>
      </c>
      <c r="AI1911">
        <v>12895</v>
      </c>
      <c r="AJ1911">
        <v>8.9943465885354001</v>
      </c>
      <c r="AK1911">
        <v>8.3000000000000007</v>
      </c>
      <c r="AL1911">
        <v>0.45393391003023298</v>
      </c>
      <c r="AM1911">
        <v>7.0698908571986199E-2</v>
      </c>
      <c r="AN1911">
        <v>10</v>
      </c>
      <c r="AO1911" t="b">
        <v>1</v>
      </c>
      <c r="AP1911" t="s">
        <v>4202</v>
      </c>
      <c r="AQ1911">
        <v>1944</v>
      </c>
      <c r="AR1911">
        <v>1963</v>
      </c>
      <c r="AS1911" t="s">
        <v>7957</v>
      </c>
      <c r="AT1911">
        <v>0.172484599589322</v>
      </c>
      <c r="AU1911">
        <f t="shared" si="89"/>
        <v>0</v>
      </c>
    </row>
    <row r="1912" spans="1:47" x14ac:dyDescent="0.3">
      <c r="A1912">
        <v>1910</v>
      </c>
      <c r="B1912" t="s">
        <v>7958</v>
      </c>
      <c r="C1912" t="s">
        <v>7959</v>
      </c>
      <c r="D1912">
        <v>350</v>
      </c>
      <c r="E1912" t="s">
        <v>7689</v>
      </c>
      <c r="F1912" t="str">
        <f>VLOOKUP(E1912,country_continent!A:C,2,FALSE)</f>
        <v>Greece</v>
      </c>
      <c r="G1912" t="str">
        <f>VLOOKUP(E1912,country_continent!A:C,3,FALSE)</f>
        <v>Europe</v>
      </c>
      <c r="H1912" t="s">
        <v>7960</v>
      </c>
      <c r="I1912" s="1">
        <v>35086</v>
      </c>
      <c r="J1912" s="3">
        <f t="shared" si="87"/>
        <v>35086</v>
      </c>
      <c r="K1912" s="1">
        <v>38056</v>
      </c>
      <c r="L1912" s="3">
        <f t="shared" si="88"/>
        <v>38056</v>
      </c>
      <c r="M1912" t="s">
        <v>49</v>
      </c>
      <c r="N1912" t="s">
        <v>49</v>
      </c>
      <c r="O1912" t="s">
        <v>49</v>
      </c>
      <c r="P1912">
        <v>0</v>
      </c>
      <c r="Q1912" t="s">
        <v>50</v>
      </c>
      <c r="R1912" t="s">
        <v>51</v>
      </c>
      <c r="S1912">
        <v>1936</v>
      </c>
      <c r="T1912">
        <v>-777</v>
      </c>
      <c r="Z1912">
        <v>0</v>
      </c>
      <c r="AA1912">
        <v>1</v>
      </c>
      <c r="AB1912">
        <v>0</v>
      </c>
      <c r="AC1912">
        <v>0</v>
      </c>
      <c r="AF1912">
        <v>1996</v>
      </c>
      <c r="AG1912">
        <v>2004</v>
      </c>
      <c r="AH1912">
        <v>3.5492939088661499</v>
      </c>
      <c r="AI1912">
        <v>14407.777777777699</v>
      </c>
      <c r="AJ1912">
        <v>4.2415436126589903</v>
      </c>
      <c r="AK1912">
        <v>6.4555555555555504</v>
      </c>
      <c r="AL1912">
        <v>0.40590781919100999</v>
      </c>
      <c r="AM1912">
        <v>6.6192296900593597E-2</v>
      </c>
      <c r="AN1912">
        <v>10</v>
      </c>
      <c r="AO1912" t="b">
        <v>1</v>
      </c>
      <c r="AP1912" t="s">
        <v>4202</v>
      </c>
      <c r="AQ1912">
        <v>1944</v>
      </c>
      <c r="AR1912">
        <v>1963</v>
      </c>
      <c r="AS1912" t="s">
        <v>7961</v>
      </c>
      <c r="AT1912">
        <v>8.1314168377823393</v>
      </c>
      <c r="AU1912">
        <f t="shared" si="89"/>
        <v>2.1999999999999999E-2</v>
      </c>
    </row>
    <row r="1913" spans="1:47" x14ac:dyDescent="0.3">
      <c r="A1913">
        <v>1911</v>
      </c>
      <c r="B1913" t="s">
        <v>7962</v>
      </c>
      <c r="C1913" t="s">
        <v>7963</v>
      </c>
      <c r="D1913">
        <v>350</v>
      </c>
      <c r="E1913" t="s">
        <v>7689</v>
      </c>
      <c r="F1913" t="str">
        <f>VLOOKUP(E1913,country_continent!A:C,2,FALSE)</f>
        <v>Greece</v>
      </c>
      <c r="G1913" t="str">
        <f>VLOOKUP(E1913,country_continent!A:C,3,FALSE)</f>
        <v>Europe</v>
      </c>
      <c r="H1913" t="s">
        <v>7964</v>
      </c>
      <c r="I1913" s="1">
        <v>38056</v>
      </c>
      <c r="J1913" s="3">
        <f t="shared" si="87"/>
        <v>38056</v>
      </c>
      <c r="K1913" s="1">
        <v>40092</v>
      </c>
      <c r="L1913" s="3">
        <f t="shared" si="88"/>
        <v>40092</v>
      </c>
      <c r="M1913" t="s">
        <v>49</v>
      </c>
      <c r="N1913" t="s">
        <v>49</v>
      </c>
      <c r="O1913" t="s">
        <v>49</v>
      </c>
      <c r="P1913">
        <v>0</v>
      </c>
      <c r="Q1913" t="s">
        <v>50</v>
      </c>
      <c r="R1913" t="s">
        <v>51</v>
      </c>
      <c r="S1913">
        <v>1956</v>
      </c>
      <c r="T1913">
        <v>-777</v>
      </c>
      <c r="Z1913">
        <v>0</v>
      </c>
      <c r="AA1913">
        <v>1</v>
      </c>
      <c r="AB1913">
        <v>0</v>
      </c>
      <c r="AC1913">
        <v>0</v>
      </c>
      <c r="AD1913" t="s">
        <v>7965</v>
      </c>
      <c r="AE1913">
        <v>1</v>
      </c>
      <c r="AF1913">
        <v>2004</v>
      </c>
      <c r="AG1913">
        <v>2009</v>
      </c>
      <c r="AH1913">
        <v>1.7989129879651899</v>
      </c>
      <c r="AI1913">
        <v>24996.666666666599</v>
      </c>
      <c r="AJ1913">
        <v>3.00536525782449</v>
      </c>
      <c r="AK1913">
        <v>4.3166666666666602</v>
      </c>
      <c r="AL1913">
        <v>0.27070603964187701</v>
      </c>
      <c r="AM1913">
        <v>0.21203490826785101</v>
      </c>
      <c r="AN1913">
        <v>10</v>
      </c>
      <c r="AO1913" t="b">
        <v>1</v>
      </c>
      <c r="AP1913" t="s">
        <v>4202</v>
      </c>
      <c r="AQ1913">
        <v>1944</v>
      </c>
      <c r="AR1913">
        <v>1963</v>
      </c>
      <c r="AS1913" t="s">
        <v>7966</v>
      </c>
      <c r="AT1913">
        <v>5.5742642026009497</v>
      </c>
      <c r="AU1913">
        <f t="shared" si="89"/>
        <v>1.4999999999999999E-2</v>
      </c>
    </row>
    <row r="1914" spans="1:47" x14ac:dyDescent="0.3">
      <c r="A1914">
        <v>1912</v>
      </c>
      <c r="B1914" t="s">
        <v>7967</v>
      </c>
      <c r="C1914" t="s">
        <v>7968</v>
      </c>
      <c r="D1914">
        <v>350</v>
      </c>
      <c r="E1914" t="s">
        <v>7689</v>
      </c>
      <c r="F1914" t="str">
        <f>VLOOKUP(E1914,country_continent!A:C,2,FALSE)</f>
        <v>Greece</v>
      </c>
      <c r="G1914" t="str">
        <f>VLOOKUP(E1914,country_continent!A:C,3,FALSE)</f>
        <v>Europe</v>
      </c>
      <c r="H1914" t="s">
        <v>7969</v>
      </c>
      <c r="I1914" s="1">
        <v>40092</v>
      </c>
      <c r="J1914" s="3">
        <f t="shared" si="87"/>
        <v>40092</v>
      </c>
      <c r="K1914" s="1">
        <v>40858</v>
      </c>
      <c r="L1914" s="3">
        <f t="shared" si="88"/>
        <v>40858</v>
      </c>
      <c r="M1914" t="s">
        <v>49</v>
      </c>
      <c r="N1914" t="s">
        <v>49</v>
      </c>
      <c r="O1914" t="s">
        <v>49</v>
      </c>
      <c r="P1914">
        <v>0</v>
      </c>
      <c r="Q1914" t="s">
        <v>50</v>
      </c>
      <c r="R1914" t="s">
        <v>51</v>
      </c>
      <c r="S1914">
        <v>1952</v>
      </c>
      <c r="T1914">
        <v>-777</v>
      </c>
      <c r="U1914" s="1">
        <v>19161</v>
      </c>
      <c r="V1914" s="2">
        <v>19161</v>
      </c>
      <c r="Z1914">
        <v>0</v>
      </c>
      <c r="AA1914">
        <v>1</v>
      </c>
      <c r="AB1914">
        <v>0</v>
      </c>
      <c r="AC1914">
        <v>0</v>
      </c>
      <c r="AD1914" t="s">
        <v>7970</v>
      </c>
      <c r="AE1914">
        <v>1</v>
      </c>
      <c r="AF1914">
        <v>2009</v>
      </c>
      <c r="AG1914">
        <v>2011</v>
      </c>
      <c r="AH1914">
        <v>-6.6432277203930497</v>
      </c>
      <c r="AI1914">
        <v>26940</v>
      </c>
      <c r="AJ1914">
        <v>1.5086709200811099</v>
      </c>
      <c r="AK1914">
        <v>3.9666666666666601</v>
      </c>
      <c r="AL1914">
        <v>8.1318518870928003E-2</v>
      </c>
      <c r="AM1914">
        <v>0.249654050033352</v>
      </c>
      <c r="AN1914">
        <v>10</v>
      </c>
      <c r="AO1914" t="b">
        <v>1</v>
      </c>
      <c r="AP1914" t="s">
        <v>4202</v>
      </c>
      <c r="AQ1914">
        <v>1944</v>
      </c>
      <c r="AR1914">
        <v>1963</v>
      </c>
      <c r="AS1914" t="s">
        <v>7971</v>
      </c>
      <c r="AT1914">
        <v>2.09719370294318</v>
      </c>
      <c r="AU1914">
        <f t="shared" si="89"/>
        <v>6.0000000000000001E-3</v>
      </c>
    </row>
    <row r="1915" spans="1:47" x14ac:dyDescent="0.3">
      <c r="A1915">
        <v>1913</v>
      </c>
      <c r="B1915" t="s">
        <v>7972</v>
      </c>
      <c r="C1915" t="s">
        <v>7973</v>
      </c>
      <c r="D1915">
        <v>350</v>
      </c>
      <c r="E1915" t="s">
        <v>7689</v>
      </c>
      <c r="F1915" t="str">
        <f>VLOOKUP(E1915,country_continent!A:C,2,FALSE)</f>
        <v>Greece</v>
      </c>
      <c r="G1915" t="str">
        <f>VLOOKUP(E1915,country_continent!A:C,3,FALSE)</f>
        <v>Europe</v>
      </c>
      <c r="H1915" t="s">
        <v>7974</v>
      </c>
      <c r="I1915" s="1">
        <v>40858</v>
      </c>
      <c r="J1915" s="3">
        <f t="shared" si="87"/>
        <v>40858</v>
      </c>
      <c r="K1915" s="1">
        <v>41045</v>
      </c>
      <c r="L1915" s="3">
        <f t="shared" si="88"/>
        <v>41045</v>
      </c>
      <c r="M1915" t="s">
        <v>49</v>
      </c>
      <c r="N1915" t="s">
        <v>49</v>
      </c>
      <c r="O1915" t="s">
        <v>49</v>
      </c>
      <c r="P1915">
        <v>0</v>
      </c>
      <c r="Q1915" t="s">
        <v>50</v>
      </c>
      <c r="R1915" t="s">
        <v>51</v>
      </c>
      <c r="S1915">
        <v>1947</v>
      </c>
      <c r="T1915">
        <v>-777</v>
      </c>
      <c r="U1915" s="1">
        <v>17451</v>
      </c>
      <c r="V1915" s="2">
        <v>17451</v>
      </c>
      <c r="Z1915">
        <v>0</v>
      </c>
      <c r="AA1915">
        <v>1</v>
      </c>
      <c r="AB1915">
        <v>0</v>
      </c>
      <c r="AC1915">
        <v>0</v>
      </c>
      <c r="AF1915">
        <v>2011</v>
      </c>
      <c r="AG1915">
        <v>2012</v>
      </c>
      <c r="AH1915">
        <v>-8.7887155214239296</v>
      </c>
      <c r="AI1915">
        <v>23610</v>
      </c>
      <c r="AJ1915">
        <v>0.321043938538423</v>
      </c>
      <c r="AK1915">
        <v>4</v>
      </c>
      <c r="AL1915">
        <v>-0.34435211397293303</v>
      </c>
      <c r="AM1915">
        <v>0.29575094961116599</v>
      </c>
      <c r="AN1915">
        <v>10</v>
      </c>
      <c r="AO1915" t="b">
        <v>1</v>
      </c>
      <c r="AP1915" t="s">
        <v>4202</v>
      </c>
      <c r="AQ1915">
        <v>1944</v>
      </c>
      <c r="AR1915">
        <v>1963</v>
      </c>
      <c r="AS1915" t="s">
        <v>7975</v>
      </c>
      <c r="AT1915">
        <v>0.51197809719370202</v>
      </c>
      <c r="AU1915">
        <f t="shared" si="89"/>
        <v>1E-3</v>
      </c>
    </row>
    <row r="1916" spans="1:47" x14ac:dyDescent="0.3">
      <c r="A1916">
        <v>1914</v>
      </c>
      <c r="B1916" t="s">
        <v>7976</v>
      </c>
      <c r="C1916" t="s">
        <v>7977</v>
      </c>
      <c r="D1916">
        <v>350</v>
      </c>
      <c r="E1916" t="s">
        <v>7689</v>
      </c>
      <c r="F1916" t="str">
        <f>VLOOKUP(E1916,country_continent!A:C,2,FALSE)</f>
        <v>Greece</v>
      </c>
      <c r="G1916" t="str">
        <f>VLOOKUP(E1916,country_continent!A:C,3,FALSE)</f>
        <v>Europe</v>
      </c>
      <c r="H1916" t="s">
        <v>7978</v>
      </c>
      <c r="I1916" s="1">
        <v>41045</v>
      </c>
      <c r="J1916" s="3">
        <f t="shared" si="87"/>
        <v>41045</v>
      </c>
      <c r="K1916" s="1">
        <v>41080</v>
      </c>
      <c r="L1916" s="3">
        <f t="shared" si="88"/>
        <v>41080</v>
      </c>
      <c r="M1916" t="s">
        <v>49</v>
      </c>
      <c r="N1916" t="s">
        <v>49</v>
      </c>
      <c r="O1916" t="s">
        <v>49</v>
      </c>
      <c r="P1916">
        <v>0</v>
      </c>
      <c r="Q1916" t="s">
        <v>50</v>
      </c>
      <c r="R1916" t="s">
        <v>51</v>
      </c>
      <c r="S1916">
        <v>1945</v>
      </c>
      <c r="T1916">
        <v>-777</v>
      </c>
      <c r="U1916" s="1">
        <v>16644</v>
      </c>
      <c r="V1916" s="2">
        <v>16644</v>
      </c>
      <c r="Z1916">
        <v>0</v>
      </c>
      <c r="AA1916">
        <v>1</v>
      </c>
      <c r="AB1916">
        <v>0</v>
      </c>
      <c r="AC1916">
        <v>0</v>
      </c>
      <c r="AF1916">
        <v>2012</v>
      </c>
      <c r="AG1916">
        <v>2012</v>
      </c>
      <c r="AH1916">
        <v>-7.8340894335550004</v>
      </c>
      <c r="AI1916">
        <v>22750</v>
      </c>
      <c r="AJ1916">
        <v>-0.33456992578425099</v>
      </c>
      <c r="AK1916">
        <v>4</v>
      </c>
      <c r="AL1916">
        <v>-0.540752950543684</v>
      </c>
      <c r="AM1916">
        <v>0.23407414478424399</v>
      </c>
      <c r="AN1916">
        <v>10</v>
      </c>
      <c r="AO1916" t="b">
        <v>1</v>
      </c>
      <c r="AP1916" t="s">
        <v>4202</v>
      </c>
      <c r="AQ1916">
        <v>1944</v>
      </c>
      <c r="AR1916">
        <v>1963</v>
      </c>
      <c r="AS1916" t="s">
        <v>7979</v>
      </c>
      <c r="AT1916">
        <v>9.5824777549623499E-2</v>
      </c>
      <c r="AU1916">
        <f t="shared" si="89"/>
        <v>0</v>
      </c>
    </row>
    <row r="1917" spans="1:47" x14ac:dyDescent="0.3">
      <c r="A1917">
        <v>1915</v>
      </c>
      <c r="B1917" t="s">
        <v>7980</v>
      </c>
      <c r="C1917" t="s">
        <v>7981</v>
      </c>
      <c r="D1917">
        <v>350</v>
      </c>
      <c r="E1917" t="s">
        <v>7689</v>
      </c>
      <c r="F1917" t="str">
        <f>VLOOKUP(E1917,country_continent!A:C,2,FALSE)</f>
        <v>Greece</v>
      </c>
      <c r="G1917" t="str">
        <f>VLOOKUP(E1917,country_continent!A:C,3,FALSE)</f>
        <v>Europe</v>
      </c>
      <c r="H1917" t="s">
        <v>7982</v>
      </c>
      <c r="I1917" s="1">
        <v>41080</v>
      </c>
      <c r="J1917" s="3">
        <f t="shared" si="87"/>
        <v>41080</v>
      </c>
      <c r="K1917" s="1">
        <v>42030</v>
      </c>
      <c r="L1917" s="3">
        <f t="shared" si="88"/>
        <v>42030</v>
      </c>
      <c r="M1917" t="s">
        <v>49</v>
      </c>
      <c r="N1917" t="s">
        <v>49</v>
      </c>
      <c r="O1917" t="s">
        <v>49</v>
      </c>
      <c r="P1917">
        <v>0</v>
      </c>
      <c r="Q1917" t="s">
        <v>312</v>
      </c>
      <c r="R1917" t="s">
        <v>51</v>
      </c>
      <c r="S1917">
        <v>1951</v>
      </c>
      <c r="T1917">
        <v>-777</v>
      </c>
      <c r="U1917" s="1">
        <v>18771</v>
      </c>
      <c r="V1917" s="2">
        <v>18771</v>
      </c>
      <c r="Z1917">
        <v>0</v>
      </c>
      <c r="AA1917">
        <v>1</v>
      </c>
      <c r="AB1917">
        <v>0</v>
      </c>
      <c r="AC1917">
        <v>-999</v>
      </c>
      <c r="AF1917">
        <v>2012</v>
      </c>
      <c r="AG1917">
        <v>2015</v>
      </c>
      <c r="AH1917">
        <v>-1.8744759009403</v>
      </c>
      <c r="AI1917">
        <v>21592.5</v>
      </c>
      <c r="AJ1917">
        <v>-1.0982799545012001</v>
      </c>
      <c r="AK1917">
        <v>4.1500000000000004</v>
      </c>
      <c r="AL1917">
        <v>-0.647712102027999</v>
      </c>
      <c r="AM1917">
        <v>0.14788947175686701</v>
      </c>
      <c r="AN1917">
        <v>10</v>
      </c>
      <c r="AO1917" t="b">
        <v>1</v>
      </c>
      <c r="AP1917" t="s">
        <v>4202</v>
      </c>
      <c r="AQ1917">
        <v>1944</v>
      </c>
      <c r="AR1917">
        <v>1963</v>
      </c>
      <c r="AS1917" t="s">
        <v>7983</v>
      </c>
      <c r="AT1917">
        <v>2.6009582477754898</v>
      </c>
      <c r="AU1917">
        <f t="shared" si="89"/>
        <v>7.0000000000000001E-3</v>
      </c>
    </row>
    <row r="1918" spans="1:47" x14ac:dyDescent="0.3">
      <c r="A1918">
        <v>1916</v>
      </c>
      <c r="B1918" t="s">
        <v>7984</v>
      </c>
      <c r="C1918" t="s">
        <v>7985</v>
      </c>
      <c r="D1918">
        <v>350</v>
      </c>
      <c r="E1918" t="s">
        <v>7689</v>
      </c>
      <c r="F1918" t="str">
        <f>VLOOKUP(E1918,country_continent!A:C,2,FALSE)</f>
        <v>Greece</v>
      </c>
      <c r="G1918" t="str">
        <f>VLOOKUP(E1918,country_continent!A:C,3,FALSE)</f>
        <v>Europe</v>
      </c>
      <c r="H1918" t="s">
        <v>7986</v>
      </c>
      <c r="I1918" s="1">
        <v>42030</v>
      </c>
      <c r="J1918" s="3">
        <f t="shared" si="87"/>
        <v>42030</v>
      </c>
      <c r="K1918" s="1">
        <v>42369</v>
      </c>
      <c r="L1918" s="3">
        <f t="shared" si="88"/>
        <v>42369</v>
      </c>
      <c r="M1918" t="s">
        <v>49</v>
      </c>
      <c r="N1918" t="s">
        <v>173</v>
      </c>
      <c r="O1918" t="s">
        <v>173</v>
      </c>
      <c r="P1918">
        <v>0</v>
      </c>
      <c r="Q1918" t="s">
        <v>174</v>
      </c>
      <c r="R1918" t="s">
        <v>51</v>
      </c>
      <c r="S1918">
        <v>1974</v>
      </c>
      <c r="T1918">
        <v>-777</v>
      </c>
      <c r="U1918" s="1">
        <v>27238</v>
      </c>
      <c r="V1918" s="2">
        <v>27238</v>
      </c>
      <c r="Z1918">
        <v>0</v>
      </c>
      <c r="AA1918">
        <v>-888</v>
      </c>
      <c r="AB1918">
        <v>-888</v>
      </c>
      <c r="AC1918">
        <v>-888</v>
      </c>
      <c r="AF1918">
        <v>2015</v>
      </c>
      <c r="AG1918">
        <v>2015</v>
      </c>
      <c r="AH1918">
        <v>0.431225575747546</v>
      </c>
      <c r="AI1918">
        <v>19920</v>
      </c>
      <c r="AJ1918">
        <v>-0.17475373264215899</v>
      </c>
      <c r="AK1918">
        <v>4.3</v>
      </c>
      <c r="AL1918">
        <v>-0.65886136087833902</v>
      </c>
      <c r="AM1918">
        <v>7.1351119895163698E-2</v>
      </c>
      <c r="AN1918">
        <v>10</v>
      </c>
      <c r="AO1918" t="b">
        <v>1</v>
      </c>
      <c r="AP1918" t="s">
        <v>4202</v>
      </c>
      <c r="AQ1918">
        <v>1944</v>
      </c>
      <c r="AR1918">
        <v>1963</v>
      </c>
      <c r="AS1918" t="s">
        <v>7987</v>
      </c>
      <c r="AT1918">
        <v>0.928131416837782</v>
      </c>
      <c r="AU1918">
        <f t="shared" si="89"/>
        <v>3.0000000000000001E-3</v>
      </c>
    </row>
    <row r="1919" spans="1:47" x14ac:dyDescent="0.3">
      <c r="A1919">
        <v>1917</v>
      </c>
      <c r="B1919" t="s">
        <v>7988</v>
      </c>
      <c r="C1919" t="s">
        <v>7989</v>
      </c>
      <c r="D1919">
        <v>352</v>
      </c>
      <c r="E1919" t="s">
        <v>7990</v>
      </c>
      <c r="F1919" t="str">
        <f>VLOOKUP(E1919,country_continent!A:C,2,FALSE)</f>
        <v>Cyprus</v>
      </c>
      <c r="G1919" t="str">
        <f>VLOOKUP(E1919,country_continent!A:C,3,FALSE)</f>
        <v>Europe</v>
      </c>
      <c r="H1919" t="s">
        <v>7991</v>
      </c>
      <c r="I1919" s="1">
        <v>22144</v>
      </c>
      <c r="J1919" s="3">
        <f t="shared" si="87"/>
        <v>22144</v>
      </c>
      <c r="K1919" s="1">
        <v>27225</v>
      </c>
      <c r="L1919" s="3">
        <f t="shared" si="88"/>
        <v>27225</v>
      </c>
      <c r="M1919" t="s">
        <v>49</v>
      </c>
      <c r="N1919" t="s">
        <v>67</v>
      </c>
      <c r="O1919" t="s">
        <v>1215</v>
      </c>
      <c r="P1919">
        <v>0</v>
      </c>
      <c r="Q1919" t="s">
        <v>362</v>
      </c>
      <c r="R1919" t="s">
        <v>51</v>
      </c>
      <c r="S1919">
        <v>1913</v>
      </c>
      <c r="T1919">
        <v>1977</v>
      </c>
      <c r="U1919" s="1">
        <v>4974</v>
      </c>
      <c r="V1919" s="2">
        <v>4974</v>
      </c>
      <c r="W1919" s="1">
        <v>28340</v>
      </c>
      <c r="X1919" s="2">
        <v>28340</v>
      </c>
      <c r="Y1919" t="s">
        <v>7992</v>
      </c>
      <c r="Z1919">
        <v>0</v>
      </c>
      <c r="AA1919">
        <v>3</v>
      </c>
      <c r="AB1919">
        <v>5</v>
      </c>
      <c r="AC1919">
        <v>1</v>
      </c>
      <c r="AF1919">
        <v>1960</v>
      </c>
      <c r="AG1919">
        <v>1974</v>
      </c>
      <c r="AK1919">
        <v>36.725000000000001</v>
      </c>
      <c r="AL1919">
        <v>0.87858861613055095</v>
      </c>
      <c r="AN1919">
        <v>4.71</v>
      </c>
      <c r="AO1919" t="b">
        <v>0</v>
      </c>
      <c r="AT1919">
        <v>5081</v>
      </c>
      <c r="AU1919">
        <f t="shared" si="89"/>
        <v>13.920999999999999</v>
      </c>
    </row>
    <row r="1920" spans="1:47" x14ac:dyDescent="0.3">
      <c r="A1920">
        <v>1918</v>
      </c>
      <c r="B1920" t="s">
        <v>7993</v>
      </c>
      <c r="C1920" t="s">
        <v>7994</v>
      </c>
      <c r="D1920">
        <v>352</v>
      </c>
      <c r="E1920" t="s">
        <v>7990</v>
      </c>
      <c r="F1920" t="str">
        <f>VLOOKUP(E1920,country_continent!A:C,2,FALSE)</f>
        <v>Cyprus</v>
      </c>
      <c r="G1920" t="str">
        <f>VLOOKUP(E1920,country_continent!A:C,3,FALSE)</f>
        <v>Europe</v>
      </c>
      <c r="H1920" t="s">
        <v>7995</v>
      </c>
      <c r="I1920" s="1">
        <v>27226</v>
      </c>
      <c r="J1920" s="3">
        <f t="shared" si="87"/>
        <v>27226</v>
      </c>
      <c r="K1920" s="1">
        <v>27233</v>
      </c>
      <c r="L1920" s="3">
        <f t="shared" si="88"/>
        <v>27233</v>
      </c>
      <c r="M1920" t="s">
        <v>67</v>
      </c>
      <c r="N1920" t="s">
        <v>67</v>
      </c>
      <c r="O1920" t="s">
        <v>6580</v>
      </c>
      <c r="P1920">
        <v>0</v>
      </c>
      <c r="Q1920" t="s">
        <v>463</v>
      </c>
      <c r="R1920" t="s">
        <v>51</v>
      </c>
      <c r="S1920">
        <v>1935</v>
      </c>
      <c r="T1920">
        <v>2001</v>
      </c>
      <c r="Z1920">
        <v>1</v>
      </c>
      <c r="AA1920">
        <v>3</v>
      </c>
      <c r="AB1920">
        <v>111</v>
      </c>
      <c r="AC1920">
        <v>2</v>
      </c>
      <c r="AF1920">
        <v>1974</v>
      </c>
      <c r="AG1920">
        <v>1974</v>
      </c>
      <c r="AK1920">
        <v>35.299999999999997</v>
      </c>
      <c r="AL1920">
        <v>-0.40370475633749597</v>
      </c>
      <c r="AN1920">
        <v>8</v>
      </c>
      <c r="AO1920" t="b">
        <v>0</v>
      </c>
      <c r="AT1920">
        <v>7</v>
      </c>
      <c r="AU1920">
        <f t="shared" si="89"/>
        <v>1.9E-2</v>
      </c>
    </row>
    <row r="1921" spans="1:47" x14ac:dyDescent="0.3">
      <c r="A1921">
        <v>1919</v>
      </c>
      <c r="B1921" t="s">
        <v>7996</v>
      </c>
      <c r="C1921" t="s">
        <v>7997</v>
      </c>
      <c r="D1921">
        <v>352</v>
      </c>
      <c r="E1921" t="s">
        <v>7990</v>
      </c>
      <c r="F1921" t="str">
        <f>VLOOKUP(E1921,country_continent!A:C,2,FALSE)</f>
        <v>Cyprus</v>
      </c>
      <c r="G1921" t="str">
        <f>VLOOKUP(E1921,country_continent!A:C,3,FALSE)</f>
        <v>Europe</v>
      </c>
      <c r="H1921" t="s">
        <v>7998</v>
      </c>
      <c r="I1921" s="1">
        <v>27233</v>
      </c>
      <c r="J1921" s="3">
        <f t="shared" si="87"/>
        <v>27233</v>
      </c>
      <c r="K1921" s="1">
        <v>27370</v>
      </c>
      <c r="L1921" s="3">
        <f t="shared" si="88"/>
        <v>27370</v>
      </c>
      <c r="M1921" t="s">
        <v>49</v>
      </c>
      <c r="N1921" t="s">
        <v>49</v>
      </c>
      <c r="O1921" t="s">
        <v>49</v>
      </c>
      <c r="P1921">
        <v>0</v>
      </c>
      <c r="Q1921" t="s">
        <v>50</v>
      </c>
      <c r="R1921" t="s">
        <v>51</v>
      </c>
      <c r="S1921">
        <v>1919</v>
      </c>
      <c r="T1921">
        <v>-777</v>
      </c>
      <c r="U1921" s="1">
        <v>7054</v>
      </c>
      <c r="V1921" s="2">
        <v>7054</v>
      </c>
      <c r="W1921" s="1">
        <v>41593</v>
      </c>
      <c r="X1921" s="2">
        <v>41593</v>
      </c>
      <c r="Z1921">
        <v>0</v>
      </c>
      <c r="AA1921">
        <v>1</v>
      </c>
      <c r="AB1921">
        <v>0</v>
      </c>
      <c r="AC1921">
        <v>0</v>
      </c>
      <c r="AF1921">
        <v>1974</v>
      </c>
      <c r="AG1921">
        <v>1974</v>
      </c>
      <c r="AK1921">
        <v>35.299999999999997</v>
      </c>
      <c r="AL1921">
        <v>-0.40370475633749597</v>
      </c>
      <c r="AN1921">
        <v>8</v>
      </c>
      <c r="AO1921" t="b">
        <v>0</v>
      </c>
      <c r="AT1921">
        <v>137</v>
      </c>
      <c r="AU1921">
        <f t="shared" si="89"/>
        <v>0.375</v>
      </c>
    </row>
    <row r="1922" spans="1:47" x14ac:dyDescent="0.3">
      <c r="A1922">
        <v>1920</v>
      </c>
      <c r="B1922" t="s">
        <v>7999</v>
      </c>
      <c r="C1922" t="s">
        <v>7989</v>
      </c>
      <c r="D1922">
        <v>352</v>
      </c>
      <c r="E1922" t="s">
        <v>7990</v>
      </c>
      <c r="F1922" t="str">
        <f>VLOOKUP(E1922,country_continent!A:C,2,FALSE)</f>
        <v>Cyprus</v>
      </c>
      <c r="G1922" t="str">
        <f>VLOOKUP(E1922,country_continent!A:C,3,FALSE)</f>
        <v>Europe</v>
      </c>
      <c r="H1922" t="s">
        <v>7991</v>
      </c>
      <c r="I1922" s="1">
        <v>27370</v>
      </c>
      <c r="J1922" s="3">
        <f t="shared" si="87"/>
        <v>27370</v>
      </c>
      <c r="K1922" s="1">
        <v>28340</v>
      </c>
      <c r="L1922" s="3">
        <f t="shared" si="88"/>
        <v>28340</v>
      </c>
      <c r="M1922" t="s">
        <v>49</v>
      </c>
      <c r="N1922" t="s">
        <v>110</v>
      </c>
      <c r="O1922" t="s">
        <v>49</v>
      </c>
      <c r="P1922">
        <v>1</v>
      </c>
      <c r="Q1922" t="s">
        <v>111</v>
      </c>
      <c r="R1922" t="s">
        <v>51</v>
      </c>
      <c r="S1922">
        <v>1913</v>
      </c>
      <c r="T1922">
        <v>1977</v>
      </c>
      <c r="U1922" s="1">
        <v>4974</v>
      </c>
      <c r="V1922" s="2">
        <v>4974</v>
      </c>
      <c r="W1922" s="1">
        <v>28340</v>
      </c>
      <c r="X1922" s="2">
        <v>28340</v>
      </c>
      <c r="Y1922" t="s">
        <v>7992</v>
      </c>
      <c r="Z1922">
        <v>0</v>
      </c>
      <c r="AA1922">
        <v>2</v>
      </c>
      <c r="AB1922">
        <v>0</v>
      </c>
      <c r="AC1922">
        <v>-777</v>
      </c>
      <c r="AF1922">
        <v>1974</v>
      </c>
      <c r="AG1922">
        <v>1977</v>
      </c>
      <c r="AH1922">
        <v>18.796423143798599</v>
      </c>
      <c r="AI1922">
        <v>1520</v>
      </c>
      <c r="AJ1922">
        <v>8.4628150778394708</v>
      </c>
      <c r="AK1922">
        <v>32.424999999999997</v>
      </c>
      <c r="AL1922">
        <v>4.36596817133902E-2</v>
      </c>
      <c r="AM1922">
        <v>1.2400246740701399</v>
      </c>
      <c r="AN1922">
        <v>9.5</v>
      </c>
      <c r="AO1922" t="b">
        <v>0</v>
      </c>
      <c r="AT1922">
        <v>970</v>
      </c>
      <c r="AU1922">
        <f t="shared" si="89"/>
        <v>2.6579999999999999</v>
      </c>
    </row>
    <row r="1923" spans="1:47" x14ac:dyDescent="0.3">
      <c r="A1923">
        <v>1921</v>
      </c>
      <c r="B1923" t="s">
        <v>8000</v>
      </c>
      <c r="C1923" t="s">
        <v>8001</v>
      </c>
      <c r="D1923">
        <v>352</v>
      </c>
      <c r="E1923" t="s">
        <v>7990</v>
      </c>
      <c r="F1923" t="str">
        <f>VLOOKUP(E1923,country_continent!A:C,2,FALSE)</f>
        <v>Cyprus</v>
      </c>
      <c r="G1923" t="str">
        <f>VLOOKUP(E1923,country_continent!A:C,3,FALSE)</f>
        <v>Europe</v>
      </c>
      <c r="H1923" t="s">
        <v>8002</v>
      </c>
      <c r="I1923" s="1">
        <v>28340</v>
      </c>
      <c r="J1923" s="3">
        <f t="shared" ref="J1923:J1986" si="90">IF(ISNUMBER(SEARCH("-", I1923)), SUBSTITUTE(I1923, "-", "/"), I1923)</f>
        <v>28340</v>
      </c>
      <c r="K1923" s="1">
        <v>32201</v>
      </c>
      <c r="L1923" s="3">
        <f t="shared" ref="L1923:L1986" si="91">IF(ISNUMBER(SEARCH("-", K1923)), SUBSTITUTE(K1923, "-", "/"), K1923)</f>
        <v>32201</v>
      </c>
      <c r="M1923" t="s">
        <v>49</v>
      </c>
      <c r="N1923" t="s">
        <v>49</v>
      </c>
      <c r="O1923" t="s">
        <v>49</v>
      </c>
      <c r="P1923">
        <v>0</v>
      </c>
      <c r="Q1923" t="s">
        <v>50</v>
      </c>
      <c r="R1923" t="s">
        <v>51</v>
      </c>
      <c r="S1923">
        <v>1932</v>
      </c>
      <c r="T1923">
        <v>2002</v>
      </c>
      <c r="U1923" s="1">
        <v>11990</v>
      </c>
      <c r="V1923" s="2">
        <v>11990</v>
      </c>
      <c r="W1923" s="1">
        <v>37327</v>
      </c>
      <c r="X1923" s="2">
        <v>37327</v>
      </c>
      <c r="Y1923" t="s">
        <v>8003</v>
      </c>
      <c r="Z1923">
        <v>0</v>
      </c>
      <c r="AA1923">
        <v>1</v>
      </c>
      <c r="AB1923">
        <v>0</v>
      </c>
      <c r="AC1923">
        <v>0</v>
      </c>
      <c r="AF1923">
        <v>1977</v>
      </c>
      <c r="AG1923">
        <v>1988</v>
      </c>
      <c r="AH1923">
        <v>6.2176792214905996</v>
      </c>
      <c r="AI1923">
        <v>4161.6666666666597</v>
      </c>
      <c r="AJ1923">
        <v>8.3418228236108902</v>
      </c>
      <c r="AK1923">
        <v>18.133333333333301</v>
      </c>
      <c r="AL1923">
        <v>1.2181251505420001</v>
      </c>
      <c r="AM1923">
        <v>0.172357098537848</v>
      </c>
      <c r="AN1923">
        <v>10</v>
      </c>
      <c r="AO1923" t="b">
        <v>0</v>
      </c>
      <c r="AT1923">
        <v>3861</v>
      </c>
      <c r="AU1923">
        <f t="shared" si="89"/>
        <v>10.577999999999999</v>
      </c>
    </row>
    <row r="1924" spans="1:47" x14ac:dyDescent="0.3">
      <c r="A1924">
        <v>1922</v>
      </c>
      <c r="B1924" t="s">
        <v>8004</v>
      </c>
      <c r="C1924" t="s">
        <v>8005</v>
      </c>
      <c r="D1924">
        <v>352</v>
      </c>
      <c r="E1924" t="s">
        <v>7990</v>
      </c>
      <c r="F1924" t="str">
        <f>VLOOKUP(E1924,country_continent!A:C,2,FALSE)</f>
        <v>Cyprus</v>
      </c>
      <c r="G1924" t="str">
        <f>VLOOKUP(E1924,country_continent!A:C,3,FALSE)</f>
        <v>Europe</v>
      </c>
      <c r="H1924" t="s">
        <v>8006</v>
      </c>
      <c r="I1924" s="1">
        <v>32201</v>
      </c>
      <c r="J1924" s="3">
        <f t="shared" si="90"/>
        <v>32201</v>
      </c>
      <c r="K1924" s="1">
        <v>34028</v>
      </c>
      <c r="L1924" s="3">
        <f t="shared" si="91"/>
        <v>34028</v>
      </c>
      <c r="M1924" t="s">
        <v>49</v>
      </c>
      <c r="N1924" t="s">
        <v>49</v>
      </c>
      <c r="O1924" t="s">
        <v>49</v>
      </c>
      <c r="P1924">
        <v>0</v>
      </c>
      <c r="Q1924" t="s">
        <v>50</v>
      </c>
      <c r="R1924" t="s">
        <v>51</v>
      </c>
      <c r="S1924">
        <v>1931</v>
      </c>
      <c r="T1924">
        <v>-777</v>
      </c>
      <c r="Z1924">
        <v>0</v>
      </c>
      <c r="AA1924">
        <v>1</v>
      </c>
      <c r="AB1924">
        <v>0</v>
      </c>
      <c r="AC1924">
        <v>0</v>
      </c>
      <c r="AF1924">
        <v>1988</v>
      </c>
      <c r="AG1924">
        <v>1993</v>
      </c>
      <c r="AH1924">
        <v>3.67512214802227</v>
      </c>
      <c r="AI1924">
        <v>9538.3333333333303</v>
      </c>
      <c r="AJ1924">
        <v>4.68518049318536</v>
      </c>
      <c r="AK1924">
        <v>10.883333333333301</v>
      </c>
      <c r="AL1924">
        <v>1.50338324030837</v>
      </c>
      <c r="AM1924">
        <v>2.8738986154554901E-2</v>
      </c>
      <c r="AN1924">
        <v>10</v>
      </c>
      <c r="AO1924" t="b">
        <v>0</v>
      </c>
      <c r="AT1924">
        <v>1827</v>
      </c>
      <c r="AU1924">
        <f t="shared" ref="AU1924:AU1987" si="92">ROUND(AT1924/365,3)</f>
        <v>5.0049999999999999</v>
      </c>
    </row>
    <row r="1925" spans="1:47" x14ac:dyDescent="0.3">
      <c r="A1925">
        <v>1923</v>
      </c>
      <c r="B1925" t="s">
        <v>8007</v>
      </c>
      <c r="C1925" t="s">
        <v>7997</v>
      </c>
      <c r="D1925">
        <v>352</v>
      </c>
      <c r="E1925" t="s">
        <v>7990</v>
      </c>
      <c r="F1925" t="str">
        <f>VLOOKUP(E1925,country_continent!A:C,2,FALSE)</f>
        <v>Cyprus</v>
      </c>
      <c r="G1925" t="str">
        <f>VLOOKUP(E1925,country_continent!A:C,3,FALSE)</f>
        <v>Europe</v>
      </c>
      <c r="H1925" t="s">
        <v>7998</v>
      </c>
      <c r="I1925" s="1">
        <v>34028</v>
      </c>
      <c r="J1925" s="3">
        <f t="shared" si="90"/>
        <v>34028</v>
      </c>
      <c r="K1925" s="1">
        <v>37680</v>
      </c>
      <c r="L1925" s="3">
        <f t="shared" si="91"/>
        <v>37680</v>
      </c>
      <c r="M1925" t="s">
        <v>49</v>
      </c>
      <c r="N1925" t="s">
        <v>49</v>
      </c>
      <c r="O1925" t="s">
        <v>49</v>
      </c>
      <c r="P1925">
        <v>1</v>
      </c>
      <c r="Q1925" t="s">
        <v>50</v>
      </c>
      <c r="R1925" t="s">
        <v>51</v>
      </c>
      <c r="S1925">
        <v>1919</v>
      </c>
      <c r="T1925">
        <v>-777</v>
      </c>
      <c r="U1925" s="1">
        <v>7054</v>
      </c>
      <c r="V1925" s="2">
        <v>7054</v>
      </c>
      <c r="W1925" s="1">
        <v>41593</v>
      </c>
      <c r="X1925" s="2">
        <v>41593</v>
      </c>
      <c r="Z1925">
        <v>0</v>
      </c>
      <c r="AA1925">
        <v>1</v>
      </c>
      <c r="AB1925">
        <v>0</v>
      </c>
      <c r="AC1925">
        <v>0</v>
      </c>
      <c r="AF1925">
        <v>1993</v>
      </c>
      <c r="AG1925">
        <v>2003</v>
      </c>
      <c r="AH1925">
        <v>2.6857561526624498</v>
      </c>
      <c r="AI1925">
        <v>13910.909090908999</v>
      </c>
      <c r="AJ1925">
        <v>4.08229878333632</v>
      </c>
      <c r="AK1925">
        <v>7.6727272727272702</v>
      </c>
      <c r="AL1925">
        <v>1.9080913470799099</v>
      </c>
      <c r="AM1925">
        <v>1.29727835788914E-2</v>
      </c>
      <c r="AN1925">
        <v>10</v>
      </c>
      <c r="AO1925" t="b">
        <v>0</v>
      </c>
      <c r="AT1925">
        <v>3652</v>
      </c>
      <c r="AU1925">
        <f t="shared" si="92"/>
        <v>10.005000000000001</v>
      </c>
    </row>
    <row r="1926" spans="1:47" x14ac:dyDescent="0.3">
      <c r="A1926">
        <v>1924</v>
      </c>
      <c r="B1926" t="s">
        <v>8008</v>
      </c>
      <c r="C1926" t="s">
        <v>8009</v>
      </c>
      <c r="D1926">
        <v>352</v>
      </c>
      <c r="E1926" t="s">
        <v>7990</v>
      </c>
      <c r="F1926" t="str">
        <f>VLOOKUP(E1926,country_continent!A:C,2,FALSE)</f>
        <v>Cyprus</v>
      </c>
      <c r="G1926" t="str">
        <f>VLOOKUP(E1926,country_continent!A:C,3,FALSE)</f>
        <v>Europe</v>
      </c>
      <c r="H1926" t="s">
        <v>8010</v>
      </c>
      <c r="I1926" s="1">
        <v>37680</v>
      </c>
      <c r="J1926" s="3">
        <f t="shared" si="90"/>
        <v>37680</v>
      </c>
      <c r="K1926" s="1">
        <v>39506</v>
      </c>
      <c r="L1926" s="3">
        <f t="shared" si="91"/>
        <v>39506</v>
      </c>
      <c r="M1926" t="s">
        <v>49</v>
      </c>
      <c r="N1926" t="s">
        <v>49</v>
      </c>
      <c r="O1926" t="s">
        <v>49</v>
      </c>
      <c r="P1926">
        <v>0</v>
      </c>
      <c r="Q1926" t="s">
        <v>50</v>
      </c>
      <c r="R1926" t="s">
        <v>51</v>
      </c>
      <c r="S1926">
        <v>1934</v>
      </c>
      <c r="T1926">
        <v>2008</v>
      </c>
      <c r="Z1926">
        <v>0</v>
      </c>
      <c r="AA1926">
        <v>1</v>
      </c>
      <c r="AB1926">
        <v>0</v>
      </c>
      <c r="AC1926">
        <v>0</v>
      </c>
      <c r="AF1926">
        <v>2003</v>
      </c>
      <c r="AG1926">
        <v>2008</v>
      </c>
      <c r="AH1926">
        <v>2.55172963677503</v>
      </c>
      <c r="AI1926">
        <v>24311.666666666599</v>
      </c>
      <c r="AJ1926">
        <v>3.6792154994009598</v>
      </c>
      <c r="AK1926">
        <v>4.4666666666666597</v>
      </c>
      <c r="AL1926">
        <v>1.7642155995101501</v>
      </c>
      <c r="AM1926">
        <v>7.9502686860832006E-3</v>
      </c>
      <c r="AN1926">
        <v>10</v>
      </c>
      <c r="AO1926" t="b">
        <v>0</v>
      </c>
      <c r="AT1926">
        <v>1826</v>
      </c>
      <c r="AU1926">
        <f t="shared" si="92"/>
        <v>5.0030000000000001</v>
      </c>
    </row>
    <row r="1927" spans="1:47" x14ac:dyDescent="0.3">
      <c r="A1927">
        <v>1925</v>
      </c>
      <c r="B1927" t="s">
        <v>8011</v>
      </c>
      <c r="C1927" t="s">
        <v>8012</v>
      </c>
      <c r="D1927">
        <v>352</v>
      </c>
      <c r="E1927" t="s">
        <v>7990</v>
      </c>
      <c r="F1927" t="str">
        <f>VLOOKUP(E1927,country_continent!A:C,2,FALSE)</f>
        <v>Cyprus</v>
      </c>
      <c r="G1927" t="str">
        <f>VLOOKUP(E1927,country_continent!A:C,3,FALSE)</f>
        <v>Europe</v>
      </c>
      <c r="H1927" t="s">
        <v>8013</v>
      </c>
      <c r="I1927" s="1">
        <v>39506</v>
      </c>
      <c r="J1927" s="3">
        <f t="shared" si="90"/>
        <v>39506</v>
      </c>
      <c r="K1927" s="1">
        <v>41333</v>
      </c>
      <c r="L1927" s="3">
        <f t="shared" si="91"/>
        <v>41333</v>
      </c>
      <c r="M1927" t="s">
        <v>49</v>
      </c>
      <c r="N1927" t="s">
        <v>49</v>
      </c>
      <c r="O1927" t="s">
        <v>49</v>
      </c>
      <c r="P1927">
        <v>0</v>
      </c>
      <c r="Q1927" t="s">
        <v>50</v>
      </c>
      <c r="R1927" t="s">
        <v>51</v>
      </c>
      <c r="S1927">
        <v>1946</v>
      </c>
      <c r="T1927">
        <v>-777</v>
      </c>
      <c r="Z1927">
        <v>0</v>
      </c>
      <c r="AA1927">
        <v>1</v>
      </c>
      <c r="AB1927">
        <v>0</v>
      </c>
      <c r="AC1927">
        <v>0</v>
      </c>
      <c r="AF1927">
        <v>2008</v>
      </c>
      <c r="AG1927">
        <v>2013</v>
      </c>
      <c r="AH1927">
        <v>-2.8802932692347198</v>
      </c>
      <c r="AI1927">
        <v>31210</v>
      </c>
      <c r="AJ1927">
        <v>1.5393659037474201</v>
      </c>
      <c r="AK1927">
        <v>3.2833333333333301</v>
      </c>
      <c r="AL1927">
        <v>1.6436327396918999</v>
      </c>
      <c r="AM1927">
        <v>4.6803667019985298E-2</v>
      </c>
      <c r="AN1927">
        <v>10</v>
      </c>
      <c r="AO1927" t="b">
        <v>0</v>
      </c>
      <c r="AT1927">
        <v>1827</v>
      </c>
      <c r="AU1927">
        <f t="shared" si="92"/>
        <v>5.0049999999999999</v>
      </c>
    </row>
    <row r="1928" spans="1:47" x14ac:dyDescent="0.3">
      <c r="A1928">
        <v>1926</v>
      </c>
      <c r="B1928" t="s">
        <v>8014</v>
      </c>
      <c r="C1928" t="s">
        <v>8015</v>
      </c>
      <c r="D1928">
        <v>352</v>
      </c>
      <c r="E1928" t="s">
        <v>7990</v>
      </c>
      <c r="F1928" t="str">
        <f>VLOOKUP(E1928,country_continent!A:C,2,FALSE)</f>
        <v>Cyprus</v>
      </c>
      <c r="G1928" t="str">
        <f>VLOOKUP(E1928,country_continent!A:C,3,FALSE)</f>
        <v>Europe</v>
      </c>
      <c r="H1928" t="s">
        <v>8016</v>
      </c>
      <c r="I1928" s="1">
        <v>41333</v>
      </c>
      <c r="J1928" s="3">
        <f t="shared" si="90"/>
        <v>41333</v>
      </c>
      <c r="K1928" s="1">
        <v>42369</v>
      </c>
      <c r="L1928" s="3">
        <f t="shared" si="91"/>
        <v>42369</v>
      </c>
      <c r="M1928" t="s">
        <v>49</v>
      </c>
      <c r="N1928" t="s">
        <v>173</v>
      </c>
      <c r="O1928" t="s">
        <v>173</v>
      </c>
      <c r="P1928">
        <v>0</v>
      </c>
      <c r="Q1928" t="s">
        <v>174</v>
      </c>
      <c r="R1928" t="s">
        <v>51</v>
      </c>
      <c r="S1928">
        <v>1946</v>
      </c>
      <c r="T1928">
        <v>-777</v>
      </c>
      <c r="U1928" s="1">
        <v>17072</v>
      </c>
      <c r="V1928" s="2">
        <v>17072</v>
      </c>
      <c r="Z1928">
        <v>0</v>
      </c>
      <c r="AA1928">
        <v>-888</v>
      </c>
      <c r="AB1928">
        <v>-888</v>
      </c>
      <c r="AC1928">
        <v>-888</v>
      </c>
      <c r="AF1928">
        <v>2013</v>
      </c>
      <c r="AG1928">
        <v>2015</v>
      </c>
      <c r="AH1928">
        <v>-1.0165445234387001</v>
      </c>
      <c r="AI1928">
        <v>26846.666666666599</v>
      </c>
      <c r="AJ1928">
        <v>-1.0100787038252901</v>
      </c>
      <c r="AK1928">
        <v>2.93333333333333</v>
      </c>
      <c r="AL1928">
        <v>1.5126925729604099</v>
      </c>
      <c r="AM1928">
        <v>3.3212973144041001E-2</v>
      </c>
      <c r="AN1928">
        <v>10</v>
      </c>
      <c r="AO1928" t="b">
        <v>0</v>
      </c>
      <c r="AT1928">
        <v>1036</v>
      </c>
      <c r="AU1928">
        <f t="shared" si="92"/>
        <v>2.8380000000000001</v>
      </c>
    </row>
    <row r="1929" spans="1:47" x14ac:dyDescent="0.3">
      <c r="A1929">
        <v>1927</v>
      </c>
      <c r="B1929" t="s">
        <v>8017</v>
      </c>
      <c r="C1929" t="s">
        <v>8018</v>
      </c>
      <c r="D1929">
        <v>355</v>
      </c>
      <c r="E1929" t="s">
        <v>8019</v>
      </c>
      <c r="F1929" t="str">
        <f>VLOOKUP(E1929,country_continent!A:C,2,FALSE)</f>
        <v>Bulgaria</v>
      </c>
      <c r="G1929" t="str">
        <f>VLOOKUP(E1929,country_continent!A:C,3,FALSE)</f>
        <v>Europe</v>
      </c>
      <c r="H1929" t="s">
        <v>8020</v>
      </c>
      <c r="I1929" t="s">
        <v>8021</v>
      </c>
      <c r="J1929" s="3" t="str">
        <f t="shared" si="90"/>
        <v>1887/08/07</v>
      </c>
      <c r="K1929" s="1">
        <v>6851</v>
      </c>
      <c r="L1929" s="3">
        <f t="shared" si="91"/>
        <v>6851</v>
      </c>
      <c r="M1929" t="s">
        <v>49</v>
      </c>
      <c r="N1929" t="s">
        <v>49</v>
      </c>
      <c r="O1929" t="s">
        <v>49</v>
      </c>
      <c r="P1929">
        <v>0</v>
      </c>
      <c r="Q1929" t="s">
        <v>362</v>
      </c>
      <c r="R1929" t="s">
        <v>51</v>
      </c>
      <c r="S1929">
        <v>1861</v>
      </c>
      <c r="T1929">
        <v>1948</v>
      </c>
      <c r="U1929" t="s">
        <v>8022</v>
      </c>
      <c r="V1929" t="s">
        <v>8023</v>
      </c>
      <c r="W1929" s="1">
        <v>17786</v>
      </c>
      <c r="X1929" s="2">
        <v>17786</v>
      </c>
      <c r="Y1929" t="s">
        <v>8024</v>
      </c>
      <c r="Z1929">
        <v>0</v>
      </c>
      <c r="AA1929">
        <v>1</v>
      </c>
      <c r="AB1929">
        <v>0</v>
      </c>
      <c r="AC1929">
        <v>1</v>
      </c>
      <c r="AF1929">
        <v>1887</v>
      </c>
      <c r="AG1929">
        <v>1918</v>
      </c>
      <c r="AO1929" t="b">
        <v>0</v>
      </c>
      <c r="AT1929">
        <v>11379</v>
      </c>
      <c r="AU1929">
        <f t="shared" si="92"/>
        <v>31.175000000000001</v>
      </c>
    </row>
    <row r="1930" spans="1:47" x14ac:dyDescent="0.3">
      <c r="A1930">
        <v>1928</v>
      </c>
      <c r="B1930" t="s">
        <v>8025</v>
      </c>
      <c r="C1930" t="s">
        <v>8026</v>
      </c>
      <c r="D1930">
        <v>355</v>
      </c>
      <c r="E1930" t="s">
        <v>8019</v>
      </c>
      <c r="F1930" t="str">
        <f>VLOOKUP(E1930,country_continent!A:C,2,FALSE)</f>
        <v>Bulgaria</v>
      </c>
      <c r="G1930" t="str">
        <f>VLOOKUP(E1930,country_continent!A:C,3,FALSE)</f>
        <v>Europe</v>
      </c>
      <c r="H1930" t="s">
        <v>8027</v>
      </c>
      <c r="I1930" s="1">
        <v>6851</v>
      </c>
      <c r="J1930" s="3">
        <f t="shared" si="90"/>
        <v>6851</v>
      </c>
      <c r="K1930" s="1">
        <v>15947</v>
      </c>
      <c r="L1930" s="3">
        <f t="shared" si="91"/>
        <v>15947</v>
      </c>
      <c r="M1930" t="s">
        <v>49</v>
      </c>
      <c r="N1930" t="s">
        <v>110</v>
      </c>
      <c r="O1930" t="s">
        <v>49</v>
      </c>
      <c r="P1930">
        <v>0</v>
      </c>
      <c r="Q1930" t="s">
        <v>111</v>
      </c>
      <c r="R1930" t="s">
        <v>51</v>
      </c>
      <c r="S1930">
        <v>1894</v>
      </c>
      <c r="T1930">
        <v>1943</v>
      </c>
      <c r="U1930" t="s">
        <v>8028</v>
      </c>
      <c r="V1930" t="s">
        <v>8029</v>
      </c>
      <c r="W1930" s="1">
        <v>15947</v>
      </c>
      <c r="X1930" s="2">
        <v>15947</v>
      </c>
      <c r="Y1930" t="s">
        <v>8030</v>
      </c>
      <c r="Z1930">
        <v>0</v>
      </c>
      <c r="AA1930">
        <v>2</v>
      </c>
      <c r="AB1930">
        <v>0</v>
      </c>
      <c r="AC1930">
        <v>-777</v>
      </c>
      <c r="AF1930">
        <v>1918</v>
      </c>
      <c r="AG1930">
        <v>1943</v>
      </c>
      <c r="AO1930" t="b">
        <v>0</v>
      </c>
      <c r="AT1930">
        <v>9096</v>
      </c>
      <c r="AU1930">
        <f t="shared" si="92"/>
        <v>24.920999999999999</v>
      </c>
    </row>
    <row r="1931" spans="1:47" x14ac:dyDescent="0.3">
      <c r="A1931">
        <v>1929</v>
      </c>
      <c r="B1931" t="s">
        <v>8031</v>
      </c>
      <c r="C1931" t="s">
        <v>8032</v>
      </c>
      <c r="D1931">
        <v>355</v>
      </c>
      <c r="E1931" t="s">
        <v>8019</v>
      </c>
      <c r="F1931" t="str">
        <f>VLOOKUP(E1931,country_continent!A:C,2,FALSE)</f>
        <v>Bulgaria</v>
      </c>
      <c r="G1931" t="str">
        <f>VLOOKUP(E1931,country_continent!A:C,3,FALSE)</f>
        <v>Europe</v>
      </c>
      <c r="H1931" t="s">
        <v>8033</v>
      </c>
      <c r="I1931" s="1">
        <v>15947</v>
      </c>
      <c r="J1931" s="3">
        <f t="shared" si="90"/>
        <v>15947</v>
      </c>
      <c r="K1931" s="1">
        <v>16324</v>
      </c>
      <c r="L1931" s="3">
        <f t="shared" si="91"/>
        <v>16324</v>
      </c>
      <c r="M1931" t="s">
        <v>49</v>
      </c>
      <c r="N1931" t="s">
        <v>67</v>
      </c>
      <c r="O1931" t="s">
        <v>645</v>
      </c>
      <c r="P1931">
        <v>0</v>
      </c>
      <c r="Q1931" t="s">
        <v>69</v>
      </c>
      <c r="R1931" t="s">
        <v>51</v>
      </c>
      <c r="S1931">
        <v>1895</v>
      </c>
      <c r="T1931">
        <v>1945</v>
      </c>
      <c r="Z1931">
        <v>0</v>
      </c>
      <c r="AA1931">
        <v>3</v>
      </c>
      <c r="AB1931">
        <v>3</v>
      </c>
      <c r="AC1931">
        <v>3</v>
      </c>
      <c r="AF1931">
        <v>1943</v>
      </c>
      <c r="AG1931">
        <v>1944</v>
      </c>
      <c r="AO1931" t="b">
        <v>0</v>
      </c>
      <c r="AT1931">
        <v>377</v>
      </c>
      <c r="AU1931">
        <f t="shared" si="92"/>
        <v>1.0329999999999999</v>
      </c>
    </row>
    <row r="1932" spans="1:47" x14ac:dyDescent="0.3">
      <c r="A1932">
        <v>1930</v>
      </c>
      <c r="B1932" t="s">
        <v>8034</v>
      </c>
      <c r="C1932" t="s">
        <v>8035</v>
      </c>
      <c r="D1932">
        <v>355</v>
      </c>
      <c r="E1932" t="s">
        <v>8019</v>
      </c>
      <c r="F1932" t="str">
        <f>VLOOKUP(E1932,country_continent!A:C,2,FALSE)</f>
        <v>Bulgaria</v>
      </c>
      <c r="G1932" t="str">
        <f>VLOOKUP(E1932,country_continent!A:C,3,FALSE)</f>
        <v>Europe</v>
      </c>
      <c r="H1932" t="s">
        <v>8036</v>
      </c>
      <c r="I1932" s="1">
        <v>16324</v>
      </c>
      <c r="J1932" s="3">
        <f t="shared" si="90"/>
        <v>16324</v>
      </c>
      <c r="K1932" s="1">
        <v>17129</v>
      </c>
      <c r="L1932" s="3">
        <f t="shared" si="91"/>
        <v>17129</v>
      </c>
      <c r="M1932" t="s">
        <v>67</v>
      </c>
      <c r="N1932" t="s">
        <v>49</v>
      </c>
      <c r="O1932" t="s">
        <v>49</v>
      </c>
      <c r="P1932">
        <v>0</v>
      </c>
      <c r="Q1932" t="s">
        <v>50</v>
      </c>
      <c r="R1932" t="s">
        <v>51</v>
      </c>
      <c r="S1932">
        <v>1882</v>
      </c>
      <c r="T1932">
        <v>1968</v>
      </c>
      <c r="Z1932">
        <v>1</v>
      </c>
      <c r="AA1932">
        <v>1</v>
      </c>
      <c r="AB1932">
        <v>0</v>
      </c>
      <c r="AC1932">
        <v>0</v>
      </c>
      <c r="AF1932">
        <v>1944</v>
      </c>
      <c r="AG1932">
        <v>1946</v>
      </c>
      <c r="AO1932" t="b">
        <v>0</v>
      </c>
      <c r="AT1932">
        <v>805</v>
      </c>
      <c r="AU1932">
        <f t="shared" si="92"/>
        <v>2.2050000000000001</v>
      </c>
    </row>
    <row r="1933" spans="1:47" x14ac:dyDescent="0.3">
      <c r="A1933">
        <v>1931</v>
      </c>
      <c r="B1933" t="s">
        <v>8037</v>
      </c>
      <c r="C1933" t="s">
        <v>8038</v>
      </c>
      <c r="D1933">
        <v>355</v>
      </c>
      <c r="E1933" t="s">
        <v>8019</v>
      </c>
      <c r="F1933" t="str">
        <f>VLOOKUP(E1933,country_continent!A:C,2,FALSE)</f>
        <v>Bulgaria</v>
      </c>
      <c r="G1933" t="str">
        <f>VLOOKUP(E1933,country_continent!A:C,3,FALSE)</f>
        <v>Europe</v>
      </c>
      <c r="H1933" t="s">
        <v>8039</v>
      </c>
      <c r="I1933" s="1">
        <v>17129</v>
      </c>
      <c r="J1933" s="3">
        <f t="shared" si="90"/>
        <v>17129</v>
      </c>
      <c r="K1933" s="1">
        <v>18081</v>
      </c>
      <c r="L1933" s="3">
        <f t="shared" si="91"/>
        <v>18081</v>
      </c>
      <c r="M1933" t="s">
        <v>49</v>
      </c>
      <c r="N1933" t="s">
        <v>110</v>
      </c>
      <c r="O1933" t="s">
        <v>49</v>
      </c>
      <c r="P1933">
        <v>0</v>
      </c>
      <c r="Q1933" t="s">
        <v>111</v>
      </c>
      <c r="R1933" t="s">
        <v>51</v>
      </c>
      <c r="S1933">
        <v>1882</v>
      </c>
      <c r="T1933">
        <v>1949</v>
      </c>
      <c r="U1933" t="s">
        <v>8040</v>
      </c>
      <c r="V1933" t="s">
        <v>8041</v>
      </c>
      <c r="W1933" s="1">
        <v>18081</v>
      </c>
      <c r="X1933" s="2">
        <v>18081</v>
      </c>
      <c r="Z1933">
        <v>0</v>
      </c>
      <c r="AA1933">
        <v>2</v>
      </c>
      <c r="AB1933">
        <v>0</v>
      </c>
      <c r="AC1933">
        <v>-777</v>
      </c>
      <c r="AD1933" t="s">
        <v>8042</v>
      </c>
      <c r="AE1933">
        <v>0</v>
      </c>
      <c r="AF1933">
        <v>1946</v>
      </c>
      <c r="AG1933">
        <v>1949</v>
      </c>
      <c r="AO1933" t="b">
        <v>0</v>
      </c>
      <c r="AT1933">
        <v>952</v>
      </c>
      <c r="AU1933">
        <f t="shared" si="92"/>
        <v>2.6080000000000001</v>
      </c>
    </row>
    <row r="1934" spans="1:47" x14ac:dyDescent="0.3">
      <c r="A1934">
        <v>1932</v>
      </c>
      <c r="B1934" t="s">
        <v>8043</v>
      </c>
      <c r="C1934" t="s">
        <v>8044</v>
      </c>
      <c r="D1934">
        <v>355</v>
      </c>
      <c r="E1934" t="s">
        <v>8019</v>
      </c>
      <c r="F1934" t="str">
        <f>VLOOKUP(E1934,country_continent!A:C,2,FALSE)</f>
        <v>Bulgaria</v>
      </c>
      <c r="G1934" t="str">
        <f>VLOOKUP(E1934,country_continent!A:C,3,FALSE)</f>
        <v>Europe</v>
      </c>
      <c r="H1934" t="s">
        <v>8045</v>
      </c>
      <c r="I1934" s="1">
        <v>18099</v>
      </c>
      <c r="J1934" s="3">
        <f t="shared" si="90"/>
        <v>18099</v>
      </c>
      <c r="K1934" s="1">
        <v>18286</v>
      </c>
      <c r="L1934" s="3">
        <f t="shared" si="91"/>
        <v>18286</v>
      </c>
      <c r="M1934" t="s">
        <v>49</v>
      </c>
      <c r="N1934" t="s">
        <v>110</v>
      </c>
      <c r="O1934" t="s">
        <v>49</v>
      </c>
      <c r="P1934">
        <v>0</v>
      </c>
      <c r="Q1934" t="s">
        <v>111</v>
      </c>
      <c r="R1934" t="s">
        <v>51</v>
      </c>
      <c r="S1934">
        <v>1877</v>
      </c>
      <c r="T1934">
        <v>1950</v>
      </c>
      <c r="U1934" t="s">
        <v>8046</v>
      </c>
      <c r="V1934" t="s">
        <v>8047</v>
      </c>
      <c r="W1934" s="1">
        <v>18286</v>
      </c>
      <c r="X1934" s="2">
        <v>18286</v>
      </c>
      <c r="Z1934">
        <v>0</v>
      </c>
      <c r="AA1934">
        <v>2</v>
      </c>
      <c r="AB1934">
        <v>0</v>
      </c>
      <c r="AC1934">
        <v>-777</v>
      </c>
      <c r="AD1934" t="s">
        <v>8048</v>
      </c>
      <c r="AE1934">
        <v>1</v>
      </c>
      <c r="AF1934">
        <v>1949</v>
      </c>
      <c r="AG1934">
        <v>1950</v>
      </c>
      <c r="AO1934" t="b">
        <v>0</v>
      </c>
      <c r="AT1934">
        <v>187</v>
      </c>
      <c r="AU1934">
        <f t="shared" si="92"/>
        <v>0.51200000000000001</v>
      </c>
    </row>
    <row r="1935" spans="1:47" x14ac:dyDescent="0.3">
      <c r="A1935">
        <v>1933</v>
      </c>
      <c r="B1935" t="s">
        <v>8049</v>
      </c>
      <c r="C1935" t="s">
        <v>8050</v>
      </c>
      <c r="D1935">
        <v>355</v>
      </c>
      <c r="E1935" t="s">
        <v>8019</v>
      </c>
      <c r="F1935" t="str">
        <f>VLOOKUP(E1935,country_continent!A:C,2,FALSE)</f>
        <v>Bulgaria</v>
      </c>
      <c r="G1935" t="str">
        <f>VLOOKUP(E1935,country_continent!A:C,3,FALSE)</f>
        <v>Europe</v>
      </c>
      <c r="H1935" t="s">
        <v>8051</v>
      </c>
      <c r="I1935" s="1">
        <v>18295</v>
      </c>
      <c r="J1935" s="3">
        <f t="shared" si="90"/>
        <v>18295</v>
      </c>
      <c r="K1935" s="1">
        <v>20561</v>
      </c>
      <c r="L1935" s="3">
        <f t="shared" si="91"/>
        <v>20561</v>
      </c>
      <c r="M1935" t="s">
        <v>49</v>
      </c>
      <c r="N1935" t="s">
        <v>49</v>
      </c>
      <c r="O1935" t="s">
        <v>49</v>
      </c>
      <c r="P1935">
        <v>0</v>
      </c>
      <c r="Q1935" t="s">
        <v>50</v>
      </c>
      <c r="R1935" t="s">
        <v>51</v>
      </c>
      <c r="S1935">
        <v>1900</v>
      </c>
      <c r="T1935">
        <v>1980</v>
      </c>
      <c r="U1935" s="1">
        <v>250</v>
      </c>
      <c r="V1935" s="2">
        <v>250</v>
      </c>
      <c r="W1935" s="1">
        <v>29515</v>
      </c>
      <c r="X1935" s="2">
        <v>29515</v>
      </c>
      <c r="Z1935">
        <v>0</v>
      </c>
      <c r="AA1935">
        <v>1</v>
      </c>
      <c r="AB1935">
        <v>0</v>
      </c>
      <c r="AC1935">
        <v>0</v>
      </c>
      <c r="AF1935">
        <v>1950</v>
      </c>
      <c r="AG1935">
        <v>1956</v>
      </c>
      <c r="AO1935" t="b">
        <v>0</v>
      </c>
      <c r="AT1935">
        <v>2266</v>
      </c>
      <c r="AU1935">
        <f t="shared" si="92"/>
        <v>6.2080000000000002</v>
      </c>
    </row>
    <row r="1936" spans="1:47" x14ac:dyDescent="0.3">
      <c r="A1936">
        <v>1934</v>
      </c>
      <c r="B1936" t="s">
        <v>8052</v>
      </c>
      <c r="C1936" t="s">
        <v>8053</v>
      </c>
      <c r="D1936">
        <v>355</v>
      </c>
      <c r="E1936" t="s">
        <v>8019</v>
      </c>
      <c r="F1936" t="str">
        <f>VLOOKUP(E1936,country_continent!A:C,2,FALSE)</f>
        <v>Bulgaria</v>
      </c>
      <c r="G1936" t="str">
        <f>VLOOKUP(E1936,country_continent!A:C,3,FALSE)</f>
        <v>Europe</v>
      </c>
      <c r="H1936" t="s">
        <v>8054</v>
      </c>
      <c r="I1936" s="1">
        <v>20561</v>
      </c>
      <c r="J1936" s="3">
        <f t="shared" si="90"/>
        <v>20561</v>
      </c>
      <c r="K1936" s="1">
        <v>32822</v>
      </c>
      <c r="L1936" s="3">
        <f t="shared" si="91"/>
        <v>32822</v>
      </c>
      <c r="M1936" t="s">
        <v>49</v>
      </c>
      <c r="N1936" t="s">
        <v>49</v>
      </c>
      <c r="O1936" t="s">
        <v>49</v>
      </c>
      <c r="P1936">
        <v>0</v>
      </c>
      <c r="Q1936" t="s">
        <v>463</v>
      </c>
      <c r="R1936" t="s">
        <v>51</v>
      </c>
      <c r="S1936">
        <v>1911</v>
      </c>
      <c r="T1936">
        <v>1998</v>
      </c>
      <c r="Y1936" t="s">
        <v>8055</v>
      </c>
      <c r="Z1936">
        <v>0</v>
      </c>
      <c r="AA1936">
        <v>1</v>
      </c>
      <c r="AB1936">
        <v>0</v>
      </c>
      <c r="AC1936">
        <v>2</v>
      </c>
      <c r="AF1936">
        <v>1956</v>
      </c>
      <c r="AG1936">
        <v>1989</v>
      </c>
      <c r="AO1936" t="b">
        <v>0</v>
      </c>
      <c r="AT1936">
        <v>12261</v>
      </c>
      <c r="AU1936">
        <f t="shared" si="92"/>
        <v>33.591999999999999</v>
      </c>
    </row>
    <row r="1937" spans="1:47" x14ac:dyDescent="0.3">
      <c r="A1937">
        <v>1935</v>
      </c>
      <c r="B1937" t="s">
        <v>8056</v>
      </c>
      <c r="C1937" t="s">
        <v>8057</v>
      </c>
      <c r="D1937">
        <v>355</v>
      </c>
      <c r="E1937" t="s">
        <v>8019</v>
      </c>
      <c r="F1937" t="str">
        <f>VLOOKUP(E1937,country_continent!A:C,2,FALSE)</f>
        <v>Bulgaria</v>
      </c>
      <c r="G1937" t="str">
        <f>VLOOKUP(E1937,country_continent!A:C,3,FALSE)</f>
        <v>Europe</v>
      </c>
      <c r="H1937" t="s">
        <v>8058</v>
      </c>
      <c r="I1937" s="1">
        <v>32822</v>
      </c>
      <c r="J1937" s="3">
        <f t="shared" si="90"/>
        <v>32822</v>
      </c>
      <c r="K1937" s="1">
        <v>33060</v>
      </c>
      <c r="L1937" s="3">
        <f t="shared" si="91"/>
        <v>33060</v>
      </c>
      <c r="M1937" t="s">
        <v>49</v>
      </c>
      <c r="N1937" t="s">
        <v>49</v>
      </c>
      <c r="O1937" t="s">
        <v>49</v>
      </c>
      <c r="P1937">
        <v>0</v>
      </c>
      <c r="Q1937" t="s">
        <v>50</v>
      </c>
      <c r="R1937" t="s">
        <v>51</v>
      </c>
      <c r="S1937">
        <v>1936</v>
      </c>
      <c r="T1937">
        <v>2000</v>
      </c>
      <c r="U1937" s="1">
        <v>13384</v>
      </c>
      <c r="V1937" s="2">
        <v>13384</v>
      </c>
      <c r="W1937" s="1">
        <v>36677</v>
      </c>
      <c r="X1937" s="2">
        <v>36677</v>
      </c>
      <c r="Y1937" t="s">
        <v>8059</v>
      </c>
      <c r="Z1937">
        <v>0</v>
      </c>
      <c r="AA1937">
        <v>1</v>
      </c>
      <c r="AB1937">
        <v>0</v>
      </c>
      <c r="AC1937">
        <v>0</v>
      </c>
      <c r="AF1937">
        <v>1989</v>
      </c>
      <c r="AG1937">
        <v>1990</v>
      </c>
      <c r="AO1937" t="b">
        <v>0</v>
      </c>
      <c r="AT1937">
        <v>238</v>
      </c>
      <c r="AU1937">
        <f t="shared" si="92"/>
        <v>0.65200000000000002</v>
      </c>
    </row>
    <row r="1938" spans="1:47" x14ac:dyDescent="0.3">
      <c r="A1938">
        <v>1936</v>
      </c>
      <c r="B1938" t="s">
        <v>8060</v>
      </c>
      <c r="C1938" t="s">
        <v>8061</v>
      </c>
      <c r="D1938">
        <v>355</v>
      </c>
      <c r="E1938" t="s">
        <v>8019</v>
      </c>
      <c r="F1938" t="str">
        <f>VLOOKUP(E1938,country_continent!A:C,2,FALSE)</f>
        <v>Bulgaria</v>
      </c>
      <c r="G1938" t="str">
        <f>VLOOKUP(E1938,country_continent!A:C,3,FALSE)</f>
        <v>Europe</v>
      </c>
      <c r="H1938" t="s">
        <v>8062</v>
      </c>
      <c r="I1938" s="1">
        <v>33060</v>
      </c>
      <c r="J1938" s="3">
        <f t="shared" si="90"/>
        <v>33060</v>
      </c>
      <c r="K1938" s="1">
        <v>33214</v>
      </c>
      <c r="L1938" s="3">
        <f t="shared" si="91"/>
        <v>33214</v>
      </c>
      <c r="M1938" t="s">
        <v>49</v>
      </c>
      <c r="N1938" t="s">
        <v>49</v>
      </c>
      <c r="O1938" t="s">
        <v>49</v>
      </c>
      <c r="P1938">
        <v>0</v>
      </c>
      <c r="Q1938" t="s">
        <v>50</v>
      </c>
      <c r="R1938" t="s">
        <v>51</v>
      </c>
      <c r="S1938">
        <v>1938</v>
      </c>
      <c r="T1938">
        <v>1996</v>
      </c>
      <c r="U1938" s="1">
        <v>14149</v>
      </c>
      <c r="V1938" s="2">
        <v>14149</v>
      </c>
      <c r="W1938" s="1">
        <v>35340</v>
      </c>
      <c r="X1938" s="2">
        <v>35340</v>
      </c>
      <c r="Z1938">
        <v>0</v>
      </c>
      <c r="AA1938">
        <v>1</v>
      </c>
      <c r="AB1938">
        <v>0</v>
      </c>
      <c r="AC1938">
        <v>0</v>
      </c>
      <c r="AF1938">
        <v>1990</v>
      </c>
      <c r="AG1938">
        <v>1990</v>
      </c>
      <c r="AO1938" t="b">
        <v>0</v>
      </c>
      <c r="AT1938">
        <v>154</v>
      </c>
      <c r="AU1938">
        <f t="shared" si="92"/>
        <v>0.42199999999999999</v>
      </c>
    </row>
    <row r="1939" spans="1:47" x14ac:dyDescent="0.3">
      <c r="A1939">
        <v>1937</v>
      </c>
      <c r="B1939" t="s">
        <v>8063</v>
      </c>
      <c r="C1939" t="s">
        <v>8064</v>
      </c>
      <c r="D1939">
        <v>355</v>
      </c>
      <c r="E1939" t="s">
        <v>8019</v>
      </c>
      <c r="F1939" t="str">
        <f>VLOOKUP(E1939,country_continent!A:C,2,FALSE)</f>
        <v>Bulgaria</v>
      </c>
      <c r="G1939" t="str">
        <f>VLOOKUP(E1939,country_continent!A:C,3,FALSE)</f>
        <v>Europe</v>
      </c>
      <c r="H1939" t="s">
        <v>8065</v>
      </c>
      <c r="I1939" s="1">
        <v>33214</v>
      </c>
      <c r="J1939" s="3">
        <f t="shared" si="90"/>
        <v>33214</v>
      </c>
      <c r="K1939" s="1">
        <v>33550</v>
      </c>
      <c r="L1939" s="3">
        <f t="shared" si="91"/>
        <v>33550</v>
      </c>
      <c r="M1939" t="s">
        <v>49</v>
      </c>
      <c r="N1939" t="s">
        <v>49</v>
      </c>
      <c r="O1939" t="s">
        <v>49</v>
      </c>
      <c r="P1939">
        <v>0</v>
      </c>
      <c r="Q1939" t="s">
        <v>1453</v>
      </c>
      <c r="R1939" t="s">
        <v>51</v>
      </c>
      <c r="S1939">
        <v>1927</v>
      </c>
      <c r="T1939">
        <v>-777</v>
      </c>
      <c r="Z1939">
        <v>0</v>
      </c>
      <c r="AA1939">
        <v>1</v>
      </c>
      <c r="AB1939">
        <v>0</v>
      </c>
      <c r="AC1939">
        <v>-666</v>
      </c>
      <c r="AF1939">
        <v>1990</v>
      </c>
      <c r="AG1939">
        <v>1991</v>
      </c>
      <c r="AO1939" t="b">
        <v>0</v>
      </c>
      <c r="AT1939">
        <v>336</v>
      </c>
      <c r="AU1939">
        <f t="shared" si="92"/>
        <v>0.92100000000000004</v>
      </c>
    </row>
    <row r="1940" spans="1:47" x14ac:dyDescent="0.3">
      <c r="A1940">
        <v>1938</v>
      </c>
      <c r="B1940" t="s">
        <v>8066</v>
      </c>
      <c r="C1940" t="s">
        <v>8067</v>
      </c>
      <c r="D1940">
        <v>355</v>
      </c>
      <c r="E1940" t="s">
        <v>8019</v>
      </c>
      <c r="F1940" t="str">
        <f>VLOOKUP(E1940,country_continent!A:C,2,FALSE)</f>
        <v>Bulgaria</v>
      </c>
      <c r="G1940" t="str">
        <f>VLOOKUP(E1940,country_continent!A:C,3,FALSE)</f>
        <v>Europe</v>
      </c>
      <c r="H1940" t="s">
        <v>8068</v>
      </c>
      <c r="I1940" s="1">
        <v>33550</v>
      </c>
      <c r="J1940" s="3">
        <f t="shared" si="90"/>
        <v>33550</v>
      </c>
      <c r="K1940" s="1">
        <v>33968</v>
      </c>
      <c r="L1940" s="3">
        <f t="shared" si="91"/>
        <v>33968</v>
      </c>
      <c r="M1940" t="s">
        <v>49</v>
      </c>
      <c r="N1940" t="s">
        <v>49</v>
      </c>
      <c r="O1940" t="s">
        <v>49</v>
      </c>
      <c r="P1940">
        <v>0</v>
      </c>
      <c r="Q1940" t="s">
        <v>50</v>
      </c>
      <c r="R1940" t="s">
        <v>51</v>
      </c>
      <c r="S1940">
        <v>1955</v>
      </c>
      <c r="T1940">
        <v>-777</v>
      </c>
      <c r="U1940" s="1">
        <v>20179</v>
      </c>
      <c r="V1940" s="2">
        <v>20179</v>
      </c>
      <c r="Z1940">
        <v>0</v>
      </c>
      <c r="AA1940">
        <v>1</v>
      </c>
      <c r="AB1940">
        <v>0</v>
      </c>
      <c r="AC1940">
        <v>0</v>
      </c>
      <c r="AF1940">
        <v>1991</v>
      </c>
      <c r="AG1940">
        <v>1992</v>
      </c>
      <c r="AO1940" t="b">
        <v>0</v>
      </c>
      <c r="AT1940">
        <v>418</v>
      </c>
      <c r="AU1940">
        <f t="shared" si="92"/>
        <v>1.145</v>
      </c>
    </row>
    <row r="1941" spans="1:47" x14ac:dyDescent="0.3">
      <c r="A1941">
        <v>1939</v>
      </c>
      <c r="B1941" t="s">
        <v>8069</v>
      </c>
      <c r="C1941" t="s">
        <v>8070</v>
      </c>
      <c r="D1941">
        <v>355</v>
      </c>
      <c r="E1941" t="s">
        <v>8019</v>
      </c>
      <c r="F1941" t="str">
        <f>VLOOKUP(E1941,country_continent!A:C,2,FALSE)</f>
        <v>Bulgaria</v>
      </c>
      <c r="G1941" t="str">
        <f>VLOOKUP(E1941,country_continent!A:C,3,FALSE)</f>
        <v>Europe</v>
      </c>
      <c r="H1941" t="s">
        <v>8071</v>
      </c>
      <c r="I1941" s="1">
        <v>33968</v>
      </c>
      <c r="J1941" s="3">
        <f t="shared" si="90"/>
        <v>33968</v>
      </c>
      <c r="K1941" s="1">
        <v>34624</v>
      </c>
      <c r="L1941" s="3">
        <f t="shared" si="91"/>
        <v>34624</v>
      </c>
      <c r="M1941" t="s">
        <v>49</v>
      </c>
      <c r="N1941" t="s">
        <v>49</v>
      </c>
      <c r="O1941" t="s">
        <v>49</v>
      </c>
      <c r="P1941">
        <v>0</v>
      </c>
      <c r="Q1941" t="s">
        <v>50</v>
      </c>
      <c r="R1941" t="s">
        <v>51</v>
      </c>
      <c r="S1941">
        <v>1925</v>
      </c>
      <c r="T1941">
        <v>2006</v>
      </c>
      <c r="Z1941">
        <v>0</v>
      </c>
      <c r="AA1941">
        <v>1</v>
      </c>
      <c r="AB1941">
        <v>0</v>
      </c>
      <c r="AC1941">
        <v>0</v>
      </c>
      <c r="AF1941">
        <v>1992</v>
      </c>
      <c r="AG1941">
        <v>1994</v>
      </c>
      <c r="AO1941" t="b">
        <v>0</v>
      </c>
      <c r="AT1941">
        <v>656</v>
      </c>
      <c r="AU1941">
        <f t="shared" si="92"/>
        <v>1.7969999999999999</v>
      </c>
    </row>
    <row r="1942" spans="1:47" x14ac:dyDescent="0.3">
      <c r="A1942">
        <v>1940</v>
      </c>
      <c r="B1942" t="s">
        <v>8072</v>
      </c>
      <c r="C1942" t="s">
        <v>8073</v>
      </c>
      <c r="D1942">
        <v>355</v>
      </c>
      <c r="E1942" t="s">
        <v>8019</v>
      </c>
      <c r="F1942" t="str">
        <f>VLOOKUP(E1942,country_continent!A:C,2,FALSE)</f>
        <v>Bulgaria</v>
      </c>
      <c r="G1942" t="str">
        <f>VLOOKUP(E1942,country_continent!A:C,3,FALSE)</f>
        <v>Europe</v>
      </c>
      <c r="H1942" t="s">
        <v>8074</v>
      </c>
      <c r="I1942" s="1">
        <v>34624</v>
      </c>
      <c r="J1942" s="3">
        <f t="shared" si="90"/>
        <v>34624</v>
      </c>
      <c r="K1942" s="1">
        <v>34724</v>
      </c>
      <c r="L1942" s="3">
        <f t="shared" si="91"/>
        <v>34724</v>
      </c>
      <c r="M1942" t="s">
        <v>49</v>
      </c>
      <c r="N1942" t="s">
        <v>49</v>
      </c>
      <c r="O1942" t="s">
        <v>49</v>
      </c>
      <c r="P1942">
        <v>0</v>
      </c>
      <c r="Q1942" t="s">
        <v>50</v>
      </c>
      <c r="R1942" t="s">
        <v>299</v>
      </c>
      <c r="S1942">
        <v>1953</v>
      </c>
      <c r="T1942">
        <v>-777</v>
      </c>
      <c r="Y1942" t="s">
        <v>8075</v>
      </c>
      <c r="Z1942">
        <v>0</v>
      </c>
      <c r="AA1942">
        <v>1</v>
      </c>
      <c r="AB1942">
        <v>0</v>
      </c>
      <c r="AC1942">
        <v>0</v>
      </c>
      <c r="AF1942">
        <v>1994</v>
      </c>
      <c r="AG1942">
        <v>1995</v>
      </c>
      <c r="AO1942" t="b">
        <v>0</v>
      </c>
      <c r="AT1942">
        <v>100</v>
      </c>
      <c r="AU1942">
        <f t="shared" si="92"/>
        <v>0.27400000000000002</v>
      </c>
    </row>
    <row r="1943" spans="1:47" x14ac:dyDescent="0.3">
      <c r="A1943">
        <v>1941</v>
      </c>
      <c r="B1943" t="s">
        <v>8076</v>
      </c>
      <c r="C1943" t="s">
        <v>8077</v>
      </c>
      <c r="D1943">
        <v>355</v>
      </c>
      <c r="E1943" t="s">
        <v>8019</v>
      </c>
      <c r="F1943" t="str">
        <f>VLOOKUP(E1943,country_continent!A:C,2,FALSE)</f>
        <v>Bulgaria</v>
      </c>
      <c r="G1943" t="str">
        <f>VLOOKUP(E1943,country_continent!A:C,3,FALSE)</f>
        <v>Europe</v>
      </c>
      <c r="H1943" t="s">
        <v>8078</v>
      </c>
      <c r="I1943" s="1">
        <v>34724</v>
      </c>
      <c r="J1943" s="3">
        <f t="shared" si="90"/>
        <v>34724</v>
      </c>
      <c r="K1943" s="1">
        <v>35474</v>
      </c>
      <c r="L1943" s="3">
        <f t="shared" si="91"/>
        <v>35474</v>
      </c>
      <c r="M1943" t="s">
        <v>49</v>
      </c>
      <c r="N1943" t="s">
        <v>49</v>
      </c>
      <c r="O1943" t="s">
        <v>49</v>
      </c>
      <c r="P1943">
        <v>0</v>
      </c>
      <c r="Q1943" t="s">
        <v>50</v>
      </c>
      <c r="R1943" t="s">
        <v>51</v>
      </c>
      <c r="S1943">
        <v>1959</v>
      </c>
      <c r="T1943">
        <v>-777</v>
      </c>
      <c r="Z1943">
        <v>0</v>
      </c>
      <c r="AA1943">
        <v>1</v>
      </c>
      <c r="AB1943">
        <v>0</v>
      </c>
      <c r="AC1943">
        <v>0</v>
      </c>
      <c r="AF1943">
        <v>1995</v>
      </c>
      <c r="AG1943">
        <v>1997</v>
      </c>
      <c r="AO1943" t="b">
        <v>0</v>
      </c>
      <c r="AT1943">
        <v>750</v>
      </c>
      <c r="AU1943">
        <f t="shared" si="92"/>
        <v>2.0550000000000002</v>
      </c>
    </row>
    <row r="1944" spans="1:47" x14ac:dyDescent="0.3">
      <c r="A1944">
        <v>1942</v>
      </c>
      <c r="B1944" t="s">
        <v>8079</v>
      </c>
      <c r="C1944" t="s">
        <v>8080</v>
      </c>
      <c r="D1944">
        <v>355</v>
      </c>
      <c r="E1944" t="s">
        <v>8019</v>
      </c>
      <c r="F1944" t="str">
        <f>VLOOKUP(E1944,country_continent!A:C,2,FALSE)</f>
        <v>Bulgaria</v>
      </c>
      <c r="G1944" t="str">
        <f>VLOOKUP(E1944,country_continent!A:C,3,FALSE)</f>
        <v>Europe</v>
      </c>
      <c r="H1944" t="s">
        <v>8081</v>
      </c>
      <c r="I1944" s="1">
        <v>35474</v>
      </c>
      <c r="J1944" s="3">
        <f t="shared" si="90"/>
        <v>35474</v>
      </c>
      <c r="K1944" s="1">
        <v>35571</v>
      </c>
      <c r="L1944" s="3">
        <f t="shared" si="91"/>
        <v>35571</v>
      </c>
      <c r="M1944" t="s">
        <v>49</v>
      </c>
      <c r="N1944" t="s">
        <v>49</v>
      </c>
      <c r="O1944" t="s">
        <v>49</v>
      </c>
      <c r="P1944">
        <v>0</v>
      </c>
      <c r="Q1944" t="s">
        <v>50</v>
      </c>
      <c r="R1944" t="s">
        <v>51</v>
      </c>
      <c r="S1944">
        <v>1951</v>
      </c>
      <c r="T1944">
        <v>-777</v>
      </c>
      <c r="Z1944">
        <v>0</v>
      </c>
      <c r="AA1944">
        <v>1</v>
      </c>
      <c r="AB1944">
        <v>0</v>
      </c>
      <c r="AC1944">
        <v>0</v>
      </c>
      <c r="AF1944">
        <v>1997</v>
      </c>
      <c r="AG1944">
        <v>1997</v>
      </c>
      <c r="AO1944" t="b">
        <v>0</v>
      </c>
      <c r="AT1944">
        <v>97</v>
      </c>
      <c r="AU1944">
        <f t="shared" si="92"/>
        <v>0.26600000000000001</v>
      </c>
    </row>
    <row r="1945" spans="1:47" x14ac:dyDescent="0.3">
      <c r="A1945">
        <v>1943</v>
      </c>
      <c r="B1945" t="s">
        <v>8082</v>
      </c>
      <c r="C1945" t="s">
        <v>8083</v>
      </c>
      <c r="D1945">
        <v>355</v>
      </c>
      <c r="E1945" t="s">
        <v>8019</v>
      </c>
      <c r="F1945" t="str">
        <f>VLOOKUP(E1945,country_continent!A:C,2,FALSE)</f>
        <v>Bulgaria</v>
      </c>
      <c r="G1945" t="str">
        <f>VLOOKUP(E1945,country_continent!A:C,3,FALSE)</f>
        <v>Europe</v>
      </c>
      <c r="H1945" t="s">
        <v>8084</v>
      </c>
      <c r="I1945" s="1">
        <v>35571</v>
      </c>
      <c r="J1945" s="3">
        <f t="shared" si="90"/>
        <v>35571</v>
      </c>
      <c r="K1945" s="1">
        <v>37093</v>
      </c>
      <c r="L1945" s="3">
        <f t="shared" si="91"/>
        <v>37093</v>
      </c>
      <c r="M1945" t="s">
        <v>49</v>
      </c>
      <c r="N1945" t="s">
        <v>49</v>
      </c>
      <c r="O1945" t="s">
        <v>49</v>
      </c>
      <c r="P1945">
        <v>0</v>
      </c>
      <c r="Q1945" t="s">
        <v>50</v>
      </c>
      <c r="R1945" t="s">
        <v>51</v>
      </c>
      <c r="S1945">
        <v>1949</v>
      </c>
      <c r="T1945">
        <v>-777</v>
      </c>
      <c r="Z1945">
        <v>0</v>
      </c>
      <c r="AA1945">
        <v>1</v>
      </c>
      <c r="AB1945">
        <v>0</v>
      </c>
      <c r="AC1945">
        <v>0</v>
      </c>
      <c r="AF1945">
        <v>1997</v>
      </c>
      <c r="AG1945">
        <v>2001</v>
      </c>
      <c r="AO1945" t="b">
        <v>0</v>
      </c>
      <c r="AT1945">
        <v>1522</v>
      </c>
      <c r="AU1945">
        <f t="shared" si="92"/>
        <v>4.17</v>
      </c>
    </row>
    <row r="1946" spans="1:47" x14ac:dyDescent="0.3">
      <c r="A1946">
        <v>1944</v>
      </c>
      <c r="B1946" t="s">
        <v>8085</v>
      </c>
      <c r="C1946" t="s">
        <v>8086</v>
      </c>
      <c r="D1946">
        <v>355</v>
      </c>
      <c r="E1946" t="s">
        <v>8019</v>
      </c>
      <c r="F1946" t="str">
        <f>VLOOKUP(E1946,country_continent!A:C,2,FALSE)</f>
        <v>Bulgaria</v>
      </c>
      <c r="G1946" t="str">
        <f>VLOOKUP(E1946,country_continent!A:C,3,FALSE)</f>
        <v>Europe</v>
      </c>
      <c r="H1946" t="s">
        <v>8087</v>
      </c>
      <c r="I1946" s="1">
        <v>37096</v>
      </c>
      <c r="J1946" s="3">
        <f t="shared" si="90"/>
        <v>37096</v>
      </c>
      <c r="K1946" s="1">
        <v>38580</v>
      </c>
      <c r="L1946" s="3">
        <f t="shared" si="91"/>
        <v>38580</v>
      </c>
      <c r="M1946" t="s">
        <v>49</v>
      </c>
      <c r="N1946" t="s">
        <v>49</v>
      </c>
      <c r="O1946" t="s">
        <v>49</v>
      </c>
      <c r="P1946">
        <v>0</v>
      </c>
      <c r="Q1946" t="s">
        <v>50</v>
      </c>
      <c r="R1946" t="s">
        <v>51</v>
      </c>
      <c r="S1946">
        <v>1937</v>
      </c>
      <c r="T1946">
        <v>-777</v>
      </c>
      <c r="Z1946">
        <v>0</v>
      </c>
      <c r="AA1946">
        <v>1</v>
      </c>
      <c r="AB1946">
        <v>0</v>
      </c>
      <c r="AC1946">
        <v>0</v>
      </c>
      <c r="AF1946">
        <v>2001</v>
      </c>
      <c r="AG1946">
        <v>2005</v>
      </c>
      <c r="AO1946" t="b">
        <v>0</v>
      </c>
      <c r="AT1946">
        <v>1484</v>
      </c>
      <c r="AU1946">
        <f t="shared" si="92"/>
        <v>4.0659999999999998</v>
      </c>
    </row>
    <row r="1947" spans="1:47" x14ac:dyDescent="0.3">
      <c r="A1947">
        <v>1945</v>
      </c>
      <c r="B1947" t="s">
        <v>8088</v>
      </c>
      <c r="C1947" t="s">
        <v>8089</v>
      </c>
      <c r="D1947">
        <v>355</v>
      </c>
      <c r="E1947" t="s">
        <v>8019</v>
      </c>
      <c r="F1947" t="str">
        <f>VLOOKUP(E1947,country_continent!A:C,2,FALSE)</f>
        <v>Bulgaria</v>
      </c>
      <c r="G1947" t="str">
        <f>VLOOKUP(E1947,country_continent!A:C,3,FALSE)</f>
        <v>Europe</v>
      </c>
      <c r="H1947" t="s">
        <v>8090</v>
      </c>
      <c r="I1947" s="1">
        <v>38580</v>
      </c>
      <c r="J1947" s="3">
        <f t="shared" si="90"/>
        <v>38580</v>
      </c>
      <c r="K1947" s="1">
        <v>40021</v>
      </c>
      <c r="L1947" s="3">
        <f t="shared" si="91"/>
        <v>40021</v>
      </c>
      <c r="M1947" t="s">
        <v>49</v>
      </c>
      <c r="N1947" t="s">
        <v>49</v>
      </c>
      <c r="O1947" t="s">
        <v>49</v>
      </c>
      <c r="P1947">
        <v>0</v>
      </c>
      <c r="Q1947" t="s">
        <v>50</v>
      </c>
      <c r="R1947" t="s">
        <v>51</v>
      </c>
      <c r="S1947">
        <v>1966</v>
      </c>
      <c r="T1947">
        <v>-777</v>
      </c>
      <c r="Z1947">
        <v>0</v>
      </c>
      <c r="AA1947">
        <v>1</v>
      </c>
      <c r="AB1947">
        <v>0</v>
      </c>
      <c r="AC1947">
        <v>0</v>
      </c>
      <c r="AF1947">
        <v>2005</v>
      </c>
      <c r="AG1947">
        <v>2009</v>
      </c>
      <c r="AO1947" t="b">
        <v>0</v>
      </c>
      <c r="AT1947">
        <v>1441</v>
      </c>
      <c r="AU1947">
        <f t="shared" si="92"/>
        <v>3.948</v>
      </c>
    </row>
    <row r="1948" spans="1:47" x14ac:dyDescent="0.3">
      <c r="A1948">
        <v>1946</v>
      </c>
      <c r="B1948" t="s">
        <v>8091</v>
      </c>
      <c r="C1948" t="s">
        <v>8092</v>
      </c>
      <c r="D1948">
        <v>355</v>
      </c>
      <c r="E1948" t="s">
        <v>8019</v>
      </c>
      <c r="F1948" t="str">
        <f>VLOOKUP(E1948,country_continent!A:C,2,FALSE)</f>
        <v>Bulgaria</v>
      </c>
      <c r="G1948" t="str">
        <f>VLOOKUP(E1948,country_continent!A:C,3,FALSE)</f>
        <v>Europe</v>
      </c>
      <c r="H1948" t="s">
        <v>8093</v>
      </c>
      <c r="I1948" s="1">
        <v>40021</v>
      </c>
      <c r="J1948" s="3">
        <f t="shared" si="90"/>
        <v>40021</v>
      </c>
      <c r="K1948" s="1">
        <v>41346</v>
      </c>
      <c r="L1948" s="3">
        <f t="shared" si="91"/>
        <v>41346</v>
      </c>
      <c r="M1948" t="s">
        <v>49</v>
      </c>
      <c r="N1948" t="s">
        <v>49</v>
      </c>
      <c r="O1948" t="s">
        <v>49</v>
      </c>
      <c r="P1948">
        <v>0</v>
      </c>
      <c r="Q1948" t="s">
        <v>50</v>
      </c>
      <c r="R1948" t="s">
        <v>51</v>
      </c>
      <c r="S1948">
        <v>1959</v>
      </c>
      <c r="T1948">
        <v>-777</v>
      </c>
      <c r="Z1948">
        <v>0</v>
      </c>
      <c r="AA1948">
        <v>1</v>
      </c>
      <c r="AB1948">
        <v>0</v>
      </c>
      <c r="AC1948">
        <v>0</v>
      </c>
      <c r="AF1948">
        <v>2009</v>
      </c>
      <c r="AG1948">
        <v>2013</v>
      </c>
      <c r="AO1948" t="b">
        <v>0</v>
      </c>
      <c r="AT1948">
        <v>1325</v>
      </c>
      <c r="AU1948">
        <f t="shared" si="92"/>
        <v>3.63</v>
      </c>
    </row>
    <row r="1949" spans="1:47" x14ac:dyDescent="0.3">
      <c r="A1949">
        <v>1947</v>
      </c>
      <c r="B1949" t="s">
        <v>8094</v>
      </c>
      <c r="C1949" t="s">
        <v>8095</v>
      </c>
      <c r="D1949">
        <v>355</v>
      </c>
      <c r="E1949" t="s">
        <v>8019</v>
      </c>
      <c r="F1949" t="str">
        <f>VLOOKUP(E1949,country_continent!A:C,2,FALSE)</f>
        <v>Bulgaria</v>
      </c>
      <c r="G1949" t="str">
        <f>VLOOKUP(E1949,country_continent!A:C,3,FALSE)</f>
        <v>Europe</v>
      </c>
      <c r="H1949" t="s">
        <v>8096</v>
      </c>
      <c r="I1949" s="1">
        <v>41346</v>
      </c>
      <c r="J1949" s="3">
        <f t="shared" si="90"/>
        <v>41346</v>
      </c>
      <c r="K1949" s="1">
        <v>41423</v>
      </c>
      <c r="L1949" s="3">
        <f t="shared" si="91"/>
        <v>41423</v>
      </c>
      <c r="M1949" t="s">
        <v>49</v>
      </c>
      <c r="N1949" t="s">
        <v>49</v>
      </c>
      <c r="O1949" t="s">
        <v>49</v>
      </c>
      <c r="P1949">
        <v>0</v>
      </c>
      <c r="Q1949" t="s">
        <v>50</v>
      </c>
      <c r="R1949" t="s">
        <v>51</v>
      </c>
      <c r="S1949">
        <v>1960</v>
      </c>
      <c r="T1949">
        <v>-777</v>
      </c>
      <c r="U1949" s="1">
        <v>22267</v>
      </c>
      <c r="V1949" s="2">
        <v>22267</v>
      </c>
      <c r="Z1949">
        <v>0</v>
      </c>
      <c r="AA1949">
        <v>1</v>
      </c>
      <c r="AB1949">
        <v>0</v>
      </c>
      <c r="AC1949">
        <v>0</v>
      </c>
      <c r="AF1949">
        <v>2013</v>
      </c>
      <c r="AG1949">
        <v>2013</v>
      </c>
      <c r="AO1949" t="b">
        <v>0</v>
      </c>
      <c r="AT1949">
        <v>77</v>
      </c>
      <c r="AU1949">
        <f t="shared" si="92"/>
        <v>0.21099999999999999</v>
      </c>
    </row>
    <row r="1950" spans="1:47" x14ac:dyDescent="0.3">
      <c r="A1950">
        <v>1948</v>
      </c>
      <c r="B1950" t="s">
        <v>8097</v>
      </c>
      <c r="C1950" t="s">
        <v>8098</v>
      </c>
      <c r="D1950">
        <v>355</v>
      </c>
      <c r="E1950" t="s">
        <v>8019</v>
      </c>
      <c r="F1950" t="str">
        <f>VLOOKUP(E1950,country_continent!A:C,2,FALSE)</f>
        <v>Bulgaria</v>
      </c>
      <c r="G1950" t="str">
        <f>VLOOKUP(E1950,country_continent!A:C,3,FALSE)</f>
        <v>Europe</v>
      </c>
      <c r="H1950" t="s">
        <v>8099</v>
      </c>
      <c r="I1950" s="1">
        <v>41423</v>
      </c>
      <c r="J1950" s="3">
        <f t="shared" si="90"/>
        <v>41423</v>
      </c>
      <c r="K1950" s="1">
        <v>41856</v>
      </c>
      <c r="L1950" s="3">
        <f t="shared" si="91"/>
        <v>41856</v>
      </c>
      <c r="M1950" t="s">
        <v>49</v>
      </c>
      <c r="N1950" t="s">
        <v>49</v>
      </c>
      <c r="O1950" t="s">
        <v>49</v>
      </c>
      <c r="P1950">
        <v>0</v>
      </c>
      <c r="Q1950" t="s">
        <v>50</v>
      </c>
      <c r="R1950" t="s">
        <v>51</v>
      </c>
      <c r="S1950">
        <v>1960</v>
      </c>
      <c r="T1950">
        <v>-777</v>
      </c>
      <c r="U1950" s="1">
        <v>21967</v>
      </c>
      <c r="V1950" s="2">
        <v>21967</v>
      </c>
      <c r="Z1950">
        <v>0</v>
      </c>
      <c r="AA1950">
        <v>1</v>
      </c>
      <c r="AB1950">
        <v>0</v>
      </c>
      <c r="AC1950">
        <v>0</v>
      </c>
      <c r="AF1950">
        <v>2013</v>
      </c>
      <c r="AG1950">
        <v>2014</v>
      </c>
      <c r="AO1950" t="b">
        <v>0</v>
      </c>
      <c r="AT1950">
        <v>433</v>
      </c>
      <c r="AU1950">
        <f t="shared" si="92"/>
        <v>1.1859999999999999</v>
      </c>
    </row>
    <row r="1951" spans="1:47" x14ac:dyDescent="0.3">
      <c r="A1951">
        <v>1949</v>
      </c>
      <c r="B1951" t="s">
        <v>8100</v>
      </c>
      <c r="C1951" t="s">
        <v>8101</v>
      </c>
      <c r="D1951">
        <v>355</v>
      </c>
      <c r="E1951" t="s">
        <v>8019</v>
      </c>
      <c r="F1951" t="str">
        <f>VLOOKUP(E1951,country_continent!A:C,2,FALSE)</f>
        <v>Bulgaria</v>
      </c>
      <c r="G1951" t="str">
        <f>VLOOKUP(E1951,country_continent!A:C,3,FALSE)</f>
        <v>Europe</v>
      </c>
      <c r="H1951" t="s">
        <v>8102</v>
      </c>
      <c r="I1951" s="1">
        <v>41856</v>
      </c>
      <c r="J1951" s="3">
        <f t="shared" si="90"/>
        <v>41856</v>
      </c>
      <c r="K1951" s="1">
        <v>41950</v>
      </c>
      <c r="L1951" s="3">
        <f t="shared" si="91"/>
        <v>41950</v>
      </c>
      <c r="M1951" t="s">
        <v>49</v>
      </c>
      <c r="N1951" t="s">
        <v>49</v>
      </c>
      <c r="O1951" t="s">
        <v>49</v>
      </c>
      <c r="P1951">
        <v>0</v>
      </c>
      <c r="Q1951" t="s">
        <v>50</v>
      </c>
      <c r="R1951" t="s">
        <v>51</v>
      </c>
      <c r="S1951">
        <v>1956</v>
      </c>
      <c r="T1951">
        <v>-777</v>
      </c>
      <c r="U1951" s="1">
        <v>20732</v>
      </c>
      <c r="V1951" s="2">
        <v>20732</v>
      </c>
      <c r="Z1951">
        <v>0</v>
      </c>
      <c r="AA1951">
        <v>1</v>
      </c>
      <c r="AB1951">
        <v>0</v>
      </c>
      <c r="AC1951">
        <v>0</v>
      </c>
      <c r="AF1951">
        <v>2014</v>
      </c>
      <c r="AG1951">
        <v>2014</v>
      </c>
      <c r="AO1951" t="b">
        <v>0</v>
      </c>
      <c r="AT1951">
        <v>94</v>
      </c>
      <c r="AU1951">
        <f t="shared" si="92"/>
        <v>0.25800000000000001</v>
      </c>
    </row>
    <row r="1952" spans="1:47" x14ac:dyDescent="0.3">
      <c r="A1952">
        <v>1950</v>
      </c>
      <c r="B1952" t="s">
        <v>8103</v>
      </c>
      <c r="C1952" t="s">
        <v>8092</v>
      </c>
      <c r="D1952">
        <v>355</v>
      </c>
      <c r="E1952" t="s">
        <v>8019</v>
      </c>
      <c r="F1952" t="str">
        <f>VLOOKUP(E1952,country_continent!A:C,2,FALSE)</f>
        <v>Bulgaria</v>
      </c>
      <c r="G1952" t="str">
        <f>VLOOKUP(E1952,country_continent!A:C,3,FALSE)</f>
        <v>Europe</v>
      </c>
      <c r="H1952" t="s">
        <v>8093</v>
      </c>
      <c r="I1952" s="1">
        <v>41950</v>
      </c>
      <c r="J1952" s="3">
        <f t="shared" si="90"/>
        <v>41950</v>
      </c>
      <c r="K1952" s="1">
        <v>42369</v>
      </c>
      <c r="L1952" s="3">
        <f t="shared" si="91"/>
        <v>42369</v>
      </c>
      <c r="M1952" t="s">
        <v>49</v>
      </c>
      <c r="N1952" t="s">
        <v>173</v>
      </c>
      <c r="O1952" t="s">
        <v>173</v>
      </c>
      <c r="P1952">
        <v>1</v>
      </c>
      <c r="Q1952" t="s">
        <v>174</v>
      </c>
      <c r="R1952" t="s">
        <v>51</v>
      </c>
      <c r="S1952">
        <v>1959</v>
      </c>
      <c r="T1952">
        <v>-777</v>
      </c>
      <c r="U1952" s="1">
        <v>21714</v>
      </c>
      <c r="V1952" s="2">
        <v>21714</v>
      </c>
      <c r="Z1952">
        <v>0</v>
      </c>
      <c r="AA1952">
        <v>-888</v>
      </c>
      <c r="AB1952">
        <v>-888</v>
      </c>
      <c r="AC1952">
        <v>-888</v>
      </c>
      <c r="AF1952">
        <v>2014</v>
      </c>
      <c r="AG1952">
        <v>2015</v>
      </c>
      <c r="AO1952" t="b">
        <v>0</v>
      </c>
      <c r="AT1952">
        <v>419</v>
      </c>
      <c r="AU1952">
        <f t="shared" si="92"/>
        <v>1.1479999999999999</v>
      </c>
    </row>
    <row r="1953" spans="1:47" x14ac:dyDescent="0.3">
      <c r="A1953">
        <v>1951</v>
      </c>
      <c r="B1953" t="s">
        <v>8104</v>
      </c>
      <c r="C1953" t="s">
        <v>8105</v>
      </c>
      <c r="D1953">
        <v>359</v>
      </c>
      <c r="E1953" t="s">
        <v>8106</v>
      </c>
      <c r="F1953" t="str">
        <f>VLOOKUP(E1953,country_continent!A:C,2,FALSE)</f>
        <v>Moldova</v>
      </c>
      <c r="G1953" t="str">
        <f>VLOOKUP(E1953,country_continent!A:C,3,FALSE)</f>
        <v>Europe</v>
      </c>
      <c r="H1953" t="s">
        <v>8107</v>
      </c>
      <c r="I1953" s="1">
        <v>33119</v>
      </c>
      <c r="J1953" s="3">
        <f t="shared" si="90"/>
        <v>33119</v>
      </c>
      <c r="K1953" s="1">
        <v>35445</v>
      </c>
      <c r="L1953" s="3">
        <f t="shared" si="91"/>
        <v>35445</v>
      </c>
      <c r="M1953" t="s">
        <v>49</v>
      </c>
      <c r="N1953" t="s">
        <v>49</v>
      </c>
      <c r="O1953" t="s">
        <v>49</v>
      </c>
      <c r="P1953">
        <v>0</v>
      </c>
      <c r="Q1953" t="s">
        <v>50</v>
      </c>
      <c r="R1953" t="s">
        <v>51</v>
      </c>
      <c r="S1953">
        <v>1940</v>
      </c>
      <c r="T1953">
        <v>-777</v>
      </c>
      <c r="Z1953">
        <v>0</v>
      </c>
      <c r="AA1953">
        <v>1</v>
      </c>
      <c r="AB1953">
        <v>0</v>
      </c>
      <c r="AC1953">
        <v>0</v>
      </c>
      <c r="AF1953">
        <v>1990</v>
      </c>
      <c r="AG1953">
        <v>1997</v>
      </c>
      <c r="AO1953" t="b">
        <v>0</v>
      </c>
      <c r="AT1953">
        <v>2326</v>
      </c>
      <c r="AU1953">
        <f t="shared" si="92"/>
        <v>6.3730000000000002</v>
      </c>
    </row>
    <row r="1954" spans="1:47" x14ac:dyDescent="0.3">
      <c r="A1954">
        <v>1952</v>
      </c>
      <c r="B1954" t="s">
        <v>8108</v>
      </c>
      <c r="C1954" t="s">
        <v>8109</v>
      </c>
      <c r="D1954">
        <v>359</v>
      </c>
      <c r="E1954" t="s">
        <v>8106</v>
      </c>
      <c r="F1954" t="str">
        <f>VLOOKUP(E1954,country_continent!A:C,2,FALSE)</f>
        <v>Moldova</v>
      </c>
      <c r="G1954" t="str">
        <f>VLOOKUP(E1954,country_continent!A:C,3,FALSE)</f>
        <v>Europe</v>
      </c>
      <c r="H1954" t="s">
        <v>8110</v>
      </c>
      <c r="I1954" s="1">
        <v>35445</v>
      </c>
      <c r="J1954" s="3">
        <f t="shared" si="90"/>
        <v>35445</v>
      </c>
      <c r="K1954" s="1">
        <v>36988</v>
      </c>
      <c r="L1954" s="3">
        <f t="shared" si="91"/>
        <v>36988</v>
      </c>
      <c r="M1954" t="s">
        <v>49</v>
      </c>
      <c r="N1954" t="s">
        <v>49</v>
      </c>
      <c r="O1954" t="s">
        <v>49</v>
      </c>
      <c r="P1954">
        <v>0</v>
      </c>
      <c r="Q1954" t="s">
        <v>50</v>
      </c>
      <c r="R1954" t="s">
        <v>51</v>
      </c>
      <c r="S1954">
        <v>1940</v>
      </c>
      <c r="T1954">
        <v>-777</v>
      </c>
      <c r="U1954" s="1">
        <v>14637</v>
      </c>
      <c r="V1954" s="2">
        <v>14637</v>
      </c>
      <c r="Y1954" t="s">
        <v>8111</v>
      </c>
      <c r="Z1954">
        <v>0</v>
      </c>
      <c r="AA1954">
        <v>1</v>
      </c>
      <c r="AB1954">
        <v>0</v>
      </c>
      <c r="AC1954">
        <v>0</v>
      </c>
      <c r="AF1954">
        <v>1997</v>
      </c>
      <c r="AG1954">
        <v>2001</v>
      </c>
      <c r="AO1954" t="b">
        <v>0</v>
      </c>
      <c r="AT1954">
        <v>1543</v>
      </c>
      <c r="AU1954">
        <f t="shared" si="92"/>
        <v>4.2270000000000003</v>
      </c>
    </row>
    <row r="1955" spans="1:47" x14ac:dyDescent="0.3">
      <c r="A1955">
        <v>1953</v>
      </c>
      <c r="B1955" t="s">
        <v>8112</v>
      </c>
      <c r="C1955" t="s">
        <v>8113</v>
      </c>
      <c r="D1955">
        <v>359</v>
      </c>
      <c r="E1955" t="s">
        <v>8106</v>
      </c>
      <c r="F1955" t="str">
        <f>VLOOKUP(E1955,country_continent!A:C,2,FALSE)</f>
        <v>Moldova</v>
      </c>
      <c r="G1955" t="str">
        <f>VLOOKUP(E1955,country_continent!A:C,3,FALSE)</f>
        <v>Europe</v>
      </c>
      <c r="H1955" t="s">
        <v>8114</v>
      </c>
      <c r="I1955" s="1">
        <v>36988</v>
      </c>
      <c r="J1955" s="3">
        <f t="shared" si="90"/>
        <v>36988</v>
      </c>
      <c r="K1955" s="1">
        <v>39538</v>
      </c>
      <c r="L1955" s="3">
        <f t="shared" si="91"/>
        <v>39538</v>
      </c>
      <c r="M1955" t="s">
        <v>49</v>
      </c>
      <c r="N1955" t="s">
        <v>49</v>
      </c>
      <c r="O1955" t="s">
        <v>49</v>
      </c>
      <c r="P1955">
        <v>0</v>
      </c>
      <c r="Q1955" t="s">
        <v>50</v>
      </c>
      <c r="R1955" t="s">
        <v>51</v>
      </c>
      <c r="S1955">
        <v>1963</v>
      </c>
      <c r="T1955">
        <v>-777</v>
      </c>
      <c r="Z1955">
        <v>0</v>
      </c>
      <c r="AA1955">
        <v>1</v>
      </c>
      <c r="AB1955">
        <v>0</v>
      </c>
      <c r="AC1955">
        <v>0</v>
      </c>
      <c r="AF1955">
        <v>2001</v>
      </c>
      <c r="AG1955">
        <v>2008</v>
      </c>
      <c r="AO1955" t="b">
        <v>0</v>
      </c>
      <c r="AT1955">
        <v>2550</v>
      </c>
      <c r="AU1955">
        <f t="shared" si="92"/>
        <v>6.9859999999999998</v>
      </c>
    </row>
    <row r="1956" spans="1:47" x14ac:dyDescent="0.3">
      <c r="A1956">
        <v>1954</v>
      </c>
      <c r="B1956" t="s">
        <v>8115</v>
      </c>
      <c r="C1956" t="s">
        <v>8116</v>
      </c>
      <c r="D1956">
        <v>359</v>
      </c>
      <c r="E1956" t="s">
        <v>8106</v>
      </c>
      <c r="F1956" t="str">
        <f>VLOOKUP(E1956,country_continent!A:C,2,FALSE)</f>
        <v>Moldova</v>
      </c>
      <c r="G1956" t="str">
        <f>VLOOKUP(E1956,country_continent!A:C,3,FALSE)</f>
        <v>Europe</v>
      </c>
      <c r="H1956" t="s">
        <v>8117</v>
      </c>
      <c r="I1956" s="1">
        <v>39538</v>
      </c>
      <c r="J1956" s="3">
        <f t="shared" si="90"/>
        <v>39538</v>
      </c>
      <c r="K1956" s="1">
        <v>40070</v>
      </c>
      <c r="L1956" s="3">
        <f t="shared" si="91"/>
        <v>40070</v>
      </c>
      <c r="M1956" t="s">
        <v>49</v>
      </c>
      <c r="N1956" t="s">
        <v>49</v>
      </c>
      <c r="O1956" t="s">
        <v>49</v>
      </c>
      <c r="P1956">
        <v>0</v>
      </c>
      <c r="Q1956" t="s">
        <v>50</v>
      </c>
      <c r="R1956" t="s">
        <v>299</v>
      </c>
      <c r="S1956">
        <v>1956</v>
      </c>
      <c r="T1956">
        <v>-777</v>
      </c>
      <c r="Z1956">
        <v>0</v>
      </c>
      <c r="AA1956">
        <v>1</v>
      </c>
      <c r="AB1956">
        <v>0</v>
      </c>
      <c r="AC1956">
        <v>0</v>
      </c>
      <c r="AF1956">
        <v>2008</v>
      </c>
      <c r="AG1956">
        <v>2009</v>
      </c>
      <c r="AO1956" t="b">
        <v>0</v>
      </c>
      <c r="AT1956">
        <v>532</v>
      </c>
      <c r="AU1956">
        <f t="shared" si="92"/>
        <v>1.458</v>
      </c>
    </row>
    <row r="1957" spans="1:47" x14ac:dyDescent="0.3">
      <c r="A1957">
        <v>1955</v>
      </c>
      <c r="B1957" t="s">
        <v>8118</v>
      </c>
      <c r="C1957" t="s">
        <v>8119</v>
      </c>
      <c r="D1957">
        <v>359</v>
      </c>
      <c r="E1957" t="s">
        <v>8106</v>
      </c>
      <c r="F1957" t="str">
        <f>VLOOKUP(E1957,country_continent!A:C,2,FALSE)</f>
        <v>Moldova</v>
      </c>
      <c r="G1957" t="str">
        <f>VLOOKUP(E1957,country_continent!A:C,3,FALSE)</f>
        <v>Europe</v>
      </c>
      <c r="H1957" t="s">
        <v>8120</v>
      </c>
      <c r="I1957" s="1">
        <v>40070</v>
      </c>
      <c r="J1957" s="3">
        <f t="shared" si="90"/>
        <v>40070</v>
      </c>
      <c r="K1957" s="1">
        <v>40081</v>
      </c>
      <c r="L1957" s="3">
        <f t="shared" si="91"/>
        <v>40081</v>
      </c>
      <c r="M1957" t="s">
        <v>49</v>
      </c>
      <c r="N1957" t="s">
        <v>49</v>
      </c>
      <c r="O1957" t="s">
        <v>49</v>
      </c>
      <c r="P1957">
        <v>0</v>
      </c>
      <c r="Q1957" t="s">
        <v>50</v>
      </c>
      <c r="R1957" t="s">
        <v>51</v>
      </c>
      <c r="S1957">
        <v>1974</v>
      </c>
      <c r="T1957">
        <v>-777</v>
      </c>
      <c r="Z1957">
        <v>0</v>
      </c>
      <c r="AA1957">
        <v>1</v>
      </c>
      <c r="AB1957">
        <v>0</v>
      </c>
      <c r="AC1957">
        <v>0</v>
      </c>
      <c r="AF1957">
        <v>2009</v>
      </c>
      <c r="AG1957">
        <v>2009</v>
      </c>
      <c r="AO1957" t="b">
        <v>0</v>
      </c>
      <c r="AT1957">
        <v>11</v>
      </c>
      <c r="AU1957">
        <f t="shared" si="92"/>
        <v>0.03</v>
      </c>
    </row>
    <row r="1958" spans="1:47" x14ac:dyDescent="0.3">
      <c r="A1958">
        <v>1956</v>
      </c>
      <c r="B1958" t="s">
        <v>8121</v>
      </c>
      <c r="C1958" t="s">
        <v>8122</v>
      </c>
      <c r="D1958">
        <v>359</v>
      </c>
      <c r="E1958" t="s">
        <v>8106</v>
      </c>
      <c r="F1958" t="str">
        <f>VLOOKUP(E1958,country_continent!A:C,2,FALSE)</f>
        <v>Moldova</v>
      </c>
      <c r="G1958" t="str">
        <f>VLOOKUP(E1958,country_continent!A:C,3,FALSE)</f>
        <v>Europe</v>
      </c>
      <c r="H1958" t="s">
        <v>8123</v>
      </c>
      <c r="I1958" s="1">
        <v>40081</v>
      </c>
      <c r="J1958" s="3">
        <f t="shared" si="90"/>
        <v>40081</v>
      </c>
      <c r="K1958" s="1">
        <v>41389</v>
      </c>
      <c r="L1958" s="3">
        <f t="shared" si="91"/>
        <v>41389</v>
      </c>
      <c r="M1958" t="s">
        <v>49</v>
      </c>
      <c r="N1958" t="s">
        <v>49</v>
      </c>
      <c r="O1958" t="s">
        <v>49</v>
      </c>
      <c r="P1958">
        <v>0</v>
      </c>
      <c r="Q1958" t="s">
        <v>50</v>
      </c>
      <c r="R1958" t="s">
        <v>51</v>
      </c>
      <c r="S1958">
        <v>1969</v>
      </c>
      <c r="T1958">
        <v>-777</v>
      </c>
      <c r="Z1958">
        <v>0</v>
      </c>
      <c r="AA1958">
        <v>1</v>
      </c>
      <c r="AB1958">
        <v>0</v>
      </c>
      <c r="AC1958">
        <v>0</v>
      </c>
      <c r="AF1958">
        <v>2009</v>
      </c>
      <c r="AG1958">
        <v>2013</v>
      </c>
      <c r="AO1958" t="b">
        <v>0</v>
      </c>
      <c r="AT1958">
        <v>1308</v>
      </c>
      <c r="AU1958">
        <f t="shared" si="92"/>
        <v>3.5840000000000001</v>
      </c>
    </row>
    <row r="1959" spans="1:47" x14ac:dyDescent="0.3">
      <c r="A1959">
        <v>1957</v>
      </c>
      <c r="B1959" t="s">
        <v>8124</v>
      </c>
      <c r="C1959" t="s">
        <v>8125</v>
      </c>
      <c r="D1959">
        <v>359</v>
      </c>
      <c r="E1959" t="s">
        <v>8106</v>
      </c>
      <c r="F1959" t="str">
        <f>VLOOKUP(E1959,country_continent!A:C,2,FALSE)</f>
        <v>Moldova</v>
      </c>
      <c r="G1959" t="str">
        <f>VLOOKUP(E1959,country_continent!A:C,3,FALSE)</f>
        <v>Europe</v>
      </c>
      <c r="H1959" t="s">
        <v>8126</v>
      </c>
      <c r="I1959" s="1">
        <v>41389</v>
      </c>
      <c r="J1959" s="3">
        <f t="shared" si="90"/>
        <v>41389</v>
      </c>
      <c r="K1959" s="1">
        <v>42053</v>
      </c>
      <c r="L1959" s="3">
        <f t="shared" si="91"/>
        <v>42053</v>
      </c>
      <c r="M1959" t="s">
        <v>49</v>
      </c>
      <c r="N1959" t="s">
        <v>49</v>
      </c>
      <c r="O1959" t="s">
        <v>49</v>
      </c>
      <c r="P1959">
        <v>0</v>
      </c>
      <c r="Q1959" t="s">
        <v>312</v>
      </c>
      <c r="R1959" t="s">
        <v>51</v>
      </c>
      <c r="S1959">
        <v>1963</v>
      </c>
      <c r="T1959">
        <v>-777</v>
      </c>
      <c r="U1959" s="1">
        <v>23304</v>
      </c>
      <c r="V1959" s="2">
        <v>23304</v>
      </c>
      <c r="Z1959">
        <v>0</v>
      </c>
      <c r="AA1959">
        <v>1</v>
      </c>
      <c r="AB1959">
        <v>0</v>
      </c>
      <c r="AC1959">
        <v>-999</v>
      </c>
      <c r="AF1959">
        <v>2013</v>
      </c>
      <c r="AG1959">
        <v>2015</v>
      </c>
      <c r="AO1959" t="b">
        <v>0</v>
      </c>
      <c r="AT1959">
        <v>664</v>
      </c>
      <c r="AU1959">
        <f t="shared" si="92"/>
        <v>1.819</v>
      </c>
    </row>
    <row r="1960" spans="1:47" x14ac:dyDescent="0.3">
      <c r="A1960">
        <v>1958</v>
      </c>
      <c r="B1960" t="s">
        <v>8127</v>
      </c>
      <c r="C1960" t="s">
        <v>8128</v>
      </c>
      <c r="D1960">
        <v>359</v>
      </c>
      <c r="E1960" t="s">
        <v>8106</v>
      </c>
      <c r="F1960" t="str">
        <f>VLOOKUP(E1960,country_continent!A:C,2,FALSE)</f>
        <v>Moldova</v>
      </c>
      <c r="G1960" t="str">
        <f>VLOOKUP(E1960,country_continent!A:C,3,FALSE)</f>
        <v>Europe</v>
      </c>
      <c r="H1960" t="s">
        <v>8129</v>
      </c>
      <c r="I1960" s="1">
        <v>42053</v>
      </c>
      <c r="J1960" s="3">
        <f t="shared" si="90"/>
        <v>42053</v>
      </c>
      <c r="K1960" s="1">
        <v>42177</v>
      </c>
      <c r="L1960" s="3">
        <f t="shared" si="91"/>
        <v>42177</v>
      </c>
      <c r="M1960" t="s">
        <v>49</v>
      </c>
      <c r="N1960" t="s">
        <v>49</v>
      </c>
      <c r="O1960" t="s">
        <v>49</v>
      </c>
      <c r="P1960">
        <v>0</v>
      </c>
      <c r="Q1960" t="s">
        <v>312</v>
      </c>
      <c r="R1960" t="s">
        <v>51</v>
      </c>
      <c r="S1960">
        <v>1976</v>
      </c>
      <c r="T1960">
        <v>-777</v>
      </c>
      <c r="U1960" s="1">
        <v>28087</v>
      </c>
      <c r="V1960" s="2">
        <v>28087</v>
      </c>
      <c r="Z1960">
        <v>0</v>
      </c>
      <c r="AA1960">
        <v>1</v>
      </c>
      <c r="AB1960">
        <v>0</v>
      </c>
      <c r="AC1960">
        <v>-999</v>
      </c>
      <c r="AF1960">
        <v>2015</v>
      </c>
      <c r="AG1960">
        <v>2015</v>
      </c>
      <c r="AO1960" t="b">
        <v>0</v>
      </c>
      <c r="AT1960">
        <v>124</v>
      </c>
      <c r="AU1960">
        <f t="shared" si="92"/>
        <v>0.34</v>
      </c>
    </row>
    <row r="1961" spans="1:47" x14ac:dyDescent="0.3">
      <c r="A1961">
        <v>1959</v>
      </c>
      <c r="B1961" t="s">
        <v>8130</v>
      </c>
      <c r="C1961" t="s">
        <v>8131</v>
      </c>
      <c r="D1961">
        <v>359</v>
      </c>
      <c r="E1961" t="s">
        <v>8106</v>
      </c>
      <c r="F1961" t="str">
        <f>VLOOKUP(E1961,country_continent!A:C,2,FALSE)</f>
        <v>Moldova</v>
      </c>
      <c r="G1961" t="str">
        <f>VLOOKUP(E1961,country_continent!A:C,3,FALSE)</f>
        <v>Europe</v>
      </c>
      <c r="H1961" t="s">
        <v>8132</v>
      </c>
      <c r="I1961" s="1">
        <v>42177</v>
      </c>
      <c r="J1961" s="3">
        <f t="shared" si="90"/>
        <v>42177</v>
      </c>
      <c r="K1961" s="1">
        <v>42215</v>
      </c>
      <c r="L1961" s="3">
        <f t="shared" si="91"/>
        <v>42215</v>
      </c>
      <c r="M1961" t="s">
        <v>49</v>
      </c>
      <c r="N1961" t="s">
        <v>49</v>
      </c>
      <c r="O1961" t="s">
        <v>49</v>
      </c>
      <c r="P1961">
        <v>0</v>
      </c>
      <c r="Q1961" t="s">
        <v>312</v>
      </c>
      <c r="R1961" t="s">
        <v>299</v>
      </c>
      <c r="S1961">
        <v>1969</v>
      </c>
      <c r="T1961">
        <v>-777</v>
      </c>
      <c r="U1961" s="1">
        <v>25282</v>
      </c>
      <c r="V1961" s="2">
        <v>25282</v>
      </c>
      <c r="Z1961">
        <v>0</v>
      </c>
      <c r="AA1961">
        <v>1</v>
      </c>
      <c r="AB1961">
        <v>0</v>
      </c>
      <c r="AC1961">
        <v>-999</v>
      </c>
      <c r="AF1961">
        <v>2015</v>
      </c>
      <c r="AG1961">
        <v>2015</v>
      </c>
      <c r="AO1961" t="b">
        <v>0</v>
      </c>
      <c r="AT1961">
        <v>38</v>
      </c>
      <c r="AU1961">
        <f t="shared" si="92"/>
        <v>0.104</v>
      </c>
    </row>
    <row r="1962" spans="1:47" x14ac:dyDescent="0.3">
      <c r="A1962">
        <v>1960</v>
      </c>
      <c r="B1962" t="s">
        <v>8133</v>
      </c>
      <c r="C1962" t="s">
        <v>8134</v>
      </c>
      <c r="D1962">
        <v>359</v>
      </c>
      <c r="E1962" t="s">
        <v>8106</v>
      </c>
      <c r="F1962" t="str">
        <f>VLOOKUP(E1962,country_continent!A:C,2,FALSE)</f>
        <v>Moldova</v>
      </c>
      <c r="G1962" t="str">
        <f>VLOOKUP(E1962,country_continent!A:C,3,FALSE)</f>
        <v>Europe</v>
      </c>
      <c r="H1962" t="s">
        <v>8135</v>
      </c>
      <c r="I1962" s="1">
        <v>42215</v>
      </c>
      <c r="J1962" s="3">
        <f t="shared" si="90"/>
        <v>42215</v>
      </c>
      <c r="K1962" s="1">
        <v>42307</v>
      </c>
      <c r="L1962" s="3">
        <f t="shared" si="91"/>
        <v>42307</v>
      </c>
      <c r="M1962" t="s">
        <v>49</v>
      </c>
      <c r="N1962" t="s">
        <v>49</v>
      </c>
      <c r="O1962" t="s">
        <v>49</v>
      </c>
      <c r="P1962">
        <v>0</v>
      </c>
      <c r="Q1962" t="s">
        <v>312</v>
      </c>
      <c r="R1962" t="s">
        <v>51</v>
      </c>
      <c r="S1962">
        <v>1970</v>
      </c>
      <c r="T1962">
        <v>-777</v>
      </c>
      <c r="U1962" s="1">
        <v>25635</v>
      </c>
      <c r="V1962" s="2">
        <v>25635</v>
      </c>
      <c r="Z1962">
        <v>0</v>
      </c>
      <c r="AA1962">
        <v>1</v>
      </c>
      <c r="AB1962">
        <v>0</v>
      </c>
      <c r="AC1962">
        <v>-999</v>
      </c>
      <c r="AF1962">
        <v>2015</v>
      </c>
      <c r="AG1962">
        <v>2015</v>
      </c>
      <c r="AO1962" t="b">
        <v>0</v>
      </c>
      <c r="AT1962">
        <v>92</v>
      </c>
      <c r="AU1962">
        <f t="shared" si="92"/>
        <v>0.252</v>
      </c>
    </row>
    <row r="1963" spans="1:47" x14ac:dyDescent="0.3">
      <c r="A1963">
        <v>1961</v>
      </c>
      <c r="B1963" t="s">
        <v>8136</v>
      </c>
      <c r="C1963" t="s">
        <v>8137</v>
      </c>
      <c r="D1963">
        <v>360</v>
      </c>
      <c r="E1963" t="s">
        <v>8138</v>
      </c>
      <c r="F1963" t="str">
        <f>VLOOKUP(E1963,country_continent!A:C,2,FALSE)</f>
        <v>Romania</v>
      </c>
      <c r="G1963" t="str">
        <f>VLOOKUP(E1963,country_continent!A:C,3,FALSE)</f>
        <v>Europe</v>
      </c>
      <c r="H1963" t="s">
        <v>8139</v>
      </c>
      <c r="I1963" t="s">
        <v>8140</v>
      </c>
      <c r="J1963" s="3" t="str">
        <f t="shared" si="90"/>
        <v>1866/05/22</v>
      </c>
      <c r="K1963" s="1">
        <v>5397</v>
      </c>
      <c r="L1963" s="3">
        <f t="shared" si="91"/>
        <v>5397</v>
      </c>
      <c r="M1963" t="s">
        <v>49</v>
      </c>
      <c r="N1963" t="s">
        <v>110</v>
      </c>
      <c r="O1963" t="s">
        <v>49</v>
      </c>
      <c r="P1963">
        <v>0</v>
      </c>
      <c r="Q1963" t="s">
        <v>111</v>
      </c>
      <c r="R1963" t="s">
        <v>51</v>
      </c>
      <c r="S1963">
        <v>1839</v>
      </c>
      <c r="T1963">
        <v>1914</v>
      </c>
      <c r="Y1963" t="s">
        <v>8141</v>
      </c>
      <c r="Z1963">
        <v>0</v>
      </c>
      <c r="AA1963">
        <v>2</v>
      </c>
      <c r="AB1963">
        <v>0</v>
      </c>
      <c r="AC1963">
        <v>-777</v>
      </c>
      <c r="AF1963">
        <v>1866</v>
      </c>
      <c r="AG1963">
        <v>1914</v>
      </c>
      <c r="AO1963" t="b">
        <v>0</v>
      </c>
      <c r="AT1963">
        <v>17672</v>
      </c>
      <c r="AU1963">
        <f t="shared" si="92"/>
        <v>48.415999999999997</v>
      </c>
    </row>
    <row r="1964" spans="1:47" x14ac:dyDescent="0.3">
      <c r="A1964">
        <v>1962</v>
      </c>
      <c r="B1964" t="s">
        <v>8142</v>
      </c>
      <c r="C1964" t="s">
        <v>8143</v>
      </c>
      <c r="D1964">
        <v>360</v>
      </c>
      <c r="E1964" t="s">
        <v>8138</v>
      </c>
      <c r="F1964" t="str">
        <f>VLOOKUP(E1964,country_continent!A:C,2,FALSE)</f>
        <v>Romania</v>
      </c>
      <c r="G1964" t="str">
        <f>VLOOKUP(E1964,country_continent!A:C,3,FALSE)</f>
        <v>Europe</v>
      </c>
      <c r="H1964" t="s">
        <v>8020</v>
      </c>
      <c r="I1964" s="1">
        <v>5398</v>
      </c>
      <c r="J1964" s="3">
        <f t="shared" si="90"/>
        <v>5398</v>
      </c>
      <c r="K1964" s="1">
        <v>10064</v>
      </c>
      <c r="L1964" s="3">
        <f t="shared" si="91"/>
        <v>10064</v>
      </c>
      <c r="M1964" t="s">
        <v>49</v>
      </c>
      <c r="N1964" t="s">
        <v>110</v>
      </c>
      <c r="O1964" t="s">
        <v>49</v>
      </c>
      <c r="P1964">
        <v>0</v>
      </c>
      <c r="Q1964" t="s">
        <v>111</v>
      </c>
      <c r="R1964" t="s">
        <v>51</v>
      </c>
      <c r="S1964">
        <v>1865</v>
      </c>
      <c r="T1964">
        <v>1927</v>
      </c>
      <c r="Z1964">
        <v>0</v>
      </c>
      <c r="AA1964">
        <v>2</v>
      </c>
      <c r="AB1964">
        <v>0</v>
      </c>
      <c r="AC1964">
        <v>-777</v>
      </c>
      <c r="AF1964">
        <v>1914</v>
      </c>
      <c r="AG1964">
        <v>1927</v>
      </c>
      <c r="AO1964" t="b">
        <v>0</v>
      </c>
      <c r="AT1964">
        <v>4666</v>
      </c>
      <c r="AU1964">
        <f t="shared" si="92"/>
        <v>12.784000000000001</v>
      </c>
    </row>
    <row r="1965" spans="1:47" x14ac:dyDescent="0.3">
      <c r="A1965">
        <v>1963</v>
      </c>
      <c r="B1965" t="s">
        <v>8144</v>
      </c>
      <c r="C1965" t="s">
        <v>8145</v>
      </c>
      <c r="D1965">
        <v>360</v>
      </c>
      <c r="E1965" t="s">
        <v>8138</v>
      </c>
      <c r="F1965" t="str">
        <f>VLOOKUP(E1965,country_continent!A:C,2,FALSE)</f>
        <v>Romania</v>
      </c>
      <c r="G1965" t="str">
        <f>VLOOKUP(E1965,country_continent!A:C,3,FALSE)</f>
        <v>Europe</v>
      </c>
      <c r="H1965" t="s">
        <v>8146</v>
      </c>
      <c r="I1965" s="1">
        <v>10064</v>
      </c>
      <c r="J1965" s="3">
        <f t="shared" si="90"/>
        <v>10064</v>
      </c>
      <c r="K1965" s="1">
        <v>11117</v>
      </c>
      <c r="L1965" s="3">
        <f t="shared" si="91"/>
        <v>11117</v>
      </c>
      <c r="M1965" t="s">
        <v>49</v>
      </c>
      <c r="N1965" t="s">
        <v>49</v>
      </c>
      <c r="O1965" t="s">
        <v>49</v>
      </c>
      <c r="P1965">
        <v>0</v>
      </c>
      <c r="Q1965" t="s">
        <v>362</v>
      </c>
      <c r="R1965" t="s">
        <v>51</v>
      </c>
      <c r="S1965">
        <v>1903</v>
      </c>
      <c r="T1965">
        <v>1978</v>
      </c>
      <c r="Z1965">
        <v>0</v>
      </c>
      <c r="AA1965">
        <v>1</v>
      </c>
      <c r="AB1965">
        <v>0</v>
      </c>
      <c r="AC1965">
        <v>1</v>
      </c>
      <c r="AF1965">
        <v>1927</v>
      </c>
      <c r="AG1965">
        <v>1930</v>
      </c>
      <c r="AO1965" t="b">
        <v>0</v>
      </c>
      <c r="AT1965">
        <v>1053</v>
      </c>
      <c r="AU1965">
        <f t="shared" si="92"/>
        <v>2.8849999999999998</v>
      </c>
    </row>
    <row r="1966" spans="1:47" x14ac:dyDescent="0.3">
      <c r="A1966">
        <v>1964</v>
      </c>
      <c r="B1966" t="s">
        <v>8147</v>
      </c>
      <c r="C1966" t="s">
        <v>8148</v>
      </c>
      <c r="D1966">
        <v>360</v>
      </c>
      <c r="E1966" t="s">
        <v>8138</v>
      </c>
      <c r="F1966" t="str">
        <f>VLOOKUP(E1966,country_continent!A:C,2,FALSE)</f>
        <v>Romania</v>
      </c>
      <c r="G1966" t="str">
        <f>VLOOKUP(E1966,country_continent!A:C,3,FALSE)</f>
        <v>Europe</v>
      </c>
      <c r="H1966" t="s">
        <v>8149</v>
      </c>
      <c r="I1966" s="1">
        <v>11117</v>
      </c>
      <c r="J1966" s="3">
        <f t="shared" si="90"/>
        <v>11117</v>
      </c>
      <c r="K1966" s="1">
        <v>14860</v>
      </c>
      <c r="L1966" s="3">
        <f t="shared" si="91"/>
        <v>14860</v>
      </c>
      <c r="M1966" t="s">
        <v>67</v>
      </c>
      <c r="N1966" t="s">
        <v>67</v>
      </c>
      <c r="O1966" t="s">
        <v>376</v>
      </c>
      <c r="P1966">
        <v>0</v>
      </c>
      <c r="Q1966" t="s">
        <v>362</v>
      </c>
      <c r="R1966" t="s">
        <v>51</v>
      </c>
      <c r="S1966">
        <v>1893</v>
      </c>
      <c r="T1966">
        <v>1953</v>
      </c>
      <c r="Y1966" t="s">
        <v>8150</v>
      </c>
      <c r="Z1966">
        <v>1</v>
      </c>
      <c r="AA1966">
        <v>3</v>
      </c>
      <c r="AB1966">
        <v>6</v>
      </c>
      <c r="AC1966">
        <v>1</v>
      </c>
      <c r="AF1966">
        <v>1930</v>
      </c>
      <c r="AG1966">
        <v>1940</v>
      </c>
      <c r="AO1966" t="b">
        <v>0</v>
      </c>
      <c r="AT1966">
        <v>3743</v>
      </c>
      <c r="AU1966">
        <f t="shared" si="92"/>
        <v>10.255000000000001</v>
      </c>
    </row>
    <row r="1967" spans="1:47" x14ac:dyDescent="0.3">
      <c r="A1967">
        <v>1965</v>
      </c>
      <c r="B1967" t="s">
        <v>8151</v>
      </c>
      <c r="C1967" t="s">
        <v>8152</v>
      </c>
      <c r="D1967">
        <v>360</v>
      </c>
      <c r="E1967" t="s">
        <v>8138</v>
      </c>
      <c r="F1967" t="str">
        <f>VLOOKUP(E1967,country_continent!A:C,2,FALSE)</f>
        <v>Romania</v>
      </c>
      <c r="G1967" t="str">
        <f>VLOOKUP(E1967,country_continent!A:C,3,FALSE)</f>
        <v>Europe</v>
      </c>
      <c r="H1967" t="s">
        <v>8153</v>
      </c>
      <c r="I1967" s="1">
        <v>14860</v>
      </c>
      <c r="J1967" s="3">
        <f t="shared" si="90"/>
        <v>14860</v>
      </c>
      <c r="K1967" s="1">
        <v>16307</v>
      </c>
      <c r="L1967" s="3">
        <f t="shared" si="91"/>
        <v>16307</v>
      </c>
      <c r="M1967" t="s">
        <v>67</v>
      </c>
      <c r="N1967" t="s">
        <v>67</v>
      </c>
      <c r="O1967" t="s">
        <v>2001</v>
      </c>
      <c r="P1967">
        <v>0</v>
      </c>
      <c r="Q1967" t="s">
        <v>463</v>
      </c>
      <c r="R1967" t="s">
        <v>51</v>
      </c>
      <c r="S1967">
        <v>1882</v>
      </c>
      <c r="T1967">
        <v>1946</v>
      </c>
      <c r="U1967" t="s">
        <v>8154</v>
      </c>
      <c r="V1967" t="s">
        <v>8155</v>
      </c>
      <c r="W1967" s="1">
        <v>16954</v>
      </c>
      <c r="X1967" s="2">
        <v>16954</v>
      </c>
      <c r="Y1967" t="s">
        <v>8156</v>
      </c>
      <c r="Z1967">
        <v>1</v>
      </c>
      <c r="AA1967">
        <v>3</v>
      </c>
      <c r="AB1967">
        <v>8</v>
      </c>
      <c r="AC1967">
        <v>2</v>
      </c>
      <c r="AF1967">
        <v>1940</v>
      </c>
      <c r="AG1967">
        <v>1944</v>
      </c>
      <c r="AO1967" t="b">
        <v>0</v>
      </c>
      <c r="AT1967">
        <v>1447</v>
      </c>
      <c r="AU1967">
        <f t="shared" si="92"/>
        <v>3.964</v>
      </c>
    </row>
    <row r="1968" spans="1:47" x14ac:dyDescent="0.3">
      <c r="A1968">
        <v>1966</v>
      </c>
      <c r="B1968" t="s">
        <v>8157</v>
      </c>
      <c r="C1968" t="s">
        <v>8158</v>
      </c>
      <c r="D1968">
        <v>360</v>
      </c>
      <c r="E1968" t="s">
        <v>8138</v>
      </c>
      <c r="F1968" t="str">
        <f>VLOOKUP(E1968,country_continent!A:C,2,FALSE)</f>
        <v>Romania</v>
      </c>
      <c r="G1968" t="str">
        <f>VLOOKUP(E1968,country_continent!A:C,3,FALSE)</f>
        <v>Europe</v>
      </c>
      <c r="H1968" t="s">
        <v>8159</v>
      </c>
      <c r="I1968" s="1">
        <v>16307</v>
      </c>
      <c r="J1968" s="3">
        <f t="shared" si="90"/>
        <v>16307</v>
      </c>
      <c r="K1968" s="1">
        <v>17531</v>
      </c>
      <c r="L1968" s="3">
        <f t="shared" si="91"/>
        <v>17531</v>
      </c>
      <c r="M1968" t="s">
        <v>67</v>
      </c>
      <c r="N1968" t="s">
        <v>67</v>
      </c>
      <c r="O1968" t="s">
        <v>3362</v>
      </c>
      <c r="P1968">
        <v>0</v>
      </c>
      <c r="Q1968" t="s">
        <v>362</v>
      </c>
      <c r="R1968" t="s">
        <v>51</v>
      </c>
      <c r="S1968">
        <v>1921</v>
      </c>
      <c r="T1968">
        <v>-777</v>
      </c>
      <c r="Z1968">
        <v>1</v>
      </c>
      <c r="AA1968">
        <v>3</v>
      </c>
      <c r="AB1968">
        <v>7</v>
      </c>
      <c r="AC1968">
        <v>1</v>
      </c>
      <c r="AF1968">
        <v>1944</v>
      </c>
      <c r="AG1968">
        <v>1947</v>
      </c>
      <c r="AO1968" t="b">
        <v>0</v>
      </c>
      <c r="AT1968">
        <v>1224</v>
      </c>
      <c r="AU1968">
        <f t="shared" si="92"/>
        <v>3.3530000000000002</v>
      </c>
    </row>
    <row r="1969" spans="1:47" x14ac:dyDescent="0.3">
      <c r="A1969">
        <v>1967</v>
      </c>
      <c r="B1969" t="s">
        <v>8160</v>
      </c>
      <c r="C1969" t="s">
        <v>8161</v>
      </c>
      <c r="D1969">
        <v>360</v>
      </c>
      <c r="E1969" t="s">
        <v>8138</v>
      </c>
      <c r="F1969" t="str">
        <f>VLOOKUP(E1969,country_continent!A:C,2,FALSE)</f>
        <v>Romania</v>
      </c>
      <c r="G1969" t="str">
        <f>VLOOKUP(E1969,country_continent!A:C,3,FALSE)</f>
        <v>Europe</v>
      </c>
      <c r="H1969" t="s">
        <v>8162</v>
      </c>
      <c r="I1969" s="1">
        <v>17531</v>
      </c>
      <c r="J1969" s="3">
        <f t="shared" si="90"/>
        <v>17531</v>
      </c>
      <c r="K1969" s="1">
        <v>23820</v>
      </c>
      <c r="L1969" s="3">
        <f t="shared" si="91"/>
        <v>23820</v>
      </c>
      <c r="M1969" t="s">
        <v>67</v>
      </c>
      <c r="N1969" t="s">
        <v>110</v>
      </c>
      <c r="O1969" t="s">
        <v>49</v>
      </c>
      <c r="P1969">
        <v>0</v>
      </c>
      <c r="Q1969" t="s">
        <v>111</v>
      </c>
      <c r="R1969" t="s">
        <v>51</v>
      </c>
      <c r="S1969">
        <v>1901</v>
      </c>
      <c r="T1969">
        <v>1965</v>
      </c>
      <c r="U1969" s="1">
        <v>678</v>
      </c>
      <c r="V1969" s="2">
        <v>678</v>
      </c>
      <c r="W1969" s="1">
        <v>23820</v>
      </c>
      <c r="X1969" s="2">
        <v>23820</v>
      </c>
      <c r="Y1969" t="s">
        <v>8163</v>
      </c>
      <c r="Z1969">
        <v>1</v>
      </c>
      <c r="AA1969">
        <v>2</v>
      </c>
      <c r="AB1969">
        <v>0</v>
      </c>
      <c r="AC1969">
        <v>-777</v>
      </c>
      <c r="AF1969">
        <v>1947</v>
      </c>
      <c r="AG1969">
        <v>1965</v>
      </c>
      <c r="AO1969" t="b">
        <v>0</v>
      </c>
      <c r="AT1969">
        <v>6289</v>
      </c>
      <c r="AU1969">
        <f t="shared" si="92"/>
        <v>17.23</v>
      </c>
    </row>
    <row r="1970" spans="1:47" x14ac:dyDescent="0.3">
      <c r="A1970">
        <v>1968</v>
      </c>
      <c r="B1970" t="s">
        <v>8164</v>
      </c>
      <c r="C1970" t="s">
        <v>8165</v>
      </c>
      <c r="D1970">
        <v>360</v>
      </c>
      <c r="E1970" t="s">
        <v>8138</v>
      </c>
      <c r="F1970" t="str">
        <f>VLOOKUP(E1970,country_continent!A:C,2,FALSE)</f>
        <v>Romania</v>
      </c>
      <c r="G1970" t="str">
        <f>VLOOKUP(E1970,country_continent!A:C,3,FALSE)</f>
        <v>Europe</v>
      </c>
      <c r="H1970" t="s">
        <v>8166</v>
      </c>
      <c r="I1970" s="1">
        <v>23823</v>
      </c>
      <c r="J1970" s="3">
        <f t="shared" si="90"/>
        <v>23823</v>
      </c>
      <c r="K1970" s="1">
        <v>32867</v>
      </c>
      <c r="L1970" s="3">
        <f t="shared" si="91"/>
        <v>32867</v>
      </c>
      <c r="M1970" t="s">
        <v>49</v>
      </c>
      <c r="N1970" t="s">
        <v>67</v>
      </c>
      <c r="O1970" t="s">
        <v>613</v>
      </c>
      <c r="P1970">
        <v>0</v>
      </c>
      <c r="Q1970" t="s">
        <v>69</v>
      </c>
      <c r="R1970" t="s">
        <v>51</v>
      </c>
      <c r="S1970">
        <v>1918</v>
      </c>
      <c r="T1970">
        <v>1989</v>
      </c>
      <c r="U1970" s="1">
        <v>6601</v>
      </c>
      <c r="V1970" s="2">
        <v>6601</v>
      </c>
      <c r="W1970" s="1">
        <v>32867</v>
      </c>
      <c r="X1970" s="2">
        <v>32867</v>
      </c>
      <c r="Y1970" t="s">
        <v>8167</v>
      </c>
      <c r="Z1970">
        <v>0</v>
      </c>
      <c r="AA1970">
        <v>3</v>
      </c>
      <c r="AB1970">
        <v>2</v>
      </c>
      <c r="AC1970">
        <v>3</v>
      </c>
      <c r="AF1970">
        <v>1965</v>
      </c>
      <c r="AG1970">
        <v>1989</v>
      </c>
      <c r="AO1970" t="b">
        <v>0</v>
      </c>
      <c r="AT1970">
        <v>9044</v>
      </c>
      <c r="AU1970">
        <f t="shared" si="92"/>
        <v>24.777999999999999</v>
      </c>
    </row>
    <row r="1971" spans="1:47" x14ac:dyDescent="0.3">
      <c r="A1971">
        <v>1969</v>
      </c>
      <c r="B1971" t="s">
        <v>8168</v>
      </c>
      <c r="C1971" t="s">
        <v>8169</v>
      </c>
      <c r="D1971">
        <v>360</v>
      </c>
      <c r="E1971" t="s">
        <v>8138</v>
      </c>
      <c r="F1971" t="str">
        <f>VLOOKUP(E1971,country_continent!A:C,2,FALSE)</f>
        <v>Romania</v>
      </c>
      <c r="G1971" t="str">
        <f>VLOOKUP(E1971,country_continent!A:C,3,FALSE)</f>
        <v>Europe</v>
      </c>
      <c r="H1971" t="s">
        <v>8170</v>
      </c>
      <c r="I1971" s="1">
        <v>32868</v>
      </c>
      <c r="J1971" s="3">
        <f t="shared" si="90"/>
        <v>32868</v>
      </c>
      <c r="K1971" s="1">
        <v>33512</v>
      </c>
      <c r="L1971" s="3">
        <f t="shared" si="91"/>
        <v>33512</v>
      </c>
      <c r="M1971" t="s">
        <v>49</v>
      </c>
      <c r="N1971" t="s">
        <v>49</v>
      </c>
      <c r="O1971" t="s">
        <v>49</v>
      </c>
      <c r="P1971">
        <v>0</v>
      </c>
      <c r="Q1971" t="s">
        <v>50</v>
      </c>
      <c r="R1971" t="s">
        <v>51</v>
      </c>
      <c r="S1971">
        <v>1946</v>
      </c>
      <c r="T1971">
        <v>-777</v>
      </c>
      <c r="Z1971">
        <v>0</v>
      </c>
      <c r="AA1971">
        <v>1</v>
      </c>
      <c r="AB1971">
        <v>0</v>
      </c>
      <c r="AC1971">
        <v>0</v>
      </c>
      <c r="AF1971">
        <v>1989</v>
      </c>
      <c r="AG1971">
        <v>1991</v>
      </c>
      <c r="AO1971" t="b">
        <v>0</v>
      </c>
      <c r="AT1971">
        <v>644</v>
      </c>
      <c r="AU1971">
        <f t="shared" si="92"/>
        <v>1.764</v>
      </c>
    </row>
    <row r="1972" spans="1:47" x14ac:dyDescent="0.3">
      <c r="A1972">
        <v>1970</v>
      </c>
      <c r="B1972" t="s">
        <v>8171</v>
      </c>
      <c r="C1972" t="s">
        <v>8172</v>
      </c>
      <c r="D1972">
        <v>360</v>
      </c>
      <c r="E1972" t="s">
        <v>8138</v>
      </c>
      <c r="F1972" t="str">
        <f>VLOOKUP(E1972,country_continent!A:C,2,FALSE)</f>
        <v>Romania</v>
      </c>
      <c r="G1972" t="str">
        <f>VLOOKUP(E1972,country_continent!A:C,3,FALSE)</f>
        <v>Europe</v>
      </c>
      <c r="H1972" t="s">
        <v>8173</v>
      </c>
      <c r="I1972" s="1">
        <v>33512</v>
      </c>
      <c r="J1972" s="3">
        <f t="shared" si="90"/>
        <v>33512</v>
      </c>
      <c r="K1972" s="1">
        <v>33912</v>
      </c>
      <c r="L1972" s="3">
        <f t="shared" si="91"/>
        <v>33912</v>
      </c>
      <c r="M1972" t="s">
        <v>49</v>
      </c>
      <c r="N1972" t="s">
        <v>49</v>
      </c>
      <c r="O1972" t="s">
        <v>49</v>
      </c>
      <c r="P1972">
        <v>0</v>
      </c>
      <c r="Q1972" t="s">
        <v>50</v>
      </c>
      <c r="R1972" t="s">
        <v>51</v>
      </c>
      <c r="S1972">
        <v>1943</v>
      </c>
      <c r="T1972">
        <v>-777</v>
      </c>
      <c r="Z1972">
        <v>0</v>
      </c>
      <c r="AA1972">
        <v>1</v>
      </c>
      <c r="AB1972">
        <v>0</v>
      </c>
      <c r="AC1972">
        <v>0</v>
      </c>
      <c r="AF1972">
        <v>1991</v>
      </c>
      <c r="AG1972">
        <v>1992</v>
      </c>
      <c r="AO1972" t="b">
        <v>0</v>
      </c>
      <c r="AT1972">
        <v>400</v>
      </c>
      <c r="AU1972">
        <f t="shared" si="92"/>
        <v>1.0960000000000001</v>
      </c>
    </row>
    <row r="1973" spans="1:47" x14ac:dyDescent="0.3">
      <c r="A1973">
        <v>1971</v>
      </c>
      <c r="B1973" t="s">
        <v>8174</v>
      </c>
      <c r="C1973" t="s">
        <v>8175</v>
      </c>
      <c r="D1973">
        <v>360</v>
      </c>
      <c r="E1973" t="s">
        <v>8138</v>
      </c>
      <c r="F1973" t="str">
        <f>VLOOKUP(E1973,country_continent!A:C,2,FALSE)</f>
        <v>Romania</v>
      </c>
      <c r="G1973" t="str">
        <f>VLOOKUP(E1973,country_continent!A:C,3,FALSE)</f>
        <v>Europe</v>
      </c>
      <c r="H1973" t="s">
        <v>8176</v>
      </c>
      <c r="I1973" s="1">
        <v>33912</v>
      </c>
      <c r="J1973" s="3">
        <f t="shared" si="90"/>
        <v>33912</v>
      </c>
      <c r="K1973" s="1">
        <v>35411</v>
      </c>
      <c r="L1973" s="3">
        <f t="shared" si="91"/>
        <v>35411</v>
      </c>
      <c r="M1973" t="s">
        <v>49</v>
      </c>
      <c r="N1973" t="s">
        <v>49</v>
      </c>
      <c r="O1973" t="s">
        <v>49</v>
      </c>
      <c r="P1973">
        <v>0</v>
      </c>
      <c r="Q1973" t="s">
        <v>50</v>
      </c>
      <c r="R1973" t="s">
        <v>51</v>
      </c>
      <c r="S1973">
        <v>1943</v>
      </c>
      <c r="T1973">
        <v>-777</v>
      </c>
      <c r="U1973" s="1">
        <v>16045</v>
      </c>
      <c r="V1973" s="2">
        <v>16045</v>
      </c>
      <c r="Z1973">
        <v>0</v>
      </c>
      <c r="AA1973">
        <v>1</v>
      </c>
      <c r="AB1973">
        <v>0</v>
      </c>
      <c r="AC1973">
        <v>0</v>
      </c>
      <c r="AF1973">
        <v>1992</v>
      </c>
      <c r="AG1973">
        <v>1996</v>
      </c>
      <c r="AO1973" t="b">
        <v>0</v>
      </c>
      <c r="AT1973">
        <v>1499</v>
      </c>
      <c r="AU1973">
        <f t="shared" si="92"/>
        <v>4.1070000000000002</v>
      </c>
    </row>
    <row r="1974" spans="1:47" x14ac:dyDescent="0.3">
      <c r="A1974">
        <v>1972</v>
      </c>
      <c r="B1974" t="s">
        <v>8177</v>
      </c>
      <c r="C1974" t="s">
        <v>8178</v>
      </c>
      <c r="D1974">
        <v>360</v>
      </c>
      <c r="E1974" t="s">
        <v>8138</v>
      </c>
      <c r="F1974" t="str">
        <f>VLOOKUP(E1974,country_continent!A:C,2,FALSE)</f>
        <v>Romania</v>
      </c>
      <c r="G1974" t="str">
        <f>VLOOKUP(E1974,country_continent!A:C,3,FALSE)</f>
        <v>Europe</v>
      </c>
      <c r="H1974" t="s">
        <v>8179</v>
      </c>
      <c r="I1974" s="1">
        <v>35411</v>
      </c>
      <c r="J1974" s="3">
        <f t="shared" si="90"/>
        <v>35411</v>
      </c>
      <c r="K1974" s="1">
        <v>35884</v>
      </c>
      <c r="L1974" s="3">
        <f t="shared" si="91"/>
        <v>35884</v>
      </c>
      <c r="M1974" t="s">
        <v>49</v>
      </c>
      <c r="N1974" t="s">
        <v>49</v>
      </c>
      <c r="O1974" t="s">
        <v>49</v>
      </c>
      <c r="P1974">
        <v>0</v>
      </c>
      <c r="Q1974" t="s">
        <v>50</v>
      </c>
      <c r="R1974" t="s">
        <v>51</v>
      </c>
      <c r="S1974">
        <v>1954</v>
      </c>
      <c r="T1974">
        <v>-777</v>
      </c>
      <c r="Z1974">
        <v>0</v>
      </c>
      <c r="AA1974">
        <v>1</v>
      </c>
      <c r="AB1974">
        <v>0</v>
      </c>
      <c r="AC1974">
        <v>0</v>
      </c>
      <c r="AF1974">
        <v>1996</v>
      </c>
      <c r="AG1974">
        <v>1998</v>
      </c>
      <c r="AO1974" t="b">
        <v>0</v>
      </c>
      <c r="AT1974">
        <v>473</v>
      </c>
      <c r="AU1974">
        <f t="shared" si="92"/>
        <v>1.296</v>
      </c>
    </row>
    <row r="1975" spans="1:47" x14ac:dyDescent="0.3">
      <c r="A1975">
        <v>1973</v>
      </c>
      <c r="B1975" t="s">
        <v>8180</v>
      </c>
      <c r="C1975" t="s">
        <v>8181</v>
      </c>
      <c r="D1975">
        <v>360</v>
      </c>
      <c r="E1975" t="s">
        <v>8138</v>
      </c>
      <c r="F1975" t="str">
        <f>VLOOKUP(E1975,country_continent!A:C,2,FALSE)</f>
        <v>Romania</v>
      </c>
      <c r="G1975" t="str">
        <f>VLOOKUP(E1975,country_continent!A:C,3,FALSE)</f>
        <v>Europe</v>
      </c>
      <c r="H1975" t="s">
        <v>8182</v>
      </c>
      <c r="I1975" s="1">
        <v>35884</v>
      </c>
      <c r="J1975" s="3">
        <f t="shared" si="90"/>
        <v>35884</v>
      </c>
      <c r="K1975" s="1">
        <v>35900</v>
      </c>
      <c r="L1975" s="3">
        <f t="shared" si="91"/>
        <v>35900</v>
      </c>
      <c r="M1975" t="s">
        <v>49</v>
      </c>
      <c r="N1975" t="s">
        <v>49</v>
      </c>
      <c r="O1975" t="s">
        <v>49</v>
      </c>
      <c r="P1975">
        <v>0</v>
      </c>
      <c r="Q1975" t="s">
        <v>50</v>
      </c>
      <c r="R1975" t="s">
        <v>51</v>
      </c>
      <c r="S1975">
        <v>1932</v>
      </c>
      <c r="T1975">
        <v>-777</v>
      </c>
      <c r="Z1975">
        <v>0</v>
      </c>
      <c r="AA1975">
        <v>1</v>
      </c>
      <c r="AB1975">
        <v>0</v>
      </c>
      <c r="AC1975">
        <v>0</v>
      </c>
      <c r="AF1975">
        <v>1998</v>
      </c>
      <c r="AG1975">
        <v>1998</v>
      </c>
      <c r="AO1975" t="b">
        <v>0</v>
      </c>
      <c r="AT1975">
        <v>16</v>
      </c>
      <c r="AU1975">
        <f t="shared" si="92"/>
        <v>4.3999999999999997E-2</v>
      </c>
    </row>
    <row r="1976" spans="1:47" x14ac:dyDescent="0.3">
      <c r="A1976">
        <v>1974</v>
      </c>
      <c r="B1976" t="s">
        <v>8183</v>
      </c>
      <c r="C1976" t="s">
        <v>8184</v>
      </c>
      <c r="D1976">
        <v>360</v>
      </c>
      <c r="E1976" t="s">
        <v>8138</v>
      </c>
      <c r="F1976" t="str">
        <f>VLOOKUP(E1976,country_continent!A:C,2,FALSE)</f>
        <v>Romania</v>
      </c>
      <c r="G1976" t="str">
        <f>VLOOKUP(E1976,country_continent!A:C,3,FALSE)</f>
        <v>Europe</v>
      </c>
      <c r="H1976" t="s">
        <v>8185</v>
      </c>
      <c r="I1976" s="1">
        <v>35900</v>
      </c>
      <c r="J1976" s="3">
        <f t="shared" si="90"/>
        <v>35900</v>
      </c>
      <c r="K1976" s="1">
        <v>36508</v>
      </c>
      <c r="L1976" s="3">
        <f t="shared" si="91"/>
        <v>36508</v>
      </c>
      <c r="M1976" t="s">
        <v>49</v>
      </c>
      <c r="N1976" t="s">
        <v>49</v>
      </c>
      <c r="O1976" t="s">
        <v>49</v>
      </c>
      <c r="P1976">
        <v>0</v>
      </c>
      <c r="Q1976" t="s">
        <v>50</v>
      </c>
      <c r="R1976" t="s">
        <v>51</v>
      </c>
      <c r="S1976">
        <v>1942</v>
      </c>
      <c r="T1976">
        <v>-777</v>
      </c>
      <c r="Z1976">
        <v>0</v>
      </c>
      <c r="AA1976">
        <v>1</v>
      </c>
      <c r="AB1976">
        <v>0</v>
      </c>
      <c r="AC1976">
        <v>0</v>
      </c>
      <c r="AF1976">
        <v>1998</v>
      </c>
      <c r="AG1976">
        <v>1999</v>
      </c>
      <c r="AO1976" t="b">
        <v>0</v>
      </c>
      <c r="AT1976">
        <v>608</v>
      </c>
      <c r="AU1976">
        <f t="shared" si="92"/>
        <v>1.6659999999999999</v>
      </c>
    </row>
    <row r="1977" spans="1:47" x14ac:dyDescent="0.3">
      <c r="A1977">
        <v>1975</v>
      </c>
      <c r="B1977" t="s">
        <v>8186</v>
      </c>
      <c r="C1977" t="s">
        <v>8187</v>
      </c>
      <c r="D1977">
        <v>360</v>
      </c>
      <c r="E1977" t="s">
        <v>8138</v>
      </c>
      <c r="F1977" t="str">
        <f>VLOOKUP(E1977,country_continent!A:C,2,FALSE)</f>
        <v>Romania</v>
      </c>
      <c r="G1977" t="str">
        <f>VLOOKUP(E1977,country_continent!A:C,3,FALSE)</f>
        <v>Europe</v>
      </c>
      <c r="H1977" t="s">
        <v>8188</v>
      </c>
      <c r="I1977" s="1">
        <v>36508</v>
      </c>
      <c r="J1977" s="3">
        <f t="shared" si="90"/>
        <v>36508</v>
      </c>
      <c r="K1977" s="1">
        <v>36516</v>
      </c>
      <c r="L1977" s="3">
        <f t="shared" si="91"/>
        <v>36516</v>
      </c>
      <c r="M1977" t="s">
        <v>49</v>
      </c>
      <c r="N1977" t="s">
        <v>49</v>
      </c>
      <c r="O1977" t="s">
        <v>49</v>
      </c>
      <c r="P1977">
        <v>0</v>
      </c>
      <c r="Q1977" t="s">
        <v>50</v>
      </c>
      <c r="R1977" t="s">
        <v>51</v>
      </c>
      <c r="S1977">
        <v>1955</v>
      </c>
      <c r="T1977">
        <v>-777</v>
      </c>
      <c r="Z1977">
        <v>0</v>
      </c>
      <c r="AA1977">
        <v>1</v>
      </c>
      <c r="AB1977">
        <v>0</v>
      </c>
      <c r="AC1977">
        <v>0</v>
      </c>
      <c r="AF1977">
        <v>1999</v>
      </c>
      <c r="AG1977">
        <v>1999</v>
      </c>
      <c r="AO1977" t="b">
        <v>0</v>
      </c>
      <c r="AT1977">
        <v>8</v>
      </c>
      <c r="AU1977">
        <f t="shared" si="92"/>
        <v>2.1999999999999999E-2</v>
      </c>
    </row>
    <row r="1978" spans="1:47" x14ac:dyDescent="0.3">
      <c r="A1978">
        <v>1976</v>
      </c>
      <c r="B1978" t="s">
        <v>8189</v>
      </c>
      <c r="C1978" t="s">
        <v>8190</v>
      </c>
      <c r="D1978">
        <v>360</v>
      </c>
      <c r="E1978" t="s">
        <v>8138</v>
      </c>
      <c r="F1978" t="str">
        <f>VLOOKUP(E1978,country_continent!A:C,2,FALSE)</f>
        <v>Romania</v>
      </c>
      <c r="G1978" t="str">
        <f>VLOOKUP(E1978,country_continent!A:C,3,FALSE)</f>
        <v>Europe</v>
      </c>
      <c r="H1978" t="s">
        <v>8191</v>
      </c>
      <c r="I1978" s="1">
        <v>36516</v>
      </c>
      <c r="J1978" s="3">
        <f t="shared" si="90"/>
        <v>36516</v>
      </c>
      <c r="K1978" s="1">
        <v>36888</v>
      </c>
      <c r="L1978" s="3">
        <f t="shared" si="91"/>
        <v>36888</v>
      </c>
      <c r="M1978" t="s">
        <v>49</v>
      </c>
      <c r="N1978" t="s">
        <v>49</v>
      </c>
      <c r="O1978" t="s">
        <v>49</v>
      </c>
      <c r="P1978">
        <v>0</v>
      </c>
      <c r="Q1978" t="s">
        <v>50</v>
      </c>
      <c r="R1978" t="s">
        <v>51</v>
      </c>
      <c r="S1978">
        <v>1949</v>
      </c>
      <c r="T1978">
        <v>-777</v>
      </c>
      <c r="Z1978">
        <v>0</v>
      </c>
      <c r="AA1978">
        <v>1</v>
      </c>
      <c r="AB1978">
        <v>0</v>
      </c>
      <c r="AC1978">
        <v>0</v>
      </c>
      <c r="AF1978">
        <v>1999</v>
      </c>
      <c r="AG1978">
        <v>2000</v>
      </c>
      <c r="AO1978" t="b">
        <v>0</v>
      </c>
      <c r="AT1978">
        <v>372</v>
      </c>
      <c r="AU1978">
        <f t="shared" si="92"/>
        <v>1.0189999999999999</v>
      </c>
    </row>
    <row r="1979" spans="1:47" x14ac:dyDescent="0.3">
      <c r="A1979">
        <v>1977</v>
      </c>
      <c r="B1979" t="s">
        <v>8192</v>
      </c>
      <c r="C1979" t="s">
        <v>8193</v>
      </c>
      <c r="D1979">
        <v>360</v>
      </c>
      <c r="E1979" t="s">
        <v>8138</v>
      </c>
      <c r="F1979" t="str">
        <f>VLOOKUP(E1979,country_continent!A:C,2,FALSE)</f>
        <v>Romania</v>
      </c>
      <c r="G1979" t="str">
        <f>VLOOKUP(E1979,country_continent!A:C,3,FALSE)</f>
        <v>Europe</v>
      </c>
      <c r="H1979" t="s">
        <v>8194</v>
      </c>
      <c r="I1979" s="1">
        <v>36888</v>
      </c>
      <c r="J1979" s="3">
        <f t="shared" si="90"/>
        <v>36888</v>
      </c>
      <c r="K1979" s="1">
        <v>38342</v>
      </c>
      <c r="L1979" s="3">
        <f t="shared" si="91"/>
        <v>38342</v>
      </c>
      <c r="M1979" t="s">
        <v>49</v>
      </c>
      <c r="N1979" t="s">
        <v>49</v>
      </c>
      <c r="O1979" t="s">
        <v>49</v>
      </c>
      <c r="P1979">
        <v>0</v>
      </c>
      <c r="Q1979" t="s">
        <v>50</v>
      </c>
      <c r="R1979" t="s">
        <v>51</v>
      </c>
      <c r="S1979">
        <v>1950</v>
      </c>
      <c r="T1979">
        <v>-777</v>
      </c>
      <c r="Z1979">
        <v>0</v>
      </c>
      <c r="AA1979">
        <v>1</v>
      </c>
      <c r="AB1979">
        <v>0</v>
      </c>
      <c r="AC1979">
        <v>0</v>
      </c>
      <c r="AF1979">
        <v>2000</v>
      </c>
      <c r="AG1979">
        <v>2004</v>
      </c>
      <c r="AO1979" t="b">
        <v>0</v>
      </c>
      <c r="AT1979">
        <v>1454</v>
      </c>
      <c r="AU1979">
        <f t="shared" si="92"/>
        <v>3.984</v>
      </c>
    </row>
    <row r="1980" spans="1:47" x14ac:dyDescent="0.3">
      <c r="A1980">
        <v>1978</v>
      </c>
      <c r="B1980" t="s">
        <v>8195</v>
      </c>
      <c r="C1980" t="s">
        <v>8196</v>
      </c>
      <c r="D1980">
        <v>360</v>
      </c>
      <c r="E1980" t="s">
        <v>8138</v>
      </c>
      <c r="F1980" t="str">
        <f>VLOOKUP(E1980,country_continent!A:C,2,FALSE)</f>
        <v>Romania</v>
      </c>
      <c r="G1980" t="str">
        <f>VLOOKUP(E1980,country_continent!A:C,3,FALSE)</f>
        <v>Europe</v>
      </c>
      <c r="H1980" t="s">
        <v>8197</v>
      </c>
      <c r="I1980" s="1">
        <v>38342</v>
      </c>
      <c r="J1980" s="3">
        <f t="shared" si="90"/>
        <v>38342</v>
      </c>
      <c r="K1980" s="1">
        <v>38350</v>
      </c>
      <c r="L1980" s="3">
        <f t="shared" si="91"/>
        <v>38350</v>
      </c>
      <c r="M1980" t="s">
        <v>49</v>
      </c>
      <c r="N1980" t="s">
        <v>49</v>
      </c>
      <c r="O1980" t="s">
        <v>49</v>
      </c>
      <c r="P1980">
        <v>0</v>
      </c>
      <c r="Q1980" t="s">
        <v>50</v>
      </c>
      <c r="R1980" t="s">
        <v>51</v>
      </c>
      <c r="S1980">
        <v>1959</v>
      </c>
      <c r="T1980">
        <v>-777</v>
      </c>
      <c r="Z1980">
        <v>0</v>
      </c>
      <c r="AA1980">
        <v>1</v>
      </c>
      <c r="AB1980">
        <v>0</v>
      </c>
      <c r="AC1980">
        <v>0</v>
      </c>
      <c r="AF1980">
        <v>2004</v>
      </c>
      <c r="AG1980">
        <v>2004</v>
      </c>
      <c r="AO1980" t="b">
        <v>0</v>
      </c>
      <c r="AT1980">
        <v>8</v>
      </c>
      <c r="AU1980">
        <f t="shared" si="92"/>
        <v>2.1999999999999999E-2</v>
      </c>
    </row>
    <row r="1981" spans="1:47" x14ac:dyDescent="0.3">
      <c r="A1981">
        <v>1979</v>
      </c>
      <c r="B1981" t="s">
        <v>8198</v>
      </c>
      <c r="C1981" t="s">
        <v>8199</v>
      </c>
      <c r="D1981">
        <v>360</v>
      </c>
      <c r="E1981" t="s">
        <v>8138</v>
      </c>
      <c r="F1981" t="str">
        <f>VLOOKUP(E1981,country_continent!A:C,2,FALSE)</f>
        <v>Romania</v>
      </c>
      <c r="G1981" t="str">
        <f>VLOOKUP(E1981,country_continent!A:C,3,FALSE)</f>
        <v>Europe</v>
      </c>
      <c r="H1981" t="s">
        <v>8200</v>
      </c>
      <c r="I1981" s="1">
        <v>38350</v>
      </c>
      <c r="J1981" s="3">
        <f t="shared" si="90"/>
        <v>38350</v>
      </c>
      <c r="K1981" s="1">
        <v>39192</v>
      </c>
      <c r="L1981" s="3">
        <f t="shared" si="91"/>
        <v>39192</v>
      </c>
      <c r="M1981" t="s">
        <v>49</v>
      </c>
      <c r="N1981" t="s">
        <v>49</v>
      </c>
      <c r="O1981" t="s">
        <v>49</v>
      </c>
      <c r="P1981">
        <v>0</v>
      </c>
      <c r="Q1981" t="s">
        <v>50</v>
      </c>
      <c r="R1981" t="s">
        <v>51</v>
      </c>
      <c r="S1981">
        <v>1951</v>
      </c>
      <c r="T1981">
        <v>-777</v>
      </c>
      <c r="U1981" s="1">
        <v>18936</v>
      </c>
      <c r="V1981" s="2">
        <v>18936</v>
      </c>
      <c r="Y1981" t="s">
        <v>8201</v>
      </c>
      <c r="Z1981">
        <v>0</v>
      </c>
      <c r="AA1981">
        <v>1</v>
      </c>
      <c r="AB1981">
        <v>0</v>
      </c>
      <c r="AC1981">
        <v>0</v>
      </c>
      <c r="AF1981">
        <v>2004</v>
      </c>
      <c r="AG1981">
        <v>2007</v>
      </c>
      <c r="AO1981" t="b">
        <v>0</v>
      </c>
      <c r="AT1981">
        <v>842</v>
      </c>
      <c r="AU1981">
        <f t="shared" si="92"/>
        <v>2.3069999999999999</v>
      </c>
    </row>
    <row r="1982" spans="1:47" x14ac:dyDescent="0.3">
      <c r="A1982">
        <v>1980</v>
      </c>
      <c r="B1982" t="s">
        <v>8202</v>
      </c>
      <c r="C1982" t="s">
        <v>8175</v>
      </c>
      <c r="D1982">
        <v>360</v>
      </c>
      <c r="E1982" t="s">
        <v>8138</v>
      </c>
      <c r="F1982" t="str">
        <f>VLOOKUP(E1982,country_continent!A:C,2,FALSE)</f>
        <v>Romania</v>
      </c>
      <c r="G1982" t="str">
        <f>VLOOKUP(E1982,country_continent!A:C,3,FALSE)</f>
        <v>Europe</v>
      </c>
      <c r="H1982" t="s">
        <v>8176</v>
      </c>
      <c r="I1982" s="1">
        <v>39192</v>
      </c>
      <c r="J1982" s="3">
        <f t="shared" si="90"/>
        <v>39192</v>
      </c>
      <c r="K1982" s="1">
        <v>39225</v>
      </c>
      <c r="L1982" s="3">
        <f t="shared" si="91"/>
        <v>39225</v>
      </c>
      <c r="M1982" t="s">
        <v>49</v>
      </c>
      <c r="N1982" t="s">
        <v>49</v>
      </c>
      <c r="O1982" t="s">
        <v>49</v>
      </c>
      <c r="P1982">
        <v>1</v>
      </c>
      <c r="Q1982" t="s">
        <v>50</v>
      </c>
      <c r="R1982" t="s">
        <v>51</v>
      </c>
      <c r="S1982">
        <v>1943</v>
      </c>
      <c r="T1982">
        <v>-777</v>
      </c>
      <c r="U1982" s="1">
        <v>16045</v>
      </c>
      <c r="V1982" s="2">
        <v>16045</v>
      </c>
      <c r="Z1982">
        <v>0</v>
      </c>
      <c r="AA1982">
        <v>1</v>
      </c>
      <c r="AB1982">
        <v>0</v>
      </c>
      <c r="AC1982">
        <v>0</v>
      </c>
      <c r="AF1982">
        <v>2007</v>
      </c>
      <c r="AG1982">
        <v>2007</v>
      </c>
      <c r="AO1982" t="b">
        <v>0</v>
      </c>
      <c r="AT1982">
        <v>33</v>
      </c>
      <c r="AU1982">
        <f t="shared" si="92"/>
        <v>0.09</v>
      </c>
    </row>
    <row r="1983" spans="1:47" x14ac:dyDescent="0.3">
      <c r="A1983">
        <v>1981</v>
      </c>
      <c r="B1983" t="s">
        <v>8203</v>
      </c>
      <c r="C1983" t="s">
        <v>8199</v>
      </c>
      <c r="D1983">
        <v>360</v>
      </c>
      <c r="E1983" t="s">
        <v>8138</v>
      </c>
      <c r="F1983" t="str">
        <f>VLOOKUP(E1983,country_continent!A:C,2,FALSE)</f>
        <v>Romania</v>
      </c>
      <c r="G1983" t="str">
        <f>VLOOKUP(E1983,country_continent!A:C,3,FALSE)</f>
        <v>Europe</v>
      </c>
      <c r="H1983" t="s">
        <v>8200</v>
      </c>
      <c r="I1983" s="1">
        <v>39225</v>
      </c>
      <c r="J1983" s="3">
        <f t="shared" si="90"/>
        <v>39225</v>
      </c>
      <c r="K1983" s="1">
        <v>41100</v>
      </c>
      <c r="L1983" s="3">
        <f t="shared" si="91"/>
        <v>41100</v>
      </c>
      <c r="M1983" t="s">
        <v>49</v>
      </c>
      <c r="N1983" t="s">
        <v>49</v>
      </c>
      <c r="O1983" t="s">
        <v>49</v>
      </c>
      <c r="P1983">
        <v>1</v>
      </c>
      <c r="Q1983" t="s">
        <v>50</v>
      </c>
      <c r="R1983" t="s">
        <v>51</v>
      </c>
      <c r="S1983">
        <v>1951</v>
      </c>
      <c r="T1983">
        <v>-777</v>
      </c>
      <c r="U1983" s="1">
        <v>18936</v>
      </c>
      <c r="V1983" s="2">
        <v>18936</v>
      </c>
      <c r="Y1983" t="s">
        <v>8201</v>
      </c>
      <c r="Z1983">
        <v>0</v>
      </c>
      <c r="AA1983">
        <v>1</v>
      </c>
      <c r="AB1983">
        <v>0</v>
      </c>
      <c r="AC1983">
        <v>0</v>
      </c>
      <c r="AF1983">
        <v>2007</v>
      </c>
      <c r="AG1983">
        <v>2012</v>
      </c>
      <c r="AO1983" t="b">
        <v>0</v>
      </c>
      <c r="AT1983">
        <v>1875</v>
      </c>
      <c r="AU1983">
        <f t="shared" si="92"/>
        <v>5.1369999999999996</v>
      </c>
    </row>
    <row r="1984" spans="1:47" x14ac:dyDescent="0.3">
      <c r="A1984">
        <v>1982</v>
      </c>
      <c r="B1984" t="s">
        <v>8204</v>
      </c>
      <c r="C1984" t="s">
        <v>8205</v>
      </c>
      <c r="D1984">
        <v>360</v>
      </c>
      <c r="E1984" t="s">
        <v>8138</v>
      </c>
      <c r="F1984" t="str">
        <f>VLOOKUP(E1984,country_continent!A:C,2,FALSE)</f>
        <v>Romania</v>
      </c>
      <c r="G1984" t="str">
        <f>VLOOKUP(E1984,country_continent!A:C,3,FALSE)</f>
        <v>Europe</v>
      </c>
      <c r="H1984" t="s">
        <v>8206</v>
      </c>
      <c r="I1984" s="1">
        <v>41100</v>
      </c>
      <c r="J1984" s="3">
        <f t="shared" si="90"/>
        <v>41100</v>
      </c>
      <c r="K1984" s="1">
        <v>41149</v>
      </c>
      <c r="L1984" s="3">
        <f t="shared" si="91"/>
        <v>41149</v>
      </c>
      <c r="M1984" t="s">
        <v>49</v>
      </c>
      <c r="N1984" t="s">
        <v>49</v>
      </c>
      <c r="O1984" t="s">
        <v>49</v>
      </c>
      <c r="P1984">
        <v>0</v>
      </c>
      <c r="Q1984" t="s">
        <v>50</v>
      </c>
      <c r="R1984" t="s">
        <v>51</v>
      </c>
      <c r="S1984">
        <v>1959</v>
      </c>
      <c r="T1984">
        <v>-777</v>
      </c>
      <c r="U1984" s="1">
        <v>21814</v>
      </c>
      <c r="V1984" s="2">
        <v>21814</v>
      </c>
      <c r="Z1984">
        <v>0</v>
      </c>
      <c r="AA1984">
        <v>1</v>
      </c>
      <c r="AB1984">
        <v>0</v>
      </c>
      <c r="AC1984">
        <v>0</v>
      </c>
      <c r="AF1984">
        <v>2012</v>
      </c>
      <c r="AG1984">
        <v>2012</v>
      </c>
      <c r="AO1984" t="b">
        <v>0</v>
      </c>
      <c r="AT1984">
        <v>49</v>
      </c>
      <c r="AU1984">
        <f t="shared" si="92"/>
        <v>0.13400000000000001</v>
      </c>
    </row>
    <row r="1985" spans="1:47" x14ac:dyDescent="0.3">
      <c r="A1985">
        <v>1983</v>
      </c>
      <c r="B1985" t="s">
        <v>8207</v>
      </c>
      <c r="C1985" t="s">
        <v>8199</v>
      </c>
      <c r="D1985">
        <v>360</v>
      </c>
      <c r="E1985" t="s">
        <v>8138</v>
      </c>
      <c r="F1985" t="str">
        <f>VLOOKUP(E1985,country_continent!A:C,2,FALSE)</f>
        <v>Romania</v>
      </c>
      <c r="G1985" t="str">
        <f>VLOOKUP(E1985,country_continent!A:C,3,FALSE)</f>
        <v>Europe</v>
      </c>
      <c r="H1985" t="s">
        <v>8200</v>
      </c>
      <c r="I1985" s="1">
        <v>41149</v>
      </c>
      <c r="J1985" s="3">
        <f t="shared" si="90"/>
        <v>41149</v>
      </c>
      <c r="K1985" s="1">
        <v>41994</v>
      </c>
      <c r="L1985" s="3">
        <f t="shared" si="91"/>
        <v>41994</v>
      </c>
      <c r="M1985" t="s">
        <v>49</v>
      </c>
      <c r="N1985" t="s">
        <v>49</v>
      </c>
      <c r="O1985" t="s">
        <v>49</v>
      </c>
      <c r="P1985">
        <v>2</v>
      </c>
      <c r="Q1985" t="s">
        <v>50</v>
      </c>
      <c r="R1985" t="s">
        <v>51</v>
      </c>
      <c r="S1985">
        <v>1951</v>
      </c>
      <c r="T1985">
        <v>-777</v>
      </c>
      <c r="U1985" s="1">
        <v>18936</v>
      </c>
      <c r="V1985" s="2">
        <v>18936</v>
      </c>
      <c r="Y1985" t="s">
        <v>8201</v>
      </c>
      <c r="Z1985">
        <v>0</v>
      </c>
      <c r="AA1985">
        <v>1</v>
      </c>
      <c r="AB1985">
        <v>0</v>
      </c>
      <c r="AC1985">
        <v>0</v>
      </c>
      <c r="AF1985">
        <v>2012</v>
      </c>
      <c r="AG1985">
        <v>2014</v>
      </c>
      <c r="AO1985" t="b">
        <v>0</v>
      </c>
      <c r="AT1985">
        <v>845</v>
      </c>
      <c r="AU1985">
        <f t="shared" si="92"/>
        <v>2.3149999999999999</v>
      </c>
    </row>
    <row r="1986" spans="1:47" x14ac:dyDescent="0.3">
      <c r="A1986">
        <v>1984</v>
      </c>
      <c r="B1986" t="s">
        <v>8208</v>
      </c>
      <c r="C1986" t="s">
        <v>8209</v>
      </c>
      <c r="D1986">
        <v>365</v>
      </c>
      <c r="E1986" t="s">
        <v>8210</v>
      </c>
      <c r="F1986" t="str">
        <f>VLOOKUP(E1986,country_continent!A:C,2,FALSE)</f>
        <v>Russia</v>
      </c>
      <c r="G1986" t="str">
        <f>VLOOKUP(E1986,country_continent!A:C,3,FALSE)</f>
        <v>Europe</v>
      </c>
      <c r="H1986" t="s">
        <v>8211</v>
      </c>
      <c r="I1986" t="s">
        <v>8212</v>
      </c>
      <c r="J1986" s="3" t="str">
        <f t="shared" si="90"/>
        <v>1855/03/02</v>
      </c>
      <c r="K1986" t="s">
        <v>8213</v>
      </c>
      <c r="L1986" s="3" t="str">
        <f t="shared" si="91"/>
        <v>1881/03/13</v>
      </c>
      <c r="M1986" t="s">
        <v>49</v>
      </c>
      <c r="N1986" t="s">
        <v>67</v>
      </c>
      <c r="O1986" t="s">
        <v>347</v>
      </c>
      <c r="P1986">
        <v>0</v>
      </c>
      <c r="Q1986" t="s">
        <v>69</v>
      </c>
      <c r="R1986" t="s">
        <v>51</v>
      </c>
      <c r="S1986">
        <v>1818</v>
      </c>
      <c r="T1986">
        <v>1881</v>
      </c>
      <c r="U1986" t="s">
        <v>8215</v>
      </c>
      <c r="V1986" t="s">
        <v>8216</v>
      </c>
      <c r="W1986" t="s">
        <v>8213</v>
      </c>
      <c r="X1986" t="s">
        <v>8214</v>
      </c>
      <c r="Y1986" t="s">
        <v>8217</v>
      </c>
      <c r="Z1986">
        <v>0</v>
      </c>
      <c r="AA1986">
        <v>3</v>
      </c>
      <c r="AB1986">
        <v>-999</v>
      </c>
      <c r="AC1986">
        <v>3</v>
      </c>
      <c r="AF1986">
        <v>1855</v>
      </c>
      <c r="AG1986">
        <v>1881</v>
      </c>
      <c r="AO1986" t="b">
        <v>1</v>
      </c>
      <c r="AP1986" t="s">
        <v>45</v>
      </c>
      <c r="AQ1986">
        <v>1867</v>
      </c>
      <c r="AR1986">
        <v>1958</v>
      </c>
      <c r="AS1986" t="s">
        <v>8218</v>
      </c>
      <c r="AT1986">
        <v>26.031485284052</v>
      </c>
      <c r="AU1986">
        <f t="shared" si="92"/>
        <v>7.0999999999999994E-2</v>
      </c>
    </row>
    <row r="1987" spans="1:47" x14ac:dyDescent="0.3">
      <c r="A1987">
        <v>1985</v>
      </c>
      <c r="B1987" t="s">
        <v>8219</v>
      </c>
      <c r="C1987" t="s">
        <v>8220</v>
      </c>
      <c r="D1987">
        <v>365</v>
      </c>
      <c r="E1987" t="s">
        <v>8210</v>
      </c>
      <c r="F1987" t="str">
        <f>VLOOKUP(E1987,country_continent!A:C,2,FALSE)</f>
        <v>Russia</v>
      </c>
      <c r="G1987" t="str">
        <f>VLOOKUP(E1987,country_continent!A:C,3,FALSE)</f>
        <v>Europe</v>
      </c>
      <c r="H1987" t="s">
        <v>8221</v>
      </c>
      <c r="I1987" t="s">
        <v>8213</v>
      </c>
      <c r="J1987" s="3" t="str">
        <f t="shared" ref="J1987:J2050" si="93">IF(ISNUMBER(SEARCH("-", I1987)), SUBSTITUTE(I1987, "-", "/"), I1987)</f>
        <v>1881/03/13</v>
      </c>
      <c r="K1987" t="s">
        <v>8222</v>
      </c>
      <c r="L1987" s="3" t="str">
        <f t="shared" ref="L1987:L2050" si="94">IF(ISNUMBER(SEARCH("-", K1987)), SUBSTITUTE(K1987, "-", "/"), K1987)</f>
        <v>1894/11/01</v>
      </c>
      <c r="M1987" t="s">
        <v>49</v>
      </c>
      <c r="N1987" t="s">
        <v>110</v>
      </c>
      <c r="O1987" t="s">
        <v>49</v>
      </c>
      <c r="P1987">
        <v>0</v>
      </c>
      <c r="Q1987" t="s">
        <v>111</v>
      </c>
      <c r="R1987" t="s">
        <v>51</v>
      </c>
      <c r="S1987">
        <v>1845</v>
      </c>
      <c r="T1987">
        <v>1894</v>
      </c>
      <c r="W1987" t="s">
        <v>8222</v>
      </c>
      <c r="X1987" t="s">
        <v>8223</v>
      </c>
      <c r="Y1987" t="s">
        <v>8224</v>
      </c>
      <c r="Z1987">
        <v>0</v>
      </c>
      <c r="AA1987">
        <v>2</v>
      </c>
      <c r="AB1987">
        <v>0</v>
      </c>
      <c r="AC1987">
        <v>-777</v>
      </c>
      <c r="AF1987">
        <v>1881</v>
      </c>
      <c r="AG1987">
        <v>1894</v>
      </c>
      <c r="AO1987" t="b">
        <v>1</v>
      </c>
      <c r="AP1987" t="s">
        <v>45</v>
      </c>
      <c r="AQ1987">
        <v>1867</v>
      </c>
      <c r="AR1987">
        <v>1958</v>
      </c>
      <c r="AS1987" t="s">
        <v>8225</v>
      </c>
      <c r="AT1987">
        <v>13.6372347707049</v>
      </c>
      <c r="AU1987">
        <f t="shared" si="92"/>
        <v>3.6999999999999998E-2</v>
      </c>
    </row>
    <row r="1988" spans="1:47" x14ac:dyDescent="0.3">
      <c r="A1988">
        <v>1986</v>
      </c>
      <c r="B1988" t="s">
        <v>8226</v>
      </c>
      <c r="C1988" t="s">
        <v>8227</v>
      </c>
      <c r="D1988">
        <v>365</v>
      </c>
      <c r="E1988" t="s">
        <v>8210</v>
      </c>
      <c r="F1988" t="str">
        <f>VLOOKUP(E1988,country_continent!A:C,2,FALSE)</f>
        <v>Russia</v>
      </c>
      <c r="G1988" t="str">
        <f>VLOOKUP(E1988,country_continent!A:C,3,FALSE)</f>
        <v>Europe</v>
      </c>
      <c r="H1988" t="s">
        <v>8228</v>
      </c>
      <c r="I1988" t="s">
        <v>8222</v>
      </c>
      <c r="J1988" s="3" t="str">
        <f t="shared" si="93"/>
        <v>1894/11/01</v>
      </c>
      <c r="K1988" s="1">
        <v>6520</v>
      </c>
      <c r="L1988" s="3">
        <f t="shared" si="94"/>
        <v>6520</v>
      </c>
      <c r="M1988" t="s">
        <v>49</v>
      </c>
      <c r="N1988" t="s">
        <v>67</v>
      </c>
      <c r="O1988" t="s">
        <v>347</v>
      </c>
      <c r="P1988">
        <v>0</v>
      </c>
      <c r="Q1988" t="s">
        <v>463</v>
      </c>
      <c r="R1988" t="s">
        <v>51</v>
      </c>
      <c r="S1988">
        <v>1868</v>
      </c>
      <c r="T1988">
        <v>1918</v>
      </c>
      <c r="U1988" t="s">
        <v>8229</v>
      </c>
      <c r="V1988" t="s">
        <v>8230</v>
      </c>
      <c r="W1988" s="1">
        <v>6772</v>
      </c>
      <c r="X1988" s="2">
        <v>6772</v>
      </c>
      <c r="Z1988">
        <v>0</v>
      </c>
      <c r="AA1988">
        <v>3</v>
      </c>
      <c r="AB1988">
        <v>-999</v>
      </c>
      <c r="AC1988">
        <v>2</v>
      </c>
      <c r="AF1988">
        <v>1894</v>
      </c>
      <c r="AG1988">
        <v>1917</v>
      </c>
      <c r="AO1988" t="b">
        <v>1</v>
      </c>
      <c r="AP1988" t="s">
        <v>45</v>
      </c>
      <c r="AQ1988">
        <v>1867</v>
      </c>
      <c r="AR1988">
        <v>1958</v>
      </c>
      <c r="AS1988" t="s">
        <v>8231</v>
      </c>
      <c r="AT1988">
        <v>23.0116358658453</v>
      </c>
      <c r="AU1988">
        <f t="shared" ref="AU1988:AU2051" si="95">ROUND(AT1988/365,3)</f>
        <v>6.3E-2</v>
      </c>
    </row>
    <row r="1989" spans="1:47" x14ac:dyDescent="0.3">
      <c r="A1989">
        <v>1987</v>
      </c>
      <c r="B1989" t="s">
        <v>8232</v>
      </c>
      <c r="C1989" t="s">
        <v>8233</v>
      </c>
      <c r="D1989">
        <v>365</v>
      </c>
      <c r="E1989" t="s">
        <v>8210</v>
      </c>
      <c r="F1989" t="str">
        <f>VLOOKUP(E1989,country_continent!A:C,2,FALSE)</f>
        <v>Russia</v>
      </c>
      <c r="G1989" t="str">
        <f>VLOOKUP(E1989,country_continent!A:C,3,FALSE)</f>
        <v>Europe</v>
      </c>
      <c r="H1989" t="s">
        <v>8234</v>
      </c>
      <c r="I1989" s="1">
        <v>6521</v>
      </c>
      <c r="J1989" s="3">
        <f t="shared" si="93"/>
        <v>6521</v>
      </c>
      <c r="K1989" s="1">
        <v>8470</v>
      </c>
      <c r="L1989" s="3">
        <f t="shared" si="94"/>
        <v>8470</v>
      </c>
      <c r="M1989" t="s">
        <v>67</v>
      </c>
      <c r="N1989" t="s">
        <v>110</v>
      </c>
      <c r="O1989" t="s">
        <v>49</v>
      </c>
      <c r="P1989">
        <v>0</v>
      </c>
      <c r="Q1989" t="s">
        <v>111</v>
      </c>
      <c r="R1989" t="s">
        <v>51</v>
      </c>
      <c r="S1989">
        <v>1870</v>
      </c>
      <c r="T1989">
        <v>1924</v>
      </c>
      <c r="U1989" t="s">
        <v>8235</v>
      </c>
      <c r="V1989" t="s">
        <v>8236</v>
      </c>
      <c r="W1989" s="1">
        <v>8787</v>
      </c>
      <c r="X1989" s="2">
        <v>8787</v>
      </c>
      <c r="Z1989">
        <v>1</v>
      </c>
      <c r="AA1989">
        <v>2</v>
      </c>
      <c r="AB1989">
        <v>0</v>
      </c>
      <c r="AC1989">
        <v>-777</v>
      </c>
      <c r="AF1989">
        <v>1917</v>
      </c>
      <c r="AG1989">
        <v>1923</v>
      </c>
      <c r="AO1989" t="b">
        <v>1</v>
      </c>
      <c r="AP1989" t="s">
        <v>45</v>
      </c>
      <c r="AQ1989">
        <v>1867</v>
      </c>
      <c r="AR1989">
        <v>1958</v>
      </c>
      <c r="AS1989" t="s">
        <v>8237</v>
      </c>
      <c r="AT1989">
        <v>5.3360711841204598</v>
      </c>
      <c r="AU1989">
        <f t="shared" si="95"/>
        <v>1.4999999999999999E-2</v>
      </c>
    </row>
    <row r="1990" spans="1:47" x14ac:dyDescent="0.3">
      <c r="A1990">
        <v>1988</v>
      </c>
      <c r="B1990" t="s">
        <v>8238</v>
      </c>
      <c r="C1990" t="s">
        <v>8239</v>
      </c>
      <c r="D1990">
        <v>365</v>
      </c>
      <c r="E1990" t="s">
        <v>8210</v>
      </c>
      <c r="F1990" t="str">
        <f>VLOOKUP(E1990,country_continent!A:C,2,FALSE)</f>
        <v>Russia</v>
      </c>
      <c r="G1990" t="str">
        <f>VLOOKUP(E1990,country_continent!A:C,3,FALSE)</f>
        <v>Europe</v>
      </c>
      <c r="H1990" t="s">
        <v>8240</v>
      </c>
      <c r="I1990" s="1">
        <v>8470</v>
      </c>
      <c r="J1990" s="3">
        <f t="shared" si="93"/>
        <v>8470</v>
      </c>
      <c r="K1990" s="1">
        <v>19423</v>
      </c>
      <c r="L1990" s="3">
        <f t="shared" si="94"/>
        <v>19423</v>
      </c>
      <c r="M1990" t="s">
        <v>49</v>
      </c>
      <c r="N1990" t="s">
        <v>110</v>
      </c>
      <c r="O1990" t="s">
        <v>49</v>
      </c>
      <c r="P1990">
        <v>0</v>
      </c>
      <c r="Q1990" t="s">
        <v>111</v>
      </c>
      <c r="R1990" t="s">
        <v>51</v>
      </c>
      <c r="S1990">
        <v>1879</v>
      </c>
      <c r="T1990">
        <v>1953</v>
      </c>
      <c r="U1990" t="s">
        <v>5032</v>
      </c>
      <c r="V1990" t="s">
        <v>5033</v>
      </c>
      <c r="W1990" s="1">
        <v>19423</v>
      </c>
      <c r="X1990" s="2">
        <v>19423</v>
      </c>
      <c r="Y1990" t="s">
        <v>8241</v>
      </c>
      <c r="Z1990">
        <v>0</v>
      </c>
      <c r="AA1990">
        <v>2</v>
      </c>
      <c r="AB1990">
        <v>0</v>
      </c>
      <c r="AC1990">
        <v>-777</v>
      </c>
      <c r="AF1990">
        <v>1923</v>
      </c>
      <c r="AG1990">
        <v>1953</v>
      </c>
      <c r="AO1990" t="b">
        <v>1</v>
      </c>
      <c r="AP1990" t="s">
        <v>45</v>
      </c>
      <c r="AQ1990">
        <v>1867</v>
      </c>
      <c r="AR1990">
        <v>1958</v>
      </c>
      <c r="AS1990" t="s">
        <v>8242</v>
      </c>
      <c r="AT1990">
        <v>29.987679671457901</v>
      </c>
      <c r="AU1990">
        <f t="shared" si="95"/>
        <v>8.2000000000000003E-2</v>
      </c>
    </row>
    <row r="1991" spans="1:47" x14ac:dyDescent="0.3">
      <c r="A1991">
        <v>1989</v>
      </c>
      <c r="B1991" t="s">
        <v>8243</v>
      </c>
      <c r="C1991" t="s">
        <v>8244</v>
      </c>
      <c r="D1991">
        <v>365</v>
      </c>
      <c r="E1991" t="s">
        <v>8210</v>
      </c>
      <c r="F1991" t="str">
        <f>VLOOKUP(E1991,country_continent!A:C,2,FALSE)</f>
        <v>Russia</v>
      </c>
      <c r="G1991" t="str">
        <f>VLOOKUP(E1991,country_continent!A:C,3,FALSE)</f>
        <v>Europe</v>
      </c>
      <c r="H1991" t="s">
        <v>8245</v>
      </c>
      <c r="I1991" s="1">
        <v>19424</v>
      </c>
      <c r="J1991" s="3">
        <f t="shared" si="93"/>
        <v>19424</v>
      </c>
      <c r="K1991" s="1">
        <v>19438</v>
      </c>
      <c r="L1991" s="3">
        <f t="shared" si="94"/>
        <v>19438</v>
      </c>
      <c r="M1991" t="s">
        <v>49</v>
      </c>
      <c r="N1991" t="s">
        <v>49</v>
      </c>
      <c r="O1991" t="s">
        <v>49</v>
      </c>
      <c r="P1991">
        <v>0</v>
      </c>
      <c r="Q1991" t="s">
        <v>50</v>
      </c>
      <c r="R1991" t="s">
        <v>51</v>
      </c>
      <c r="S1991">
        <v>1902</v>
      </c>
      <c r="T1991">
        <v>1988</v>
      </c>
      <c r="U1991" s="1">
        <v>752</v>
      </c>
      <c r="V1991" s="2">
        <v>752</v>
      </c>
      <c r="W1991" s="1">
        <v>32156</v>
      </c>
      <c r="X1991" s="2">
        <v>32156</v>
      </c>
      <c r="Z1991">
        <v>0</v>
      </c>
      <c r="AA1991">
        <v>1</v>
      </c>
      <c r="AB1991">
        <v>0</v>
      </c>
      <c r="AC1991">
        <v>0</v>
      </c>
      <c r="AF1991">
        <v>1953</v>
      </c>
      <c r="AG1991">
        <v>1953</v>
      </c>
      <c r="AO1991" t="b">
        <v>1</v>
      </c>
      <c r="AP1991" t="s">
        <v>45</v>
      </c>
      <c r="AQ1991">
        <v>1867</v>
      </c>
      <c r="AR1991">
        <v>1958</v>
      </c>
      <c r="AS1991" t="s">
        <v>8246</v>
      </c>
      <c r="AT1991">
        <v>3.8329911019849401E-2</v>
      </c>
      <c r="AU1991">
        <f t="shared" si="95"/>
        <v>0</v>
      </c>
    </row>
    <row r="1992" spans="1:47" x14ac:dyDescent="0.3">
      <c r="A1992">
        <v>1990</v>
      </c>
      <c r="B1992" t="s">
        <v>8247</v>
      </c>
      <c r="C1992" t="s">
        <v>8248</v>
      </c>
      <c r="D1992">
        <v>365</v>
      </c>
      <c r="E1992" t="s">
        <v>8210</v>
      </c>
      <c r="F1992" t="str">
        <f>VLOOKUP(E1992,country_continent!A:C,2,FALSE)</f>
        <v>Russia</v>
      </c>
      <c r="G1992" t="str">
        <f>VLOOKUP(E1992,country_continent!A:C,3,FALSE)</f>
        <v>Europe</v>
      </c>
      <c r="H1992" t="s">
        <v>8249</v>
      </c>
      <c r="I1992" s="1">
        <v>19438</v>
      </c>
      <c r="J1992" s="3">
        <f t="shared" si="93"/>
        <v>19438</v>
      </c>
      <c r="K1992" s="1">
        <v>23665</v>
      </c>
      <c r="L1992" s="3">
        <f t="shared" si="94"/>
        <v>23665</v>
      </c>
      <c r="M1992" t="s">
        <v>49</v>
      </c>
      <c r="N1992" t="s">
        <v>49</v>
      </c>
      <c r="O1992" t="s">
        <v>49</v>
      </c>
      <c r="P1992">
        <v>0</v>
      </c>
      <c r="Q1992" t="s">
        <v>50</v>
      </c>
      <c r="R1992" t="s">
        <v>51</v>
      </c>
      <c r="S1992">
        <v>1894</v>
      </c>
      <c r="T1992">
        <v>1971</v>
      </c>
      <c r="U1992" t="s">
        <v>8250</v>
      </c>
      <c r="V1992" t="s">
        <v>8251</v>
      </c>
      <c r="W1992" s="1">
        <v>26187</v>
      </c>
      <c r="X1992" s="2">
        <v>26187</v>
      </c>
      <c r="Z1992">
        <v>0</v>
      </c>
      <c r="AA1992">
        <v>1</v>
      </c>
      <c r="AB1992">
        <v>0</v>
      </c>
      <c r="AC1992">
        <v>0</v>
      </c>
      <c r="AF1992">
        <v>1953</v>
      </c>
      <c r="AG1992">
        <v>1964</v>
      </c>
      <c r="AK1992">
        <v>40.22</v>
      </c>
      <c r="AL1992">
        <v>1.1109223656571301</v>
      </c>
      <c r="AO1992" t="b">
        <v>1</v>
      </c>
      <c r="AP1992" t="s">
        <v>45</v>
      </c>
      <c r="AQ1992">
        <v>1867</v>
      </c>
      <c r="AR1992">
        <v>1958</v>
      </c>
      <c r="AS1992" t="s">
        <v>8252</v>
      </c>
      <c r="AT1992">
        <v>11.5728952772073</v>
      </c>
      <c r="AU1992">
        <f t="shared" si="95"/>
        <v>3.2000000000000001E-2</v>
      </c>
    </row>
    <row r="1993" spans="1:47" x14ac:dyDescent="0.3">
      <c r="A1993">
        <v>1991</v>
      </c>
      <c r="B1993" t="s">
        <v>8253</v>
      </c>
      <c r="C1993" t="s">
        <v>8254</v>
      </c>
      <c r="D1993">
        <v>365</v>
      </c>
      <c r="E1993" t="s">
        <v>8210</v>
      </c>
      <c r="F1993" t="str">
        <f>VLOOKUP(E1993,country_continent!A:C,2,FALSE)</f>
        <v>Russia</v>
      </c>
      <c r="G1993" t="str">
        <f>VLOOKUP(E1993,country_continent!A:C,3,FALSE)</f>
        <v>Europe</v>
      </c>
      <c r="H1993" t="s">
        <v>8255</v>
      </c>
      <c r="I1993" s="1">
        <v>23665</v>
      </c>
      <c r="J1993" s="3">
        <f t="shared" si="93"/>
        <v>23665</v>
      </c>
      <c r="K1993" s="1">
        <v>30265</v>
      </c>
      <c r="L1993" s="3">
        <f t="shared" si="94"/>
        <v>30265</v>
      </c>
      <c r="M1993" t="s">
        <v>49</v>
      </c>
      <c r="N1993" t="s">
        <v>110</v>
      </c>
      <c r="O1993" t="s">
        <v>49</v>
      </c>
      <c r="P1993">
        <v>0</v>
      </c>
      <c r="Q1993" t="s">
        <v>111</v>
      </c>
      <c r="R1993" t="s">
        <v>51</v>
      </c>
      <c r="S1993">
        <v>1906</v>
      </c>
      <c r="T1993">
        <v>1982</v>
      </c>
      <c r="U1993" s="1">
        <v>2545</v>
      </c>
      <c r="V1993" s="2">
        <v>2545</v>
      </c>
      <c r="W1993" s="1">
        <v>30265</v>
      </c>
      <c r="X1993" s="2">
        <v>30265</v>
      </c>
      <c r="Z1993">
        <v>0</v>
      </c>
      <c r="AA1993">
        <v>2</v>
      </c>
      <c r="AB1993">
        <v>0</v>
      </c>
      <c r="AC1993">
        <v>-777</v>
      </c>
      <c r="AF1993">
        <v>1964</v>
      </c>
      <c r="AG1993">
        <v>1982</v>
      </c>
      <c r="AK1993">
        <v>29.0473684210526</v>
      </c>
      <c r="AL1993">
        <v>0.67128868282416998</v>
      </c>
      <c r="AO1993" t="b">
        <v>1</v>
      </c>
      <c r="AP1993" t="s">
        <v>45</v>
      </c>
      <c r="AQ1993">
        <v>1867</v>
      </c>
      <c r="AR1993">
        <v>1958</v>
      </c>
      <c r="AS1993" t="s">
        <v>8256</v>
      </c>
      <c r="AT1993">
        <v>18.069815195071801</v>
      </c>
      <c r="AU1993">
        <f t="shared" si="95"/>
        <v>0.05</v>
      </c>
    </row>
    <row r="1994" spans="1:47" x14ac:dyDescent="0.3">
      <c r="A1994">
        <v>1992</v>
      </c>
      <c r="B1994" t="s">
        <v>8257</v>
      </c>
      <c r="C1994" t="s">
        <v>8258</v>
      </c>
      <c r="D1994">
        <v>365</v>
      </c>
      <c r="E1994" t="s">
        <v>8210</v>
      </c>
      <c r="F1994" t="str">
        <f>VLOOKUP(E1994,country_continent!A:C,2,FALSE)</f>
        <v>Russia</v>
      </c>
      <c r="G1994" t="str">
        <f>VLOOKUP(E1994,country_continent!A:C,3,FALSE)</f>
        <v>Europe</v>
      </c>
      <c r="H1994" t="s">
        <v>8259</v>
      </c>
      <c r="I1994" s="1">
        <v>30265</v>
      </c>
      <c r="J1994" s="3">
        <f t="shared" si="93"/>
        <v>30265</v>
      </c>
      <c r="K1994" s="1">
        <v>30721</v>
      </c>
      <c r="L1994" s="3">
        <f t="shared" si="94"/>
        <v>30721</v>
      </c>
      <c r="M1994" t="s">
        <v>49</v>
      </c>
      <c r="N1994" t="s">
        <v>110</v>
      </c>
      <c r="O1994" t="s">
        <v>49</v>
      </c>
      <c r="P1994">
        <v>0</v>
      </c>
      <c r="Q1994" t="s">
        <v>111</v>
      </c>
      <c r="R1994" t="s">
        <v>51</v>
      </c>
      <c r="S1994">
        <v>1914</v>
      </c>
      <c r="T1994">
        <v>1984</v>
      </c>
      <c r="U1994" s="1">
        <v>5280</v>
      </c>
      <c r="V1994" s="2">
        <v>5280</v>
      </c>
      <c r="W1994" s="1">
        <v>30721</v>
      </c>
      <c r="X1994" s="2">
        <v>30721</v>
      </c>
      <c r="Z1994">
        <v>0</v>
      </c>
      <c r="AA1994">
        <v>2</v>
      </c>
      <c r="AB1994">
        <v>0</v>
      </c>
      <c r="AC1994">
        <v>-777</v>
      </c>
      <c r="AF1994">
        <v>1982</v>
      </c>
      <c r="AG1994">
        <v>1984</v>
      </c>
      <c r="AK1994">
        <v>26.133333333333301</v>
      </c>
      <c r="AL1994">
        <v>0.66129721470282099</v>
      </c>
      <c r="AO1994" t="b">
        <v>1</v>
      </c>
      <c r="AP1994" t="s">
        <v>45</v>
      </c>
      <c r="AQ1994">
        <v>1867</v>
      </c>
      <c r="AR1994">
        <v>1958</v>
      </c>
      <c r="AS1994" t="s">
        <v>8260</v>
      </c>
      <c r="AT1994">
        <v>1.2484599589322301</v>
      </c>
      <c r="AU1994">
        <f t="shared" si="95"/>
        <v>3.0000000000000001E-3</v>
      </c>
    </row>
    <row r="1995" spans="1:47" x14ac:dyDescent="0.3">
      <c r="A1995">
        <v>1993</v>
      </c>
      <c r="B1995" t="s">
        <v>8261</v>
      </c>
      <c r="C1995" t="s">
        <v>8262</v>
      </c>
      <c r="D1995">
        <v>365</v>
      </c>
      <c r="E1995" t="s">
        <v>8210</v>
      </c>
      <c r="F1995" t="str">
        <f>VLOOKUP(E1995,country_continent!A:C,2,FALSE)</f>
        <v>Russia</v>
      </c>
      <c r="G1995" t="str">
        <f>VLOOKUP(E1995,country_continent!A:C,3,FALSE)</f>
        <v>Europe</v>
      </c>
      <c r="H1995" t="s">
        <v>8263</v>
      </c>
      <c r="I1995" s="1">
        <v>30725</v>
      </c>
      <c r="J1995" s="3">
        <f t="shared" si="93"/>
        <v>30725</v>
      </c>
      <c r="K1995" s="1">
        <v>31116</v>
      </c>
      <c r="L1995" s="3">
        <f t="shared" si="94"/>
        <v>31116</v>
      </c>
      <c r="M1995" t="s">
        <v>49</v>
      </c>
      <c r="N1995" t="s">
        <v>110</v>
      </c>
      <c r="O1995" t="s">
        <v>49</v>
      </c>
      <c r="P1995">
        <v>0</v>
      </c>
      <c r="Q1995" t="s">
        <v>111</v>
      </c>
      <c r="R1995" t="s">
        <v>51</v>
      </c>
      <c r="S1995">
        <v>1911</v>
      </c>
      <c r="T1995">
        <v>1985</v>
      </c>
      <c r="U1995" s="1">
        <v>4285</v>
      </c>
      <c r="V1995" s="2">
        <v>4285</v>
      </c>
      <c r="W1995" s="1">
        <v>31116</v>
      </c>
      <c r="X1995" s="2">
        <v>31116</v>
      </c>
      <c r="Y1995" t="s">
        <v>8264</v>
      </c>
      <c r="Z1995">
        <v>0</v>
      </c>
      <c r="AA1995">
        <v>2</v>
      </c>
      <c r="AB1995">
        <v>0</v>
      </c>
      <c r="AC1995">
        <v>-777</v>
      </c>
      <c r="AF1995">
        <v>1984</v>
      </c>
      <c r="AG1995">
        <v>1985</v>
      </c>
      <c r="AK1995">
        <v>25.3</v>
      </c>
      <c r="AL1995">
        <v>0.767020498036599</v>
      </c>
      <c r="AO1995" t="b">
        <v>1</v>
      </c>
      <c r="AP1995" t="s">
        <v>45</v>
      </c>
      <c r="AQ1995">
        <v>1867</v>
      </c>
      <c r="AR1995">
        <v>1958</v>
      </c>
      <c r="AS1995" t="s">
        <v>8265</v>
      </c>
      <c r="AT1995">
        <v>1.0704996577686501</v>
      </c>
      <c r="AU1995">
        <f t="shared" si="95"/>
        <v>3.0000000000000001E-3</v>
      </c>
    </row>
    <row r="1996" spans="1:47" x14ac:dyDescent="0.3">
      <c r="A1996">
        <v>1994</v>
      </c>
      <c r="B1996" t="s">
        <v>8266</v>
      </c>
      <c r="C1996" t="s">
        <v>8267</v>
      </c>
      <c r="D1996">
        <v>365</v>
      </c>
      <c r="E1996" t="s">
        <v>8210</v>
      </c>
      <c r="F1996" t="str">
        <f>VLOOKUP(E1996,country_continent!A:C,2,FALSE)</f>
        <v>Russia</v>
      </c>
      <c r="G1996" t="str">
        <f>VLOOKUP(E1996,country_continent!A:C,3,FALSE)</f>
        <v>Europe</v>
      </c>
      <c r="H1996" t="s">
        <v>8268</v>
      </c>
      <c r="I1996" s="1">
        <v>31117</v>
      </c>
      <c r="J1996" s="3">
        <f t="shared" si="93"/>
        <v>31117</v>
      </c>
      <c r="K1996" s="1">
        <v>33471</v>
      </c>
      <c r="L1996" s="3">
        <f t="shared" si="94"/>
        <v>33471</v>
      </c>
      <c r="M1996" t="s">
        <v>49</v>
      </c>
      <c r="N1996" t="s">
        <v>67</v>
      </c>
      <c r="O1996" t="s">
        <v>376</v>
      </c>
      <c r="P1996">
        <v>0</v>
      </c>
      <c r="Q1996" t="s">
        <v>50</v>
      </c>
      <c r="R1996" t="s">
        <v>51</v>
      </c>
      <c r="S1996">
        <v>1931</v>
      </c>
      <c r="T1996">
        <v>-777</v>
      </c>
      <c r="U1996" s="1">
        <v>11384</v>
      </c>
      <c r="V1996" s="2">
        <v>11384</v>
      </c>
      <c r="Y1996" t="s">
        <v>8269</v>
      </c>
      <c r="Z1996">
        <v>0</v>
      </c>
      <c r="AA1996">
        <v>3</v>
      </c>
      <c r="AB1996">
        <v>6</v>
      </c>
      <c r="AC1996">
        <v>0</v>
      </c>
      <c r="AF1996">
        <v>1985</v>
      </c>
      <c r="AG1996">
        <v>1991</v>
      </c>
      <c r="AH1996">
        <v>-4.2407989413116303</v>
      </c>
      <c r="AI1996">
        <v>3440</v>
      </c>
      <c r="AJ1996">
        <v>72.266341470477101</v>
      </c>
      <c r="AK1996">
        <v>22.928571428571399</v>
      </c>
      <c r="AL1996">
        <v>0.554464751135468</v>
      </c>
      <c r="AM1996">
        <v>8.5495109547681007</v>
      </c>
      <c r="AO1996" t="b">
        <v>1</v>
      </c>
      <c r="AP1996" t="s">
        <v>45</v>
      </c>
      <c r="AQ1996">
        <v>1867</v>
      </c>
      <c r="AR1996">
        <v>1958</v>
      </c>
      <c r="AS1996" t="s">
        <v>8270</v>
      </c>
      <c r="AT1996">
        <v>6.4449007529089597</v>
      </c>
      <c r="AU1996">
        <f t="shared" si="95"/>
        <v>1.7999999999999999E-2</v>
      </c>
    </row>
    <row r="1997" spans="1:47" x14ac:dyDescent="0.3">
      <c r="A1997">
        <v>1995</v>
      </c>
      <c r="B1997" t="s">
        <v>8271</v>
      </c>
      <c r="C1997" t="s">
        <v>8272</v>
      </c>
      <c r="D1997">
        <v>365</v>
      </c>
      <c r="E1997" t="s">
        <v>8210</v>
      </c>
      <c r="F1997" t="str">
        <f>VLOOKUP(E1997,country_continent!A:C,2,FALSE)</f>
        <v>Russia</v>
      </c>
      <c r="G1997" t="str">
        <f>VLOOKUP(E1997,country_continent!A:C,3,FALSE)</f>
        <v>Europe</v>
      </c>
      <c r="H1997" t="s">
        <v>8273</v>
      </c>
      <c r="I1997" s="1">
        <v>33471</v>
      </c>
      <c r="J1997" s="3">
        <f t="shared" si="93"/>
        <v>33471</v>
      </c>
      <c r="K1997" s="1">
        <v>36525</v>
      </c>
      <c r="L1997" s="3">
        <f t="shared" si="94"/>
        <v>36525</v>
      </c>
      <c r="M1997" t="s">
        <v>49</v>
      </c>
      <c r="N1997" t="s">
        <v>49</v>
      </c>
      <c r="O1997" t="s">
        <v>49</v>
      </c>
      <c r="P1997">
        <v>0</v>
      </c>
      <c r="Q1997" t="s">
        <v>50</v>
      </c>
      <c r="R1997" t="s">
        <v>51</v>
      </c>
      <c r="S1997">
        <v>1931</v>
      </c>
      <c r="T1997">
        <v>2007</v>
      </c>
      <c r="U1997" s="1">
        <v>11355</v>
      </c>
      <c r="V1997" s="2">
        <v>11355</v>
      </c>
      <c r="W1997" s="1">
        <v>39195</v>
      </c>
      <c r="X1997" s="2">
        <v>39195</v>
      </c>
      <c r="Y1997" t="s">
        <v>8274</v>
      </c>
      <c r="Z1997">
        <v>0</v>
      </c>
      <c r="AA1997">
        <v>1</v>
      </c>
      <c r="AB1997">
        <v>0</v>
      </c>
      <c r="AC1997">
        <v>0</v>
      </c>
      <c r="AF1997">
        <v>1991</v>
      </c>
      <c r="AG1997">
        <v>1999</v>
      </c>
      <c r="AH1997">
        <v>-5.0750901377729596</v>
      </c>
      <c r="AI1997">
        <v>2652.2222222222199</v>
      </c>
      <c r="AJ1997">
        <v>345.57936788239999</v>
      </c>
      <c r="AK1997">
        <v>21.466666666666601</v>
      </c>
      <c r="AL1997">
        <v>-5.6810605415299101E-2</v>
      </c>
      <c r="AM1997">
        <v>8.1406372259820596</v>
      </c>
      <c r="AN1997">
        <v>3.25</v>
      </c>
      <c r="AO1997" t="b">
        <v>1</v>
      </c>
      <c r="AP1997" t="s">
        <v>45</v>
      </c>
      <c r="AQ1997">
        <v>1867</v>
      </c>
      <c r="AR1997">
        <v>1958</v>
      </c>
      <c r="AS1997" t="s">
        <v>8275</v>
      </c>
      <c r="AT1997">
        <v>8.3613963039014294</v>
      </c>
      <c r="AU1997">
        <f t="shared" si="95"/>
        <v>2.3E-2</v>
      </c>
    </row>
    <row r="1998" spans="1:47" x14ac:dyDescent="0.3">
      <c r="A1998">
        <v>1996</v>
      </c>
      <c r="B1998" t="s">
        <v>8276</v>
      </c>
      <c r="C1998" t="s">
        <v>8277</v>
      </c>
      <c r="D1998">
        <v>365</v>
      </c>
      <c r="E1998" t="s">
        <v>8210</v>
      </c>
      <c r="F1998" t="str">
        <f>VLOOKUP(E1998,country_continent!A:C,2,FALSE)</f>
        <v>Russia</v>
      </c>
      <c r="G1998" t="str">
        <f>VLOOKUP(E1998,country_continent!A:C,3,FALSE)</f>
        <v>Europe</v>
      </c>
      <c r="H1998" t="s">
        <v>8278</v>
      </c>
      <c r="I1998" s="1">
        <v>36526</v>
      </c>
      <c r="J1998" s="3">
        <f t="shared" si="93"/>
        <v>36526</v>
      </c>
      <c r="K1998" s="1">
        <v>42369</v>
      </c>
      <c r="L1998" s="3">
        <f t="shared" si="94"/>
        <v>42369</v>
      </c>
      <c r="M1998" t="s">
        <v>49</v>
      </c>
      <c r="N1998" t="s">
        <v>173</v>
      </c>
      <c r="O1998" t="s">
        <v>173</v>
      </c>
      <c r="P1998">
        <v>0</v>
      </c>
      <c r="Q1998" t="s">
        <v>174</v>
      </c>
      <c r="R1998" t="s">
        <v>51</v>
      </c>
      <c r="S1998">
        <v>1952</v>
      </c>
      <c r="T1998">
        <v>-777</v>
      </c>
      <c r="U1998" s="1">
        <v>19274</v>
      </c>
      <c r="V1998" s="2">
        <v>19274</v>
      </c>
      <c r="Y1998" t="s">
        <v>8279</v>
      </c>
      <c r="Z1998">
        <v>0</v>
      </c>
      <c r="AA1998">
        <v>-888</v>
      </c>
      <c r="AB1998">
        <v>-888</v>
      </c>
      <c r="AC1998">
        <v>-888</v>
      </c>
      <c r="AF1998">
        <v>2000</v>
      </c>
      <c r="AG1998">
        <v>2015</v>
      </c>
      <c r="AH1998">
        <v>4.2829499210877602</v>
      </c>
      <c r="AI1998">
        <v>7763.75</v>
      </c>
      <c r="AJ1998">
        <v>14.9747474472305</v>
      </c>
      <c r="AK1998">
        <v>12.75625</v>
      </c>
      <c r="AL1998">
        <v>-0.110248342743292</v>
      </c>
      <c r="AM1998">
        <v>15.9536034259121</v>
      </c>
      <c r="AN1998">
        <v>4.88</v>
      </c>
      <c r="AO1998" t="b">
        <v>1</v>
      </c>
      <c r="AP1998" t="s">
        <v>45</v>
      </c>
      <c r="AQ1998">
        <v>1867</v>
      </c>
      <c r="AR1998">
        <v>1958</v>
      </c>
      <c r="AS1998" t="s">
        <v>8280</v>
      </c>
      <c r="AT1998">
        <v>15.9972621492128</v>
      </c>
      <c r="AU1998">
        <f t="shared" si="95"/>
        <v>4.3999999999999997E-2</v>
      </c>
    </row>
    <row r="1999" spans="1:47" x14ac:dyDescent="0.3">
      <c r="A1999">
        <v>1997</v>
      </c>
      <c r="B1999" t="s">
        <v>8281</v>
      </c>
      <c r="C1999" t="s">
        <v>8282</v>
      </c>
      <c r="D1999">
        <v>366</v>
      </c>
      <c r="E1999" t="s">
        <v>8283</v>
      </c>
      <c r="F1999" t="str">
        <f>VLOOKUP(E1999,country_continent!A:C,2,FALSE)</f>
        <v>Estonia</v>
      </c>
      <c r="G1999" t="str">
        <f>VLOOKUP(E1999,country_continent!A:C,3,FALSE)</f>
        <v>Europe</v>
      </c>
      <c r="H1999" t="s">
        <v>8284</v>
      </c>
      <c r="I1999" s="1">
        <v>6630</v>
      </c>
      <c r="J1999" s="3">
        <f t="shared" si="93"/>
        <v>6630</v>
      </c>
      <c r="K1999" s="1">
        <v>7068</v>
      </c>
      <c r="L1999" s="3">
        <f t="shared" si="94"/>
        <v>7068</v>
      </c>
      <c r="M1999" t="s">
        <v>49</v>
      </c>
      <c r="N1999" t="s">
        <v>49</v>
      </c>
      <c r="O1999" t="s">
        <v>49</v>
      </c>
      <c r="P1999">
        <v>0</v>
      </c>
      <c r="Q1999" t="s">
        <v>50</v>
      </c>
      <c r="R1999" t="s">
        <v>51</v>
      </c>
      <c r="S1999">
        <v>1874</v>
      </c>
      <c r="T1999">
        <v>1956</v>
      </c>
      <c r="U1999" t="s">
        <v>8285</v>
      </c>
      <c r="V1999" t="s">
        <v>8286</v>
      </c>
      <c r="W1999" s="1">
        <v>20472</v>
      </c>
      <c r="X1999" s="2">
        <v>20472</v>
      </c>
      <c r="Y1999" t="s">
        <v>8287</v>
      </c>
      <c r="Z1999">
        <v>0</v>
      </c>
      <c r="AA1999">
        <v>1</v>
      </c>
      <c r="AB1999">
        <v>0</v>
      </c>
      <c r="AC1999">
        <v>0</v>
      </c>
      <c r="AF1999">
        <v>1918</v>
      </c>
      <c r="AG1999">
        <v>1919</v>
      </c>
      <c r="AO1999" t="b">
        <v>0</v>
      </c>
      <c r="AT1999">
        <v>438</v>
      </c>
      <c r="AU1999">
        <f t="shared" si="95"/>
        <v>1.2</v>
      </c>
    </row>
    <row r="2000" spans="1:47" x14ac:dyDescent="0.3">
      <c r="A2000">
        <v>1998</v>
      </c>
      <c r="B2000" t="s">
        <v>8288</v>
      </c>
      <c r="C2000" t="s">
        <v>8289</v>
      </c>
      <c r="D2000">
        <v>366</v>
      </c>
      <c r="E2000" t="s">
        <v>8283</v>
      </c>
      <c r="F2000" t="str">
        <f>VLOOKUP(E2000,country_continent!A:C,2,FALSE)</f>
        <v>Estonia</v>
      </c>
      <c r="G2000" t="str">
        <f>VLOOKUP(E2000,country_continent!A:C,3,FALSE)</f>
        <v>Europe</v>
      </c>
      <c r="H2000" t="s">
        <v>8290</v>
      </c>
      <c r="I2000" s="1">
        <v>7079</v>
      </c>
      <c r="J2000" s="3">
        <f t="shared" si="93"/>
        <v>7079</v>
      </c>
      <c r="K2000" s="1">
        <v>7257</v>
      </c>
      <c r="L2000" s="3">
        <f t="shared" si="94"/>
        <v>7257</v>
      </c>
      <c r="M2000" t="s">
        <v>49</v>
      </c>
      <c r="N2000" t="s">
        <v>49</v>
      </c>
      <c r="O2000" t="s">
        <v>49</v>
      </c>
      <c r="P2000">
        <v>0</v>
      </c>
      <c r="Q2000" t="s">
        <v>50</v>
      </c>
      <c r="R2000" t="s">
        <v>51</v>
      </c>
      <c r="S2000">
        <v>1875</v>
      </c>
      <c r="T2000">
        <v>1941</v>
      </c>
      <c r="U2000" t="s">
        <v>8291</v>
      </c>
      <c r="V2000" t="s">
        <v>8292</v>
      </c>
      <c r="Y2000" t="s">
        <v>8293</v>
      </c>
      <c r="Z2000">
        <v>0</v>
      </c>
      <c r="AA2000">
        <v>1</v>
      </c>
      <c r="AB2000">
        <v>0</v>
      </c>
      <c r="AC2000">
        <v>0</v>
      </c>
      <c r="AF2000">
        <v>1919</v>
      </c>
      <c r="AG2000">
        <v>1919</v>
      </c>
      <c r="AO2000" t="b">
        <v>0</v>
      </c>
      <c r="AT2000">
        <v>178</v>
      </c>
      <c r="AU2000">
        <f t="shared" si="95"/>
        <v>0.48799999999999999</v>
      </c>
    </row>
    <row r="2001" spans="1:47" x14ac:dyDescent="0.3">
      <c r="A2001">
        <v>1999</v>
      </c>
      <c r="B2001" t="s">
        <v>8294</v>
      </c>
      <c r="C2001" t="s">
        <v>8295</v>
      </c>
      <c r="D2001">
        <v>366</v>
      </c>
      <c r="E2001" t="s">
        <v>8283</v>
      </c>
      <c r="F2001" t="str">
        <f>VLOOKUP(E2001,country_continent!A:C,2,FALSE)</f>
        <v>Estonia</v>
      </c>
      <c r="G2001" t="str">
        <f>VLOOKUP(E2001,country_continent!A:C,3,FALSE)</f>
        <v>Europe</v>
      </c>
      <c r="H2001" t="s">
        <v>8296</v>
      </c>
      <c r="I2001" s="1">
        <v>7257</v>
      </c>
      <c r="J2001" s="3">
        <f t="shared" si="93"/>
        <v>7257</v>
      </c>
      <c r="K2001" s="1">
        <v>7606</v>
      </c>
      <c r="L2001" s="3">
        <f t="shared" si="94"/>
        <v>7606</v>
      </c>
      <c r="M2001" t="s">
        <v>49</v>
      </c>
      <c r="N2001" t="s">
        <v>49</v>
      </c>
      <c r="O2001" t="s">
        <v>49</v>
      </c>
      <c r="P2001">
        <v>0</v>
      </c>
      <c r="Q2001" t="s">
        <v>50</v>
      </c>
      <c r="R2001" t="s">
        <v>51</v>
      </c>
      <c r="S2001">
        <v>1868</v>
      </c>
      <c r="T2001">
        <v>1941</v>
      </c>
      <c r="U2001" t="s">
        <v>8297</v>
      </c>
      <c r="V2001" t="s">
        <v>8298</v>
      </c>
      <c r="Y2001" t="s">
        <v>8299</v>
      </c>
      <c r="Z2001">
        <v>0</v>
      </c>
      <c r="AA2001">
        <v>1</v>
      </c>
      <c r="AB2001">
        <v>0</v>
      </c>
      <c r="AC2001">
        <v>0</v>
      </c>
      <c r="AF2001">
        <v>1919</v>
      </c>
      <c r="AG2001">
        <v>1920</v>
      </c>
      <c r="AO2001" t="b">
        <v>0</v>
      </c>
      <c r="AT2001">
        <v>349</v>
      </c>
      <c r="AU2001">
        <f t="shared" si="95"/>
        <v>0.95599999999999996</v>
      </c>
    </row>
    <row r="2002" spans="1:47" x14ac:dyDescent="0.3">
      <c r="A2002">
        <v>2000</v>
      </c>
      <c r="B2002" t="s">
        <v>8300</v>
      </c>
      <c r="C2002" t="s">
        <v>8301</v>
      </c>
      <c r="D2002">
        <v>366</v>
      </c>
      <c r="E2002" t="s">
        <v>8283</v>
      </c>
      <c r="F2002" t="str">
        <f>VLOOKUP(E2002,country_continent!A:C,2,FALSE)</f>
        <v>Estonia</v>
      </c>
      <c r="G2002" t="str">
        <f>VLOOKUP(E2002,country_continent!A:C,3,FALSE)</f>
        <v>Europe</v>
      </c>
      <c r="H2002" t="s">
        <v>8302</v>
      </c>
      <c r="I2002" s="1">
        <v>7606</v>
      </c>
      <c r="J2002" s="3">
        <f t="shared" si="93"/>
        <v>7606</v>
      </c>
      <c r="K2002" s="1">
        <v>7675</v>
      </c>
      <c r="L2002" s="3">
        <f t="shared" si="94"/>
        <v>7675</v>
      </c>
      <c r="M2002" t="s">
        <v>49</v>
      </c>
      <c r="N2002" t="s">
        <v>49</v>
      </c>
      <c r="O2002" t="s">
        <v>49</v>
      </c>
      <c r="P2002">
        <v>0</v>
      </c>
      <c r="Q2002" t="s">
        <v>50</v>
      </c>
      <c r="R2002" t="s">
        <v>51</v>
      </c>
      <c r="S2002">
        <v>1884</v>
      </c>
      <c r="T2002">
        <v>1942</v>
      </c>
      <c r="Y2002" t="s">
        <v>8303</v>
      </c>
      <c r="Z2002">
        <v>0</v>
      </c>
      <c r="AA2002">
        <v>1</v>
      </c>
      <c r="AB2002">
        <v>0</v>
      </c>
      <c r="AC2002">
        <v>0</v>
      </c>
      <c r="AF2002">
        <v>1920</v>
      </c>
      <c r="AG2002">
        <v>1921</v>
      </c>
      <c r="AO2002" t="b">
        <v>0</v>
      </c>
      <c r="AT2002">
        <v>69</v>
      </c>
      <c r="AU2002">
        <f t="shared" si="95"/>
        <v>0.189</v>
      </c>
    </row>
    <row r="2003" spans="1:47" x14ac:dyDescent="0.3">
      <c r="A2003">
        <v>2001</v>
      </c>
      <c r="B2003" t="s">
        <v>8304</v>
      </c>
      <c r="C2003" t="s">
        <v>8282</v>
      </c>
      <c r="D2003">
        <v>366</v>
      </c>
      <c r="E2003" t="s">
        <v>8283</v>
      </c>
      <c r="F2003" t="str">
        <f>VLOOKUP(E2003,country_continent!A:C,2,FALSE)</f>
        <v>Estonia</v>
      </c>
      <c r="G2003" t="str">
        <f>VLOOKUP(E2003,country_continent!A:C,3,FALSE)</f>
        <v>Europe</v>
      </c>
      <c r="H2003" t="s">
        <v>8284</v>
      </c>
      <c r="I2003" s="1">
        <v>7696</v>
      </c>
      <c r="J2003" s="3">
        <f t="shared" si="93"/>
        <v>7696</v>
      </c>
      <c r="K2003" s="1">
        <v>8332</v>
      </c>
      <c r="L2003" s="3">
        <f t="shared" si="94"/>
        <v>8332</v>
      </c>
      <c r="M2003" t="s">
        <v>49</v>
      </c>
      <c r="N2003" t="s">
        <v>49</v>
      </c>
      <c r="O2003" t="s">
        <v>49</v>
      </c>
      <c r="P2003">
        <v>1</v>
      </c>
      <c r="Q2003" t="s">
        <v>50</v>
      </c>
      <c r="R2003" t="s">
        <v>51</v>
      </c>
      <c r="S2003">
        <v>1874</v>
      </c>
      <c r="T2003">
        <v>1956</v>
      </c>
      <c r="U2003" t="s">
        <v>8285</v>
      </c>
      <c r="V2003" t="s">
        <v>8286</v>
      </c>
      <c r="W2003" s="1">
        <v>20472</v>
      </c>
      <c r="X2003" s="2">
        <v>20472</v>
      </c>
      <c r="Y2003" t="s">
        <v>8287</v>
      </c>
      <c r="Z2003">
        <v>0</v>
      </c>
      <c r="AA2003">
        <v>1</v>
      </c>
      <c r="AB2003">
        <v>0</v>
      </c>
      <c r="AC2003">
        <v>0</v>
      </c>
      <c r="AF2003">
        <v>1921</v>
      </c>
      <c r="AG2003">
        <v>1922</v>
      </c>
      <c r="AO2003" t="b">
        <v>0</v>
      </c>
      <c r="AT2003">
        <v>636</v>
      </c>
      <c r="AU2003">
        <f t="shared" si="95"/>
        <v>1.742</v>
      </c>
    </row>
    <row r="2004" spans="1:47" x14ac:dyDescent="0.3">
      <c r="A2004">
        <v>2002</v>
      </c>
      <c r="B2004" t="s">
        <v>8305</v>
      </c>
      <c r="C2004" t="s">
        <v>8306</v>
      </c>
      <c r="D2004">
        <v>366</v>
      </c>
      <c r="E2004" t="s">
        <v>8283</v>
      </c>
      <c r="F2004" t="str">
        <f>VLOOKUP(E2004,country_continent!A:C,2,FALSE)</f>
        <v>Estonia</v>
      </c>
      <c r="G2004" t="str">
        <f>VLOOKUP(E2004,country_continent!A:C,3,FALSE)</f>
        <v>Europe</v>
      </c>
      <c r="H2004" t="s">
        <v>8307</v>
      </c>
      <c r="I2004" s="1">
        <v>8332</v>
      </c>
      <c r="J2004" s="3">
        <f t="shared" si="93"/>
        <v>8332</v>
      </c>
      <c r="K2004" s="1">
        <v>8615</v>
      </c>
      <c r="L2004" s="3">
        <f t="shared" si="94"/>
        <v>8615</v>
      </c>
      <c r="M2004" t="s">
        <v>49</v>
      </c>
      <c r="N2004" t="s">
        <v>49</v>
      </c>
      <c r="O2004" t="s">
        <v>49</v>
      </c>
      <c r="P2004">
        <v>0</v>
      </c>
      <c r="Q2004" t="s">
        <v>50</v>
      </c>
      <c r="R2004" t="s">
        <v>51</v>
      </c>
      <c r="S2004">
        <v>1885</v>
      </c>
      <c r="T2004">
        <v>1945</v>
      </c>
      <c r="Z2004">
        <v>0</v>
      </c>
      <c r="AA2004">
        <v>1</v>
      </c>
      <c r="AB2004">
        <v>0</v>
      </c>
      <c r="AC2004">
        <v>0</v>
      </c>
      <c r="AF2004">
        <v>1922</v>
      </c>
      <c r="AG2004">
        <v>1923</v>
      </c>
      <c r="AO2004" t="b">
        <v>0</v>
      </c>
      <c r="AT2004">
        <v>283</v>
      </c>
      <c r="AU2004">
        <f t="shared" si="95"/>
        <v>0.77500000000000002</v>
      </c>
    </row>
    <row r="2005" spans="1:47" x14ac:dyDescent="0.3">
      <c r="A2005">
        <v>2003</v>
      </c>
      <c r="B2005" t="s">
        <v>8308</v>
      </c>
      <c r="C2005" t="s">
        <v>8282</v>
      </c>
      <c r="D2005">
        <v>366</v>
      </c>
      <c r="E2005" t="s">
        <v>8283</v>
      </c>
      <c r="F2005" t="str">
        <f>VLOOKUP(E2005,country_continent!A:C,2,FALSE)</f>
        <v>Estonia</v>
      </c>
      <c r="G2005" t="str">
        <f>VLOOKUP(E2005,country_continent!A:C,3,FALSE)</f>
        <v>Europe</v>
      </c>
      <c r="H2005" t="s">
        <v>8284</v>
      </c>
      <c r="I2005" s="1">
        <v>8615</v>
      </c>
      <c r="J2005" s="3">
        <f t="shared" si="93"/>
        <v>8615</v>
      </c>
      <c r="K2005" s="1">
        <v>8854</v>
      </c>
      <c r="L2005" s="3">
        <f t="shared" si="94"/>
        <v>8854</v>
      </c>
      <c r="M2005" t="s">
        <v>49</v>
      </c>
      <c r="N2005" t="s">
        <v>49</v>
      </c>
      <c r="O2005" t="s">
        <v>49</v>
      </c>
      <c r="P2005">
        <v>2</v>
      </c>
      <c r="Q2005" t="s">
        <v>50</v>
      </c>
      <c r="R2005" t="s">
        <v>51</v>
      </c>
      <c r="S2005">
        <v>1874</v>
      </c>
      <c r="T2005">
        <v>1956</v>
      </c>
      <c r="U2005" t="s">
        <v>8285</v>
      </c>
      <c r="V2005" t="s">
        <v>8286</v>
      </c>
      <c r="W2005" s="1">
        <v>20472</v>
      </c>
      <c r="X2005" s="2">
        <v>20472</v>
      </c>
      <c r="Y2005" t="s">
        <v>8287</v>
      </c>
      <c r="Z2005">
        <v>0</v>
      </c>
      <c r="AA2005">
        <v>1</v>
      </c>
      <c r="AB2005">
        <v>0</v>
      </c>
      <c r="AC2005">
        <v>0</v>
      </c>
      <c r="AF2005">
        <v>1923</v>
      </c>
      <c r="AG2005">
        <v>1924</v>
      </c>
      <c r="AO2005" t="b">
        <v>0</v>
      </c>
      <c r="AT2005">
        <v>239</v>
      </c>
      <c r="AU2005">
        <f t="shared" si="95"/>
        <v>0.65500000000000003</v>
      </c>
    </row>
    <row r="2006" spans="1:47" x14ac:dyDescent="0.3">
      <c r="A2006">
        <v>2004</v>
      </c>
      <c r="B2006" t="s">
        <v>8309</v>
      </c>
      <c r="C2006" t="s">
        <v>8310</v>
      </c>
      <c r="D2006">
        <v>366</v>
      </c>
      <c r="E2006" t="s">
        <v>8283</v>
      </c>
      <c r="F2006" t="str">
        <f>VLOOKUP(E2006,country_continent!A:C,2,FALSE)</f>
        <v>Estonia</v>
      </c>
      <c r="G2006" t="str">
        <f>VLOOKUP(E2006,country_continent!A:C,3,FALSE)</f>
        <v>Europe</v>
      </c>
      <c r="H2006" t="s">
        <v>8311</v>
      </c>
      <c r="I2006" s="1">
        <v>8854</v>
      </c>
      <c r="J2006" s="3">
        <f t="shared" si="93"/>
        <v>8854</v>
      </c>
      <c r="K2006" s="1">
        <v>9111</v>
      </c>
      <c r="L2006" s="3">
        <f t="shared" si="94"/>
        <v>9111</v>
      </c>
      <c r="M2006" t="s">
        <v>49</v>
      </c>
      <c r="N2006" t="s">
        <v>49</v>
      </c>
      <c r="O2006" t="s">
        <v>49</v>
      </c>
      <c r="P2006">
        <v>0</v>
      </c>
      <c r="Q2006" t="s">
        <v>50</v>
      </c>
      <c r="R2006" t="s">
        <v>51</v>
      </c>
      <c r="S2006">
        <v>1871</v>
      </c>
      <c r="T2006">
        <v>1941</v>
      </c>
      <c r="Z2006">
        <v>0</v>
      </c>
      <c r="AA2006">
        <v>1</v>
      </c>
      <c r="AB2006">
        <v>0</v>
      </c>
      <c r="AC2006">
        <v>0</v>
      </c>
      <c r="AF2006">
        <v>1924</v>
      </c>
      <c r="AG2006">
        <v>1924</v>
      </c>
      <c r="AO2006" t="b">
        <v>0</v>
      </c>
      <c r="AT2006">
        <v>257</v>
      </c>
      <c r="AU2006">
        <f t="shared" si="95"/>
        <v>0.70399999999999996</v>
      </c>
    </row>
    <row r="2007" spans="1:47" x14ac:dyDescent="0.3">
      <c r="A2007">
        <v>2005</v>
      </c>
      <c r="B2007" t="s">
        <v>8312</v>
      </c>
      <c r="C2007" t="s">
        <v>8313</v>
      </c>
      <c r="D2007">
        <v>366</v>
      </c>
      <c r="E2007" t="s">
        <v>8283</v>
      </c>
      <c r="F2007" t="str">
        <f>VLOOKUP(E2007,country_continent!A:C,2,FALSE)</f>
        <v>Estonia</v>
      </c>
      <c r="G2007" t="str">
        <f>VLOOKUP(E2007,country_continent!A:C,3,FALSE)</f>
        <v>Europe</v>
      </c>
      <c r="H2007" t="s">
        <v>8314</v>
      </c>
      <c r="I2007" s="1">
        <v>9118</v>
      </c>
      <c r="J2007" s="3">
        <f t="shared" si="93"/>
        <v>9118</v>
      </c>
      <c r="K2007" s="1">
        <v>9482</v>
      </c>
      <c r="L2007" s="3">
        <f t="shared" si="94"/>
        <v>9482</v>
      </c>
      <c r="M2007" t="s">
        <v>49</v>
      </c>
      <c r="N2007" t="s">
        <v>49</v>
      </c>
      <c r="O2007" t="s">
        <v>49</v>
      </c>
      <c r="P2007">
        <v>0</v>
      </c>
      <c r="Q2007" t="s">
        <v>50</v>
      </c>
      <c r="R2007" t="s">
        <v>51</v>
      </c>
      <c r="S2007">
        <v>1870</v>
      </c>
      <c r="T2007">
        <v>1942</v>
      </c>
      <c r="Z2007">
        <v>0</v>
      </c>
      <c r="AA2007">
        <v>1</v>
      </c>
      <c r="AB2007">
        <v>0</v>
      </c>
      <c r="AC2007">
        <v>0</v>
      </c>
      <c r="AF2007">
        <v>1924</v>
      </c>
      <c r="AG2007">
        <v>1925</v>
      </c>
      <c r="AO2007" t="b">
        <v>0</v>
      </c>
      <c r="AT2007">
        <v>364</v>
      </c>
      <c r="AU2007">
        <f t="shared" si="95"/>
        <v>0.997</v>
      </c>
    </row>
    <row r="2008" spans="1:47" x14ac:dyDescent="0.3">
      <c r="A2008">
        <v>2006</v>
      </c>
      <c r="B2008" t="s">
        <v>8315</v>
      </c>
      <c r="C2008" t="s">
        <v>8316</v>
      </c>
      <c r="D2008">
        <v>366</v>
      </c>
      <c r="E2008" t="s">
        <v>8283</v>
      </c>
      <c r="F2008" t="str">
        <f>VLOOKUP(E2008,country_continent!A:C,2,FALSE)</f>
        <v>Estonia</v>
      </c>
      <c r="G2008" t="str">
        <f>VLOOKUP(E2008,country_continent!A:C,3,FALSE)</f>
        <v>Europe</v>
      </c>
      <c r="H2008" t="s">
        <v>8317</v>
      </c>
      <c r="I2008" s="1">
        <v>9482</v>
      </c>
      <c r="J2008" s="3">
        <f t="shared" si="93"/>
        <v>9482</v>
      </c>
      <c r="K2008" s="1">
        <v>10205</v>
      </c>
      <c r="L2008" s="3">
        <f t="shared" si="94"/>
        <v>10205</v>
      </c>
      <c r="M2008" t="s">
        <v>49</v>
      </c>
      <c r="N2008" t="s">
        <v>49</v>
      </c>
      <c r="O2008" t="s">
        <v>49</v>
      </c>
      <c r="P2008">
        <v>0</v>
      </c>
      <c r="Q2008" t="s">
        <v>50</v>
      </c>
      <c r="R2008" t="s">
        <v>51</v>
      </c>
      <c r="S2008">
        <v>1872</v>
      </c>
      <c r="T2008">
        <v>1941</v>
      </c>
      <c r="U2008" t="s">
        <v>8318</v>
      </c>
      <c r="V2008" t="s">
        <v>8319</v>
      </c>
      <c r="Z2008">
        <v>0</v>
      </c>
      <c r="AA2008">
        <v>1</v>
      </c>
      <c r="AB2008">
        <v>0</v>
      </c>
      <c r="AC2008">
        <v>0</v>
      </c>
      <c r="AF2008">
        <v>1925</v>
      </c>
      <c r="AG2008">
        <v>1927</v>
      </c>
      <c r="AO2008" t="b">
        <v>0</v>
      </c>
      <c r="AT2008">
        <v>723</v>
      </c>
      <c r="AU2008">
        <f t="shared" si="95"/>
        <v>1.9810000000000001</v>
      </c>
    </row>
    <row r="2009" spans="1:47" x14ac:dyDescent="0.3">
      <c r="A2009">
        <v>2007</v>
      </c>
      <c r="B2009" t="s">
        <v>8320</v>
      </c>
      <c r="C2009" t="s">
        <v>8295</v>
      </c>
      <c r="D2009">
        <v>366</v>
      </c>
      <c r="E2009" t="s">
        <v>8283</v>
      </c>
      <c r="F2009" t="str">
        <f>VLOOKUP(E2009,country_continent!A:C,2,FALSE)</f>
        <v>Estonia</v>
      </c>
      <c r="G2009" t="str">
        <f>VLOOKUP(E2009,country_continent!A:C,3,FALSE)</f>
        <v>Europe</v>
      </c>
      <c r="H2009" t="s">
        <v>8296</v>
      </c>
      <c r="I2009" s="1">
        <v>10206</v>
      </c>
      <c r="J2009" s="3">
        <f t="shared" si="93"/>
        <v>10206</v>
      </c>
      <c r="K2009" s="1">
        <v>10551</v>
      </c>
      <c r="L2009" s="3">
        <f t="shared" si="94"/>
        <v>10551</v>
      </c>
      <c r="M2009" t="s">
        <v>49</v>
      </c>
      <c r="N2009" t="s">
        <v>49</v>
      </c>
      <c r="O2009" t="s">
        <v>49</v>
      </c>
      <c r="P2009">
        <v>1</v>
      </c>
      <c r="Q2009" t="s">
        <v>50</v>
      </c>
      <c r="R2009" t="s">
        <v>51</v>
      </c>
      <c r="S2009">
        <v>1868</v>
      </c>
      <c r="T2009">
        <v>1941</v>
      </c>
      <c r="U2009" t="s">
        <v>8297</v>
      </c>
      <c r="V2009" t="s">
        <v>8298</v>
      </c>
      <c r="Y2009" t="s">
        <v>8299</v>
      </c>
      <c r="Z2009">
        <v>0</v>
      </c>
      <c r="AA2009">
        <v>1</v>
      </c>
      <c r="AB2009">
        <v>0</v>
      </c>
      <c r="AC2009">
        <v>0</v>
      </c>
      <c r="AF2009">
        <v>1927</v>
      </c>
      <c r="AG2009">
        <v>1928</v>
      </c>
      <c r="AO2009" t="b">
        <v>0</v>
      </c>
      <c r="AT2009">
        <v>345</v>
      </c>
      <c r="AU2009">
        <f t="shared" si="95"/>
        <v>0.94499999999999995</v>
      </c>
    </row>
    <row r="2010" spans="1:47" x14ac:dyDescent="0.3">
      <c r="A2010">
        <v>2008</v>
      </c>
      <c r="B2010" t="s">
        <v>8321</v>
      </c>
      <c r="C2010" t="s">
        <v>8322</v>
      </c>
      <c r="D2010">
        <v>366</v>
      </c>
      <c r="E2010" t="s">
        <v>8283</v>
      </c>
      <c r="F2010" t="str">
        <f>VLOOKUP(E2010,country_continent!A:C,2,FALSE)</f>
        <v>Estonia</v>
      </c>
      <c r="G2010" t="str">
        <f>VLOOKUP(E2010,country_continent!A:C,3,FALSE)</f>
        <v>Europe</v>
      </c>
      <c r="H2010" t="s">
        <v>8323</v>
      </c>
      <c r="I2010" s="1">
        <v>10551</v>
      </c>
      <c r="J2010" s="3">
        <f t="shared" si="93"/>
        <v>10551</v>
      </c>
      <c r="K2010" s="1">
        <v>10777</v>
      </c>
      <c r="L2010" s="3">
        <f t="shared" si="94"/>
        <v>10777</v>
      </c>
      <c r="M2010" t="s">
        <v>49</v>
      </c>
      <c r="N2010" t="s">
        <v>49</v>
      </c>
      <c r="O2010" t="s">
        <v>49</v>
      </c>
      <c r="P2010">
        <v>0</v>
      </c>
      <c r="Q2010" t="s">
        <v>50</v>
      </c>
      <c r="R2010" t="s">
        <v>51</v>
      </c>
      <c r="S2010">
        <v>1886</v>
      </c>
      <c r="T2010">
        <v>1963</v>
      </c>
      <c r="U2010" t="s">
        <v>8324</v>
      </c>
      <c r="V2010" t="s">
        <v>8325</v>
      </c>
      <c r="Z2010">
        <v>0</v>
      </c>
      <c r="AA2010">
        <v>1</v>
      </c>
      <c r="AB2010">
        <v>0</v>
      </c>
      <c r="AC2010">
        <v>0</v>
      </c>
      <c r="AF2010">
        <v>1928</v>
      </c>
      <c r="AG2010">
        <v>1929</v>
      </c>
      <c r="AO2010" t="b">
        <v>0</v>
      </c>
      <c r="AT2010">
        <v>226</v>
      </c>
      <c r="AU2010">
        <f t="shared" si="95"/>
        <v>0.61899999999999999</v>
      </c>
    </row>
    <row r="2011" spans="1:47" x14ac:dyDescent="0.3">
      <c r="A2011">
        <v>2009</v>
      </c>
      <c r="B2011" t="s">
        <v>8326</v>
      </c>
      <c r="C2011" t="s">
        <v>8289</v>
      </c>
      <c r="D2011">
        <v>366</v>
      </c>
      <c r="E2011" t="s">
        <v>8283</v>
      </c>
      <c r="F2011" t="str">
        <f>VLOOKUP(E2011,country_continent!A:C,2,FALSE)</f>
        <v>Estonia</v>
      </c>
      <c r="G2011" t="str">
        <f>VLOOKUP(E2011,country_continent!A:C,3,FALSE)</f>
        <v>Europe</v>
      </c>
      <c r="H2011" t="s">
        <v>8290</v>
      </c>
      <c r="I2011" s="1">
        <v>10784</v>
      </c>
      <c r="J2011" s="3">
        <f t="shared" si="93"/>
        <v>10784</v>
      </c>
      <c r="K2011" s="1">
        <v>11357</v>
      </c>
      <c r="L2011" s="3">
        <f t="shared" si="94"/>
        <v>11357</v>
      </c>
      <c r="M2011" t="s">
        <v>49</v>
      </c>
      <c r="N2011" t="s">
        <v>49</v>
      </c>
      <c r="O2011" t="s">
        <v>49</v>
      </c>
      <c r="P2011">
        <v>1</v>
      </c>
      <c r="Q2011" t="s">
        <v>50</v>
      </c>
      <c r="R2011" t="s">
        <v>51</v>
      </c>
      <c r="S2011">
        <v>1875</v>
      </c>
      <c r="T2011">
        <v>1941</v>
      </c>
      <c r="U2011" t="s">
        <v>8291</v>
      </c>
      <c r="V2011" t="s">
        <v>8292</v>
      </c>
      <c r="Y2011" t="s">
        <v>8293</v>
      </c>
      <c r="Z2011">
        <v>0</v>
      </c>
      <c r="AA2011">
        <v>1</v>
      </c>
      <c r="AB2011">
        <v>0</v>
      </c>
      <c r="AC2011">
        <v>0</v>
      </c>
      <c r="AF2011">
        <v>1929</v>
      </c>
      <c r="AG2011">
        <v>1931</v>
      </c>
      <c r="AO2011" t="b">
        <v>0</v>
      </c>
      <c r="AT2011">
        <v>573</v>
      </c>
      <c r="AU2011">
        <f t="shared" si="95"/>
        <v>1.57</v>
      </c>
    </row>
    <row r="2012" spans="1:47" x14ac:dyDescent="0.3">
      <c r="A2012">
        <v>2010</v>
      </c>
      <c r="B2012" t="s">
        <v>8327</v>
      </c>
      <c r="C2012" t="s">
        <v>8282</v>
      </c>
      <c r="D2012">
        <v>366</v>
      </c>
      <c r="E2012" t="s">
        <v>8283</v>
      </c>
      <c r="F2012" t="str">
        <f>VLOOKUP(E2012,country_continent!A:C,2,FALSE)</f>
        <v>Estonia</v>
      </c>
      <c r="G2012" t="str">
        <f>VLOOKUP(E2012,country_continent!A:C,3,FALSE)</f>
        <v>Europe</v>
      </c>
      <c r="H2012" t="s">
        <v>8284</v>
      </c>
      <c r="I2012" s="1">
        <v>11366</v>
      </c>
      <c r="J2012" s="3">
        <f t="shared" si="93"/>
        <v>11366</v>
      </c>
      <c r="K2012" s="1">
        <v>11717</v>
      </c>
      <c r="L2012" s="3">
        <f t="shared" si="94"/>
        <v>11717</v>
      </c>
      <c r="M2012" t="s">
        <v>49</v>
      </c>
      <c r="N2012" t="s">
        <v>49</v>
      </c>
      <c r="O2012" t="s">
        <v>49</v>
      </c>
      <c r="P2012">
        <v>3</v>
      </c>
      <c r="Q2012" t="s">
        <v>50</v>
      </c>
      <c r="R2012" t="s">
        <v>51</v>
      </c>
      <c r="S2012">
        <v>1874</v>
      </c>
      <c r="T2012">
        <v>1956</v>
      </c>
      <c r="U2012" t="s">
        <v>8285</v>
      </c>
      <c r="V2012" t="s">
        <v>8286</v>
      </c>
      <c r="W2012" s="1">
        <v>20472</v>
      </c>
      <c r="X2012" s="2">
        <v>20472</v>
      </c>
      <c r="Y2012" t="s">
        <v>8287</v>
      </c>
      <c r="Z2012">
        <v>0</v>
      </c>
      <c r="AA2012">
        <v>1</v>
      </c>
      <c r="AB2012">
        <v>0</v>
      </c>
      <c r="AC2012">
        <v>0</v>
      </c>
      <c r="AF2012">
        <v>1931</v>
      </c>
      <c r="AG2012">
        <v>1932</v>
      </c>
      <c r="AO2012" t="b">
        <v>0</v>
      </c>
      <c r="AT2012">
        <v>351</v>
      </c>
      <c r="AU2012">
        <f t="shared" si="95"/>
        <v>0.96199999999999997</v>
      </c>
    </row>
    <row r="2013" spans="1:47" x14ac:dyDescent="0.3">
      <c r="A2013">
        <v>2011</v>
      </c>
      <c r="B2013" t="s">
        <v>8328</v>
      </c>
      <c r="C2013" t="s">
        <v>8316</v>
      </c>
      <c r="D2013">
        <v>366</v>
      </c>
      <c r="E2013" t="s">
        <v>8283</v>
      </c>
      <c r="F2013" t="str">
        <f>VLOOKUP(E2013,country_continent!A:C,2,FALSE)</f>
        <v>Estonia</v>
      </c>
      <c r="G2013" t="str">
        <f>VLOOKUP(E2013,country_continent!A:C,3,FALSE)</f>
        <v>Europe</v>
      </c>
      <c r="H2013" t="s">
        <v>8317</v>
      </c>
      <c r="I2013" s="1">
        <v>11737</v>
      </c>
      <c r="J2013" s="3">
        <f t="shared" si="93"/>
        <v>11737</v>
      </c>
      <c r="K2013" s="1">
        <v>11860</v>
      </c>
      <c r="L2013" s="3">
        <f t="shared" si="94"/>
        <v>11860</v>
      </c>
      <c r="M2013" t="s">
        <v>49</v>
      </c>
      <c r="N2013" t="s">
        <v>49</v>
      </c>
      <c r="O2013" t="s">
        <v>49</v>
      </c>
      <c r="P2013">
        <v>1</v>
      </c>
      <c r="Q2013" t="s">
        <v>50</v>
      </c>
      <c r="R2013" t="s">
        <v>51</v>
      </c>
      <c r="S2013">
        <v>1872</v>
      </c>
      <c r="T2013">
        <v>1941</v>
      </c>
      <c r="U2013" t="s">
        <v>8318</v>
      </c>
      <c r="V2013" t="s">
        <v>8319</v>
      </c>
      <c r="Z2013">
        <v>0</v>
      </c>
      <c r="AA2013">
        <v>1</v>
      </c>
      <c r="AB2013">
        <v>0</v>
      </c>
      <c r="AC2013">
        <v>0</v>
      </c>
      <c r="AF2013">
        <v>1932</v>
      </c>
      <c r="AG2013">
        <v>1932</v>
      </c>
      <c r="AO2013" t="b">
        <v>0</v>
      </c>
      <c r="AT2013">
        <v>123</v>
      </c>
      <c r="AU2013">
        <f t="shared" si="95"/>
        <v>0.33700000000000002</v>
      </c>
    </row>
    <row r="2014" spans="1:47" x14ac:dyDescent="0.3">
      <c r="A2014">
        <v>2012</v>
      </c>
      <c r="B2014" t="s">
        <v>8329</v>
      </c>
      <c r="C2014" t="s">
        <v>8330</v>
      </c>
      <c r="D2014">
        <v>366</v>
      </c>
      <c r="E2014" t="s">
        <v>8283</v>
      </c>
      <c r="F2014" t="str">
        <f>VLOOKUP(E2014,country_continent!A:C,2,FALSE)</f>
        <v>Estonia</v>
      </c>
      <c r="G2014" t="str">
        <f>VLOOKUP(E2014,country_continent!A:C,3,FALSE)</f>
        <v>Europe</v>
      </c>
      <c r="H2014" t="s">
        <v>8331</v>
      </c>
      <c r="I2014" s="1">
        <v>11889</v>
      </c>
      <c r="J2014" s="3">
        <f t="shared" si="93"/>
        <v>11889</v>
      </c>
      <c r="K2014" s="1">
        <v>11992</v>
      </c>
      <c r="L2014" s="3">
        <f t="shared" si="94"/>
        <v>11992</v>
      </c>
      <c r="M2014" t="s">
        <v>49</v>
      </c>
      <c r="N2014" t="s">
        <v>49</v>
      </c>
      <c r="O2014" t="s">
        <v>49</v>
      </c>
      <c r="P2014">
        <v>0</v>
      </c>
      <c r="Q2014" t="s">
        <v>50</v>
      </c>
      <c r="R2014" t="s">
        <v>51</v>
      </c>
      <c r="S2014">
        <v>1888</v>
      </c>
      <c r="T2014">
        <v>1942</v>
      </c>
      <c r="Z2014">
        <v>0</v>
      </c>
      <c r="AA2014">
        <v>1</v>
      </c>
      <c r="AB2014">
        <v>0</v>
      </c>
      <c r="AC2014">
        <v>0</v>
      </c>
      <c r="AF2014">
        <v>1932</v>
      </c>
      <c r="AG2014">
        <v>1932</v>
      </c>
      <c r="AO2014" t="b">
        <v>0</v>
      </c>
      <c r="AT2014">
        <v>103</v>
      </c>
      <c r="AU2014">
        <f t="shared" si="95"/>
        <v>0.28199999999999997</v>
      </c>
    </row>
    <row r="2015" spans="1:47" x14ac:dyDescent="0.3">
      <c r="A2015">
        <v>2013</v>
      </c>
      <c r="B2015" t="s">
        <v>8332</v>
      </c>
      <c r="C2015" t="s">
        <v>8282</v>
      </c>
      <c r="D2015">
        <v>366</v>
      </c>
      <c r="E2015" t="s">
        <v>8283</v>
      </c>
      <c r="F2015" t="str">
        <f>VLOOKUP(E2015,country_continent!A:C,2,FALSE)</f>
        <v>Estonia</v>
      </c>
      <c r="G2015" t="str">
        <f>VLOOKUP(E2015,country_continent!A:C,3,FALSE)</f>
        <v>Europe</v>
      </c>
      <c r="H2015" t="s">
        <v>8284</v>
      </c>
      <c r="I2015" s="1">
        <v>11994</v>
      </c>
      <c r="J2015" s="3">
        <f t="shared" si="93"/>
        <v>11994</v>
      </c>
      <c r="K2015" s="1">
        <v>12170</v>
      </c>
      <c r="L2015" s="3">
        <f t="shared" si="94"/>
        <v>12170</v>
      </c>
      <c r="M2015" t="s">
        <v>49</v>
      </c>
      <c r="N2015" t="s">
        <v>49</v>
      </c>
      <c r="O2015" t="s">
        <v>49</v>
      </c>
      <c r="P2015">
        <v>4</v>
      </c>
      <c r="Q2015" t="s">
        <v>50</v>
      </c>
      <c r="R2015" t="s">
        <v>51</v>
      </c>
      <c r="S2015">
        <v>1874</v>
      </c>
      <c r="T2015">
        <v>1956</v>
      </c>
      <c r="U2015" t="s">
        <v>8285</v>
      </c>
      <c r="V2015" t="s">
        <v>8286</v>
      </c>
      <c r="W2015" s="1">
        <v>20472</v>
      </c>
      <c r="X2015" s="2">
        <v>20472</v>
      </c>
      <c r="Y2015" t="s">
        <v>8287</v>
      </c>
      <c r="Z2015">
        <v>0</v>
      </c>
      <c r="AA2015">
        <v>1</v>
      </c>
      <c r="AB2015">
        <v>0</v>
      </c>
      <c r="AC2015">
        <v>0</v>
      </c>
      <c r="AF2015">
        <v>1932</v>
      </c>
      <c r="AG2015">
        <v>1933</v>
      </c>
      <c r="AO2015" t="b">
        <v>0</v>
      </c>
      <c r="AT2015">
        <v>176</v>
      </c>
      <c r="AU2015">
        <f t="shared" si="95"/>
        <v>0.48199999999999998</v>
      </c>
    </row>
    <row r="2016" spans="1:47" x14ac:dyDescent="0.3">
      <c r="A2016">
        <v>2014</v>
      </c>
      <c r="B2016" t="s">
        <v>8333</v>
      </c>
      <c r="C2016" t="s">
        <v>8295</v>
      </c>
      <c r="D2016">
        <v>366</v>
      </c>
      <c r="E2016" t="s">
        <v>8283</v>
      </c>
      <c r="F2016" t="str">
        <f>VLOOKUP(E2016,country_continent!A:C,2,FALSE)</f>
        <v>Estonia</v>
      </c>
      <c r="G2016" t="str">
        <f>VLOOKUP(E2016,country_continent!A:C,3,FALSE)</f>
        <v>Europe</v>
      </c>
      <c r="H2016" t="s">
        <v>8296</v>
      </c>
      <c r="I2016" s="1">
        <v>12191</v>
      </c>
      <c r="J2016" s="3">
        <f t="shared" si="93"/>
        <v>12191</v>
      </c>
      <c r="K2016" s="1">
        <v>12344</v>
      </c>
      <c r="L2016" s="3">
        <f t="shared" si="94"/>
        <v>12344</v>
      </c>
      <c r="M2016" t="s">
        <v>49</v>
      </c>
      <c r="N2016" t="s">
        <v>49</v>
      </c>
      <c r="O2016" t="s">
        <v>49</v>
      </c>
      <c r="P2016">
        <v>2</v>
      </c>
      <c r="Q2016" t="s">
        <v>50</v>
      </c>
      <c r="R2016" t="s">
        <v>51</v>
      </c>
      <c r="S2016">
        <v>1868</v>
      </c>
      <c r="T2016">
        <v>1941</v>
      </c>
      <c r="U2016" t="s">
        <v>8297</v>
      </c>
      <c r="V2016" t="s">
        <v>8298</v>
      </c>
      <c r="Y2016" t="s">
        <v>8299</v>
      </c>
      <c r="Z2016">
        <v>0</v>
      </c>
      <c r="AA2016">
        <v>1</v>
      </c>
      <c r="AB2016">
        <v>0</v>
      </c>
      <c r="AC2016">
        <v>0</v>
      </c>
      <c r="AF2016">
        <v>1933</v>
      </c>
      <c r="AG2016">
        <v>1933</v>
      </c>
      <c r="AO2016" t="b">
        <v>0</v>
      </c>
      <c r="AT2016">
        <v>153</v>
      </c>
      <c r="AU2016">
        <f t="shared" si="95"/>
        <v>0.41899999999999998</v>
      </c>
    </row>
    <row r="2017" spans="1:47" x14ac:dyDescent="0.3">
      <c r="A2017">
        <v>2015</v>
      </c>
      <c r="B2017" t="s">
        <v>8334</v>
      </c>
      <c r="C2017" t="s">
        <v>8282</v>
      </c>
      <c r="D2017">
        <v>366</v>
      </c>
      <c r="E2017" t="s">
        <v>8283</v>
      </c>
      <c r="F2017" t="str">
        <f>VLOOKUP(E2017,country_continent!A:C,2,FALSE)</f>
        <v>Estonia</v>
      </c>
      <c r="G2017" t="str">
        <f>VLOOKUP(E2017,country_continent!A:C,3,FALSE)</f>
        <v>Europe</v>
      </c>
      <c r="H2017" t="s">
        <v>8284</v>
      </c>
      <c r="I2017" s="1">
        <v>12348</v>
      </c>
      <c r="J2017" s="3">
        <f t="shared" si="93"/>
        <v>12348</v>
      </c>
      <c r="K2017" s="1">
        <v>14815</v>
      </c>
      <c r="L2017" s="3">
        <f t="shared" si="94"/>
        <v>14815</v>
      </c>
      <c r="M2017" t="s">
        <v>49</v>
      </c>
      <c r="N2017" t="s">
        <v>633</v>
      </c>
      <c r="O2017" t="s">
        <v>634</v>
      </c>
      <c r="P2017">
        <v>5</v>
      </c>
      <c r="Q2017" t="s">
        <v>463</v>
      </c>
      <c r="R2017" t="s">
        <v>51</v>
      </c>
      <c r="S2017">
        <v>1874</v>
      </c>
      <c r="T2017">
        <v>1956</v>
      </c>
      <c r="U2017" t="s">
        <v>8285</v>
      </c>
      <c r="V2017" t="s">
        <v>8286</v>
      </c>
      <c r="W2017" s="1">
        <v>20472</v>
      </c>
      <c r="X2017" s="2">
        <v>20472</v>
      </c>
      <c r="Y2017" t="s">
        <v>8287</v>
      </c>
      <c r="Z2017">
        <v>0</v>
      </c>
      <c r="AA2017">
        <v>4</v>
      </c>
      <c r="AB2017">
        <v>9</v>
      </c>
      <c r="AC2017">
        <v>2</v>
      </c>
      <c r="AF2017">
        <v>1933</v>
      </c>
      <c r="AG2017">
        <v>1940</v>
      </c>
      <c r="AO2017" t="b">
        <v>0</v>
      </c>
      <c r="AT2017">
        <v>2467</v>
      </c>
      <c r="AU2017">
        <f t="shared" si="95"/>
        <v>6.7590000000000003</v>
      </c>
    </row>
    <row r="2018" spans="1:47" x14ac:dyDescent="0.3">
      <c r="A2018">
        <v>2016</v>
      </c>
      <c r="B2018" t="s">
        <v>8335</v>
      </c>
      <c r="C2018" t="s">
        <v>8336</v>
      </c>
      <c r="D2018">
        <v>366</v>
      </c>
      <c r="E2018" t="s">
        <v>8283</v>
      </c>
      <c r="F2018" t="str">
        <f>VLOOKUP(E2018,country_continent!A:C,2,FALSE)</f>
        <v>Estonia</v>
      </c>
      <c r="G2018" t="str">
        <f>VLOOKUP(E2018,country_continent!A:C,3,FALSE)</f>
        <v>Europe</v>
      </c>
      <c r="H2018" t="s">
        <v>8337</v>
      </c>
      <c r="I2018" s="1">
        <v>14815</v>
      </c>
      <c r="J2018" s="3">
        <f t="shared" si="93"/>
        <v>14815</v>
      </c>
      <c r="K2018" s="1">
        <v>14848</v>
      </c>
      <c r="L2018" s="3">
        <f t="shared" si="94"/>
        <v>14848</v>
      </c>
      <c r="M2018" t="s">
        <v>637</v>
      </c>
      <c r="N2018" t="s">
        <v>633</v>
      </c>
      <c r="O2018" t="s">
        <v>634</v>
      </c>
      <c r="P2018">
        <v>0</v>
      </c>
      <c r="Q2018" t="s">
        <v>50</v>
      </c>
      <c r="R2018" t="s">
        <v>51</v>
      </c>
      <c r="S2018">
        <v>1890</v>
      </c>
      <c r="T2018">
        <v>1946</v>
      </c>
      <c r="U2018" t="s">
        <v>8338</v>
      </c>
      <c r="V2018" t="s">
        <v>8339</v>
      </c>
      <c r="Z2018">
        <v>2</v>
      </c>
      <c r="AA2018">
        <v>4</v>
      </c>
      <c r="AB2018">
        <v>9</v>
      </c>
      <c r="AC2018">
        <v>0</v>
      </c>
      <c r="AF2018">
        <v>1940</v>
      </c>
      <c r="AG2018">
        <v>1940</v>
      </c>
      <c r="AO2018" t="b">
        <v>0</v>
      </c>
      <c r="AT2018">
        <v>33</v>
      </c>
      <c r="AU2018">
        <f t="shared" si="95"/>
        <v>0.09</v>
      </c>
    </row>
    <row r="2019" spans="1:47" x14ac:dyDescent="0.3">
      <c r="A2019">
        <v>2017</v>
      </c>
      <c r="B2019" t="s">
        <v>8340</v>
      </c>
      <c r="C2019" t="s">
        <v>8341</v>
      </c>
      <c r="D2019">
        <v>366</v>
      </c>
      <c r="E2019" t="s">
        <v>8283</v>
      </c>
      <c r="F2019" t="str">
        <f>VLOOKUP(E2019,country_continent!A:C,2,FALSE)</f>
        <v>Estonia</v>
      </c>
      <c r="G2019" t="str">
        <f>VLOOKUP(E2019,country_continent!A:C,3,FALSE)</f>
        <v>Europe</v>
      </c>
      <c r="H2019" t="s">
        <v>8342</v>
      </c>
      <c r="I2019" s="1">
        <v>33487</v>
      </c>
      <c r="J2019" s="3">
        <f t="shared" si="93"/>
        <v>33487</v>
      </c>
      <c r="K2019" s="1">
        <v>33626</v>
      </c>
      <c r="L2019" s="3">
        <f t="shared" si="94"/>
        <v>33626</v>
      </c>
      <c r="M2019" t="s">
        <v>49</v>
      </c>
      <c r="N2019" t="s">
        <v>49</v>
      </c>
      <c r="O2019" t="s">
        <v>49</v>
      </c>
      <c r="P2019">
        <v>0</v>
      </c>
      <c r="Q2019" t="s">
        <v>50</v>
      </c>
      <c r="R2019" t="s">
        <v>51</v>
      </c>
      <c r="S2019">
        <v>1950</v>
      </c>
      <c r="T2019">
        <v>-777</v>
      </c>
      <c r="Z2019">
        <v>0</v>
      </c>
      <c r="AA2019">
        <v>1</v>
      </c>
      <c r="AB2019">
        <v>0</v>
      </c>
      <c r="AC2019">
        <v>0</v>
      </c>
      <c r="AF2019">
        <v>1991</v>
      </c>
      <c r="AG2019">
        <v>1992</v>
      </c>
      <c r="AH2019">
        <v>-13.627063802362199</v>
      </c>
      <c r="AJ2019">
        <v>503.10664827987199</v>
      </c>
      <c r="AK2019">
        <v>17.399999999999999</v>
      </c>
      <c r="AL2019">
        <v>-1.1631703702584599</v>
      </c>
      <c r="AN2019">
        <v>6</v>
      </c>
      <c r="AO2019" t="b">
        <v>0</v>
      </c>
      <c r="AT2019">
        <v>139</v>
      </c>
      <c r="AU2019">
        <f t="shared" si="95"/>
        <v>0.38100000000000001</v>
      </c>
    </row>
    <row r="2020" spans="1:47" x14ac:dyDescent="0.3">
      <c r="A2020">
        <v>2018</v>
      </c>
      <c r="B2020" t="s">
        <v>8343</v>
      </c>
      <c r="C2020" t="s">
        <v>8344</v>
      </c>
      <c r="D2020">
        <v>366</v>
      </c>
      <c r="E2020" t="s">
        <v>8283</v>
      </c>
      <c r="F2020" t="str">
        <f>VLOOKUP(E2020,country_continent!A:C,2,FALSE)</f>
        <v>Estonia</v>
      </c>
      <c r="G2020" t="str">
        <f>VLOOKUP(E2020,country_continent!A:C,3,FALSE)</f>
        <v>Europe</v>
      </c>
      <c r="H2020" t="s">
        <v>8345</v>
      </c>
      <c r="I2020" s="1">
        <v>33633</v>
      </c>
      <c r="J2020" s="3">
        <f t="shared" si="93"/>
        <v>33633</v>
      </c>
      <c r="K2020" s="1">
        <v>33885</v>
      </c>
      <c r="L2020" s="3">
        <f t="shared" si="94"/>
        <v>33885</v>
      </c>
      <c r="M2020" t="s">
        <v>49</v>
      </c>
      <c r="N2020" t="s">
        <v>49</v>
      </c>
      <c r="O2020" t="s">
        <v>49</v>
      </c>
      <c r="P2020">
        <v>0</v>
      </c>
      <c r="Q2020" t="s">
        <v>50</v>
      </c>
      <c r="R2020" t="s">
        <v>51</v>
      </c>
      <c r="S2020">
        <v>1947</v>
      </c>
      <c r="T2020">
        <v>-777</v>
      </c>
      <c r="U2020" s="1">
        <v>17177</v>
      </c>
      <c r="V2020" s="2">
        <v>17177</v>
      </c>
      <c r="Z2020">
        <v>0</v>
      </c>
      <c r="AA2020">
        <v>1</v>
      </c>
      <c r="AB2020">
        <v>0</v>
      </c>
      <c r="AC2020">
        <v>0</v>
      </c>
      <c r="AF2020">
        <v>1992</v>
      </c>
      <c r="AG2020">
        <v>1992</v>
      </c>
      <c r="AH2020">
        <v>-19.717433145786501</v>
      </c>
      <c r="AJ2020">
        <v>873.64286760768596</v>
      </c>
      <c r="AK2020">
        <v>17.3</v>
      </c>
      <c r="AL2020">
        <v>-1.82418155532121</v>
      </c>
      <c r="AN2020">
        <v>6</v>
      </c>
      <c r="AO2020" t="b">
        <v>0</v>
      </c>
      <c r="AT2020">
        <v>252</v>
      </c>
      <c r="AU2020">
        <f t="shared" si="95"/>
        <v>0.69</v>
      </c>
    </row>
    <row r="2021" spans="1:47" x14ac:dyDescent="0.3">
      <c r="A2021">
        <v>2019</v>
      </c>
      <c r="B2021" t="s">
        <v>8346</v>
      </c>
      <c r="C2021" t="s">
        <v>8347</v>
      </c>
      <c r="D2021">
        <v>366</v>
      </c>
      <c r="E2021" t="s">
        <v>8283</v>
      </c>
      <c r="F2021" t="str">
        <f>VLOOKUP(E2021,country_continent!A:C,2,FALSE)</f>
        <v>Estonia</v>
      </c>
      <c r="G2021" t="str">
        <f>VLOOKUP(E2021,country_continent!A:C,3,FALSE)</f>
        <v>Europe</v>
      </c>
      <c r="H2021" t="s">
        <v>8348</v>
      </c>
      <c r="I2021" s="1">
        <v>33905</v>
      </c>
      <c r="J2021" s="3">
        <f t="shared" si="93"/>
        <v>33905</v>
      </c>
      <c r="K2021" s="1">
        <v>34646</v>
      </c>
      <c r="L2021" s="3">
        <f t="shared" si="94"/>
        <v>34646</v>
      </c>
      <c r="M2021" t="s">
        <v>49</v>
      </c>
      <c r="N2021" t="s">
        <v>49</v>
      </c>
      <c r="O2021" t="s">
        <v>49</v>
      </c>
      <c r="P2021">
        <v>0</v>
      </c>
      <c r="Q2021" t="s">
        <v>50</v>
      </c>
      <c r="R2021" t="s">
        <v>51</v>
      </c>
      <c r="S2021">
        <v>1960</v>
      </c>
      <c r="T2021">
        <v>-777</v>
      </c>
      <c r="U2021" s="1">
        <v>22028</v>
      </c>
      <c r="V2021" s="2">
        <v>22028</v>
      </c>
      <c r="Y2021" t="s">
        <v>8349</v>
      </c>
      <c r="Z2021">
        <v>0</v>
      </c>
      <c r="AA2021">
        <v>1</v>
      </c>
      <c r="AB2021">
        <v>0</v>
      </c>
      <c r="AC2021">
        <v>0</v>
      </c>
      <c r="AF2021">
        <v>1992</v>
      </c>
      <c r="AG2021">
        <v>1994</v>
      </c>
      <c r="AH2021">
        <v>-7.5053967108849404</v>
      </c>
      <c r="AJ2021">
        <v>332.70580080491601</v>
      </c>
      <c r="AK2021">
        <v>16.8666666666666</v>
      </c>
      <c r="AL2021">
        <v>-2.17903005613582</v>
      </c>
      <c r="AN2021">
        <v>6</v>
      </c>
      <c r="AO2021" t="b">
        <v>0</v>
      </c>
      <c r="AT2021">
        <v>741</v>
      </c>
      <c r="AU2021">
        <f t="shared" si="95"/>
        <v>2.0299999999999998</v>
      </c>
    </row>
    <row r="2022" spans="1:47" x14ac:dyDescent="0.3">
      <c r="A2022">
        <v>2020</v>
      </c>
      <c r="B2022" t="s">
        <v>8350</v>
      </c>
      <c r="C2022" t="s">
        <v>8351</v>
      </c>
      <c r="D2022">
        <v>366</v>
      </c>
      <c r="E2022" t="s">
        <v>8283</v>
      </c>
      <c r="F2022" t="str">
        <f>VLOOKUP(E2022,country_continent!A:C,2,FALSE)</f>
        <v>Estonia</v>
      </c>
      <c r="G2022" t="str">
        <f>VLOOKUP(E2022,country_continent!A:C,3,FALSE)</f>
        <v>Europe</v>
      </c>
      <c r="H2022" t="s">
        <v>8352</v>
      </c>
      <c r="I2022" s="1">
        <v>34646</v>
      </c>
      <c r="J2022" s="3">
        <f t="shared" si="93"/>
        <v>34646</v>
      </c>
      <c r="K2022" s="1">
        <v>34806</v>
      </c>
      <c r="L2022" s="3">
        <f t="shared" si="94"/>
        <v>34806</v>
      </c>
      <c r="M2022" t="s">
        <v>49</v>
      </c>
      <c r="N2022" t="s">
        <v>49</v>
      </c>
      <c r="O2022" t="s">
        <v>49</v>
      </c>
      <c r="P2022">
        <v>0</v>
      </c>
      <c r="Q2022" t="s">
        <v>50</v>
      </c>
      <c r="R2022" t="s">
        <v>51</v>
      </c>
      <c r="S2022">
        <v>1940</v>
      </c>
      <c r="T2022">
        <v>-777</v>
      </c>
      <c r="Z2022">
        <v>0</v>
      </c>
      <c r="AA2022">
        <v>1</v>
      </c>
      <c r="AB2022">
        <v>0</v>
      </c>
      <c r="AC2022">
        <v>0</v>
      </c>
      <c r="AF2022">
        <v>1994</v>
      </c>
      <c r="AG2022">
        <v>1995</v>
      </c>
      <c r="AH2022">
        <v>3.4466763665984801</v>
      </c>
      <c r="AI2022">
        <v>3020</v>
      </c>
      <c r="AJ2022">
        <v>35.538789678559802</v>
      </c>
      <c r="AK2022">
        <v>16.049999999999901</v>
      </c>
      <c r="AL2022">
        <v>-1.9619940854056801</v>
      </c>
      <c r="AM2022">
        <v>2.6498170704368502</v>
      </c>
      <c r="AN2022">
        <v>6</v>
      </c>
      <c r="AO2022" t="b">
        <v>0</v>
      </c>
      <c r="AT2022">
        <v>160</v>
      </c>
      <c r="AU2022">
        <f t="shared" si="95"/>
        <v>0.438</v>
      </c>
    </row>
    <row r="2023" spans="1:47" x14ac:dyDescent="0.3">
      <c r="A2023">
        <v>2021</v>
      </c>
      <c r="B2023" t="s">
        <v>8353</v>
      </c>
      <c r="C2023" t="s">
        <v>8344</v>
      </c>
      <c r="D2023">
        <v>366</v>
      </c>
      <c r="E2023" t="s">
        <v>8283</v>
      </c>
      <c r="F2023" t="str">
        <f>VLOOKUP(E2023,country_continent!A:C,2,FALSE)</f>
        <v>Estonia</v>
      </c>
      <c r="G2023" t="str">
        <f>VLOOKUP(E2023,country_continent!A:C,3,FALSE)</f>
        <v>Europe</v>
      </c>
      <c r="H2023" t="s">
        <v>8345</v>
      </c>
      <c r="I2023" s="1">
        <v>34806</v>
      </c>
      <c r="J2023" s="3">
        <f t="shared" si="93"/>
        <v>34806</v>
      </c>
      <c r="K2023" s="1">
        <v>35506</v>
      </c>
      <c r="L2023" s="3">
        <f t="shared" si="94"/>
        <v>35506</v>
      </c>
      <c r="M2023" t="s">
        <v>49</v>
      </c>
      <c r="N2023" t="s">
        <v>49</v>
      </c>
      <c r="O2023" t="s">
        <v>49</v>
      </c>
      <c r="P2023">
        <v>1</v>
      </c>
      <c r="Q2023" t="s">
        <v>50</v>
      </c>
      <c r="R2023" t="s">
        <v>51</v>
      </c>
      <c r="S2023">
        <v>1947</v>
      </c>
      <c r="T2023">
        <v>-777</v>
      </c>
      <c r="U2023" s="1">
        <v>17177</v>
      </c>
      <c r="V2023" s="2">
        <v>17177</v>
      </c>
      <c r="Z2023">
        <v>0</v>
      </c>
      <c r="AA2023">
        <v>1</v>
      </c>
      <c r="AB2023">
        <v>0</v>
      </c>
      <c r="AC2023">
        <v>0</v>
      </c>
      <c r="AF2023">
        <v>1995</v>
      </c>
      <c r="AG2023">
        <v>1997</v>
      </c>
      <c r="AH2023">
        <v>9.0865527538637192</v>
      </c>
      <c r="AI2023">
        <v>3343.3333333333298</v>
      </c>
      <c r="AJ2023">
        <v>21.290175211252699</v>
      </c>
      <c r="AK2023">
        <v>14.8</v>
      </c>
      <c r="AL2023">
        <v>-1.4672278045071701</v>
      </c>
      <c r="AM2023">
        <v>2.7589474717912101</v>
      </c>
      <c r="AN2023">
        <v>6</v>
      </c>
      <c r="AO2023" t="b">
        <v>0</v>
      </c>
      <c r="AT2023">
        <v>700</v>
      </c>
      <c r="AU2023">
        <f t="shared" si="95"/>
        <v>1.9179999999999999</v>
      </c>
    </row>
    <row r="2024" spans="1:47" x14ac:dyDescent="0.3">
      <c r="A2024">
        <v>2022</v>
      </c>
      <c r="B2024" t="s">
        <v>8354</v>
      </c>
      <c r="C2024" t="s">
        <v>8355</v>
      </c>
      <c r="D2024">
        <v>366</v>
      </c>
      <c r="E2024" t="s">
        <v>8283</v>
      </c>
      <c r="F2024" t="str">
        <f>VLOOKUP(E2024,country_continent!A:C,2,FALSE)</f>
        <v>Estonia</v>
      </c>
      <c r="G2024" t="str">
        <f>VLOOKUP(E2024,country_continent!A:C,3,FALSE)</f>
        <v>Europe</v>
      </c>
      <c r="H2024" t="s">
        <v>8356</v>
      </c>
      <c r="I2024" s="1">
        <v>35506</v>
      </c>
      <c r="J2024" s="3">
        <f t="shared" si="93"/>
        <v>35506</v>
      </c>
      <c r="K2024" s="1">
        <v>36244</v>
      </c>
      <c r="L2024" s="3">
        <f t="shared" si="94"/>
        <v>36244</v>
      </c>
      <c r="M2024" t="s">
        <v>49</v>
      </c>
      <c r="N2024" t="s">
        <v>49</v>
      </c>
      <c r="O2024" t="s">
        <v>49</v>
      </c>
      <c r="P2024">
        <v>0</v>
      </c>
      <c r="Q2024" t="s">
        <v>50</v>
      </c>
      <c r="R2024" t="s">
        <v>51</v>
      </c>
      <c r="S2024">
        <v>1946</v>
      </c>
      <c r="T2024">
        <v>-777</v>
      </c>
      <c r="Z2024">
        <v>0</v>
      </c>
      <c r="AA2024">
        <v>1</v>
      </c>
      <c r="AB2024">
        <v>0</v>
      </c>
      <c r="AC2024">
        <v>0</v>
      </c>
      <c r="AF2024">
        <v>1997</v>
      </c>
      <c r="AG2024">
        <v>1999</v>
      </c>
      <c r="AH2024">
        <v>6.3254312022177102</v>
      </c>
      <c r="AI2024">
        <v>3766.6666666666601</v>
      </c>
      <c r="AJ2024">
        <v>7.7593291160378399</v>
      </c>
      <c r="AK2024">
        <v>12.9333333333333</v>
      </c>
      <c r="AL2024">
        <v>-0.60233198963542001</v>
      </c>
      <c r="AM2024">
        <v>2.3063785011743598</v>
      </c>
      <c r="AN2024">
        <v>6.33</v>
      </c>
      <c r="AO2024" t="b">
        <v>0</v>
      </c>
      <c r="AT2024">
        <v>738</v>
      </c>
      <c r="AU2024">
        <f t="shared" si="95"/>
        <v>2.0219999999999998</v>
      </c>
    </row>
    <row r="2025" spans="1:47" x14ac:dyDescent="0.3">
      <c r="A2025">
        <v>2023</v>
      </c>
      <c r="B2025" t="s">
        <v>8357</v>
      </c>
      <c r="C2025" t="s">
        <v>8347</v>
      </c>
      <c r="D2025">
        <v>366</v>
      </c>
      <c r="E2025" t="s">
        <v>8283</v>
      </c>
      <c r="F2025" t="str">
        <f>VLOOKUP(E2025,country_continent!A:C,2,FALSE)</f>
        <v>Estonia</v>
      </c>
      <c r="G2025" t="str">
        <f>VLOOKUP(E2025,country_continent!A:C,3,FALSE)</f>
        <v>Europe</v>
      </c>
      <c r="H2025" t="s">
        <v>8348</v>
      </c>
      <c r="I2025" s="1">
        <v>36244</v>
      </c>
      <c r="J2025" s="3">
        <f t="shared" si="93"/>
        <v>36244</v>
      </c>
      <c r="K2025" s="1">
        <v>37284</v>
      </c>
      <c r="L2025" s="3">
        <f t="shared" si="94"/>
        <v>37284</v>
      </c>
      <c r="M2025" t="s">
        <v>49</v>
      </c>
      <c r="N2025" t="s">
        <v>49</v>
      </c>
      <c r="O2025" t="s">
        <v>49</v>
      </c>
      <c r="P2025">
        <v>1</v>
      </c>
      <c r="Q2025" t="s">
        <v>50</v>
      </c>
      <c r="R2025" t="s">
        <v>51</v>
      </c>
      <c r="S2025">
        <v>1960</v>
      </c>
      <c r="T2025">
        <v>-777</v>
      </c>
      <c r="U2025" s="1">
        <v>22028</v>
      </c>
      <c r="V2025" s="2">
        <v>22028</v>
      </c>
      <c r="Y2025" t="s">
        <v>8349</v>
      </c>
      <c r="Z2025">
        <v>0</v>
      </c>
      <c r="AA2025">
        <v>1</v>
      </c>
      <c r="AB2025">
        <v>0</v>
      </c>
      <c r="AC2025">
        <v>0</v>
      </c>
      <c r="AF2025">
        <v>1999</v>
      </c>
      <c r="AG2025">
        <v>2002</v>
      </c>
      <c r="AH2025">
        <v>5.7521044966254804</v>
      </c>
      <c r="AI2025">
        <v>4235</v>
      </c>
      <c r="AJ2025">
        <v>5.4495791912684703</v>
      </c>
      <c r="AK2025">
        <v>10.6</v>
      </c>
      <c r="AL2025">
        <v>-0.123051870808443</v>
      </c>
      <c r="AM2025">
        <v>2.9287565970296199</v>
      </c>
      <c r="AN2025">
        <v>8.5</v>
      </c>
      <c r="AO2025" t="b">
        <v>0</v>
      </c>
      <c r="AT2025">
        <v>1040</v>
      </c>
      <c r="AU2025">
        <f t="shared" si="95"/>
        <v>2.8490000000000002</v>
      </c>
    </row>
    <row r="2026" spans="1:47" x14ac:dyDescent="0.3">
      <c r="A2026">
        <v>2024</v>
      </c>
      <c r="B2026" t="s">
        <v>8358</v>
      </c>
      <c r="C2026" t="s">
        <v>8359</v>
      </c>
      <c r="D2026">
        <v>366</v>
      </c>
      <c r="E2026" t="s">
        <v>8283</v>
      </c>
      <c r="F2026" t="str">
        <f>VLOOKUP(E2026,country_continent!A:C,2,FALSE)</f>
        <v>Estonia</v>
      </c>
      <c r="G2026" t="str">
        <f>VLOOKUP(E2026,country_continent!A:C,3,FALSE)</f>
        <v>Europe</v>
      </c>
      <c r="H2026" t="s">
        <v>8360</v>
      </c>
      <c r="I2026" s="1">
        <v>37284</v>
      </c>
      <c r="J2026" s="3">
        <f t="shared" si="93"/>
        <v>37284</v>
      </c>
      <c r="K2026" s="1">
        <v>37721</v>
      </c>
      <c r="L2026" s="3">
        <f t="shared" si="94"/>
        <v>37721</v>
      </c>
      <c r="M2026" t="s">
        <v>49</v>
      </c>
      <c r="N2026" t="s">
        <v>49</v>
      </c>
      <c r="O2026" t="s">
        <v>49</v>
      </c>
      <c r="P2026">
        <v>0</v>
      </c>
      <c r="Q2026" t="s">
        <v>50</v>
      </c>
      <c r="R2026" t="s">
        <v>51</v>
      </c>
      <c r="S2026">
        <v>1948</v>
      </c>
      <c r="T2026">
        <v>-777</v>
      </c>
      <c r="Z2026">
        <v>0</v>
      </c>
      <c r="AA2026">
        <v>1</v>
      </c>
      <c r="AB2026">
        <v>0</v>
      </c>
      <c r="AC2026">
        <v>0</v>
      </c>
      <c r="AF2026">
        <v>2002</v>
      </c>
      <c r="AG2026">
        <v>2003</v>
      </c>
      <c r="AH2026">
        <v>7.9431121838670702</v>
      </c>
      <c r="AI2026">
        <v>5175</v>
      </c>
      <c r="AJ2026">
        <v>4.3466318478965302</v>
      </c>
      <c r="AK2026">
        <v>8.9</v>
      </c>
      <c r="AL2026">
        <v>-0.63052812224150501</v>
      </c>
      <c r="AM2026">
        <v>2.3044852842772601</v>
      </c>
      <c r="AN2026">
        <v>9</v>
      </c>
      <c r="AO2026" t="b">
        <v>0</v>
      </c>
      <c r="AT2026">
        <v>437</v>
      </c>
      <c r="AU2026">
        <f t="shared" si="95"/>
        <v>1.1970000000000001</v>
      </c>
    </row>
    <row r="2027" spans="1:47" x14ac:dyDescent="0.3">
      <c r="A2027">
        <v>2025</v>
      </c>
      <c r="B2027" t="s">
        <v>8361</v>
      </c>
      <c r="C2027" t="s">
        <v>8362</v>
      </c>
      <c r="D2027">
        <v>366</v>
      </c>
      <c r="E2027" t="s">
        <v>8283</v>
      </c>
      <c r="F2027" t="str">
        <f>VLOOKUP(E2027,country_continent!A:C,2,FALSE)</f>
        <v>Estonia</v>
      </c>
      <c r="G2027" t="str">
        <f>VLOOKUP(E2027,country_continent!A:C,3,FALSE)</f>
        <v>Europe</v>
      </c>
      <c r="H2027" t="s">
        <v>8363</v>
      </c>
      <c r="I2027" s="1">
        <v>37721</v>
      </c>
      <c r="J2027" s="3">
        <f t="shared" si="93"/>
        <v>37721</v>
      </c>
      <c r="K2027" s="1">
        <v>38455</v>
      </c>
      <c r="L2027" s="3">
        <f t="shared" si="94"/>
        <v>38455</v>
      </c>
      <c r="M2027" t="s">
        <v>49</v>
      </c>
      <c r="N2027" t="s">
        <v>49</v>
      </c>
      <c r="O2027" t="s">
        <v>49</v>
      </c>
      <c r="P2027">
        <v>0</v>
      </c>
      <c r="Q2027" t="s">
        <v>50</v>
      </c>
      <c r="R2027" t="s">
        <v>51</v>
      </c>
      <c r="S2027">
        <v>1966</v>
      </c>
      <c r="T2027">
        <v>-777</v>
      </c>
      <c r="Z2027">
        <v>0</v>
      </c>
      <c r="AA2027">
        <v>1</v>
      </c>
      <c r="AB2027">
        <v>0</v>
      </c>
      <c r="AC2027">
        <v>0</v>
      </c>
      <c r="AF2027">
        <v>2003</v>
      </c>
      <c r="AG2027">
        <v>2005</v>
      </c>
      <c r="AH2027">
        <v>8.6221387229515507</v>
      </c>
      <c r="AI2027">
        <v>7653.3333333333303</v>
      </c>
      <c r="AJ2027">
        <v>4.8342463230014596</v>
      </c>
      <c r="AK2027">
        <v>7.8</v>
      </c>
      <c r="AL2027">
        <v>-0.59923282770481601</v>
      </c>
      <c r="AM2027">
        <v>1.7973959803119</v>
      </c>
      <c r="AN2027">
        <v>9</v>
      </c>
      <c r="AO2027" t="b">
        <v>0</v>
      </c>
      <c r="AT2027">
        <v>734</v>
      </c>
      <c r="AU2027">
        <f t="shared" si="95"/>
        <v>2.0110000000000001</v>
      </c>
    </row>
    <row r="2028" spans="1:47" x14ac:dyDescent="0.3">
      <c r="A2028">
        <v>2026</v>
      </c>
      <c r="B2028" t="s">
        <v>8364</v>
      </c>
      <c r="C2028" t="s">
        <v>8365</v>
      </c>
      <c r="D2028">
        <v>366</v>
      </c>
      <c r="E2028" t="s">
        <v>8283</v>
      </c>
      <c r="F2028" t="str">
        <f>VLOOKUP(E2028,country_continent!A:C,2,FALSE)</f>
        <v>Estonia</v>
      </c>
      <c r="G2028" t="str">
        <f>VLOOKUP(E2028,country_continent!A:C,3,FALSE)</f>
        <v>Europe</v>
      </c>
      <c r="H2028" t="s">
        <v>8366</v>
      </c>
      <c r="I2028" s="1">
        <v>38455</v>
      </c>
      <c r="J2028" s="3">
        <f t="shared" si="93"/>
        <v>38455</v>
      </c>
      <c r="K2028" s="1">
        <v>41724</v>
      </c>
      <c r="L2028" s="3">
        <f t="shared" si="94"/>
        <v>41724</v>
      </c>
      <c r="M2028" t="s">
        <v>49</v>
      </c>
      <c r="N2028" t="s">
        <v>49</v>
      </c>
      <c r="O2028" t="s">
        <v>49</v>
      </c>
      <c r="P2028">
        <v>0</v>
      </c>
      <c r="Q2028" t="s">
        <v>50</v>
      </c>
      <c r="R2028" t="s">
        <v>51</v>
      </c>
      <c r="S2028">
        <v>1956</v>
      </c>
      <c r="T2028">
        <v>-777</v>
      </c>
      <c r="U2028" s="1">
        <v>20729</v>
      </c>
      <c r="V2028" s="2">
        <v>20729</v>
      </c>
      <c r="Z2028">
        <v>0</v>
      </c>
      <c r="AA2028">
        <v>1</v>
      </c>
      <c r="AB2028">
        <v>0</v>
      </c>
      <c r="AC2028">
        <v>0</v>
      </c>
      <c r="AF2028">
        <v>2005</v>
      </c>
      <c r="AG2028">
        <v>2014</v>
      </c>
      <c r="AH2028">
        <v>2.9664974070418899</v>
      </c>
      <c r="AI2028">
        <v>14939</v>
      </c>
      <c r="AJ2028">
        <v>5.2205918667843099</v>
      </c>
      <c r="AK2028">
        <v>4.9599999999999902</v>
      </c>
      <c r="AL2028">
        <v>-0.35867345978918702</v>
      </c>
      <c r="AM2028">
        <v>1.74191080610658</v>
      </c>
      <c r="AN2028">
        <v>9</v>
      </c>
      <c r="AO2028" t="b">
        <v>0</v>
      </c>
      <c r="AT2028">
        <v>3269</v>
      </c>
      <c r="AU2028">
        <f t="shared" si="95"/>
        <v>8.9559999999999995</v>
      </c>
    </row>
    <row r="2029" spans="1:47" x14ac:dyDescent="0.3">
      <c r="A2029">
        <v>2027</v>
      </c>
      <c r="B2029" t="s">
        <v>8367</v>
      </c>
      <c r="C2029" t="s">
        <v>8368</v>
      </c>
      <c r="D2029">
        <v>366</v>
      </c>
      <c r="E2029" t="s">
        <v>8283</v>
      </c>
      <c r="F2029" t="str">
        <f>VLOOKUP(E2029,country_continent!A:C,2,FALSE)</f>
        <v>Estonia</v>
      </c>
      <c r="G2029" t="str">
        <f>VLOOKUP(E2029,country_continent!A:C,3,FALSE)</f>
        <v>Europe</v>
      </c>
      <c r="H2029" t="s">
        <v>8369</v>
      </c>
      <c r="I2029" s="1">
        <v>41724</v>
      </c>
      <c r="J2029" s="3">
        <f t="shared" si="93"/>
        <v>41724</v>
      </c>
      <c r="K2029" s="1">
        <v>42369</v>
      </c>
      <c r="L2029" s="3">
        <f t="shared" si="94"/>
        <v>42369</v>
      </c>
      <c r="M2029" t="s">
        <v>49</v>
      </c>
      <c r="N2029" t="s">
        <v>173</v>
      </c>
      <c r="O2029" t="s">
        <v>173</v>
      </c>
      <c r="P2029">
        <v>0</v>
      </c>
      <c r="Q2029" t="s">
        <v>174</v>
      </c>
      <c r="R2029" t="s">
        <v>51</v>
      </c>
      <c r="S2029">
        <v>1979</v>
      </c>
      <c r="T2029">
        <v>-777</v>
      </c>
      <c r="U2029" s="1">
        <v>29124</v>
      </c>
      <c r="V2029" s="2">
        <v>29124</v>
      </c>
      <c r="Z2029">
        <v>0</v>
      </c>
      <c r="AA2029">
        <v>-888</v>
      </c>
      <c r="AB2029">
        <v>-888</v>
      </c>
      <c r="AC2029">
        <v>-888</v>
      </c>
      <c r="AF2029">
        <v>2014</v>
      </c>
      <c r="AG2029">
        <v>2015</v>
      </c>
      <c r="AH2029">
        <v>2.6827664636326198</v>
      </c>
      <c r="AI2029">
        <v>19055</v>
      </c>
      <c r="AJ2029">
        <v>2.0814910804397102</v>
      </c>
      <c r="AK2029">
        <v>3.3</v>
      </c>
      <c r="AL2029">
        <v>-9.8351822778029993E-2</v>
      </c>
      <c r="AM2029">
        <v>1.60574892023378</v>
      </c>
      <c r="AN2029">
        <v>9</v>
      </c>
      <c r="AO2029" t="b">
        <v>0</v>
      </c>
      <c r="AT2029">
        <v>645</v>
      </c>
      <c r="AU2029">
        <f t="shared" si="95"/>
        <v>1.7669999999999999</v>
      </c>
    </row>
    <row r="2030" spans="1:47" x14ac:dyDescent="0.3">
      <c r="A2030">
        <v>2028</v>
      </c>
      <c r="B2030" t="s">
        <v>8370</v>
      </c>
      <c r="C2030" t="s">
        <v>8371</v>
      </c>
      <c r="D2030">
        <v>367</v>
      </c>
      <c r="E2030" t="s">
        <v>8372</v>
      </c>
      <c r="F2030" t="str">
        <f>VLOOKUP(E2030,country_continent!A:C,2,FALSE)</f>
        <v>Latvia</v>
      </c>
      <c r="G2030" t="str">
        <f>VLOOKUP(E2030,country_continent!A:C,3,FALSE)</f>
        <v>Europe</v>
      </c>
      <c r="H2030" t="s">
        <v>8373</v>
      </c>
      <c r="I2030" s="1">
        <v>6896</v>
      </c>
      <c r="J2030" s="3">
        <f t="shared" si="93"/>
        <v>6896</v>
      </c>
      <c r="K2030" s="1">
        <v>7051</v>
      </c>
      <c r="L2030" s="3">
        <f t="shared" si="94"/>
        <v>7051</v>
      </c>
      <c r="M2030" t="s">
        <v>67</v>
      </c>
      <c r="N2030" t="s">
        <v>49</v>
      </c>
      <c r="O2030" t="s">
        <v>49</v>
      </c>
      <c r="P2030">
        <v>0</v>
      </c>
      <c r="Q2030" t="s">
        <v>50</v>
      </c>
      <c r="R2030" t="s">
        <v>51</v>
      </c>
      <c r="S2030">
        <v>1877</v>
      </c>
      <c r="T2030">
        <v>1942</v>
      </c>
      <c r="U2030" t="s">
        <v>8374</v>
      </c>
      <c r="V2030" t="s">
        <v>8375</v>
      </c>
      <c r="Y2030" t="s">
        <v>8376</v>
      </c>
      <c r="Z2030">
        <v>1</v>
      </c>
      <c r="AA2030">
        <v>1</v>
      </c>
      <c r="AB2030">
        <v>0</v>
      </c>
      <c r="AC2030">
        <v>0</v>
      </c>
      <c r="AF2030">
        <v>1918</v>
      </c>
      <c r="AG2030">
        <v>1919</v>
      </c>
      <c r="AO2030" t="b">
        <v>0</v>
      </c>
      <c r="AT2030">
        <v>155</v>
      </c>
      <c r="AU2030">
        <f t="shared" si="95"/>
        <v>0.42499999999999999</v>
      </c>
    </row>
    <row r="2031" spans="1:47" x14ac:dyDescent="0.3">
      <c r="A2031">
        <v>2029</v>
      </c>
      <c r="B2031" t="s">
        <v>8377</v>
      </c>
      <c r="C2031" t="s">
        <v>8378</v>
      </c>
      <c r="D2031">
        <v>367</v>
      </c>
      <c r="E2031" t="s">
        <v>8372</v>
      </c>
      <c r="F2031" t="str">
        <f>VLOOKUP(E2031,country_continent!A:C,2,FALSE)</f>
        <v>Latvia</v>
      </c>
      <c r="G2031" t="str">
        <f>VLOOKUP(E2031,country_continent!A:C,3,FALSE)</f>
        <v>Europe</v>
      </c>
      <c r="H2031" t="s">
        <v>8379</v>
      </c>
      <c r="I2031" s="1">
        <v>7051</v>
      </c>
      <c r="J2031" s="3">
        <f t="shared" si="93"/>
        <v>7051</v>
      </c>
      <c r="K2031" s="1">
        <v>7056</v>
      </c>
      <c r="L2031" s="3">
        <f t="shared" si="94"/>
        <v>7056</v>
      </c>
      <c r="M2031" t="s">
        <v>637</v>
      </c>
      <c r="N2031" t="s">
        <v>347</v>
      </c>
      <c r="O2031" t="s">
        <v>347</v>
      </c>
      <c r="P2031">
        <v>0</v>
      </c>
      <c r="Q2031" t="s">
        <v>1453</v>
      </c>
      <c r="R2031" t="s">
        <v>51</v>
      </c>
      <c r="S2031">
        <v>1872</v>
      </c>
      <c r="T2031">
        <v>1945</v>
      </c>
      <c r="Z2031">
        <v>2</v>
      </c>
      <c r="AA2031">
        <v>-666</v>
      </c>
      <c r="AB2031">
        <v>-999</v>
      </c>
      <c r="AC2031">
        <v>-666</v>
      </c>
      <c r="AF2031">
        <v>1919</v>
      </c>
      <c r="AG2031">
        <v>1919</v>
      </c>
      <c r="AO2031" t="b">
        <v>0</v>
      </c>
      <c r="AT2031">
        <v>5</v>
      </c>
      <c r="AU2031">
        <f t="shared" si="95"/>
        <v>1.4E-2</v>
      </c>
    </row>
    <row r="2032" spans="1:47" x14ac:dyDescent="0.3">
      <c r="A2032">
        <v>2030</v>
      </c>
      <c r="B2032" t="s">
        <v>8380</v>
      </c>
      <c r="C2032" t="s">
        <v>8381</v>
      </c>
      <c r="D2032">
        <v>367</v>
      </c>
      <c r="E2032" t="s">
        <v>8372</v>
      </c>
      <c r="F2032" t="str">
        <f>VLOOKUP(E2032,country_continent!A:C,2,FALSE)</f>
        <v>Latvia</v>
      </c>
      <c r="G2032" t="str">
        <f>VLOOKUP(E2032,country_continent!A:C,3,FALSE)</f>
        <v>Europe</v>
      </c>
      <c r="H2032" t="s">
        <v>8382</v>
      </c>
      <c r="I2032" s="1">
        <v>7056</v>
      </c>
      <c r="J2032" s="3">
        <f t="shared" si="93"/>
        <v>7056</v>
      </c>
      <c r="K2032" s="1">
        <v>7119</v>
      </c>
      <c r="L2032" s="3">
        <f t="shared" si="94"/>
        <v>7119</v>
      </c>
      <c r="M2032" t="s">
        <v>637</v>
      </c>
      <c r="N2032" t="s">
        <v>67</v>
      </c>
      <c r="O2032" t="s">
        <v>433</v>
      </c>
      <c r="P2032">
        <v>0</v>
      </c>
      <c r="Q2032" t="s">
        <v>362</v>
      </c>
      <c r="R2032" t="s">
        <v>51</v>
      </c>
      <c r="S2032">
        <v>1871</v>
      </c>
      <c r="T2032">
        <v>1942</v>
      </c>
      <c r="U2032" t="s">
        <v>8383</v>
      </c>
      <c r="V2032" t="s">
        <v>8384</v>
      </c>
      <c r="W2032" s="1">
        <v>15609</v>
      </c>
      <c r="X2032" s="2">
        <v>15609</v>
      </c>
      <c r="Z2032">
        <v>2</v>
      </c>
      <c r="AA2032">
        <v>3</v>
      </c>
      <c r="AB2032">
        <v>4</v>
      </c>
      <c r="AC2032">
        <v>1</v>
      </c>
      <c r="AF2032">
        <v>1919</v>
      </c>
      <c r="AG2032">
        <v>1919</v>
      </c>
      <c r="AO2032" t="b">
        <v>0</v>
      </c>
      <c r="AT2032">
        <v>63</v>
      </c>
      <c r="AU2032">
        <f t="shared" si="95"/>
        <v>0.17299999999999999</v>
      </c>
    </row>
    <row r="2033" spans="1:47" x14ac:dyDescent="0.3">
      <c r="A2033">
        <v>2031</v>
      </c>
      <c r="B2033" t="s">
        <v>8385</v>
      </c>
      <c r="C2033" t="s">
        <v>8371</v>
      </c>
      <c r="D2033">
        <v>367</v>
      </c>
      <c r="E2033" t="s">
        <v>8372</v>
      </c>
      <c r="F2033" t="str">
        <f>VLOOKUP(E2033,country_continent!A:C,2,FALSE)</f>
        <v>Latvia</v>
      </c>
      <c r="G2033" t="str">
        <f>VLOOKUP(E2033,country_continent!A:C,3,FALSE)</f>
        <v>Europe</v>
      </c>
      <c r="H2033" t="s">
        <v>8373</v>
      </c>
      <c r="I2033" s="1">
        <v>7135</v>
      </c>
      <c r="J2033" s="3">
        <f t="shared" si="93"/>
        <v>7135</v>
      </c>
      <c r="K2033" s="1">
        <v>7839</v>
      </c>
      <c r="L2033" s="3">
        <f t="shared" si="94"/>
        <v>7839</v>
      </c>
      <c r="M2033" t="s">
        <v>49</v>
      </c>
      <c r="N2033" t="s">
        <v>49</v>
      </c>
      <c r="O2033" t="s">
        <v>49</v>
      </c>
      <c r="P2033">
        <v>1</v>
      </c>
      <c r="Q2033" t="s">
        <v>50</v>
      </c>
      <c r="R2033" t="s">
        <v>51</v>
      </c>
      <c r="S2033">
        <v>1877</v>
      </c>
      <c r="T2033">
        <v>1942</v>
      </c>
      <c r="U2033" t="s">
        <v>8374</v>
      </c>
      <c r="V2033" t="s">
        <v>8375</v>
      </c>
      <c r="Y2033" t="s">
        <v>8376</v>
      </c>
      <c r="Z2033">
        <v>0</v>
      </c>
      <c r="AA2033">
        <v>1</v>
      </c>
      <c r="AB2033">
        <v>0</v>
      </c>
      <c r="AC2033">
        <v>0</v>
      </c>
      <c r="AF2033">
        <v>1919</v>
      </c>
      <c r="AG2033">
        <v>1921</v>
      </c>
      <c r="AO2033" t="b">
        <v>0</v>
      </c>
      <c r="AT2033">
        <v>704</v>
      </c>
      <c r="AU2033">
        <f t="shared" si="95"/>
        <v>1.929</v>
      </c>
    </row>
    <row r="2034" spans="1:47" x14ac:dyDescent="0.3">
      <c r="A2034">
        <v>2032</v>
      </c>
      <c r="B2034" t="s">
        <v>8386</v>
      </c>
      <c r="C2034" t="s">
        <v>8387</v>
      </c>
      <c r="D2034">
        <v>367</v>
      </c>
      <c r="E2034" t="s">
        <v>8372</v>
      </c>
      <c r="F2034" t="str">
        <f>VLOOKUP(E2034,country_continent!A:C,2,FALSE)</f>
        <v>Latvia</v>
      </c>
      <c r="G2034" t="str">
        <f>VLOOKUP(E2034,country_continent!A:C,3,FALSE)</f>
        <v>Europe</v>
      </c>
      <c r="H2034" t="s">
        <v>8388</v>
      </c>
      <c r="I2034" s="1">
        <v>7839</v>
      </c>
      <c r="J2034" s="3">
        <f t="shared" si="93"/>
        <v>7839</v>
      </c>
      <c r="K2034" s="1">
        <v>8432</v>
      </c>
      <c r="L2034" s="3">
        <f t="shared" si="94"/>
        <v>8432</v>
      </c>
      <c r="M2034" t="s">
        <v>49</v>
      </c>
      <c r="N2034" t="s">
        <v>49</v>
      </c>
      <c r="O2034" t="s">
        <v>49</v>
      </c>
      <c r="P2034">
        <v>0</v>
      </c>
      <c r="Q2034" t="s">
        <v>50</v>
      </c>
      <c r="R2034" t="s">
        <v>51</v>
      </c>
      <c r="S2034">
        <v>1887</v>
      </c>
      <c r="T2034">
        <v>1925</v>
      </c>
      <c r="Y2034" t="s">
        <v>8389</v>
      </c>
      <c r="Z2034">
        <v>0</v>
      </c>
      <c r="AA2034">
        <v>1</v>
      </c>
      <c r="AB2034">
        <v>0</v>
      </c>
      <c r="AC2034">
        <v>0</v>
      </c>
      <c r="AF2034">
        <v>1921</v>
      </c>
      <c r="AG2034">
        <v>1923</v>
      </c>
      <c r="AO2034" t="b">
        <v>0</v>
      </c>
      <c r="AT2034">
        <v>593</v>
      </c>
      <c r="AU2034">
        <f t="shared" si="95"/>
        <v>1.625</v>
      </c>
    </row>
    <row r="2035" spans="1:47" x14ac:dyDescent="0.3">
      <c r="A2035">
        <v>2033</v>
      </c>
      <c r="B2035" t="s">
        <v>8390</v>
      </c>
      <c r="C2035" t="s">
        <v>8391</v>
      </c>
      <c r="D2035">
        <v>367</v>
      </c>
      <c r="E2035" t="s">
        <v>8372</v>
      </c>
      <c r="F2035" t="str">
        <f>VLOOKUP(E2035,country_continent!A:C,2,FALSE)</f>
        <v>Latvia</v>
      </c>
      <c r="G2035" t="str">
        <f>VLOOKUP(E2035,country_continent!A:C,3,FALSE)</f>
        <v>Europe</v>
      </c>
      <c r="H2035" t="s">
        <v>8392</v>
      </c>
      <c r="I2035" s="1">
        <v>8432</v>
      </c>
      <c r="J2035" s="3">
        <f t="shared" si="93"/>
        <v>8432</v>
      </c>
      <c r="K2035" s="1">
        <v>8579</v>
      </c>
      <c r="L2035" s="3">
        <f t="shared" si="94"/>
        <v>8579</v>
      </c>
      <c r="M2035" t="s">
        <v>49</v>
      </c>
      <c r="N2035" t="s">
        <v>49</v>
      </c>
      <c r="O2035" t="s">
        <v>49</v>
      </c>
      <c r="P2035">
        <v>0</v>
      </c>
      <c r="Q2035" t="s">
        <v>1453</v>
      </c>
      <c r="R2035" t="s">
        <v>51</v>
      </c>
      <c r="S2035">
        <v>1865</v>
      </c>
      <c r="T2035">
        <v>1937</v>
      </c>
      <c r="Z2035">
        <v>0</v>
      </c>
      <c r="AA2035">
        <v>1</v>
      </c>
      <c r="AB2035">
        <v>0</v>
      </c>
      <c r="AC2035">
        <v>-666</v>
      </c>
      <c r="AF2035">
        <v>1923</v>
      </c>
      <c r="AG2035">
        <v>1923</v>
      </c>
      <c r="AO2035" t="b">
        <v>0</v>
      </c>
      <c r="AT2035">
        <v>147</v>
      </c>
      <c r="AU2035">
        <f t="shared" si="95"/>
        <v>0.40300000000000002</v>
      </c>
    </row>
    <row r="2036" spans="1:47" x14ac:dyDescent="0.3">
      <c r="A2036">
        <v>2034</v>
      </c>
      <c r="B2036" t="s">
        <v>8393</v>
      </c>
      <c r="C2036" t="s">
        <v>8387</v>
      </c>
      <c r="D2036">
        <v>367</v>
      </c>
      <c r="E2036" t="s">
        <v>8372</v>
      </c>
      <c r="F2036" t="str">
        <f>VLOOKUP(E2036,country_continent!A:C,2,FALSE)</f>
        <v>Latvia</v>
      </c>
      <c r="G2036" t="str">
        <f>VLOOKUP(E2036,country_continent!A:C,3,FALSE)</f>
        <v>Europe</v>
      </c>
      <c r="H2036" t="s">
        <v>8388</v>
      </c>
      <c r="I2036" s="1">
        <v>8580</v>
      </c>
      <c r="J2036" s="3">
        <f t="shared" si="93"/>
        <v>8580</v>
      </c>
      <c r="K2036" s="1">
        <v>8792</v>
      </c>
      <c r="L2036" s="3">
        <f t="shared" si="94"/>
        <v>8792</v>
      </c>
      <c r="M2036" t="s">
        <v>49</v>
      </c>
      <c r="N2036" t="s">
        <v>49</v>
      </c>
      <c r="O2036" t="s">
        <v>49</v>
      </c>
      <c r="P2036">
        <v>1</v>
      </c>
      <c r="Q2036" t="s">
        <v>50</v>
      </c>
      <c r="R2036" t="s">
        <v>51</v>
      </c>
      <c r="S2036">
        <v>1887</v>
      </c>
      <c r="T2036">
        <v>1925</v>
      </c>
      <c r="Y2036" t="s">
        <v>8389</v>
      </c>
      <c r="Z2036">
        <v>0</v>
      </c>
      <c r="AA2036">
        <v>1</v>
      </c>
      <c r="AB2036">
        <v>0</v>
      </c>
      <c r="AC2036">
        <v>0</v>
      </c>
      <c r="AF2036">
        <v>1923</v>
      </c>
      <c r="AG2036">
        <v>1924</v>
      </c>
      <c r="AO2036" t="b">
        <v>0</v>
      </c>
      <c r="AT2036">
        <v>212</v>
      </c>
      <c r="AU2036">
        <f t="shared" si="95"/>
        <v>0.58099999999999996</v>
      </c>
    </row>
    <row r="2037" spans="1:47" x14ac:dyDescent="0.3">
      <c r="A2037">
        <v>2035</v>
      </c>
      <c r="B2037" t="s">
        <v>8394</v>
      </c>
      <c r="C2037" t="s">
        <v>8395</v>
      </c>
      <c r="D2037">
        <v>367</v>
      </c>
      <c r="E2037" t="s">
        <v>8372</v>
      </c>
      <c r="F2037" t="str">
        <f>VLOOKUP(E2037,country_continent!A:C,2,FALSE)</f>
        <v>Latvia</v>
      </c>
      <c r="G2037" t="str">
        <f>VLOOKUP(E2037,country_continent!A:C,3,FALSE)</f>
        <v>Europe</v>
      </c>
      <c r="H2037" t="s">
        <v>8396</v>
      </c>
      <c r="I2037" s="1">
        <v>8793</v>
      </c>
      <c r="J2037" s="3">
        <f t="shared" si="93"/>
        <v>8793</v>
      </c>
      <c r="K2037" s="1">
        <v>9119</v>
      </c>
      <c r="L2037" s="3">
        <f t="shared" si="94"/>
        <v>9119</v>
      </c>
      <c r="M2037" t="s">
        <v>49</v>
      </c>
      <c r="N2037" t="s">
        <v>49</v>
      </c>
      <c r="O2037" t="s">
        <v>49</v>
      </c>
      <c r="P2037">
        <v>0</v>
      </c>
      <c r="Q2037" t="s">
        <v>1453</v>
      </c>
      <c r="R2037" t="s">
        <v>51</v>
      </c>
      <c r="S2037">
        <v>1872</v>
      </c>
      <c r="T2037">
        <v>1948</v>
      </c>
      <c r="U2037" t="s">
        <v>8397</v>
      </c>
      <c r="V2037" t="s">
        <v>8398</v>
      </c>
      <c r="Z2037">
        <v>0</v>
      </c>
      <c r="AA2037">
        <v>1</v>
      </c>
      <c r="AB2037">
        <v>0</v>
      </c>
      <c r="AC2037">
        <v>-666</v>
      </c>
      <c r="AF2037">
        <v>1924</v>
      </c>
      <c r="AG2037">
        <v>1924</v>
      </c>
      <c r="AO2037" t="b">
        <v>0</v>
      </c>
      <c r="AT2037">
        <v>326</v>
      </c>
      <c r="AU2037">
        <f t="shared" si="95"/>
        <v>0.89300000000000002</v>
      </c>
    </row>
    <row r="2038" spans="1:47" x14ac:dyDescent="0.3">
      <c r="A2038">
        <v>2036</v>
      </c>
      <c r="B2038" t="s">
        <v>8399</v>
      </c>
      <c r="C2038" t="s">
        <v>8400</v>
      </c>
      <c r="D2038">
        <v>367</v>
      </c>
      <c r="E2038" t="s">
        <v>8372</v>
      </c>
      <c r="F2038" t="str">
        <f>VLOOKUP(E2038,country_continent!A:C,2,FALSE)</f>
        <v>Latvia</v>
      </c>
      <c r="G2038" t="str">
        <f>VLOOKUP(E2038,country_continent!A:C,3,FALSE)</f>
        <v>Europe</v>
      </c>
      <c r="H2038" t="s">
        <v>8401</v>
      </c>
      <c r="I2038" s="1">
        <v>9120</v>
      </c>
      <c r="J2038" s="3">
        <f t="shared" si="93"/>
        <v>9120</v>
      </c>
      <c r="K2038" s="1">
        <v>9491</v>
      </c>
      <c r="L2038" s="3">
        <f t="shared" si="94"/>
        <v>9491</v>
      </c>
      <c r="M2038" t="s">
        <v>49</v>
      </c>
      <c r="N2038" t="s">
        <v>49</v>
      </c>
      <c r="O2038" t="s">
        <v>49</v>
      </c>
      <c r="P2038">
        <v>0</v>
      </c>
      <c r="Q2038" t="s">
        <v>50</v>
      </c>
      <c r="R2038" t="s">
        <v>51</v>
      </c>
      <c r="S2038">
        <v>1877</v>
      </c>
      <c r="T2038">
        <v>1941</v>
      </c>
      <c r="Z2038">
        <v>0</v>
      </c>
      <c r="AA2038">
        <v>1</v>
      </c>
      <c r="AB2038">
        <v>0</v>
      </c>
      <c r="AC2038">
        <v>0</v>
      </c>
      <c r="AF2038">
        <v>1924</v>
      </c>
      <c r="AG2038">
        <v>1925</v>
      </c>
      <c r="AO2038" t="b">
        <v>0</v>
      </c>
      <c r="AT2038">
        <v>371</v>
      </c>
      <c r="AU2038">
        <f t="shared" si="95"/>
        <v>1.016</v>
      </c>
    </row>
    <row r="2039" spans="1:47" x14ac:dyDescent="0.3">
      <c r="A2039">
        <v>2037</v>
      </c>
      <c r="B2039" t="s">
        <v>8402</v>
      </c>
      <c r="C2039" t="s">
        <v>8371</v>
      </c>
      <c r="D2039">
        <v>367</v>
      </c>
      <c r="E2039" t="s">
        <v>8372</v>
      </c>
      <c r="F2039" t="str">
        <f>VLOOKUP(E2039,country_continent!A:C,2,FALSE)</f>
        <v>Latvia</v>
      </c>
      <c r="G2039" t="str">
        <f>VLOOKUP(E2039,country_continent!A:C,3,FALSE)</f>
        <v>Europe</v>
      </c>
      <c r="H2039" t="s">
        <v>8373</v>
      </c>
      <c r="I2039" s="1">
        <v>9491</v>
      </c>
      <c r="J2039" s="3">
        <f t="shared" si="93"/>
        <v>9491</v>
      </c>
      <c r="K2039" s="1">
        <v>9623</v>
      </c>
      <c r="L2039" s="3">
        <f t="shared" si="94"/>
        <v>9623</v>
      </c>
      <c r="M2039" t="s">
        <v>49</v>
      </c>
      <c r="N2039" t="s">
        <v>49</v>
      </c>
      <c r="O2039" t="s">
        <v>49</v>
      </c>
      <c r="P2039">
        <v>2</v>
      </c>
      <c r="Q2039" t="s">
        <v>50</v>
      </c>
      <c r="R2039" t="s">
        <v>51</v>
      </c>
      <c r="S2039">
        <v>1877</v>
      </c>
      <c r="T2039">
        <v>1942</v>
      </c>
      <c r="U2039" t="s">
        <v>8374</v>
      </c>
      <c r="V2039" t="s">
        <v>8375</v>
      </c>
      <c r="Y2039" t="s">
        <v>8376</v>
      </c>
      <c r="Z2039">
        <v>0</v>
      </c>
      <c r="AA2039">
        <v>1</v>
      </c>
      <c r="AB2039">
        <v>0</v>
      </c>
      <c r="AC2039">
        <v>0</v>
      </c>
      <c r="AF2039">
        <v>1925</v>
      </c>
      <c r="AG2039">
        <v>1926</v>
      </c>
      <c r="AO2039" t="b">
        <v>0</v>
      </c>
      <c r="AT2039">
        <v>132</v>
      </c>
      <c r="AU2039">
        <f t="shared" si="95"/>
        <v>0.36199999999999999</v>
      </c>
    </row>
    <row r="2040" spans="1:47" x14ac:dyDescent="0.3">
      <c r="A2040">
        <v>2038</v>
      </c>
      <c r="B2040" t="s">
        <v>8403</v>
      </c>
      <c r="C2040" t="s">
        <v>8404</v>
      </c>
      <c r="D2040">
        <v>367</v>
      </c>
      <c r="E2040" t="s">
        <v>8372</v>
      </c>
      <c r="F2040" t="str">
        <f>VLOOKUP(E2040,country_continent!A:C,2,FALSE)</f>
        <v>Latvia</v>
      </c>
      <c r="G2040" t="str">
        <f>VLOOKUP(E2040,country_continent!A:C,3,FALSE)</f>
        <v>Europe</v>
      </c>
      <c r="H2040" t="s">
        <v>8405</v>
      </c>
      <c r="I2040" s="1">
        <v>9624</v>
      </c>
      <c r="J2040" s="3">
        <f t="shared" si="93"/>
        <v>9624</v>
      </c>
      <c r="K2040" s="1">
        <v>9848</v>
      </c>
      <c r="L2040" s="3">
        <f t="shared" si="94"/>
        <v>9848</v>
      </c>
      <c r="M2040" t="s">
        <v>49</v>
      </c>
      <c r="N2040" t="s">
        <v>49</v>
      </c>
      <c r="O2040" t="s">
        <v>49</v>
      </c>
      <c r="P2040">
        <v>0</v>
      </c>
      <c r="Q2040" t="s">
        <v>50</v>
      </c>
      <c r="R2040" t="s">
        <v>51</v>
      </c>
      <c r="S2040">
        <v>1876</v>
      </c>
      <c r="T2040">
        <v>1934</v>
      </c>
      <c r="U2040" t="s">
        <v>681</v>
      </c>
      <c r="V2040" t="s">
        <v>682</v>
      </c>
      <c r="Z2040">
        <v>0</v>
      </c>
      <c r="AA2040">
        <v>1</v>
      </c>
      <c r="AB2040">
        <v>0</v>
      </c>
      <c r="AC2040">
        <v>0</v>
      </c>
      <c r="AF2040">
        <v>1926</v>
      </c>
      <c r="AG2040">
        <v>1926</v>
      </c>
      <c r="AO2040" t="b">
        <v>0</v>
      </c>
      <c r="AT2040">
        <v>224</v>
      </c>
      <c r="AU2040">
        <f t="shared" si="95"/>
        <v>0.61399999999999999</v>
      </c>
    </row>
    <row r="2041" spans="1:47" x14ac:dyDescent="0.3">
      <c r="A2041">
        <v>2039</v>
      </c>
      <c r="B2041" t="s">
        <v>8406</v>
      </c>
      <c r="C2041" t="s">
        <v>8407</v>
      </c>
      <c r="D2041">
        <v>367</v>
      </c>
      <c r="E2041" t="s">
        <v>8372</v>
      </c>
      <c r="F2041" t="str">
        <f>VLOOKUP(E2041,country_continent!A:C,2,FALSE)</f>
        <v>Latvia</v>
      </c>
      <c r="G2041" t="str">
        <f>VLOOKUP(E2041,country_continent!A:C,3,FALSE)</f>
        <v>Europe</v>
      </c>
      <c r="H2041" t="s">
        <v>8408</v>
      </c>
      <c r="I2041" s="1">
        <v>9848</v>
      </c>
      <c r="J2041" s="3">
        <f t="shared" si="93"/>
        <v>9848</v>
      </c>
      <c r="K2041" s="1">
        <v>10248</v>
      </c>
      <c r="L2041" s="3">
        <f t="shared" si="94"/>
        <v>10248</v>
      </c>
      <c r="M2041" t="s">
        <v>49</v>
      </c>
      <c r="N2041" t="s">
        <v>49</v>
      </c>
      <c r="O2041" t="s">
        <v>49</v>
      </c>
      <c r="P2041">
        <v>0</v>
      </c>
      <c r="Q2041" t="s">
        <v>50</v>
      </c>
      <c r="R2041" t="s">
        <v>51</v>
      </c>
      <c r="S2041">
        <v>1886</v>
      </c>
      <c r="T2041">
        <v>1941</v>
      </c>
      <c r="U2041" t="s">
        <v>8409</v>
      </c>
      <c r="V2041" t="s">
        <v>8410</v>
      </c>
      <c r="Z2041">
        <v>0</v>
      </c>
      <c r="AA2041">
        <v>1</v>
      </c>
      <c r="AB2041">
        <v>0</v>
      </c>
      <c r="AC2041">
        <v>0</v>
      </c>
      <c r="AF2041">
        <v>1926</v>
      </c>
      <c r="AG2041">
        <v>1928</v>
      </c>
      <c r="AO2041" t="b">
        <v>0</v>
      </c>
      <c r="AT2041">
        <v>400</v>
      </c>
      <c r="AU2041">
        <f t="shared" si="95"/>
        <v>1.0960000000000001</v>
      </c>
    </row>
    <row r="2042" spans="1:47" x14ac:dyDescent="0.3">
      <c r="A2042">
        <v>2040</v>
      </c>
      <c r="B2042" t="s">
        <v>8411</v>
      </c>
      <c r="C2042" t="s">
        <v>8412</v>
      </c>
      <c r="D2042">
        <v>367</v>
      </c>
      <c r="E2042" t="s">
        <v>8372</v>
      </c>
      <c r="F2042" t="str">
        <f>VLOOKUP(E2042,country_continent!A:C,2,FALSE)</f>
        <v>Latvia</v>
      </c>
      <c r="G2042" t="str">
        <f>VLOOKUP(E2042,country_continent!A:C,3,FALSE)</f>
        <v>Europe</v>
      </c>
      <c r="H2042" t="s">
        <v>8413</v>
      </c>
      <c r="I2042" s="1">
        <v>10248</v>
      </c>
      <c r="J2042" s="3">
        <f t="shared" si="93"/>
        <v>10248</v>
      </c>
      <c r="K2042" s="1">
        <v>10545</v>
      </c>
      <c r="L2042" s="3">
        <f t="shared" si="94"/>
        <v>10545</v>
      </c>
      <c r="M2042" t="s">
        <v>49</v>
      </c>
      <c r="N2042" t="s">
        <v>49</v>
      </c>
      <c r="O2042" t="s">
        <v>49</v>
      </c>
      <c r="P2042">
        <v>0</v>
      </c>
      <c r="Q2042" t="s">
        <v>1453</v>
      </c>
      <c r="R2042" t="s">
        <v>51</v>
      </c>
      <c r="S2042">
        <v>1872</v>
      </c>
      <c r="T2042">
        <v>1945</v>
      </c>
      <c r="Z2042">
        <v>0</v>
      </c>
      <c r="AA2042">
        <v>1</v>
      </c>
      <c r="AB2042">
        <v>0</v>
      </c>
      <c r="AC2042">
        <v>-666</v>
      </c>
      <c r="AF2042">
        <v>1928</v>
      </c>
      <c r="AG2042">
        <v>1928</v>
      </c>
      <c r="AO2042" t="b">
        <v>0</v>
      </c>
      <c r="AT2042">
        <v>297</v>
      </c>
      <c r="AU2042">
        <f t="shared" si="95"/>
        <v>0.81399999999999995</v>
      </c>
    </row>
    <row r="2043" spans="1:47" x14ac:dyDescent="0.3">
      <c r="A2043">
        <v>2041</v>
      </c>
      <c r="B2043" t="s">
        <v>8414</v>
      </c>
      <c r="C2043" t="s">
        <v>8400</v>
      </c>
      <c r="D2043">
        <v>367</v>
      </c>
      <c r="E2043" t="s">
        <v>8372</v>
      </c>
      <c r="F2043" t="str">
        <f>VLOOKUP(E2043,country_continent!A:C,2,FALSE)</f>
        <v>Latvia</v>
      </c>
      <c r="G2043" t="str">
        <f>VLOOKUP(E2043,country_continent!A:C,3,FALSE)</f>
        <v>Europe</v>
      </c>
      <c r="H2043" t="s">
        <v>8401</v>
      </c>
      <c r="I2043" s="1">
        <v>10563</v>
      </c>
      <c r="J2043" s="3">
        <f t="shared" si="93"/>
        <v>10563</v>
      </c>
      <c r="K2043" s="1">
        <v>11385</v>
      </c>
      <c r="L2043" s="3">
        <f t="shared" si="94"/>
        <v>11385</v>
      </c>
      <c r="M2043" t="s">
        <v>49</v>
      </c>
      <c r="N2043" t="s">
        <v>49</v>
      </c>
      <c r="O2043" t="s">
        <v>49</v>
      </c>
      <c r="P2043">
        <v>1</v>
      </c>
      <c r="Q2043" t="s">
        <v>50</v>
      </c>
      <c r="R2043" t="s">
        <v>51</v>
      </c>
      <c r="S2043">
        <v>1877</v>
      </c>
      <c r="T2043">
        <v>1941</v>
      </c>
      <c r="Z2043">
        <v>0</v>
      </c>
      <c r="AA2043">
        <v>1</v>
      </c>
      <c r="AB2043">
        <v>0</v>
      </c>
      <c r="AC2043">
        <v>0</v>
      </c>
      <c r="AF2043">
        <v>1928</v>
      </c>
      <c r="AG2043">
        <v>1931</v>
      </c>
      <c r="AO2043" t="b">
        <v>0</v>
      </c>
      <c r="AT2043">
        <v>822</v>
      </c>
      <c r="AU2043">
        <f t="shared" si="95"/>
        <v>2.2519999999999998</v>
      </c>
    </row>
    <row r="2044" spans="1:47" x14ac:dyDescent="0.3">
      <c r="A2044">
        <v>2042</v>
      </c>
      <c r="B2044" t="s">
        <v>8415</v>
      </c>
      <c r="C2044" t="s">
        <v>8371</v>
      </c>
      <c r="D2044">
        <v>367</v>
      </c>
      <c r="E2044" t="s">
        <v>8372</v>
      </c>
      <c r="F2044" t="str">
        <f>VLOOKUP(E2044,country_continent!A:C,2,FALSE)</f>
        <v>Latvia</v>
      </c>
      <c r="G2044" t="str">
        <f>VLOOKUP(E2044,country_continent!A:C,3,FALSE)</f>
        <v>Europe</v>
      </c>
      <c r="H2044" t="s">
        <v>8373</v>
      </c>
      <c r="I2044" s="1">
        <v>11406</v>
      </c>
      <c r="J2044" s="3">
        <f t="shared" si="93"/>
        <v>11406</v>
      </c>
      <c r="K2044" s="1">
        <v>11631</v>
      </c>
      <c r="L2044" s="3">
        <f t="shared" si="94"/>
        <v>11631</v>
      </c>
      <c r="M2044" t="s">
        <v>49</v>
      </c>
      <c r="N2044" t="s">
        <v>49</v>
      </c>
      <c r="O2044" t="s">
        <v>49</v>
      </c>
      <c r="P2044">
        <v>3</v>
      </c>
      <c r="Q2044" t="s">
        <v>50</v>
      </c>
      <c r="R2044" t="s">
        <v>51</v>
      </c>
      <c r="S2044">
        <v>1877</v>
      </c>
      <c r="T2044">
        <v>1942</v>
      </c>
      <c r="U2044" t="s">
        <v>8374</v>
      </c>
      <c r="V2044" t="s">
        <v>8375</v>
      </c>
      <c r="Y2044" t="s">
        <v>8376</v>
      </c>
      <c r="Z2044">
        <v>0</v>
      </c>
      <c r="AA2044">
        <v>1</v>
      </c>
      <c r="AB2044">
        <v>0</v>
      </c>
      <c r="AC2044">
        <v>0</v>
      </c>
      <c r="AF2044">
        <v>1931</v>
      </c>
      <c r="AG2044">
        <v>1931</v>
      </c>
      <c r="AO2044" t="b">
        <v>0</v>
      </c>
      <c r="AT2044">
        <v>225</v>
      </c>
      <c r="AU2044">
        <f t="shared" si="95"/>
        <v>0.61599999999999999</v>
      </c>
    </row>
    <row r="2045" spans="1:47" x14ac:dyDescent="0.3">
      <c r="A2045">
        <v>2043</v>
      </c>
      <c r="B2045" t="s">
        <v>8416</v>
      </c>
      <c r="C2045" t="s">
        <v>8407</v>
      </c>
      <c r="D2045">
        <v>367</v>
      </c>
      <c r="E2045" t="s">
        <v>8372</v>
      </c>
      <c r="F2045" t="str">
        <f>VLOOKUP(E2045,country_continent!A:C,2,FALSE)</f>
        <v>Latvia</v>
      </c>
      <c r="G2045" t="str">
        <f>VLOOKUP(E2045,country_continent!A:C,3,FALSE)</f>
        <v>Europe</v>
      </c>
      <c r="H2045" t="s">
        <v>8408</v>
      </c>
      <c r="I2045" s="1">
        <v>11661</v>
      </c>
      <c r="J2045" s="3">
        <f t="shared" si="93"/>
        <v>11661</v>
      </c>
      <c r="K2045" s="1">
        <v>12088</v>
      </c>
      <c r="L2045" s="3">
        <f t="shared" si="94"/>
        <v>12088</v>
      </c>
      <c r="M2045" t="s">
        <v>49</v>
      </c>
      <c r="N2045" t="s">
        <v>49</v>
      </c>
      <c r="O2045" t="s">
        <v>49</v>
      </c>
      <c r="P2045">
        <v>1</v>
      </c>
      <c r="Q2045" t="s">
        <v>50</v>
      </c>
      <c r="R2045" t="s">
        <v>51</v>
      </c>
      <c r="S2045">
        <v>1886</v>
      </c>
      <c r="T2045">
        <v>1941</v>
      </c>
      <c r="U2045" t="s">
        <v>8409</v>
      </c>
      <c r="V2045" t="s">
        <v>8410</v>
      </c>
      <c r="Z2045">
        <v>0</v>
      </c>
      <c r="AA2045">
        <v>1</v>
      </c>
      <c r="AB2045">
        <v>0</v>
      </c>
      <c r="AC2045">
        <v>0</v>
      </c>
      <c r="AF2045">
        <v>1931</v>
      </c>
      <c r="AG2045">
        <v>1933</v>
      </c>
      <c r="AO2045" t="b">
        <v>0</v>
      </c>
      <c r="AT2045">
        <v>427</v>
      </c>
      <c r="AU2045">
        <f t="shared" si="95"/>
        <v>1.17</v>
      </c>
    </row>
    <row r="2046" spans="1:47" x14ac:dyDescent="0.3">
      <c r="A2046">
        <v>2044</v>
      </c>
      <c r="B2046" t="s">
        <v>8417</v>
      </c>
      <c r="C2046" t="s">
        <v>8418</v>
      </c>
      <c r="D2046">
        <v>367</v>
      </c>
      <c r="E2046" t="s">
        <v>8372</v>
      </c>
      <c r="F2046" t="str">
        <f>VLOOKUP(E2046,country_continent!A:C,2,FALSE)</f>
        <v>Latvia</v>
      </c>
      <c r="G2046" t="str">
        <f>VLOOKUP(E2046,country_continent!A:C,3,FALSE)</f>
        <v>Europe</v>
      </c>
      <c r="H2046" t="s">
        <v>8419</v>
      </c>
      <c r="I2046" s="1">
        <v>12138</v>
      </c>
      <c r="J2046" s="3">
        <f t="shared" si="93"/>
        <v>12138</v>
      </c>
      <c r="K2046" s="1">
        <v>12480</v>
      </c>
      <c r="L2046" s="3">
        <f t="shared" si="94"/>
        <v>12480</v>
      </c>
      <c r="M2046" t="s">
        <v>49</v>
      </c>
      <c r="N2046" t="s">
        <v>49</v>
      </c>
      <c r="O2046" t="s">
        <v>49</v>
      </c>
      <c r="P2046">
        <v>0</v>
      </c>
      <c r="Q2046" t="s">
        <v>1453</v>
      </c>
      <c r="R2046" t="s">
        <v>51</v>
      </c>
      <c r="S2046">
        <v>1889</v>
      </c>
      <c r="T2046">
        <v>1962</v>
      </c>
      <c r="Z2046">
        <v>0</v>
      </c>
      <c r="AA2046">
        <v>1</v>
      </c>
      <c r="AB2046">
        <v>0</v>
      </c>
      <c r="AC2046">
        <v>-666</v>
      </c>
      <c r="AF2046">
        <v>1933</v>
      </c>
      <c r="AG2046">
        <v>1934</v>
      </c>
      <c r="AO2046" t="b">
        <v>0</v>
      </c>
      <c r="AT2046">
        <v>342</v>
      </c>
      <c r="AU2046">
        <f t="shared" si="95"/>
        <v>0.93700000000000006</v>
      </c>
    </row>
    <row r="2047" spans="1:47" x14ac:dyDescent="0.3">
      <c r="A2047">
        <v>2045</v>
      </c>
      <c r="B2047" t="s">
        <v>8420</v>
      </c>
      <c r="C2047" t="s">
        <v>8371</v>
      </c>
      <c r="D2047">
        <v>367</v>
      </c>
      <c r="E2047" t="s">
        <v>8372</v>
      </c>
      <c r="F2047" t="str">
        <f>VLOOKUP(E2047,country_continent!A:C,2,FALSE)</f>
        <v>Latvia</v>
      </c>
      <c r="G2047" t="str">
        <f>VLOOKUP(E2047,country_continent!A:C,3,FALSE)</f>
        <v>Europe</v>
      </c>
      <c r="H2047" t="s">
        <v>8373</v>
      </c>
      <c r="I2047" s="1">
        <v>12494</v>
      </c>
      <c r="J2047" s="3">
        <f t="shared" si="93"/>
        <v>12494</v>
      </c>
      <c r="K2047" s="1">
        <v>14784</v>
      </c>
      <c r="L2047" s="3">
        <f t="shared" si="94"/>
        <v>14784</v>
      </c>
      <c r="M2047" t="s">
        <v>49</v>
      </c>
      <c r="N2047" t="s">
        <v>633</v>
      </c>
      <c r="O2047" t="s">
        <v>634</v>
      </c>
      <c r="P2047">
        <v>4</v>
      </c>
      <c r="Q2047" t="s">
        <v>463</v>
      </c>
      <c r="R2047" t="s">
        <v>51</v>
      </c>
      <c r="S2047">
        <v>1877</v>
      </c>
      <c r="T2047">
        <v>1942</v>
      </c>
      <c r="U2047" t="s">
        <v>8374</v>
      </c>
      <c r="V2047" t="s">
        <v>8375</v>
      </c>
      <c r="Y2047" t="s">
        <v>8376</v>
      </c>
      <c r="Z2047">
        <v>0</v>
      </c>
      <c r="AA2047">
        <v>4</v>
      </c>
      <c r="AB2047">
        <v>9</v>
      </c>
      <c r="AC2047">
        <v>2</v>
      </c>
      <c r="AF2047">
        <v>1934</v>
      </c>
      <c r="AG2047">
        <v>1940</v>
      </c>
      <c r="AO2047" t="b">
        <v>0</v>
      </c>
      <c r="AT2047">
        <v>2290</v>
      </c>
      <c r="AU2047">
        <f t="shared" si="95"/>
        <v>6.274</v>
      </c>
    </row>
    <row r="2048" spans="1:47" x14ac:dyDescent="0.3">
      <c r="A2048">
        <v>2046</v>
      </c>
      <c r="B2048" t="s">
        <v>8421</v>
      </c>
      <c r="C2048" t="s">
        <v>8422</v>
      </c>
      <c r="D2048">
        <v>367</v>
      </c>
      <c r="E2048" t="s">
        <v>8372</v>
      </c>
      <c r="F2048" t="str">
        <f>VLOOKUP(E2048,country_continent!A:C,2,FALSE)</f>
        <v>Latvia</v>
      </c>
      <c r="G2048" t="str">
        <f>VLOOKUP(E2048,country_continent!A:C,3,FALSE)</f>
        <v>Europe</v>
      </c>
      <c r="H2048" t="s">
        <v>8423</v>
      </c>
      <c r="I2048" s="1">
        <v>32996</v>
      </c>
      <c r="J2048" s="3">
        <f t="shared" si="93"/>
        <v>32996</v>
      </c>
      <c r="K2048" s="1">
        <v>34184</v>
      </c>
      <c r="L2048" s="3">
        <f t="shared" si="94"/>
        <v>34184</v>
      </c>
      <c r="M2048" t="s">
        <v>49</v>
      </c>
      <c r="N2048" t="s">
        <v>49</v>
      </c>
      <c r="O2048" t="s">
        <v>49</v>
      </c>
      <c r="P2048">
        <v>0</v>
      </c>
      <c r="Q2048" t="s">
        <v>50</v>
      </c>
      <c r="R2048" t="s">
        <v>51</v>
      </c>
      <c r="S2048">
        <v>1951</v>
      </c>
      <c r="T2048">
        <v>-777</v>
      </c>
      <c r="U2048" s="1">
        <v>18959</v>
      </c>
      <c r="V2048" s="2">
        <v>18959</v>
      </c>
      <c r="Y2048" t="s">
        <v>8424</v>
      </c>
      <c r="Z2048">
        <v>0</v>
      </c>
      <c r="AA2048">
        <v>1</v>
      </c>
      <c r="AB2048">
        <v>0</v>
      </c>
      <c r="AC2048">
        <v>0</v>
      </c>
      <c r="AF2048">
        <v>1990</v>
      </c>
      <c r="AG2048">
        <v>1993</v>
      </c>
      <c r="AO2048" t="b">
        <v>0</v>
      </c>
      <c r="AT2048">
        <v>1188</v>
      </c>
      <c r="AU2048">
        <f t="shared" si="95"/>
        <v>3.2549999999999999</v>
      </c>
    </row>
    <row r="2049" spans="1:47" x14ac:dyDescent="0.3">
      <c r="A2049">
        <v>2047</v>
      </c>
      <c r="B2049" t="s">
        <v>8425</v>
      </c>
      <c r="C2049" t="s">
        <v>8426</v>
      </c>
      <c r="D2049">
        <v>367</v>
      </c>
      <c r="E2049" t="s">
        <v>8372</v>
      </c>
      <c r="F2049" t="str">
        <f>VLOOKUP(E2049,country_continent!A:C,2,FALSE)</f>
        <v>Latvia</v>
      </c>
      <c r="G2049" t="str">
        <f>VLOOKUP(E2049,country_continent!A:C,3,FALSE)</f>
        <v>Europe</v>
      </c>
      <c r="H2049" t="s">
        <v>8427</v>
      </c>
      <c r="I2049" s="1">
        <v>34184</v>
      </c>
      <c r="J2049" s="3">
        <f t="shared" si="93"/>
        <v>34184</v>
      </c>
      <c r="K2049" s="1">
        <v>34596</v>
      </c>
      <c r="L2049" s="3">
        <f t="shared" si="94"/>
        <v>34596</v>
      </c>
      <c r="M2049" t="s">
        <v>49</v>
      </c>
      <c r="N2049" t="s">
        <v>49</v>
      </c>
      <c r="O2049" t="s">
        <v>49</v>
      </c>
      <c r="P2049">
        <v>0</v>
      </c>
      <c r="Q2049" t="s">
        <v>50</v>
      </c>
      <c r="R2049" t="s">
        <v>51</v>
      </c>
      <c r="S2049">
        <v>1942</v>
      </c>
      <c r="T2049">
        <v>-777</v>
      </c>
      <c r="U2049" s="1">
        <v>15550</v>
      </c>
      <c r="V2049" s="2">
        <v>15550</v>
      </c>
      <c r="Z2049">
        <v>0</v>
      </c>
      <c r="AA2049">
        <v>1</v>
      </c>
      <c r="AB2049">
        <v>0</v>
      </c>
      <c r="AC2049">
        <v>0</v>
      </c>
      <c r="AF2049">
        <v>1993</v>
      </c>
      <c r="AG2049">
        <v>1994</v>
      </c>
      <c r="AO2049" t="b">
        <v>0</v>
      </c>
      <c r="AT2049">
        <v>412</v>
      </c>
      <c r="AU2049">
        <f t="shared" si="95"/>
        <v>1.129</v>
      </c>
    </row>
    <row r="2050" spans="1:47" x14ac:dyDescent="0.3">
      <c r="A2050">
        <v>2048</v>
      </c>
      <c r="B2050" t="s">
        <v>8428</v>
      </c>
      <c r="C2050" t="s">
        <v>8429</v>
      </c>
      <c r="D2050">
        <v>367</v>
      </c>
      <c r="E2050" t="s">
        <v>8372</v>
      </c>
      <c r="F2050" t="str">
        <f>VLOOKUP(E2050,country_continent!A:C,2,FALSE)</f>
        <v>Latvia</v>
      </c>
      <c r="G2050" t="str">
        <f>VLOOKUP(E2050,country_continent!A:C,3,FALSE)</f>
        <v>Europe</v>
      </c>
      <c r="H2050" t="s">
        <v>8430</v>
      </c>
      <c r="I2050" s="1">
        <v>34596</v>
      </c>
      <c r="J2050" s="3">
        <f t="shared" si="93"/>
        <v>34596</v>
      </c>
      <c r="K2050" s="1">
        <v>35054</v>
      </c>
      <c r="L2050" s="3">
        <f t="shared" si="94"/>
        <v>35054</v>
      </c>
      <c r="M2050" t="s">
        <v>49</v>
      </c>
      <c r="N2050" t="s">
        <v>49</v>
      </c>
      <c r="O2050" t="s">
        <v>49</v>
      </c>
      <c r="P2050">
        <v>0</v>
      </c>
      <c r="Q2050" t="s">
        <v>50</v>
      </c>
      <c r="R2050" t="s">
        <v>51</v>
      </c>
      <c r="S2050">
        <v>1951</v>
      </c>
      <c r="T2050">
        <v>-777</v>
      </c>
      <c r="Z2050">
        <v>0</v>
      </c>
      <c r="AA2050">
        <v>1</v>
      </c>
      <c r="AB2050">
        <v>0</v>
      </c>
      <c r="AC2050">
        <v>0</v>
      </c>
      <c r="AF2050">
        <v>1994</v>
      </c>
      <c r="AG2050">
        <v>1995</v>
      </c>
      <c r="AO2050" t="b">
        <v>0</v>
      </c>
      <c r="AT2050">
        <v>458</v>
      </c>
      <c r="AU2050">
        <f t="shared" si="95"/>
        <v>1.2549999999999999</v>
      </c>
    </row>
    <row r="2051" spans="1:47" x14ac:dyDescent="0.3">
      <c r="A2051">
        <v>2049</v>
      </c>
      <c r="B2051" t="s">
        <v>8431</v>
      </c>
      <c r="C2051" t="s">
        <v>8432</v>
      </c>
      <c r="D2051">
        <v>367</v>
      </c>
      <c r="E2051" t="s">
        <v>8372</v>
      </c>
      <c r="F2051" t="str">
        <f>VLOOKUP(E2051,country_continent!A:C,2,FALSE)</f>
        <v>Latvia</v>
      </c>
      <c r="G2051" t="str">
        <f>VLOOKUP(E2051,country_continent!A:C,3,FALSE)</f>
        <v>Europe</v>
      </c>
      <c r="H2051" t="s">
        <v>8433</v>
      </c>
      <c r="I2051" s="1">
        <v>35054</v>
      </c>
      <c r="J2051" s="3">
        <f t="shared" ref="J2051:J2114" si="96">IF(ISNUMBER(SEARCH("-", I2051)), SUBSTITUTE(I2051, "-", "/"), I2051)</f>
        <v>35054</v>
      </c>
      <c r="K2051" s="1">
        <v>35649</v>
      </c>
      <c r="L2051" s="3">
        <f t="shared" ref="L2051:L2114" si="97">IF(ISNUMBER(SEARCH("-", K2051)), SUBSTITUTE(K2051, "-", "/"), K2051)</f>
        <v>35649</v>
      </c>
      <c r="M2051" t="s">
        <v>49</v>
      </c>
      <c r="N2051" t="s">
        <v>49</v>
      </c>
      <c r="O2051" t="s">
        <v>49</v>
      </c>
      <c r="P2051">
        <v>0</v>
      </c>
      <c r="Q2051" t="s">
        <v>50</v>
      </c>
      <c r="R2051" t="s">
        <v>51</v>
      </c>
      <c r="S2051">
        <v>1958</v>
      </c>
      <c r="T2051">
        <v>-777</v>
      </c>
      <c r="Z2051">
        <v>0</v>
      </c>
      <c r="AA2051">
        <v>1</v>
      </c>
      <c r="AB2051">
        <v>0</v>
      </c>
      <c r="AC2051">
        <v>0</v>
      </c>
      <c r="AF2051">
        <v>1995</v>
      </c>
      <c r="AG2051">
        <v>1997</v>
      </c>
      <c r="AO2051" t="b">
        <v>0</v>
      </c>
      <c r="AT2051">
        <v>595</v>
      </c>
      <c r="AU2051">
        <f t="shared" si="95"/>
        <v>1.63</v>
      </c>
    </row>
    <row r="2052" spans="1:47" x14ac:dyDescent="0.3">
      <c r="A2052">
        <v>2050</v>
      </c>
      <c r="B2052" t="s">
        <v>8434</v>
      </c>
      <c r="C2052" t="s">
        <v>8435</v>
      </c>
      <c r="D2052">
        <v>367</v>
      </c>
      <c r="E2052" t="s">
        <v>8372</v>
      </c>
      <c r="F2052" t="str">
        <f>VLOOKUP(E2052,country_continent!A:C,2,FALSE)</f>
        <v>Latvia</v>
      </c>
      <c r="G2052" t="str">
        <f>VLOOKUP(E2052,country_continent!A:C,3,FALSE)</f>
        <v>Europe</v>
      </c>
      <c r="H2052" t="s">
        <v>8436</v>
      </c>
      <c r="I2052" s="1">
        <v>35649</v>
      </c>
      <c r="J2052" s="3">
        <f t="shared" si="96"/>
        <v>35649</v>
      </c>
      <c r="K2052" s="1">
        <v>36125</v>
      </c>
      <c r="L2052" s="3">
        <f t="shared" si="97"/>
        <v>36125</v>
      </c>
      <c r="M2052" t="s">
        <v>49</v>
      </c>
      <c r="N2052" t="s">
        <v>49</v>
      </c>
      <c r="O2052" t="s">
        <v>49</v>
      </c>
      <c r="P2052">
        <v>0</v>
      </c>
      <c r="Q2052" t="s">
        <v>50</v>
      </c>
      <c r="R2052" t="s">
        <v>51</v>
      </c>
      <c r="S2052">
        <v>1957</v>
      </c>
      <c r="T2052">
        <v>-777</v>
      </c>
      <c r="Z2052">
        <v>0</v>
      </c>
      <c r="AA2052">
        <v>1</v>
      </c>
      <c r="AB2052">
        <v>0</v>
      </c>
      <c r="AC2052">
        <v>0</v>
      </c>
      <c r="AF2052">
        <v>1997</v>
      </c>
      <c r="AG2052">
        <v>1998</v>
      </c>
      <c r="AO2052" t="b">
        <v>0</v>
      </c>
      <c r="AT2052">
        <v>476</v>
      </c>
      <c r="AU2052">
        <f t="shared" ref="AU2052:AU2115" si="98">ROUND(AT2052/365,3)</f>
        <v>1.304</v>
      </c>
    </row>
    <row r="2053" spans="1:47" x14ac:dyDescent="0.3">
      <c r="A2053">
        <v>2051</v>
      </c>
      <c r="B2053" t="s">
        <v>8437</v>
      </c>
      <c r="C2053" t="s">
        <v>8438</v>
      </c>
      <c r="D2053">
        <v>367</v>
      </c>
      <c r="E2053" t="s">
        <v>8372</v>
      </c>
      <c r="F2053" t="str">
        <f>VLOOKUP(E2053,country_continent!A:C,2,FALSE)</f>
        <v>Latvia</v>
      </c>
      <c r="G2053" t="str">
        <f>VLOOKUP(E2053,country_continent!A:C,3,FALSE)</f>
        <v>Europe</v>
      </c>
      <c r="H2053" t="s">
        <v>8439</v>
      </c>
      <c r="I2053" s="1">
        <v>36125</v>
      </c>
      <c r="J2053" s="3">
        <f t="shared" si="96"/>
        <v>36125</v>
      </c>
      <c r="K2053" s="1">
        <v>36357</v>
      </c>
      <c r="L2053" s="3">
        <f t="shared" si="97"/>
        <v>36357</v>
      </c>
      <c r="M2053" t="s">
        <v>49</v>
      </c>
      <c r="N2053" t="s">
        <v>49</v>
      </c>
      <c r="O2053" t="s">
        <v>49</v>
      </c>
      <c r="P2053">
        <v>0</v>
      </c>
      <c r="Q2053" t="s">
        <v>50</v>
      </c>
      <c r="R2053" t="s">
        <v>51</v>
      </c>
      <c r="S2053">
        <v>1954</v>
      </c>
      <c r="T2053">
        <v>-777</v>
      </c>
      <c r="Z2053">
        <v>0</v>
      </c>
      <c r="AA2053">
        <v>1</v>
      </c>
      <c r="AB2053">
        <v>0</v>
      </c>
      <c r="AC2053">
        <v>0</v>
      </c>
      <c r="AF2053">
        <v>1998</v>
      </c>
      <c r="AG2053">
        <v>1999</v>
      </c>
      <c r="AO2053" t="b">
        <v>0</v>
      </c>
      <c r="AT2053">
        <v>232</v>
      </c>
      <c r="AU2053">
        <f t="shared" si="98"/>
        <v>0.63600000000000001</v>
      </c>
    </row>
    <row r="2054" spans="1:47" x14ac:dyDescent="0.3">
      <c r="A2054">
        <v>2052</v>
      </c>
      <c r="B2054" t="s">
        <v>8440</v>
      </c>
      <c r="C2054" t="s">
        <v>8432</v>
      </c>
      <c r="D2054">
        <v>367</v>
      </c>
      <c r="E2054" t="s">
        <v>8372</v>
      </c>
      <c r="F2054" t="str">
        <f>VLOOKUP(E2054,country_continent!A:C,2,FALSE)</f>
        <v>Latvia</v>
      </c>
      <c r="G2054" t="str">
        <f>VLOOKUP(E2054,country_continent!A:C,3,FALSE)</f>
        <v>Europe</v>
      </c>
      <c r="H2054" t="s">
        <v>8433</v>
      </c>
      <c r="I2054" s="1">
        <v>36357</v>
      </c>
      <c r="J2054" s="3">
        <f t="shared" si="96"/>
        <v>36357</v>
      </c>
      <c r="K2054" s="1">
        <v>36651</v>
      </c>
      <c r="L2054" s="3">
        <f t="shared" si="97"/>
        <v>36651</v>
      </c>
      <c r="M2054" t="s">
        <v>49</v>
      </c>
      <c r="N2054" t="s">
        <v>49</v>
      </c>
      <c r="O2054" t="s">
        <v>49</v>
      </c>
      <c r="P2054">
        <v>1</v>
      </c>
      <c r="Q2054" t="s">
        <v>50</v>
      </c>
      <c r="R2054" t="s">
        <v>51</v>
      </c>
      <c r="S2054">
        <v>1958</v>
      </c>
      <c r="T2054">
        <v>-777</v>
      </c>
      <c r="Z2054">
        <v>0</v>
      </c>
      <c r="AA2054">
        <v>1</v>
      </c>
      <c r="AB2054">
        <v>0</v>
      </c>
      <c r="AC2054">
        <v>0</v>
      </c>
      <c r="AF2054">
        <v>1999</v>
      </c>
      <c r="AG2054">
        <v>2000</v>
      </c>
      <c r="AO2054" t="b">
        <v>0</v>
      </c>
      <c r="AT2054">
        <v>294</v>
      </c>
      <c r="AU2054">
        <f t="shared" si="98"/>
        <v>0.80500000000000005</v>
      </c>
    </row>
    <row r="2055" spans="1:47" x14ac:dyDescent="0.3">
      <c r="A2055">
        <v>2053</v>
      </c>
      <c r="B2055" t="s">
        <v>8441</v>
      </c>
      <c r="C2055" t="s">
        <v>8442</v>
      </c>
      <c r="D2055">
        <v>367</v>
      </c>
      <c r="E2055" t="s">
        <v>8372</v>
      </c>
      <c r="F2055" t="str">
        <f>VLOOKUP(E2055,country_continent!A:C,2,FALSE)</f>
        <v>Latvia</v>
      </c>
      <c r="G2055" t="str">
        <f>VLOOKUP(E2055,country_continent!A:C,3,FALSE)</f>
        <v>Europe</v>
      </c>
      <c r="H2055" t="s">
        <v>8443</v>
      </c>
      <c r="I2055" s="1">
        <v>36651</v>
      </c>
      <c r="J2055" s="3">
        <f t="shared" si="96"/>
        <v>36651</v>
      </c>
      <c r="K2055" s="1">
        <v>37567</v>
      </c>
      <c r="L2055" s="3">
        <f t="shared" si="97"/>
        <v>37567</v>
      </c>
      <c r="M2055" t="s">
        <v>49</v>
      </c>
      <c r="N2055" t="s">
        <v>49</v>
      </c>
      <c r="O2055" t="s">
        <v>49</v>
      </c>
      <c r="P2055">
        <v>0</v>
      </c>
      <c r="Q2055" t="s">
        <v>50</v>
      </c>
      <c r="R2055" t="s">
        <v>51</v>
      </c>
      <c r="S2055">
        <v>1951</v>
      </c>
      <c r="T2055">
        <v>-777</v>
      </c>
      <c r="U2055" s="1">
        <v>18844</v>
      </c>
      <c r="V2055" s="2">
        <v>18844</v>
      </c>
      <c r="Y2055" t="s">
        <v>8444</v>
      </c>
      <c r="Z2055">
        <v>0</v>
      </c>
      <c r="AA2055">
        <v>1</v>
      </c>
      <c r="AB2055">
        <v>0</v>
      </c>
      <c r="AC2055">
        <v>0</v>
      </c>
      <c r="AF2055">
        <v>2000</v>
      </c>
      <c r="AG2055">
        <v>2002</v>
      </c>
      <c r="AO2055" t="b">
        <v>0</v>
      </c>
      <c r="AT2055">
        <v>916</v>
      </c>
      <c r="AU2055">
        <f t="shared" si="98"/>
        <v>2.5099999999999998</v>
      </c>
    </row>
    <row r="2056" spans="1:47" x14ac:dyDescent="0.3">
      <c r="A2056">
        <v>2054</v>
      </c>
      <c r="B2056" t="s">
        <v>8445</v>
      </c>
      <c r="C2056" t="s">
        <v>8446</v>
      </c>
      <c r="D2056">
        <v>367</v>
      </c>
      <c r="E2056" t="s">
        <v>8372</v>
      </c>
      <c r="F2056" t="str">
        <f>VLOOKUP(E2056,country_continent!A:C,2,FALSE)</f>
        <v>Latvia</v>
      </c>
      <c r="G2056" t="str">
        <f>VLOOKUP(E2056,country_continent!A:C,3,FALSE)</f>
        <v>Europe</v>
      </c>
      <c r="H2056" t="s">
        <v>8447</v>
      </c>
      <c r="I2056" s="1">
        <v>37567</v>
      </c>
      <c r="J2056" s="3">
        <f t="shared" si="96"/>
        <v>37567</v>
      </c>
      <c r="K2056" s="1">
        <v>38055</v>
      </c>
      <c r="L2056" s="3">
        <f t="shared" si="97"/>
        <v>38055</v>
      </c>
      <c r="M2056" t="s">
        <v>49</v>
      </c>
      <c r="N2056" t="s">
        <v>49</v>
      </c>
      <c r="O2056" t="s">
        <v>49</v>
      </c>
      <c r="P2056">
        <v>0</v>
      </c>
      <c r="Q2056" t="s">
        <v>50</v>
      </c>
      <c r="R2056" t="s">
        <v>51</v>
      </c>
      <c r="S2056">
        <v>1961</v>
      </c>
      <c r="T2056">
        <v>-777</v>
      </c>
      <c r="Z2056">
        <v>0</v>
      </c>
      <c r="AA2056">
        <v>1</v>
      </c>
      <c r="AB2056">
        <v>0</v>
      </c>
      <c r="AC2056">
        <v>0</v>
      </c>
      <c r="AF2056">
        <v>2002</v>
      </c>
      <c r="AG2056">
        <v>2004</v>
      </c>
      <c r="AO2056" t="b">
        <v>0</v>
      </c>
      <c r="AT2056">
        <v>488</v>
      </c>
      <c r="AU2056">
        <f t="shared" si="98"/>
        <v>1.337</v>
      </c>
    </row>
    <row r="2057" spans="1:47" x14ac:dyDescent="0.3">
      <c r="A2057">
        <v>2055</v>
      </c>
      <c r="B2057" t="s">
        <v>8448</v>
      </c>
      <c r="C2057" t="s">
        <v>8449</v>
      </c>
      <c r="D2057">
        <v>367</v>
      </c>
      <c r="E2057" t="s">
        <v>8372</v>
      </c>
      <c r="F2057" t="str">
        <f>VLOOKUP(E2057,country_continent!A:C,2,FALSE)</f>
        <v>Latvia</v>
      </c>
      <c r="G2057" t="str">
        <f>VLOOKUP(E2057,country_continent!A:C,3,FALSE)</f>
        <v>Europe</v>
      </c>
      <c r="H2057" t="s">
        <v>8450</v>
      </c>
      <c r="I2057" s="1">
        <v>38055</v>
      </c>
      <c r="J2057" s="3">
        <f t="shared" si="96"/>
        <v>38055</v>
      </c>
      <c r="K2057" s="1">
        <v>38323</v>
      </c>
      <c r="L2057" s="3">
        <f t="shared" si="97"/>
        <v>38323</v>
      </c>
      <c r="M2057" t="s">
        <v>49</v>
      </c>
      <c r="N2057" t="s">
        <v>49</v>
      </c>
      <c r="O2057" t="s">
        <v>49</v>
      </c>
      <c r="P2057">
        <v>0</v>
      </c>
      <c r="Q2057" t="s">
        <v>50</v>
      </c>
      <c r="R2057" t="s">
        <v>51</v>
      </c>
      <c r="S2057">
        <v>1952</v>
      </c>
      <c r="T2057">
        <v>-777</v>
      </c>
      <c r="Z2057">
        <v>0</v>
      </c>
      <c r="AA2057">
        <v>1</v>
      </c>
      <c r="AB2057">
        <v>0</v>
      </c>
      <c r="AC2057">
        <v>0</v>
      </c>
      <c r="AF2057">
        <v>2004</v>
      </c>
      <c r="AG2057">
        <v>2004</v>
      </c>
      <c r="AO2057" t="b">
        <v>0</v>
      </c>
      <c r="AT2057">
        <v>268</v>
      </c>
      <c r="AU2057">
        <f t="shared" si="98"/>
        <v>0.73399999999999999</v>
      </c>
    </row>
    <row r="2058" spans="1:47" x14ac:dyDescent="0.3">
      <c r="A2058">
        <v>2056</v>
      </c>
      <c r="B2058" t="s">
        <v>8451</v>
      </c>
      <c r="C2058" t="s">
        <v>8452</v>
      </c>
      <c r="D2058">
        <v>367</v>
      </c>
      <c r="E2058" t="s">
        <v>8372</v>
      </c>
      <c r="F2058" t="str">
        <f>VLOOKUP(E2058,country_continent!A:C,2,FALSE)</f>
        <v>Latvia</v>
      </c>
      <c r="G2058" t="str">
        <f>VLOOKUP(E2058,country_continent!A:C,3,FALSE)</f>
        <v>Europe</v>
      </c>
      <c r="H2058" t="s">
        <v>8453</v>
      </c>
      <c r="I2058" s="1">
        <v>38323</v>
      </c>
      <c r="J2058" s="3">
        <f t="shared" si="96"/>
        <v>38323</v>
      </c>
      <c r="K2058" s="1">
        <v>39436</v>
      </c>
      <c r="L2058" s="3">
        <f t="shared" si="97"/>
        <v>39436</v>
      </c>
      <c r="M2058" t="s">
        <v>49</v>
      </c>
      <c r="N2058" t="s">
        <v>49</v>
      </c>
      <c r="O2058" t="s">
        <v>49</v>
      </c>
      <c r="P2058">
        <v>0</v>
      </c>
      <c r="Q2058" t="s">
        <v>50</v>
      </c>
      <c r="R2058" t="s">
        <v>51</v>
      </c>
      <c r="S2058">
        <v>1966</v>
      </c>
      <c r="T2058">
        <v>-777</v>
      </c>
      <c r="Z2058">
        <v>0</v>
      </c>
      <c r="AA2058">
        <v>1</v>
      </c>
      <c r="AB2058">
        <v>0</v>
      </c>
      <c r="AC2058">
        <v>0</v>
      </c>
      <c r="AF2058">
        <v>2004</v>
      </c>
      <c r="AG2058">
        <v>2007</v>
      </c>
      <c r="AO2058" t="b">
        <v>0</v>
      </c>
      <c r="AT2058">
        <v>1113</v>
      </c>
      <c r="AU2058">
        <f t="shared" si="98"/>
        <v>3.0489999999999999</v>
      </c>
    </row>
    <row r="2059" spans="1:47" x14ac:dyDescent="0.3">
      <c r="A2059">
        <v>2057</v>
      </c>
      <c r="B2059" t="s">
        <v>8454</v>
      </c>
      <c r="C2059" t="s">
        <v>8422</v>
      </c>
      <c r="D2059">
        <v>367</v>
      </c>
      <c r="E2059" t="s">
        <v>8372</v>
      </c>
      <c r="F2059" t="str">
        <f>VLOOKUP(E2059,country_continent!A:C,2,FALSE)</f>
        <v>Latvia</v>
      </c>
      <c r="G2059" t="str">
        <f>VLOOKUP(E2059,country_continent!A:C,3,FALSE)</f>
        <v>Europe</v>
      </c>
      <c r="H2059" t="s">
        <v>8423</v>
      </c>
      <c r="I2059" s="1">
        <v>39436</v>
      </c>
      <c r="J2059" s="3">
        <f t="shared" si="96"/>
        <v>39436</v>
      </c>
      <c r="K2059" s="1">
        <v>39884</v>
      </c>
      <c r="L2059" s="3">
        <f t="shared" si="97"/>
        <v>39884</v>
      </c>
      <c r="M2059" t="s">
        <v>49</v>
      </c>
      <c r="N2059" t="s">
        <v>49</v>
      </c>
      <c r="O2059" t="s">
        <v>49</v>
      </c>
      <c r="P2059">
        <v>1</v>
      </c>
      <c r="Q2059" t="s">
        <v>50</v>
      </c>
      <c r="R2059" t="s">
        <v>51</v>
      </c>
      <c r="S2059">
        <v>1951</v>
      </c>
      <c r="T2059">
        <v>-777</v>
      </c>
      <c r="U2059" s="1">
        <v>18959</v>
      </c>
      <c r="V2059" s="2">
        <v>18959</v>
      </c>
      <c r="Z2059">
        <v>0</v>
      </c>
      <c r="AA2059">
        <v>1</v>
      </c>
      <c r="AB2059">
        <v>0</v>
      </c>
      <c r="AC2059">
        <v>0</v>
      </c>
      <c r="AF2059">
        <v>2007</v>
      </c>
      <c r="AG2059">
        <v>2009</v>
      </c>
      <c r="AO2059" t="b">
        <v>0</v>
      </c>
      <c r="AT2059">
        <v>448</v>
      </c>
      <c r="AU2059">
        <f t="shared" si="98"/>
        <v>1.2270000000000001</v>
      </c>
    </row>
    <row r="2060" spans="1:47" x14ac:dyDescent="0.3">
      <c r="A2060">
        <v>2058</v>
      </c>
      <c r="B2060" t="s">
        <v>8455</v>
      </c>
      <c r="C2060" t="s">
        <v>8456</v>
      </c>
      <c r="D2060">
        <v>367</v>
      </c>
      <c r="E2060" t="s">
        <v>8372</v>
      </c>
      <c r="F2060" t="str">
        <f>VLOOKUP(E2060,country_continent!A:C,2,FALSE)</f>
        <v>Latvia</v>
      </c>
      <c r="G2060" t="str">
        <f>VLOOKUP(E2060,country_continent!A:C,3,FALSE)</f>
        <v>Europe</v>
      </c>
      <c r="H2060" t="s">
        <v>8457</v>
      </c>
      <c r="I2060" s="1">
        <v>39884</v>
      </c>
      <c r="J2060" s="3">
        <f t="shared" si="96"/>
        <v>39884</v>
      </c>
      <c r="K2060" s="1">
        <v>41661</v>
      </c>
      <c r="L2060" s="3">
        <f t="shared" si="97"/>
        <v>41661</v>
      </c>
      <c r="M2060" t="s">
        <v>49</v>
      </c>
      <c r="N2060" t="s">
        <v>49</v>
      </c>
      <c r="O2060" t="s">
        <v>49</v>
      </c>
      <c r="P2060">
        <v>0</v>
      </c>
      <c r="Q2060" t="s">
        <v>50</v>
      </c>
      <c r="R2060" t="s">
        <v>51</v>
      </c>
      <c r="S2060">
        <v>1971</v>
      </c>
      <c r="T2060">
        <v>-777</v>
      </c>
      <c r="Z2060">
        <v>0</v>
      </c>
      <c r="AA2060">
        <v>1</v>
      </c>
      <c r="AB2060">
        <v>0</v>
      </c>
      <c r="AC2060">
        <v>0</v>
      </c>
      <c r="AF2060">
        <v>2009</v>
      </c>
      <c r="AG2060">
        <v>2014</v>
      </c>
      <c r="AO2060" t="b">
        <v>0</v>
      </c>
      <c r="AT2060">
        <v>1777</v>
      </c>
      <c r="AU2060">
        <f t="shared" si="98"/>
        <v>4.8680000000000003</v>
      </c>
    </row>
    <row r="2061" spans="1:47" x14ac:dyDescent="0.3">
      <c r="A2061">
        <v>2059</v>
      </c>
      <c r="B2061" t="s">
        <v>8458</v>
      </c>
      <c r="C2061" t="s">
        <v>8459</v>
      </c>
      <c r="D2061">
        <v>367</v>
      </c>
      <c r="E2061" t="s">
        <v>8372</v>
      </c>
      <c r="F2061" t="str">
        <f>VLOOKUP(E2061,country_continent!A:C,2,FALSE)</f>
        <v>Latvia</v>
      </c>
      <c r="G2061" t="str">
        <f>VLOOKUP(E2061,country_continent!A:C,3,FALSE)</f>
        <v>Europe</v>
      </c>
      <c r="H2061" t="s">
        <v>8460</v>
      </c>
      <c r="I2061" s="1">
        <v>41661</v>
      </c>
      <c r="J2061" s="3">
        <f t="shared" si="96"/>
        <v>41661</v>
      </c>
      <c r="K2061" s="1">
        <v>42004</v>
      </c>
      <c r="L2061" s="3">
        <f t="shared" si="97"/>
        <v>42004</v>
      </c>
      <c r="M2061" t="s">
        <v>49</v>
      </c>
      <c r="N2061" t="s">
        <v>173</v>
      </c>
      <c r="O2061" t="s">
        <v>173</v>
      </c>
      <c r="P2061">
        <v>0</v>
      </c>
      <c r="Q2061" t="s">
        <v>174</v>
      </c>
      <c r="R2061" t="s">
        <v>299</v>
      </c>
      <c r="S2061">
        <v>1951</v>
      </c>
      <c r="T2061">
        <v>-777</v>
      </c>
      <c r="U2061" s="1">
        <v>18683</v>
      </c>
      <c r="V2061" s="2">
        <v>18683</v>
      </c>
      <c r="Z2061">
        <v>0</v>
      </c>
      <c r="AA2061">
        <v>-888</v>
      </c>
      <c r="AB2061">
        <v>-888</v>
      </c>
      <c r="AC2061">
        <v>-888</v>
      </c>
      <c r="AF2061">
        <v>2014</v>
      </c>
      <c r="AG2061">
        <v>2014</v>
      </c>
      <c r="AO2061" t="b">
        <v>0</v>
      </c>
      <c r="AT2061">
        <v>343</v>
      </c>
      <c r="AU2061">
        <f t="shared" si="98"/>
        <v>0.94</v>
      </c>
    </row>
    <row r="2062" spans="1:47" x14ac:dyDescent="0.3">
      <c r="A2062">
        <v>2060</v>
      </c>
      <c r="B2062" t="s">
        <v>8461</v>
      </c>
      <c r="C2062" t="s">
        <v>8462</v>
      </c>
      <c r="D2062">
        <v>368</v>
      </c>
      <c r="E2062" t="s">
        <v>8463</v>
      </c>
      <c r="F2062" t="str">
        <f>VLOOKUP(E2062,country_continent!A:C,2,FALSE)</f>
        <v>Lithuania</v>
      </c>
      <c r="G2062" t="str">
        <f>VLOOKUP(E2062,country_continent!A:C,3,FALSE)</f>
        <v>Europe</v>
      </c>
      <c r="H2062" t="s">
        <v>8464</v>
      </c>
      <c r="I2062" s="1">
        <v>6471</v>
      </c>
      <c r="J2062" s="3">
        <f t="shared" si="96"/>
        <v>6471</v>
      </c>
      <c r="K2062" s="1">
        <v>6765</v>
      </c>
      <c r="L2062" s="3">
        <f t="shared" si="97"/>
        <v>6765</v>
      </c>
      <c r="M2062" t="s">
        <v>347</v>
      </c>
      <c r="N2062" t="s">
        <v>347</v>
      </c>
      <c r="O2062" t="s">
        <v>347</v>
      </c>
      <c r="P2062">
        <v>0</v>
      </c>
      <c r="Q2062" t="s">
        <v>1453</v>
      </c>
      <c r="R2062" t="s">
        <v>51</v>
      </c>
      <c r="S2062">
        <v>1874</v>
      </c>
      <c r="T2062">
        <v>1944</v>
      </c>
      <c r="U2062" t="s">
        <v>8465</v>
      </c>
      <c r="V2062" t="s">
        <v>8466</v>
      </c>
      <c r="W2062" s="1">
        <v>16080</v>
      </c>
      <c r="X2062" s="2">
        <v>16080</v>
      </c>
      <c r="Y2062" t="s">
        <v>8467</v>
      </c>
      <c r="Z2062">
        <v>-666</v>
      </c>
      <c r="AA2062">
        <v>-666</v>
      </c>
      <c r="AB2062">
        <v>-999</v>
      </c>
      <c r="AC2062">
        <v>-666</v>
      </c>
      <c r="AF2062">
        <v>1917</v>
      </c>
      <c r="AG2062">
        <v>1918</v>
      </c>
      <c r="AO2062" t="b">
        <v>0</v>
      </c>
      <c r="AT2062">
        <v>294</v>
      </c>
      <c r="AU2062">
        <f t="shared" si="98"/>
        <v>0.80500000000000005</v>
      </c>
    </row>
    <row r="2063" spans="1:47" x14ac:dyDescent="0.3">
      <c r="A2063">
        <v>2061</v>
      </c>
      <c r="B2063" t="s">
        <v>8468</v>
      </c>
      <c r="C2063" t="s">
        <v>8469</v>
      </c>
      <c r="D2063">
        <v>368</v>
      </c>
      <c r="E2063" t="s">
        <v>8463</v>
      </c>
      <c r="F2063" t="str">
        <f>VLOOKUP(E2063,country_continent!A:C,2,FALSE)</f>
        <v>Lithuania</v>
      </c>
      <c r="G2063" t="str">
        <f>VLOOKUP(E2063,country_continent!A:C,3,FALSE)</f>
        <v>Europe</v>
      </c>
      <c r="H2063" t="s">
        <v>8470</v>
      </c>
      <c r="I2063" s="1">
        <v>6765</v>
      </c>
      <c r="J2063" s="3">
        <f t="shared" si="96"/>
        <v>6765</v>
      </c>
      <c r="K2063" s="1">
        <v>6881</v>
      </c>
      <c r="L2063" s="3">
        <f t="shared" si="97"/>
        <v>6881</v>
      </c>
      <c r="M2063" t="s">
        <v>49</v>
      </c>
      <c r="N2063" t="s">
        <v>67</v>
      </c>
      <c r="O2063" t="s">
        <v>347</v>
      </c>
      <c r="P2063">
        <v>0</v>
      </c>
      <c r="Q2063" t="s">
        <v>1453</v>
      </c>
      <c r="R2063" t="s">
        <v>51</v>
      </c>
      <c r="S2063">
        <v>1864</v>
      </c>
      <c r="T2063">
        <v>1928</v>
      </c>
      <c r="U2063" t="s">
        <v>8471</v>
      </c>
      <c r="V2063" t="s">
        <v>8472</v>
      </c>
      <c r="W2063" s="1">
        <v>10311</v>
      </c>
      <c r="X2063" s="2">
        <v>10311</v>
      </c>
      <c r="Y2063" t="s">
        <v>8473</v>
      </c>
      <c r="Z2063">
        <v>0</v>
      </c>
      <c r="AA2063">
        <v>3</v>
      </c>
      <c r="AB2063">
        <v>-999</v>
      </c>
      <c r="AC2063">
        <v>-666</v>
      </c>
      <c r="AF2063">
        <v>1918</v>
      </c>
      <c r="AG2063">
        <v>1918</v>
      </c>
      <c r="AO2063" t="b">
        <v>0</v>
      </c>
      <c r="AT2063">
        <v>116</v>
      </c>
      <c r="AU2063">
        <f t="shared" si="98"/>
        <v>0.318</v>
      </c>
    </row>
    <row r="2064" spans="1:47" x14ac:dyDescent="0.3">
      <c r="A2064">
        <v>2062</v>
      </c>
      <c r="B2064" t="s">
        <v>8474</v>
      </c>
      <c r="C2064" t="s">
        <v>8462</v>
      </c>
      <c r="D2064">
        <v>368</v>
      </c>
      <c r="E2064" t="s">
        <v>8463</v>
      </c>
      <c r="F2064" t="str">
        <f>VLOOKUP(E2064,country_continent!A:C,2,FALSE)</f>
        <v>Lithuania</v>
      </c>
      <c r="G2064" t="str">
        <f>VLOOKUP(E2064,country_continent!A:C,3,FALSE)</f>
        <v>Europe</v>
      </c>
      <c r="H2064" t="s">
        <v>8464</v>
      </c>
      <c r="I2064" s="1">
        <v>6881</v>
      </c>
      <c r="J2064" s="3">
        <f t="shared" si="96"/>
        <v>6881</v>
      </c>
      <c r="K2064" s="1">
        <v>7441</v>
      </c>
      <c r="L2064" s="3">
        <f t="shared" si="97"/>
        <v>7441</v>
      </c>
      <c r="M2064" t="s">
        <v>49</v>
      </c>
      <c r="N2064" t="s">
        <v>49</v>
      </c>
      <c r="O2064" t="s">
        <v>49</v>
      </c>
      <c r="P2064">
        <v>1</v>
      </c>
      <c r="Q2064" t="s">
        <v>50</v>
      </c>
      <c r="R2064" t="s">
        <v>51</v>
      </c>
      <c r="S2064">
        <v>1874</v>
      </c>
      <c r="T2064">
        <v>1944</v>
      </c>
      <c r="U2064" t="s">
        <v>8465</v>
      </c>
      <c r="V2064" t="s">
        <v>8466</v>
      </c>
      <c r="W2064" s="1">
        <v>16080</v>
      </c>
      <c r="X2064" s="2">
        <v>16080</v>
      </c>
      <c r="Y2064" t="s">
        <v>8467</v>
      </c>
      <c r="Z2064">
        <v>0</v>
      </c>
      <c r="AA2064">
        <v>1</v>
      </c>
      <c r="AB2064">
        <v>0</v>
      </c>
      <c r="AC2064">
        <v>0</v>
      </c>
      <c r="AF2064">
        <v>1918</v>
      </c>
      <c r="AG2064">
        <v>1920</v>
      </c>
      <c r="AO2064" t="b">
        <v>0</v>
      </c>
      <c r="AT2064">
        <v>560</v>
      </c>
      <c r="AU2064">
        <f t="shared" si="98"/>
        <v>1.534</v>
      </c>
    </row>
    <row r="2065" spans="1:47" x14ac:dyDescent="0.3">
      <c r="A2065">
        <v>2063</v>
      </c>
      <c r="B2065" t="s">
        <v>8475</v>
      </c>
      <c r="C2065" t="s">
        <v>8476</v>
      </c>
      <c r="D2065">
        <v>368</v>
      </c>
      <c r="E2065" t="s">
        <v>8463</v>
      </c>
      <c r="F2065" t="str">
        <f>VLOOKUP(E2065,country_continent!A:C,2,FALSE)</f>
        <v>Lithuania</v>
      </c>
      <c r="G2065" t="str">
        <f>VLOOKUP(E2065,country_continent!A:C,3,FALSE)</f>
        <v>Europe</v>
      </c>
      <c r="H2065" t="s">
        <v>8477</v>
      </c>
      <c r="I2065" s="1">
        <v>7441</v>
      </c>
      <c r="J2065" s="3">
        <f t="shared" si="96"/>
        <v>7441</v>
      </c>
      <c r="K2065" s="1">
        <v>9654</v>
      </c>
      <c r="L2065" s="3">
        <f t="shared" si="97"/>
        <v>9654</v>
      </c>
      <c r="M2065" t="s">
        <v>49</v>
      </c>
      <c r="N2065" t="s">
        <v>49</v>
      </c>
      <c r="O2065" t="s">
        <v>49</v>
      </c>
      <c r="P2065">
        <v>0</v>
      </c>
      <c r="Q2065" t="s">
        <v>50</v>
      </c>
      <c r="R2065" t="s">
        <v>51</v>
      </c>
      <c r="S2065">
        <v>1885</v>
      </c>
      <c r="T2065">
        <v>1969</v>
      </c>
      <c r="U2065" t="s">
        <v>8478</v>
      </c>
      <c r="V2065" t="s">
        <v>8479</v>
      </c>
      <c r="Y2065" t="s">
        <v>8480</v>
      </c>
      <c r="Z2065">
        <v>0</v>
      </c>
      <c r="AA2065">
        <v>1</v>
      </c>
      <c r="AB2065">
        <v>0</v>
      </c>
      <c r="AC2065">
        <v>0</v>
      </c>
      <c r="AF2065">
        <v>1920</v>
      </c>
      <c r="AG2065">
        <v>1926</v>
      </c>
      <c r="AO2065" t="b">
        <v>0</v>
      </c>
      <c r="AT2065">
        <v>2213</v>
      </c>
      <c r="AU2065">
        <f t="shared" si="98"/>
        <v>6.0629999999999997</v>
      </c>
    </row>
    <row r="2066" spans="1:47" x14ac:dyDescent="0.3">
      <c r="A2066">
        <v>2064</v>
      </c>
      <c r="B2066" t="s">
        <v>8481</v>
      </c>
      <c r="C2066" t="s">
        <v>8482</v>
      </c>
      <c r="D2066">
        <v>368</v>
      </c>
      <c r="E2066" t="s">
        <v>8463</v>
      </c>
      <c r="F2066" t="str">
        <f>VLOOKUP(E2066,country_continent!A:C,2,FALSE)</f>
        <v>Lithuania</v>
      </c>
      <c r="G2066" t="str">
        <f>VLOOKUP(E2066,country_continent!A:C,3,FALSE)</f>
        <v>Europe</v>
      </c>
      <c r="H2066" t="s">
        <v>8483</v>
      </c>
      <c r="I2066" s="1">
        <v>9654</v>
      </c>
      <c r="J2066" s="3">
        <f t="shared" si="96"/>
        <v>9654</v>
      </c>
      <c r="K2066" s="1">
        <v>9850</v>
      </c>
      <c r="L2066" s="3">
        <f t="shared" si="97"/>
        <v>9850</v>
      </c>
      <c r="M2066" t="s">
        <v>49</v>
      </c>
      <c r="N2066" t="s">
        <v>67</v>
      </c>
      <c r="O2066" t="s">
        <v>376</v>
      </c>
      <c r="P2066">
        <v>0</v>
      </c>
      <c r="Q2066" t="s">
        <v>50</v>
      </c>
      <c r="R2066" t="s">
        <v>51</v>
      </c>
      <c r="S2066">
        <v>1866</v>
      </c>
      <c r="T2066">
        <v>1950</v>
      </c>
      <c r="U2066" t="s">
        <v>8484</v>
      </c>
      <c r="V2066" t="s">
        <v>8485</v>
      </c>
      <c r="W2066" s="1">
        <v>18418</v>
      </c>
      <c r="X2066" s="2">
        <v>18418</v>
      </c>
      <c r="Y2066" t="s">
        <v>8486</v>
      </c>
      <c r="Z2066">
        <v>0</v>
      </c>
      <c r="AA2066">
        <v>3</v>
      </c>
      <c r="AB2066">
        <v>6</v>
      </c>
      <c r="AC2066">
        <v>0</v>
      </c>
      <c r="AF2066">
        <v>1926</v>
      </c>
      <c r="AG2066">
        <v>1926</v>
      </c>
      <c r="AO2066" t="b">
        <v>0</v>
      </c>
      <c r="AT2066">
        <v>196</v>
      </c>
      <c r="AU2066">
        <f t="shared" si="98"/>
        <v>0.53700000000000003</v>
      </c>
    </row>
    <row r="2067" spans="1:47" x14ac:dyDescent="0.3">
      <c r="A2067">
        <v>2065</v>
      </c>
      <c r="B2067" t="s">
        <v>8487</v>
      </c>
      <c r="C2067" t="s">
        <v>8462</v>
      </c>
      <c r="D2067">
        <v>368</v>
      </c>
      <c r="E2067" t="s">
        <v>8463</v>
      </c>
      <c r="F2067" t="str">
        <f>VLOOKUP(E2067,country_continent!A:C,2,FALSE)</f>
        <v>Lithuania</v>
      </c>
      <c r="G2067" t="str">
        <f>VLOOKUP(E2067,country_continent!A:C,3,FALSE)</f>
        <v>Europe</v>
      </c>
      <c r="H2067" t="s">
        <v>8464</v>
      </c>
      <c r="I2067" s="1">
        <v>9850</v>
      </c>
      <c r="J2067" s="3">
        <f t="shared" si="96"/>
        <v>9850</v>
      </c>
      <c r="K2067" s="1">
        <v>14778</v>
      </c>
      <c r="L2067" s="3">
        <f t="shared" si="97"/>
        <v>14778</v>
      </c>
      <c r="M2067" t="s">
        <v>67</v>
      </c>
      <c r="N2067" t="s">
        <v>633</v>
      </c>
      <c r="O2067" t="s">
        <v>634</v>
      </c>
      <c r="P2067">
        <v>2</v>
      </c>
      <c r="Q2067" t="s">
        <v>362</v>
      </c>
      <c r="R2067" t="s">
        <v>51</v>
      </c>
      <c r="S2067">
        <v>1874</v>
      </c>
      <c r="T2067">
        <v>1944</v>
      </c>
      <c r="U2067" t="s">
        <v>8465</v>
      </c>
      <c r="V2067" t="s">
        <v>8466</v>
      </c>
      <c r="W2067" s="1">
        <v>16080</v>
      </c>
      <c r="X2067" s="2">
        <v>16080</v>
      </c>
      <c r="Y2067" t="s">
        <v>8467</v>
      </c>
      <c r="Z2067">
        <v>1</v>
      </c>
      <c r="AA2067">
        <v>4</v>
      </c>
      <c r="AB2067">
        <v>9</v>
      </c>
      <c r="AC2067">
        <v>1</v>
      </c>
      <c r="AF2067">
        <v>1926</v>
      </c>
      <c r="AG2067">
        <v>1940</v>
      </c>
      <c r="AO2067" t="b">
        <v>0</v>
      </c>
      <c r="AT2067">
        <v>4928</v>
      </c>
      <c r="AU2067">
        <f t="shared" si="98"/>
        <v>13.500999999999999</v>
      </c>
    </row>
    <row r="2068" spans="1:47" x14ac:dyDescent="0.3">
      <c r="A2068">
        <v>2066</v>
      </c>
      <c r="B2068" t="s">
        <v>8488</v>
      </c>
      <c r="C2068" t="s">
        <v>8489</v>
      </c>
      <c r="D2068">
        <v>368</v>
      </c>
      <c r="E2068" t="s">
        <v>8463</v>
      </c>
      <c r="F2068" t="str">
        <f>VLOOKUP(E2068,country_continent!A:C,2,FALSE)</f>
        <v>Lithuania</v>
      </c>
      <c r="G2068" t="str">
        <f>VLOOKUP(E2068,country_continent!A:C,3,FALSE)</f>
        <v>Europe</v>
      </c>
      <c r="H2068" t="s">
        <v>8490</v>
      </c>
      <c r="I2068" s="1">
        <v>32943</v>
      </c>
      <c r="J2068" s="3">
        <f t="shared" si="96"/>
        <v>32943</v>
      </c>
      <c r="K2068" s="1">
        <v>33933</v>
      </c>
      <c r="L2068" s="3">
        <f t="shared" si="97"/>
        <v>33933</v>
      </c>
      <c r="M2068" t="s">
        <v>49</v>
      </c>
      <c r="N2068" t="s">
        <v>49</v>
      </c>
      <c r="O2068" t="s">
        <v>49</v>
      </c>
      <c r="P2068">
        <v>0</v>
      </c>
      <c r="Q2068" t="s">
        <v>50</v>
      </c>
      <c r="R2068" t="s">
        <v>51</v>
      </c>
      <c r="S2068">
        <v>1931</v>
      </c>
      <c r="T2068">
        <v>-777</v>
      </c>
      <c r="U2068" s="1">
        <v>11608</v>
      </c>
      <c r="V2068" s="2">
        <v>11608</v>
      </c>
      <c r="Z2068">
        <v>0</v>
      </c>
      <c r="AA2068">
        <v>1</v>
      </c>
      <c r="AB2068">
        <v>0</v>
      </c>
      <c r="AC2068">
        <v>0</v>
      </c>
      <c r="AF2068">
        <v>1990</v>
      </c>
      <c r="AG2068">
        <v>1992</v>
      </c>
      <c r="AO2068" t="b">
        <v>0</v>
      </c>
      <c r="AT2068">
        <v>990</v>
      </c>
      <c r="AU2068">
        <f t="shared" si="98"/>
        <v>2.7120000000000002</v>
      </c>
    </row>
    <row r="2069" spans="1:47" x14ac:dyDescent="0.3">
      <c r="A2069">
        <v>2067</v>
      </c>
      <c r="B2069" t="s">
        <v>8491</v>
      </c>
      <c r="C2069" t="s">
        <v>8492</v>
      </c>
      <c r="D2069">
        <v>368</v>
      </c>
      <c r="E2069" t="s">
        <v>8463</v>
      </c>
      <c r="F2069" t="str">
        <f>VLOOKUP(E2069,country_continent!A:C,2,FALSE)</f>
        <v>Lithuania</v>
      </c>
      <c r="G2069" t="str">
        <f>VLOOKUP(E2069,country_continent!A:C,3,FALSE)</f>
        <v>Europe</v>
      </c>
      <c r="H2069" t="s">
        <v>8493</v>
      </c>
      <c r="I2069" s="1">
        <v>33933</v>
      </c>
      <c r="J2069" s="3">
        <f t="shared" si="96"/>
        <v>33933</v>
      </c>
      <c r="K2069" s="1">
        <v>35851</v>
      </c>
      <c r="L2069" s="3">
        <f t="shared" si="97"/>
        <v>35851</v>
      </c>
      <c r="M2069" t="s">
        <v>49</v>
      </c>
      <c r="N2069" t="s">
        <v>49</v>
      </c>
      <c r="O2069" t="s">
        <v>49</v>
      </c>
      <c r="P2069">
        <v>0</v>
      </c>
      <c r="Q2069" t="s">
        <v>50</v>
      </c>
      <c r="R2069" t="s">
        <v>51</v>
      </c>
      <c r="S2069">
        <v>1932</v>
      </c>
      <c r="T2069">
        <v>2010</v>
      </c>
      <c r="Z2069">
        <v>0</v>
      </c>
      <c r="AA2069">
        <v>1</v>
      </c>
      <c r="AB2069">
        <v>0</v>
      </c>
      <c r="AC2069">
        <v>0</v>
      </c>
      <c r="AF2069">
        <v>1992</v>
      </c>
      <c r="AG2069">
        <v>1998</v>
      </c>
      <c r="AO2069" t="b">
        <v>0</v>
      </c>
      <c r="AT2069">
        <v>1918</v>
      </c>
      <c r="AU2069">
        <f t="shared" si="98"/>
        <v>5.2549999999999999</v>
      </c>
    </row>
    <row r="2070" spans="1:47" x14ac:dyDescent="0.3">
      <c r="A2070">
        <v>2068</v>
      </c>
      <c r="B2070" t="s">
        <v>8494</v>
      </c>
      <c r="C2070" t="s">
        <v>8495</v>
      </c>
      <c r="D2070">
        <v>368</v>
      </c>
      <c r="E2070" t="s">
        <v>8463</v>
      </c>
      <c r="F2070" t="str">
        <f>VLOOKUP(E2070,country_continent!A:C,2,FALSE)</f>
        <v>Lithuania</v>
      </c>
      <c r="G2070" t="str">
        <f>VLOOKUP(E2070,country_continent!A:C,3,FALSE)</f>
        <v>Europe</v>
      </c>
      <c r="H2070" t="s">
        <v>8496</v>
      </c>
      <c r="I2070" s="1">
        <v>35852</v>
      </c>
      <c r="J2070" s="3">
        <f t="shared" si="96"/>
        <v>35852</v>
      </c>
      <c r="K2070" s="1">
        <v>37677</v>
      </c>
      <c r="L2070" s="3">
        <f t="shared" si="97"/>
        <v>37677</v>
      </c>
      <c r="M2070" t="s">
        <v>49</v>
      </c>
      <c r="N2070" t="s">
        <v>49</v>
      </c>
      <c r="O2070" t="s">
        <v>49</v>
      </c>
      <c r="P2070">
        <v>0</v>
      </c>
      <c r="Q2070" t="s">
        <v>50</v>
      </c>
      <c r="R2070" t="s">
        <v>51</v>
      </c>
      <c r="S2070">
        <v>1926</v>
      </c>
      <c r="T2070">
        <v>-777</v>
      </c>
      <c r="U2070" s="1">
        <v>9804</v>
      </c>
      <c r="V2070" s="2">
        <v>9804</v>
      </c>
      <c r="Y2070" t="s">
        <v>8497</v>
      </c>
      <c r="Z2070">
        <v>0</v>
      </c>
      <c r="AA2070">
        <v>1</v>
      </c>
      <c r="AB2070">
        <v>0</v>
      </c>
      <c r="AC2070">
        <v>0</v>
      </c>
      <c r="AF2070">
        <v>1998</v>
      </c>
      <c r="AG2070">
        <v>2003</v>
      </c>
      <c r="AO2070" t="b">
        <v>0</v>
      </c>
      <c r="AT2070">
        <v>1825</v>
      </c>
      <c r="AU2070">
        <f t="shared" si="98"/>
        <v>5</v>
      </c>
    </row>
    <row r="2071" spans="1:47" x14ac:dyDescent="0.3">
      <c r="A2071">
        <v>2069</v>
      </c>
      <c r="B2071" t="s">
        <v>8498</v>
      </c>
      <c r="C2071" t="s">
        <v>8499</v>
      </c>
      <c r="D2071">
        <v>368</v>
      </c>
      <c r="E2071" t="s">
        <v>8463</v>
      </c>
      <c r="F2071" t="str">
        <f>VLOOKUP(E2071,country_continent!A:C,2,FALSE)</f>
        <v>Lithuania</v>
      </c>
      <c r="G2071" t="str">
        <f>VLOOKUP(E2071,country_continent!A:C,3,FALSE)</f>
        <v>Europe</v>
      </c>
      <c r="H2071" t="s">
        <v>8500</v>
      </c>
      <c r="I2071" s="1">
        <v>37678</v>
      </c>
      <c r="J2071" s="3">
        <f t="shared" si="96"/>
        <v>37678</v>
      </c>
      <c r="K2071" s="1">
        <v>38083</v>
      </c>
      <c r="L2071" s="3">
        <f t="shared" si="97"/>
        <v>38083</v>
      </c>
      <c r="M2071" t="s">
        <v>49</v>
      </c>
      <c r="N2071" t="s">
        <v>49</v>
      </c>
      <c r="O2071" t="s">
        <v>49</v>
      </c>
      <c r="P2071">
        <v>0</v>
      </c>
      <c r="Q2071" t="s">
        <v>50</v>
      </c>
      <c r="R2071" t="s">
        <v>51</v>
      </c>
      <c r="S2071">
        <v>1956</v>
      </c>
      <c r="T2071">
        <v>-777</v>
      </c>
      <c r="U2071" s="1">
        <v>20616</v>
      </c>
      <c r="V2071" s="2">
        <v>20616</v>
      </c>
      <c r="Y2071" t="s">
        <v>8501</v>
      </c>
      <c r="Z2071">
        <v>0</v>
      </c>
      <c r="AA2071">
        <v>1</v>
      </c>
      <c r="AB2071">
        <v>0</v>
      </c>
      <c r="AC2071">
        <v>0</v>
      </c>
      <c r="AF2071">
        <v>2003</v>
      </c>
      <c r="AG2071">
        <v>2004</v>
      </c>
      <c r="AO2071" t="b">
        <v>0</v>
      </c>
      <c r="AT2071">
        <v>405</v>
      </c>
      <c r="AU2071">
        <f t="shared" si="98"/>
        <v>1.1100000000000001</v>
      </c>
    </row>
    <row r="2072" spans="1:47" x14ac:dyDescent="0.3">
      <c r="A2072">
        <v>2070</v>
      </c>
      <c r="B2072" t="s">
        <v>8502</v>
      </c>
      <c r="C2072" t="s">
        <v>8503</v>
      </c>
      <c r="D2072">
        <v>368</v>
      </c>
      <c r="E2072" t="s">
        <v>8463</v>
      </c>
      <c r="F2072" t="str">
        <f>VLOOKUP(E2072,country_continent!A:C,2,FALSE)</f>
        <v>Lithuania</v>
      </c>
      <c r="G2072" t="str">
        <f>VLOOKUP(E2072,country_continent!A:C,3,FALSE)</f>
        <v>Europe</v>
      </c>
      <c r="H2072" t="s">
        <v>8504</v>
      </c>
      <c r="I2072" s="1">
        <v>38083</v>
      </c>
      <c r="J2072" s="3">
        <f t="shared" si="96"/>
        <v>38083</v>
      </c>
      <c r="K2072" s="1">
        <v>38180</v>
      </c>
      <c r="L2072" s="3">
        <f t="shared" si="97"/>
        <v>38180</v>
      </c>
      <c r="M2072" t="s">
        <v>49</v>
      </c>
      <c r="N2072" t="s">
        <v>49</v>
      </c>
      <c r="O2072" t="s">
        <v>49</v>
      </c>
      <c r="P2072">
        <v>0</v>
      </c>
      <c r="Q2072" t="s">
        <v>50</v>
      </c>
      <c r="R2072" t="s">
        <v>51</v>
      </c>
      <c r="S2072">
        <v>1953</v>
      </c>
      <c r="T2072">
        <v>-777</v>
      </c>
      <c r="Z2072">
        <v>0</v>
      </c>
      <c r="AA2072">
        <v>1</v>
      </c>
      <c r="AB2072">
        <v>0</v>
      </c>
      <c r="AC2072">
        <v>0</v>
      </c>
      <c r="AF2072">
        <v>2004</v>
      </c>
      <c r="AG2072">
        <v>2004</v>
      </c>
      <c r="AO2072" t="b">
        <v>0</v>
      </c>
      <c r="AT2072">
        <v>97</v>
      </c>
      <c r="AU2072">
        <f t="shared" si="98"/>
        <v>0.26600000000000001</v>
      </c>
    </row>
    <row r="2073" spans="1:47" x14ac:dyDescent="0.3">
      <c r="A2073">
        <v>2071</v>
      </c>
      <c r="B2073" t="s">
        <v>8505</v>
      </c>
      <c r="C2073" t="s">
        <v>8495</v>
      </c>
      <c r="D2073">
        <v>368</v>
      </c>
      <c r="E2073" t="s">
        <v>8463</v>
      </c>
      <c r="F2073" t="str">
        <f>VLOOKUP(E2073,country_continent!A:C,2,FALSE)</f>
        <v>Lithuania</v>
      </c>
      <c r="G2073" t="str">
        <f>VLOOKUP(E2073,country_continent!A:C,3,FALSE)</f>
        <v>Europe</v>
      </c>
      <c r="H2073" t="s">
        <v>8496</v>
      </c>
      <c r="I2073" s="1">
        <v>38180</v>
      </c>
      <c r="J2073" s="3">
        <f t="shared" si="96"/>
        <v>38180</v>
      </c>
      <c r="K2073" s="1">
        <v>40006</v>
      </c>
      <c r="L2073" s="3">
        <f t="shared" si="97"/>
        <v>40006</v>
      </c>
      <c r="M2073" t="s">
        <v>49</v>
      </c>
      <c r="N2073" t="s">
        <v>49</v>
      </c>
      <c r="O2073" t="s">
        <v>49</v>
      </c>
      <c r="P2073">
        <v>1</v>
      </c>
      <c r="Q2073" t="s">
        <v>50</v>
      </c>
      <c r="R2073" t="s">
        <v>51</v>
      </c>
      <c r="S2073">
        <v>1953</v>
      </c>
      <c r="T2073">
        <v>-777</v>
      </c>
      <c r="Z2073">
        <v>0</v>
      </c>
      <c r="AA2073">
        <v>1</v>
      </c>
      <c r="AB2073">
        <v>0</v>
      </c>
      <c r="AC2073">
        <v>0</v>
      </c>
      <c r="AF2073">
        <v>2004</v>
      </c>
      <c r="AG2073">
        <v>2009</v>
      </c>
      <c r="AO2073" t="b">
        <v>0</v>
      </c>
      <c r="AT2073">
        <v>1826</v>
      </c>
      <c r="AU2073">
        <f t="shared" si="98"/>
        <v>5.0030000000000001</v>
      </c>
    </row>
    <row r="2074" spans="1:47" x14ac:dyDescent="0.3">
      <c r="A2074">
        <v>2072</v>
      </c>
      <c r="B2074" t="s">
        <v>8506</v>
      </c>
      <c r="C2074" t="s">
        <v>8507</v>
      </c>
      <c r="D2074">
        <v>368</v>
      </c>
      <c r="E2074" t="s">
        <v>8463</v>
      </c>
      <c r="F2074" t="str">
        <f>VLOOKUP(E2074,country_continent!A:C,2,FALSE)</f>
        <v>Lithuania</v>
      </c>
      <c r="G2074" t="str">
        <f>VLOOKUP(E2074,country_continent!A:C,3,FALSE)</f>
        <v>Europe</v>
      </c>
      <c r="H2074" t="s">
        <v>8508</v>
      </c>
      <c r="I2074" s="1">
        <v>40006</v>
      </c>
      <c r="J2074" s="3">
        <f t="shared" si="96"/>
        <v>40006</v>
      </c>
      <c r="K2074" s="1">
        <v>42369</v>
      </c>
      <c r="L2074" s="3">
        <f t="shared" si="97"/>
        <v>42369</v>
      </c>
      <c r="M2074" t="s">
        <v>49</v>
      </c>
      <c r="N2074" t="s">
        <v>173</v>
      </c>
      <c r="O2074" t="s">
        <v>173</v>
      </c>
      <c r="P2074">
        <v>0</v>
      </c>
      <c r="Q2074" t="s">
        <v>174</v>
      </c>
      <c r="R2074" t="s">
        <v>299</v>
      </c>
      <c r="S2074">
        <v>1956</v>
      </c>
      <c r="T2074">
        <v>-777</v>
      </c>
      <c r="U2074" s="1">
        <v>20515</v>
      </c>
      <c r="V2074" s="2">
        <v>20515</v>
      </c>
      <c r="Z2074">
        <v>0</v>
      </c>
      <c r="AA2074">
        <v>-888</v>
      </c>
      <c r="AB2074">
        <v>-888</v>
      </c>
      <c r="AC2074">
        <v>-888</v>
      </c>
      <c r="AF2074">
        <v>2009</v>
      </c>
      <c r="AG2074">
        <v>2015</v>
      </c>
      <c r="AO2074" t="b">
        <v>0</v>
      </c>
      <c r="AT2074">
        <v>2363</v>
      </c>
      <c r="AU2074">
        <f t="shared" si="98"/>
        <v>6.4740000000000002</v>
      </c>
    </row>
    <row r="2075" spans="1:47" x14ac:dyDescent="0.3">
      <c r="A2075">
        <v>2073</v>
      </c>
      <c r="B2075" t="s">
        <v>8509</v>
      </c>
      <c r="C2075" t="s">
        <v>8510</v>
      </c>
      <c r="D2075">
        <v>369</v>
      </c>
      <c r="E2075" t="s">
        <v>8511</v>
      </c>
      <c r="F2075" t="str">
        <f>VLOOKUP(E2075,country_continent!A:C,2,FALSE)</f>
        <v>Ukraine</v>
      </c>
      <c r="G2075" t="str">
        <f>VLOOKUP(E2075,country_continent!A:C,3,FALSE)</f>
        <v>Europe</v>
      </c>
      <c r="H2075" t="s">
        <v>8512</v>
      </c>
      <c r="I2075" s="1">
        <v>33072</v>
      </c>
      <c r="J2075" s="3">
        <f t="shared" si="96"/>
        <v>33072</v>
      </c>
      <c r="K2075" s="1">
        <v>34534</v>
      </c>
      <c r="L2075" s="3">
        <f t="shared" si="97"/>
        <v>34534</v>
      </c>
      <c r="M2075" t="s">
        <v>49</v>
      </c>
      <c r="N2075" t="s">
        <v>49</v>
      </c>
      <c r="O2075" t="s">
        <v>49</v>
      </c>
      <c r="P2075">
        <v>0</v>
      </c>
      <c r="Q2075" t="s">
        <v>50</v>
      </c>
      <c r="R2075" t="s">
        <v>51</v>
      </c>
      <c r="S2075">
        <v>1934</v>
      </c>
      <c r="T2075">
        <v>-777</v>
      </c>
      <c r="U2075" s="1">
        <v>12429</v>
      </c>
      <c r="V2075" s="2">
        <v>12429</v>
      </c>
      <c r="Y2075" t="s">
        <v>8513</v>
      </c>
      <c r="Z2075">
        <v>0</v>
      </c>
      <c r="AA2075">
        <v>1</v>
      </c>
      <c r="AB2075">
        <v>0</v>
      </c>
      <c r="AC2075">
        <v>0</v>
      </c>
      <c r="AF2075">
        <v>1990</v>
      </c>
      <c r="AG2075">
        <v>1994</v>
      </c>
      <c r="AH2075">
        <v>-12.479080956382999</v>
      </c>
      <c r="AI2075">
        <v>1348</v>
      </c>
      <c r="AJ2075">
        <v>1233.4331897091699</v>
      </c>
      <c r="AK2075">
        <v>19.5</v>
      </c>
      <c r="AL2075">
        <v>6.08425114477638E-2</v>
      </c>
      <c r="AM2075">
        <v>2.99865803926998</v>
      </c>
      <c r="AN2075">
        <v>6</v>
      </c>
      <c r="AO2075" t="b">
        <v>0</v>
      </c>
      <c r="AT2075">
        <v>1462</v>
      </c>
      <c r="AU2075">
        <f t="shared" si="98"/>
        <v>4.0049999999999999</v>
      </c>
    </row>
    <row r="2076" spans="1:47" x14ac:dyDescent="0.3">
      <c r="A2076">
        <v>2074</v>
      </c>
      <c r="B2076" t="s">
        <v>8514</v>
      </c>
      <c r="C2076" t="s">
        <v>8515</v>
      </c>
      <c r="D2076">
        <v>369</v>
      </c>
      <c r="E2076" t="s">
        <v>8511</v>
      </c>
      <c r="F2076" t="str">
        <f>VLOOKUP(E2076,country_continent!A:C,2,FALSE)</f>
        <v>Ukraine</v>
      </c>
      <c r="G2076" t="str">
        <f>VLOOKUP(E2076,country_continent!A:C,3,FALSE)</f>
        <v>Europe</v>
      </c>
      <c r="H2076" t="s">
        <v>8516</v>
      </c>
      <c r="I2076" s="1">
        <v>34534</v>
      </c>
      <c r="J2076" s="3">
        <f t="shared" si="96"/>
        <v>34534</v>
      </c>
      <c r="K2076" s="1">
        <v>38375</v>
      </c>
      <c r="L2076" s="3">
        <f t="shared" si="97"/>
        <v>38375</v>
      </c>
      <c r="M2076" t="s">
        <v>49</v>
      </c>
      <c r="N2076" t="s">
        <v>49</v>
      </c>
      <c r="O2076" t="s">
        <v>49</v>
      </c>
      <c r="P2076">
        <v>0</v>
      </c>
      <c r="Q2076" t="s">
        <v>50</v>
      </c>
      <c r="R2076" t="s">
        <v>51</v>
      </c>
      <c r="S2076">
        <v>1938</v>
      </c>
      <c r="T2076">
        <v>-777</v>
      </c>
      <c r="U2076" s="1">
        <v>14101</v>
      </c>
      <c r="V2076" s="2">
        <v>14101</v>
      </c>
      <c r="Y2076" t="s">
        <v>8517</v>
      </c>
      <c r="Z2076">
        <v>0</v>
      </c>
      <c r="AA2076">
        <v>1</v>
      </c>
      <c r="AB2076">
        <v>0</v>
      </c>
      <c r="AC2076">
        <v>0</v>
      </c>
      <c r="AF2076">
        <v>1994</v>
      </c>
      <c r="AG2076">
        <v>2005</v>
      </c>
      <c r="AH2076">
        <v>0.31789878687586998</v>
      </c>
      <c r="AI2076">
        <v>931.66666666666595</v>
      </c>
      <c r="AJ2076">
        <v>131.913703359518</v>
      </c>
      <c r="AK2076">
        <v>18.091666666666601</v>
      </c>
      <c r="AL2076">
        <v>-0.79520895316734597</v>
      </c>
      <c r="AM2076">
        <v>2.9918821547980099</v>
      </c>
      <c r="AN2076">
        <v>6.5</v>
      </c>
      <c r="AO2076" t="b">
        <v>0</v>
      </c>
      <c r="AT2076">
        <v>3841</v>
      </c>
      <c r="AU2076">
        <f t="shared" si="98"/>
        <v>10.523</v>
      </c>
    </row>
    <row r="2077" spans="1:47" x14ac:dyDescent="0.3">
      <c r="A2077">
        <v>2075</v>
      </c>
      <c r="B2077" t="s">
        <v>8518</v>
      </c>
      <c r="C2077" t="s">
        <v>8519</v>
      </c>
      <c r="D2077">
        <v>369</v>
      </c>
      <c r="E2077" t="s">
        <v>8511</v>
      </c>
      <c r="F2077" t="str">
        <f>VLOOKUP(E2077,country_continent!A:C,2,FALSE)</f>
        <v>Ukraine</v>
      </c>
      <c r="G2077" t="str">
        <f>VLOOKUP(E2077,country_continent!A:C,3,FALSE)</f>
        <v>Europe</v>
      </c>
      <c r="H2077" t="s">
        <v>8520</v>
      </c>
      <c r="I2077" s="1">
        <v>38375</v>
      </c>
      <c r="J2077" s="3">
        <f t="shared" si="96"/>
        <v>38375</v>
      </c>
      <c r="K2077" s="1">
        <v>40234</v>
      </c>
      <c r="L2077" s="3">
        <f t="shared" si="97"/>
        <v>40234</v>
      </c>
      <c r="M2077" t="s">
        <v>49</v>
      </c>
      <c r="N2077" t="s">
        <v>49</v>
      </c>
      <c r="O2077" t="s">
        <v>49</v>
      </c>
      <c r="P2077">
        <v>0</v>
      </c>
      <c r="Q2077" t="s">
        <v>50</v>
      </c>
      <c r="R2077" t="s">
        <v>51</v>
      </c>
      <c r="S2077">
        <v>1954</v>
      </c>
      <c r="T2077">
        <v>-777</v>
      </c>
      <c r="U2077" s="1">
        <v>19778</v>
      </c>
      <c r="V2077" s="2">
        <v>19778</v>
      </c>
      <c r="Z2077">
        <v>0</v>
      </c>
      <c r="AA2077">
        <v>1</v>
      </c>
      <c r="AB2077">
        <v>0</v>
      </c>
      <c r="AC2077">
        <v>0</v>
      </c>
      <c r="AF2077">
        <v>2005</v>
      </c>
      <c r="AG2077">
        <v>2010</v>
      </c>
      <c r="AH2077">
        <v>2.2281723927049901</v>
      </c>
      <c r="AI2077">
        <v>2498.3333333333298</v>
      </c>
      <c r="AJ2077">
        <v>19.519028286420099</v>
      </c>
      <c r="AK2077">
        <v>13.133333333333301</v>
      </c>
      <c r="AL2077">
        <v>-0.53780482661911599</v>
      </c>
      <c r="AM2077">
        <v>5.6918285832618496</v>
      </c>
      <c r="AN2077">
        <v>6.67</v>
      </c>
      <c r="AO2077" t="b">
        <v>0</v>
      </c>
      <c r="AT2077">
        <v>1859</v>
      </c>
      <c r="AU2077">
        <f t="shared" si="98"/>
        <v>5.093</v>
      </c>
    </row>
    <row r="2078" spans="1:47" x14ac:dyDescent="0.3">
      <c r="A2078">
        <v>2076</v>
      </c>
      <c r="B2078" t="s">
        <v>8521</v>
      </c>
      <c r="C2078" t="s">
        <v>8522</v>
      </c>
      <c r="D2078">
        <v>369</v>
      </c>
      <c r="E2078" t="s">
        <v>8511</v>
      </c>
      <c r="F2078" t="str">
        <f>VLOOKUP(E2078,country_continent!A:C,2,FALSE)</f>
        <v>Ukraine</v>
      </c>
      <c r="G2078" t="str">
        <f>VLOOKUP(E2078,country_continent!A:C,3,FALSE)</f>
        <v>Europe</v>
      </c>
      <c r="H2078" t="s">
        <v>8523</v>
      </c>
      <c r="I2078" s="1">
        <v>40234</v>
      </c>
      <c r="J2078" s="3">
        <f t="shared" si="96"/>
        <v>40234</v>
      </c>
      <c r="K2078" s="1">
        <v>41692</v>
      </c>
      <c r="L2078" s="3">
        <f t="shared" si="97"/>
        <v>41692</v>
      </c>
      <c r="M2078" t="s">
        <v>49</v>
      </c>
      <c r="N2078" t="s">
        <v>49</v>
      </c>
      <c r="O2078" t="s">
        <v>49</v>
      </c>
      <c r="P2078">
        <v>0</v>
      </c>
      <c r="Q2078" t="s">
        <v>362</v>
      </c>
      <c r="R2078" t="s">
        <v>51</v>
      </c>
      <c r="S2078">
        <v>1950</v>
      </c>
      <c r="T2078">
        <v>-777</v>
      </c>
      <c r="Z2078">
        <v>0</v>
      </c>
      <c r="AA2078">
        <v>1</v>
      </c>
      <c r="AB2078">
        <v>0</v>
      </c>
      <c r="AC2078">
        <v>1</v>
      </c>
      <c r="AF2078">
        <v>2010</v>
      </c>
      <c r="AG2078">
        <v>2014</v>
      </c>
      <c r="AH2078">
        <v>1.15046737959665</v>
      </c>
      <c r="AI2078">
        <v>3418</v>
      </c>
      <c r="AJ2078">
        <v>11.209645788197401</v>
      </c>
      <c r="AK2078">
        <v>10.72</v>
      </c>
      <c r="AL2078">
        <v>-0.28137758124152201</v>
      </c>
      <c r="AM2078">
        <v>5.4548896528396096</v>
      </c>
      <c r="AN2078">
        <v>5.6</v>
      </c>
      <c r="AO2078" t="b">
        <v>0</v>
      </c>
      <c r="AT2078">
        <v>1458</v>
      </c>
      <c r="AU2078">
        <f t="shared" si="98"/>
        <v>3.9950000000000001</v>
      </c>
    </row>
    <row r="2079" spans="1:47" x14ac:dyDescent="0.3">
      <c r="A2079">
        <v>2077</v>
      </c>
      <c r="B2079" t="s">
        <v>8524</v>
      </c>
      <c r="C2079" t="s">
        <v>8525</v>
      </c>
      <c r="D2079">
        <v>369</v>
      </c>
      <c r="E2079" t="s">
        <v>8511</v>
      </c>
      <c r="F2079" t="str">
        <f>VLOOKUP(E2079,country_continent!A:C,2,FALSE)</f>
        <v>Ukraine</v>
      </c>
      <c r="G2079" t="str">
        <f>VLOOKUP(E2079,country_continent!A:C,3,FALSE)</f>
        <v>Europe</v>
      </c>
      <c r="H2079" t="s">
        <v>8526</v>
      </c>
      <c r="I2079" s="1">
        <v>41693</v>
      </c>
      <c r="J2079" s="3">
        <f t="shared" si="96"/>
        <v>41693</v>
      </c>
      <c r="K2079" s="1">
        <v>41797</v>
      </c>
      <c r="L2079" s="3">
        <f t="shared" si="97"/>
        <v>41797</v>
      </c>
      <c r="M2079" t="s">
        <v>49</v>
      </c>
      <c r="N2079" t="s">
        <v>49</v>
      </c>
      <c r="O2079" t="s">
        <v>49</v>
      </c>
      <c r="P2079">
        <v>0</v>
      </c>
      <c r="Q2079" t="s">
        <v>50</v>
      </c>
      <c r="R2079" t="s">
        <v>51</v>
      </c>
      <c r="S2079">
        <v>1964</v>
      </c>
      <c r="T2079">
        <v>-777</v>
      </c>
      <c r="U2079" s="1">
        <v>23467</v>
      </c>
      <c r="V2079" s="2">
        <v>23467</v>
      </c>
      <c r="Z2079">
        <v>0</v>
      </c>
      <c r="AA2079">
        <v>1</v>
      </c>
      <c r="AB2079">
        <v>0</v>
      </c>
      <c r="AC2079">
        <v>0</v>
      </c>
      <c r="AF2079">
        <v>2014</v>
      </c>
      <c r="AG2079">
        <v>2014</v>
      </c>
      <c r="AH2079">
        <v>-5.0884687959715498</v>
      </c>
      <c r="AI2079">
        <v>3500</v>
      </c>
      <c r="AJ2079">
        <v>15.9017375234739</v>
      </c>
      <c r="AK2079">
        <v>9.8000000000000007</v>
      </c>
      <c r="AL2079">
        <v>-0.33526942348355698</v>
      </c>
      <c r="AM2079">
        <v>3.6083209332499</v>
      </c>
      <c r="AN2079">
        <v>4</v>
      </c>
      <c r="AO2079" t="b">
        <v>0</v>
      </c>
      <c r="AT2079">
        <v>104</v>
      </c>
      <c r="AU2079">
        <f t="shared" si="98"/>
        <v>0.28499999999999998</v>
      </c>
    </row>
    <row r="2080" spans="1:47" x14ac:dyDescent="0.3">
      <c r="A2080">
        <v>2078</v>
      </c>
      <c r="B2080" t="s">
        <v>8527</v>
      </c>
      <c r="C2080" t="s">
        <v>8528</v>
      </c>
      <c r="D2080">
        <v>369</v>
      </c>
      <c r="E2080" t="s">
        <v>8511</v>
      </c>
      <c r="F2080" t="str">
        <f>VLOOKUP(E2080,country_continent!A:C,2,FALSE)</f>
        <v>Ukraine</v>
      </c>
      <c r="G2080" t="str">
        <f>VLOOKUP(E2080,country_continent!A:C,3,FALSE)</f>
        <v>Europe</v>
      </c>
      <c r="H2080" t="s">
        <v>8529</v>
      </c>
      <c r="I2080" s="1">
        <v>41797</v>
      </c>
      <c r="J2080" s="3">
        <f t="shared" si="96"/>
        <v>41797</v>
      </c>
      <c r="K2080" s="1">
        <v>42369</v>
      </c>
      <c r="L2080" s="3">
        <f t="shared" si="97"/>
        <v>42369</v>
      </c>
      <c r="M2080" t="s">
        <v>49</v>
      </c>
      <c r="N2080" t="s">
        <v>173</v>
      </c>
      <c r="O2080" t="s">
        <v>173</v>
      </c>
      <c r="P2080">
        <v>0</v>
      </c>
      <c r="Q2080" t="s">
        <v>174</v>
      </c>
      <c r="R2080" t="s">
        <v>51</v>
      </c>
      <c r="S2080">
        <v>1965</v>
      </c>
      <c r="T2080">
        <v>-777</v>
      </c>
      <c r="U2080" s="1">
        <v>24011</v>
      </c>
      <c r="V2080" s="2">
        <v>24011</v>
      </c>
      <c r="Z2080">
        <v>0</v>
      </c>
      <c r="AA2080">
        <v>-888</v>
      </c>
      <c r="AB2080">
        <v>-888</v>
      </c>
      <c r="AC2080">
        <v>-888</v>
      </c>
      <c r="AF2080">
        <v>2014</v>
      </c>
      <c r="AG2080">
        <v>2015</v>
      </c>
      <c r="AH2080">
        <v>-7.1826677170754296</v>
      </c>
      <c r="AI2080">
        <v>3130</v>
      </c>
      <c r="AJ2080">
        <v>27.3917086417358</v>
      </c>
      <c r="AK2080">
        <v>9.6</v>
      </c>
      <c r="AL2080">
        <v>-0.37196102686738303</v>
      </c>
      <c r="AM2080">
        <v>3.1037181694467</v>
      </c>
      <c r="AN2080">
        <v>4</v>
      </c>
      <c r="AO2080" t="b">
        <v>0</v>
      </c>
      <c r="AT2080">
        <v>572</v>
      </c>
      <c r="AU2080">
        <f t="shared" si="98"/>
        <v>1.5669999999999999</v>
      </c>
    </row>
    <row r="2081" spans="1:47" x14ac:dyDescent="0.3">
      <c r="A2081">
        <v>2079</v>
      </c>
      <c r="B2081" t="s">
        <v>8530</v>
      </c>
      <c r="C2081" t="s">
        <v>8531</v>
      </c>
      <c r="D2081">
        <v>370</v>
      </c>
      <c r="E2081" t="s">
        <v>8532</v>
      </c>
      <c r="F2081" t="str">
        <f>VLOOKUP(E2081,country_continent!A:C,2,FALSE)</f>
        <v>Belarus</v>
      </c>
      <c r="G2081" t="str">
        <f>VLOOKUP(E2081,country_continent!A:C,3,FALSE)</f>
        <v>Europe</v>
      </c>
      <c r="H2081" t="s">
        <v>8533</v>
      </c>
      <c r="I2081" s="1">
        <v>33499</v>
      </c>
      <c r="J2081" s="3">
        <f t="shared" si="96"/>
        <v>33499</v>
      </c>
      <c r="K2081" s="1">
        <v>34360</v>
      </c>
      <c r="L2081" s="3">
        <f t="shared" si="97"/>
        <v>34360</v>
      </c>
      <c r="M2081" t="s">
        <v>49</v>
      </c>
      <c r="N2081" t="s">
        <v>49</v>
      </c>
      <c r="O2081" t="s">
        <v>49</v>
      </c>
      <c r="P2081">
        <v>0</v>
      </c>
      <c r="Q2081" t="s">
        <v>50</v>
      </c>
      <c r="R2081" t="s">
        <v>51</v>
      </c>
      <c r="S2081">
        <v>1934</v>
      </c>
      <c r="T2081">
        <v>-777</v>
      </c>
      <c r="U2081" s="1">
        <v>12768</v>
      </c>
      <c r="V2081" s="2">
        <v>12768</v>
      </c>
      <c r="Z2081">
        <v>0</v>
      </c>
      <c r="AA2081">
        <v>1</v>
      </c>
      <c r="AB2081">
        <v>0</v>
      </c>
      <c r="AC2081">
        <v>0</v>
      </c>
      <c r="AF2081">
        <v>1991</v>
      </c>
      <c r="AG2081">
        <v>1994</v>
      </c>
      <c r="AH2081">
        <v>-7.6108239869766301</v>
      </c>
      <c r="AI2081">
        <v>1583.3333333333301</v>
      </c>
      <c r="AJ2081">
        <v>1036.4041546354199</v>
      </c>
      <c r="AK2081">
        <v>15.425000000000001</v>
      </c>
      <c r="AL2081">
        <v>9.2100520190985496E-2</v>
      </c>
      <c r="AM2081">
        <v>1.7747996846051599</v>
      </c>
      <c r="AN2081">
        <v>6.67</v>
      </c>
      <c r="AO2081" t="b">
        <v>0</v>
      </c>
      <c r="AT2081">
        <v>861</v>
      </c>
      <c r="AU2081">
        <f t="shared" si="98"/>
        <v>2.359</v>
      </c>
    </row>
    <row r="2082" spans="1:47" x14ac:dyDescent="0.3">
      <c r="A2082">
        <v>2080</v>
      </c>
      <c r="B2082" t="s">
        <v>8534</v>
      </c>
      <c r="C2082" t="s">
        <v>8535</v>
      </c>
      <c r="D2082">
        <v>370</v>
      </c>
      <c r="E2082" t="s">
        <v>8532</v>
      </c>
      <c r="F2082" t="str">
        <f>VLOOKUP(E2082,country_continent!A:C,2,FALSE)</f>
        <v>Belarus</v>
      </c>
      <c r="G2082" t="str">
        <f>VLOOKUP(E2082,country_continent!A:C,3,FALSE)</f>
        <v>Europe</v>
      </c>
      <c r="H2082" t="s">
        <v>8536</v>
      </c>
      <c r="I2082" s="1">
        <v>34360</v>
      </c>
      <c r="J2082" s="3">
        <f t="shared" si="96"/>
        <v>34360</v>
      </c>
      <c r="K2082" s="1">
        <v>34362</v>
      </c>
      <c r="L2082" s="3">
        <f t="shared" si="97"/>
        <v>34362</v>
      </c>
      <c r="M2082" t="s">
        <v>49</v>
      </c>
      <c r="N2082" t="s">
        <v>49</v>
      </c>
      <c r="O2082" t="s">
        <v>49</v>
      </c>
      <c r="P2082">
        <v>0</v>
      </c>
      <c r="Q2082" t="s">
        <v>50</v>
      </c>
      <c r="R2082" t="s">
        <v>51</v>
      </c>
      <c r="S2082">
        <v>1947</v>
      </c>
      <c r="T2082">
        <v>-777</v>
      </c>
      <c r="Y2082" t="s">
        <v>8537</v>
      </c>
      <c r="Z2082">
        <v>0</v>
      </c>
      <c r="AA2082">
        <v>1</v>
      </c>
      <c r="AB2082">
        <v>0</v>
      </c>
      <c r="AC2082">
        <v>0</v>
      </c>
      <c r="AF2082">
        <v>1994</v>
      </c>
      <c r="AG2082">
        <v>1994</v>
      </c>
      <c r="AH2082">
        <v>-11.5955750756209</v>
      </c>
      <c r="AI2082">
        <v>1460</v>
      </c>
      <c r="AJ2082">
        <v>1945.7486047585101</v>
      </c>
      <c r="AK2082">
        <v>15.7</v>
      </c>
      <c r="AL2082">
        <v>-0.118196017328142</v>
      </c>
      <c r="AM2082">
        <v>1.9229326717127599</v>
      </c>
      <c r="AN2082">
        <v>8</v>
      </c>
      <c r="AO2082" t="b">
        <v>0</v>
      </c>
      <c r="AT2082">
        <v>2</v>
      </c>
      <c r="AU2082">
        <f t="shared" si="98"/>
        <v>5.0000000000000001E-3</v>
      </c>
    </row>
    <row r="2083" spans="1:47" x14ac:dyDescent="0.3">
      <c r="A2083">
        <v>2081</v>
      </c>
      <c r="B2083" t="s">
        <v>8538</v>
      </c>
      <c r="C2083" t="s">
        <v>8539</v>
      </c>
      <c r="D2083">
        <v>370</v>
      </c>
      <c r="E2083" t="s">
        <v>8532</v>
      </c>
      <c r="F2083" t="str">
        <f>VLOOKUP(E2083,country_continent!A:C,2,FALSE)</f>
        <v>Belarus</v>
      </c>
      <c r="G2083" t="str">
        <f>VLOOKUP(E2083,country_continent!A:C,3,FALSE)</f>
        <v>Europe</v>
      </c>
      <c r="H2083" t="s">
        <v>8540</v>
      </c>
      <c r="I2083" s="1">
        <v>34362</v>
      </c>
      <c r="J2083" s="3">
        <f t="shared" si="96"/>
        <v>34362</v>
      </c>
      <c r="K2083" s="1">
        <v>34535</v>
      </c>
      <c r="L2083" s="3">
        <f t="shared" si="97"/>
        <v>34535</v>
      </c>
      <c r="M2083" t="s">
        <v>49</v>
      </c>
      <c r="N2083" t="s">
        <v>49</v>
      </c>
      <c r="O2083" t="s">
        <v>49</v>
      </c>
      <c r="P2083">
        <v>0</v>
      </c>
      <c r="Q2083" t="s">
        <v>50</v>
      </c>
      <c r="R2083" t="s">
        <v>51</v>
      </c>
      <c r="S2083">
        <v>1938</v>
      </c>
      <c r="T2083">
        <v>-777</v>
      </c>
      <c r="Z2083">
        <v>0</v>
      </c>
      <c r="AA2083">
        <v>1</v>
      </c>
      <c r="AB2083">
        <v>0</v>
      </c>
      <c r="AC2083">
        <v>0</v>
      </c>
      <c r="AF2083">
        <v>1994</v>
      </c>
      <c r="AG2083">
        <v>1994</v>
      </c>
      <c r="AH2083">
        <v>-11.5955750756209</v>
      </c>
      <c r="AI2083">
        <v>1460</v>
      </c>
      <c r="AJ2083">
        <v>1945.7486047585101</v>
      </c>
      <c r="AK2083">
        <v>15.7</v>
      </c>
      <c r="AL2083">
        <v>-0.118196017328142</v>
      </c>
      <c r="AM2083">
        <v>1.9229326717127599</v>
      </c>
      <c r="AN2083">
        <v>8</v>
      </c>
      <c r="AO2083" t="b">
        <v>0</v>
      </c>
      <c r="AT2083">
        <v>173</v>
      </c>
      <c r="AU2083">
        <f t="shared" si="98"/>
        <v>0.47399999999999998</v>
      </c>
    </row>
    <row r="2084" spans="1:47" x14ac:dyDescent="0.3">
      <c r="A2084">
        <v>2082</v>
      </c>
      <c r="B2084" t="s">
        <v>8541</v>
      </c>
      <c r="C2084" t="s">
        <v>8542</v>
      </c>
      <c r="D2084">
        <v>370</v>
      </c>
      <c r="E2084" t="s">
        <v>8532</v>
      </c>
      <c r="F2084" t="str">
        <f>VLOOKUP(E2084,country_continent!A:C,2,FALSE)</f>
        <v>Belarus</v>
      </c>
      <c r="G2084" t="str">
        <f>VLOOKUP(E2084,country_continent!A:C,3,FALSE)</f>
        <v>Europe</v>
      </c>
      <c r="H2084" t="s">
        <v>8543</v>
      </c>
      <c r="I2084" s="1">
        <v>34535</v>
      </c>
      <c r="J2084" s="3">
        <f t="shared" si="96"/>
        <v>34535</v>
      </c>
      <c r="K2084" s="1">
        <v>42369</v>
      </c>
      <c r="L2084" s="3">
        <f t="shared" si="97"/>
        <v>42369</v>
      </c>
      <c r="M2084" t="s">
        <v>49</v>
      </c>
      <c r="N2084" t="s">
        <v>173</v>
      </c>
      <c r="O2084" t="s">
        <v>173</v>
      </c>
      <c r="P2084">
        <v>0</v>
      </c>
      <c r="Q2084" t="s">
        <v>174</v>
      </c>
      <c r="R2084" t="s">
        <v>51</v>
      </c>
      <c r="S2084">
        <v>1954</v>
      </c>
      <c r="T2084">
        <v>-777</v>
      </c>
      <c r="U2084" s="1">
        <v>19966</v>
      </c>
      <c r="V2084" s="2">
        <v>19966</v>
      </c>
      <c r="Y2084" t="s">
        <v>8544</v>
      </c>
      <c r="Z2084">
        <v>0</v>
      </c>
      <c r="AA2084">
        <v>-888</v>
      </c>
      <c r="AB2084">
        <v>-888</v>
      </c>
      <c r="AC2084">
        <v>-888</v>
      </c>
      <c r="AF2084">
        <v>1994</v>
      </c>
      <c r="AG2084">
        <v>2015</v>
      </c>
      <c r="AH2084">
        <v>4.4830354124048197</v>
      </c>
      <c r="AI2084">
        <v>3588.1818181818098</v>
      </c>
      <c r="AJ2084">
        <v>171.588955328282</v>
      </c>
      <c r="AK2084">
        <v>9.5818181818181802</v>
      </c>
      <c r="AL2084">
        <v>-0.35919419637550298</v>
      </c>
      <c r="AM2084">
        <v>1.8012274257479399</v>
      </c>
      <c r="AN2084">
        <v>-6</v>
      </c>
      <c r="AO2084" t="b">
        <v>0</v>
      </c>
      <c r="AT2084">
        <v>7834</v>
      </c>
      <c r="AU2084">
        <f t="shared" si="98"/>
        <v>21.463000000000001</v>
      </c>
    </row>
    <row r="2085" spans="1:47" x14ac:dyDescent="0.3">
      <c r="A2085">
        <v>2083</v>
      </c>
      <c r="B2085" t="s">
        <v>8545</v>
      </c>
      <c r="C2085" t="s">
        <v>8546</v>
      </c>
      <c r="D2085">
        <v>371</v>
      </c>
      <c r="E2085" t="s">
        <v>8547</v>
      </c>
      <c r="F2085" t="str">
        <f>VLOOKUP(E2085,country_continent!A:C,2,FALSE)</f>
        <v>Armenia</v>
      </c>
      <c r="G2085" t="str">
        <f>VLOOKUP(E2085,country_continent!A:C,3,FALSE)</f>
        <v>Asia</v>
      </c>
      <c r="H2085" t="s">
        <v>8548</v>
      </c>
      <c r="I2085" s="1">
        <v>33527</v>
      </c>
      <c r="J2085" s="3">
        <f t="shared" si="96"/>
        <v>33527</v>
      </c>
      <c r="K2085" s="1">
        <v>35829</v>
      </c>
      <c r="L2085" s="3">
        <f t="shared" si="97"/>
        <v>35829</v>
      </c>
      <c r="M2085" t="s">
        <v>49</v>
      </c>
      <c r="N2085" t="s">
        <v>49</v>
      </c>
      <c r="O2085" t="s">
        <v>49</v>
      </c>
      <c r="P2085">
        <v>0</v>
      </c>
      <c r="Q2085" t="s">
        <v>50</v>
      </c>
      <c r="R2085" t="s">
        <v>51</v>
      </c>
      <c r="S2085">
        <v>1945</v>
      </c>
      <c r="T2085">
        <v>-777</v>
      </c>
      <c r="Z2085">
        <v>0</v>
      </c>
      <c r="AA2085">
        <v>1</v>
      </c>
      <c r="AB2085">
        <v>0</v>
      </c>
      <c r="AC2085">
        <v>0</v>
      </c>
      <c r="AF2085">
        <v>1991</v>
      </c>
      <c r="AG2085">
        <v>1998</v>
      </c>
      <c r="AH2085">
        <v>-2.9193152376503</v>
      </c>
      <c r="AI2085">
        <v>444.28571428571399</v>
      </c>
      <c r="AJ2085">
        <v>794.48086162123195</v>
      </c>
      <c r="AK2085">
        <v>40.15</v>
      </c>
      <c r="AL2085">
        <v>-1.2721772290532301</v>
      </c>
      <c r="AM2085">
        <v>0.29271772873855001</v>
      </c>
      <c r="AN2085">
        <v>1.71</v>
      </c>
      <c r="AO2085" t="b">
        <v>0</v>
      </c>
      <c r="AT2085">
        <v>2302</v>
      </c>
      <c r="AU2085">
        <f t="shared" si="98"/>
        <v>6.3070000000000004</v>
      </c>
    </row>
    <row r="2086" spans="1:47" x14ac:dyDescent="0.3">
      <c r="A2086">
        <v>2084</v>
      </c>
      <c r="B2086" t="s">
        <v>8549</v>
      </c>
      <c r="C2086" t="s">
        <v>8550</v>
      </c>
      <c r="D2086">
        <v>371</v>
      </c>
      <c r="E2086" t="s">
        <v>8547</v>
      </c>
      <c r="F2086" t="str">
        <f>VLOOKUP(E2086,country_continent!A:C,2,FALSE)</f>
        <v>Armenia</v>
      </c>
      <c r="G2086" t="str">
        <f>VLOOKUP(E2086,country_continent!A:C,3,FALSE)</f>
        <v>Asia</v>
      </c>
      <c r="H2086" t="s">
        <v>8551</v>
      </c>
      <c r="I2086" s="1">
        <v>35830</v>
      </c>
      <c r="J2086" s="3">
        <f t="shared" si="96"/>
        <v>35830</v>
      </c>
      <c r="K2086" s="1">
        <v>39547</v>
      </c>
      <c r="L2086" s="3">
        <f t="shared" si="97"/>
        <v>39547</v>
      </c>
      <c r="M2086" t="s">
        <v>49</v>
      </c>
      <c r="N2086" t="s">
        <v>49</v>
      </c>
      <c r="O2086" t="s">
        <v>49</v>
      </c>
      <c r="P2086">
        <v>0</v>
      </c>
      <c r="Q2086" t="s">
        <v>50</v>
      </c>
      <c r="R2086" t="s">
        <v>51</v>
      </c>
      <c r="S2086">
        <v>1954</v>
      </c>
      <c r="T2086">
        <v>-777</v>
      </c>
      <c r="U2086" s="1">
        <v>19967</v>
      </c>
      <c r="V2086" s="2">
        <v>19967</v>
      </c>
      <c r="Y2086" t="s">
        <v>8552</v>
      </c>
      <c r="Z2086">
        <v>0</v>
      </c>
      <c r="AA2086">
        <v>1</v>
      </c>
      <c r="AB2086">
        <v>0</v>
      </c>
      <c r="AC2086">
        <v>0</v>
      </c>
      <c r="AF2086">
        <v>1998</v>
      </c>
      <c r="AG2086">
        <v>2008</v>
      </c>
      <c r="AH2086">
        <v>10.6460924926142</v>
      </c>
      <c r="AI2086">
        <v>1330</v>
      </c>
      <c r="AJ2086">
        <v>4.0668464772636401</v>
      </c>
      <c r="AK2086">
        <v>26.818181818181799</v>
      </c>
      <c r="AL2086">
        <v>-0.45709417163189098</v>
      </c>
      <c r="AM2086">
        <v>0.16186294116334399</v>
      </c>
      <c r="AN2086">
        <v>5</v>
      </c>
      <c r="AO2086" t="b">
        <v>0</v>
      </c>
      <c r="AT2086">
        <v>3717</v>
      </c>
      <c r="AU2086">
        <f t="shared" si="98"/>
        <v>10.183999999999999</v>
      </c>
    </row>
    <row r="2087" spans="1:47" x14ac:dyDescent="0.3">
      <c r="A2087">
        <v>2085</v>
      </c>
      <c r="B2087" t="s">
        <v>8553</v>
      </c>
      <c r="C2087" t="s">
        <v>8554</v>
      </c>
      <c r="D2087">
        <v>371</v>
      </c>
      <c r="E2087" t="s">
        <v>8547</v>
      </c>
      <c r="F2087" t="str">
        <f>VLOOKUP(E2087,country_continent!A:C,2,FALSE)</f>
        <v>Armenia</v>
      </c>
      <c r="G2087" t="str">
        <f>VLOOKUP(E2087,country_continent!A:C,3,FALSE)</f>
        <v>Asia</v>
      </c>
      <c r="H2087" t="s">
        <v>8555</v>
      </c>
      <c r="I2087" s="1">
        <v>39547</v>
      </c>
      <c r="J2087" s="3">
        <f t="shared" si="96"/>
        <v>39547</v>
      </c>
      <c r="K2087" s="1">
        <v>42369</v>
      </c>
      <c r="L2087" s="3">
        <f t="shared" si="97"/>
        <v>42369</v>
      </c>
      <c r="M2087" t="s">
        <v>49</v>
      </c>
      <c r="N2087" t="s">
        <v>173</v>
      </c>
      <c r="O2087" t="s">
        <v>173</v>
      </c>
      <c r="P2087">
        <v>0</v>
      </c>
      <c r="Q2087" t="s">
        <v>174</v>
      </c>
      <c r="R2087" t="s">
        <v>51</v>
      </c>
      <c r="S2087">
        <v>1954</v>
      </c>
      <c r="T2087">
        <v>-777</v>
      </c>
      <c r="U2087" s="1">
        <v>19905</v>
      </c>
      <c r="V2087" s="2">
        <v>19905</v>
      </c>
      <c r="Z2087">
        <v>0</v>
      </c>
      <c r="AA2087">
        <v>-888</v>
      </c>
      <c r="AB2087">
        <v>-888</v>
      </c>
      <c r="AC2087">
        <v>-888</v>
      </c>
      <c r="AF2087">
        <v>2008</v>
      </c>
      <c r="AG2087">
        <v>2015</v>
      </c>
      <c r="AH2087">
        <v>2.5493035235947801</v>
      </c>
      <c r="AI2087">
        <v>3590</v>
      </c>
      <c r="AJ2087">
        <v>4.0966002891941402</v>
      </c>
      <c r="AK2087">
        <v>17.5</v>
      </c>
      <c r="AL2087">
        <v>-0.42052395036972001</v>
      </c>
      <c r="AM2087">
        <v>1.22751563862653</v>
      </c>
      <c r="AN2087">
        <v>5</v>
      </c>
      <c r="AO2087" t="b">
        <v>0</v>
      </c>
      <c r="AT2087">
        <v>2822</v>
      </c>
      <c r="AU2087">
        <f t="shared" si="98"/>
        <v>7.7320000000000002</v>
      </c>
    </row>
    <row r="2088" spans="1:47" x14ac:dyDescent="0.3">
      <c r="A2088">
        <v>2086</v>
      </c>
      <c r="B2088" t="s">
        <v>8556</v>
      </c>
      <c r="C2088" t="s">
        <v>8557</v>
      </c>
      <c r="D2088">
        <v>372</v>
      </c>
      <c r="E2088" t="s">
        <v>8558</v>
      </c>
      <c r="F2088" t="str">
        <f>VLOOKUP(E2088,country_continent!A:C,2,FALSE)</f>
        <v>Georgia</v>
      </c>
      <c r="G2088" t="str">
        <f>VLOOKUP(E2088,country_continent!A:C,3,FALSE)</f>
        <v>Asia</v>
      </c>
      <c r="H2088" t="s">
        <v>8559</v>
      </c>
      <c r="I2088" s="1">
        <v>33340</v>
      </c>
      <c r="J2088" s="3">
        <f t="shared" si="96"/>
        <v>33340</v>
      </c>
      <c r="K2088" s="1">
        <v>33609</v>
      </c>
      <c r="L2088" s="3">
        <f t="shared" si="97"/>
        <v>33609</v>
      </c>
      <c r="M2088" t="s">
        <v>49</v>
      </c>
      <c r="N2088" t="s">
        <v>67</v>
      </c>
      <c r="O2088" t="s">
        <v>433</v>
      </c>
      <c r="P2088">
        <v>0</v>
      </c>
      <c r="Q2088" t="s">
        <v>362</v>
      </c>
      <c r="R2088" t="s">
        <v>51</v>
      </c>
      <c r="S2088">
        <v>1939</v>
      </c>
      <c r="T2088">
        <v>1993</v>
      </c>
      <c r="U2088" s="1">
        <v>14335</v>
      </c>
      <c r="V2088" s="2">
        <v>14335</v>
      </c>
      <c r="W2088" s="1">
        <v>34334</v>
      </c>
      <c r="X2088" s="2">
        <v>34334</v>
      </c>
      <c r="Y2088" t="s">
        <v>8560</v>
      </c>
      <c r="Z2088">
        <v>0</v>
      </c>
      <c r="AA2088">
        <v>3</v>
      </c>
      <c r="AB2088">
        <v>4</v>
      </c>
      <c r="AC2088">
        <v>1</v>
      </c>
      <c r="AF2088">
        <v>1991</v>
      </c>
      <c r="AG2088">
        <v>1992</v>
      </c>
      <c r="AO2088" t="b">
        <v>0</v>
      </c>
      <c r="AT2088">
        <v>269</v>
      </c>
      <c r="AU2088">
        <f t="shared" si="98"/>
        <v>0.73699999999999999</v>
      </c>
    </row>
    <row r="2089" spans="1:47" x14ac:dyDescent="0.3">
      <c r="A2089">
        <v>2087</v>
      </c>
      <c r="B2089" t="s">
        <v>8561</v>
      </c>
      <c r="C2089" t="s">
        <v>8562</v>
      </c>
      <c r="D2089">
        <v>372</v>
      </c>
      <c r="E2089" t="s">
        <v>8558</v>
      </c>
      <c r="F2089" t="str">
        <f>VLOOKUP(E2089,country_continent!A:C,2,FALSE)</f>
        <v>Georgia</v>
      </c>
      <c r="G2089" t="str">
        <f>VLOOKUP(E2089,country_continent!A:C,3,FALSE)</f>
        <v>Asia</v>
      </c>
      <c r="H2089" t="s">
        <v>8563</v>
      </c>
      <c r="I2089" s="1">
        <v>33609</v>
      </c>
      <c r="J2089" s="3">
        <f t="shared" si="96"/>
        <v>33609</v>
      </c>
      <c r="K2089" s="1">
        <v>33673</v>
      </c>
      <c r="L2089" s="3">
        <f t="shared" si="97"/>
        <v>33673</v>
      </c>
      <c r="M2089" t="s">
        <v>67</v>
      </c>
      <c r="N2089" t="s">
        <v>49</v>
      </c>
      <c r="O2089" t="s">
        <v>49</v>
      </c>
      <c r="P2089">
        <v>0</v>
      </c>
      <c r="Q2089" t="s">
        <v>50</v>
      </c>
      <c r="R2089" t="s">
        <v>51</v>
      </c>
      <c r="S2089">
        <v>1926</v>
      </c>
      <c r="T2089">
        <v>2003</v>
      </c>
      <c r="U2089" s="1">
        <v>9688</v>
      </c>
      <c r="V2089" s="2">
        <v>9688</v>
      </c>
      <c r="W2089" s="1">
        <v>37684</v>
      </c>
      <c r="X2089" s="2">
        <v>37684</v>
      </c>
      <c r="Z2089">
        <v>1</v>
      </c>
      <c r="AA2089">
        <v>1</v>
      </c>
      <c r="AB2089">
        <v>0</v>
      </c>
      <c r="AC2089">
        <v>0</v>
      </c>
      <c r="AF2089">
        <v>1992</v>
      </c>
      <c r="AG2089">
        <v>1992</v>
      </c>
      <c r="AO2089" t="b">
        <v>0</v>
      </c>
      <c r="AT2089">
        <v>64</v>
      </c>
      <c r="AU2089">
        <f t="shared" si="98"/>
        <v>0.17499999999999999</v>
      </c>
    </row>
    <row r="2090" spans="1:47" x14ac:dyDescent="0.3">
      <c r="A2090">
        <v>2088</v>
      </c>
      <c r="B2090" t="s">
        <v>8564</v>
      </c>
      <c r="C2090" t="s">
        <v>8565</v>
      </c>
      <c r="D2090">
        <v>372</v>
      </c>
      <c r="E2090" t="s">
        <v>8558</v>
      </c>
      <c r="F2090" t="str">
        <f>VLOOKUP(E2090,country_continent!A:C,2,FALSE)</f>
        <v>Georgia</v>
      </c>
      <c r="G2090" t="str">
        <f>VLOOKUP(E2090,country_continent!A:C,3,FALSE)</f>
        <v>Asia</v>
      </c>
      <c r="H2090" t="s">
        <v>8566</v>
      </c>
      <c r="I2090" s="1">
        <v>33673</v>
      </c>
      <c r="J2090" s="3">
        <f t="shared" si="96"/>
        <v>33673</v>
      </c>
      <c r="K2090" s="1">
        <v>37948</v>
      </c>
      <c r="L2090" s="3">
        <f t="shared" si="97"/>
        <v>37948</v>
      </c>
      <c r="M2090" t="s">
        <v>49</v>
      </c>
      <c r="N2090" t="s">
        <v>67</v>
      </c>
      <c r="O2090" t="s">
        <v>613</v>
      </c>
      <c r="P2090">
        <v>0</v>
      </c>
      <c r="Q2090" t="s">
        <v>50</v>
      </c>
      <c r="R2090" t="s">
        <v>51</v>
      </c>
      <c r="S2090">
        <v>1928</v>
      </c>
      <c r="T2090">
        <v>-777</v>
      </c>
      <c r="U2090" s="1">
        <v>10252</v>
      </c>
      <c r="V2090" s="2">
        <v>10252</v>
      </c>
      <c r="Y2090" t="s">
        <v>8567</v>
      </c>
      <c r="Z2090">
        <v>0</v>
      </c>
      <c r="AA2090">
        <v>3</v>
      </c>
      <c r="AB2090">
        <v>2</v>
      </c>
      <c r="AC2090">
        <v>0</v>
      </c>
      <c r="AF2090">
        <v>1992</v>
      </c>
      <c r="AG2090">
        <v>2003</v>
      </c>
      <c r="AO2090" t="b">
        <v>0</v>
      </c>
      <c r="AT2090">
        <v>4275</v>
      </c>
      <c r="AU2090">
        <f t="shared" si="98"/>
        <v>11.712</v>
      </c>
    </row>
    <row r="2091" spans="1:47" x14ac:dyDescent="0.3">
      <c r="A2091">
        <v>2089</v>
      </c>
      <c r="B2091" t="s">
        <v>8568</v>
      </c>
      <c r="C2091" t="s">
        <v>8569</v>
      </c>
      <c r="D2091">
        <v>372</v>
      </c>
      <c r="E2091" t="s">
        <v>8558</v>
      </c>
      <c r="F2091" t="str">
        <f>VLOOKUP(E2091,country_continent!A:C,2,FALSE)</f>
        <v>Georgia</v>
      </c>
      <c r="G2091" t="str">
        <f>VLOOKUP(E2091,country_continent!A:C,3,FALSE)</f>
        <v>Asia</v>
      </c>
      <c r="H2091" t="s">
        <v>8570</v>
      </c>
      <c r="I2091" s="1">
        <v>37948</v>
      </c>
      <c r="J2091" s="3">
        <f t="shared" si="96"/>
        <v>37948</v>
      </c>
      <c r="K2091" s="1">
        <v>38011</v>
      </c>
      <c r="L2091" s="3">
        <f t="shared" si="97"/>
        <v>38011</v>
      </c>
      <c r="M2091" t="s">
        <v>49</v>
      </c>
      <c r="N2091" t="s">
        <v>49</v>
      </c>
      <c r="O2091" t="s">
        <v>49</v>
      </c>
      <c r="P2091">
        <v>0</v>
      </c>
      <c r="Q2091" t="s">
        <v>50</v>
      </c>
      <c r="R2091" t="s">
        <v>299</v>
      </c>
      <c r="S2091">
        <v>1964</v>
      </c>
      <c r="T2091">
        <v>-777</v>
      </c>
      <c r="U2091" s="1">
        <v>23574</v>
      </c>
      <c r="V2091" s="2">
        <v>23574</v>
      </c>
      <c r="Y2091" t="s">
        <v>8571</v>
      </c>
      <c r="Z2091">
        <v>0</v>
      </c>
      <c r="AA2091">
        <v>1</v>
      </c>
      <c r="AB2091">
        <v>0</v>
      </c>
      <c r="AC2091">
        <v>0</v>
      </c>
      <c r="AF2091">
        <v>2003</v>
      </c>
      <c r="AG2091">
        <v>2004</v>
      </c>
      <c r="AO2091" t="b">
        <v>0</v>
      </c>
      <c r="AT2091">
        <v>63</v>
      </c>
      <c r="AU2091">
        <f t="shared" si="98"/>
        <v>0.17299999999999999</v>
      </c>
    </row>
    <row r="2092" spans="1:47" x14ac:dyDescent="0.3">
      <c r="A2092">
        <v>2090</v>
      </c>
      <c r="B2092" t="s">
        <v>8572</v>
      </c>
      <c r="C2092" t="s">
        <v>8573</v>
      </c>
      <c r="D2092">
        <v>372</v>
      </c>
      <c r="E2092" t="s">
        <v>8558</v>
      </c>
      <c r="F2092" t="str">
        <f>VLOOKUP(E2092,country_continent!A:C,2,FALSE)</f>
        <v>Georgia</v>
      </c>
      <c r="G2092" t="str">
        <f>VLOOKUP(E2092,country_continent!A:C,3,FALSE)</f>
        <v>Asia</v>
      </c>
      <c r="H2092" t="s">
        <v>8574</v>
      </c>
      <c r="I2092" s="1">
        <v>38011</v>
      </c>
      <c r="J2092" s="3">
        <f t="shared" si="96"/>
        <v>38011</v>
      </c>
      <c r="K2092" s="1">
        <v>39411</v>
      </c>
      <c r="L2092" s="3">
        <f t="shared" si="97"/>
        <v>39411</v>
      </c>
      <c r="M2092" t="s">
        <v>49</v>
      </c>
      <c r="N2092" t="s">
        <v>67</v>
      </c>
      <c r="O2092" t="s">
        <v>613</v>
      </c>
      <c r="P2092">
        <v>0</v>
      </c>
      <c r="Q2092" t="s">
        <v>50</v>
      </c>
      <c r="R2092" t="s">
        <v>51</v>
      </c>
      <c r="S2092">
        <v>1967</v>
      </c>
      <c r="T2092">
        <v>-777</v>
      </c>
      <c r="U2092" s="1">
        <v>24827</v>
      </c>
      <c r="V2092" s="2">
        <v>24827</v>
      </c>
      <c r="Y2092" t="s">
        <v>8575</v>
      </c>
      <c r="Z2092">
        <v>0</v>
      </c>
      <c r="AA2092">
        <v>3</v>
      </c>
      <c r="AB2092">
        <v>2</v>
      </c>
      <c r="AC2092">
        <v>0</v>
      </c>
      <c r="AF2092">
        <v>2004</v>
      </c>
      <c r="AG2092">
        <v>2007</v>
      </c>
      <c r="AO2092" t="b">
        <v>0</v>
      </c>
      <c r="AT2092">
        <v>1400</v>
      </c>
      <c r="AU2092">
        <f t="shared" si="98"/>
        <v>3.8359999999999999</v>
      </c>
    </row>
    <row r="2093" spans="1:47" x14ac:dyDescent="0.3">
      <c r="A2093">
        <v>2091</v>
      </c>
      <c r="B2093" t="s">
        <v>8576</v>
      </c>
      <c r="C2093" t="s">
        <v>8577</v>
      </c>
      <c r="D2093">
        <v>372</v>
      </c>
      <c r="E2093" t="s">
        <v>8558</v>
      </c>
      <c r="F2093" t="str">
        <f>VLOOKUP(E2093,country_continent!A:C,2,FALSE)</f>
        <v>Georgia</v>
      </c>
      <c r="G2093" t="str">
        <f>VLOOKUP(E2093,country_continent!A:C,3,FALSE)</f>
        <v>Asia</v>
      </c>
      <c r="H2093" t="s">
        <v>8578</v>
      </c>
      <c r="I2093" s="1">
        <v>39411</v>
      </c>
      <c r="J2093" s="3">
        <f t="shared" si="96"/>
        <v>39411</v>
      </c>
      <c r="K2093" s="1">
        <v>39467</v>
      </c>
      <c r="L2093" s="3">
        <f t="shared" si="97"/>
        <v>39467</v>
      </c>
      <c r="M2093" t="s">
        <v>49</v>
      </c>
      <c r="N2093" t="s">
        <v>49</v>
      </c>
      <c r="O2093" t="s">
        <v>49</v>
      </c>
      <c r="P2093">
        <v>1</v>
      </c>
      <c r="Q2093" t="s">
        <v>50</v>
      </c>
      <c r="R2093" t="s">
        <v>51</v>
      </c>
      <c r="S2093">
        <v>1964</v>
      </c>
      <c r="T2093">
        <v>-777</v>
      </c>
      <c r="U2093" s="1">
        <v>23574</v>
      </c>
      <c r="V2093" s="2">
        <v>23574</v>
      </c>
      <c r="Z2093">
        <v>0</v>
      </c>
      <c r="AA2093">
        <v>1</v>
      </c>
      <c r="AB2093">
        <v>0</v>
      </c>
      <c r="AC2093">
        <v>0</v>
      </c>
      <c r="AF2093">
        <v>2007</v>
      </c>
      <c r="AG2093">
        <v>2008</v>
      </c>
      <c r="AO2093" t="b">
        <v>0</v>
      </c>
      <c r="AT2093">
        <v>56</v>
      </c>
      <c r="AU2093">
        <f t="shared" si="98"/>
        <v>0.153</v>
      </c>
    </row>
    <row r="2094" spans="1:47" x14ac:dyDescent="0.3">
      <c r="A2094">
        <v>2092</v>
      </c>
      <c r="B2094" t="s">
        <v>8579</v>
      </c>
      <c r="C2094" t="s">
        <v>8573</v>
      </c>
      <c r="D2094">
        <v>372</v>
      </c>
      <c r="E2094" t="s">
        <v>8558</v>
      </c>
      <c r="F2094" t="str">
        <f>VLOOKUP(E2094,country_continent!A:C,2,FALSE)</f>
        <v>Georgia</v>
      </c>
      <c r="G2094" t="str">
        <f>VLOOKUP(E2094,country_continent!A:C,3,FALSE)</f>
        <v>Asia</v>
      </c>
      <c r="H2094" t="s">
        <v>8574</v>
      </c>
      <c r="I2094" s="1">
        <v>39467</v>
      </c>
      <c r="J2094" s="3">
        <f t="shared" si="96"/>
        <v>39467</v>
      </c>
      <c r="K2094" s="1">
        <v>41595</v>
      </c>
      <c r="L2094" s="3">
        <f t="shared" si="97"/>
        <v>41595</v>
      </c>
      <c r="M2094" t="s">
        <v>49</v>
      </c>
      <c r="N2094" t="s">
        <v>49</v>
      </c>
      <c r="O2094" t="s">
        <v>49</v>
      </c>
      <c r="P2094">
        <v>1</v>
      </c>
      <c r="Q2094" t="s">
        <v>50</v>
      </c>
      <c r="R2094" t="s">
        <v>51</v>
      </c>
      <c r="S2094">
        <v>1967</v>
      </c>
      <c r="T2094">
        <v>-777</v>
      </c>
      <c r="U2094" s="1">
        <v>24827</v>
      </c>
      <c r="V2094" s="2">
        <v>24827</v>
      </c>
      <c r="Z2094">
        <v>0</v>
      </c>
      <c r="AA2094">
        <v>1</v>
      </c>
      <c r="AB2094">
        <v>0</v>
      </c>
      <c r="AC2094">
        <v>0</v>
      </c>
      <c r="AF2094">
        <v>2008</v>
      </c>
      <c r="AG2094">
        <v>2013</v>
      </c>
      <c r="AO2094" t="b">
        <v>0</v>
      </c>
      <c r="AT2094">
        <v>2128</v>
      </c>
      <c r="AU2094">
        <f t="shared" si="98"/>
        <v>5.83</v>
      </c>
    </row>
    <row r="2095" spans="1:47" x14ac:dyDescent="0.3">
      <c r="A2095">
        <v>2093</v>
      </c>
      <c r="B2095" t="s">
        <v>8580</v>
      </c>
      <c r="C2095" t="s">
        <v>8581</v>
      </c>
      <c r="D2095">
        <v>372</v>
      </c>
      <c r="E2095" t="s">
        <v>8558</v>
      </c>
      <c r="F2095" t="str">
        <f>VLOOKUP(E2095,country_continent!A:C,2,FALSE)</f>
        <v>Georgia</v>
      </c>
      <c r="G2095" t="str">
        <f>VLOOKUP(E2095,country_continent!A:C,3,FALSE)</f>
        <v>Asia</v>
      </c>
      <c r="H2095" t="s">
        <v>8582</v>
      </c>
      <c r="I2095" s="1">
        <v>41595</v>
      </c>
      <c r="J2095" s="3">
        <f t="shared" si="96"/>
        <v>41595</v>
      </c>
      <c r="K2095" s="1">
        <v>42369</v>
      </c>
      <c r="L2095" s="3">
        <f t="shared" si="97"/>
        <v>42369</v>
      </c>
      <c r="M2095" t="s">
        <v>49</v>
      </c>
      <c r="N2095" t="s">
        <v>173</v>
      </c>
      <c r="O2095" t="s">
        <v>173</v>
      </c>
      <c r="P2095">
        <v>0</v>
      </c>
      <c r="Q2095" t="s">
        <v>174</v>
      </c>
      <c r="R2095" t="s">
        <v>51</v>
      </c>
      <c r="S2095">
        <v>1969</v>
      </c>
      <c r="T2095">
        <v>-777</v>
      </c>
      <c r="U2095" s="1">
        <v>25450</v>
      </c>
      <c r="V2095" s="2">
        <v>25450</v>
      </c>
      <c r="Z2095">
        <v>0</v>
      </c>
      <c r="AA2095">
        <v>-888</v>
      </c>
      <c r="AB2095">
        <v>-888</v>
      </c>
      <c r="AC2095">
        <v>-888</v>
      </c>
      <c r="AF2095">
        <v>2013</v>
      </c>
      <c r="AG2095">
        <v>2015</v>
      </c>
      <c r="AO2095" t="b">
        <v>0</v>
      </c>
      <c r="AT2095">
        <v>774</v>
      </c>
      <c r="AU2095">
        <f t="shared" si="98"/>
        <v>2.121</v>
      </c>
    </row>
    <row r="2096" spans="1:47" x14ac:dyDescent="0.3">
      <c r="A2096">
        <v>2094</v>
      </c>
      <c r="B2096" t="s">
        <v>8583</v>
      </c>
      <c r="C2096" t="s">
        <v>8584</v>
      </c>
      <c r="D2096">
        <v>373</v>
      </c>
      <c r="E2096" t="s">
        <v>8585</v>
      </c>
      <c r="F2096" t="str">
        <f>VLOOKUP(E2096,country_continent!A:C,2,FALSE)</f>
        <v>Azerbaijan</v>
      </c>
      <c r="G2096" t="str">
        <f>VLOOKUP(E2096,country_continent!A:C,3,FALSE)</f>
        <v>Asia</v>
      </c>
      <c r="H2096" t="s">
        <v>8586</v>
      </c>
      <c r="I2096" s="1">
        <v>33489</v>
      </c>
      <c r="J2096" s="3">
        <f t="shared" si="96"/>
        <v>33489</v>
      </c>
      <c r="K2096" s="1">
        <v>33669</v>
      </c>
      <c r="L2096" s="3">
        <f t="shared" si="97"/>
        <v>33669</v>
      </c>
      <c r="M2096" t="s">
        <v>49</v>
      </c>
      <c r="N2096" t="s">
        <v>49</v>
      </c>
      <c r="O2096" t="s">
        <v>49</v>
      </c>
      <c r="P2096">
        <v>0</v>
      </c>
      <c r="Q2096" t="s">
        <v>50</v>
      </c>
      <c r="R2096" t="s">
        <v>51</v>
      </c>
      <c r="S2096">
        <v>1938</v>
      </c>
      <c r="T2096">
        <v>-777</v>
      </c>
      <c r="U2096" s="1">
        <v>14012</v>
      </c>
      <c r="V2096" s="2">
        <v>14012</v>
      </c>
      <c r="Y2096" t="s">
        <v>8587</v>
      </c>
      <c r="Z2096">
        <v>0</v>
      </c>
      <c r="AA2096">
        <v>1</v>
      </c>
      <c r="AB2096">
        <v>0</v>
      </c>
      <c r="AC2096">
        <v>0</v>
      </c>
      <c r="AF2096">
        <v>1991</v>
      </c>
      <c r="AG2096">
        <v>1992</v>
      </c>
      <c r="AH2096">
        <v>-12.8867926296266</v>
      </c>
      <c r="AI2096">
        <v>160</v>
      </c>
      <c r="AJ2096">
        <v>574.43937142682501</v>
      </c>
      <c r="AK2096">
        <v>95.1</v>
      </c>
      <c r="AL2096">
        <v>1.42103709976994</v>
      </c>
      <c r="AM2096">
        <v>8.6833413298667494</v>
      </c>
      <c r="AN2096">
        <v>1</v>
      </c>
      <c r="AO2096" t="b">
        <v>0</v>
      </c>
      <c r="AT2096">
        <v>180</v>
      </c>
      <c r="AU2096">
        <f t="shared" si="98"/>
        <v>0.49299999999999999</v>
      </c>
    </row>
    <row r="2097" spans="1:47" x14ac:dyDescent="0.3">
      <c r="A2097">
        <v>2095</v>
      </c>
      <c r="B2097" t="s">
        <v>8588</v>
      </c>
      <c r="C2097" t="s">
        <v>8589</v>
      </c>
      <c r="D2097">
        <v>373</v>
      </c>
      <c r="E2097" t="s">
        <v>8585</v>
      </c>
      <c r="F2097" t="str">
        <f>VLOOKUP(E2097,country_continent!A:C,2,FALSE)</f>
        <v>Azerbaijan</v>
      </c>
      <c r="G2097" t="str">
        <f>VLOOKUP(E2097,country_continent!A:C,3,FALSE)</f>
        <v>Asia</v>
      </c>
      <c r="H2097" t="s">
        <v>8590</v>
      </c>
      <c r="I2097" s="1">
        <v>33669</v>
      </c>
      <c r="J2097" s="3">
        <f t="shared" si="96"/>
        <v>33669</v>
      </c>
      <c r="K2097" s="1">
        <v>33738</v>
      </c>
      <c r="L2097" s="3">
        <f t="shared" si="97"/>
        <v>33738</v>
      </c>
      <c r="M2097" t="s">
        <v>49</v>
      </c>
      <c r="N2097" t="s">
        <v>49</v>
      </c>
      <c r="O2097" t="s">
        <v>49</v>
      </c>
      <c r="P2097">
        <v>0</v>
      </c>
      <c r="Q2097" t="s">
        <v>1453</v>
      </c>
      <c r="R2097" t="s">
        <v>51</v>
      </c>
      <c r="S2097">
        <v>1941</v>
      </c>
      <c r="T2097">
        <v>-777</v>
      </c>
      <c r="Z2097">
        <v>0</v>
      </c>
      <c r="AA2097">
        <v>1</v>
      </c>
      <c r="AB2097">
        <v>0</v>
      </c>
      <c r="AC2097">
        <v>-666</v>
      </c>
      <c r="AF2097">
        <v>1992</v>
      </c>
      <c r="AG2097">
        <v>1992</v>
      </c>
      <c r="AH2097">
        <v>-23.761202155725702</v>
      </c>
      <c r="AI2097">
        <v>160</v>
      </c>
      <c r="AJ2097">
        <v>1065.3292301853101</v>
      </c>
      <c r="AK2097">
        <v>95.2</v>
      </c>
      <c r="AL2097">
        <v>1.5116285201095101</v>
      </c>
      <c r="AN2097">
        <v>1</v>
      </c>
      <c r="AO2097" t="b">
        <v>0</v>
      </c>
      <c r="AT2097">
        <v>69</v>
      </c>
      <c r="AU2097">
        <f t="shared" si="98"/>
        <v>0.189</v>
      </c>
    </row>
    <row r="2098" spans="1:47" x14ac:dyDescent="0.3">
      <c r="A2098">
        <v>2096</v>
      </c>
      <c r="B2098" t="s">
        <v>8591</v>
      </c>
      <c r="C2098" t="s">
        <v>8584</v>
      </c>
      <c r="D2098">
        <v>373</v>
      </c>
      <c r="E2098" t="s">
        <v>8585</v>
      </c>
      <c r="F2098" t="str">
        <f>VLOOKUP(E2098,country_continent!A:C,2,FALSE)</f>
        <v>Azerbaijan</v>
      </c>
      <c r="G2098" t="str">
        <f>VLOOKUP(E2098,country_continent!A:C,3,FALSE)</f>
        <v>Asia</v>
      </c>
      <c r="H2098" t="s">
        <v>8586</v>
      </c>
      <c r="I2098" s="1">
        <v>33738</v>
      </c>
      <c r="J2098" s="3">
        <f t="shared" si="96"/>
        <v>33738</v>
      </c>
      <c r="K2098" s="1">
        <v>33742</v>
      </c>
      <c r="L2098" s="3">
        <f t="shared" si="97"/>
        <v>33742</v>
      </c>
      <c r="M2098" t="s">
        <v>49</v>
      </c>
      <c r="N2098" t="s">
        <v>67</v>
      </c>
      <c r="O2098" t="s">
        <v>613</v>
      </c>
      <c r="P2098">
        <v>1</v>
      </c>
      <c r="Q2098" t="s">
        <v>362</v>
      </c>
      <c r="R2098" t="s">
        <v>51</v>
      </c>
      <c r="S2098">
        <v>1938</v>
      </c>
      <c r="T2098">
        <v>-777</v>
      </c>
      <c r="U2098" s="1">
        <v>14012</v>
      </c>
      <c r="V2098" s="2">
        <v>14012</v>
      </c>
      <c r="Y2098" t="s">
        <v>8587</v>
      </c>
      <c r="Z2098">
        <v>0</v>
      </c>
      <c r="AA2098">
        <v>3</v>
      </c>
      <c r="AB2098">
        <v>2</v>
      </c>
      <c r="AC2098">
        <v>1</v>
      </c>
      <c r="AF2098">
        <v>1992</v>
      </c>
      <c r="AG2098">
        <v>1992</v>
      </c>
      <c r="AH2098">
        <v>-23.761202155725702</v>
      </c>
      <c r="AI2098">
        <v>160</v>
      </c>
      <c r="AJ2098">
        <v>1065.3292301853101</v>
      </c>
      <c r="AK2098">
        <v>95.2</v>
      </c>
      <c r="AL2098">
        <v>1.5116285201095101</v>
      </c>
      <c r="AN2098">
        <v>1</v>
      </c>
      <c r="AO2098" t="b">
        <v>0</v>
      </c>
      <c r="AT2098">
        <v>4</v>
      </c>
      <c r="AU2098">
        <f t="shared" si="98"/>
        <v>1.0999999999999999E-2</v>
      </c>
    </row>
    <row r="2099" spans="1:47" x14ac:dyDescent="0.3">
      <c r="A2099">
        <v>2097</v>
      </c>
      <c r="B2099" t="s">
        <v>8592</v>
      </c>
      <c r="C2099" t="s">
        <v>8593</v>
      </c>
      <c r="D2099">
        <v>373</v>
      </c>
      <c r="E2099" t="s">
        <v>8585</v>
      </c>
      <c r="F2099" t="str">
        <f>VLOOKUP(E2099,country_continent!A:C,2,FALSE)</f>
        <v>Azerbaijan</v>
      </c>
      <c r="G2099" t="str">
        <f>VLOOKUP(E2099,country_continent!A:C,3,FALSE)</f>
        <v>Asia</v>
      </c>
      <c r="H2099" t="s">
        <v>8594</v>
      </c>
      <c r="I2099" s="1">
        <v>33743</v>
      </c>
      <c r="J2099" s="3">
        <f t="shared" si="96"/>
        <v>33743</v>
      </c>
      <c r="K2099" s="1">
        <v>33771</v>
      </c>
      <c r="L2099" s="3">
        <f t="shared" si="97"/>
        <v>33771</v>
      </c>
      <c r="M2099" t="s">
        <v>67</v>
      </c>
      <c r="N2099" t="s">
        <v>49</v>
      </c>
      <c r="O2099" t="s">
        <v>49</v>
      </c>
      <c r="P2099">
        <v>0</v>
      </c>
      <c r="Q2099" t="s">
        <v>50</v>
      </c>
      <c r="R2099" t="s">
        <v>51</v>
      </c>
      <c r="S2099">
        <v>1957</v>
      </c>
      <c r="T2099">
        <v>-777</v>
      </c>
      <c r="Z2099">
        <v>1</v>
      </c>
      <c r="AA2099">
        <v>1</v>
      </c>
      <c r="AB2099">
        <v>0</v>
      </c>
      <c r="AC2099">
        <v>0</v>
      </c>
      <c r="AF2099">
        <v>1992</v>
      </c>
      <c r="AG2099">
        <v>1992</v>
      </c>
      <c r="AH2099">
        <v>-23.761202155725702</v>
      </c>
      <c r="AI2099">
        <v>160</v>
      </c>
      <c r="AJ2099">
        <v>1065.3292301853101</v>
      </c>
      <c r="AK2099">
        <v>95.2</v>
      </c>
      <c r="AL2099">
        <v>1.5116285201095101</v>
      </c>
      <c r="AN2099">
        <v>1</v>
      </c>
      <c r="AO2099" t="b">
        <v>0</v>
      </c>
      <c r="AT2099">
        <v>28</v>
      </c>
      <c r="AU2099">
        <f t="shared" si="98"/>
        <v>7.6999999999999999E-2</v>
      </c>
    </row>
    <row r="2100" spans="1:47" x14ac:dyDescent="0.3">
      <c r="A2100">
        <v>2098</v>
      </c>
      <c r="B2100" t="s">
        <v>8595</v>
      </c>
      <c r="C2100" t="s">
        <v>8596</v>
      </c>
      <c r="D2100">
        <v>373</v>
      </c>
      <c r="E2100" t="s">
        <v>8585</v>
      </c>
      <c r="F2100" t="str">
        <f>VLOOKUP(E2100,country_continent!A:C,2,FALSE)</f>
        <v>Azerbaijan</v>
      </c>
      <c r="G2100" t="str">
        <f>VLOOKUP(E2100,country_continent!A:C,3,FALSE)</f>
        <v>Asia</v>
      </c>
      <c r="H2100" t="s">
        <v>8597</v>
      </c>
      <c r="I2100" s="1">
        <v>33771</v>
      </c>
      <c r="J2100" s="3">
        <f t="shared" si="96"/>
        <v>33771</v>
      </c>
      <c r="K2100" s="1">
        <v>34138</v>
      </c>
      <c r="L2100" s="3">
        <f t="shared" si="97"/>
        <v>34138</v>
      </c>
      <c r="M2100" t="s">
        <v>67</v>
      </c>
      <c r="N2100" t="s">
        <v>67</v>
      </c>
      <c r="O2100" t="s">
        <v>433</v>
      </c>
      <c r="P2100">
        <v>0</v>
      </c>
      <c r="Q2100" t="s">
        <v>50</v>
      </c>
      <c r="R2100" t="s">
        <v>51</v>
      </c>
      <c r="S2100">
        <v>1938</v>
      </c>
      <c r="T2100">
        <v>2000</v>
      </c>
      <c r="U2100" s="1">
        <v>14038</v>
      </c>
      <c r="V2100" s="2">
        <v>14038</v>
      </c>
      <c r="W2100" s="1">
        <v>36760</v>
      </c>
      <c r="X2100" s="2">
        <v>36760</v>
      </c>
      <c r="Y2100" t="s">
        <v>8598</v>
      </c>
      <c r="Z2100">
        <v>1</v>
      </c>
      <c r="AA2100">
        <v>3</v>
      </c>
      <c r="AB2100">
        <v>4</v>
      </c>
      <c r="AC2100">
        <v>0</v>
      </c>
      <c r="AF2100">
        <v>1992</v>
      </c>
      <c r="AG2100">
        <v>1993</v>
      </c>
      <c r="AH2100">
        <v>-24.009033160266899</v>
      </c>
      <c r="AI2100">
        <v>135</v>
      </c>
      <c r="AJ2100">
        <v>906.22687515607197</v>
      </c>
      <c r="AK2100">
        <v>95.2</v>
      </c>
      <c r="AL2100">
        <v>1.51371770631303</v>
      </c>
      <c r="AM2100">
        <v>41.010988674076501</v>
      </c>
      <c r="AN2100">
        <v>-1</v>
      </c>
      <c r="AO2100" t="b">
        <v>0</v>
      </c>
      <c r="AT2100">
        <v>367</v>
      </c>
      <c r="AU2100">
        <f t="shared" si="98"/>
        <v>1.0049999999999999</v>
      </c>
    </row>
    <row r="2101" spans="1:47" x14ac:dyDescent="0.3">
      <c r="A2101">
        <v>2099</v>
      </c>
      <c r="B2101" t="s">
        <v>8599</v>
      </c>
      <c r="C2101" t="s">
        <v>8600</v>
      </c>
      <c r="D2101">
        <v>373</v>
      </c>
      <c r="E2101" t="s">
        <v>8585</v>
      </c>
      <c r="F2101" t="str">
        <f>VLOOKUP(E2101,country_continent!A:C,2,FALSE)</f>
        <v>Azerbaijan</v>
      </c>
      <c r="G2101" t="str">
        <f>VLOOKUP(E2101,country_continent!A:C,3,FALSE)</f>
        <v>Asia</v>
      </c>
      <c r="H2101" t="s">
        <v>8601</v>
      </c>
      <c r="I2101" s="1">
        <v>34144</v>
      </c>
      <c r="J2101" s="3">
        <f t="shared" si="96"/>
        <v>34144</v>
      </c>
      <c r="K2101" s="1">
        <v>37837</v>
      </c>
      <c r="L2101" s="3">
        <f t="shared" si="97"/>
        <v>37837</v>
      </c>
      <c r="M2101" t="s">
        <v>49</v>
      </c>
      <c r="N2101" t="s">
        <v>228</v>
      </c>
      <c r="O2101" t="s">
        <v>49</v>
      </c>
      <c r="P2101">
        <v>0</v>
      </c>
      <c r="Q2101" t="s">
        <v>50</v>
      </c>
      <c r="R2101" t="s">
        <v>51</v>
      </c>
      <c r="S2101">
        <v>1923</v>
      </c>
      <c r="T2101">
        <v>2003</v>
      </c>
      <c r="U2101" s="1">
        <v>8531</v>
      </c>
      <c r="V2101" s="2">
        <v>8531</v>
      </c>
      <c r="W2101" s="1">
        <v>37967</v>
      </c>
      <c r="X2101" s="2">
        <v>37967</v>
      </c>
      <c r="Y2101" t="s">
        <v>8602</v>
      </c>
      <c r="Z2101">
        <v>0</v>
      </c>
      <c r="AA2101">
        <v>2.0999998999999998</v>
      </c>
      <c r="AB2101">
        <v>0</v>
      </c>
      <c r="AC2101">
        <v>0</v>
      </c>
      <c r="AD2101" t="s">
        <v>8603</v>
      </c>
      <c r="AE2101">
        <v>0</v>
      </c>
      <c r="AF2101">
        <v>1993</v>
      </c>
      <c r="AG2101">
        <v>2003</v>
      </c>
      <c r="AH2101">
        <v>-1.0383802719849899E-2</v>
      </c>
      <c r="AI2101">
        <v>456.36363636363598</v>
      </c>
      <c r="AJ2101">
        <v>249.262780112858</v>
      </c>
      <c r="AK2101">
        <v>81.054545454545405</v>
      </c>
      <c r="AL2101">
        <v>0.99302445656833405</v>
      </c>
      <c r="AM2101">
        <v>26.699292685337099</v>
      </c>
      <c r="AN2101">
        <v>-6</v>
      </c>
      <c r="AO2101" t="b">
        <v>0</v>
      </c>
      <c r="AT2101">
        <v>3693</v>
      </c>
      <c r="AU2101">
        <f t="shared" si="98"/>
        <v>10.118</v>
      </c>
    </row>
    <row r="2102" spans="1:47" x14ac:dyDescent="0.3">
      <c r="A2102">
        <v>2100</v>
      </c>
      <c r="B2102" t="s">
        <v>8604</v>
      </c>
      <c r="C2102" t="s">
        <v>8605</v>
      </c>
      <c r="D2102">
        <v>373</v>
      </c>
      <c r="E2102" t="s">
        <v>8585</v>
      </c>
      <c r="F2102" t="str">
        <f>VLOOKUP(E2102,country_continent!A:C,2,FALSE)</f>
        <v>Azerbaijan</v>
      </c>
      <c r="G2102" t="str">
        <f>VLOOKUP(E2102,country_continent!A:C,3,FALSE)</f>
        <v>Asia</v>
      </c>
      <c r="H2102" t="s">
        <v>8606</v>
      </c>
      <c r="I2102" s="1">
        <v>37837</v>
      </c>
      <c r="J2102" s="3">
        <f t="shared" si="96"/>
        <v>37837</v>
      </c>
      <c r="K2102" s="1">
        <v>42369</v>
      </c>
      <c r="L2102" s="3">
        <f t="shared" si="97"/>
        <v>42369</v>
      </c>
      <c r="M2102" t="s">
        <v>49</v>
      </c>
      <c r="N2102" t="s">
        <v>173</v>
      </c>
      <c r="O2102" t="s">
        <v>173</v>
      </c>
      <c r="P2102">
        <v>0</v>
      </c>
      <c r="Q2102" t="s">
        <v>174</v>
      </c>
      <c r="R2102" t="s">
        <v>51</v>
      </c>
      <c r="S2102">
        <v>1961</v>
      </c>
      <c r="T2102">
        <v>-777</v>
      </c>
      <c r="U2102" s="1">
        <v>22639</v>
      </c>
      <c r="V2102" s="2">
        <v>22639</v>
      </c>
      <c r="Y2102" t="s">
        <v>8607</v>
      </c>
      <c r="Z2102">
        <v>0</v>
      </c>
      <c r="AA2102">
        <v>-888</v>
      </c>
      <c r="AB2102">
        <v>-888</v>
      </c>
      <c r="AC2102">
        <v>-888</v>
      </c>
      <c r="AD2102" t="s">
        <v>8608</v>
      </c>
      <c r="AF2102">
        <v>2003</v>
      </c>
      <c r="AG2102">
        <v>2015</v>
      </c>
      <c r="AH2102">
        <v>9.5549413112711203</v>
      </c>
      <c r="AI2102">
        <v>4276.9230769230699</v>
      </c>
      <c r="AJ2102">
        <v>7.9594883731564101</v>
      </c>
      <c r="AK2102">
        <v>41.423076923076898</v>
      </c>
      <c r="AL2102">
        <v>1.27832357215517</v>
      </c>
      <c r="AM2102">
        <v>30.691267744321902</v>
      </c>
      <c r="AN2102">
        <v>-7</v>
      </c>
      <c r="AO2102" t="b">
        <v>0</v>
      </c>
      <c r="AT2102">
        <v>4532</v>
      </c>
      <c r="AU2102">
        <f t="shared" si="98"/>
        <v>12.416</v>
      </c>
    </row>
    <row r="2103" spans="1:47" x14ac:dyDescent="0.3">
      <c r="A2103">
        <v>2101</v>
      </c>
      <c r="B2103" t="s">
        <v>8609</v>
      </c>
      <c r="C2103" t="s">
        <v>8610</v>
      </c>
      <c r="D2103">
        <v>375</v>
      </c>
      <c r="E2103" t="s">
        <v>8611</v>
      </c>
      <c r="F2103" t="str">
        <f>VLOOKUP(E2103,country_continent!A:C,2,FALSE)</f>
        <v>Finland</v>
      </c>
      <c r="G2103" t="str">
        <f>VLOOKUP(E2103,country_continent!A:C,3,FALSE)</f>
        <v>Europe</v>
      </c>
      <c r="H2103" t="s">
        <v>8612</v>
      </c>
      <c r="I2103" s="1">
        <v>6541</v>
      </c>
      <c r="J2103" s="3">
        <f t="shared" si="96"/>
        <v>6541</v>
      </c>
      <c r="K2103" s="1">
        <v>6921</v>
      </c>
      <c r="L2103" s="3">
        <f t="shared" si="97"/>
        <v>6921</v>
      </c>
      <c r="M2103" t="s">
        <v>49</v>
      </c>
      <c r="N2103" t="s">
        <v>228</v>
      </c>
      <c r="O2103" t="s">
        <v>49</v>
      </c>
      <c r="P2103">
        <v>0</v>
      </c>
      <c r="Q2103" t="s">
        <v>50</v>
      </c>
      <c r="R2103" t="s">
        <v>51</v>
      </c>
      <c r="S2103">
        <v>1861</v>
      </c>
      <c r="T2103">
        <v>1944</v>
      </c>
      <c r="U2103" t="s">
        <v>8613</v>
      </c>
      <c r="V2103" t="s">
        <v>8614</v>
      </c>
      <c r="Y2103" t="s">
        <v>8615</v>
      </c>
      <c r="Z2103">
        <v>0</v>
      </c>
      <c r="AA2103">
        <v>2.0999998999999998</v>
      </c>
      <c r="AB2103">
        <v>0</v>
      </c>
      <c r="AC2103">
        <v>0</v>
      </c>
      <c r="AF2103">
        <v>1917</v>
      </c>
      <c r="AG2103">
        <v>1918</v>
      </c>
      <c r="AO2103" t="b">
        <v>0</v>
      </c>
      <c r="AT2103">
        <v>380</v>
      </c>
      <c r="AU2103">
        <f t="shared" si="98"/>
        <v>1.0409999999999999</v>
      </c>
    </row>
    <row r="2104" spans="1:47" x14ac:dyDescent="0.3">
      <c r="A2104">
        <v>2102</v>
      </c>
      <c r="B2104" t="s">
        <v>8616</v>
      </c>
      <c r="C2104" t="s">
        <v>8617</v>
      </c>
      <c r="D2104">
        <v>375</v>
      </c>
      <c r="E2104" t="s">
        <v>8611</v>
      </c>
      <c r="F2104" t="str">
        <f>VLOOKUP(E2104,country_continent!A:C,2,FALSE)</f>
        <v>Finland</v>
      </c>
      <c r="G2104" t="str">
        <f>VLOOKUP(E2104,country_continent!A:C,3,FALSE)</f>
        <v>Europe</v>
      </c>
      <c r="H2104" t="s">
        <v>8618</v>
      </c>
      <c r="I2104" s="1">
        <v>6921</v>
      </c>
      <c r="J2104" s="3">
        <f t="shared" si="96"/>
        <v>6921</v>
      </c>
      <c r="K2104" s="1">
        <v>7121</v>
      </c>
      <c r="L2104" s="3">
        <f t="shared" si="97"/>
        <v>7121</v>
      </c>
      <c r="M2104" t="s">
        <v>49</v>
      </c>
      <c r="N2104" t="s">
        <v>49</v>
      </c>
      <c r="O2104" t="s">
        <v>49</v>
      </c>
      <c r="P2104">
        <v>0</v>
      </c>
      <c r="Q2104" t="s">
        <v>50</v>
      </c>
      <c r="R2104" t="s">
        <v>51</v>
      </c>
      <c r="S2104">
        <v>1867</v>
      </c>
      <c r="T2104">
        <v>1951</v>
      </c>
      <c r="U2104" t="s">
        <v>8619</v>
      </c>
      <c r="V2104" t="s">
        <v>8620</v>
      </c>
      <c r="W2104" s="1">
        <v>18655</v>
      </c>
      <c r="X2104" s="2">
        <v>18655</v>
      </c>
      <c r="Y2104" t="s">
        <v>8621</v>
      </c>
      <c r="Z2104">
        <v>0</v>
      </c>
      <c r="AA2104">
        <v>1</v>
      </c>
      <c r="AB2104">
        <v>0</v>
      </c>
      <c r="AC2104">
        <v>0</v>
      </c>
      <c r="AF2104">
        <v>1918</v>
      </c>
      <c r="AG2104">
        <v>1919</v>
      </c>
      <c r="AO2104" t="b">
        <v>0</v>
      </c>
      <c r="AT2104">
        <v>200</v>
      </c>
      <c r="AU2104">
        <f t="shared" si="98"/>
        <v>0.54800000000000004</v>
      </c>
    </row>
    <row r="2105" spans="1:47" x14ac:dyDescent="0.3">
      <c r="A2105">
        <v>2103</v>
      </c>
      <c r="B2105" t="s">
        <v>8622</v>
      </c>
      <c r="C2105" t="s">
        <v>8623</v>
      </c>
      <c r="D2105">
        <v>375</v>
      </c>
      <c r="E2105" t="s">
        <v>8611</v>
      </c>
      <c r="F2105" t="str">
        <f>VLOOKUP(E2105,country_continent!A:C,2,FALSE)</f>
        <v>Finland</v>
      </c>
      <c r="G2105" t="str">
        <f>VLOOKUP(E2105,country_continent!A:C,3,FALSE)</f>
        <v>Europe</v>
      </c>
      <c r="H2105" t="s">
        <v>8624</v>
      </c>
      <c r="I2105" s="1">
        <v>7146</v>
      </c>
      <c r="J2105" s="3">
        <f t="shared" si="96"/>
        <v>7146</v>
      </c>
      <c r="K2105" s="1">
        <v>9191</v>
      </c>
      <c r="L2105" s="3">
        <f t="shared" si="97"/>
        <v>9191</v>
      </c>
      <c r="M2105" t="s">
        <v>49</v>
      </c>
      <c r="N2105" t="s">
        <v>49</v>
      </c>
      <c r="O2105" t="s">
        <v>49</v>
      </c>
      <c r="P2105">
        <v>0</v>
      </c>
      <c r="Q2105" t="s">
        <v>50</v>
      </c>
      <c r="R2105" t="s">
        <v>51</v>
      </c>
      <c r="S2105">
        <v>1865</v>
      </c>
      <c r="T2105">
        <v>1952</v>
      </c>
      <c r="U2105" t="s">
        <v>8625</v>
      </c>
      <c r="V2105" t="s">
        <v>8626</v>
      </c>
      <c r="Y2105" t="s">
        <v>8627</v>
      </c>
      <c r="Z2105">
        <v>0</v>
      </c>
      <c r="AA2105">
        <v>1</v>
      </c>
      <c r="AB2105">
        <v>0</v>
      </c>
      <c r="AC2105">
        <v>0</v>
      </c>
      <c r="AF2105">
        <v>1919</v>
      </c>
      <c r="AG2105">
        <v>1925</v>
      </c>
      <c r="AO2105" t="b">
        <v>0</v>
      </c>
      <c r="AT2105">
        <v>2045</v>
      </c>
      <c r="AU2105">
        <f t="shared" si="98"/>
        <v>5.6029999999999998</v>
      </c>
    </row>
    <row r="2106" spans="1:47" x14ac:dyDescent="0.3">
      <c r="A2106">
        <v>2104</v>
      </c>
      <c r="B2106" t="s">
        <v>8628</v>
      </c>
      <c r="C2106" t="s">
        <v>8629</v>
      </c>
      <c r="D2106">
        <v>375</v>
      </c>
      <c r="E2106" t="s">
        <v>8611</v>
      </c>
      <c r="F2106" t="str">
        <f>VLOOKUP(E2106,country_continent!A:C,2,FALSE)</f>
        <v>Finland</v>
      </c>
      <c r="G2106" t="str">
        <f>VLOOKUP(E2106,country_continent!A:C,3,FALSE)</f>
        <v>Europe</v>
      </c>
      <c r="H2106" t="s">
        <v>8630</v>
      </c>
      <c r="I2106" s="1">
        <v>9192</v>
      </c>
      <c r="J2106" s="3">
        <f t="shared" si="96"/>
        <v>9192</v>
      </c>
      <c r="K2106" s="1">
        <v>11382</v>
      </c>
      <c r="L2106" s="3">
        <f t="shared" si="97"/>
        <v>11382</v>
      </c>
      <c r="M2106" t="s">
        <v>49</v>
      </c>
      <c r="N2106" t="s">
        <v>49</v>
      </c>
      <c r="O2106" t="s">
        <v>49</v>
      </c>
      <c r="P2106">
        <v>0</v>
      </c>
      <c r="Q2106" t="s">
        <v>50</v>
      </c>
      <c r="R2106" t="s">
        <v>51</v>
      </c>
      <c r="S2106">
        <v>1883</v>
      </c>
      <c r="T2106">
        <v>1942</v>
      </c>
      <c r="U2106" t="s">
        <v>8631</v>
      </c>
      <c r="V2106" t="s">
        <v>8632</v>
      </c>
      <c r="Y2106" t="s">
        <v>8633</v>
      </c>
      <c r="Z2106">
        <v>0</v>
      </c>
      <c r="AA2106">
        <v>1</v>
      </c>
      <c r="AB2106">
        <v>0</v>
      </c>
      <c r="AC2106">
        <v>0</v>
      </c>
      <c r="AF2106">
        <v>1925</v>
      </c>
      <c r="AG2106">
        <v>1931</v>
      </c>
      <c r="AO2106" t="b">
        <v>0</v>
      </c>
      <c r="AT2106">
        <v>2190</v>
      </c>
      <c r="AU2106">
        <f t="shared" si="98"/>
        <v>6</v>
      </c>
    </row>
    <row r="2107" spans="1:47" x14ac:dyDescent="0.3">
      <c r="A2107">
        <v>2105</v>
      </c>
      <c r="B2107" t="s">
        <v>8634</v>
      </c>
      <c r="C2107" t="s">
        <v>8610</v>
      </c>
      <c r="D2107">
        <v>375</v>
      </c>
      <c r="E2107" t="s">
        <v>8611</v>
      </c>
      <c r="F2107" t="str">
        <f>VLOOKUP(E2107,country_continent!A:C,2,FALSE)</f>
        <v>Finland</v>
      </c>
      <c r="G2107" t="str">
        <f>VLOOKUP(E2107,country_continent!A:C,3,FALSE)</f>
        <v>Europe</v>
      </c>
      <c r="H2107" t="s">
        <v>8612</v>
      </c>
      <c r="I2107" s="1">
        <v>11383</v>
      </c>
      <c r="J2107" s="3">
        <f t="shared" si="96"/>
        <v>11383</v>
      </c>
      <c r="K2107" s="1">
        <v>13574</v>
      </c>
      <c r="L2107" s="3">
        <f t="shared" si="97"/>
        <v>13574</v>
      </c>
      <c r="M2107" t="s">
        <v>49</v>
      </c>
      <c r="N2107" t="s">
        <v>49</v>
      </c>
      <c r="O2107" t="s">
        <v>49</v>
      </c>
      <c r="P2107">
        <v>1</v>
      </c>
      <c r="Q2107" t="s">
        <v>50</v>
      </c>
      <c r="R2107" t="s">
        <v>51</v>
      </c>
      <c r="S2107">
        <v>1861</v>
      </c>
      <c r="T2107">
        <v>1944</v>
      </c>
      <c r="U2107" t="s">
        <v>8613</v>
      </c>
      <c r="V2107" t="s">
        <v>8614</v>
      </c>
      <c r="Y2107" t="s">
        <v>8615</v>
      </c>
      <c r="Z2107">
        <v>0</v>
      </c>
      <c r="AA2107">
        <v>1</v>
      </c>
      <c r="AB2107">
        <v>0</v>
      </c>
      <c r="AC2107">
        <v>0</v>
      </c>
      <c r="AF2107">
        <v>1931</v>
      </c>
      <c r="AG2107">
        <v>1937</v>
      </c>
      <c r="AO2107" t="b">
        <v>0</v>
      </c>
      <c r="AT2107">
        <v>2191</v>
      </c>
      <c r="AU2107">
        <f t="shared" si="98"/>
        <v>6.0030000000000001</v>
      </c>
    </row>
    <row r="2108" spans="1:47" x14ac:dyDescent="0.3">
      <c r="A2108">
        <v>2106</v>
      </c>
      <c r="B2108" t="s">
        <v>8635</v>
      </c>
      <c r="C2108" t="s">
        <v>8636</v>
      </c>
      <c r="D2108">
        <v>375</v>
      </c>
      <c r="E2108" t="s">
        <v>8611</v>
      </c>
      <c r="F2108" t="str">
        <f>VLOOKUP(E2108,country_continent!A:C,2,FALSE)</f>
        <v>Finland</v>
      </c>
      <c r="G2108" t="str">
        <f>VLOOKUP(E2108,country_continent!A:C,3,FALSE)</f>
        <v>Europe</v>
      </c>
      <c r="H2108" t="s">
        <v>8637</v>
      </c>
      <c r="I2108" s="1">
        <v>13575</v>
      </c>
      <c r="J2108" s="3">
        <f t="shared" si="96"/>
        <v>13575</v>
      </c>
      <c r="K2108" s="1">
        <v>14943</v>
      </c>
      <c r="L2108" s="3">
        <f t="shared" si="97"/>
        <v>14943</v>
      </c>
      <c r="M2108" t="s">
        <v>49</v>
      </c>
      <c r="N2108" t="s">
        <v>228</v>
      </c>
      <c r="O2108" t="s">
        <v>49</v>
      </c>
      <c r="P2108">
        <v>0</v>
      </c>
      <c r="Q2108" t="s">
        <v>111</v>
      </c>
      <c r="R2108" t="s">
        <v>51</v>
      </c>
      <c r="S2108">
        <v>1873</v>
      </c>
      <c r="T2108">
        <v>1940</v>
      </c>
      <c r="U2108" t="s">
        <v>8638</v>
      </c>
      <c r="V2108" t="s">
        <v>8639</v>
      </c>
      <c r="Y2108" t="s">
        <v>8640</v>
      </c>
      <c r="Z2108">
        <v>0</v>
      </c>
      <c r="AA2108">
        <v>2.0999998999999998</v>
      </c>
      <c r="AB2108">
        <v>0</v>
      </c>
      <c r="AC2108">
        <v>-777</v>
      </c>
      <c r="AF2108">
        <v>1937</v>
      </c>
      <c r="AG2108">
        <v>1940</v>
      </c>
      <c r="AO2108" t="b">
        <v>0</v>
      </c>
      <c r="AT2108">
        <v>1368</v>
      </c>
      <c r="AU2108">
        <f t="shared" si="98"/>
        <v>3.7480000000000002</v>
      </c>
    </row>
    <row r="2109" spans="1:47" x14ac:dyDescent="0.3">
      <c r="A2109">
        <v>2107</v>
      </c>
      <c r="B2109" t="s">
        <v>8641</v>
      </c>
      <c r="C2109" t="s">
        <v>8642</v>
      </c>
      <c r="D2109">
        <v>375</v>
      </c>
      <c r="E2109" t="s">
        <v>8611</v>
      </c>
      <c r="F2109" t="str">
        <f>VLOOKUP(E2109,country_continent!A:C,2,FALSE)</f>
        <v>Finland</v>
      </c>
      <c r="G2109" t="str">
        <f>VLOOKUP(E2109,country_continent!A:C,3,FALSE)</f>
        <v>Europe</v>
      </c>
      <c r="H2109" t="s">
        <v>8643</v>
      </c>
      <c r="I2109" s="1">
        <v>14964</v>
      </c>
      <c r="J2109" s="3">
        <f t="shared" si="96"/>
        <v>14964</v>
      </c>
      <c r="K2109" s="1">
        <v>16285</v>
      </c>
      <c r="L2109" s="3">
        <f t="shared" si="97"/>
        <v>16285</v>
      </c>
      <c r="M2109" t="s">
        <v>49</v>
      </c>
      <c r="N2109" t="s">
        <v>49</v>
      </c>
      <c r="O2109" t="s">
        <v>49</v>
      </c>
      <c r="P2109">
        <v>0</v>
      </c>
      <c r="Q2109" t="s">
        <v>463</v>
      </c>
      <c r="R2109" t="s">
        <v>51</v>
      </c>
      <c r="S2109">
        <v>1889</v>
      </c>
      <c r="T2109">
        <v>1956</v>
      </c>
      <c r="U2109" t="s">
        <v>8644</v>
      </c>
      <c r="V2109" t="s">
        <v>8645</v>
      </c>
      <c r="Y2109" t="s">
        <v>8646</v>
      </c>
      <c r="Z2109">
        <v>0</v>
      </c>
      <c r="AA2109">
        <v>1</v>
      </c>
      <c r="AB2109">
        <v>0</v>
      </c>
      <c r="AC2109">
        <v>2</v>
      </c>
      <c r="AF2109">
        <v>1940</v>
      </c>
      <c r="AG2109">
        <v>1944</v>
      </c>
      <c r="AO2109" t="b">
        <v>0</v>
      </c>
      <c r="AT2109">
        <v>1321</v>
      </c>
      <c r="AU2109">
        <f t="shared" si="98"/>
        <v>3.6190000000000002</v>
      </c>
    </row>
    <row r="2110" spans="1:47" x14ac:dyDescent="0.3">
      <c r="A2110">
        <v>2108</v>
      </c>
      <c r="B2110" t="s">
        <v>8647</v>
      </c>
      <c r="C2110" t="s">
        <v>8617</v>
      </c>
      <c r="D2110">
        <v>375</v>
      </c>
      <c r="E2110" t="s">
        <v>8611</v>
      </c>
      <c r="F2110" t="str">
        <f>VLOOKUP(E2110,country_continent!A:C,2,FALSE)</f>
        <v>Finland</v>
      </c>
      <c r="G2110" t="str">
        <f>VLOOKUP(E2110,country_continent!A:C,3,FALSE)</f>
        <v>Europe</v>
      </c>
      <c r="H2110" t="s">
        <v>8618</v>
      </c>
      <c r="I2110" s="1">
        <v>16288</v>
      </c>
      <c r="J2110" s="3">
        <f t="shared" si="96"/>
        <v>16288</v>
      </c>
      <c r="K2110" s="1">
        <v>16865</v>
      </c>
      <c r="L2110" s="3">
        <f t="shared" si="97"/>
        <v>16865</v>
      </c>
      <c r="M2110" t="s">
        <v>49</v>
      </c>
      <c r="N2110" t="s">
        <v>228</v>
      </c>
      <c r="O2110" t="s">
        <v>49</v>
      </c>
      <c r="P2110">
        <v>1</v>
      </c>
      <c r="Q2110" t="s">
        <v>362</v>
      </c>
      <c r="R2110" t="s">
        <v>51</v>
      </c>
      <c r="S2110">
        <v>1867</v>
      </c>
      <c r="T2110">
        <v>1951</v>
      </c>
      <c r="U2110" t="s">
        <v>8619</v>
      </c>
      <c r="V2110" t="s">
        <v>8620</v>
      </c>
      <c r="W2110" s="1">
        <v>18655</v>
      </c>
      <c r="X2110" s="2">
        <v>18655</v>
      </c>
      <c r="Y2110" t="s">
        <v>8621</v>
      </c>
      <c r="Z2110">
        <v>0</v>
      </c>
      <c r="AA2110">
        <v>2.0999998999999998</v>
      </c>
      <c r="AB2110">
        <v>0</v>
      </c>
      <c r="AC2110">
        <v>1</v>
      </c>
      <c r="AF2110">
        <v>1944</v>
      </c>
      <c r="AG2110">
        <v>1946</v>
      </c>
      <c r="AN2110">
        <v>10</v>
      </c>
      <c r="AO2110" t="b">
        <v>0</v>
      </c>
      <c r="AT2110">
        <v>577</v>
      </c>
      <c r="AU2110">
        <f t="shared" si="98"/>
        <v>1.581</v>
      </c>
    </row>
    <row r="2111" spans="1:47" x14ac:dyDescent="0.3">
      <c r="A2111">
        <v>2109</v>
      </c>
      <c r="B2111" t="s">
        <v>8648</v>
      </c>
      <c r="C2111" t="s">
        <v>8649</v>
      </c>
      <c r="D2111">
        <v>375</v>
      </c>
      <c r="E2111" t="s">
        <v>8611</v>
      </c>
      <c r="F2111" t="str">
        <f>VLOOKUP(E2111,country_continent!A:C,2,FALSE)</f>
        <v>Finland</v>
      </c>
      <c r="G2111" t="str">
        <f>VLOOKUP(E2111,country_continent!A:C,3,FALSE)</f>
        <v>Europe</v>
      </c>
      <c r="H2111" t="s">
        <v>8650</v>
      </c>
      <c r="I2111" s="1">
        <v>16870</v>
      </c>
      <c r="J2111" s="3">
        <f t="shared" si="96"/>
        <v>16870</v>
      </c>
      <c r="K2111" s="1">
        <v>20514</v>
      </c>
      <c r="L2111" s="3">
        <f t="shared" si="97"/>
        <v>20514</v>
      </c>
      <c r="M2111" t="s">
        <v>49</v>
      </c>
      <c r="N2111" t="s">
        <v>49</v>
      </c>
      <c r="O2111" t="s">
        <v>49</v>
      </c>
      <c r="P2111">
        <v>0</v>
      </c>
      <c r="Q2111" t="s">
        <v>50</v>
      </c>
      <c r="R2111" t="s">
        <v>51</v>
      </c>
      <c r="S2111">
        <v>1879</v>
      </c>
      <c r="T2111">
        <v>1956</v>
      </c>
      <c r="U2111" t="s">
        <v>8651</v>
      </c>
      <c r="V2111" t="s">
        <v>8652</v>
      </c>
      <c r="W2111" s="1">
        <v>20803</v>
      </c>
      <c r="X2111" s="2">
        <v>20803</v>
      </c>
      <c r="Y2111" t="s">
        <v>8653</v>
      </c>
      <c r="Z2111">
        <v>0</v>
      </c>
      <c r="AA2111">
        <v>1</v>
      </c>
      <c r="AB2111">
        <v>0</v>
      </c>
      <c r="AC2111">
        <v>0</v>
      </c>
      <c r="AF2111">
        <v>1946</v>
      </c>
      <c r="AG2111">
        <v>1956</v>
      </c>
      <c r="AN2111">
        <v>10</v>
      </c>
      <c r="AO2111" t="b">
        <v>0</v>
      </c>
      <c r="AT2111">
        <v>3644</v>
      </c>
      <c r="AU2111">
        <f t="shared" si="98"/>
        <v>9.984</v>
      </c>
    </row>
    <row r="2112" spans="1:47" x14ac:dyDescent="0.3">
      <c r="A2112">
        <v>2110</v>
      </c>
      <c r="B2112" t="s">
        <v>8654</v>
      </c>
      <c r="C2112" t="s">
        <v>8655</v>
      </c>
      <c r="D2112">
        <v>375</v>
      </c>
      <c r="E2112" t="s">
        <v>8611</v>
      </c>
      <c r="F2112" t="str">
        <f>VLOOKUP(E2112,country_continent!A:C,2,FALSE)</f>
        <v>Finland</v>
      </c>
      <c r="G2112" t="str">
        <f>VLOOKUP(E2112,country_continent!A:C,3,FALSE)</f>
        <v>Europe</v>
      </c>
      <c r="H2112" t="s">
        <v>8656</v>
      </c>
      <c r="I2112" s="1">
        <v>20515</v>
      </c>
      <c r="J2112" s="3">
        <f t="shared" si="96"/>
        <v>20515</v>
      </c>
      <c r="K2112" s="1">
        <v>29840</v>
      </c>
      <c r="L2112" s="3">
        <f t="shared" si="97"/>
        <v>29840</v>
      </c>
      <c r="M2112" t="s">
        <v>49</v>
      </c>
      <c r="N2112" t="s">
        <v>228</v>
      </c>
      <c r="O2112" t="s">
        <v>49</v>
      </c>
      <c r="P2112">
        <v>0</v>
      </c>
      <c r="Q2112" t="s">
        <v>50</v>
      </c>
      <c r="R2112" t="s">
        <v>51</v>
      </c>
      <c r="S2112">
        <v>1900</v>
      </c>
      <c r="T2112">
        <v>1986</v>
      </c>
      <c r="U2112" s="1">
        <v>247</v>
      </c>
      <c r="V2112" s="2">
        <v>247</v>
      </c>
      <c r="W2112" s="1">
        <v>31655</v>
      </c>
      <c r="X2112" s="2">
        <v>31655</v>
      </c>
      <c r="Y2112" t="s">
        <v>8657</v>
      </c>
      <c r="Z2112">
        <v>0</v>
      </c>
      <c r="AA2112">
        <v>2.0999998999999998</v>
      </c>
      <c r="AB2112">
        <v>0</v>
      </c>
      <c r="AC2112">
        <v>0</v>
      </c>
      <c r="AF2112">
        <v>1956</v>
      </c>
      <c r="AG2112">
        <v>1981</v>
      </c>
      <c r="AH2112">
        <v>3.7824827732989501</v>
      </c>
      <c r="AI2112">
        <v>4668.5</v>
      </c>
      <c r="AJ2112">
        <v>8.7334830658938198</v>
      </c>
      <c r="AK2112">
        <v>16.149999999999999</v>
      </c>
      <c r="AL2112">
        <v>0.38234026548538502</v>
      </c>
      <c r="AM2112">
        <v>1.3094130920939799</v>
      </c>
      <c r="AN2112">
        <v>10</v>
      </c>
      <c r="AO2112" t="b">
        <v>0</v>
      </c>
      <c r="AT2112">
        <v>9325</v>
      </c>
      <c r="AU2112">
        <f t="shared" si="98"/>
        <v>25.547999999999998</v>
      </c>
    </row>
    <row r="2113" spans="1:47" x14ac:dyDescent="0.3">
      <c r="A2113">
        <v>2111</v>
      </c>
      <c r="B2113" t="s">
        <v>8658</v>
      </c>
      <c r="C2113" t="s">
        <v>8659</v>
      </c>
      <c r="D2113">
        <v>375</v>
      </c>
      <c r="E2113" t="s">
        <v>8611</v>
      </c>
      <c r="F2113" t="str">
        <f>VLOOKUP(E2113,country_continent!A:C,2,FALSE)</f>
        <v>Finland</v>
      </c>
      <c r="G2113" t="str">
        <f>VLOOKUP(E2113,country_continent!A:C,3,FALSE)</f>
        <v>Europe</v>
      </c>
      <c r="H2113" t="s">
        <v>8660</v>
      </c>
      <c r="I2113" s="1">
        <v>29840</v>
      </c>
      <c r="J2113" s="3">
        <f t="shared" si="96"/>
        <v>29840</v>
      </c>
      <c r="K2113" s="1">
        <v>34394</v>
      </c>
      <c r="L2113" s="3">
        <f t="shared" si="97"/>
        <v>34394</v>
      </c>
      <c r="M2113" t="s">
        <v>49</v>
      </c>
      <c r="N2113" t="s">
        <v>49</v>
      </c>
      <c r="O2113" t="s">
        <v>49</v>
      </c>
      <c r="P2113">
        <v>0</v>
      </c>
      <c r="Q2113" t="s">
        <v>50</v>
      </c>
      <c r="R2113" t="s">
        <v>51</v>
      </c>
      <c r="S2113">
        <v>1923</v>
      </c>
      <c r="T2113">
        <v>-777</v>
      </c>
      <c r="U2113" s="1">
        <v>8730</v>
      </c>
      <c r="V2113" s="2">
        <v>8730</v>
      </c>
      <c r="Y2113" t="s">
        <v>8661</v>
      </c>
      <c r="Z2113">
        <v>0</v>
      </c>
      <c r="AA2113">
        <v>1</v>
      </c>
      <c r="AB2113">
        <v>0</v>
      </c>
      <c r="AC2113">
        <v>0</v>
      </c>
      <c r="AF2113">
        <v>1981</v>
      </c>
      <c r="AG2113">
        <v>1994</v>
      </c>
      <c r="AH2113">
        <v>1.3731814155833599</v>
      </c>
      <c r="AI2113">
        <v>17675.714285714199</v>
      </c>
      <c r="AJ2113">
        <v>5.5042824292380201</v>
      </c>
      <c r="AK2113">
        <v>6.96428571428571</v>
      </c>
      <c r="AL2113">
        <v>0.44719293266283</v>
      </c>
      <c r="AM2113">
        <v>0.63600999820090698</v>
      </c>
      <c r="AN2113">
        <v>10</v>
      </c>
      <c r="AO2113" t="b">
        <v>0</v>
      </c>
      <c r="AT2113">
        <v>4554</v>
      </c>
      <c r="AU2113">
        <f t="shared" si="98"/>
        <v>12.477</v>
      </c>
    </row>
    <row r="2114" spans="1:47" x14ac:dyDescent="0.3">
      <c r="A2114">
        <v>2112</v>
      </c>
      <c r="B2114" t="s">
        <v>8662</v>
      </c>
      <c r="C2114" t="s">
        <v>8663</v>
      </c>
      <c r="D2114">
        <v>375</v>
      </c>
      <c r="E2114" t="s">
        <v>8611</v>
      </c>
      <c r="F2114" t="str">
        <f>VLOOKUP(E2114,country_continent!A:C,2,FALSE)</f>
        <v>Finland</v>
      </c>
      <c r="G2114" t="str">
        <f>VLOOKUP(E2114,country_continent!A:C,3,FALSE)</f>
        <v>Europe</v>
      </c>
      <c r="H2114" t="s">
        <v>8664</v>
      </c>
      <c r="I2114" s="1">
        <v>34394</v>
      </c>
      <c r="J2114" s="3">
        <f t="shared" si="96"/>
        <v>34394</v>
      </c>
      <c r="K2114" s="1">
        <v>36586</v>
      </c>
      <c r="L2114" s="3">
        <f t="shared" si="97"/>
        <v>36586</v>
      </c>
      <c r="M2114" t="s">
        <v>49</v>
      </c>
      <c r="N2114" t="s">
        <v>49</v>
      </c>
      <c r="O2114" t="s">
        <v>49</v>
      </c>
      <c r="P2114">
        <v>0</v>
      </c>
      <c r="Q2114" t="s">
        <v>50</v>
      </c>
      <c r="R2114" t="s">
        <v>51</v>
      </c>
      <c r="S2114">
        <v>1937</v>
      </c>
      <c r="T2114">
        <v>-777</v>
      </c>
      <c r="U2114" s="1">
        <v>13689</v>
      </c>
      <c r="V2114" s="2">
        <v>13689</v>
      </c>
      <c r="Y2114" t="s">
        <v>8665</v>
      </c>
      <c r="Z2114">
        <v>0</v>
      </c>
      <c r="AA2114">
        <v>1</v>
      </c>
      <c r="AB2114">
        <v>0</v>
      </c>
      <c r="AC2114">
        <v>0</v>
      </c>
      <c r="AF2114">
        <v>1994</v>
      </c>
      <c r="AG2114">
        <v>2000</v>
      </c>
      <c r="AH2114">
        <v>4.5165426744830901</v>
      </c>
      <c r="AI2114">
        <v>24584.285714285699</v>
      </c>
      <c r="AJ2114">
        <v>1.9604854413039801</v>
      </c>
      <c r="AK2114">
        <v>4.7999999999999901</v>
      </c>
      <c r="AL2114">
        <v>0.30618788675849201</v>
      </c>
      <c r="AM2114">
        <v>0.46215998595586899</v>
      </c>
      <c r="AN2114">
        <v>10</v>
      </c>
      <c r="AO2114" t="b">
        <v>0</v>
      </c>
      <c r="AT2114">
        <v>2192</v>
      </c>
      <c r="AU2114">
        <f t="shared" si="98"/>
        <v>6.0049999999999999</v>
      </c>
    </row>
    <row r="2115" spans="1:47" x14ac:dyDescent="0.3">
      <c r="A2115">
        <v>2113</v>
      </c>
      <c r="B2115" t="s">
        <v>8666</v>
      </c>
      <c r="C2115" t="s">
        <v>8667</v>
      </c>
      <c r="D2115">
        <v>375</v>
      </c>
      <c r="E2115" t="s">
        <v>8611</v>
      </c>
      <c r="F2115" t="str">
        <f>VLOOKUP(E2115,country_continent!A:C,2,FALSE)</f>
        <v>Finland</v>
      </c>
      <c r="G2115" t="str">
        <f>VLOOKUP(E2115,country_continent!A:C,3,FALSE)</f>
        <v>Europe</v>
      </c>
      <c r="H2115" t="s">
        <v>8668</v>
      </c>
      <c r="I2115" s="1">
        <v>36586</v>
      </c>
      <c r="J2115" s="3">
        <f t="shared" ref="J2115:J2178" si="99">IF(ISNUMBER(SEARCH("-", I2115)), SUBSTITUTE(I2115, "-", "/"), I2115)</f>
        <v>36586</v>
      </c>
      <c r="K2115" s="1">
        <v>40969</v>
      </c>
      <c r="L2115" s="3">
        <f t="shared" ref="L2115:L2178" si="100">IF(ISNUMBER(SEARCH("-", K2115)), SUBSTITUTE(K2115, "-", "/"), K2115)</f>
        <v>40969</v>
      </c>
      <c r="M2115" t="s">
        <v>49</v>
      </c>
      <c r="N2115" t="s">
        <v>49</v>
      </c>
      <c r="O2115" t="s">
        <v>49</v>
      </c>
      <c r="P2115">
        <v>0</v>
      </c>
      <c r="Q2115" t="s">
        <v>50</v>
      </c>
      <c r="R2115" t="s">
        <v>299</v>
      </c>
      <c r="S2115">
        <v>1943</v>
      </c>
      <c r="T2115">
        <v>-777</v>
      </c>
      <c r="U2115" s="1">
        <v>16064</v>
      </c>
      <c r="V2115" s="2">
        <v>16064</v>
      </c>
      <c r="Y2115" t="s">
        <v>8669</v>
      </c>
      <c r="Z2115">
        <v>0</v>
      </c>
      <c r="AA2115">
        <v>1</v>
      </c>
      <c r="AB2115">
        <v>0</v>
      </c>
      <c r="AC2115">
        <v>0</v>
      </c>
      <c r="AF2115">
        <v>2000</v>
      </c>
      <c r="AG2115">
        <v>2012</v>
      </c>
      <c r="AH2115">
        <v>1.55336442839292</v>
      </c>
      <c r="AI2115">
        <v>39939.2307692307</v>
      </c>
      <c r="AJ2115">
        <v>1.6914839736484399</v>
      </c>
      <c r="AK2115">
        <v>3.57692307692307</v>
      </c>
      <c r="AL2115">
        <v>0.361430498419335</v>
      </c>
      <c r="AM2115">
        <v>0.40878525291078799</v>
      </c>
      <c r="AN2115">
        <v>10</v>
      </c>
      <c r="AO2115" t="b">
        <v>0</v>
      </c>
      <c r="AT2115">
        <v>4383</v>
      </c>
      <c r="AU2115">
        <f t="shared" si="98"/>
        <v>12.007999999999999</v>
      </c>
    </row>
    <row r="2116" spans="1:47" x14ac:dyDescent="0.3">
      <c r="A2116">
        <v>2114</v>
      </c>
      <c r="B2116" t="s">
        <v>8670</v>
      </c>
      <c r="C2116" t="s">
        <v>8671</v>
      </c>
      <c r="D2116">
        <v>375</v>
      </c>
      <c r="E2116" t="s">
        <v>8611</v>
      </c>
      <c r="F2116" t="str">
        <f>VLOOKUP(E2116,country_continent!A:C,2,FALSE)</f>
        <v>Finland</v>
      </c>
      <c r="G2116" t="str">
        <f>VLOOKUP(E2116,country_continent!A:C,3,FALSE)</f>
        <v>Europe</v>
      </c>
      <c r="H2116" t="s">
        <v>8672</v>
      </c>
      <c r="I2116" s="1">
        <v>40969</v>
      </c>
      <c r="J2116" s="3">
        <f t="shared" si="99"/>
        <v>40969</v>
      </c>
      <c r="K2116" s="1">
        <v>42369</v>
      </c>
      <c r="L2116" s="3">
        <f t="shared" si="100"/>
        <v>42369</v>
      </c>
      <c r="M2116" t="s">
        <v>49</v>
      </c>
      <c r="N2116" t="s">
        <v>173</v>
      </c>
      <c r="O2116" t="s">
        <v>173</v>
      </c>
      <c r="P2116">
        <v>0</v>
      </c>
      <c r="Q2116" t="s">
        <v>174</v>
      </c>
      <c r="R2116" t="s">
        <v>51</v>
      </c>
      <c r="S2116">
        <v>1948</v>
      </c>
      <c r="T2116">
        <v>-777</v>
      </c>
      <c r="U2116" s="1">
        <v>17769</v>
      </c>
      <c r="V2116" s="2">
        <v>17769</v>
      </c>
      <c r="Z2116">
        <v>0</v>
      </c>
      <c r="AA2116">
        <v>-888</v>
      </c>
      <c r="AB2116">
        <v>-888</v>
      </c>
      <c r="AC2116">
        <v>-888</v>
      </c>
      <c r="AF2116">
        <v>2012</v>
      </c>
      <c r="AG2116">
        <v>2015</v>
      </c>
      <c r="AH2116">
        <v>-1.04446658604774</v>
      </c>
      <c r="AI2116">
        <v>48570</v>
      </c>
      <c r="AJ2116">
        <v>2.1960282694048101</v>
      </c>
      <c r="AK2116">
        <v>2.625</v>
      </c>
      <c r="AL2116">
        <v>0.41986933820160599</v>
      </c>
      <c r="AM2116">
        <v>0.50126364331608297</v>
      </c>
      <c r="AN2116">
        <v>10</v>
      </c>
      <c r="AO2116" t="b">
        <v>0</v>
      </c>
      <c r="AT2116">
        <v>1400</v>
      </c>
      <c r="AU2116">
        <f t="shared" ref="AU2116:AU2179" si="101">ROUND(AT2116/365,3)</f>
        <v>3.8359999999999999</v>
      </c>
    </row>
    <row r="2117" spans="1:47" x14ac:dyDescent="0.3">
      <c r="A2117">
        <v>2115</v>
      </c>
      <c r="B2117" t="s">
        <v>8673</v>
      </c>
      <c r="C2117" t="s">
        <v>8674</v>
      </c>
      <c r="D2117">
        <v>380</v>
      </c>
      <c r="E2117" t="s">
        <v>8675</v>
      </c>
      <c r="F2117" t="str">
        <f>VLOOKUP(E2117,country_continent!A:C,2,FALSE)</f>
        <v>Sweden</v>
      </c>
      <c r="G2117" t="str">
        <f>VLOOKUP(E2117,country_continent!A:C,3,FALSE)</f>
        <v>Europe</v>
      </c>
      <c r="H2117" t="s">
        <v>8676</v>
      </c>
      <c r="I2117" t="s">
        <v>8677</v>
      </c>
      <c r="J2117" s="3" t="str">
        <f t="shared" si="99"/>
        <v>1872/09/18</v>
      </c>
      <c r="K2117" t="s">
        <v>8678</v>
      </c>
      <c r="L2117" s="3" t="str">
        <f t="shared" si="100"/>
        <v>1876/03/20</v>
      </c>
      <c r="M2117" t="s">
        <v>49</v>
      </c>
      <c r="N2117" t="s">
        <v>49</v>
      </c>
      <c r="O2117" t="s">
        <v>49</v>
      </c>
      <c r="P2117">
        <v>0</v>
      </c>
      <c r="Q2117" t="s">
        <v>50</v>
      </c>
      <c r="R2117" t="s">
        <v>51</v>
      </c>
      <c r="S2117">
        <v>1829</v>
      </c>
      <c r="T2117">
        <v>1907</v>
      </c>
      <c r="U2117" t="s">
        <v>8679</v>
      </c>
      <c r="V2117" t="s">
        <v>8680</v>
      </c>
      <c r="W2117" s="1">
        <v>2899</v>
      </c>
      <c r="X2117" s="2">
        <v>2899</v>
      </c>
      <c r="Y2117" t="s">
        <v>8681</v>
      </c>
      <c r="Z2117">
        <v>0</v>
      </c>
      <c r="AA2117">
        <v>1</v>
      </c>
      <c r="AB2117">
        <v>0</v>
      </c>
      <c r="AC2117">
        <v>0</v>
      </c>
      <c r="AF2117">
        <v>1872</v>
      </c>
      <c r="AG2117">
        <v>1876</v>
      </c>
      <c r="AO2117" t="b">
        <v>1</v>
      </c>
      <c r="AP2117" t="s">
        <v>4202</v>
      </c>
      <c r="AQ2117">
        <v>1816</v>
      </c>
      <c r="AR2117">
        <v>1889</v>
      </c>
      <c r="AS2117" t="s">
        <v>8682</v>
      </c>
      <c r="AT2117">
        <v>3.5017111567419499</v>
      </c>
      <c r="AU2117">
        <f t="shared" si="101"/>
        <v>0.01</v>
      </c>
    </row>
    <row r="2118" spans="1:47" x14ac:dyDescent="0.3">
      <c r="A2118">
        <v>2116</v>
      </c>
      <c r="B2118" t="s">
        <v>8683</v>
      </c>
      <c r="C2118" t="s">
        <v>8684</v>
      </c>
      <c r="D2118">
        <v>380</v>
      </c>
      <c r="E2118" t="s">
        <v>8675</v>
      </c>
      <c r="F2118" t="str">
        <f>VLOOKUP(E2118,country_continent!A:C,2,FALSE)</f>
        <v>Sweden</v>
      </c>
      <c r="G2118" t="str">
        <f>VLOOKUP(E2118,country_continent!A:C,3,FALSE)</f>
        <v>Europe</v>
      </c>
      <c r="H2118" t="s">
        <v>8685</v>
      </c>
      <c r="I2118" t="s">
        <v>8678</v>
      </c>
      <c r="J2118" s="3" t="str">
        <f t="shared" si="99"/>
        <v>1876/03/20</v>
      </c>
      <c r="K2118" t="s">
        <v>8686</v>
      </c>
      <c r="L2118" s="3" t="str">
        <f t="shared" si="100"/>
        <v>1880/04/19</v>
      </c>
      <c r="M2118" t="s">
        <v>49</v>
      </c>
      <c r="N2118" t="s">
        <v>49</v>
      </c>
      <c r="O2118" t="s">
        <v>49</v>
      </c>
      <c r="P2118">
        <v>0</v>
      </c>
      <c r="Q2118" t="s">
        <v>50</v>
      </c>
      <c r="R2118" t="s">
        <v>51</v>
      </c>
      <c r="S2118">
        <v>1818</v>
      </c>
      <c r="T2118">
        <v>1896</v>
      </c>
      <c r="Z2118">
        <v>0</v>
      </c>
      <c r="AA2118">
        <v>1</v>
      </c>
      <c r="AB2118">
        <v>0</v>
      </c>
      <c r="AC2118">
        <v>0</v>
      </c>
      <c r="AD2118" t="s">
        <v>8687</v>
      </c>
      <c r="AE2118">
        <v>0</v>
      </c>
      <c r="AF2118">
        <v>1876</v>
      </c>
      <c r="AG2118">
        <v>1880</v>
      </c>
      <c r="AO2118" t="b">
        <v>1</v>
      </c>
      <c r="AP2118" t="s">
        <v>4202</v>
      </c>
      <c r="AQ2118">
        <v>1816</v>
      </c>
      <c r="AR2118">
        <v>1889</v>
      </c>
      <c r="AS2118" t="s">
        <v>8688</v>
      </c>
      <c r="AT2118">
        <v>4.0821355236139603</v>
      </c>
      <c r="AU2118">
        <f t="shared" si="101"/>
        <v>1.0999999999999999E-2</v>
      </c>
    </row>
    <row r="2119" spans="1:47" x14ac:dyDescent="0.3">
      <c r="A2119">
        <v>2117</v>
      </c>
      <c r="B2119" t="s">
        <v>8689</v>
      </c>
      <c r="C2119" t="s">
        <v>8690</v>
      </c>
      <c r="D2119">
        <v>380</v>
      </c>
      <c r="E2119" t="s">
        <v>8675</v>
      </c>
      <c r="F2119" t="str">
        <f>VLOOKUP(E2119,country_continent!A:C,2,FALSE)</f>
        <v>Sweden</v>
      </c>
      <c r="G2119" t="str">
        <f>VLOOKUP(E2119,country_continent!A:C,3,FALSE)</f>
        <v>Europe</v>
      </c>
      <c r="H2119" t="s">
        <v>8691</v>
      </c>
      <c r="I2119" t="s">
        <v>8686</v>
      </c>
      <c r="J2119" s="3" t="str">
        <f t="shared" si="99"/>
        <v>1880/04/19</v>
      </c>
      <c r="K2119" t="s">
        <v>8692</v>
      </c>
      <c r="L2119" s="3" t="str">
        <f t="shared" si="100"/>
        <v>1883/06/13</v>
      </c>
      <c r="M2119" t="s">
        <v>49</v>
      </c>
      <c r="N2119" t="s">
        <v>49</v>
      </c>
      <c r="O2119" t="s">
        <v>49</v>
      </c>
      <c r="P2119">
        <v>0</v>
      </c>
      <c r="Q2119" t="s">
        <v>50</v>
      </c>
      <c r="R2119" t="s">
        <v>51</v>
      </c>
      <c r="S2119">
        <v>1820</v>
      </c>
      <c r="T2119">
        <v>1901</v>
      </c>
      <c r="Y2119" t="s">
        <v>8693</v>
      </c>
      <c r="Z2119">
        <v>0</v>
      </c>
      <c r="AA2119">
        <v>1</v>
      </c>
      <c r="AB2119">
        <v>0</v>
      </c>
      <c r="AC2119">
        <v>0</v>
      </c>
      <c r="AF2119">
        <v>1880</v>
      </c>
      <c r="AG2119">
        <v>1883</v>
      </c>
      <c r="AO2119" t="b">
        <v>1</v>
      </c>
      <c r="AP2119" t="s">
        <v>4202</v>
      </c>
      <c r="AQ2119">
        <v>1816</v>
      </c>
      <c r="AR2119">
        <v>1889</v>
      </c>
      <c r="AS2119" t="s">
        <v>8694</v>
      </c>
      <c r="AT2119">
        <v>3.14852840520191</v>
      </c>
      <c r="AU2119">
        <f t="shared" si="101"/>
        <v>8.9999999999999993E-3</v>
      </c>
    </row>
    <row r="2120" spans="1:47" x14ac:dyDescent="0.3">
      <c r="A2120">
        <v>2118</v>
      </c>
      <c r="B2120" t="s">
        <v>8695</v>
      </c>
      <c r="C2120" t="s">
        <v>8696</v>
      </c>
      <c r="D2120">
        <v>380</v>
      </c>
      <c r="E2120" t="s">
        <v>8675</v>
      </c>
      <c r="F2120" t="str">
        <f>VLOOKUP(E2120,country_continent!A:C,2,FALSE)</f>
        <v>Sweden</v>
      </c>
      <c r="G2120" t="str">
        <f>VLOOKUP(E2120,country_continent!A:C,3,FALSE)</f>
        <v>Europe</v>
      </c>
      <c r="H2120" t="s">
        <v>8697</v>
      </c>
      <c r="I2120" t="s">
        <v>8692</v>
      </c>
      <c r="J2120" s="3" t="str">
        <f t="shared" si="99"/>
        <v>1883/06/13</v>
      </c>
      <c r="K2120" t="s">
        <v>8698</v>
      </c>
      <c r="L2120" s="3" t="str">
        <f t="shared" si="100"/>
        <v>1884/05/16</v>
      </c>
      <c r="M2120" t="s">
        <v>49</v>
      </c>
      <c r="N2120" t="s">
        <v>49</v>
      </c>
      <c r="O2120" t="s">
        <v>49</v>
      </c>
      <c r="P2120">
        <v>0</v>
      </c>
      <c r="Q2120" t="s">
        <v>50</v>
      </c>
      <c r="R2120" t="s">
        <v>51</v>
      </c>
      <c r="S2120">
        <v>1811</v>
      </c>
      <c r="T2120">
        <v>1891</v>
      </c>
      <c r="U2120" t="s">
        <v>8699</v>
      </c>
      <c r="V2120" t="s">
        <v>8700</v>
      </c>
      <c r="W2120" t="s">
        <v>8701</v>
      </c>
      <c r="X2120" t="s">
        <v>8702</v>
      </c>
      <c r="Y2120" t="s">
        <v>8703</v>
      </c>
      <c r="Z2120">
        <v>0</v>
      </c>
      <c r="AA2120">
        <v>1</v>
      </c>
      <c r="AB2120">
        <v>0</v>
      </c>
      <c r="AC2120">
        <v>0</v>
      </c>
      <c r="AF2120">
        <v>1883</v>
      </c>
      <c r="AG2120">
        <v>1884</v>
      </c>
      <c r="AO2120" t="b">
        <v>1</v>
      </c>
      <c r="AP2120" t="s">
        <v>4202</v>
      </c>
      <c r="AQ2120">
        <v>1816</v>
      </c>
      <c r="AR2120">
        <v>1889</v>
      </c>
      <c r="AS2120" t="s">
        <v>8704</v>
      </c>
      <c r="AT2120">
        <v>0.92539356605065004</v>
      </c>
      <c r="AU2120">
        <f t="shared" si="101"/>
        <v>3.0000000000000001E-3</v>
      </c>
    </row>
    <row r="2121" spans="1:47" x14ac:dyDescent="0.3">
      <c r="A2121">
        <v>2119</v>
      </c>
      <c r="B2121" t="s">
        <v>8705</v>
      </c>
      <c r="C2121" t="s">
        <v>8706</v>
      </c>
      <c r="D2121">
        <v>380</v>
      </c>
      <c r="E2121" t="s">
        <v>8675</v>
      </c>
      <c r="F2121" t="str">
        <f>VLOOKUP(E2121,country_continent!A:C,2,FALSE)</f>
        <v>Sweden</v>
      </c>
      <c r="G2121" t="str">
        <f>VLOOKUP(E2121,country_continent!A:C,3,FALSE)</f>
        <v>Europe</v>
      </c>
      <c r="H2121" t="s">
        <v>8707</v>
      </c>
      <c r="I2121" t="s">
        <v>8698</v>
      </c>
      <c r="J2121" s="3" t="str">
        <f t="shared" si="99"/>
        <v>1884/05/16</v>
      </c>
      <c r="K2121" t="s">
        <v>8708</v>
      </c>
      <c r="L2121" s="3" t="str">
        <f t="shared" si="100"/>
        <v>1888/02/06</v>
      </c>
      <c r="M2121" t="s">
        <v>49</v>
      </c>
      <c r="N2121" t="s">
        <v>49</v>
      </c>
      <c r="O2121" t="s">
        <v>49</v>
      </c>
      <c r="P2121">
        <v>0</v>
      </c>
      <c r="Q2121" t="s">
        <v>50</v>
      </c>
      <c r="R2121" t="s">
        <v>51</v>
      </c>
      <c r="S2121">
        <v>1844</v>
      </c>
      <c r="T2121">
        <v>1897</v>
      </c>
      <c r="U2121" t="s">
        <v>8709</v>
      </c>
      <c r="V2121" t="s">
        <v>8710</v>
      </c>
      <c r="W2121" t="s">
        <v>8711</v>
      </c>
      <c r="X2121" t="s">
        <v>8712</v>
      </c>
      <c r="Y2121" t="s">
        <v>8713</v>
      </c>
      <c r="Z2121">
        <v>0</v>
      </c>
      <c r="AA2121">
        <v>1</v>
      </c>
      <c r="AB2121">
        <v>0</v>
      </c>
      <c r="AC2121">
        <v>0</v>
      </c>
      <c r="AF2121">
        <v>1884</v>
      </c>
      <c r="AG2121">
        <v>1888</v>
      </c>
      <c r="AO2121" t="b">
        <v>1</v>
      </c>
      <c r="AP2121" t="s">
        <v>4202</v>
      </c>
      <c r="AQ2121">
        <v>1816</v>
      </c>
      <c r="AR2121">
        <v>1889</v>
      </c>
      <c r="AS2121" t="s">
        <v>8714</v>
      </c>
      <c r="AT2121">
        <v>3.7262149212867799</v>
      </c>
      <c r="AU2121">
        <f t="shared" si="101"/>
        <v>0.01</v>
      </c>
    </row>
    <row r="2122" spans="1:47" x14ac:dyDescent="0.3">
      <c r="A2122">
        <v>2120</v>
      </c>
      <c r="B2122" t="s">
        <v>8715</v>
      </c>
      <c r="C2122" t="s">
        <v>8716</v>
      </c>
      <c r="D2122">
        <v>380</v>
      </c>
      <c r="E2122" t="s">
        <v>8675</v>
      </c>
      <c r="F2122" t="str">
        <f>VLOOKUP(E2122,country_continent!A:C,2,FALSE)</f>
        <v>Sweden</v>
      </c>
      <c r="G2122" t="str">
        <f>VLOOKUP(E2122,country_continent!A:C,3,FALSE)</f>
        <v>Europe</v>
      </c>
      <c r="H2122" t="s">
        <v>8717</v>
      </c>
      <c r="I2122" t="s">
        <v>8708</v>
      </c>
      <c r="J2122" s="3" t="str">
        <f t="shared" si="99"/>
        <v>1888/02/06</v>
      </c>
      <c r="K2122" t="s">
        <v>8718</v>
      </c>
      <c r="L2122" s="3" t="str">
        <f t="shared" si="100"/>
        <v>1889/10/12</v>
      </c>
      <c r="M2122" t="s">
        <v>49</v>
      </c>
      <c r="N2122" t="s">
        <v>49</v>
      </c>
      <c r="O2122" t="s">
        <v>49</v>
      </c>
      <c r="P2122">
        <v>0</v>
      </c>
      <c r="Q2122" t="s">
        <v>50</v>
      </c>
      <c r="R2122" t="s">
        <v>51</v>
      </c>
      <c r="S2122">
        <v>1820</v>
      </c>
      <c r="T2122">
        <v>1894</v>
      </c>
      <c r="Y2122" t="s">
        <v>8719</v>
      </c>
      <c r="Z2122">
        <v>0</v>
      </c>
      <c r="AA2122">
        <v>1</v>
      </c>
      <c r="AB2122">
        <v>0</v>
      </c>
      <c r="AC2122">
        <v>0</v>
      </c>
      <c r="AD2122" t="s">
        <v>8720</v>
      </c>
      <c r="AF2122">
        <v>1888</v>
      </c>
      <c r="AG2122">
        <v>1889</v>
      </c>
      <c r="AO2122" t="b">
        <v>1</v>
      </c>
      <c r="AP2122" t="s">
        <v>4202</v>
      </c>
      <c r="AQ2122">
        <v>1816</v>
      </c>
      <c r="AR2122">
        <v>1889</v>
      </c>
      <c r="AS2122" t="s">
        <v>8721</v>
      </c>
      <c r="AT2122">
        <v>1.6810403832991101</v>
      </c>
      <c r="AU2122">
        <f t="shared" si="101"/>
        <v>5.0000000000000001E-3</v>
      </c>
    </row>
    <row r="2123" spans="1:47" x14ac:dyDescent="0.3">
      <c r="A2123">
        <v>2121</v>
      </c>
      <c r="B2123" t="s">
        <v>8722</v>
      </c>
      <c r="C2123" t="s">
        <v>8723</v>
      </c>
      <c r="D2123">
        <v>380</v>
      </c>
      <c r="E2123" t="s">
        <v>8675</v>
      </c>
      <c r="F2123" t="str">
        <f>VLOOKUP(E2123,country_continent!A:C,2,FALSE)</f>
        <v>Sweden</v>
      </c>
      <c r="G2123" t="str">
        <f>VLOOKUP(E2123,country_continent!A:C,3,FALSE)</f>
        <v>Europe</v>
      </c>
      <c r="H2123" t="s">
        <v>8724</v>
      </c>
      <c r="I2123" t="s">
        <v>8718</v>
      </c>
      <c r="J2123" s="3" t="str">
        <f t="shared" si="99"/>
        <v>1889/10/12</v>
      </c>
      <c r="K2123" t="s">
        <v>8725</v>
      </c>
      <c r="L2123" s="3" t="str">
        <f t="shared" si="100"/>
        <v>1891/07/15</v>
      </c>
      <c r="M2123" t="s">
        <v>49</v>
      </c>
      <c r="N2123" t="s">
        <v>49</v>
      </c>
      <c r="O2123" t="s">
        <v>49</v>
      </c>
      <c r="P2123">
        <v>0</v>
      </c>
      <c r="Q2123" t="s">
        <v>50</v>
      </c>
      <c r="R2123" t="s">
        <v>51</v>
      </c>
      <c r="S2123">
        <v>1833</v>
      </c>
      <c r="T2123">
        <v>1900</v>
      </c>
      <c r="Y2123" t="s">
        <v>8726</v>
      </c>
      <c r="Z2123">
        <v>0</v>
      </c>
      <c r="AA2123">
        <v>1</v>
      </c>
      <c r="AB2123">
        <v>0</v>
      </c>
      <c r="AC2123">
        <v>0</v>
      </c>
      <c r="AF2123">
        <v>1889</v>
      </c>
      <c r="AG2123">
        <v>1891</v>
      </c>
      <c r="AO2123" t="b">
        <v>1</v>
      </c>
      <c r="AP2123" t="s">
        <v>4202</v>
      </c>
      <c r="AQ2123">
        <v>1816</v>
      </c>
      <c r="AR2123">
        <v>1889</v>
      </c>
      <c r="AS2123" t="s">
        <v>8727</v>
      </c>
      <c r="AT2123">
        <v>1.7549623545516699</v>
      </c>
      <c r="AU2123">
        <f t="shared" si="101"/>
        <v>5.0000000000000001E-3</v>
      </c>
    </row>
    <row r="2124" spans="1:47" x14ac:dyDescent="0.3">
      <c r="A2124">
        <v>2122</v>
      </c>
      <c r="B2124" t="s">
        <v>8728</v>
      </c>
      <c r="C2124" t="s">
        <v>8729</v>
      </c>
      <c r="D2124">
        <v>380</v>
      </c>
      <c r="E2124" t="s">
        <v>8675</v>
      </c>
      <c r="F2124" t="str">
        <f>VLOOKUP(E2124,country_continent!A:C,2,FALSE)</f>
        <v>Sweden</v>
      </c>
      <c r="G2124" t="str">
        <f>VLOOKUP(E2124,country_continent!A:C,3,FALSE)</f>
        <v>Europe</v>
      </c>
      <c r="H2124" t="s">
        <v>8730</v>
      </c>
      <c r="I2124" t="s">
        <v>8725</v>
      </c>
      <c r="J2124" s="3" t="str">
        <f t="shared" si="99"/>
        <v>1891/07/15</v>
      </c>
      <c r="K2124" s="1">
        <v>256</v>
      </c>
      <c r="L2124" s="3">
        <f t="shared" si="100"/>
        <v>256</v>
      </c>
      <c r="M2124" t="s">
        <v>49</v>
      </c>
      <c r="N2124" t="s">
        <v>49</v>
      </c>
      <c r="O2124" t="s">
        <v>49</v>
      </c>
      <c r="P2124">
        <v>0</v>
      </c>
      <c r="Q2124" t="s">
        <v>50</v>
      </c>
      <c r="R2124" t="s">
        <v>51</v>
      </c>
      <c r="S2124">
        <v>1842</v>
      </c>
      <c r="T2124">
        <v>1907</v>
      </c>
      <c r="U2124" t="s">
        <v>8731</v>
      </c>
      <c r="V2124" t="s">
        <v>8732</v>
      </c>
      <c r="Y2124" t="s">
        <v>8733</v>
      </c>
      <c r="Z2124">
        <v>0</v>
      </c>
      <c r="AA2124">
        <v>1</v>
      </c>
      <c r="AB2124">
        <v>0</v>
      </c>
      <c r="AC2124">
        <v>0</v>
      </c>
      <c r="AF2124">
        <v>1891</v>
      </c>
      <c r="AG2124">
        <v>1900</v>
      </c>
      <c r="AO2124" t="b">
        <v>1</v>
      </c>
      <c r="AP2124" t="s">
        <v>4202</v>
      </c>
      <c r="AQ2124">
        <v>1816</v>
      </c>
      <c r="AR2124">
        <v>1889</v>
      </c>
      <c r="AS2124" t="s">
        <v>8734</v>
      </c>
      <c r="AT2124">
        <v>9.1608487337440092</v>
      </c>
      <c r="AU2124">
        <f t="shared" si="101"/>
        <v>2.5000000000000001E-2</v>
      </c>
    </row>
    <row r="2125" spans="1:47" x14ac:dyDescent="0.3">
      <c r="A2125">
        <v>2123</v>
      </c>
      <c r="B2125" t="s">
        <v>8735</v>
      </c>
      <c r="C2125" t="s">
        <v>8736</v>
      </c>
      <c r="D2125">
        <v>380</v>
      </c>
      <c r="E2125" t="s">
        <v>8675</v>
      </c>
      <c r="F2125" t="str">
        <f>VLOOKUP(E2125,country_continent!A:C,2,FALSE)</f>
        <v>Sweden</v>
      </c>
      <c r="G2125" t="str">
        <f>VLOOKUP(E2125,country_continent!A:C,3,FALSE)</f>
        <v>Europe</v>
      </c>
      <c r="H2125" t="s">
        <v>8737</v>
      </c>
      <c r="I2125" s="1">
        <v>256</v>
      </c>
      <c r="J2125" s="3">
        <f t="shared" si="99"/>
        <v>256</v>
      </c>
      <c r="K2125" s="1">
        <v>917</v>
      </c>
      <c r="L2125" s="3">
        <f t="shared" si="100"/>
        <v>917</v>
      </c>
      <c r="M2125" t="s">
        <v>49</v>
      </c>
      <c r="N2125" t="s">
        <v>49</v>
      </c>
      <c r="O2125" t="s">
        <v>49</v>
      </c>
      <c r="P2125">
        <v>0</v>
      </c>
      <c r="Q2125" t="s">
        <v>50</v>
      </c>
      <c r="R2125" t="s">
        <v>51</v>
      </c>
      <c r="S2125">
        <v>1833</v>
      </c>
      <c r="T2125">
        <v>1910</v>
      </c>
      <c r="U2125" t="s">
        <v>8738</v>
      </c>
      <c r="V2125" t="s">
        <v>8739</v>
      </c>
      <c r="Y2125" t="s">
        <v>8740</v>
      </c>
      <c r="Z2125">
        <v>0</v>
      </c>
      <c r="AA2125">
        <v>1</v>
      </c>
      <c r="AB2125">
        <v>0</v>
      </c>
      <c r="AC2125">
        <v>0</v>
      </c>
      <c r="AF2125">
        <v>1900</v>
      </c>
      <c r="AG2125">
        <v>1902</v>
      </c>
      <c r="AO2125" t="b">
        <v>1</v>
      </c>
      <c r="AP2125" t="s">
        <v>4202</v>
      </c>
      <c r="AQ2125">
        <v>1816</v>
      </c>
      <c r="AR2125">
        <v>1889</v>
      </c>
      <c r="AS2125" t="s">
        <v>8741</v>
      </c>
      <c r="AT2125">
        <v>1.80971937029431</v>
      </c>
      <c r="AU2125">
        <f t="shared" si="101"/>
        <v>5.0000000000000001E-3</v>
      </c>
    </row>
    <row r="2126" spans="1:47" x14ac:dyDescent="0.3">
      <c r="A2126">
        <v>2124</v>
      </c>
      <c r="B2126" t="s">
        <v>8742</v>
      </c>
      <c r="C2126" t="s">
        <v>8729</v>
      </c>
      <c r="D2126">
        <v>380</v>
      </c>
      <c r="E2126" t="s">
        <v>8675</v>
      </c>
      <c r="F2126" t="str">
        <f>VLOOKUP(E2126,country_continent!A:C,2,FALSE)</f>
        <v>Sweden</v>
      </c>
      <c r="G2126" t="str">
        <f>VLOOKUP(E2126,country_continent!A:C,3,FALSE)</f>
        <v>Europe</v>
      </c>
      <c r="H2126" t="s">
        <v>8730</v>
      </c>
      <c r="I2126" s="1">
        <v>917</v>
      </c>
      <c r="J2126" s="3">
        <f t="shared" si="99"/>
        <v>917</v>
      </c>
      <c r="K2126" s="1">
        <v>1930</v>
      </c>
      <c r="L2126" s="3">
        <f t="shared" si="100"/>
        <v>1930</v>
      </c>
      <c r="M2126" t="s">
        <v>49</v>
      </c>
      <c r="N2126" t="s">
        <v>49</v>
      </c>
      <c r="O2126" t="s">
        <v>49</v>
      </c>
      <c r="P2126">
        <v>1</v>
      </c>
      <c r="Q2126" t="s">
        <v>50</v>
      </c>
      <c r="R2126" t="s">
        <v>51</v>
      </c>
      <c r="S2126">
        <v>1842</v>
      </c>
      <c r="T2126">
        <v>1907</v>
      </c>
      <c r="U2126" t="s">
        <v>8731</v>
      </c>
      <c r="V2126" t="s">
        <v>8732</v>
      </c>
      <c r="Y2126" t="s">
        <v>8733</v>
      </c>
      <c r="Z2126">
        <v>0</v>
      </c>
      <c r="AA2126">
        <v>1</v>
      </c>
      <c r="AB2126">
        <v>0</v>
      </c>
      <c r="AC2126">
        <v>0</v>
      </c>
      <c r="AF2126">
        <v>1902</v>
      </c>
      <c r="AG2126">
        <v>1905</v>
      </c>
      <c r="AO2126" t="b">
        <v>1</v>
      </c>
      <c r="AP2126" t="s">
        <v>4202</v>
      </c>
      <c r="AQ2126">
        <v>1816</v>
      </c>
      <c r="AR2126">
        <v>1889</v>
      </c>
      <c r="AS2126" t="s">
        <v>8743</v>
      </c>
      <c r="AT2126">
        <v>2.7734428473648101</v>
      </c>
      <c r="AU2126">
        <f t="shared" si="101"/>
        <v>8.0000000000000002E-3</v>
      </c>
    </row>
    <row r="2127" spans="1:47" x14ac:dyDescent="0.3">
      <c r="A2127">
        <v>2125</v>
      </c>
      <c r="B2127" t="s">
        <v>8744</v>
      </c>
      <c r="C2127" t="s">
        <v>8745</v>
      </c>
      <c r="D2127">
        <v>380</v>
      </c>
      <c r="E2127" t="s">
        <v>8675</v>
      </c>
      <c r="F2127" t="str">
        <f>VLOOKUP(E2127,country_continent!A:C,2,FALSE)</f>
        <v>Sweden</v>
      </c>
      <c r="G2127" t="str">
        <f>VLOOKUP(E2127,country_continent!A:C,3,FALSE)</f>
        <v>Europe</v>
      </c>
      <c r="H2127" t="s">
        <v>8746</v>
      </c>
      <c r="I2127" s="1">
        <v>1930</v>
      </c>
      <c r="J2127" s="3">
        <f t="shared" si="99"/>
        <v>1930</v>
      </c>
      <c r="K2127" s="1">
        <v>2041</v>
      </c>
      <c r="L2127" s="3">
        <f t="shared" si="100"/>
        <v>2041</v>
      </c>
      <c r="M2127" t="s">
        <v>49</v>
      </c>
      <c r="N2127" t="s">
        <v>49</v>
      </c>
      <c r="O2127" t="s">
        <v>49</v>
      </c>
      <c r="P2127">
        <v>0</v>
      </c>
      <c r="Q2127" t="s">
        <v>50</v>
      </c>
      <c r="R2127" t="s">
        <v>51</v>
      </c>
      <c r="S2127">
        <v>1852</v>
      </c>
      <c r="T2127">
        <v>1935</v>
      </c>
      <c r="Y2127" t="s">
        <v>8747</v>
      </c>
      <c r="Z2127">
        <v>0</v>
      </c>
      <c r="AA2127">
        <v>1</v>
      </c>
      <c r="AB2127">
        <v>0</v>
      </c>
      <c r="AC2127">
        <v>0</v>
      </c>
      <c r="AF2127">
        <v>1905</v>
      </c>
      <c r="AG2127">
        <v>1905</v>
      </c>
      <c r="AO2127" t="b">
        <v>1</v>
      </c>
      <c r="AP2127" t="s">
        <v>4202</v>
      </c>
      <c r="AQ2127">
        <v>1816</v>
      </c>
      <c r="AR2127">
        <v>1889</v>
      </c>
      <c r="AS2127" t="s">
        <v>8748</v>
      </c>
      <c r="AT2127">
        <v>0.30390143737166297</v>
      </c>
      <c r="AU2127">
        <f t="shared" si="101"/>
        <v>1E-3</v>
      </c>
    </row>
    <row r="2128" spans="1:47" x14ac:dyDescent="0.3">
      <c r="A2128">
        <v>2126</v>
      </c>
      <c r="B2128" t="s">
        <v>8749</v>
      </c>
      <c r="C2128" t="s">
        <v>8750</v>
      </c>
      <c r="D2128">
        <v>380</v>
      </c>
      <c r="E2128" t="s">
        <v>8675</v>
      </c>
      <c r="F2128" t="str">
        <f>VLOOKUP(E2128,country_continent!A:C,2,FALSE)</f>
        <v>Sweden</v>
      </c>
      <c r="G2128" t="str">
        <f>VLOOKUP(E2128,country_continent!A:C,3,FALSE)</f>
        <v>Europe</v>
      </c>
      <c r="H2128" t="s">
        <v>8751</v>
      </c>
      <c r="I2128" s="1">
        <v>2041</v>
      </c>
      <c r="J2128" s="3">
        <f t="shared" si="99"/>
        <v>2041</v>
      </c>
      <c r="K2128" s="1">
        <v>2138</v>
      </c>
      <c r="L2128" s="3">
        <f t="shared" si="100"/>
        <v>2138</v>
      </c>
      <c r="M2128" t="s">
        <v>49</v>
      </c>
      <c r="N2128" t="s">
        <v>49</v>
      </c>
      <c r="O2128" t="s">
        <v>49</v>
      </c>
      <c r="P2128">
        <v>0</v>
      </c>
      <c r="Q2128" t="s">
        <v>50</v>
      </c>
      <c r="R2128" t="s">
        <v>51</v>
      </c>
      <c r="S2128">
        <v>1842</v>
      </c>
      <c r="T2128">
        <v>1911</v>
      </c>
      <c r="U2128" t="s">
        <v>8752</v>
      </c>
      <c r="V2128" t="s">
        <v>8753</v>
      </c>
      <c r="Y2128" t="s">
        <v>8754</v>
      </c>
      <c r="Z2128">
        <v>0</v>
      </c>
      <c r="AA2128">
        <v>1</v>
      </c>
      <c r="AB2128">
        <v>0</v>
      </c>
      <c r="AC2128">
        <v>0</v>
      </c>
      <c r="AF2128">
        <v>1905</v>
      </c>
      <c r="AG2128">
        <v>1905</v>
      </c>
      <c r="AO2128" t="b">
        <v>1</v>
      </c>
      <c r="AP2128" t="s">
        <v>4202</v>
      </c>
      <c r="AQ2128">
        <v>1816</v>
      </c>
      <c r="AR2128">
        <v>1889</v>
      </c>
      <c r="AS2128" t="s">
        <v>8755</v>
      </c>
      <c r="AT2128">
        <v>0.26557152635181303</v>
      </c>
      <c r="AU2128">
        <f t="shared" si="101"/>
        <v>1E-3</v>
      </c>
    </row>
    <row r="2129" spans="1:47" x14ac:dyDescent="0.3">
      <c r="A2129">
        <v>2127</v>
      </c>
      <c r="B2129" t="s">
        <v>8756</v>
      </c>
      <c r="C2129" t="s">
        <v>8757</v>
      </c>
      <c r="D2129">
        <v>380</v>
      </c>
      <c r="E2129" t="s">
        <v>8675</v>
      </c>
      <c r="F2129" t="str">
        <f>VLOOKUP(E2129,country_continent!A:C,2,FALSE)</f>
        <v>Sweden</v>
      </c>
      <c r="G2129" t="str">
        <f>VLOOKUP(E2129,country_continent!A:C,3,FALSE)</f>
        <v>Europe</v>
      </c>
      <c r="H2129" t="s">
        <v>8758</v>
      </c>
      <c r="I2129" s="1">
        <v>2138</v>
      </c>
      <c r="J2129" s="3">
        <f t="shared" si="99"/>
        <v>2138</v>
      </c>
      <c r="K2129" s="1">
        <v>2341</v>
      </c>
      <c r="L2129" s="3">
        <f t="shared" si="100"/>
        <v>2341</v>
      </c>
      <c r="M2129" t="s">
        <v>49</v>
      </c>
      <c r="N2129" t="s">
        <v>49</v>
      </c>
      <c r="O2129" t="s">
        <v>49</v>
      </c>
      <c r="P2129">
        <v>0</v>
      </c>
      <c r="Q2129" t="s">
        <v>50</v>
      </c>
      <c r="R2129" t="s">
        <v>51</v>
      </c>
      <c r="S2129">
        <v>1860</v>
      </c>
      <c r="T2129">
        <v>1915</v>
      </c>
      <c r="U2129" t="s">
        <v>8759</v>
      </c>
      <c r="V2129" t="s">
        <v>8760</v>
      </c>
      <c r="Y2129" t="s">
        <v>8761</v>
      </c>
      <c r="Z2129">
        <v>0</v>
      </c>
      <c r="AA2129">
        <v>1</v>
      </c>
      <c r="AB2129">
        <v>0</v>
      </c>
      <c r="AC2129">
        <v>0</v>
      </c>
      <c r="AF2129">
        <v>1905</v>
      </c>
      <c r="AG2129">
        <v>1906</v>
      </c>
      <c r="AO2129" t="b">
        <v>1</v>
      </c>
      <c r="AP2129" t="s">
        <v>4202</v>
      </c>
      <c r="AQ2129">
        <v>1816</v>
      </c>
      <c r="AR2129">
        <v>1889</v>
      </c>
      <c r="AS2129" t="s">
        <v>8762</v>
      </c>
      <c r="AT2129">
        <v>0.55578370978781599</v>
      </c>
      <c r="AU2129">
        <f t="shared" si="101"/>
        <v>2E-3</v>
      </c>
    </row>
    <row r="2130" spans="1:47" x14ac:dyDescent="0.3">
      <c r="A2130">
        <v>2128</v>
      </c>
      <c r="B2130" t="s">
        <v>8763</v>
      </c>
      <c r="C2130" t="s">
        <v>8764</v>
      </c>
      <c r="D2130">
        <v>380</v>
      </c>
      <c r="E2130" t="s">
        <v>8675</v>
      </c>
      <c r="F2130" t="str">
        <f>VLOOKUP(E2130,country_continent!A:C,2,FALSE)</f>
        <v>Sweden</v>
      </c>
      <c r="G2130" t="str">
        <f>VLOOKUP(E2130,country_continent!A:C,3,FALSE)</f>
        <v>Europe</v>
      </c>
      <c r="H2130" t="s">
        <v>8765</v>
      </c>
      <c r="I2130" s="1">
        <v>2341</v>
      </c>
      <c r="J2130" s="3">
        <f t="shared" si="99"/>
        <v>2341</v>
      </c>
      <c r="K2130" s="1">
        <v>4291</v>
      </c>
      <c r="L2130" s="3">
        <f t="shared" si="100"/>
        <v>4291</v>
      </c>
      <c r="M2130" t="s">
        <v>49</v>
      </c>
      <c r="N2130" t="s">
        <v>49</v>
      </c>
      <c r="O2130" t="s">
        <v>49</v>
      </c>
      <c r="P2130">
        <v>0</v>
      </c>
      <c r="Q2130" t="s">
        <v>50</v>
      </c>
      <c r="R2130" t="s">
        <v>51</v>
      </c>
      <c r="S2130">
        <v>1862</v>
      </c>
      <c r="T2130">
        <v>1936</v>
      </c>
      <c r="U2130" t="s">
        <v>8766</v>
      </c>
      <c r="V2130" t="s">
        <v>8767</v>
      </c>
      <c r="Y2130" t="s">
        <v>8768</v>
      </c>
      <c r="Z2130">
        <v>0</v>
      </c>
      <c r="AA2130">
        <v>1</v>
      </c>
      <c r="AB2130">
        <v>0</v>
      </c>
      <c r="AC2130">
        <v>0</v>
      </c>
      <c r="AF2130">
        <v>1906</v>
      </c>
      <c r="AG2130">
        <v>1911</v>
      </c>
      <c r="AO2130" t="b">
        <v>1</v>
      </c>
      <c r="AP2130" t="s">
        <v>4202</v>
      </c>
      <c r="AQ2130">
        <v>1816</v>
      </c>
      <c r="AR2130">
        <v>1889</v>
      </c>
      <c r="AS2130" t="s">
        <v>8769</v>
      </c>
      <c r="AT2130">
        <v>5.3388090349075901</v>
      </c>
      <c r="AU2130">
        <f t="shared" si="101"/>
        <v>1.4999999999999999E-2</v>
      </c>
    </row>
    <row r="2131" spans="1:47" x14ac:dyDescent="0.3">
      <c r="A2131">
        <v>2129</v>
      </c>
      <c r="B2131" t="s">
        <v>8770</v>
      </c>
      <c r="C2131" t="s">
        <v>8757</v>
      </c>
      <c r="D2131">
        <v>380</v>
      </c>
      <c r="E2131" t="s">
        <v>8675</v>
      </c>
      <c r="F2131" t="str">
        <f>VLOOKUP(E2131,country_continent!A:C,2,FALSE)</f>
        <v>Sweden</v>
      </c>
      <c r="G2131" t="str">
        <f>VLOOKUP(E2131,country_continent!A:C,3,FALSE)</f>
        <v>Europe</v>
      </c>
      <c r="H2131" t="s">
        <v>8758</v>
      </c>
      <c r="I2131" s="1">
        <v>4298</v>
      </c>
      <c r="J2131" s="3">
        <f t="shared" si="99"/>
        <v>4298</v>
      </c>
      <c r="K2131" s="1">
        <v>5162</v>
      </c>
      <c r="L2131" s="3">
        <f t="shared" si="100"/>
        <v>5162</v>
      </c>
      <c r="M2131" t="s">
        <v>49</v>
      </c>
      <c r="N2131" t="s">
        <v>49</v>
      </c>
      <c r="O2131" t="s">
        <v>49</v>
      </c>
      <c r="P2131">
        <v>1</v>
      </c>
      <c r="Q2131" t="s">
        <v>50</v>
      </c>
      <c r="R2131" t="s">
        <v>51</v>
      </c>
      <c r="S2131">
        <v>1860</v>
      </c>
      <c r="T2131">
        <v>1915</v>
      </c>
      <c r="U2131" t="s">
        <v>8759</v>
      </c>
      <c r="V2131" t="s">
        <v>8760</v>
      </c>
      <c r="Y2131" t="s">
        <v>8761</v>
      </c>
      <c r="Z2131">
        <v>0</v>
      </c>
      <c r="AA2131">
        <v>1</v>
      </c>
      <c r="AB2131">
        <v>0</v>
      </c>
      <c r="AC2131">
        <v>0</v>
      </c>
      <c r="AF2131">
        <v>1911</v>
      </c>
      <c r="AG2131">
        <v>1914</v>
      </c>
      <c r="AO2131" t="b">
        <v>1</v>
      </c>
      <c r="AP2131" t="s">
        <v>4202</v>
      </c>
      <c r="AQ2131">
        <v>1816</v>
      </c>
      <c r="AR2131">
        <v>1889</v>
      </c>
      <c r="AS2131" t="s">
        <v>8771</v>
      </c>
      <c r="AT2131">
        <v>2.3655030800821302</v>
      </c>
      <c r="AU2131">
        <f t="shared" si="101"/>
        <v>6.0000000000000001E-3</v>
      </c>
    </row>
    <row r="2132" spans="1:47" x14ac:dyDescent="0.3">
      <c r="A2132">
        <v>2130</v>
      </c>
      <c r="B2132" t="s">
        <v>8772</v>
      </c>
      <c r="C2132" t="s">
        <v>8773</v>
      </c>
      <c r="D2132">
        <v>380</v>
      </c>
      <c r="E2132" t="s">
        <v>8675</v>
      </c>
      <c r="F2132" t="str">
        <f>VLOOKUP(E2132,country_continent!A:C,2,FALSE)</f>
        <v>Sweden</v>
      </c>
      <c r="G2132" t="str">
        <f>VLOOKUP(E2132,country_continent!A:C,3,FALSE)</f>
        <v>Europe</v>
      </c>
      <c r="H2132" t="s">
        <v>8774</v>
      </c>
      <c r="I2132" s="1">
        <v>5162</v>
      </c>
      <c r="J2132" s="3">
        <f t="shared" si="99"/>
        <v>5162</v>
      </c>
      <c r="K2132" s="1">
        <v>6298</v>
      </c>
      <c r="L2132" s="3">
        <f t="shared" si="100"/>
        <v>6298</v>
      </c>
      <c r="M2132" t="s">
        <v>49</v>
      </c>
      <c r="N2132" t="s">
        <v>49</v>
      </c>
      <c r="O2132" t="s">
        <v>49</v>
      </c>
      <c r="P2132">
        <v>0</v>
      </c>
      <c r="Q2132" t="s">
        <v>50</v>
      </c>
      <c r="R2132" t="s">
        <v>51</v>
      </c>
      <c r="S2132">
        <v>1862</v>
      </c>
      <c r="T2132">
        <v>1953</v>
      </c>
      <c r="U2132" t="s">
        <v>8775</v>
      </c>
      <c r="V2132" t="s">
        <v>8776</v>
      </c>
      <c r="W2132" s="1">
        <v>19644</v>
      </c>
      <c r="X2132" s="2">
        <v>19644</v>
      </c>
      <c r="Y2132" t="s">
        <v>8777</v>
      </c>
      <c r="Z2132">
        <v>0</v>
      </c>
      <c r="AA2132">
        <v>1</v>
      </c>
      <c r="AB2132">
        <v>0</v>
      </c>
      <c r="AC2132">
        <v>0</v>
      </c>
      <c r="AF2132">
        <v>1914</v>
      </c>
      <c r="AG2132">
        <v>1917</v>
      </c>
      <c r="AO2132" t="b">
        <v>1</v>
      </c>
      <c r="AP2132" t="s">
        <v>4202</v>
      </c>
      <c r="AQ2132">
        <v>1816</v>
      </c>
      <c r="AR2132">
        <v>1889</v>
      </c>
      <c r="AS2132" t="s">
        <v>8778</v>
      </c>
      <c r="AT2132">
        <v>3.1101984941820602</v>
      </c>
      <c r="AU2132">
        <f t="shared" si="101"/>
        <v>8.9999999999999993E-3</v>
      </c>
    </row>
    <row r="2133" spans="1:47" x14ac:dyDescent="0.3">
      <c r="A2133">
        <v>2131</v>
      </c>
      <c r="B2133" t="s">
        <v>8779</v>
      </c>
      <c r="C2133" t="s">
        <v>8780</v>
      </c>
      <c r="D2133">
        <v>380</v>
      </c>
      <c r="E2133" t="s">
        <v>8675</v>
      </c>
      <c r="F2133" t="str">
        <f>VLOOKUP(E2133,country_continent!A:C,2,FALSE)</f>
        <v>Sweden</v>
      </c>
      <c r="G2133" t="str">
        <f>VLOOKUP(E2133,country_continent!A:C,3,FALSE)</f>
        <v>Europe</v>
      </c>
      <c r="H2133" t="s">
        <v>8781</v>
      </c>
      <c r="I2133" s="1">
        <v>6298</v>
      </c>
      <c r="J2133" s="3">
        <f t="shared" si="99"/>
        <v>6298</v>
      </c>
      <c r="K2133" s="1">
        <v>6502</v>
      </c>
      <c r="L2133" s="3">
        <f t="shared" si="100"/>
        <v>6502</v>
      </c>
      <c r="M2133" t="s">
        <v>49</v>
      </c>
      <c r="N2133" t="s">
        <v>49</v>
      </c>
      <c r="O2133" t="s">
        <v>49</v>
      </c>
      <c r="P2133">
        <v>0</v>
      </c>
      <c r="Q2133" t="s">
        <v>50</v>
      </c>
      <c r="R2133" t="s">
        <v>51</v>
      </c>
      <c r="S2133">
        <v>1858</v>
      </c>
      <c r="T2133">
        <v>1926</v>
      </c>
      <c r="U2133" t="s">
        <v>8782</v>
      </c>
      <c r="V2133" t="s">
        <v>8783</v>
      </c>
      <c r="Y2133" t="s">
        <v>8784</v>
      </c>
      <c r="Z2133">
        <v>0</v>
      </c>
      <c r="AA2133">
        <v>1</v>
      </c>
      <c r="AB2133">
        <v>0</v>
      </c>
      <c r="AC2133">
        <v>0</v>
      </c>
      <c r="AF2133">
        <v>1917</v>
      </c>
      <c r="AG2133">
        <v>1917</v>
      </c>
      <c r="AO2133" t="b">
        <v>1</v>
      </c>
      <c r="AP2133" t="s">
        <v>4202</v>
      </c>
      <c r="AQ2133">
        <v>1816</v>
      </c>
      <c r="AR2133">
        <v>1889</v>
      </c>
      <c r="AS2133" t="s">
        <v>8785</v>
      </c>
      <c r="AT2133">
        <v>0.55852156057494795</v>
      </c>
      <c r="AU2133">
        <f t="shared" si="101"/>
        <v>2E-3</v>
      </c>
    </row>
    <row r="2134" spans="1:47" x14ac:dyDescent="0.3">
      <c r="A2134">
        <v>2132</v>
      </c>
      <c r="B2134" t="s">
        <v>8786</v>
      </c>
      <c r="C2134" t="s">
        <v>8787</v>
      </c>
      <c r="D2134">
        <v>380</v>
      </c>
      <c r="E2134" t="s">
        <v>8675</v>
      </c>
      <c r="F2134" t="str">
        <f>VLOOKUP(E2134,country_continent!A:C,2,FALSE)</f>
        <v>Sweden</v>
      </c>
      <c r="G2134" t="str">
        <f>VLOOKUP(E2134,country_continent!A:C,3,FALSE)</f>
        <v>Europe</v>
      </c>
      <c r="H2134" t="s">
        <v>4335</v>
      </c>
      <c r="I2134" s="1">
        <v>6502</v>
      </c>
      <c r="J2134" s="3">
        <f t="shared" si="99"/>
        <v>6502</v>
      </c>
      <c r="K2134" s="1">
        <v>7371</v>
      </c>
      <c r="L2134" s="3">
        <f t="shared" si="100"/>
        <v>7371</v>
      </c>
      <c r="M2134" t="s">
        <v>49</v>
      </c>
      <c r="N2134" t="s">
        <v>49</v>
      </c>
      <c r="O2134" t="s">
        <v>49</v>
      </c>
      <c r="P2134">
        <v>0</v>
      </c>
      <c r="Q2134" t="s">
        <v>50</v>
      </c>
      <c r="R2134" t="s">
        <v>51</v>
      </c>
      <c r="S2134">
        <v>1871</v>
      </c>
      <c r="T2134">
        <v>1945</v>
      </c>
      <c r="U2134" t="s">
        <v>8788</v>
      </c>
      <c r="V2134" t="s">
        <v>8789</v>
      </c>
      <c r="W2134" s="1">
        <v>16604</v>
      </c>
      <c r="X2134" s="2">
        <v>16604</v>
      </c>
      <c r="Y2134" t="s">
        <v>8790</v>
      </c>
      <c r="Z2134">
        <v>0</v>
      </c>
      <c r="AA2134">
        <v>1</v>
      </c>
      <c r="AB2134">
        <v>0</v>
      </c>
      <c r="AC2134">
        <v>0</v>
      </c>
      <c r="AF2134">
        <v>1917</v>
      </c>
      <c r="AG2134">
        <v>1920</v>
      </c>
      <c r="AO2134" t="b">
        <v>1</v>
      </c>
      <c r="AP2134" t="s">
        <v>4202</v>
      </c>
      <c r="AQ2134">
        <v>1816</v>
      </c>
      <c r="AR2134">
        <v>1889</v>
      </c>
      <c r="AS2134" t="s">
        <v>8791</v>
      </c>
      <c r="AT2134">
        <v>2.3791923340177901</v>
      </c>
      <c r="AU2134">
        <f t="shared" si="101"/>
        <v>7.0000000000000001E-3</v>
      </c>
    </row>
    <row r="2135" spans="1:47" x14ac:dyDescent="0.3">
      <c r="A2135">
        <v>2133</v>
      </c>
      <c r="B2135" t="s">
        <v>8792</v>
      </c>
      <c r="C2135" t="s">
        <v>8793</v>
      </c>
      <c r="D2135">
        <v>380</v>
      </c>
      <c r="E2135" t="s">
        <v>8675</v>
      </c>
      <c r="F2135" t="str">
        <f>VLOOKUP(E2135,country_continent!A:C,2,FALSE)</f>
        <v>Sweden</v>
      </c>
      <c r="G2135" t="str">
        <f>VLOOKUP(E2135,country_continent!A:C,3,FALSE)</f>
        <v>Europe</v>
      </c>
      <c r="H2135" t="s">
        <v>8794</v>
      </c>
      <c r="I2135" s="1">
        <v>7371</v>
      </c>
      <c r="J2135" s="3">
        <f t="shared" si="99"/>
        <v>7371</v>
      </c>
      <c r="K2135" s="1">
        <v>7601</v>
      </c>
      <c r="L2135" s="3">
        <f t="shared" si="100"/>
        <v>7601</v>
      </c>
      <c r="M2135" t="s">
        <v>49</v>
      </c>
      <c r="N2135" t="s">
        <v>49</v>
      </c>
      <c r="O2135" t="s">
        <v>49</v>
      </c>
      <c r="P2135">
        <v>0</v>
      </c>
      <c r="Q2135" t="s">
        <v>50</v>
      </c>
      <c r="R2135" t="s">
        <v>51</v>
      </c>
      <c r="S2135">
        <v>1860</v>
      </c>
      <c r="T2135">
        <v>1925</v>
      </c>
      <c r="U2135" t="s">
        <v>8795</v>
      </c>
      <c r="V2135" t="s">
        <v>8796</v>
      </c>
      <c r="W2135" s="1">
        <v>9187</v>
      </c>
      <c r="X2135" s="2">
        <v>9187</v>
      </c>
      <c r="Y2135" t="s">
        <v>8797</v>
      </c>
      <c r="Z2135">
        <v>0</v>
      </c>
      <c r="AA2135">
        <v>1</v>
      </c>
      <c r="AB2135">
        <v>0</v>
      </c>
      <c r="AC2135">
        <v>0</v>
      </c>
      <c r="AF2135">
        <v>1920</v>
      </c>
      <c r="AG2135">
        <v>1920</v>
      </c>
      <c r="AO2135" t="b">
        <v>1</v>
      </c>
      <c r="AP2135" t="s">
        <v>4202</v>
      </c>
      <c r="AQ2135">
        <v>1816</v>
      </c>
      <c r="AR2135">
        <v>1889</v>
      </c>
      <c r="AS2135" t="s">
        <v>8798</v>
      </c>
      <c r="AT2135">
        <v>0.62970568104038305</v>
      </c>
      <c r="AU2135">
        <f t="shared" si="101"/>
        <v>2E-3</v>
      </c>
    </row>
    <row r="2136" spans="1:47" x14ac:dyDescent="0.3">
      <c r="A2136">
        <v>2134</v>
      </c>
      <c r="B2136" t="s">
        <v>8799</v>
      </c>
      <c r="C2136" t="s">
        <v>8800</v>
      </c>
      <c r="D2136">
        <v>380</v>
      </c>
      <c r="E2136" t="s">
        <v>8675</v>
      </c>
      <c r="F2136" t="str">
        <f>VLOOKUP(E2136,country_continent!A:C,2,FALSE)</f>
        <v>Sweden</v>
      </c>
      <c r="G2136" t="str">
        <f>VLOOKUP(E2136,country_continent!A:C,3,FALSE)</f>
        <v>Europe</v>
      </c>
      <c r="H2136" t="s">
        <v>4563</v>
      </c>
      <c r="I2136" s="1">
        <v>7606</v>
      </c>
      <c r="J2136" s="3">
        <f t="shared" si="99"/>
        <v>7606</v>
      </c>
      <c r="K2136" s="1">
        <v>7725</v>
      </c>
      <c r="L2136" s="3">
        <f t="shared" si="100"/>
        <v>7725</v>
      </c>
      <c r="M2136" t="s">
        <v>49</v>
      </c>
      <c r="N2136" t="s">
        <v>49</v>
      </c>
      <c r="O2136" t="s">
        <v>49</v>
      </c>
      <c r="P2136">
        <v>0</v>
      </c>
      <c r="Q2136" t="s">
        <v>50</v>
      </c>
      <c r="R2136" t="s">
        <v>51</v>
      </c>
      <c r="S2136">
        <v>1854</v>
      </c>
      <c r="T2136">
        <v>1935</v>
      </c>
      <c r="U2136" t="s">
        <v>8801</v>
      </c>
      <c r="V2136" t="s">
        <v>8802</v>
      </c>
      <c r="Y2136" t="s">
        <v>8803</v>
      </c>
      <c r="Z2136">
        <v>0</v>
      </c>
      <c r="AA2136">
        <v>1</v>
      </c>
      <c r="AB2136">
        <v>0</v>
      </c>
      <c r="AC2136">
        <v>0</v>
      </c>
      <c r="AD2136" t="s">
        <v>8804</v>
      </c>
      <c r="AE2136">
        <v>1</v>
      </c>
      <c r="AF2136">
        <v>1920</v>
      </c>
      <c r="AG2136">
        <v>1921</v>
      </c>
      <c r="AO2136" t="b">
        <v>1</v>
      </c>
      <c r="AP2136" t="s">
        <v>4202</v>
      </c>
      <c r="AQ2136">
        <v>1816</v>
      </c>
      <c r="AR2136">
        <v>1889</v>
      </c>
      <c r="AS2136" t="s">
        <v>8805</v>
      </c>
      <c r="AT2136">
        <v>0.32580424366872002</v>
      </c>
      <c r="AU2136">
        <f t="shared" si="101"/>
        <v>1E-3</v>
      </c>
    </row>
    <row r="2137" spans="1:47" x14ac:dyDescent="0.3">
      <c r="A2137">
        <v>2135</v>
      </c>
      <c r="B2137" t="s">
        <v>8806</v>
      </c>
      <c r="C2137" t="s">
        <v>8807</v>
      </c>
      <c r="D2137">
        <v>380</v>
      </c>
      <c r="E2137" t="s">
        <v>8675</v>
      </c>
      <c r="F2137" t="str">
        <f>VLOOKUP(E2137,country_continent!A:C,2,FALSE)</f>
        <v>Sweden</v>
      </c>
      <c r="G2137" t="str">
        <f>VLOOKUP(E2137,country_continent!A:C,3,FALSE)</f>
        <v>Europe</v>
      </c>
      <c r="H2137" t="s">
        <v>8808</v>
      </c>
      <c r="I2137" s="1">
        <v>7725</v>
      </c>
      <c r="J2137" s="3">
        <f t="shared" si="99"/>
        <v>7725</v>
      </c>
      <c r="K2137" s="1">
        <v>7957</v>
      </c>
      <c r="L2137" s="3">
        <f t="shared" si="100"/>
        <v>7957</v>
      </c>
      <c r="M2137" t="s">
        <v>49</v>
      </c>
      <c r="N2137" t="s">
        <v>49</v>
      </c>
      <c r="O2137" t="s">
        <v>49</v>
      </c>
      <c r="P2137">
        <v>0</v>
      </c>
      <c r="Q2137" t="s">
        <v>50</v>
      </c>
      <c r="R2137" t="s">
        <v>51</v>
      </c>
      <c r="S2137">
        <v>1873</v>
      </c>
      <c r="T2137">
        <v>1936</v>
      </c>
      <c r="U2137" t="s">
        <v>8809</v>
      </c>
      <c r="V2137" t="s">
        <v>8810</v>
      </c>
      <c r="Y2137" t="s">
        <v>8811</v>
      </c>
      <c r="Z2137">
        <v>0</v>
      </c>
      <c r="AA2137">
        <v>1</v>
      </c>
      <c r="AB2137">
        <v>0</v>
      </c>
      <c r="AC2137">
        <v>0</v>
      </c>
      <c r="AF2137">
        <v>1921</v>
      </c>
      <c r="AG2137">
        <v>1921</v>
      </c>
      <c r="AO2137" t="b">
        <v>1</v>
      </c>
      <c r="AP2137" t="s">
        <v>4202</v>
      </c>
      <c r="AQ2137">
        <v>1816</v>
      </c>
      <c r="AR2137">
        <v>1889</v>
      </c>
      <c r="AS2137" t="s">
        <v>8812</v>
      </c>
      <c r="AT2137">
        <v>0.63518138261464696</v>
      </c>
      <c r="AU2137">
        <f t="shared" si="101"/>
        <v>2E-3</v>
      </c>
    </row>
    <row r="2138" spans="1:47" x14ac:dyDescent="0.3">
      <c r="A2138">
        <v>2136</v>
      </c>
      <c r="B2138" t="s">
        <v>8813</v>
      </c>
      <c r="C2138" t="s">
        <v>8793</v>
      </c>
      <c r="D2138">
        <v>380</v>
      </c>
      <c r="E2138" t="s">
        <v>8675</v>
      </c>
      <c r="F2138" t="str">
        <f>VLOOKUP(E2138,country_continent!A:C,2,FALSE)</f>
        <v>Sweden</v>
      </c>
      <c r="G2138" t="str">
        <f>VLOOKUP(E2138,country_continent!A:C,3,FALSE)</f>
        <v>Europe</v>
      </c>
      <c r="H2138" t="s">
        <v>8794</v>
      </c>
      <c r="I2138" s="1">
        <v>7957</v>
      </c>
      <c r="J2138" s="3">
        <f t="shared" si="99"/>
        <v>7957</v>
      </c>
      <c r="K2138" s="1">
        <v>8497</v>
      </c>
      <c r="L2138" s="3">
        <f t="shared" si="100"/>
        <v>8497</v>
      </c>
      <c r="M2138" t="s">
        <v>49</v>
      </c>
      <c r="N2138" t="s">
        <v>49</v>
      </c>
      <c r="O2138" t="s">
        <v>49</v>
      </c>
      <c r="P2138">
        <v>1</v>
      </c>
      <c r="Q2138" t="s">
        <v>50</v>
      </c>
      <c r="R2138" t="s">
        <v>51</v>
      </c>
      <c r="S2138">
        <v>1860</v>
      </c>
      <c r="T2138">
        <v>1925</v>
      </c>
      <c r="U2138" t="s">
        <v>8795</v>
      </c>
      <c r="V2138" t="s">
        <v>8796</v>
      </c>
      <c r="W2138" s="1">
        <v>9187</v>
      </c>
      <c r="X2138" s="2">
        <v>9187</v>
      </c>
      <c r="Y2138" t="s">
        <v>8797</v>
      </c>
      <c r="Z2138">
        <v>0</v>
      </c>
      <c r="AA2138">
        <v>1</v>
      </c>
      <c r="AB2138">
        <v>0</v>
      </c>
      <c r="AC2138">
        <v>0</v>
      </c>
      <c r="AF2138">
        <v>1921</v>
      </c>
      <c r="AG2138">
        <v>1923</v>
      </c>
      <c r="AO2138" t="b">
        <v>1</v>
      </c>
      <c r="AP2138" t="s">
        <v>4202</v>
      </c>
      <c r="AQ2138">
        <v>1816</v>
      </c>
      <c r="AR2138">
        <v>1889</v>
      </c>
      <c r="AS2138" t="s">
        <v>8814</v>
      </c>
      <c r="AT2138">
        <v>1.47843942505133</v>
      </c>
      <c r="AU2138">
        <f t="shared" si="101"/>
        <v>4.0000000000000001E-3</v>
      </c>
    </row>
    <row r="2139" spans="1:47" x14ac:dyDescent="0.3">
      <c r="A2139">
        <v>2137</v>
      </c>
      <c r="B2139" t="s">
        <v>8815</v>
      </c>
      <c r="C2139" t="s">
        <v>8816</v>
      </c>
      <c r="D2139">
        <v>380</v>
      </c>
      <c r="E2139" t="s">
        <v>8675</v>
      </c>
      <c r="F2139" t="str">
        <f>VLOOKUP(E2139,country_continent!A:C,2,FALSE)</f>
        <v>Sweden</v>
      </c>
      <c r="G2139" t="str">
        <f>VLOOKUP(E2139,country_continent!A:C,3,FALSE)</f>
        <v>Europe</v>
      </c>
      <c r="H2139" t="s">
        <v>8817</v>
      </c>
      <c r="I2139" s="1">
        <v>8497</v>
      </c>
      <c r="J2139" s="3">
        <f t="shared" si="99"/>
        <v>8497</v>
      </c>
      <c r="K2139" s="1">
        <v>9058</v>
      </c>
      <c r="L2139" s="3">
        <f t="shared" si="100"/>
        <v>9058</v>
      </c>
      <c r="M2139" t="s">
        <v>49</v>
      </c>
      <c r="N2139" t="s">
        <v>49</v>
      </c>
      <c r="O2139" t="s">
        <v>49</v>
      </c>
      <c r="P2139">
        <v>0</v>
      </c>
      <c r="Q2139" t="s">
        <v>50</v>
      </c>
      <c r="R2139" t="s">
        <v>51</v>
      </c>
      <c r="S2139">
        <v>1857</v>
      </c>
      <c r="T2139">
        <v>1943</v>
      </c>
      <c r="U2139" t="s">
        <v>8818</v>
      </c>
      <c r="V2139" t="s">
        <v>8819</v>
      </c>
      <c r="W2139" s="1">
        <v>15973</v>
      </c>
      <c r="X2139" s="2">
        <v>15973</v>
      </c>
      <c r="Y2139" t="s">
        <v>8820</v>
      </c>
      <c r="Z2139">
        <v>0</v>
      </c>
      <c r="AA2139">
        <v>1</v>
      </c>
      <c r="AB2139">
        <v>0</v>
      </c>
      <c r="AC2139">
        <v>0</v>
      </c>
      <c r="AF2139">
        <v>1923</v>
      </c>
      <c r="AG2139">
        <v>1924</v>
      </c>
      <c r="AO2139" t="b">
        <v>1</v>
      </c>
      <c r="AP2139" t="s">
        <v>4202</v>
      </c>
      <c r="AQ2139">
        <v>1816</v>
      </c>
      <c r="AR2139">
        <v>1889</v>
      </c>
      <c r="AS2139" t="s">
        <v>8821</v>
      </c>
      <c r="AT2139">
        <v>1.5359342915811001</v>
      </c>
      <c r="AU2139">
        <f t="shared" si="101"/>
        <v>4.0000000000000001E-3</v>
      </c>
    </row>
    <row r="2140" spans="1:47" x14ac:dyDescent="0.3">
      <c r="A2140">
        <v>2138</v>
      </c>
      <c r="B2140" t="s">
        <v>8822</v>
      </c>
      <c r="C2140" t="s">
        <v>8793</v>
      </c>
      <c r="D2140">
        <v>380</v>
      </c>
      <c r="E2140" t="s">
        <v>8675</v>
      </c>
      <c r="F2140" t="str">
        <f>VLOOKUP(E2140,country_continent!A:C,2,FALSE)</f>
        <v>Sweden</v>
      </c>
      <c r="G2140" t="str">
        <f>VLOOKUP(E2140,country_continent!A:C,3,FALSE)</f>
        <v>Europe</v>
      </c>
      <c r="H2140" t="s">
        <v>8794</v>
      </c>
      <c r="I2140" s="1">
        <v>9058</v>
      </c>
      <c r="J2140" s="3">
        <f t="shared" si="99"/>
        <v>9058</v>
      </c>
      <c r="K2140" s="1">
        <v>9156</v>
      </c>
      <c r="L2140" s="3">
        <f t="shared" si="100"/>
        <v>9156</v>
      </c>
      <c r="M2140" t="s">
        <v>49</v>
      </c>
      <c r="N2140" t="s">
        <v>228</v>
      </c>
      <c r="O2140" t="s">
        <v>49</v>
      </c>
      <c r="P2140">
        <v>2</v>
      </c>
      <c r="Q2140" t="s">
        <v>111</v>
      </c>
      <c r="R2140" t="s">
        <v>51</v>
      </c>
      <c r="S2140">
        <v>1860</v>
      </c>
      <c r="T2140">
        <v>1925</v>
      </c>
      <c r="U2140" t="s">
        <v>8795</v>
      </c>
      <c r="V2140" t="s">
        <v>8796</v>
      </c>
      <c r="W2140" s="1">
        <v>9187</v>
      </c>
      <c r="X2140" s="2">
        <v>9187</v>
      </c>
      <c r="Y2140" t="s">
        <v>8797</v>
      </c>
      <c r="Z2140">
        <v>0</v>
      </c>
      <c r="AA2140">
        <v>2.0999998999999998</v>
      </c>
      <c r="AB2140">
        <v>0</v>
      </c>
      <c r="AC2140">
        <v>-777</v>
      </c>
      <c r="AF2140">
        <v>1924</v>
      </c>
      <c r="AG2140">
        <v>1925</v>
      </c>
      <c r="AO2140" t="b">
        <v>1</v>
      </c>
      <c r="AP2140" t="s">
        <v>4202</v>
      </c>
      <c r="AQ2140">
        <v>1816</v>
      </c>
      <c r="AR2140">
        <v>1889</v>
      </c>
      <c r="AS2140" t="s">
        <v>8823</v>
      </c>
      <c r="AT2140">
        <v>0.26830937713894498</v>
      </c>
      <c r="AU2140">
        <f t="shared" si="101"/>
        <v>1E-3</v>
      </c>
    </row>
    <row r="2141" spans="1:47" x14ac:dyDescent="0.3">
      <c r="A2141">
        <v>2139</v>
      </c>
      <c r="B2141" t="s">
        <v>8824</v>
      </c>
      <c r="C2141" t="s">
        <v>8825</v>
      </c>
      <c r="D2141">
        <v>380</v>
      </c>
      <c r="E2141" t="s">
        <v>8675</v>
      </c>
      <c r="F2141" t="str">
        <f>VLOOKUP(E2141,country_continent!A:C,2,FALSE)</f>
        <v>Sweden</v>
      </c>
      <c r="G2141" t="str">
        <f>VLOOKUP(E2141,country_continent!A:C,3,FALSE)</f>
        <v>Europe</v>
      </c>
      <c r="H2141" t="s">
        <v>8826</v>
      </c>
      <c r="I2141" s="1">
        <v>9156</v>
      </c>
      <c r="J2141" s="3">
        <f t="shared" si="99"/>
        <v>9156</v>
      </c>
      <c r="K2141" s="1">
        <v>9650</v>
      </c>
      <c r="L2141" s="3">
        <f t="shared" si="100"/>
        <v>9650</v>
      </c>
      <c r="M2141" t="s">
        <v>49</v>
      </c>
      <c r="N2141" t="s">
        <v>49</v>
      </c>
      <c r="O2141" t="s">
        <v>49</v>
      </c>
      <c r="P2141">
        <v>0</v>
      </c>
      <c r="Q2141" t="s">
        <v>50</v>
      </c>
      <c r="R2141" t="s">
        <v>51</v>
      </c>
      <c r="S2141">
        <v>1884</v>
      </c>
      <c r="T2141">
        <v>1964</v>
      </c>
      <c r="U2141" t="s">
        <v>8827</v>
      </c>
      <c r="V2141" t="s">
        <v>8828</v>
      </c>
      <c r="Y2141" t="s">
        <v>8829</v>
      </c>
      <c r="Z2141">
        <v>0</v>
      </c>
      <c r="AA2141">
        <v>1</v>
      </c>
      <c r="AB2141">
        <v>0</v>
      </c>
      <c r="AC2141">
        <v>0</v>
      </c>
      <c r="AF2141">
        <v>1925</v>
      </c>
      <c r="AG2141">
        <v>1926</v>
      </c>
      <c r="AO2141" t="b">
        <v>1</v>
      </c>
      <c r="AP2141" t="s">
        <v>4202</v>
      </c>
      <c r="AQ2141">
        <v>1816</v>
      </c>
      <c r="AR2141">
        <v>1889</v>
      </c>
      <c r="AS2141" t="s">
        <v>8830</v>
      </c>
      <c r="AT2141">
        <v>1.35249828884325</v>
      </c>
      <c r="AU2141">
        <f t="shared" si="101"/>
        <v>4.0000000000000001E-3</v>
      </c>
    </row>
    <row r="2142" spans="1:47" x14ac:dyDescent="0.3">
      <c r="A2142">
        <v>2140</v>
      </c>
      <c r="B2142" t="s">
        <v>8831</v>
      </c>
      <c r="C2142" t="s">
        <v>8832</v>
      </c>
      <c r="D2142">
        <v>380</v>
      </c>
      <c r="E2142" t="s">
        <v>8675</v>
      </c>
      <c r="F2142" t="str">
        <f>VLOOKUP(E2142,country_continent!A:C,2,FALSE)</f>
        <v>Sweden</v>
      </c>
      <c r="G2142" t="str">
        <f>VLOOKUP(E2142,country_continent!A:C,3,FALSE)</f>
        <v>Europe</v>
      </c>
      <c r="H2142" t="s">
        <v>8833</v>
      </c>
      <c r="I2142" s="1">
        <v>9654</v>
      </c>
      <c r="J2142" s="3">
        <f t="shared" si="99"/>
        <v>9654</v>
      </c>
      <c r="K2142" s="1">
        <v>10497</v>
      </c>
      <c r="L2142" s="3">
        <f t="shared" si="100"/>
        <v>10497</v>
      </c>
      <c r="M2142" t="s">
        <v>49</v>
      </c>
      <c r="N2142" t="s">
        <v>49</v>
      </c>
      <c r="O2142" t="s">
        <v>49</v>
      </c>
      <c r="P2142">
        <v>0</v>
      </c>
      <c r="Q2142" t="s">
        <v>50</v>
      </c>
      <c r="R2142" t="s">
        <v>51</v>
      </c>
      <c r="S2142">
        <v>1872</v>
      </c>
      <c r="T2142">
        <v>1945</v>
      </c>
      <c r="U2142" t="s">
        <v>8834</v>
      </c>
      <c r="V2142" t="s">
        <v>8835</v>
      </c>
      <c r="Y2142" t="s">
        <v>8836</v>
      </c>
      <c r="Z2142">
        <v>0</v>
      </c>
      <c r="AA2142">
        <v>1</v>
      </c>
      <c r="AB2142">
        <v>0</v>
      </c>
      <c r="AC2142">
        <v>0</v>
      </c>
      <c r="AF2142">
        <v>1926</v>
      </c>
      <c r="AG2142">
        <v>1928</v>
      </c>
      <c r="AO2142" t="b">
        <v>1</v>
      </c>
      <c r="AP2142" t="s">
        <v>4202</v>
      </c>
      <c r="AQ2142">
        <v>1816</v>
      </c>
      <c r="AR2142">
        <v>1889</v>
      </c>
      <c r="AS2142" t="s">
        <v>8837</v>
      </c>
      <c r="AT2142">
        <v>2.3080082135523599</v>
      </c>
      <c r="AU2142">
        <f t="shared" si="101"/>
        <v>6.0000000000000001E-3</v>
      </c>
    </row>
    <row r="2143" spans="1:47" x14ac:dyDescent="0.3">
      <c r="A2143">
        <v>2141</v>
      </c>
      <c r="B2143" t="s">
        <v>8838</v>
      </c>
      <c r="C2143" t="s">
        <v>8764</v>
      </c>
      <c r="D2143">
        <v>380</v>
      </c>
      <c r="E2143" t="s">
        <v>8675</v>
      </c>
      <c r="F2143" t="str">
        <f>VLOOKUP(E2143,country_continent!A:C,2,FALSE)</f>
        <v>Sweden</v>
      </c>
      <c r="G2143" t="str">
        <f>VLOOKUP(E2143,country_continent!A:C,3,FALSE)</f>
        <v>Europe</v>
      </c>
      <c r="H2143" t="s">
        <v>8765</v>
      </c>
      <c r="I2143" s="1">
        <v>10502</v>
      </c>
      <c r="J2143" s="3">
        <f t="shared" si="99"/>
        <v>10502</v>
      </c>
      <c r="K2143" s="1">
        <v>11111</v>
      </c>
      <c r="L2143" s="3">
        <f t="shared" si="100"/>
        <v>11111</v>
      </c>
      <c r="M2143" t="s">
        <v>49</v>
      </c>
      <c r="N2143" t="s">
        <v>49</v>
      </c>
      <c r="O2143" t="s">
        <v>49</v>
      </c>
      <c r="P2143">
        <v>1</v>
      </c>
      <c r="Q2143" t="s">
        <v>50</v>
      </c>
      <c r="R2143" t="s">
        <v>51</v>
      </c>
      <c r="S2143">
        <v>1862</v>
      </c>
      <c r="T2143">
        <v>1936</v>
      </c>
      <c r="U2143" t="s">
        <v>8766</v>
      </c>
      <c r="V2143" t="s">
        <v>8767</v>
      </c>
      <c r="Y2143" t="s">
        <v>8768</v>
      </c>
      <c r="Z2143">
        <v>0</v>
      </c>
      <c r="AA2143">
        <v>1</v>
      </c>
      <c r="AB2143">
        <v>0</v>
      </c>
      <c r="AC2143">
        <v>0</v>
      </c>
      <c r="AF2143">
        <v>1928</v>
      </c>
      <c r="AG2143">
        <v>1930</v>
      </c>
      <c r="AO2143" t="b">
        <v>1</v>
      </c>
      <c r="AP2143" t="s">
        <v>4202</v>
      </c>
      <c r="AQ2143">
        <v>1816</v>
      </c>
      <c r="AR2143">
        <v>1889</v>
      </c>
      <c r="AS2143" t="s">
        <v>8839</v>
      </c>
      <c r="AT2143">
        <v>1.66735112936344</v>
      </c>
      <c r="AU2143">
        <f t="shared" si="101"/>
        <v>5.0000000000000001E-3</v>
      </c>
    </row>
    <row r="2144" spans="1:47" x14ac:dyDescent="0.3">
      <c r="A2144">
        <v>2142</v>
      </c>
      <c r="B2144" t="s">
        <v>8840</v>
      </c>
      <c r="C2144" t="s">
        <v>8832</v>
      </c>
      <c r="D2144">
        <v>380</v>
      </c>
      <c r="E2144" t="s">
        <v>8675</v>
      </c>
      <c r="F2144" t="str">
        <f>VLOOKUP(E2144,country_continent!A:C,2,FALSE)</f>
        <v>Sweden</v>
      </c>
      <c r="G2144" t="str">
        <f>VLOOKUP(E2144,country_continent!A:C,3,FALSE)</f>
        <v>Europe</v>
      </c>
      <c r="H2144" t="s">
        <v>8833</v>
      </c>
      <c r="I2144" s="1">
        <v>11115</v>
      </c>
      <c r="J2144" s="3">
        <f t="shared" si="99"/>
        <v>11115</v>
      </c>
      <c r="K2144" s="1">
        <v>11907</v>
      </c>
      <c r="L2144" s="3">
        <f t="shared" si="100"/>
        <v>11907</v>
      </c>
      <c r="M2144" t="s">
        <v>49</v>
      </c>
      <c r="N2144" t="s">
        <v>49</v>
      </c>
      <c r="O2144" t="s">
        <v>49</v>
      </c>
      <c r="P2144">
        <v>1</v>
      </c>
      <c r="Q2144" t="s">
        <v>50</v>
      </c>
      <c r="R2144" t="s">
        <v>51</v>
      </c>
      <c r="S2144">
        <v>1872</v>
      </c>
      <c r="T2144">
        <v>1945</v>
      </c>
      <c r="U2144" t="s">
        <v>8834</v>
      </c>
      <c r="V2144" t="s">
        <v>8835</v>
      </c>
      <c r="Y2144" t="s">
        <v>8836</v>
      </c>
      <c r="Z2144">
        <v>0</v>
      </c>
      <c r="AA2144">
        <v>1</v>
      </c>
      <c r="AB2144">
        <v>0</v>
      </c>
      <c r="AC2144">
        <v>0</v>
      </c>
      <c r="AF2144">
        <v>1930</v>
      </c>
      <c r="AG2144">
        <v>1932</v>
      </c>
      <c r="AO2144" t="b">
        <v>1</v>
      </c>
      <c r="AP2144" t="s">
        <v>4202</v>
      </c>
      <c r="AQ2144">
        <v>1816</v>
      </c>
      <c r="AR2144">
        <v>1889</v>
      </c>
      <c r="AS2144" t="s">
        <v>8841</v>
      </c>
      <c r="AT2144">
        <v>2.16837782340862</v>
      </c>
      <c r="AU2144">
        <f t="shared" si="101"/>
        <v>6.0000000000000001E-3</v>
      </c>
    </row>
    <row r="2145" spans="1:47" x14ac:dyDescent="0.3">
      <c r="A2145">
        <v>2143</v>
      </c>
      <c r="B2145" t="s">
        <v>8842</v>
      </c>
      <c r="C2145" t="s">
        <v>8843</v>
      </c>
      <c r="D2145">
        <v>380</v>
      </c>
      <c r="E2145" t="s">
        <v>8675</v>
      </c>
      <c r="F2145" t="str">
        <f>VLOOKUP(E2145,country_continent!A:C,2,FALSE)</f>
        <v>Sweden</v>
      </c>
      <c r="G2145" t="str">
        <f>VLOOKUP(E2145,country_continent!A:C,3,FALSE)</f>
        <v>Europe</v>
      </c>
      <c r="H2145" t="s">
        <v>8844</v>
      </c>
      <c r="I2145" s="1">
        <v>11907</v>
      </c>
      <c r="J2145" s="3">
        <f t="shared" si="99"/>
        <v>11907</v>
      </c>
      <c r="K2145" s="1">
        <v>11951</v>
      </c>
      <c r="L2145" s="3">
        <f t="shared" si="100"/>
        <v>11951</v>
      </c>
      <c r="M2145" t="s">
        <v>49</v>
      </c>
      <c r="N2145" t="s">
        <v>49</v>
      </c>
      <c r="O2145" t="s">
        <v>49</v>
      </c>
      <c r="P2145">
        <v>0</v>
      </c>
      <c r="Q2145" t="s">
        <v>50</v>
      </c>
      <c r="R2145" t="s">
        <v>51</v>
      </c>
      <c r="S2145">
        <v>1875</v>
      </c>
      <c r="T2145">
        <v>1937</v>
      </c>
      <c r="U2145" t="s">
        <v>8845</v>
      </c>
      <c r="V2145" t="s">
        <v>8846</v>
      </c>
      <c r="W2145" s="1">
        <v>13846</v>
      </c>
      <c r="X2145" s="2">
        <v>13846</v>
      </c>
      <c r="Y2145" t="s">
        <v>8847</v>
      </c>
      <c r="Z2145">
        <v>0</v>
      </c>
      <c r="AA2145">
        <v>1</v>
      </c>
      <c r="AB2145">
        <v>0</v>
      </c>
      <c r="AC2145">
        <v>0</v>
      </c>
      <c r="AF2145">
        <v>1932</v>
      </c>
      <c r="AG2145">
        <v>1932</v>
      </c>
      <c r="AO2145" t="b">
        <v>1</v>
      </c>
      <c r="AP2145" t="s">
        <v>4202</v>
      </c>
      <c r="AQ2145">
        <v>1816</v>
      </c>
      <c r="AR2145">
        <v>1889</v>
      </c>
      <c r="AS2145" t="s">
        <v>8848</v>
      </c>
      <c r="AT2145">
        <v>0.120465434633812</v>
      </c>
      <c r="AU2145">
        <f t="shared" si="101"/>
        <v>0</v>
      </c>
    </row>
    <row r="2146" spans="1:47" x14ac:dyDescent="0.3">
      <c r="A2146">
        <v>2144</v>
      </c>
      <c r="B2146" t="s">
        <v>8849</v>
      </c>
      <c r="C2146" t="s">
        <v>8850</v>
      </c>
      <c r="D2146">
        <v>380</v>
      </c>
      <c r="E2146" t="s">
        <v>8675</v>
      </c>
      <c r="F2146" t="str">
        <f>VLOOKUP(E2146,country_continent!A:C,2,FALSE)</f>
        <v>Sweden</v>
      </c>
      <c r="G2146" t="str">
        <f>VLOOKUP(E2146,country_continent!A:C,3,FALSE)</f>
        <v>Europe</v>
      </c>
      <c r="H2146" t="s">
        <v>8851</v>
      </c>
      <c r="I2146" s="1">
        <v>11956</v>
      </c>
      <c r="J2146" s="3">
        <f t="shared" si="99"/>
        <v>11956</v>
      </c>
      <c r="K2146" s="1">
        <v>13316</v>
      </c>
      <c r="L2146" s="3">
        <f t="shared" si="100"/>
        <v>13316</v>
      </c>
      <c r="M2146" t="s">
        <v>49</v>
      </c>
      <c r="N2146" t="s">
        <v>49</v>
      </c>
      <c r="O2146" t="s">
        <v>49</v>
      </c>
      <c r="P2146">
        <v>0</v>
      </c>
      <c r="Q2146" t="s">
        <v>50</v>
      </c>
      <c r="R2146" t="s">
        <v>51</v>
      </c>
      <c r="S2146">
        <v>1885</v>
      </c>
      <c r="T2146">
        <v>1946</v>
      </c>
      <c r="U2146" t="s">
        <v>8852</v>
      </c>
      <c r="V2146" t="s">
        <v>8853</v>
      </c>
      <c r="W2146" s="1">
        <v>17081</v>
      </c>
      <c r="X2146" s="2">
        <v>17081</v>
      </c>
      <c r="Y2146" t="s">
        <v>8854</v>
      </c>
      <c r="Z2146">
        <v>0</v>
      </c>
      <c r="AA2146">
        <v>1</v>
      </c>
      <c r="AB2146">
        <v>0</v>
      </c>
      <c r="AC2146">
        <v>0</v>
      </c>
      <c r="AF2146">
        <v>1932</v>
      </c>
      <c r="AG2146">
        <v>1936</v>
      </c>
      <c r="AO2146" t="b">
        <v>1</v>
      </c>
      <c r="AP2146" t="s">
        <v>4202</v>
      </c>
      <c r="AQ2146">
        <v>1816</v>
      </c>
      <c r="AR2146">
        <v>1889</v>
      </c>
      <c r="AS2146" t="s">
        <v>8855</v>
      </c>
      <c r="AT2146">
        <v>3.72347707049965</v>
      </c>
      <c r="AU2146">
        <f t="shared" si="101"/>
        <v>0.01</v>
      </c>
    </row>
    <row r="2147" spans="1:47" x14ac:dyDescent="0.3">
      <c r="A2147">
        <v>2145</v>
      </c>
      <c r="B2147" t="s">
        <v>8856</v>
      </c>
      <c r="C2147" t="s">
        <v>8857</v>
      </c>
      <c r="D2147">
        <v>380</v>
      </c>
      <c r="E2147" t="s">
        <v>8675</v>
      </c>
      <c r="F2147" t="str">
        <f>VLOOKUP(E2147,country_continent!A:C,2,FALSE)</f>
        <v>Sweden</v>
      </c>
      <c r="G2147" t="str">
        <f>VLOOKUP(E2147,country_continent!A:C,3,FALSE)</f>
        <v>Europe</v>
      </c>
      <c r="H2147" t="s">
        <v>8858</v>
      </c>
      <c r="I2147" s="1">
        <v>13320</v>
      </c>
      <c r="J2147" s="3">
        <f t="shared" si="99"/>
        <v>13320</v>
      </c>
      <c r="K2147" s="1">
        <v>13416</v>
      </c>
      <c r="L2147" s="3">
        <f t="shared" si="100"/>
        <v>13416</v>
      </c>
      <c r="M2147" t="s">
        <v>49</v>
      </c>
      <c r="N2147" t="s">
        <v>49</v>
      </c>
      <c r="O2147" t="s">
        <v>49</v>
      </c>
      <c r="P2147">
        <v>0</v>
      </c>
      <c r="Q2147" t="s">
        <v>50</v>
      </c>
      <c r="R2147" t="s">
        <v>51</v>
      </c>
      <c r="S2147">
        <v>1883</v>
      </c>
      <c r="T2147">
        <v>1954</v>
      </c>
      <c r="U2147" t="s">
        <v>8859</v>
      </c>
      <c r="V2147" t="s">
        <v>8860</v>
      </c>
      <c r="W2147" s="1">
        <v>19774</v>
      </c>
      <c r="X2147" s="2">
        <v>19774</v>
      </c>
      <c r="Y2147" t="s">
        <v>8861</v>
      </c>
      <c r="Z2147">
        <v>0</v>
      </c>
      <c r="AA2147">
        <v>1</v>
      </c>
      <c r="AB2147">
        <v>0</v>
      </c>
      <c r="AC2147">
        <v>0</v>
      </c>
      <c r="AF2147">
        <v>1936</v>
      </c>
      <c r="AG2147">
        <v>1936</v>
      </c>
      <c r="AO2147" t="b">
        <v>1</v>
      </c>
      <c r="AP2147" t="s">
        <v>4202</v>
      </c>
      <c r="AQ2147">
        <v>1816</v>
      </c>
      <c r="AR2147">
        <v>1889</v>
      </c>
      <c r="AS2147" t="s">
        <v>8862</v>
      </c>
      <c r="AT2147">
        <v>0.26283367556468101</v>
      </c>
      <c r="AU2147">
        <f t="shared" si="101"/>
        <v>1E-3</v>
      </c>
    </row>
    <row r="2148" spans="1:47" x14ac:dyDescent="0.3">
      <c r="A2148">
        <v>2146</v>
      </c>
      <c r="B2148" t="s">
        <v>8863</v>
      </c>
      <c r="C2148" t="s">
        <v>8850</v>
      </c>
      <c r="D2148">
        <v>380</v>
      </c>
      <c r="E2148" t="s">
        <v>8675</v>
      </c>
      <c r="F2148" t="str">
        <f>VLOOKUP(E2148,country_continent!A:C,2,FALSE)</f>
        <v>Sweden</v>
      </c>
      <c r="G2148" t="str">
        <f>VLOOKUP(E2148,country_continent!A:C,3,FALSE)</f>
        <v>Europe</v>
      </c>
      <c r="H2148" t="s">
        <v>8851</v>
      </c>
      <c r="I2148" s="1">
        <v>13421</v>
      </c>
      <c r="J2148" s="3">
        <f t="shared" si="99"/>
        <v>13421</v>
      </c>
      <c r="K2148" s="1">
        <v>17081</v>
      </c>
      <c r="L2148" s="3">
        <f t="shared" si="100"/>
        <v>17081</v>
      </c>
      <c r="M2148" t="s">
        <v>49</v>
      </c>
      <c r="N2148" t="s">
        <v>110</v>
      </c>
      <c r="O2148" t="s">
        <v>49</v>
      </c>
      <c r="P2148">
        <v>1</v>
      </c>
      <c r="Q2148" t="s">
        <v>111</v>
      </c>
      <c r="R2148" t="s">
        <v>51</v>
      </c>
      <c r="S2148">
        <v>1885</v>
      </c>
      <c r="T2148">
        <v>1946</v>
      </c>
      <c r="U2148" t="s">
        <v>8852</v>
      </c>
      <c r="V2148" t="s">
        <v>8853</v>
      </c>
      <c r="W2148" s="1">
        <v>17081</v>
      </c>
      <c r="X2148" s="2">
        <v>17081</v>
      </c>
      <c r="Y2148" t="s">
        <v>8854</v>
      </c>
      <c r="Z2148">
        <v>0</v>
      </c>
      <c r="AA2148">
        <v>2</v>
      </c>
      <c r="AB2148">
        <v>0</v>
      </c>
      <c r="AC2148">
        <v>-777</v>
      </c>
      <c r="AF2148">
        <v>1936</v>
      </c>
      <c r="AG2148">
        <v>1946</v>
      </c>
      <c r="AO2148" t="b">
        <v>1</v>
      </c>
      <c r="AP2148" t="s">
        <v>4202</v>
      </c>
      <c r="AQ2148">
        <v>1816</v>
      </c>
      <c r="AR2148">
        <v>1889</v>
      </c>
      <c r="AS2148" t="s">
        <v>8864</v>
      </c>
      <c r="AT2148">
        <v>10.0205338809034</v>
      </c>
      <c r="AU2148">
        <f t="shared" si="101"/>
        <v>2.7E-2</v>
      </c>
    </row>
    <row r="2149" spans="1:47" x14ac:dyDescent="0.3">
      <c r="A2149">
        <v>2147</v>
      </c>
      <c r="B2149" t="s">
        <v>8865</v>
      </c>
      <c r="C2149" t="s">
        <v>8866</v>
      </c>
      <c r="D2149">
        <v>380</v>
      </c>
      <c r="E2149" t="s">
        <v>8675</v>
      </c>
      <c r="F2149" t="str">
        <f>VLOOKUP(E2149,country_continent!A:C,2,FALSE)</f>
        <v>Sweden</v>
      </c>
      <c r="G2149" t="str">
        <f>VLOOKUP(E2149,country_continent!A:C,3,FALSE)</f>
        <v>Europe</v>
      </c>
      <c r="H2149" t="s">
        <v>8867</v>
      </c>
      <c r="I2149" s="1">
        <v>17085</v>
      </c>
      <c r="J2149" s="3">
        <f t="shared" si="99"/>
        <v>17085</v>
      </c>
      <c r="K2149" s="1">
        <v>25485</v>
      </c>
      <c r="L2149" s="3">
        <f t="shared" si="100"/>
        <v>25485</v>
      </c>
      <c r="M2149" t="s">
        <v>49</v>
      </c>
      <c r="N2149" t="s">
        <v>49</v>
      </c>
      <c r="O2149" t="s">
        <v>49</v>
      </c>
      <c r="P2149">
        <v>0</v>
      </c>
      <c r="Q2149" t="s">
        <v>50</v>
      </c>
      <c r="R2149" t="s">
        <v>51</v>
      </c>
      <c r="S2149">
        <v>1901</v>
      </c>
      <c r="T2149">
        <v>1985</v>
      </c>
      <c r="U2149" s="1">
        <v>533</v>
      </c>
      <c r="V2149" s="2">
        <v>533</v>
      </c>
      <c r="W2149" s="1">
        <v>31219</v>
      </c>
      <c r="X2149" s="2">
        <v>31219</v>
      </c>
      <c r="Y2149" t="s">
        <v>8868</v>
      </c>
      <c r="Z2149">
        <v>0</v>
      </c>
      <c r="AA2149">
        <v>1</v>
      </c>
      <c r="AB2149">
        <v>0</v>
      </c>
      <c r="AC2149">
        <v>0</v>
      </c>
      <c r="AF2149">
        <v>1946</v>
      </c>
      <c r="AG2149">
        <v>1969</v>
      </c>
      <c r="AO2149" t="b">
        <v>1</v>
      </c>
      <c r="AP2149" t="s">
        <v>4202</v>
      </c>
      <c r="AQ2149">
        <v>1816</v>
      </c>
      <c r="AR2149">
        <v>1889</v>
      </c>
      <c r="AS2149" t="s">
        <v>8869</v>
      </c>
      <c r="AT2149">
        <v>22.997946611909601</v>
      </c>
      <c r="AU2149">
        <f t="shared" si="101"/>
        <v>6.3E-2</v>
      </c>
    </row>
    <row r="2150" spans="1:47" x14ac:dyDescent="0.3">
      <c r="A2150">
        <v>2148</v>
      </c>
      <c r="B2150" t="s">
        <v>8870</v>
      </c>
      <c r="C2150" t="s">
        <v>8871</v>
      </c>
      <c r="D2150">
        <v>380</v>
      </c>
      <c r="E2150" t="s">
        <v>8675</v>
      </c>
      <c r="F2150" t="str">
        <f>VLOOKUP(E2150,country_continent!A:C,2,FALSE)</f>
        <v>Sweden</v>
      </c>
      <c r="G2150" t="str">
        <f>VLOOKUP(E2150,country_continent!A:C,3,FALSE)</f>
        <v>Europe</v>
      </c>
      <c r="H2150" t="s">
        <v>8872</v>
      </c>
      <c r="I2150" s="1">
        <v>25490</v>
      </c>
      <c r="J2150" s="3">
        <f t="shared" si="99"/>
        <v>25490</v>
      </c>
      <c r="K2150" s="1">
        <v>28023</v>
      </c>
      <c r="L2150" s="3">
        <f t="shared" si="100"/>
        <v>28023</v>
      </c>
      <c r="M2150" t="s">
        <v>49</v>
      </c>
      <c r="N2150" t="s">
        <v>49</v>
      </c>
      <c r="O2150" t="s">
        <v>49</v>
      </c>
      <c r="P2150">
        <v>0</v>
      </c>
      <c r="Q2150" t="s">
        <v>50</v>
      </c>
      <c r="R2150" t="s">
        <v>51</v>
      </c>
      <c r="S2150">
        <v>1927</v>
      </c>
      <c r="T2150">
        <v>1986</v>
      </c>
      <c r="U2150" s="1">
        <v>9892</v>
      </c>
      <c r="V2150" s="2">
        <v>9892</v>
      </c>
      <c r="W2150" s="1">
        <v>31471</v>
      </c>
      <c r="X2150" s="2">
        <v>31471</v>
      </c>
      <c r="Y2150" t="s">
        <v>8873</v>
      </c>
      <c r="Z2150">
        <v>0</v>
      </c>
      <c r="AA2150">
        <v>1</v>
      </c>
      <c r="AB2150">
        <v>0</v>
      </c>
      <c r="AC2150">
        <v>0</v>
      </c>
      <c r="AF2150">
        <v>1969</v>
      </c>
      <c r="AG2150">
        <v>1976</v>
      </c>
      <c r="AO2150" t="b">
        <v>1</v>
      </c>
      <c r="AP2150" t="s">
        <v>4202</v>
      </c>
      <c r="AQ2150">
        <v>1816</v>
      </c>
      <c r="AR2150">
        <v>1889</v>
      </c>
      <c r="AS2150" t="s">
        <v>8874</v>
      </c>
      <c r="AT2150">
        <v>6.9349760438056096</v>
      </c>
      <c r="AU2150">
        <f t="shared" si="101"/>
        <v>1.9E-2</v>
      </c>
    </row>
    <row r="2151" spans="1:47" x14ac:dyDescent="0.3">
      <c r="A2151">
        <v>2149</v>
      </c>
      <c r="B2151" t="s">
        <v>8875</v>
      </c>
      <c r="C2151" t="s">
        <v>8876</v>
      </c>
      <c r="D2151">
        <v>380</v>
      </c>
      <c r="E2151" t="s">
        <v>8675</v>
      </c>
      <c r="F2151" t="str">
        <f>VLOOKUP(E2151,country_continent!A:C,2,FALSE)</f>
        <v>Sweden</v>
      </c>
      <c r="G2151" t="str">
        <f>VLOOKUP(E2151,country_continent!A:C,3,FALSE)</f>
        <v>Europe</v>
      </c>
      <c r="H2151" t="s">
        <v>8877</v>
      </c>
      <c r="I2151" s="1">
        <v>28037</v>
      </c>
      <c r="J2151" s="3">
        <f t="shared" si="99"/>
        <v>28037</v>
      </c>
      <c r="K2151" s="1">
        <v>28781</v>
      </c>
      <c r="L2151" s="3">
        <f t="shared" si="100"/>
        <v>28781</v>
      </c>
      <c r="M2151" t="s">
        <v>49</v>
      </c>
      <c r="N2151" t="s">
        <v>49</v>
      </c>
      <c r="O2151" t="s">
        <v>49</v>
      </c>
      <c r="P2151">
        <v>0</v>
      </c>
      <c r="Q2151" t="s">
        <v>50</v>
      </c>
      <c r="R2151" t="s">
        <v>51</v>
      </c>
      <c r="S2151">
        <v>1926</v>
      </c>
      <c r="T2151">
        <v>-777</v>
      </c>
      <c r="U2151" s="1">
        <v>9611</v>
      </c>
      <c r="V2151" s="2">
        <v>9611</v>
      </c>
      <c r="Y2151" t="s">
        <v>8878</v>
      </c>
      <c r="Z2151">
        <v>0</v>
      </c>
      <c r="AA2151">
        <v>1</v>
      </c>
      <c r="AB2151">
        <v>0</v>
      </c>
      <c r="AC2151">
        <v>0</v>
      </c>
      <c r="AF2151">
        <v>1976</v>
      </c>
      <c r="AG2151">
        <v>1978</v>
      </c>
      <c r="AO2151" t="b">
        <v>1</v>
      </c>
      <c r="AP2151" t="s">
        <v>4202</v>
      </c>
      <c r="AQ2151">
        <v>1816</v>
      </c>
      <c r="AR2151">
        <v>1889</v>
      </c>
      <c r="AS2151" t="s">
        <v>8879</v>
      </c>
      <c r="AT2151">
        <v>2.0369609856262798</v>
      </c>
      <c r="AU2151">
        <f t="shared" si="101"/>
        <v>6.0000000000000001E-3</v>
      </c>
    </row>
    <row r="2152" spans="1:47" x14ac:dyDescent="0.3">
      <c r="A2152">
        <v>2150</v>
      </c>
      <c r="B2152" t="s">
        <v>8880</v>
      </c>
      <c r="C2152" t="s">
        <v>8881</v>
      </c>
      <c r="D2152">
        <v>380</v>
      </c>
      <c r="E2152" t="s">
        <v>8675</v>
      </c>
      <c r="F2152" t="str">
        <f>VLOOKUP(E2152,country_continent!A:C,2,FALSE)</f>
        <v>Sweden</v>
      </c>
      <c r="G2152" t="str">
        <f>VLOOKUP(E2152,country_continent!A:C,3,FALSE)</f>
        <v>Europe</v>
      </c>
      <c r="H2152" t="s">
        <v>8882</v>
      </c>
      <c r="I2152" s="1">
        <v>28781</v>
      </c>
      <c r="J2152" s="3">
        <f t="shared" si="99"/>
        <v>28781</v>
      </c>
      <c r="K2152" s="1">
        <v>29137</v>
      </c>
      <c r="L2152" s="3">
        <f t="shared" si="100"/>
        <v>29137</v>
      </c>
      <c r="M2152" t="s">
        <v>49</v>
      </c>
      <c r="N2152" t="s">
        <v>49</v>
      </c>
      <c r="O2152" t="s">
        <v>49</v>
      </c>
      <c r="P2152">
        <v>0</v>
      </c>
      <c r="Q2152" t="s">
        <v>50</v>
      </c>
      <c r="R2152" t="s">
        <v>51</v>
      </c>
      <c r="S2152">
        <v>1931</v>
      </c>
      <c r="T2152">
        <v>-777</v>
      </c>
      <c r="U2152" s="1">
        <v>11497</v>
      </c>
      <c r="V2152" s="2">
        <v>11497</v>
      </c>
      <c r="Y2152" t="s">
        <v>8883</v>
      </c>
      <c r="Z2152">
        <v>0</v>
      </c>
      <c r="AA2152">
        <v>1</v>
      </c>
      <c r="AB2152">
        <v>0</v>
      </c>
      <c r="AC2152">
        <v>0</v>
      </c>
      <c r="AF2152">
        <v>1978</v>
      </c>
      <c r="AG2152">
        <v>1979</v>
      </c>
      <c r="AO2152" t="b">
        <v>1</v>
      </c>
      <c r="AP2152" t="s">
        <v>4202</v>
      </c>
      <c r="AQ2152">
        <v>1816</v>
      </c>
      <c r="AR2152">
        <v>1889</v>
      </c>
      <c r="AS2152" t="s">
        <v>8884</v>
      </c>
      <c r="AT2152">
        <v>0.97467488021902804</v>
      </c>
      <c r="AU2152">
        <f t="shared" si="101"/>
        <v>3.0000000000000001E-3</v>
      </c>
    </row>
    <row r="2153" spans="1:47" x14ac:dyDescent="0.3">
      <c r="A2153">
        <v>2151</v>
      </c>
      <c r="B2153" t="s">
        <v>8885</v>
      </c>
      <c r="C2153" t="s">
        <v>8876</v>
      </c>
      <c r="D2153">
        <v>380</v>
      </c>
      <c r="E2153" t="s">
        <v>8675</v>
      </c>
      <c r="F2153" t="str">
        <f>VLOOKUP(E2153,country_continent!A:C,2,FALSE)</f>
        <v>Sweden</v>
      </c>
      <c r="G2153" t="str">
        <f>VLOOKUP(E2153,country_continent!A:C,3,FALSE)</f>
        <v>Europe</v>
      </c>
      <c r="H2153" t="s">
        <v>8877</v>
      </c>
      <c r="I2153" s="1">
        <v>29137</v>
      </c>
      <c r="J2153" s="3">
        <f t="shared" si="99"/>
        <v>29137</v>
      </c>
      <c r="K2153" s="1">
        <v>30231</v>
      </c>
      <c r="L2153" s="3">
        <f t="shared" si="100"/>
        <v>30231</v>
      </c>
      <c r="M2153" t="s">
        <v>49</v>
      </c>
      <c r="N2153" t="s">
        <v>49</v>
      </c>
      <c r="O2153" t="s">
        <v>49</v>
      </c>
      <c r="P2153">
        <v>1</v>
      </c>
      <c r="Q2153" t="s">
        <v>50</v>
      </c>
      <c r="R2153" t="s">
        <v>51</v>
      </c>
      <c r="S2153">
        <v>1926</v>
      </c>
      <c r="T2153">
        <v>-777</v>
      </c>
      <c r="U2153" s="1">
        <v>9611</v>
      </c>
      <c r="V2153" s="2">
        <v>9611</v>
      </c>
      <c r="Y2153" t="s">
        <v>8878</v>
      </c>
      <c r="Z2153">
        <v>0</v>
      </c>
      <c r="AA2153">
        <v>1</v>
      </c>
      <c r="AB2153">
        <v>0</v>
      </c>
      <c r="AC2153">
        <v>0</v>
      </c>
      <c r="AF2153">
        <v>1979</v>
      </c>
      <c r="AG2153">
        <v>1982</v>
      </c>
      <c r="AO2153" t="b">
        <v>1</v>
      </c>
      <c r="AP2153" t="s">
        <v>4202</v>
      </c>
      <c r="AQ2153">
        <v>1816</v>
      </c>
      <c r="AR2153">
        <v>1889</v>
      </c>
      <c r="AS2153" t="s">
        <v>8886</v>
      </c>
      <c r="AT2153">
        <v>2.9952087611225102</v>
      </c>
      <c r="AU2153">
        <f t="shared" si="101"/>
        <v>8.0000000000000002E-3</v>
      </c>
    </row>
    <row r="2154" spans="1:47" x14ac:dyDescent="0.3">
      <c r="A2154">
        <v>2152</v>
      </c>
      <c r="B2154" t="s">
        <v>8887</v>
      </c>
      <c r="C2154" t="s">
        <v>8871</v>
      </c>
      <c r="D2154">
        <v>380</v>
      </c>
      <c r="E2154" t="s">
        <v>8675</v>
      </c>
      <c r="F2154" t="str">
        <f>VLOOKUP(E2154,country_continent!A:C,2,FALSE)</f>
        <v>Sweden</v>
      </c>
      <c r="G2154" t="str">
        <f>VLOOKUP(E2154,country_continent!A:C,3,FALSE)</f>
        <v>Europe</v>
      </c>
      <c r="H2154" t="s">
        <v>8872</v>
      </c>
      <c r="I2154" s="1">
        <v>30231</v>
      </c>
      <c r="J2154" s="3">
        <f t="shared" si="99"/>
        <v>30231</v>
      </c>
      <c r="K2154" s="1">
        <v>31471</v>
      </c>
      <c r="L2154" s="3">
        <f t="shared" si="100"/>
        <v>31471</v>
      </c>
      <c r="M2154" t="s">
        <v>49</v>
      </c>
      <c r="N2154" t="s">
        <v>67</v>
      </c>
      <c r="O2154" t="s">
        <v>68</v>
      </c>
      <c r="P2154">
        <v>1</v>
      </c>
      <c r="Q2154" t="s">
        <v>69</v>
      </c>
      <c r="R2154" t="s">
        <v>51</v>
      </c>
      <c r="S2154">
        <v>1927</v>
      </c>
      <c r="T2154">
        <v>1986</v>
      </c>
      <c r="U2154" s="1">
        <v>9892</v>
      </c>
      <c r="V2154" s="2">
        <v>9892</v>
      </c>
      <c r="W2154" s="1">
        <v>31471</v>
      </c>
      <c r="X2154" s="2">
        <v>31471</v>
      </c>
      <c r="Y2154" t="s">
        <v>8873</v>
      </c>
      <c r="Z2154">
        <v>0</v>
      </c>
      <c r="AA2154">
        <v>3</v>
      </c>
      <c r="AB2154">
        <v>11</v>
      </c>
      <c r="AC2154">
        <v>3</v>
      </c>
      <c r="AF2154">
        <v>1982</v>
      </c>
      <c r="AG2154">
        <v>1986</v>
      </c>
      <c r="AO2154" t="b">
        <v>1</v>
      </c>
      <c r="AP2154" t="s">
        <v>4202</v>
      </c>
      <c r="AQ2154">
        <v>1816</v>
      </c>
      <c r="AR2154">
        <v>1889</v>
      </c>
      <c r="AS2154" t="s">
        <v>8888</v>
      </c>
      <c r="AT2154">
        <v>3.3949349760438001</v>
      </c>
      <c r="AU2154">
        <f t="shared" si="101"/>
        <v>8.9999999999999993E-3</v>
      </c>
    </row>
    <row r="2155" spans="1:47" x14ac:dyDescent="0.3">
      <c r="A2155">
        <v>2153</v>
      </c>
      <c r="B2155" t="s">
        <v>8889</v>
      </c>
      <c r="C2155" t="s">
        <v>8890</v>
      </c>
      <c r="D2155">
        <v>380</v>
      </c>
      <c r="E2155" t="s">
        <v>8675</v>
      </c>
      <c r="F2155" t="str">
        <f>VLOOKUP(E2155,country_continent!A:C,2,FALSE)</f>
        <v>Sweden</v>
      </c>
      <c r="G2155" t="str">
        <f>VLOOKUP(E2155,country_continent!A:C,3,FALSE)</f>
        <v>Europe</v>
      </c>
      <c r="H2155" t="s">
        <v>8891</v>
      </c>
      <c r="I2155" s="1">
        <v>31483</v>
      </c>
      <c r="J2155" s="3">
        <f t="shared" si="99"/>
        <v>31483</v>
      </c>
      <c r="K2155" s="1">
        <v>33541</v>
      </c>
      <c r="L2155" s="3">
        <f t="shared" si="100"/>
        <v>33541</v>
      </c>
      <c r="M2155" t="s">
        <v>49</v>
      </c>
      <c r="N2155" t="s">
        <v>49</v>
      </c>
      <c r="O2155" t="s">
        <v>49</v>
      </c>
      <c r="P2155">
        <v>0</v>
      </c>
      <c r="Q2155" t="s">
        <v>50</v>
      </c>
      <c r="R2155" t="s">
        <v>51</v>
      </c>
      <c r="S2155">
        <v>1934</v>
      </c>
      <c r="T2155">
        <v>-777</v>
      </c>
      <c r="U2155" s="1">
        <v>12732</v>
      </c>
      <c r="V2155" s="2">
        <v>12732</v>
      </c>
      <c r="Y2155" t="s">
        <v>8892</v>
      </c>
      <c r="Z2155">
        <v>0</v>
      </c>
      <c r="AA2155">
        <v>1</v>
      </c>
      <c r="AB2155">
        <v>0</v>
      </c>
      <c r="AC2155">
        <v>0</v>
      </c>
      <c r="AF2155">
        <v>1986</v>
      </c>
      <c r="AG2155">
        <v>1991</v>
      </c>
      <c r="AO2155" t="b">
        <v>1</v>
      </c>
      <c r="AP2155" t="s">
        <v>4202</v>
      </c>
      <c r="AQ2155">
        <v>1816</v>
      </c>
      <c r="AR2155">
        <v>1889</v>
      </c>
      <c r="AS2155" t="s">
        <v>8893</v>
      </c>
      <c r="AT2155">
        <v>5.6344969199178596</v>
      </c>
      <c r="AU2155">
        <f t="shared" si="101"/>
        <v>1.4999999999999999E-2</v>
      </c>
    </row>
    <row r="2156" spans="1:47" x14ac:dyDescent="0.3">
      <c r="A2156">
        <v>2154</v>
      </c>
      <c r="B2156" t="s">
        <v>8894</v>
      </c>
      <c r="C2156" t="s">
        <v>8716</v>
      </c>
      <c r="D2156">
        <v>380</v>
      </c>
      <c r="E2156" t="s">
        <v>8675</v>
      </c>
      <c r="F2156" t="str">
        <f>VLOOKUP(E2156,country_continent!A:C,2,FALSE)</f>
        <v>Sweden</v>
      </c>
      <c r="G2156" t="str">
        <f>VLOOKUP(E2156,country_continent!A:C,3,FALSE)</f>
        <v>Europe</v>
      </c>
      <c r="H2156" t="s">
        <v>8717</v>
      </c>
      <c r="I2156" s="1">
        <v>33541</v>
      </c>
      <c r="J2156" s="3">
        <f t="shared" si="99"/>
        <v>33541</v>
      </c>
      <c r="K2156" s="1">
        <v>34614</v>
      </c>
      <c r="L2156" s="3">
        <f t="shared" si="100"/>
        <v>34614</v>
      </c>
      <c r="M2156" t="s">
        <v>49</v>
      </c>
      <c r="N2156" t="s">
        <v>49</v>
      </c>
      <c r="O2156" t="s">
        <v>49</v>
      </c>
      <c r="P2156">
        <v>1</v>
      </c>
      <c r="Q2156" t="s">
        <v>50</v>
      </c>
      <c r="R2156" t="s">
        <v>51</v>
      </c>
      <c r="S2156">
        <v>1949</v>
      </c>
      <c r="T2156">
        <v>-777</v>
      </c>
      <c r="U2156" s="1">
        <v>18094</v>
      </c>
      <c r="V2156" s="2">
        <v>18094</v>
      </c>
      <c r="Y2156" t="s">
        <v>8895</v>
      </c>
      <c r="Z2156">
        <v>0</v>
      </c>
      <c r="AA2156">
        <v>1</v>
      </c>
      <c r="AB2156">
        <v>0</v>
      </c>
      <c r="AC2156">
        <v>0</v>
      </c>
      <c r="AD2156" t="s">
        <v>8720</v>
      </c>
      <c r="AE2156">
        <v>1</v>
      </c>
      <c r="AF2156">
        <v>1991</v>
      </c>
      <c r="AG2156">
        <v>1994</v>
      </c>
      <c r="AO2156" t="b">
        <v>1</v>
      </c>
      <c r="AP2156" t="s">
        <v>4202</v>
      </c>
      <c r="AQ2156">
        <v>1816</v>
      </c>
      <c r="AR2156">
        <v>1889</v>
      </c>
      <c r="AS2156" t="s">
        <v>8896</v>
      </c>
      <c r="AT2156">
        <v>2.9377138945927399</v>
      </c>
      <c r="AU2156">
        <f t="shared" si="101"/>
        <v>8.0000000000000002E-3</v>
      </c>
    </row>
    <row r="2157" spans="1:47" x14ac:dyDescent="0.3">
      <c r="A2157">
        <v>2155</v>
      </c>
      <c r="B2157" t="s">
        <v>8897</v>
      </c>
      <c r="C2157" t="s">
        <v>8890</v>
      </c>
      <c r="D2157">
        <v>380</v>
      </c>
      <c r="E2157" t="s">
        <v>8675</v>
      </c>
      <c r="F2157" t="str">
        <f>VLOOKUP(E2157,country_continent!A:C,2,FALSE)</f>
        <v>Sweden</v>
      </c>
      <c r="G2157" t="str">
        <f>VLOOKUP(E2157,country_continent!A:C,3,FALSE)</f>
        <v>Europe</v>
      </c>
      <c r="H2157" t="s">
        <v>8891</v>
      </c>
      <c r="I2157" s="1">
        <v>34614</v>
      </c>
      <c r="J2157" s="3">
        <f t="shared" si="99"/>
        <v>34614</v>
      </c>
      <c r="K2157" s="1">
        <v>35145</v>
      </c>
      <c r="L2157" s="3">
        <f t="shared" si="100"/>
        <v>35145</v>
      </c>
      <c r="M2157" t="s">
        <v>49</v>
      </c>
      <c r="N2157" t="s">
        <v>49</v>
      </c>
      <c r="O2157" t="s">
        <v>49</v>
      </c>
      <c r="P2157">
        <v>1</v>
      </c>
      <c r="Q2157" t="s">
        <v>50</v>
      </c>
      <c r="R2157" t="s">
        <v>51</v>
      </c>
      <c r="S2157">
        <v>1934</v>
      </c>
      <c r="T2157">
        <v>-777</v>
      </c>
      <c r="U2157" s="1">
        <v>12732</v>
      </c>
      <c r="V2157" s="2">
        <v>12732</v>
      </c>
      <c r="Y2157" t="s">
        <v>8892</v>
      </c>
      <c r="Z2157">
        <v>0</v>
      </c>
      <c r="AA2157">
        <v>1</v>
      </c>
      <c r="AB2157">
        <v>0</v>
      </c>
      <c r="AC2157">
        <v>0</v>
      </c>
      <c r="AF2157">
        <v>1994</v>
      </c>
      <c r="AG2157">
        <v>1996</v>
      </c>
      <c r="AO2157" t="b">
        <v>1</v>
      </c>
      <c r="AP2157" t="s">
        <v>4202</v>
      </c>
      <c r="AQ2157">
        <v>1816</v>
      </c>
      <c r="AR2157">
        <v>1889</v>
      </c>
      <c r="AS2157" t="s">
        <v>8898</v>
      </c>
      <c r="AT2157">
        <v>1.45379876796714</v>
      </c>
      <c r="AU2157">
        <f t="shared" si="101"/>
        <v>4.0000000000000001E-3</v>
      </c>
    </row>
    <row r="2158" spans="1:47" x14ac:dyDescent="0.3">
      <c r="A2158">
        <v>2156</v>
      </c>
      <c r="B2158" t="s">
        <v>8899</v>
      </c>
      <c r="C2158" t="s">
        <v>8900</v>
      </c>
      <c r="D2158">
        <v>380</v>
      </c>
      <c r="E2158" t="s">
        <v>8675</v>
      </c>
      <c r="F2158" t="str">
        <f>VLOOKUP(E2158,country_continent!A:C,2,FALSE)</f>
        <v>Sweden</v>
      </c>
      <c r="G2158" t="str">
        <f>VLOOKUP(E2158,country_continent!A:C,3,FALSE)</f>
        <v>Europe</v>
      </c>
      <c r="H2158" t="s">
        <v>8901</v>
      </c>
      <c r="I2158" s="1">
        <v>35145</v>
      </c>
      <c r="J2158" s="3">
        <f t="shared" si="99"/>
        <v>35145</v>
      </c>
      <c r="K2158" s="1">
        <v>38996</v>
      </c>
      <c r="L2158" s="3">
        <f t="shared" si="100"/>
        <v>38996</v>
      </c>
      <c r="M2158" t="s">
        <v>49</v>
      </c>
      <c r="N2158" t="s">
        <v>49</v>
      </c>
      <c r="O2158" t="s">
        <v>49</v>
      </c>
      <c r="P2158">
        <v>0</v>
      </c>
      <c r="Q2158" t="s">
        <v>50</v>
      </c>
      <c r="R2158" t="s">
        <v>51</v>
      </c>
      <c r="S2158">
        <v>1949</v>
      </c>
      <c r="T2158">
        <v>-777</v>
      </c>
      <c r="U2158" s="1">
        <v>17918</v>
      </c>
      <c r="V2158" s="2">
        <v>17918</v>
      </c>
      <c r="Y2158" t="s">
        <v>8902</v>
      </c>
      <c r="Z2158">
        <v>0</v>
      </c>
      <c r="AA2158">
        <v>1</v>
      </c>
      <c r="AB2158">
        <v>0</v>
      </c>
      <c r="AC2158">
        <v>0</v>
      </c>
      <c r="AF2158">
        <v>1996</v>
      </c>
      <c r="AG2158">
        <v>2006</v>
      </c>
      <c r="AO2158" t="b">
        <v>1</v>
      </c>
      <c r="AP2158" t="s">
        <v>4202</v>
      </c>
      <c r="AQ2158">
        <v>1816</v>
      </c>
      <c r="AR2158">
        <v>1889</v>
      </c>
      <c r="AS2158" t="s">
        <v>8903</v>
      </c>
      <c r="AT2158">
        <v>10.543463381245701</v>
      </c>
      <c r="AU2158">
        <f t="shared" si="101"/>
        <v>2.9000000000000001E-2</v>
      </c>
    </row>
    <row r="2159" spans="1:47" x14ac:dyDescent="0.3">
      <c r="A2159">
        <v>2157</v>
      </c>
      <c r="B2159" t="s">
        <v>8904</v>
      </c>
      <c r="C2159" t="s">
        <v>8905</v>
      </c>
      <c r="D2159">
        <v>380</v>
      </c>
      <c r="E2159" t="s">
        <v>8675</v>
      </c>
      <c r="F2159" t="str">
        <f>VLOOKUP(E2159,country_continent!A:C,2,FALSE)</f>
        <v>Sweden</v>
      </c>
      <c r="G2159" t="str">
        <f>VLOOKUP(E2159,country_continent!A:C,3,FALSE)</f>
        <v>Europe</v>
      </c>
      <c r="H2159" t="s">
        <v>8906</v>
      </c>
      <c r="I2159" s="1">
        <v>38996</v>
      </c>
      <c r="J2159" s="3">
        <f t="shared" si="99"/>
        <v>38996</v>
      </c>
      <c r="K2159" s="1">
        <v>41915</v>
      </c>
      <c r="L2159" s="3">
        <f t="shared" si="100"/>
        <v>41915</v>
      </c>
      <c r="M2159" t="s">
        <v>49</v>
      </c>
      <c r="N2159" t="s">
        <v>49</v>
      </c>
      <c r="O2159" t="s">
        <v>49</v>
      </c>
      <c r="P2159">
        <v>0</v>
      </c>
      <c r="Q2159" t="s">
        <v>50</v>
      </c>
      <c r="R2159" t="s">
        <v>51</v>
      </c>
      <c r="S2159">
        <v>1965</v>
      </c>
      <c r="T2159">
        <v>-777</v>
      </c>
      <c r="U2159" s="1">
        <v>23958</v>
      </c>
      <c r="V2159" s="2">
        <v>23958</v>
      </c>
      <c r="Z2159">
        <v>0</v>
      </c>
      <c r="AA2159">
        <v>1</v>
      </c>
      <c r="AB2159">
        <v>0</v>
      </c>
      <c r="AC2159">
        <v>0</v>
      </c>
      <c r="AF2159">
        <v>2006</v>
      </c>
      <c r="AG2159">
        <v>2014</v>
      </c>
      <c r="AO2159" t="b">
        <v>1</v>
      </c>
      <c r="AP2159" t="s">
        <v>4202</v>
      </c>
      <c r="AQ2159">
        <v>1816</v>
      </c>
      <c r="AR2159">
        <v>1889</v>
      </c>
      <c r="AS2159" t="s">
        <v>8907</v>
      </c>
      <c r="AT2159">
        <v>7.9917864476386002</v>
      </c>
      <c r="AU2159">
        <f t="shared" si="101"/>
        <v>2.1999999999999999E-2</v>
      </c>
    </row>
    <row r="2160" spans="1:47" x14ac:dyDescent="0.3">
      <c r="A2160">
        <v>2158</v>
      </c>
      <c r="B2160" t="s">
        <v>8908</v>
      </c>
      <c r="C2160" t="s">
        <v>8909</v>
      </c>
      <c r="D2160">
        <v>380</v>
      </c>
      <c r="E2160" t="s">
        <v>8675</v>
      </c>
      <c r="F2160" t="str">
        <f>VLOOKUP(E2160,country_continent!A:C,2,FALSE)</f>
        <v>Sweden</v>
      </c>
      <c r="G2160" t="str">
        <f>VLOOKUP(E2160,country_continent!A:C,3,FALSE)</f>
        <v>Europe</v>
      </c>
      <c r="H2160" t="s">
        <v>8910</v>
      </c>
      <c r="I2160" s="1">
        <v>41915</v>
      </c>
      <c r="J2160" s="3">
        <f t="shared" si="99"/>
        <v>41915</v>
      </c>
      <c r="K2160" s="1">
        <v>42369</v>
      </c>
      <c r="L2160" s="3">
        <f t="shared" si="100"/>
        <v>42369</v>
      </c>
      <c r="M2160" t="s">
        <v>49</v>
      </c>
      <c r="N2160" t="s">
        <v>173</v>
      </c>
      <c r="O2160" t="s">
        <v>173</v>
      </c>
      <c r="P2160">
        <v>0</v>
      </c>
      <c r="Q2160" t="s">
        <v>174</v>
      </c>
      <c r="R2160" t="s">
        <v>51</v>
      </c>
      <c r="S2160">
        <v>1957</v>
      </c>
      <c r="T2160">
        <v>-777</v>
      </c>
      <c r="U2160" s="1">
        <v>21022</v>
      </c>
      <c r="V2160" s="2">
        <v>21022</v>
      </c>
      <c r="Z2160">
        <v>0</v>
      </c>
      <c r="AA2160">
        <v>-888</v>
      </c>
      <c r="AB2160">
        <v>-888</v>
      </c>
      <c r="AC2160">
        <v>-888</v>
      </c>
      <c r="AF2160">
        <v>2014</v>
      </c>
      <c r="AG2160">
        <v>2015</v>
      </c>
      <c r="AO2160" t="b">
        <v>1</v>
      </c>
      <c r="AP2160" t="s">
        <v>4202</v>
      </c>
      <c r="AQ2160">
        <v>1816</v>
      </c>
      <c r="AR2160">
        <v>1889</v>
      </c>
      <c r="AS2160" t="s">
        <v>8911</v>
      </c>
      <c r="AT2160">
        <v>1.2429842573579699</v>
      </c>
      <c r="AU2160">
        <f t="shared" si="101"/>
        <v>3.0000000000000001E-3</v>
      </c>
    </row>
    <row r="2161" spans="1:47" x14ac:dyDescent="0.3">
      <c r="A2161">
        <v>2159</v>
      </c>
      <c r="B2161" t="s">
        <v>8912</v>
      </c>
      <c r="C2161" t="s">
        <v>8913</v>
      </c>
      <c r="D2161">
        <v>385</v>
      </c>
      <c r="E2161" t="s">
        <v>8914</v>
      </c>
      <c r="F2161" t="str">
        <f>VLOOKUP(E2161,country_continent!A:C,2,FALSE)</f>
        <v>Norway</v>
      </c>
      <c r="G2161" t="str">
        <f>VLOOKUP(E2161,country_continent!A:C,3,FALSE)</f>
        <v>Europe</v>
      </c>
      <c r="H2161" t="s">
        <v>8915</v>
      </c>
      <c r="I2161" s="1">
        <v>1888</v>
      </c>
      <c r="J2161" s="3">
        <f t="shared" si="99"/>
        <v>1888</v>
      </c>
      <c r="K2161" s="1">
        <v>2858</v>
      </c>
      <c r="L2161" s="3">
        <f t="shared" si="100"/>
        <v>2858</v>
      </c>
      <c r="M2161" t="s">
        <v>49</v>
      </c>
      <c r="N2161" t="s">
        <v>49</v>
      </c>
      <c r="O2161" t="s">
        <v>49</v>
      </c>
      <c r="P2161">
        <v>0</v>
      </c>
      <c r="Q2161" t="s">
        <v>50</v>
      </c>
      <c r="R2161" t="s">
        <v>51</v>
      </c>
      <c r="S2161">
        <v>1857</v>
      </c>
      <c r="T2161">
        <v>1925</v>
      </c>
      <c r="U2161" t="s">
        <v>8916</v>
      </c>
      <c r="V2161" t="s">
        <v>8917</v>
      </c>
      <c r="W2161" s="1">
        <v>9311</v>
      </c>
      <c r="X2161" s="2">
        <v>9311</v>
      </c>
      <c r="Y2161" t="s">
        <v>8918</v>
      </c>
      <c r="Z2161">
        <v>0</v>
      </c>
      <c r="AA2161">
        <v>1</v>
      </c>
      <c r="AB2161">
        <v>0</v>
      </c>
      <c r="AC2161">
        <v>0</v>
      </c>
      <c r="AF2161">
        <v>1905</v>
      </c>
      <c r="AG2161">
        <v>1907</v>
      </c>
      <c r="AO2161" t="b">
        <v>1</v>
      </c>
      <c r="AP2161" t="s">
        <v>8210</v>
      </c>
      <c r="AQ2161">
        <v>1945</v>
      </c>
      <c r="AR2161">
        <v>2016</v>
      </c>
      <c r="AS2161" t="s">
        <v>8919</v>
      </c>
      <c r="AT2161">
        <v>2.6557152635181298</v>
      </c>
      <c r="AU2161">
        <f t="shared" si="101"/>
        <v>7.0000000000000001E-3</v>
      </c>
    </row>
    <row r="2162" spans="1:47" x14ac:dyDescent="0.3">
      <c r="A2162">
        <v>2160</v>
      </c>
      <c r="B2162" t="s">
        <v>8920</v>
      </c>
      <c r="C2162" t="s">
        <v>8921</v>
      </c>
      <c r="D2162">
        <v>385</v>
      </c>
      <c r="E2162" t="s">
        <v>8914</v>
      </c>
      <c r="F2162" t="str">
        <f>VLOOKUP(E2162,country_continent!A:C,2,FALSE)</f>
        <v>Norway</v>
      </c>
      <c r="G2162" t="str">
        <f>VLOOKUP(E2162,country_continent!A:C,3,FALSE)</f>
        <v>Europe</v>
      </c>
      <c r="H2162" t="s">
        <v>8922</v>
      </c>
      <c r="I2162" s="1">
        <v>2858</v>
      </c>
      <c r="J2162" s="3">
        <f t="shared" si="99"/>
        <v>2858</v>
      </c>
      <c r="K2162" s="1">
        <v>2995</v>
      </c>
      <c r="L2162" s="3">
        <f t="shared" si="100"/>
        <v>2995</v>
      </c>
      <c r="M2162" t="s">
        <v>49</v>
      </c>
      <c r="N2162" t="s">
        <v>49</v>
      </c>
      <c r="O2162" t="s">
        <v>49</v>
      </c>
      <c r="P2162">
        <v>0</v>
      </c>
      <c r="Q2162" t="s">
        <v>50</v>
      </c>
      <c r="R2162" t="s">
        <v>51</v>
      </c>
      <c r="S2162">
        <v>1857</v>
      </c>
      <c r="T2162">
        <v>1922</v>
      </c>
      <c r="U2162" t="s">
        <v>8923</v>
      </c>
      <c r="V2162" t="s">
        <v>8924</v>
      </c>
      <c r="Z2162">
        <v>0</v>
      </c>
      <c r="AA2162">
        <v>1</v>
      </c>
      <c r="AB2162">
        <v>0</v>
      </c>
      <c r="AC2162">
        <v>0</v>
      </c>
      <c r="AF2162">
        <v>1907</v>
      </c>
      <c r="AG2162">
        <v>1908</v>
      </c>
      <c r="AO2162" t="b">
        <v>1</v>
      </c>
      <c r="AP2162" t="s">
        <v>8210</v>
      </c>
      <c r="AQ2162">
        <v>1945</v>
      </c>
      <c r="AR2162">
        <v>2016</v>
      </c>
      <c r="AS2162" t="s">
        <v>8925</v>
      </c>
      <c r="AT2162">
        <v>0.37508555783709702</v>
      </c>
      <c r="AU2162">
        <f t="shared" si="101"/>
        <v>1E-3</v>
      </c>
    </row>
    <row r="2163" spans="1:47" x14ac:dyDescent="0.3">
      <c r="A2163">
        <v>2161</v>
      </c>
      <c r="B2163" t="s">
        <v>8926</v>
      </c>
      <c r="C2163" t="s">
        <v>8927</v>
      </c>
      <c r="D2163">
        <v>385</v>
      </c>
      <c r="E2163" t="s">
        <v>8914</v>
      </c>
      <c r="F2163" t="str">
        <f>VLOOKUP(E2163,country_continent!A:C,2,FALSE)</f>
        <v>Norway</v>
      </c>
      <c r="G2163" t="str">
        <f>VLOOKUP(E2163,country_continent!A:C,3,FALSE)</f>
        <v>Europe</v>
      </c>
      <c r="H2163" t="s">
        <v>8928</v>
      </c>
      <c r="I2163" s="1">
        <v>3001</v>
      </c>
      <c r="J2163" s="3">
        <f t="shared" si="99"/>
        <v>3001</v>
      </c>
      <c r="K2163" s="1">
        <v>3685</v>
      </c>
      <c r="L2163" s="3">
        <f t="shared" si="100"/>
        <v>3685</v>
      </c>
      <c r="M2163" t="s">
        <v>49</v>
      </c>
      <c r="N2163" t="s">
        <v>49</v>
      </c>
      <c r="O2163" t="s">
        <v>49</v>
      </c>
      <c r="P2163">
        <v>0</v>
      </c>
      <c r="Q2163" t="s">
        <v>50</v>
      </c>
      <c r="R2163" t="s">
        <v>51</v>
      </c>
      <c r="S2163">
        <v>1848</v>
      </c>
      <c r="T2163">
        <v>1928</v>
      </c>
      <c r="U2163" t="s">
        <v>8929</v>
      </c>
      <c r="V2163" t="s">
        <v>8930</v>
      </c>
      <c r="Z2163">
        <v>0</v>
      </c>
      <c r="AA2163">
        <v>1</v>
      </c>
      <c r="AB2163">
        <v>0</v>
      </c>
      <c r="AC2163">
        <v>0</v>
      </c>
      <c r="AF2163">
        <v>1908</v>
      </c>
      <c r="AG2163">
        <v>1910</v>
      </c>
      <c r="AO2163" t="b">
        <v>1</v>
      </c>
      <c r="AP2163" t="s">
        <v>8210</v>
      </c>
      <c r="AQ2163">
        <v>1945</v>
      </c>
      <c r="AR2163">
        <v>2016</v>
      </c>
      <c r="AS2163" t="s">
        <v>8931</v>
      </c>
      <c r="AT2163">
        <v>1.87268993839835</v>
      </c>
      <c r="AU2163">
        <f t="shared" si="101"/>
        <v>5.0000000000000001E-3</v>
      </c>
    </row>
    <row r="2164" spans="1:47" x14ac:dyDescent="0.3">
      <c r="A2164">
        <v>2162</v>
      </c>
      <c r="B2164" t="s">
        <v>8932</v>
      </c>
      <c r="C2164" t="s">
        <v>8933</v>
      </c>
      <c r="D2164">
        <v>385</v>
      </c>
      <c r="E2164" t="s">
        <v>8914</v>
      </c>
      <c r="F2164" t="str">
        <f>VLOOKUP(E2164,country_continent!A:C,2,FALSE)</f>
        <v>Norway</v>
      </c>
      <c r="G2164" t="str">
        <f>VLOOKUP(E2164,country_continent!A:C,3,FALSE)</f>
        <v>Europe</v>
      </c>
      <c r="H2164" t="s">
        <v>8934</v>
      </c>
      <c r="I2164" s="1">
        <v>3685</v>
      </c>
      <c r="J2164" s="3">
        <f t="shared" si="99"/>
        <v>3685</v>
      </c>
      <c r="K2164" s="1">
        <v>4433</v>
      </c>
      <c r="L2164" s="3">
        <f t="shared" si="100"/>
        <v>4433</v>
      </c>
      <c r="M2164" t="s">
        <v>49</v>
      </c>
      <c r="N2164" t="s">
        <v>49</v>
      </c>
      <c r="O2164" t="s">
        <v>49</v>
      </c>
      <c r="P2164">
        <v>0</v>
      </c>
      <c r="Q2164" t="s">
        <v>50</v>
      </c>
      <c r="R2164" t="s">
        <v>51</v>
      </c>
      <c r="S2164">
        <v>1845</v>
      </c>
      <c r="T2164">
        <v>1932</v>
      </c>
      <c r="Z2164">
        <v>0</v>
      </c>
      <c r="AA2164">
        <v>1</v>
      </c>
      <c r="AB2164">
        <v>0</v>
      </c>
      <c r="AC2164">
        <v>0</v>
      </c>
      <c r="AF2164">
        <v>1910</v>
      </c>
      <c r="AG2164">
        <v>1912</v>
      </c>
      <c r="AO2164" t="b">
        <v>1</v>
      </c>
      <c r="AP2164" t="s">
        <v>8210</v>
      </c>
      <c r="AQ2164">
        <v>1945</v>
      </c>
      <c r="AR2164">
        <v>2016</v>
      </c>
      <c r="AS2164" t="s">
        <v>8935</v>
      </c>
      <c r="AT2164">
        <v>2.0479123887748099</v>
      </c>
      <c r="AU2164">
        <f t="shared" si="101"/>
        <v>6.0000000000000001E-3</v>
      </c>
    </row>
    <row r="2165" spans="1:47" x14ac:dyDescent="0.3">
      <c r="A2165">
        <v>2163</v>
      </c>
      <c r="B2165" t="s">
        <v>8936</v>
      </c>
      <c r="C2165" t="s">
        <v>8937</v>
      </c>
      <c r="D2165">
        <v>385</v>
      </c>
      <c r="E2165" t="s">
        <v>8914</v>
      </c>
      <c r="F2165" t="str">
        <f>VLOOKUP(E2165,country_continent!A:C,2,FALSE)</f>
        <v>Norway</v>
      </c>
      <c r="G2165" t="str">
        <f>VLOOKUP(E2165,country_continent!A:C,3,FALSE)</f>
        <v>Europe</v>
      </c>
      <c r="H2165" t="s">
        <v>8938</v>
      </c>
      <c r="I2165" s="1">
        <v>4433</v>
      </c>
      <c r="J2165" s="3">
        <f t="shared" si="99"/>
        <v>4433</v>
      </c>
      <c r="K2165" s="1">
        <v>4778</v>
      </c>
      <c r="L2165" s="3">
        <f t="shared" si="100"/>
        <v>4778</v>
      </c>
      <c r="M2165" t="s">
        <v>49</v>
      </c>
      <c r="N2165" t="s">
        <v>49</v>
      </c>
      <c r="O2165" t="s">
        <v>49</v>
      </c>
      <c r="P2165">
        <v>0</v>
      </c>
      <c r="Q2165" t="s">
        <v>50</v>
      </c>
      <c r="R2165" t="s">
        <v>51</v>
      </c>
      <c r="S2165">
        <v>1856</v>
      </c>
      <c r="T2165">
        <v>1939</v>
      </c>
      <c r="U2165" t="s">
        <v>8939</v>
      </c>
      <c r="V2165" t="s">
        <v>8940</v>
      </c>
      <c r="Z2165">
        <v>0</v>
      </c>
      <c r="AA2165">
        <v>1</v>
      </c>
      <c r="AB2165">
        <v>0</v>
      </c>
      <c r="AC2165">
        <v>0</v>
      </c>
      <c r="AF2165">
        <v>1912</v>
      </c>
      <c r="AG2165">
        <v>1913</v>
      </c>
      <c r="AO2165" t="b">
        <v>1</v>
      </c>
      <c r="AP2165" t="s">
        <v>8210</v>
      </c>
      <c r="AQ2165">
        <v>1945</v>
      </c>
      <c r="AR2165">
        <v>2016</v>
      </c>
      <c r="AS2165" t="s">
        <v>8941</v>
      </c>
      <c r="AT2165">
        <v>0.94455852156057496</v>
      </c>
      <c r="AU2165">
        <f t="shared" si="101"/>
        <v>3.0000000000000001E-3</v>
      </c>
    </row>
    <row r="2166" spans="1:47" x14ac:dyDescent="0.3">
      <c r="A2166">
        <v>2164</v>
      </c>
      <c r="B2166" t="s">
        <v>8942</v>
      </c>
      <c r="C2166" t="s">
        <v>8927</v>
      </c>
      <c r="D2166">
        <v>385</v>
      </c>
      <c r="E2166" t="s">
        <v>8914</v>
      </c>
      <c r="F2166" t="str">
        <f>VLOOKUP(E2166,country_continent!A:C,2,FALSE)</f>
        <v>Norway</v>
      </c>
      <c r="G2166" t="str">
        <f>VLOOKUP(E2166,country_continent!A:C,3,FALSE)</f>
        <v>Europe</v>
      </c>
      <c r="H2166" t="s">
        <v>8928</v>
      </c>
      <c r="I2166" s="1">
        <v>4778</v>
      </c>
      <c r="J2166" s="3">
        <f t="shared" si="99"/>
        <v>4778</v>
      </c>
      <c r="K2166" s="1">
        <v>7477</v>
      </c>
      <c r="L2166" s="3">
        <f t="shared" si="100"/>
        <v>7477</v>
      </c>
      <c r="M2166" t="s">
        <v>49</v>
      </c>
      <c r="N2166" t="s">
        <v>49</v>
      </c>
      <c r="O2166" t="s">
        <v>49</v>
      </c>
      <c r="P2166">
        <v>1</v>
      </c>
      <c r="Q2166" t="s">
        <v>50</v>
      </c>
      <c r="R2166" t="s">
        <v>51</v>
      </c>
      <c r="S2166">
        <v>1848</v>
      </c>
      <c r="T2166">
        <v>1928</v>
      </c>
      <c r="U2166" t="s">
        <v>8929</v>
      </c>
      <c r="V2166" t="s">
        <v>8930</v>
      </c>
      <c r="Z2166">
        <v>0</v>
      </c>
      <c r="AA2166">
        <v>1</v>
      </c>
      <c r="AB2166">
        <v>0</v>
      </c>
      <c r="AC2166">
        <v>0</v>
      </c>
      <c r="AF2166">
        <v>1913</v>
      </c>
      <c r="AG2166">
        <v>1920</v>
      </c>
      <c r="AO2166" t="b">
        <v>1</v>
      </c>
      <c r="AP2166" t="s">
        <v>8210</v>
      </c>
      <c r="AQ2166">
        <v>1945</v>
      </c>
      <c r="AR2166">
        <v>2016</v>
      </c>
      <c r="AS2166" t="s">
        <v>8943</v>
      </c>
      <c r="AT2166">
        <v>7.38945927446954</v>
      </c>
      <c r="AU2166">
        <f t="shared" si="101"/>
        <v>0.02</v>
      </c>
    </row>
    <row r="2167" spans="1:47" x14ac:dyDescent="0.3">
      <c r="A2167">
        <v>2165</v>
      </c>
      <c r="B2167" t="s">
        <v>8944</v>
      </c>
      <c r="C2167" t="s">
        <v>8945</v>
      </c>
      <c r="D2167">
        <v>385</v>
      </c>
      <c r="E2167" t="s">
        <v>8914</v>
      </c>
      <c r="F2167" t="str">
        <f>VLOOKUP(E2167,country_continent!A:C,2,FALSE)</f>
        <v>Norway</v>
      </c>
      <c r="G2167" t="str">
        <f>VLOOKUP(E2167,country_continent!A:C,3,FALSE)</f>
        <v>Europe</v>
      </c>
      <c r="H2167" t="s">
        <v>8946</v>
      </c>
      <c r="I2167" s="1">
        <v>7477</v>
      </c>
      <c r="J2167" s="3">
        <f t="shared" si="99"/>
        <v>7477</v>
      </c>
      <c r="K2167" s="1">
        <v>7844</v>
      </c>
      <c r="L2167" s="3">
        <f t="shared" si="100"/>
        <v>7844</v>
      </c>
      <c r="M2167" t="s">
        <v>49</v>
      </c>
      <c r="N2167" t="s">
        <v>49</v>
      </c>
      <c r="O2167" t="s">
        <v>49</v>
      </c>
      <c r="P2167">
        <v>0</v>
      </c>
      <c r="Q2167" t="s">
        <v>50</v>
      </c>
      <c r="R2167" t="s">
        <v>51</v>
      </c>
      <c r="S2167">
        <v>1872</v>
      </c>
      <c r="T2167">
        <v>1923</v>
      </c>
      <c r="U2167" t="s">
        <v>8947</v>
      </c>
      <c r="V2167" t="s">
        <v>8948</v>
      </c>
      <c r="Z2167">
        <v>0</v>
      </c>
      <c r="AA2167">
        <v>1</v>
      </c>
      <c r="AB2167">
        <v>0</v>
      </c>
      <c r="AC2167">
        <v>0</v>
      </c>
      <c r="AF2167">
        <v>1920</v>
      </c>
      <c r="AG2167">
        <v>1921</v>
      </c>
      <c r="AO2167" t="b">
        <v>1</v>
      </c>
      <c r="AP2167" t="s">
        <v>8210</v>
      </c>
      <c r="AQ2167">
        <v>1945</v>
      </c>
      <c r="AR2167">
        <v>2016</v>
      </c>
      <c r="AS2167" t="s">
        <v>8949</v>
      </c>
      <c r="AT2167">
        <v>1.00479123887748</v>
      </c>
      <c r="AU2167">
        <f t="shared" si="101"/>
        <v>3.0000000000000001E-3</v>
      </c>
    </row>
    <row r="2168" spans="1:47" x14ac:dyDescent="0.3">
      <c r="A2168">
        <v>2166</v>
      </c>
      <c r="B2168" t="s">
        <v>8950</v>
      </c>
      <c r="C2168" t="s">
        <v>8951</v>
      </c>
      <c r="D2168">
        <v>385</v>
      </c>
      <c r="E2168" t="s">
        <v>8914</v>
      </c>
      <c r="F2168" t="str">
        <f>VLOOKUP(E2168,country_continent!A:C,2,FALSE)</f>
        <v>Norway</v>
      </c>
      <c r="G2168" t="str">
        <f>VLOOKUP(E2168,country_continent!A:C,3,FALSE)</f>
        <v>Europe</v>
      </c>
      <c r="H2168" t="s">
        <v>8952</v>
      </c>
      <c r="I2168" s="1">
        <v>7844</v>
      </c>
      <c r="J2168" s="3">
        <f t="shared" si="99"/>
        <v>7844</v>
      </c>
      <c r="K2168" s="1">
        <v>8465</v>
      </c>
      <c r="L2168" s="3">
        <f t="shared" si="100"/>
        <v>8465</v>
      </c>
      <c r="M2168" t="s">
        <v>49</v>
      </c>
      <c r="N2168" t="s">
        <v>49</v>
      </c>
      <c r="O2168" t="s">
        <v>49</v>
      </c>
      <c r="P2168">
        <v>1</v>
      </c>
      <c r="Q2168" t="s">
        <v>50</v>
      </c>
      <c r="R2168" t="s">
        <v>51</v>
      </c>
      <c r="S2168">
        <v>1847</v>
      </c>
      <c r="T2168">
        <v>1927</v>
      </c>
      <c r="U2168" t="s">
        <v>8953</v>
      </c>
      <c r="V2168" t="s">
        <v>8954</v>
      </c>
      <c r="Z2168">
        <v>0</v>
      </c>
      <c r="AA2168">
        <v>1</v>
      </c>
      <c r="AB2168">
        <v>0</v>
      </c>
      <c r="AC2168">
        <v>0</v>
      </c>
      <c r="AF2168">
        <v>1921</v>
      </c>
      <c r="AG2168">
        <v>1923</v>
      </c>
      <c r="AO2168" t="b">
        <v>1</v>
      </c>
      <c r="AP2168" t="s">
        <v>8210</v>
      </c>
      <c r="AQ2168">
        <v>1945</v>
      </c>
      <c r="AR2168">
        <v>2016</v>
      </c>
      <c r="AS2168" t="s">
        <v>8955</v>
      </c>
      <c r="AT2168">
        <v>1.7002053388090299</v>
      </c>
      <c r="AU2168">
        <f t="shared" si="101"/>
        <v>5.0000000000000001E-3</v>
      </c>
    </row>
    <row r="2169" spans="1:47" x14ac:dyDescent="0.3">
      <c r="A2169">
        <v>2167</v>
      </c>
      <c r="B2169" t="s">
        <v>8956</v>
      </c>
      <c r="C2169" t="s">
        <v>8945</v>
      </c>
      <c r="D2169">
        <v>385</v>
      </c>
      <c r="E2169" t="s">
        <v>8914</v>
      </c>
      <c r="F2169" t="str">
        <f>VLOOKUP(E2169,country_continent!A:C,2,FALSE)</f>
        <v>Norway</v>
      </c>
      <c r="G2169" t="str">
        <f>VLOOKUP(E2169,country_continent!A:C,3,FALSE)</f>
        <v>Europe</v>
      </c>
      <c r="H2169" t="s">
        <v>8946</v>
      </c>
      <c r="I2169" s="1">
        <v>8465</v>
      </c>
      <c r="J2169" s="3">
        <f t="shared" si="99"/>
        <v>8465</v>
      </c>
      <c r="K2169" s="1">
        <v>8544</v>
      </c>
      <c r="L2169" s="3">
        <f t="shared" si="100"/>
        <v>8544</v>
      </c>
      <c r="M2169" t="s">
        <v>49</v>
      </c>
      <c r="N2169" t="s">
        <v>110</v>
      </c>
      <c r="O2169" t="s">
        <v>49</v>
      </c>
      <c r="P2169">
        <v>1</v>
      </c>
      <c r="Q2169" t="s">
        <v>111</v>
      </c>
      <c r="R2169" t="s">
        <v>51</v>
      </c>
      <c r="S2169">
        <v>1872</v>
      </c>
      <c r="T2169">
        <v>1923</v>
      </c>
      <c r="U2169" t="s">
        <v>8947</v>
      </c>
      <c r="V2169" t="s">
        <v>8948</v>
      </c>
      <c r="Z2169">
        <v>0</v>
      </c>
      <c r="AA2169">
        <v>2</v>
      </c>
      <c r="AB2169">
        <v>0</v>
      </c>
      <c r="AC2169">
        <v>-777</v>
      </c>
      <c r="AF2169">
        <v>1923</v>
      </c>
      <c r="AG2169">
        <v>1923</v>
      </c>
      <c r="AO2169" t="b">
        <v>1</v>
      </c>
      <c r="AP2169" t="s">
        <v>8210</v>
      </c>
      <c r="AQ2169">
        <v>1945</v>
      </c>
      <c r="AR2169">
        <v>2016</v>
      </c>
      <c r="AS2169" t="s">
        <v>8957</v>
      </c>
      <c r="AT2169">
        <v>0.216290212183436</v>
      </c>
      <c r="AU2169">
        <f t="shared" si="101"/>
        <v>1E-3</v>
      </c>
    </row>
    <row r="2170" spans="1:47" x14ac:dyDescent="0.3">
      <c r="A2170">
        <v>2168</v>
      </c>
      <c r="B2170" t="s">
        <v>8958</v>
      </c>
      <c r="C2170" t="s">
        <v>8959</v>
      </c>
      <c r="D2170">
        <v>385</v>
      </c>
      <c r="E2170" t="s">
        <v>8914</v>
      </c>
      <c r="F2170" t="str">
        <f>VLOOKUP(E2170,country_continent!A:C,2,FALSE)</f>
        <v>Norway</v>
      </c>
      <c r="G2170" t="str">
        <f>VLOOKUP(E2170,country_continent!A:C,3,FALSE)</f>
        <v>Europe</v>
      </c>
      <c r="H2170" t="s">
        <v>8960</v>
      </c>
      <c r="I2170" s="1">
        <v>8544</v>
      </c>
      <c r="J2170" s="3">
        <f t="shared" si="99"/>
        <v>8544</v>
      </c>
      <c r="K2170" s="1">
        <v>8943</v>
      </c>
      <c r="L2170" s="3">
        <f t="shared" si="100"/>
        <v>8943</v>
      </c>
      <c r="M2170" t="s">
        <v>49</v>
      </c>
      <c r="N2170" t="s">
        <v>49</v>
      </c>
      <c r="O2170" t="s">
        <v>49</v>
      </c>
      <c r="P2170">
        <v>0</v>
      </c>
      <c r="Q2170" t="s">
        <v>50</v>
      </c>
      <c r="R2170" t="s">
        <v>51</v>
      </c>
      <c r="S2170">
        <v>1851</v>
      </c>
      <c r="T2170">
        <v>1936</v>
      </c>
      <c r="U2170" t="s">
        <v>8961</v>
      </c>
      <c r="V2170" t="s">
        <v>8962</v>
      </c>
      <c r="Z2170">
        <v>0</v>
      </c>
      <c r="AA2170">
        <v>1</v>
      </c>
      <c r="AB2170">
        <v>0</v>
      </c>
      <c r="AC2170">
        <v>0</v>
      </c>
      <c r="AF2170">
        <v>1923</v>
      </c>
      <c r="AG2170">
        <v>1924</v>
      </c>
      <c r="AO2170" t="b">
        <v>1</v>
      </c>
      <c r="AP2170" t="s">
        <v>8210</v>
      </c>
      <c r="AQ2170">
        <v>1945</v>
      </c>
      <c r="AR2170">
        <v>2016</v>
      </c>
      <c r="AS2170" t="s">
        <v>8963</v>
      </c>
      <c r="AT2170">
        <v>1.0924024640657</v>
      </c>
      <c r="AU2170">
        <f t="shared" si="101"/>
        <v>3.0000000000000001E-3</v>
      </c>
    </row>
    <row r="2171" spans="1:47" x14ac:dyDescent="0.3">
      <c r="A2171">
        <v>2169</v>
      </c>
      <c r="B2171" t="s">
        <v>8964</v>
      </c>
      <c r="C2171" t="s">
        <v>8965</v>
      </c>
      <c r="D2171">
        <v>385</v>
      </c>
      <c r="E2171" t="s">
        <v>8914</v>
      </c>
      <c r="F2171" t="str">
        <f>VLOOKUP(E2171,country_continent!A:C,2,FALSE)</f>
        <v>Norway</v>
      </c>
      <c r="G2171" t="str">
        <f>VLOOKUP(E2171,country_continent!A:C,3,FALSE)</f>
        <v>Europe</v>
      </c>
      <c r="H2171" t="s">
        <v>8966</v>
      </c>
      <c r="I2171" s="1">
        <v>8943</v>
      </c>
      <c r="J2171" s="3">
        <f t="shared" si="99"/>
        <v>8943</v>
      </c>
      <c r="K2171" s="1">
        <v>9559</v>
      </c>
      <c r="L2171" s="3">
        <f t="shared" si="100"/>
        <v>9559</v>
      </c>
      <c r="M2171" t="s">
        <v>49</v>
      </c>
      <c r="N2171" t="s">
        <v>49</v>
      </c>
      <c r="O2171" t="s">
        <v>49</v>
      </c>
      <c r="P2171">
        <v>0</v>
      </c>
      <c r="Q2171" t="s">
        <v>50</v>
      </c>
      <c r="R2171" t="s">
        <v>51</v>
      </c>
      <c r="S2171">
        <v>1870</v>
      </c>
      <c r="T2171">
        <v>1943</v>
      </c>
      <c r="U2171" t="s">
        <v>8967</v>
      </c>
      <c r="V2171" t="s">
        <v>8968</v>
      </c>
      <c r="W2171" s="1">
        <v>15979</v>
      </c>
      <c r="X2171" s="2">
        <v>15979</v>
      </c>
      <c r="Z2171">
        <v>0</v>
      </c>
      <c r="AA2171">
        <v>1</v>
      </c>
      <c r="AB2171">
        <v>0</v>
      </c>
      <c r="AC2171">
        <v>0</v>
      </c>
      <c r="AF2171">
        <v>1924</v>
      </c>
      <c r="AG2171">
        <v>1926</v>
      </c>
      <c r="AO2171" t="b">
        <v>1</v>
      </c>
      <c r="AP2171" t="s">
        <v>8210</v>
      </c>
      <c r="AQ2171">
        <v>1945</v>
      </c>
      <c r="AR2171">
        <v>2016</v>
      </c>
      <c r="AS2171" t="s">
        <v>8969</v>
      </c>
      <c r="AT2171">
        <v>1.68651608487337</v>
      </c>
      <c r="AU2171">
        <f t="shared" si="101"/>
        <v>5.0000000000000001E-3</v>
      </c>
    </row>
    <row r="2172" spans="1:47" x14ac:dyDescent="0.3">
      <c r="A2172">
        <v>2170</v>
      </c>
      <c r="B2172" t="s">
        <v>8970</v>
      </c>
      <c r="C2172" t="s">
        <v>8971</v>
      </c>
      <c r="D2172">
        <v>385</v>
      </c>
      <c r="E2172" t="s">
        <v>8914</v>
      </c>
      <c r="F2172" t="str">
        <f>VLOOKUP(E2172,country_continent!A:C,2,FALSE)</f>
        <v>Norway</v>
      </c>
      <c r="G2172" t="str">
        <f>VLOOKUP(E2172,country_continent!A:C,3,FALSE)</f>
        <v>Europe</v>
      </c>
      <c r="H2172" t="s">
        <v>8972</v>
      </c>
      <c r="I2172" s="1">
        <v>9559</v>
      </c>
      <c r="J2172" s="3">
        <f t="shared" si="99"/>
        <v>9559</v>
      </c>
      <c r="K2172" s="1">
        <v>10247</v>
      </c>
      <c r="L2172" s="3">
        <f t="shared" si="100"/>
        <v>10247</v>
      </c>
      <c r="M2172" t="s">
        <v>49</v>
      </c>
      <c r="N2172" t="s">
        <v>49</v>
      </c>
      <c r="O2172" t="s">
        <v>49</v>
      </c>
      <c r="P2172">
        <v>0</v>
      </c>
      <c r="Q2172" t="s">
        <v>50</v>
      </c>
      <c r="R2172" t="s">
        <v>51</v>
      </c>
      <c r="S2172">
        <v>1872</v>
      </c>
      <c r="T2172">
        <v>1949</v>
      </c>
      <c r="U2172" t="s">
        <v>8973</v>
      </c>
      <c r="V2172" t="s">
        <v>8974</v>
      </c>
      <c r="Y2172" t="s">
        <v>8975</v>
      </c>
      <c r="Z2172">
        <v>0</v>
      </c>
      <c r="AA2172">
        <v>1</v>
      </c>
      <c r="AB2172">
        <v>0</v>
      </c>
      <c r="AC2172">
        <v>0</v>
      </c>
      <c r="AF2172">
        <v>1926</v>
      </c>
      <c r="AG2172">
        <v>1928</v>
      </c>
      <c r="AO2172" t="b">
        <v>1</v>
      </c>
      <c r="AP2172" t="s">
        <v>8210</v>
      </c>
      <c r="AQ2172">
        <v>1945</v>
      </c>
      <c r="AR2172">
        <v>2016</v>
      </c>
      <c r="AS2172" t="s">
        <v>8976</v>
      </c>
      <c r="AT2172">
        <v>1.88364134154688</v>
      </c>
      <c r="AU2172">
        <f t="shared" si="101"/>
        <v>5.0000000000000001E-3</v>
      </c>
    </row>
    <row r="2173" spans="1:47" x14ac:dyDescent="0.3">
      <c r="A2173">
        <v>2171</v>
      </c>
      <c r="B2173" t="s">
        <v>8977</v>
      </c>
      <c r="C2173" t="s">
        <v>8978</v>
      </c>
      <c r="D2173">
        <v>385</v>
      </c>
      <c r="E2173" t="s">
        <v>8914</v>
      </c>
      <c r="F2173" t="str">
        <f>VLOOKUP(E2173,country_continent!A:C,2,FALSE)</f>
        <v>Norway</v>
      </c>
      <c r="G2173" t="str">
        <f>VLOOKUP(E2173,country_continent!A:C,3,FALSE)</f>
        <v>Europe</v>
      </c>
      <c r="H2173" t="s">
        <v>8979</v>
      </c>
      <c r="I2173" s="1">
        <v>10247</v>
      </c>
      <c r="J2173" s="3">
        <f t="shared" si="99"/>
        <v>10247</v>
      </c>
      <c r="K2173" s="1">
        <v>10273</v>
      </c>
      <c r="L2173" s="3">
        <f t="shared" si="100"/>
        <v>10273</v>
      </c>
      <c r="M2173" t="s">
        <v>49</v>
      </c>
      <c r="N2173" t="s">
        <v>49</v>
      </c>
      <c r="O2173" t="s">
        <v>49</v>
      </c>
      <c r="P2173">
        <v>0</v>
      </c>
      <c r="Q2173" t="s">
        <v>50</v>
      </c>
      <c r="R2173" t="s">
        <v>51</v>
      </c>
      <c r="S2173">
        <v>1859</v>
      </c>
      <c r="T2173">
        <v>1960</v>
      </c>
      <c r="U2173" t="s">
        <v>8980</v>
      </c>
      <c r="V2173" t="s">
        <v>8981</v>
      </c>
      <c r="Z2173">
        <v>0</v>
      </c>
      <c r="AA2173">
        <v>1</v>
      </c>
      <c r="AB2173">
        <v>0</v>
      </c>
      <c r="AC2173">
        <v>0</v>
      </c>
      <c r="AF2173">
        <v>1928</v>
      </c>
      <c r="AG2173">
        <v>1928</v>
      </c>
      <c r="AO2173" t="b">
        <v>1</v>
      </c>
      <c r="AP2173" t="s">
        <v>8210</v>
      </c>
      <c r="AQ2173">
        <v>1945</v>
      </c>
      <c r="AR2173">
        <v>2016</v>
      </c>
      <c r="AS2173" t="s">
        <v>8982</v>
      </c>
      <c r="AT2173">
        <v>7.1184120465434597E-2</v>
      </c>
      <c r="AU2173">
        <f t="shared" si="101"/>
        <v>0</v>
      </c>
    </row>
    <row r="2174" spans="1:47" x14ac:dyDescent="0.3">
      <c r="A2174">
        <v>2172</v>
      </c>
      <c r="B2174" t="s">
        <v>8983</v>
      </c>
      <c r="C2174" t="s">
        <v>8965</v>
      </c>
      <c r="D2174">
        <v>385</v>
      </c>
      <c r="E2174" t="s">
        <v>8914</v>
      </c>
      <c r="F2174" t="str">
        <f>VLOOKUP(E2174,country_continent!A:C,2,FALSE)</f>
        <v>Norway</v>
      </c>
      <c r="G2174" t="str">
        <f>VLOOKUP(E2174,country_continent!A:C,3,FALSE)</f>
        <v>Europe</v>
      </c>
      <c r="H2174" t="s">
        <v>8966</v>
      </c>
      <c r="I2174" s="1">
        <v>10273</v>
      </c>
      <c r="J2174" s="3">
        <f t="shared" si="99"/>
        <v>10273</v>
      </c>
      <c r="K2174" s="1">
        <v>11452</v>
      </c>
      <c r="L2174" s="3">
        <f t="shared" si="100"/>
        <v>11452</v>
      </c>
      <c r="M2174" t="s">
        <v>49</v>
      </c>
      <c r="N2174" t="s">
        <v>49</v>
      </c>
      <c r="O2174" t="s">
        <v>49</v>
      </c>
      <c r="P2174">
        <v>1</v>
      </c>
      <c r="Q2174" t="s">
        <v>50</v>
      </c>
      <c r="R2174" t="s">
        <v>51</v>
      </c>
      <c r="S2174">
        <v>1870</v>
      </c>
      <c r="T2174">
        <v>1943</v>
      </c>
      <c r="U2174" t="s">
        <v>8967</v>
      </c>
      <c r="V2174" t="s">
        <v>8968</v>
      </c>
      <c r="W2174" s="1">
        <v>15979</v>
      </c>
      <c r="X2174" s="2">
        <v>15979</v>
      </c>
      <c r="Z2174">
        <v>0</v>
      </c>
      <c r="AA2174">
        <v>1</v>
      </c>
      <c r="AB2174">
        <v>0</v>
      </c>
      <c r="AC2174">
        <v>0</v>
      </c>
      <c r="AF2174">
        <v>1928</v>
      </c>
      <c r="AG2174">
        <v>1931</v>
      </c>
      <c r="AO2174" t="b">
        <v>1</v>
      </c>
      <c r="AP2174" t="s">
        <v>8210</v>
      </c>
      <c r="AQ2174">
        <v>1945</v>
      </c>
      <c r="AR2174">
        <v>2016</v>
      </c>
      <c r="AS2174" t="s">
        <v>8984</v>
      </c>
      <c r="AT2174">
        <v>3.22792607802874</v>
      </c>
      <c r="AU2174">
        <f t="shared" si="101"/>
        <v>8.9999999999999993E-3</v>
      </c>
    </row>
    <row r="2175" spans="1:47" x14ac:dyDescent="0.3">
      <c r="A2175">
        <v>2173</v>
      </c>
      <c r="B2175" t="s">
        <v>8985</v>
      </c>
      <c r="C2175" t="s">
        <v>8986</v>
      </c>
      <c r="D2175">
        <v>385</v>
      </c>
      <c r="E2175" t="s">
        <v>8914</v>
      </c>
      <c r="F2175" t="str">
        <f>VLOOKUP(E2175,country_continent!A:C,2,FALSE)</f>
        <v>Norway</v>
      </c>
      <c r="G2175" t="str">
        <f>VLOOKUP(E2175,country_continent!A:C,3,FALSE)</f>
        <v>Europe</v>
      </c>
      <c r="H2175" t="s">
        <v>8987</v>
      </c>
      <c r="I2175" s="1">
        <v>11454</v>
      </c>
      <c r="J2175" s="3">
        <f t="shared" si="99"/>
        <v>11454</v>
      </c>
      <c r="K2175" s="1">
        <v>11720</v>
      </c>
      <c r="L2175" s="3">
        <f t="shared" si="100"/>
        <v>11720</v>
      </c>
      <c r="M2175" t="s">
        <v>49</v>
      </c>
      <c r="N2175" t="s">
        <v>228</v>
      </c>
      <c r="O2175" t="s">
        <v>49</v>
      </c>
      <c r="P2175">
        <v>0</v>
      </c>
      <c r="Q2175" t="s">
        <v>111</v>
      </c>
      <c r="R2175" t="s">
        <v>51</v>
      </c>
      <c r="S2175">
        <v>1878</v>
      </c>
      <c r="T2175">
        <v>1932</v>
      </c>
      <c r="Z2175">
        <v>0</v>
      </c>
      <c r="AA2175">
        <v>2.0999998999999998</v>
      </c>
      <c r="AB2175">
        <v>0</v>
      </c>
      <c r="AC2175">
        <v>-777</v>
      </c>
      <c r="AF2175">
        <v>1931</v>
      </c>
      <c r="AG2175">
        <v>1932</v>
      </c>
      <c r="AO2175" t="b">
        <v>1</v>
      </c>
      <c r="AP2175" t="s">
        <v>8210</v>
      </c>
      <c r="AQ2175">
        <v>1945</v>
      </c>
      <c r="AR2175">
        <v>2016</v>
      </c>
      <c r="AS2175" t="s">
        <v>8988</v>
      </c>
      <c r="AT2175">
        <v>0.72826830937713805</v>
      </c>
      <c r="AU2175">
        <f t="shared" si="101"/>
        <v>2E-3</v>
      </c>
    </row>
    <row r="2176" spans="1:47" x14ac:dyDescent="0.3">
      <c r="A2176">
        <v>2174</v>
      </c>
      <c r="B2176" t="s">
        <v>8989</v>
      </c>
      <c r="C2176" t="s">
        <v>8990</v>
      </c>
      <c r="D2176">
        <v>385</v>
      </c>
      <c r="E2176" t="s">
        <v>8914</v>
      </c>
      <c r="F2176" t="str">
        <f>VLOOKUP(E2176,country_continent!A:C,2,FALSE)</f>
        <v>Norway</v>
      </c>
      <c r="G2176" t="str">
        <f>VLOOKUP(E2176,country_continent!A:C,3,FALSE)</f>
        <v>Europe</v>
      </c>
      <c r="H2176" t="s">
        <v>8991</v>
      </c>
      <c r="I2176" s="1">
        <v>11720</v>
      </c>
      <c r="J2176" s="3">
        <f t="shared" si="99"/>
        <v>11720</v>
      </c>
      <c r="K2176" s="1">
        <v>11762</v>
      </c>
      <c r="L2176" s="3">
        <f t="shared" si="100"/>
        <v>11762</v>
      </c>
      <c r="M2176" t="s">
        <v>49</v>
      </c>
      <c r="N2176" t="s">
        <v>49</v>
      </c>
      <c r="O2176" t="s">
        <v>49</v>
      </c>
      <c r="P2176">
        <v>0</v>
      </c>
      <c r="Q2176" t="s">
        <v>50</v>
      </c>
      <c r="R2176" t="s">
        <v>51</v>
      </c>
      <c r="S2176">
        <v>1879</v>
      </c>
      <c r="T2176">
        <v>1966</v>
      </c>
      <c r="Z2176">
        <v>0</v>
      </c>
      <c r="AA2176">
        <v>1</v>
      </c>
      <c r="AB2176">
        <v>0</v>
      </c>
      <c r="AC2176">
        <v>0</v>
      </c>
      <c r="AF2176">
        <v>1932</v>
      </c>
      <c r="AG2176">
        <v>1932</v>
      </c>
      <c r="AO2176" t="b">
        <v>1</v>
      </c>
      <c r="AP2176" t="s">
        <v>8210</v>
      </c>
      <c r="AQ2176">
        <v>1945</v>
      </c>
      <c r="AR2176">
        <v>2016</v>
      </c>
      <c r="AS2176" t="s">
        <v>8992</v>
      </c>
      <c r="AT2176">
        <v>0.114989733059548</v>
      </c>
      <c r="AU2176">
        <f t="shared" si="101"/>
        <v>0</v>
      </c>
    </row>
    <row r="2177" spans="1:47" x14ac:dyDescent="0.3">
      <c r="A2177">
        <v>2175</v>
      </c>
      <c r="B2177" t="s">
        <v>8993</v>
      </c>
      <c r="C2177" t="s">
        <v>8994</v>
      </c>
      <c r="D2177">
        <v>385</v>
      </c>
      <c r="E2177" t="s">
        <v>8914</v>
      </c>
      <c r="F2177" t="str">
        <f>VLOOKUP(E2177,country_continent!A:C,2,FALSE)</f>
        <v>Norway</v>
      </c>
      <c r="G2177" t="str">
        <f>VLOOKUP(E2177,country_continent!A:C,3,FALSE)</f>
        <v>Europe</v>
      </c>
      <c r="H2177" t="s">
        <v>8995</v>
      </c>
      <c r="I2177" s="1">
        <v>11762</v>
      </c>
      <c r="J2177" s="3">
        <f t="shared" si="99"/>
        <v>11762</v>
      </c>
      <c r="K2177" s="1">
        <v>12110</v>
      </c>
      <c r="L2177" s="3">
        <f t="shared" si="100"/>
        <v>12110</v>
      </c>
      <c r="M2177" t="s">
        <v>49</v>
      </c>
      <c r="N2177" t="s">
        <v>49</v>
      </c>
      <c r="O2177" t="s">
        <v>49</v>
      </c>
      <c r="P2177">
        <v>0</v>
      </c>
      <c r="Q2177" t="s">
        <v>50</v>
      </c>
      <c r="R2177" t="s">
        <v>51</v>
      </c>
      <c r="S2177">
        <v>1883</v>
      </c>
      <c r="T2177">
        <v>1965</v>
      </c>
      <c r="Z2177">
        <v>0</v>
      </c>
      <c r="AA2177">
        <v>1</v>
      </c>
      <c r="AB2177">
        <v>0</v>
      </c>
      <c r="AC2177">
        <v>0</v>
      </c>
      <c r="AF2177">
        <v>1932</v>
      </c>
      <c r="AG2177">
        <v>1933</v>
      </c>
      <c r="AO2177" t="b">
        <v>1</v>
      </c>
      <c r="AP2177" t="s">
        <v>8210</v>
      </c>
      <c r="AQ2177">
        <v>1945</v>
      </c>
      <c r="AR2177">
        <v>2016</v>
      </c>
      <c r="AS2177" t="s">
        <v>8996</v>
      </c>
      <c r="AT2177">
        <v>0.95277207392197105</v>
      </c>
      <c r="AU2177">
        <f t="shared" si="101"/>
        <v>3.0000000000000001E-3</v>
      </c>
    </row>
    <row r="2178" spans="1:47" x14ac:dyDescent="0.3">
      <c r="A2178">
        <v>2176</v>
      </c>
      <c r="B2178" t="s">
        <v>8997</v>
      </c>
      <c r="C2178" t="s">
        <v>8965</v>
      </c>
      <c r="D2178">
        <v>385</v>
      </c>
      <c r="E2178" t="s">
        <v>8914</v>
      </c>
      <c r="F2178" t="str">
        <f>VLOOKUP(E2178,country_continent!A:C,2,FALSE)</f>
        <v>Norway</v>
      </c>
      <c r="G2178" t="str">
        <f>VLOOKUP(E2178,country_continent!A:C,3,FALSE)</f>
        <v>Europe</v>
      </c>
      <c r="H2178" t="s">
        <v>8966</v>
      </c>
      <c r="I2178" s="1">
        <v>12115</v>
      </c>
      <c r="J2178" s="3">
        <f t="shared" si="99"/>
        <v>12115</v>
      </c>
      <c r="K2178" s="1">
        <v>12859</v>
      </c>
      <c r="L2178" s="3">
        <f t="shared" si="100"/>
        <v>12859</v>
      </c>
      <c r="M2178" t="s">
        <v>49</v>
      </c>
      <c r="N2178" t="s">
        <v>49</v>
      </c>
      <c r="O2178" t="s">
        <v>49</v>
      </c>
      <c r="P2178">
        <v>2</v>
      </c>
      <c r="Q2178" t="s">
        <v>50</v>
      </c>
      <c r="R2178" t="s">
        <v>51</v>
      </c>
      <c r="S2178">
        <v>1870</v>
      </c>
      <c r="T2178">
        <v>1943</v>
      </c>
      <c r="U2178" t="s">
        <v>8967</v>
      </c>
      <c r="V2178" t="s">
        <v>8968</v>
      </c>
      <c r="W2178" s="1">
        <v>15979</v>
      </c>
      <c r="X2178" s="2">
        <v>15979</v>
      </c>
      <c r="Z2178">
        <v>0</v>
      </c>
      <c r="AA2178">
        <v>1</v>
      </c>
      <c r="AB2178">
        <v>0</v>
      </c>
      <c r="AC2178">
        <v>0</v>
      </c>
      <c r="AF2178">
        <v>1933</v>
      </c>
      <c r="AG2178">
        <v>1935</v>
      </c>
      <c r="AO2178" t="b">
        <v>1</v>
      </c>
      <c r="AP2178" t="s">
        <v>8210</v>
      </c>
      <c r="AQ2178">
        <v>1945</v>
      </c>
      <c r="AR2178">
        <v>2016</v>
      </c>
      <c r="AS2178" t="s">
        <v>8998</v>
      </c>
      <c r="AT2178">
        <v>2.0369609856262798</v>
      </c>
      <c r="AU2178">
        <f t="shared" si="101"/>
        <v>6.0000000000000001E-3</v>
      </c>
    </row>
    <row r="2179" spans="1:47" x14ac:dyDescent="0.3">
      <c r="A2179">
        <v>2177</v>
      </c>
      <c r="B2179" t="s">
        <v>8999</v>
      </c>
      <c r="C2179" t="s">
        <v>9000</v>
      </c>
      <c r="D2179">
        <v>385</v>
      </c>
      <c r="E2179" t="s">
        <v>8914</v>
      </c>
      <c r="F2179" t="str">
        <f>VLOOKUP(E2179,country_continent!A:C,2,FALSE)</f>
        <v>Norway</v>
      </c>
      <c r="G2179" t="str">
        <f>VLOOKUP(E2179,country_continent!A:C,3,FALSE)</f>
        <v>Europe</v>
      </c>
      <c r="H2179" t="s">
        <v>9001</v>
      </c>
      <c r="I2179" s="1">
        <v>12862</v>
      </c>
      <c r="J2179" s="3">
        <f t="shared" ref="J2179:J2242" si="102">IF(ISNUMBER(SEARCH("-", I2179)), SUBSTITUTE(I2179, "-", "/"), I2179)</f>
        <v>12862</v>
      </c>
      <c r="K2179" s="1">
        <v>14710</v>
      </c>
      <c r="L2179" s="3">
        <f t="shared" ref="L2179:L2242" si="103">IF(ISNUMBER(SEARCH("-", K2179)), SUBSTITUTE(K2179, "-", "/"), K2179)</f>
        <v>14710</v>
      </c>
      <c r="M2179" t="s">
        <v>49</v>
      </c>
      <c r="N2179" t="s">
        <v>633</v>
      </c>
      <c r="O2179" t="s">
        <v>634</v>
      </c>
      <c r="P2179">
        <v>0</v>
      </c>
      <c r="Q2179" t="s">
        <v>362</v>
      </c>
      <c r="R2179" t="s">
        <v>51</v>
      </c>
      <c r="S2179">
        <v>1879</v>
      </c>
      <c r="T2179">
        <v>1952</v>
      </c>
      <c r="U2179" t="s">
        <v>6451</v>
      </c>
      <c r="V2179" t="s">
        <v>6452</v>
      </c>
      <c r="W2179" s="1">
        <v>19066</v>
      </c>
      <c r="X2179" s="2">
        <v>19066</v>
      </c>
      <c r="Z2179">
        <v>0</v>
      </c>
      <c r="AA2179">
        <v>4</v>
      </c>
      <c r="AB2179">
        <v>9</v>
      </c>
      <c r="AC2179">
        <v>1</v>
      </c>
      <c r="AF2179">
        <v>1935</v>
      </c>
      <c r="AG2179">
        <v>1940</v>
      </c>
      <c r="AO2179" t="b">
        <v>1</v>
      </c>
      <c r="AP2179" t="s">
        <v>8210</v>
      </c>
      <c r="AQ2179">
        <v>1945</v>
      </c>
      <c r="AR2179">
        <v>2016</v>
      </c>
      <c r="AS2179" t="s">
        <v>9002</v>
      </c>
      <c r="AT2179">
        <v>5.05954825462012</v>
      </c>
      <c r="AU2179">
        <f t="shared" si="101"/>
        <v>1.4E-2</v>
      </c>
    </row>
    <row r="2180" spans="1:47" x14ac:dyDescent="0.3">
      <c r="A2180">
        <v>2178</v>
      </c>
      <c r="B2180" t="s">
        <v>9003</v>
      </c>
      <c r="C2180" t="s">
        <v>9004</v>
      </c>
      <c r="D2180">
        <v>385</v>
      </c>
      <c r="E2180" t="s">
        <v>8914</v>
      </c>
      <c r="F2180" t="str">
        <f>VLOOKUP(E2180,country_continent!A:C,2,FALSE)</f>
        <v>Norway</v>
      </c>
      <c r="G2180" t="str">
        <f>VLOOKUP(E2180,country_continent!A:C,3,FALSE)</f>
        <v>Europe</v>
      </c>
      <c r="H2180" t="s">
        <v>9005</v>
      </c>
      <c r="I2180" s="1">
        <v>14710</v>
      </c>
      <c r="J2180" s="3">
        <f t="shared" si="102"/>
        <v>14710</v>
      </c>
      <c r="K2180" s="1">
        <v>16564</v>
      </c>
      <c r="L2180" s="3">
        <f t="shared" si="103"/>
        <v>16564</v>
      </c>
      <c r="M2180" t="s">
        <v>637</v>
      </c>
      <c r="N2180" t="s">
        <v>633</v>
      </c>
      <c r="O2180" t="s">
        <v>634</v>
      </c>
      <c r="P2180">
        <v>0</v>
      </c>
      <c r="Q2180" t="s">
        <v>50</v>
      </c>
      <c r="R2180" t="s">
        <v>51</v>
      </c>
      <c r="S2180">
        <v>1887</v>
      </c>
      <c r="T2180">
        <v>1945</v>
      </c>
      <c r="U2180" t="s">
        <v>9006</v>
      </c>
      <c r="V2180" t="s">
        <v>9007</v>
      </c>
      <c r="W2180" s="1">
        <v>16734</v>
      </c>
      <c r="X2180" s="2">
        <v>16734</v>
      </c>
      <c r="Z2180">
        <v>2</v>
      </c>
      <c r="AA2180">
        <v>4</v>
      </c>
      <c r="AB2180">
        <v>9</v>
      </c>
      <c r="AC2180">
        <v>0</v>
      </c>
      <c r="AF2180">
        <v>1940</v>
      </c>
      <c r="AG2180">
        <v>1945</v>
      </c>
      <c r="AO2180" t="b">
        <v>1</v>
      </c>
      <c r="AP2180" t="s">
        <v>8210</v>
      </c>
      <c r="AQ2180">
        <v>1945</v>
      </c>
      <c r="AR2180">
        <v>2016</v>
      </c>
      <c r="AS2180" t="s">
        <v>9008</v>
      </c>
      <c r="AT2180">
        <v>5.0759753593429098</v>
      </c>
      <c r="AU2180">
        <f t="shared" ref="AU2180:AU2243" si="104">ROUND(AT2180/365,3)</f>
        <v>1.4E-2</v>
      </c>
    </row>
    <row r="2181" spans="1:47" x14ac:dyDescent="0.3">
      <c r="A2181">
        <v>2179</v>
      </c>
      <c r="B2181" t="s">
        <v>9009</v>
      </c>
      <c r="C2181" t="s">
        <v>9000</v>
      </c>
      <c r="D2181">
        <v>385</v>
      </c>
      <c r="E2181" t="s">
        <v>8914</v>
      </c>
      <c r="F2181" t="str">
        <f>VLOOKUP(E2181,country_continent!A:C,2,FALSE)</f>
        <v>Norway</v>
      </c>
      <c r="G2181" t="str">
        <f>VLOOKUP(E2181,country_continent!A:C,3,FALSE)</f>
        <v>Europe</v>
      </c>
      <c r="H2181" t="s">
        <v>9001</v>
      </c>
      <c r="I2181" s="1">
        <v>16564</v>
      </c>
      <c r="J2181" s="3">
        <f t="shared" si="102"/>
        <v>16564</v>
      </c>
      <c r="K2181" s="1">
        <v>16613</v>
      </c>
      <c r="L2181" s="3">
        <f t="shared" si="103"/>
        <v>16613</v>
      </c>
      <c r="M2181" t="s">
        <v>49</v>
      </c>
      <c r="N2181" t="s">
        <v>49</v>
      </c>
      <c r="O2181" t="s">
        <v>49</v>
      </c>
      <c r="P2181">
        <v>1</v>
      </c>
      <c r="Q2181" t="s">
        <v>50</v>
      </c>
      <c r="R2181" t="s">
        <v>51</v>
      </c>
      <c r="S2181">
        <v>1879</v>
      </c>
      <c r="T2181">
        <v>1952</v>
      </c>
      <c r="U2181" t="s">
        <v>6451</v>
      </c>
      <c r="V2181" t="s">
        <v>6452</v>
      </c>
      <c r="W2181" s="1">
        <v>19066</v>
      </c>
      <c r="X2181" s="2">
        <v>19066</v>
      </c>
      <c r="Z2181">
        <v>0</v>
      </c>
      <c r="AA2181">
        <v>1</v>
      </c>
      <c r="AB2181">
        <v>0</v>
      </c>
      <c r="AC2181">
        <v>0</v>
      </c>
      <c r="AF2181">
        <v>1945</v>
      </c>
      <c r="AG2181">
        <v>1945</v>
      </c>
      <c r="AO2181" t="b">
        <v>1</v>
      </c>
      <c r="AP2181" t="s">
        <v>8210</v>
      </c>
      <c r="AQ2181">
        <v>1945</v>
      </c>
      <c r="AR2181">
        <v>2016</v>
      </c>
      <c r="AS2181" t="s">
        <v>9010</v>
      </c>
      <c r="AT2181">
        <v>0.13415468856947199</v>
      </c>
      <c r="AU2181">
        <f t="shared" si="104"/>
        <v>0</v>
      </c>
    </row>
    <row r="2182" spans="1:47" x14ac:dyDescent="0.3">
      <c r="A2182">
        <v>2180</v>
      </c>
      <c r="B2182" t="s">
        <v>9011</v>
      </c>
      <c r="C2182" t="s">
        <v>9012</v>
      </c>
      <c r="D2182">
        <v>385</v>
      </c>
      <c r="E2182" t="s">
        <v>8914</v>
      </c>
      <c r="F2182" t="str">
        <f>VLOOKUP(E2182,country_continent!A:C,2,FALSE)</f>
        <v>Norway</v>
      </c>
      <c r="G2182" t="str">
        <f>VLOOKUP(E2182,country_continent!A:C,3,FALSE)</f>
        <v>Europe</v>
      </c>
      <c r="H2182" t="s">
        <v>9013</v>
      </c>
      <c r="I2182" s="1">
        <v>16614</v>
      </c>
      <c r="J2182" s="3">
        <f t="shared" si="102"/>
        <v>16614</v>
      </c>
      <c r="K2182" s="1">
        <v>18945</v>
      </c>
      <c r="L2182" s="3">
        <f t="shared" si="103"/>
        <v>18945</v>
      </c>
      <c r="M2182" t="s">
        <v>49</v>
      </c>
      <c r="N2182" t="s">
        <v>49</v>
      </c>
      <c r="O2182" t="s">
        <v>49</v>
      </c>
      <c r="P2182">
        <v>0</v>
      </c>
      <c r="Q2182" t="s">
        <v>50</v>
      </c>
      <c r="R2182" t="s">
        <v>51</v>
      </c>
      <c r="S2182">
        <v>1897</v>
      </c>
      <c r="T2182">
        <v>1987</v>
      </c>
      <c r="U2182" t="s">
        <v>9014</v>
      </c>
      <c r="V2182" t="s">
        <v>9015</v>
      </c>
      <c r="W2182" s="1">
        <v>32039</v>
      </c>
      <c r="X2182" s="2">
        <v>32039</v>
      </c>
      <c r="Y2182" t="s">
        <v>9016</v>
      </c>
      <c r="Z2182">
        <v>0</v>
      </c>
      <c r="AA2182">
        <v>1</v>
      </c>
      <c r="AB2182">
        <v>0</v>
      </c>
      <c r="AC2182">
        <v>0</v>
      </c>
      <c r="AF2182">
        <v>1945</v>
      </c>
      <c r="AG2182">
        <v>1951</v>
      </c>
      <c r="AN2182">
        <v>10</v>
      </c>
      <c r="AO2182" t="b">
        <v>1</v>
      </c>
      <c r="AP2182" t="s">
        <v>8210</v>
      </c>
      <c r="AQ2182">
        <v>1945</v>
      </c>
      <c r="AR2182">
        <v>2016</v>
      </c>
      <c r="AS2182" t="s">
        <v>9017</v>
      </c>
      <c r="AT2182">
        <v>6.3819301848049204</v>
      </c>
      <c r="AU2182">
        <f t="shared" si="104"/>
        <v>1.7000000000000001E-2</v>
      </c>
    </row>
    <row r="2183" spans="1:47" x14ac:dyDescent="0.3">
      <c r="A2183">
        <v>2181</v>
      </c>
      <c r="B2183" t="s">
        <v>9018</v>
      </c>
      <c r="C2183" t="s">
        <v>9019</v>
      </c>
      <c r="D2183">
        <v>385</v>
      </c>
      <c r="E2183" t="s">
        <v>8914</v>
      </c>
      <c r="F2183" t="str">
        <f>VLOOKUP(E2183,country_continent!A:C,2,FALSE)</f>
        <v>Norway</v>
      </c>
      <c r="G2183" t="str">
        <f>VLOOKUP(E2183,country_continent!A:C,3,FALSE)</f>
        <v>Europe</v>
      </c>
      <c r="H2183" t="s">
        <v>9020</v>
      </c>
      <c r="I2183" s="1">
        <v>18945</v>
      </c>
      <c r="J2183" s="3">
        <f t="shared" si="102"/>
        <v>18945</v>
      </c>
      <c r="K2183" s="1">
        <v>20103</v>
      </c>
      <c r="L2183" s="3">
        <f t="shared" si="103"/>
        <v>20103</v>
      </c>
      <c r="M2183" t="s">
        <v>49</v>
      </c>
      <c r="N2183" t="s">
        <v>49</v>
      </c>
      <c r="O2183" t="s">
        <v>49</v>
      </c>
      <c r="P2183">
        <v>0</v>
      </c>
      <c r="Q2183" t="s">
        <v>50</v>
      </c>
      <c r="R2183" t="s">
        <v>51</v>
      </c>
      <c r="S2183">
        <v>1893</v>
      </c>
      <c r="T2183">
        <v>1958</v>
      </c>
      <c r="U2183" t="s">
        <v>9021</v>
      </c>
      <c r="V2183" t="s">
        <v>9022</v>
      </c>
      <c r="Z2183">
        <v>0</v>
      </c>
      <c r="AA2183">
        <v>1</v>
      </c>
      <c r="AB2183">
        <v>0</v>
      </c>
      <c r="AC2183">
        <v>0</v>
      </c>
      <c r="AF2183">
        <v>1951</v>
      </c>
      <c r="AG2183">
        <v>1955</v>
      </c>
      <c r="AN2183">
        <v>10</v>
      </c>
      <c r="AO2183" t="b">
        <v>1</v>
      </c>
      <c r="AP2183" t="s">
        <v>8210</v>
      </c>
      <c r="AQ2183">
        <v>1945</v>
      </c>
      <c r="AR2183">
        <v>2016</v>
      </c>
      <c r="AS2183" t="s">
        <v>9023</v>
      </c>
      <c r="AT2183">
        <v>3.1704312114989701</v>
      </c>
      <c r="AU2183">
        <f t="shared" si="104"/>
        <v>8.9999999999999993E-3</v>
      </c>
    </row>
    <row r="2184" spans="1:47" x14ac:dyDescent="0.3">
      <c r="A2184">
        <v>2182</v>
      </c>
      <c r="B2184" t="s">
        <v>9024</v>
      </c>
      <c r="C2184" t="s">
        <v>9012</v>
      </c>
      <c r="D2184">
        <v>385</v>
      </c>
      <c r="E2184" t="s">
        <v>8914</v>
      </c>
      <c r="F2184" t="str">
        <f>VLOOKUP(E2184,country_continent!A:C,2,FALSE)</f>
        <v>Norway</v>
      </c>
      <c r="G2184" t="str">
        <f>VLOOKUP(E2184,country_continent!A:C,3,FALSE)</f>
        <v>Europe</v>
      </c>
      <c r="H2184" t="s">
        <v>9013</v>
      </c>
      <c r="I2184" s="1">
        <v>20111</v>
      </c>
      <c r="J2184" s="3">
        <f t="shared" si="102"/>
        <v>20111</v>
      </c>
      <c r="K2184" s="1">
        <v>23246</v>
      </c>
      <c r="L2184" s="3">
        <f t="shared" si="103"/>
        <v>23246</v>
      </c>
      <c r="M2184" t="s">
        <v>49</v>
      </c>
      <c r="N2184" t="s">
        <v>49</v>
      </c>
      <c r="O2184" t="s">
        <v>49</v>
      </c>
      <c r="P2184">
        <v>1</v>
      </c>
      <c r="Q2184" t="s">
        <v>50</v>
      </c>
      <c r="R2184" t="s">
        <v>51</v>
      </c>
      <c r="S2184">
        <v>1897</v>
      </c>
      <c r="T2184">
        <v>1987</v>
      </c>
      <c r="U2184" t="s">
        <v>9014</v>
      </c>
      <c r="V2184" t="s">
        <v>9015</v>
      </c>
      <c r="W2184" s="1">
        <v>32039</v>
      </c>
      <c r="X2184" s="2">
        <v>32039</v>
      </c>
      <c r="Y2184" t="s">
        <v>9016</v>
      </c>
      <c r="Z2184">
        <v>0</v>
      </c>
      <c r="AA2184">
        <v>1</v>
      </c>
      <c r="AB2184">
        <v>0</v>
      </c>
      <c r="AC2184">
        <v>0</v>
      </c>
      <c r="AF2184">
        <v>1955</v>
      </c>
      <c r="AG2184">
        <v>1963</v>
      </c>
      <c r="AH2184">
        <v>3.47566599698182</v>
      </c>
      <c r="AI2184">
        <v>1675</v>
      </c>
      <c r="AJ2184">
        <v>3.6022486719214499</v>
      </c>
      <c r="AK2184">
        <v>21.8</v>
      </c>
      <c r="AL2184">
        <v>0.78462633152074202</v>
      </c>
      <c r="AN2184">
        <v>10</v>
      </c>
      <c r="AO2184" t="b">
        <v>1</v>
      </c>
      <c r="AP2184" t="s">
        <v>8210</v>
      </c>
      <c r="AQ2184">
        <v>1945</v>
      </c>
      <c r="AR2184">
        <v>2016</v>
      </c>
      <c r="AS2184" t="s">
        <v>9025</v>
      </c>
      <c r="AT2184">
        <v>8.5831622176591296</v>
      </c>
      <c r="AU2184">
        <f t="shared" si="104"/>
        <v>2.4E-2</v>
      </c>
    </row>
    <row r="2185" spans="1:47" x14ac:dyDescent="0.3">
      <c r="A2185">
        <v>2183</v>
      </c>
      <c r="B2185" t="s">
        <v>9026</v>
      </c>
      <c r="C2185" t="s">
        <v>9027</v>
      </c>
      <c r="D2185">
        <v>385</v>
      </c>
      <c r="E2185" t="s">
        <v>8914</v>
      </c>
      <c r="F2185" t="str">
        <f>VLOOKUP(E2185,country_continent!A:C,2,FALSE)</f>
        <v>Norway</v>
      </c>
      <c r="G2185" t="str">
        <f>VLOOKUP(E2185,country_continent!A:C,3,FALSE)</f>
        <v>Europe</v>
      </c>
      <c r="H2185" t="s">
        <v>9028</v>
      </c>
      <c r="I2185" s="1">
        <v>23250</v>
      </c>
      <c r="J2185" s="3">
        <f t="shared" si="102"/>
        <v>23250</v>
      </c>
      <c r="K2185" s="1">
        <v>23279</v>
      </c>
      <c r="L2185" s="3">
        <f t="shared" si="103"/>
        <v>23279</v>
      </c>
      <c r="M2185" t="s">
        <v>49</v>
      </c>
      <c r="N2185" t="s">
        <v>49</v>
      </c>
      <c r="O2185" t="s">
        <v>49</v>
      </c>
      <c r="P2185">
        <v>0</v>
      </c>
      <c r="Q2185" t="s">
        <v>50</v>
      </c>
      <c r="R2185" t="s">
        <v>51</v>
      </c>
      <c r="S2185">
        <v>1905</v>
      </c>
      <c r="T2185">
        <v>1978</v>
      </c>
      <c r="U2185" s="1">
        <v>2061</v>
      </c>
      <c r="V2185" s="2">
        <v>2061</v>
      </c>
      <c r="Z2185">
        <v>0</v>
      </c>
      <c r="AA2185">
        <v>1</v>
      </c>
      <c r="AB2185">
        <v>0</v>
      </c>
      <c r="AC2185">
        <v>0</v>
      </c>
      <c r="AF2185">
        <v>1963</v>
      </c>
      <c r="AG2185">
        <v>1963</v>
      </c>
      <c r="AH2185">
        <v>3.0032593174179798</v>
      </c>
      <c r="AI2185">
        <v>1730</v>
      </c>
      <c r="AJ2185">
        <v>3.3926984634499799</v>
      </c>
      <c r="AK2185">
        <v>21</v>
      </c>
      <c r="AL2185">
        <v>0.75612351555471902</v>
      </c>
      <c r="AN2185">
        <v>10</v>
      </c>
      <c r="AO2185" t="b">
        <v>1</v>
      </c>
      <c r="AP2185" t="s">
        <v>8210</v>
      </c>
      <c r="AQ2185">
        <v>1945</v>
      </c>
      <c r="AR2185">
        <v>2016</v>
      </c>
      <c r="AS2185" t="s">
        <v>9029</v>
      </c>
      <c r="AT2185">
        <v>7.9397672826830898E-2</v>
      </c>
      <c r="AU2185">
        <f t="shared" si="104"/>
        <v>0</v>
      </c>
    </row>
    <row r="2186" spans="1:47" x14ac:dyDescent="0.3">
      <c r="A2186">
        <v>2184</v>
      </c>
      <c r="B2186" t="s">
        <v>9030</v>
      </c>
      <c r="C2186" t="s">
        <v>9012</v>
      </c>
      <c r="D2186">
        <v>385</v>
      </c>
      <c r="E2186" t="s">
        <v>8914</v>
      </c>
      <c r="F2186" t="str">
        <f>VLOOKUP(E2186,country_continent!A:C,2,FALSE)</f>
        <v>Norway</v>
      </c>
      <c r="G2186" t="str">
        <f>VLOOKUP(E2186,country_continent!A:C,3,FALSE)</f>
        <v>Europe</v>
      </c>
      <c r="H2186" t="s">
        <v>9013</v>
      </c>
      <c r="I2186" s="1">
        <v>23279</v>
      </c>
      <c r="J2186" s="3">
        <f t="shared" si="102"/>
        <v>23279</v>
      </c>
      <c r="K2186" s="1">
        <v>24027</v>
      </c>
      <c r="L2186" s="3">
        <f t="shared" si="103"/>
        <v>24027</v>
      </c>
      <c r="M2186" t="s">
        <v>49</v>
      </c>
      <c r="N2186" t="s">
        <v>49</v>
      </c>
      <c r="O2186" t="s">
        <v>49</v>
      </c>
      <c r="P2186">
        <v>2</v>
      </c>
      <c r="Q2186" t="s">
        <v>50</v>
      </c>
      <c r="R2186" t="s">
        <v>51</v>
      </c>
      <c r="S2186">
        <v>1897</v>
      </c>
      <c r="T2186">
        <v>1987</v>
      </c>
      <c r="U2186" t="s">
        <v>9014</v>
      </c>
      <c r="V2186" t="s">
        <v>9015</v>
      </c>
      <c r="W2186" s="1">
        <v>32039</v>
      </c>
      <c r="X2186" s="2">
        <v>32039</v>
      </c>
      <c r="Y2186" t="s">
        <v>9016</v>
      </c>
      <c r="Z2186">
        <v>0</v>
      </c>
      <c r="AA2186">
        <v>1</v>
      </c>
      <c r="AB2186">
        <v>0</v>
      </c>
      <c r="AC2186">
        <v>0</v>
      </c>
      <c r="AF2186">
        <v>1963</v>
      </c>
      <c r="AG2186">
        <v>1965</v>
      </c>
      <c r="AH2186">
        <v>3.8976736404261501</v>
      </c>
      <c r="AI2186">
        <v>1896.6666666666599</v>
      </c>
      <c r="AJ2186">
        <v>4.2964886784842804</v>
      </c>
      <c r="AK2186">
        <v>20.3666666666666</v>
      </c>
      <c r="AL2186">
        <v>0.76295113529050396</v>
      </c>
      <c r="AN2186">
        <v>10</v>
      </c>
      <c r="AO2186" t="b">
        <v>1</v>
      </c>
      <c r="AP2186" t="s">
        <v>8210</v>
      </c>
      <c r="AQ2186">
        <v>1945</v>
      </c>
      <c r="AR2186">
        <v>2016</v>
      </c>
      <c r="AS2186" t="s">
        <v>8935</v>
      </c>
      <c r="AT2186">
        <v>2.0479123887748099</v>
      </c>
      <c r="AU2186">
        <f t="shared" si="104"/>
        <v>6.0000000000000001E-3</v>
      </c>
    </row>
    <row r="2187" spans="1:47" x14ac:dyDescent="0.3">
      <c r="A2187">
        <v>2185</v>
      </c>
      <c r="B2187" t="s">
        <v>9031</v>
      </c>
      <c r="C2187" t="s">
        <v>9032</v>
      </c>
      <c r="D2187">
        <v>385</v>
      </c>
      <c r="E2187" t="s">
        <v>8914</v>
      </c>
      <c r="F2187" t="str">
        <f>VLOOKUP(E2187,country_continent!A:C,2,FALSE)</f>
        <v>Norway</v>
      </c>
      <c r="G2187" t="str">
        <f>VLOOKUP(E2187,country_continent!A:C,3,FALSE)</f>
        <v>Europe</v>
      </c>
      <c r="H2187" t="s">
        <v>9033</v>
      </c>
      <c r="I2187" s="1">
        <v>24027</v>
      </c>
      <c r="J2187" s="3">
        <f t="shared" si="102"/>
        <v>24027</v>
      </c>
      <c r="K2187" s="1">
        <v>26008</v>
      </c>
      <c r="L2187" s="3">
        <f t="shared" si="103"/>
        <v>26008</v>
      </c>
      <c r="M2187" t="s">
        <v>49</v>
      </c>
      <c r="N2187" t="s">
        <v>49</v>
      </c>
      <c r="O2187" t="s">
        <v>49</v>
      </c>
      <c r="P2187">
        <v>0</v>
      </c>
      <c r="Q2187" t="s">
        <v>50</v>
      </c>
      <c r="R2187" t="s">
        <v>51</v>
      </c>
      <c r="S2187">
        <v>1913</v>
      </c>
      <c r="T2187">
        <v>2005</v>
      </c>
      <c r="U2187" s="1">
        <v>4842</v>
      </c>
      <c r="V2187" s="2">
        <v>4842</v>
      </c>
      <c r="W2187" s="1">
        <v>38372</v>
      </c>
      <c r="X2187" s="2">
        <v>38372</v>
      </c>
      <c r="Y2187" t="s">
        <v>9034</v>
      </c>
      <c r="Z2187">
        <v>0</v>
      </c>
      <c r="AA2187">
        <v>1</v>
      </c>
      <c r="AB2187">
        <v>0</v>
      </c>
      <c r="AC2187">
        <v>0</v>
      </c>
      <c r="AF2187">
        <v>1965</v>
      </c>
      <c r="AG2187">
        <v>1971</v>
      </c>
      <c r="AH2187">
        <v>3.42906833290643</v>
      </c>
      <c r="AI2187">
        <v>2730</v>
      </c>
      <c r="AJ2187">
        <v>5.6562557716744601</v>
      </c>
      <c r="AK2187">
        <v>17.5857142857142</v>
      </c>
      <c r="AL2187">
        <v>0.78505474938873898</v>
      </c>
      <c r="AM2187">
        <v>0.435151667431462</v>
      </c>
      <c r="AN2187">
        <v>10</v>
      </c>
      <c r="AO2187" t="b">
        <v>1</v>
      </c>
      <c r="AP2187" t="s">
        <v>8210</v>
      </c>
      <c r="AQ2187">
        <v>1945</v>
      </c>
      <c r="AR2187">
        <v>2016</v>
      </c>
      <c r="AS2187" t="s">
        <v>9035</v>
      </c>
      <c r="AT2187">
        <v>5.4236824093086904</v>
      </c>
      <c r="AU2187">
        <f t="shared" si="104"/>
        <v>1.4999999999999999E-2</v>
      </c>
    </row>
    <row r="2188" spans="1:47" x14ac:dyDescent="0.3">
      <c r="A2188">
        <v>2186</v>
      </c>
      <c r="B2188" t="s">
        <v>9036</v>
      </c>
      <c r="C2188" t="s">
        <v>9037</v>
      </c>
      <c r="D2188">
        <v>385</v>
      </c>
      <c r="E2188" t="s">
        <v>8914</v>
      </c>
      <c r="F2188" t="str">
        <f>VLOOKUP(E2188,country_continent!A:C,2,FALSE)</f>
        <v>Norway</v>
      </c>
      <c r="G2188" t="str">
        <f>VLOOKUP(E2188,country_continent!A:C,3,FALSE)</f>
        <v>Europe</v>
      </c>
      <c r="H2188" t="s">
        <v>9038</v>
      </c>
      <c r="I2188" s="1">
        <v>26008</v>
      </c>
      <c r="J2188" s="3">
        <f t="shared" si="102"/>
        <v>26008</v>
      </c>
      <c r="K2188" s="1">
        <v>26589</v>
      </c>
      <c r="L2188" s="3">
        <f t="shared" si="103"/>
        <v>26589</v>
      </c>
      <c r="M2188" t="s">
        <v>49</v>
      </c>
      <c r="N2188" t="s">
        <v>49</v>
      </c>
      <c r="O2188" t="s">
        <v>49</v>
      </c>
      <c r="P2188">
        <v>0</v>
      </c>
      <c r="Q2188" t="s">
        <v>50</v>
      </c>
      <c r="R2188" t="s">
        <v>51</v>
      </c>
      <c r="S2188">
        <v>1910</v>
      </c>
      <c r="T2188">
        <v>1984</v>
      </c>
      <c r="U2188" s="1">
        <v>3664</v>
      </c>
      <c r="V2188" s="2">
        <v>3664</v>
      </c>
      <c r="W2188" s="1">
        <v>31006</v>
      </c>
      <c r="X2188" s="2">
        <v>31006</v>
      </c>
      <c r="Z2188">
        <v>0</v>
      </c>
      <c r="AA2188">
        <v>1</v>
      </c>
      <c r="AB2188">
        <v>0</v>
      </c>
      <c r="AC2188">
        <v>0</v>
      </c>
      <c r="AF2188">
        <v>1971</v>
      </c>
      <c r="AG2188">
        <v>1972</v>
      </c>
      <c r="AH2188">
        <v>4.7316138032897204</v>
      </c>
      <c r="AI2188">
        <v>3905</v>
      </c>
      <c r="AJ2188">
        <v>5.95030222872444</v>
      </c>
      <c r="AK2188">
        <v>15.3</v>
      </c>
      <c r="AL2188">
        <v>0.73304819181381298</v>
      </c>
      <c r="AM2188">
        <v>0.39624881525518502</v>
      </c>
      <c r="AN2188">
        <v>10</v>
      </c>
      <c r="AO2188" t="b">
        <v>1</v>
      </c>
      <c r="AP2188" t="s">
        <v>8210</v>
      </c>
      <c r="AQ2188">
        <v>1945</v>
      </c>
      <c r="AR2188">
        <v>2016</v>
      </c>
      <c r="AS2188" t="s">
        <v>9039</v>
      </c>
      <c r="AT2188">
        <v>1.5906913073237501</v>
      </c>
      <c r="AU2188">
        <f t="shared" si="104"/>
        <v>4.0000000000000001E-3</v>
      </c>
    </row>
    <row r="2189" spans="1:47" x14ac:dyDescent="0.3">
      <c r="A2189">
        <v>2187</v>
      </c>
      <c r="B2189" t="s">
        <v>9040</v>
      </c>
      <c r="C2189" t="s">
        <v>9041</v>
      </c>
      <c r="D2189">
        <v>385</v>
      </c>
      <c r="E2189" t="s">
        <v>8914</v>
      </c>
      <c r="F2189" t="str">
        <f>VLOOKUP(E2189,country_continent!A:C,2,FALSE)</f>
        <v>Norway</v>
      </c>
      <c r="G2189" t="str">
        <f>VLOOKUP(E2189,country_continent!A:C,3,FALSE)</f>
        <v>Europe</v>
      </c>
      <c r="H2189" t="s">
        <v>9042</v>
      </c>
      <c r="I2189" s="1">
        <v>26589</v>
      </c>
      <c r="J2189" s="3">
        <f t="shared" si="102"/>
        <v>26589</v>
      </c>
      <c r="K2189" s="1">
        <v>26952</v>
      </c>
      <c r="L2189" s="3">
        <f t="shared" si="103"/>
        <v>26952</v>
      </c>
      <c r="M2189" t="s">
        <v>49</v>
      </c>
      <c r="N2189" t="s">
        <v>49</v>
      </c>
      <c r="O2189" t="s">
        <v>49</v>
      </c>
      <c r="P2189">
        <v>0</v>
      </c>
      <c r="Q2189" t="s">
        <v>50</v>
      </c>
      <c r="R2189" t="s">
        <v>51</v>
      </c>
      <c r="S2189">
        <v>1916</v>
      </c>
      <c r="T2189">
        <v>2006</v>
      </c>
      <c r="U2189" s="1">
        <v>5964</v>
      </c>
      <c r="V2189" s="2">
        <v>5964</v>
      </c>
      <c r="Y2189" t="s">
        <v>9043</v>
      </c>
      <c r="Z2189">
        <v>0</v>
      </c>
      <c r="AA2189">
        <v>1</v>
      </c>
      <c r="AB2189">
        <v>0</v>
      </c>
      <c r="AC2189">
        <v>0</v>
      </c>
      <c r="AF2189">
        <v>1972</v>
      </c>
      <c r="AG2189">
        <v>1973</v>
      </c>
      <c r="AH2189">
        <v>4.1661891768070802</v>
      </c>
      <c r="AI2189">
        <v>4775</v>
      </c>
      <c r="AJ2189">
        <v>7.1010274043528199</v>
      </c>
      <c r="AK2189">
        <v>14.65</v>
      </c>
      <c r="AL2189">
        <v>0.73215391589280299</v>
      </c>
      <c r="AM2189">
        <v>0.47502780741344602</v>
      </c>
      <c r="AN2189">
        <v>10</v>
      </c>
      <c r="AO2189" t="b">
        <v>1</v>
      </c>
      <c r="AP2189" t="s">
        <v>8210</v>
      </c>
      <c r="AQ2189">
        <v>1945</v>
      </c>
      <c r="AR2189">
        <v>2016</v>
      </c>
      <c r="AS2189" t="s">
        <v>9044</v>
      </c>
      <c r="AT2189">
        <v>0.99383983572895196</v>
      </c>
      <c r="AU2189">
        <f t="shared" si="104"/>
        <v>3.0000000000000001E-3</v>
      </c>
    </row>
    <row r="2190" spans="1:47" x14ac:dyDescent="0.3">
      <c r="A2190">
        <v>2188</v>
      </c>
      <c r="B2190" t="s">
        <v>9045</v>
      </c>
      <c r="C2190" t="s">
        <v>9037</v>
      </c>
      <c r="D2190">
        <v>385</v>
      </c>
      <c r="E2190" t="s">
        <v>8914</v>
      </c>
      <c r="F2190" t="str">
        <f>VLOOKUP(E2190,country_continent!A:C,2,FALSE)</f>
        <v>Norway</v>
      </c>
      <c r="G2190" t="str">
        <f>VLOOKUP(E2190,country_continent!A:C,3,FALSE)</f>
        <v>Europe</v>
      </c>
      <c r="H2190" t="s">
        <v>9038</v>
      </c>
      <c r="I2190" s="1">
        <v>26952</v>
      </c>
      <c r="J2190" s="3">
        <f t="shared" si="102"/>
        <v>26952</v>
      </c>
      <c r="K2190" s="1">
        <v>27768</v>
      </c>
      <c r="L2190" s="3">
        <f t="shared" si="103"/>
        <v>27768</v>
      </c>
      <c r="M2190" t="s">
        <v>49</v>
      </c>
      <c r="N2190" t="s">
        <v>49</v>
      </c>
      <c r="O2190" t="s">
        <v>49</v>
      </c>
      <c r="P2190">
        <v>1</v>
      </c>
      <c r="Q2190" t="s">
        <v>50</v>
      </c>
      <c r="R2190" t="s">
        <v>51</v>
      </c>
      <c r="S2190">
        <v>1910</v>
      </c>
      <c r="T2190">
        <v>1984</v>
      </c>
      <c r="U2190" s="1">
        <v>3664</v>
      </c>
      <c r="V2190" s="2">
        <v>3664</v>
      </c>
      <c r="W2190" s="1">
        <v>31006</v>
      </c>
      <c r="X2190" s="2">
        <v>31006</v>
      </c>
      <c r="Z2190">
        <v>0</v>
      </c>
      <c r="AA2190">
        <v>1</v>
      </c>
      <c r="AB2190">
        <v>0</v>
      </c>
      <c r="AC2190">
        <v>0</v>
      </c>
      <c r="AF2190">
        <v>1973</v>
      </c>
      <c r="AG2190">
        <v>1976</v>
      </c>
      <c r="AH2190">
        <v>4.1971520126481803</v>
      </c>
      <c r="AI2190">
        <v>7400</v>
      </c>
      <c r="AJ2190">
        <v>9.1955840339399302</v>
      </c>
      <c r="AK2190">
        <v>13.25</v>
      </c>
      <c r="AL2190">
        <v>0.58518926538868399</v>
      </c>
      <c r="AM2190">
        <v>1.30209523051715</v>
      </c>
      <c r="AN2190">
        <v>10</v>
      </c>
      <c r="AO2190" t="b">
        <v>1</v>
      </c>
      <c r="AP2190" t="s">
        <v>8210</v>
      </c>
      <c r="AQ2190">
        <v>1945</v>
      </c>
      <c r="AR2190">
        <v>2016</v>
      </c>
      <c r="AS2190" t="s">
        <v>9046</v>
      </c>
      <c r="AT2190">
        <v>2.23408624229979</v>
      </c>
      <c r="AU2190">
        <f t="shared" si="104"/>
        <v>6.0000000000000001E-3</v>
      </c>
    </row>
    <row r="2191" spans="1:47" x14ac:dyDescent="0.3">
      <c r="A2191">
        <v>2189</v>
      </c>
      <c r="B2191" t="s">
        <v>9047</v>
      </c>
      <c r="C2191" t="s">
        <v>9048</v>
      </c>
      <c r="D2191">
        <v>385</v>
      </c>
      <c r="E2191" t="s">
        <v>8914</v>
      </c>
      <c r="F2191" t="str">
        <f>VLOOKUP(E2191,country_continent!A:C,2,FALSE)</f>
        <v>Norway</v>
      </c>
      <c r="G2191" t="str">
        <f>VLOOKUP(E2191,country_continent!A:C,3,FALSE)</f>
        <v>Europe</v>
      </c>
      <c r="H2191" t="s">
        <v>9049</v>
      </c>
      <c r="I2191" s="1">
        <v>27768</v>
      </c>
      <c r="J2191" s="3">
        <f t="shared" si="102"/>
        <v>27768</v>
      </c>
      <c r="K2191" s="1">
        <v>29621</v>
      </c>
      <c r="L2191" s="3">
        <f t="shared" si="103"/>
        <v>29621</v>
      </c>
      <c r="M2191" t="s">
        <v>49</v>
      </c>
      <c r="N2191" t="s">
        <v>228</v>
      </c>
      <c r="O2191" t="s">
        <v>49</v>
      </c>
      <c r="P2191">
        <v>0</v>
      </c>
      <c r="Q2191" t="s">
        <v>50</v>
      </c>
      <c r="R2191" t="s">
        <v>51</v>
      </c>
      <c r="S2191">
        <v>1927</v>
      </c>
      <c r="T2191">
        <v>-777</v>
      </c>
      <c r="U2191" s="1">
        <v>10169</v>
      </c>
      <c r="V2191" s="2">
        <v>10169</v>
      </c>
      <c r="Y2191" t="s">
        <v>9050</v>
      </c>
      <c r="Z2191">
        <v>0</v>
      </c>
      <c r="AA2191">
        <v>2.0999998999999998</v>
      </c>
      <c r="AB2191">
        <v>0</v>
      </c>
      <c r="AC2191">
        <v>0</v>
      </c>
      <c r="AF2191">
        <v>1976</v>
      </c>
      <c r="AG2191">
        <v>1981</v>
      </c>
      <c r="AH2191">
        <v>3.6702033360325199</v>
      </c>
      <c r="AI2191">
        <v>12565</v>
      </c>
      <c r="AJ2191">
        <v>8.9965085009526895</v>
      </c>
      <c r="AK2191">
        <v>10.8333333333333</v>
      </c>
      <c r="AL2191">
        <v>0.379889103947605</v>
      </c>
      <c r="AM2191">
        <v>4.3672217613923499</v>
      </c>
      <c r="AN2191">
        <v>10</v>
      </c>
      <c r="AO2191" t="b">
        <v>1</v>
      </c>
      <c r="AP2191" t="s">
        <v>8210</v>
      </c>
      <c r="AQ2191">
        <v>1945</v>
      </c>
      <c r="AR2191">
        <v>2016</v>
      </c>
      <c r="AS2191" t="s">
        <v>9051</v>
      </c>
      <c r="AT2191">
        <v>5.0732375085557804</v>
      </c>
      <c r="AU2191">
        <f t="shared" si="104"/>
        <v>1.4E-2</v>
      </c>
    </row>
    <row r="2192" spans="1:47" x14ac:dyDescent="0.3">
      <c r="A2192">
        <v>2190</v>
      </c>
      <c r="B2192" t="s">
        <v>9052</v>
      </c>
      <c r="C2192" t="s">
        <v>9053</v>
      </c>
      <c r="D2192">
        <v>385</v>
      </c>
      <c r="E2192" t="s">
        <v>8914</v>
      </c>
      <c r="F2192" t="str">
        <f>VLOOKUP(E2192,country_continent!A:C,2,FALSE)</f>
        <v>Norway</v>
      </c>
      <c r="G2192" t="str">
        <f>VLOOKUP(E2192,country_continent!A:C,3,FALSE)</f>
        <v>Europe</v>
      </c>
      <c r="H2192" t="s">
        <v>9054</v>
      </c>
      <c r="I2192" s="1">
        <v>29621</v>
      </c>
      <c r="J2192" s="3">
        <f t="shared" si="102"/>
        <v>29621</v>
      </c>
      <c r="K2192" s="1">
        <v>29873</v>
      </c>
      <c r="L2192" s="3">
        <f t="shared" si="103"/>
        <v>29873</v>
      </c>
      <c r="M2192" t="s">
        <v>49</v>
      </c>
      <c r="N2192" t="s">
        <v>49</v>
      </c>
      <c r="O2192" t="s">
        <v>49</v>
      </c>
      <c r="P2192">
        <v>0</v>
      </c>
      <c r="Q2192" t="s">
        <v>50</v>
      </c>
      <c r="R2192" t="s">
        <v>299</v>
      </c>
      <c r="S2192">
        <v>1939</v>
      </c>
      <c r="T2192">
        <v>-777</v>
      </c>
      <c r="U2192" s="1">
        <v>14355</v>
      </c>
      <c r="V2192" s="2">
        <v>14355</v>
      </c>
      <c r="Y2192" t="s">
        <v>9055</v>
      </c>
      <c r="Z2192">
        <v>0</v>
      </c>
      <c r="AA2192">
        <v>1</v>
      </c>
      <c r="AB2192">
        <v>0</v>
      </c>
      <c r="AC2192">
        <v>0</v>
      </c>
      <c r="AF2192">
        <v>1981</v>
      </c>
      <c r="AG2192">
        <v>1981</v>
      </c>
      <c r="AH2192">
        <v>1.24936544644714</v>
      </c>
      <c r="AI2192">
        <v>16410</v>
      </c>
      <c r="AJ2192">
        <v>12.8791468414287</v>
      </c>
      <c r="AK2192">
        <v>9.9</v>
      </c>
      <c r="AL2192">
        <v>0.344079656076061</v>
      </c>
      <c r="AM2192">
        <v>5.9006504020923902</v>
      </c>
      <c r="AN2192">
        <v>10</v>
      </c>
      <c r="AO2192" t="b">
        <v>1</v>
      </c>
      <c r="AP2192" t="s">
        <v>8210</v>
      </c>
      <c r="AQ2192">
        <v>1945</v>
      </c>
      <c r="AR2192">
        <v>2016</v>
      </c>
      <c r="AS2192" t="s">
        <v>9056</v>
      </c>
      <c r="AT2192">
        <v>0.68993839835728898</v>
      </c>
      <c r="AU2192">
        <f t="shared" si="104"/>
        <v>2E-3</v>
      </c>
    </row>
    <row r="2193" spans="1:47" x14ac:dyDescent="0.3">
      <c r="A2193">
        <v>2191</v>
      </c>
      <c r="B2193" t="s">
        <v>9057</v>
      </c>
      <c r="C2193" t="s">
        <v>9058</v>
      </c>
      <c r="D2193">
        <v>385</v>
      </c>
      <c r="E2193" t="s">
        <v>8914</v>
      </c>
      <c r="F2193" t="str">
        <f>VLOOKUP(E2193,country_continent!A:C,2,FALSE)</f>
        <v>Norway</v>
      </c>
      <c r="G2193" t="str">
        <f>VLOOKUP(E2193,country_continent!A:C,3,FALSE)</f>
        <v>Europe</v>
      </c>
      <c r="H2193" t="s">
        <v>9059</v>
      </c>
      <c r="I2193" s="1">
        <v>29873</v>
      </c>
      <c r="J2193" s="3">
        <f t="shared" si="102"/>
        <v>29873</v>
      </c>
      <c r="K2193" s="1">
        <v>31541</v>
      </c>
      <c r="L2193" s="3">
        <f t="shared" si="103"/>
        <v>31541</v>
      </c>
      <c r="M2193" t="s">
        <v>49</v>
      </c>
      <c r="N2193" t="s">
        <v>49</v>
      </c>
      <c r="O2193" t="s">
        <v>49</v>
      </c>
      <c r="P2193">
        <v>0</v>
      </c>
      <c r="Q2193" t="s">
        <v>50</v>
      </c>
      <c r="R2193" t="s">
        <v>51</v>
      </c>
      <c r="S2193">
        <v>1928</v>
      </c>
      <c r="T2193">
        <v>-777</v>
      </c>
      <c r="U2193" s="1">
        <v>10504</v>
      </c>
      <c r="V2193" s="2">
        <v>10504</v>
      </c>
      <c r="Y2193" t="s">
        <v>9060</v>
      </c>
      <c r="Z2193">
        <v>0</v>
      </c>
      <c r="AA2193">
        <v>1</v>
      </c>
      <c r="AB2193">
        <v>0</v>
      </c>
      <c r="AC2193">
        <v>0</v>
      </c>
      <c r="AF2193">
        <v>1981</v>
      </c>
      <c r="AG2193">
        <v>1986</v>
      </c>
      <c r="AH2193">
        <v>3.2349244350000901</v>
      </c>
      <c r="AI2193">
        <v>15915</v>
      </c>
      <c r="AJ2193">
        <v>6.8680771292734999</v>
      </c>
      <c r="AK2193">
        <v>10.050000000000001</v>
      </c>
      <c r="AL2193">
        <v>0.33013017424334601</v>
      </c>
      <c r="AM2193">
        <v>5.4695432907365804</v>
      </c>
      <c r="AN2193">
        <v>10</v>
      </c>
      <c r="AO2193" t="b">
        <v>1</v>
      </c>
      <c r="AP2193" t="s">
        <v>8210</v>
      </c>
      <c r="AQ2193">
        <v>1945</v>
      </c>
      <c r="AR2193">
        <v>2016</v>
      </c>
      <c r="AS2193" t="s">
        <v>9061</v>
      </c>
      <c r="AT2193">
        <v>4.5667351129363398</v>
      </c>
      <c r="AU2193">
        <f t="shared" si="104"/>
        <v>1.2999999999999999E-2</v>
      </c>
    </row>
    <row r="2194" spans="1:47" x14ac:dyDescent="0.3">
      <c r="A2194">
        <v>2192</v>
      </c>
      <c r="B2194" t="s">
        <v>9062</v>
      </c>
      <c r="C2194" t="s">
        <v>9053</v>
      </c>
      <c r="D2194">
        <v>385</v>
      </c>
      <c r="E2194" t="s">
        <v>8914</v>
      </c>
      <c r="F2194" t="str">
        <f>VLOOKUP(E2194,country_continent!A:C,2,FALSE)</f>
        <v>Norway</v>
      </c>
      <c r="G2194" t="str">
        <f>VLOOKUP(E2194,country_continent!A:C,3,FALSE)</f>
        <v>Europe</v>
      </c>
      <c r="H2194" t="s">
        <v>9054</v>
      </c>
      <c r="I2194" s="1">
        <v>31541</v>
      </c>
      <c r="J2194" s="3">
        <f t="shared" si="102"/>
        <v>31541</v>
      </c>
      <c r="K2194" s="1">
        <v>32797</v>
      </c>
      <c r="L2194" s="3">
        <f t="shared" si="103"/>
        <v>32797</v>
      </c>
      <c r="M2194" t="s">
        <v>49</v>
      </c>
      <c r="N2194" t="s">
        <v>49</v>
      </c>
      <c r="O2194" t="s">
        <v>49</v>
      </c>
      <c r="P2194">
        <v>1</v>
      </c>
      <c r="Q2194" t="s">
        <v>50</v>
      </c>
      <c r="R2194" t="s">
        <v>299</v>
      </c>
      <c r="S2194">
        <v>1939</v>
      </c>
      <c r="T2194">
        <v>-777</v>
      </c>
      <c r="U2194" s="1">
        <v>14355</v>
      </c>
      <c r="V2194" s="2">
        <v>14355</v>
      </c>
      <c r="Y2194" t="s">
        <v>9055</v>
      </c>
      <c r="Z2194">
        <v>0</v>
      </c>
      <c r="AA2194">
        <v>1</v>
      </c>
      <c r="AB2194">
        <v>0</v>
      </c>
      <c r="AC2194">
        <v>0</v>
      </c>
      <c r="AF2194">
        <v>1986</v>
      </c>
      <c r="AG2194">
        <v>1989</v>
      </c>
      <c r="AH2194">
        <v>1.1954507386982001</v>
      </c>
      <c r="AI2194">
        <v>21857.5</v>
      </c>
      <c r="AJ2194">
        <v>4.2877955984591303</v>
      </c>
      <c r="AK2194">
        <v>9.85</v>
      </c>
      <c r="AL2194">
        <v>0.44386712115215399</v>
      </c>
      <c r="AM2194">
        <v>4.1000232682703297</v>
      </c>
      <c r="AN2194">
        <v>10</v>
      </c>
      <c r="AO2194" t="b">
        <v>1</v>
      </c>
      <c r="AP2194" t="s">
        <v>8210</v>
      </c>
      <c r="AQ2194">
        <v>1945</v>
      </c>
      <c r="AR2194">
        <v>2016</v>
      </c>
      <c r="AS2194" t="s">
        <v>9063</v>
      </c>
      <c r="AT2194">
        <v>3.4387405886379101</v>
      </c>
      <c r="AU2194">
        <f t="shared" si="104"/>
        <v>8.9999999999999993E-3</v>
      </c>
    </row>
    <row r="2195" spans="1:47" x14ac:dyDescent="0.3">
      <c r="A2195">
        <v>2193</v>
      </c>
      <c r="B2195" t="s">
        <v>9064</v>
      </c>
      <c r="C2195" t="s">
        <v>9065</v>
      </c>
      <c r="D2195">
        <v>385</v>
      </c>
      <c r="E2195" t="s">
        <v>8914</v>
      </c>
      <c r="F2195" t="str">
        <f>VLOOKUP(E2195,country_continent!A:C,2,FALSE)</f>
        <v>Norway</v>
      </c>
      <c r="G2195" t="str">
        <f>VLOOKUP(E2195,country_continent!A:C,3,FALSE)</f>
        <v>Europe</v>
      </c>
      <c r="H2195" t="s">
        <v>9066</v>
      </c>
      <c r="I2195" s="1">
        <v>32797</v>
      </c>
      <c r="J2195" s="3">
        <f t="shared" si="102"/>
        <v>32797</v>
      </c>
      <c r="K2195" s="1">
        <v>33180</v>
      </c>
      <c r="L2195" s="3">
        <f t="shared" si="103"/>
        <v>33180</v>
      </c>
      <c r="M2195" t="s">
        <v>49</v>
      </c>
      <c r="N2195" t="s">
        <v>49</v>
      </c>
      <c r="O2195" t="s">
        <v>49</v>
      </c>
      <c r="P2195">
        <v>0</v>
      </c>
      <c r="Q2195" t="s">
        <v>50</v>
      </c>
      <c r="R2195" t="s">
        <v>51</v>
      </c>
      <c r="S2195">
        <v>1930</v>
      </c>
      <c r="T2195">
        <v>1997</v>
      </c>
      <c r="U2195" s="1">
        <v>11287</v>
      </c>
      <c r="V2195" s="2">
        <v>11287</v>
      </c>
      <c r="Y2195" t="s">
        <v>9067</v>
      </c>
      <c r="Z2195">
        <v>0</v>
      </c>
      <c r="AA2195">
        <v>1</v>
      </c>
      <c r="AB2195">
        <v>0</v>
      </c>
      <c r="AC2195">
        <v>0</v>
      </c>
      <c r="AF2195">
        <v>1989</v>
      </c>
      <c r="AG2195">
        <v>1990</v>
      </c>
      <c r="AH2195">
        <v>1.10205569928872</v>
      </c>
      <c r="AI2195">
        <v>25790</v>
      </c>
      <c r="AJ2195">
        <v>4.7119201029471496</v>
      </c>
      <c r="AK2195">
        <v>9</v>
      </c>
      <c r="AL2195">
        <v>0.37847947381041502</v>
      </c>
      <c r="AM2195">
        <v>7.1159292323460797</v>
      </c>
      <c r="AN2195">
        <v>10</v>
      </c>
      <c r="AO2195" t="b">
        <v>1</v>
      </c>
      <c r="AP2195" t="s">
        <v>8210</v>
      </c>
      <c r="AQ2195">
        <v>1945</v>
      </c>
      <c r="AR2195">
        <v>2016</v>
      </c>
      <c r="AS2195" t="s">
        <v>9068</v>
      </c>
      <c r="AT2195">
        <v>1.04859685147159</v>
      </c>
      <c r="AU2195">
        <f t="shared" si="104"/>
        <v>3.0000000000000001E-3</v>
      </c>
    </row>
    <row r="2196" spans="1:47" x14ac:dyDescent="0.3">
      <c r="A2196">
        <v>2194</v>
      </c>
      <c r="B2196" t="s">
        <v>9069</v>
      </c>
      <c r="C2196" t="s">
        <v>9053</v>
      </c>
      <c r="D2196">
        <v>385</v>
      </c>
      <c r="E2196" t="s">
        <v>8914</v>
      </c>
      <c r="F2196" t="str">
        <f>VLOOKUP(E2196,country_continent!A:C,2,FALSE)</f>
        <v>Norway</v>
      </c>
      <c r="G2196" t="str">
        <f>VLOOKUP(E2196,country_continent!A:C,3,FALSE)</f>
        <v>Europe</v>
      </c>
      <c r="H2196" t="s">
        <v>9054</v>
      </c>
      <c r="I2196" s="1">
        <v>33180</v>
      </c>
      <c r="J2196" s="3">
        <f t="shared" si="102"/>
        <v>33180</v>
      </c>
      <c r="K2196" s="1">
        <v>35363</v>
      </c>
      <c r="L2196" s="3">
        <f t="shared" si="103"/>
        <v>35363</v>
      </c>
      <c r="M2196" t="s">
        <v>49</v>
      </c>
      <c r="N2196" t="s">
        <v>49</v>
      </c>
      <c r="O2196" t="s">
        <v>49</v>
      </c>
      <c r="P2196">
        <v>2</v>
      </c>
      <c r="Q2196" t="s">
        <v>50</v>
      </c>
      <c r="R2196" t="s">
        <v>299</v>
      </c>
      <c r="S2196">
        <v>1939</v>
      </c>
      <c r="T2196">
        <v>-777</v>
      </c>
      <c r="U2196" s="1">
        <v>14355</v>
      </c>
      <c r="V2196" s="2">
        <v>14355</v>
      </c>
      <c r="Y2196" t="s">
        <v>9055</v>
      </c>
      <c r="Z2196">
        <v>0</v>
      </c>
      <c r="AA2196">
        <v>1</v>
      </c>
      <c r="AB2196">
        <v>0</v>
      </c>
      <c r="AC2196">
        <v>0</v>
      </c>
      <c r="AF2196">
        <v>1990</v>
      </c>
      <c r="AG2196">
        <v>1996</v>
      </c>
      <c r="AH2196">
        <v>3.1373920449823198</v>
      </c>
      <c r="AI2196">
        <v>30662.857142857101</v>
      </c>
      <c r="AJ2196">
        <v>2.1205001966416601</v>
      </c>
      <c r="AK2196">
        <v>6.8</v>
      </c>
      <c r="AL2196">
        <v>0.512637146641157</v>
      </c>
      <c r="AM2196">
        <v>6.0301440937292803</v>
      </c>
      <c r="AN2196">
        <v>10</v>
      </c>
      <c r="AO2196" t="b">
        <v>1</v>
      </c>
      <c r="AP2196" t="s">
        <v>8210</v>
      </c>
      <c r="AQ2196">
        <v>1945</v>
      </c>
      <c r="AR2196">
        <v>2016</v>
      </c>
      <c r="AS2196" t="s">
        <v>9070</v>
      </c>
      <c r="AT2196">
        <v>5.9767282683093699</v>
      </c>
      <c r="AU2196">
        <f t="shared" si="104"/>
        <v>1.6E-2</v>
      </c>
    </row>
    <row r="2197" spans="1:47" x14ac:dyDescent="0.3">
      <c r="A2197">
        <v>2195</v>
      </c>
      <c r="B2197" t="s">
        <v>9071</v>
      </c>
      <c r="C2197" t="s">
        <v>9072</v>
      </c>
      <c r="D2197">
        <v>385</v>
      </c>
      <c r="E2197" t="s">
        <v>8914</v>
      </c>
      <c r="F2197" t="str">
        <f>VLOOKUP(E2197,country_continent!A:C,2,FALSE)</f>
        <v>Norway</v>
      </c>
      <c r="G2197" t="str">
        <f>VLOOKUP(E2197,country_continent!A:C,3,FALSE)</f>
        <v>Europe</v>
      </c>
      <c r="H2197" t="s">
        <v>9073</v>
      </c>
      <c r="I2197" s="1">
        <v>35363</v>
      </c>
      <c r="J2197" s="3">
        <f t="shared" si="102"/>
        <v>35363</v>
      </c>
      <c r="K2197" s="1">
        <v>35720</v>
      </c>
      <c r="L2197" s="3">
        <f t="shared" si="103"/>
        <v>35720</v>
      </c>
      <c r="M2197" t="s">
        <v>49</v>
      </c>
      <c r="N2197" t="s">
        <v>49</v>
      </c>
      <c r="O2197" t="s">
        <v>49</v>
      </c>
      <c r="P2197">
        <v>0</v>
      </c>
      <c r="Q2197" t="s">
        <v>50</v>
      </c>
      <c r="R2197" t="s">
        <v>51</v>
      </c>
      <c r="S2197">
        <v>1950</v>
      </c>
      <c r="T2197">
        <v>-777</v>
      </c>
      <c r="U2197" s="1">
        <v>18572</v>
      </c>
      <c r="V2197" s="2">
        <v>18572</v>
      </c>
      <c r="Y2197" t="s">
        <v>9074</v>
      </c>
      <c r="Z2197">
        <v>0</v>
      </c>
      <c r="AA2197">
        <v>1</v>
      </c>
      <c r="AB2197">
        <v>0</v>
      </c>
      <c r="AC2197">
        <v>0</v>
      </c>
      <c r="AF2197">
        <v>1996</v>
      </c>
      <c r="AG2197">
        <v>1997</v>
      </c>
      <c r="AH2197">
        <v>4.60608508416228</v>
      </c>
      <c r="AI2197">
        <v>36850</v>
      </c>
      <c r="AJ2197">
        <v>3.5236285560256499</v>
      </c>
      <c r="AK2197">
        <v>5.3</v>
      </c>
      <c r="AL2197">
        <v>0.52455080939572296</v>
      </c>
      <c r="AM2197">
        <v>7.3636639602404301</v>
      </c>
      <c r="AN2197">
        <v>10</v>
      </c>
      <c r="AO2197" t="b">
        <v>1</v>
      </c>
      <c r="AP2197" t="s">
        <v>8210</v>
      </c>
      <c r="AQ2197">
        <v>1945</v>
      </c>
      <c r="AR2197">
        <v>2016</v>
      </c>
      <c r="AS2197" t="s">
        <v>9075</v>
      </c>
      <c r="AT2197">
        <v>0.97741273100616</v>
      </c>
      <c r="AU2197">
        <f t="shared" si="104"/>
        <v>3.0000000000000001E-3</v>
      </c>
    </row>
    <row r="2198" spans="1:47" x14ac:dyDescent="0.3">
      <c r="A2198">
        <v>2196</v>
      </c>
      <c r="B2198" t="s">
        <v>9076</v>
      </c>
      <c r="C2198" t="s">
        <v>9077</v>
      </c>
      <c r="D2198">
        <v>385</v>
      </c>
      <c r="E2198" t="s">
        <v>8914</v>
      </c>
      <c r="F2198" t="str">
        <f>VLOOKUP(E2198,country_continent!A:C,2,FALSE)</f>
        <v>Norway</v>
      </c>
      <c r="G2198" t="str">
        <f>VLOOKUP(E2198,country_continent!A:C,3,FALSE)</f>
        <v>Europe</v>
      </c>
      <c r="H2198" t="s">
        <v>9078</v>
      </c>
      <c r="I2198" s="1">
        <v>35720</v>
      </c>
      <c r="J2198" s="3">
        <f t="shared" si="102"/>
        <v>35720</v>
      </c>
      <c r="K2198" s="1">
        <v>36037</v>
      </c>
      <c r="L2198" s="3">
        <f t="shared" si="103"/>
        <v>36037</v>
      </c>
      <c r="M2198" t="s">
        <v>49</v>
      </c>
      <c r="N2198" t="s">
        <v>49</v>
      </c>
      <c r="O2198" t="s">
        <v>49</v>
      </c>
      <c r="P2198">
        <v>0</v>
      </c>
      <c r="Q2198" t="s">
        <v>50</v>
      </c>
      <c r="R2198" t="s">
        <v>51</v>
      </c>
      <c r="S2198">
        <v>1947</v>
      </c>
      <c r="T2198">
        <v>-777</v>
      </c>
      <c r="U2198" s="1">
        <v>17413</v>
      </c>
      <c r="V2198" s="2">
        <v>17413</v>
      </c>
      <c r="Y2198" t="s">
        <v>9079</v>
      </c>
      <c r="Z2198">
        <v>0</v>
      </c>
      <c r="AA2198">
        <v>1</v>
      </c>
      <c r="AB2198">
        <v>0</v>
      </c>
      <c r="AC2198">
        <v>0</v>
      </c>
      <c r="AF2198">
        <v>1997</v>
      </c>
      <c r="AG2198">
        <v>1998</v>
      </c>
      <c r="AH2198">
        <v>3.3872401408655199</v>
      </c>
      <c r="AI2198">
        <v>37010</v>
      </c>
      <c r="AJ2198">
        <v>1.0465592067231999</v>
      </c>
      <c r="AK2198">
        <v>5.15</v>
      </c>
      <c r="AL2198">
        <v>0.56881513968798103</v>
      </c>
      <c r="AM2198">
        <v>4.3442871634203701</v>
      </c>
      <c r="AN2198">
        <v>10</v>
      </c>
      <c r="AO2198" t="b">
        <v>1</v>
      </c>
      <c r="AP2198" t="s">
        <v>8210</v>
      </c>
      <c r="AQ2198">
        <v>1945</v>
      </c>
      <c r="AR2198">
        <v>2016</v>
      </c>
      <c r="AS2198" t="s">
        <v>9080</v>
      </c>
      <c r="AT2198">
        <v>0.86789869952087595</v>
      </c>
      <c r="AU2198">
        <f t="shared" si="104"/>
        <v>2E-3</v>
      </c>
    </row>
    <row r="2199" spans="1:47" x14ac:dyDescent="0.3">
      <c r="A2199">
        <v>2197</v>
      </c>
      <c r="B2199" t="s">
        <v>9081</v>
      </c>
      <c r="C2199" t="s">
        <v>9082</v>
      </c>
      <c r="D2199">
        <v>385</v>
      </c>
      <c r="E2199" t="s">
        <v>8914</v>
      </c>
      <c r="F2199" t="str">
        <f>VLOOKUP(E2199,country_continent!A:C,2,FALSE)</f>
        <v>Norway</v>
      </c>
      <c r="G2199" t="str">
        <f>VLOOKUP(E2199,country_continent!A:C,3,FALSE)</f>
        <v>Europe</v>
      </c>
      <c r="H2199" t="s">
        <v>9083</v>
      </c>
      <c r="I2199" s="1">
        <v>36037</v>
      </c>
      <c r="J2199" s="3">
        <f t="shared" si="102"/>
        <v>36037</v>
      </c>
      <c r="K2199" s="1">
        <v>36061</v>
      </c>
      <c r="L2199" s="3">
        <f t="shared" si="103"/>
        <v>36061</v>
      </c>
      <c r="M2199" t="s">
        <v>49</v>
      </c>
      <c r="N2199" t="s">
        <v>49</v>
      </c>
      <c r="O2199" t="s">
        <v>49</v>
      </c>
      <c r="P2199">
        <v>0</v>
      </c>
      <c r="Q2199" t="s">
        <v>50</v>
      </c>
      <c r="R2199" t="s">
        <v>51</v>
      </c>
      <c r="S2199">
        <v>1949</v>
      </c>
      <c r="T2199">
        <v>-777</v>
      </c>
      <c r="Z2199">
        <v>0</v>
      </c>
      <c r="AA2199">
        <v>1</v>
      </c>
      <c r="AB2199">
        <v>0</v>
      </c>
      <c r="AC2199">
        <v>0</v>
      </c>
      <c r="AF2199">
        <v>1998</v>
      </c>
      <c r="AG2199">
        <v>1998</v>
      </c>
      <c r="AH2199">
        <v>2.05920289540577</v>
      </c>
      <c r="AI2199">
        <v>36110</v>
      </c>
      <c r="AJ2199">
        <v>-0.69259226382524697</v>
      </c>
      <c r="AK2199">
        <v>5.0999999999999996</v>
      </c>
      <c r="AL2199">
        <v>0.59541034334665399</v>
      </c>
      <c r="AM2199">
        <v>2.00472943152768</v>
      </c>
      <c r="AN2199">
        <v>10</v>
      </c>
      <c r="AO2199" t="b">
        <v>1</v>
      </c>
      <c r="AP2199" t="s">
        <v>8210</v>
      </c>
      <c r="AQ2199">
        <v>1945</v>
      </c>
      <c r="AR2199">
        <v>2016</v>
      </c>
      <c r="AS2199" t="s">
        <v>9084</v>
      </c>
      <c r="AT2199">
        <v>6.5708418891170406E-2</v>
      </c>
      <c r="AU2199">
        <f t="shared" si="104"/>
        <v>0</v>
      </c>
    </row>
    <row r="2200" spans="1:47" x14ac:dyDescent="0.3">
      <c r="A2200">
        <v>2198</v>
      </c>
      <c r="B2200" t="s">
        <v>9085</v>
      </c>
      <c r="C2200" t="s">
        <v>9077</v>
      </c>
      <c r="D2200">
        <v>385</v>
      </c>
      <c r="E2200" t="s">
        <v>8914</v>
      </c>
      <c r="F2200" t="str">
        <f>VLOOKUP(E2200,country_continent!A:C,2,FALSE)</f>
        <v>Norway</v>
      </c>
      <c r="G2200" t="str">
        <f>VLOOKUP(E2200,country_continent!A:C,3,FALSE)</f>
        <v>Europe</v>
      </c>
      <c r="H2200" t="s">
        <v>9078</v>
      </c>
      <c r="I2200" s="1">
        <v>36062</v>
      </c>
      <c r="J2200" s="3">
        <f t="shared" si="102"/>
        <v>36062</v>
      </c>
      <c r="K2200" s="1">
        <v>36602</v>
      </c>
      <c r="L2200" s="3">
        <f t="shared" si="103"/>
        <v>36602</v>
      </c>
      <c r="M2200" t="s">
        <v>49</v>
      </c>
      <c r="N2200" t="s">
        <v>49</v>
      </c>
      <c r="O2200" t="s">
        <v>49</v>
      </c>
      <c r="P2200">
        <v>1</v>
      </c>
      <c r="Q2200" t="s">
        <v>50</v>
      </c>
      <c r="R2200" t="s">
        <v>51</v>
      </c>
      <c r="S2200">
        <v>1947</v>
      </c>
      <c r="T2200">
        <v>-777</v>
      </c>
      <c r="U2200" s="1">
        <v>17413</v>
      </c>
      <c r="V2200" s="2">
        <v>17413</v>
      </c>
      <c r="Y2200" t="s">
        <v>9079</v>
      </c>
      <c r="Z2200">
        <v>0</v>
      </c>
      <c r="AA2200">
        <v>1</v>
      </c>
      <c r="AB2200">
        <v>0</v>
      </c>
      <c r="AC2200">
        <v>0</v>
      </c>
      <c r="AF2200">
        <v>1998</v>
      </c>
      <c r="AG2200">
        <v>2000</v>
      </c>
      <c r="AH2200">
        <v>2.0284068776528601</v>
      </c>
      <c r="AI2200">
        <v>36093.333333333299</v>
      </c>
      <c r="AJ2200">
        <v>7.08791353457854</v>
      </c>
      <c r="AK2200">
        <v>5</v>
      </c>
      <c r="AL2200">
        <v>0.64307153265067196</v>
      </c>
      <c r="AM2200">
        <v>6.5587502893769498</v>
      </c>
      <c r="AN2200">
        <v>10</v>
      </c>
      <c r="AO2200" t="b">
        <v>1</v>
      </c>
      <c r="AP2200" t="s">
        <v>8210</v>
      </c>
      <c r="AQ2200">
        <v>1945</v>
      </c>
      <c r="AR2200">
        <v>2016</v>
      </c>
      <c r="AS2200" t="s">
        <v>9086</v>
      </c>
      <c r="AT2200">
        <v>1.47843942505133</v>
      </c>
      <c r="AU2200">
        <f t="shared" si="104"/>
        <v>4.0000000000000001E-3</v>
      </c>
    </row>
    <row r="2201" spans="1:47" x14ac:dyDescent="0.3">
      <c r="A2201">
        <v>2199</v>
      </c>
      <c r="B2201" t="s">
        <v>9087</v>
      </c>
      <c r="C2201" t="s">
        <v>9088</v>
      </c>
      <c r="D2201">
        <v>385</v>
      </c>
      <c r="E2201" t="s">
        <v>8914</v>
      </c>
      <c r="F2201" t="str">
        <f>VLOOKUP(E2201,country_continent!A:C,2,FALSE)</f>
        <v>Norway</v>
      </c>
      <c r="G2201" t="str">
        <f>VLOOKUP(E2201,country_continent!A:C,3,FALSE)</f>
        <v>Europe</v>
      </c>
      <c r="H2201" t="s">
        <v>9089</v>
      </c>
      <c r="I2201" s="1">
        <v>36602</v>
      </c>
      <c r="J2201" s="3">
        <f t="shared" si="102"/>
        <v>36602</v>
      </c>
      <c r="K2201" s="1">
        <v>37183</v>
      </c>
      <c r="L2201" s="3">
        <f t="shared" si="103"/>
        <v>37183</v>
      </c>
      <c r="M2201" t="s">
        <v>49</v>
      </c>
      <c r="N2201" t="s">
        <v>49</v>
      </c>
      <c r="O2201" t="s">
        <v>49</v>
      </c>
      <c r="P2201">
        <v>0</v>
      </c>
      <c r="Q2201" t="s">
        <v>50</v>
      </c>
      <c r="R2201" t="s">
        <v>51</v>
      </c>
      <c r="S2201">
        <v>1959</v>
      </c>
      <c r="T2201">
        <v>-777</v>
      </c>
      <c r="Z2201">
        <v>0</v>
      </c>
      <c r="AA2201">
        <v>1</v>
      </c>
      <c r="AB2201">
        <v>0</v>
      </c>
      <c r="AC2201">
        <v>0</v>
      </c>
      <c r="AF2201">
        <v>2000</v>
      </c>
      <c r="AG2201">
        <v>2001</v>
      </c>
      <c r="AH2201">
        <v>2.1012292479919501</v>
      </c>
      <c r="AI2201">
        <v>37440</v>
      </c>
      <c r="AJ2201">
        <v>8.52297510472307</v>
      </c>
      <c r="AK2201">
        <v>4.8</v>
      </c>
      <c r="AL2201">
        <v>0.57754586587495005</v>
      </c>
      <c r="AM2201">
        <v>11.080600523889</v>
      </c>
      <c r="AN2201">
        <v>10</v>
      </c>
      <c r="AO2201" t="b">
        <v>1</v>
      </c>
      <c r="AP2201" t="s">
        <v>8210</v>
      </c>
      <c r="AQ2201">
        <v>1945</v>
      </c>
      <c r="AR2201">
        <v>2016</v>
      </c>
      <c r="AS2201" t="s">
        <v>9039</v>
      </c>
      <c r="AT2201">
        <v>1.5906913073237501</v>
      </c>
      <c r="AU2201">
        <f t="shared" si="104"/>
        <v>4.0000000000000001E-3</v>
      </c>
    </row>
    <row r="2202" spans="1:47" x14ac:dyDescent="0.3">
      <c r="A2202">
        <v>2200</v>
      </c>
      <c r="B2202" t="s">
        <v>9090</v>
      </c>
      <c r="C2202" t="s">
        <v>9077</v>
      </c>
      <c r="D2202">
        <v>385</v>
      </c>
      <c r="E2202" t="s">
        <v>8914</v>
      </c>
      <c r="F2202" t="str">
        <f>VLOOKUP(E2202,country_continent!A:C,2,FALSE)</f>
        <v>Norway</v>
      </c>
      <c r="G2202" t="str">
        <f>VLOOKUP(E2202,country_continent!A:C,3,FALSE)</f>
        <v>Europe</v>
      </c>
      <c r="H2202" t="s">
        <v>9078</v>
      </c>
      <c r="I2202" s="1">
        <v>37183</v>
      </c>
      <c r="J2202" s="3">
        <f t="shared" si="102"/>
        <v>37183</v>
      </c>
      <c r="K2202" s="1">
        <v>38642</v>
      </c>
      <c r="L2202" s="3">
        <f t="shared" si="103"/>
        <v>38642</v>
      </c>
      <c r="M2202" t="s">
        <v>49</v>
      </c>
      <c r="N2202" t="s">
        <v>49</v>
      </c>
      <c r="O2202" t="s">
        <v>49</v>
      </c>
      <c r="P2202">
        <v>2</v>
      </c>
      <c r="Q2202" t="s">
        <v>50</v>
      </c>
      <c r="R2202" t="s">
        <v>51</v>
      </c>
      <c r="S2202">
        <v>1947</v>
      </c>
      <c r="T2202">
        <v>-777</v>
      </c>
      <c r="U2202" s="1">
        <v>17413</v>
      </c>
      <c r="V2202" s="2">
        <v>17413</v>
      </c>
      <c r="Y2202" t="s">
        <v>9079</v>
      </c>
      <c r="Z2202">
        <v>0</v>
      </c>
      <c r="AA2202">
        <v>1</v>
      </c>
      <c r="AB2202">
        <v>0</v>
      </c>
      <c r="AC2202">
        <v>0</v>
      </c>
      <c r="AF2202">
        <v>2001</v>
      </c>
      <c r="AG2202">
        <v>2005</v>
      </c>
      <c r="AH2202">
        <v>1.6257376730937101</v>
      </c>
      <c r="AI2202">
        <v>48276</v>
      </c>
      <c r="AJ2202">
        <v>3.5332933605891998</v>
      </c>
      <c r="AK2202">
        <v>4.4000000000000004</v>
      </c>
      <c r="AL2202">
        <v>0.58077486229444897</v>
      </c>
      <c r="AM2202">
        <v>9.4690402813905301</v>
      </c>
      <c r="AN2202">
        <v>10</v>
      </c>
      <c r="AO2202" t="b">
        <v>1</v>
      </c>
      <c r="AP2202" t="s">
        <v>8210</v>
      </c>
      <c r="AQ2202">
        <v>1945</v>
      </c>
      <c r="AR2202">
        <v>2016</v>
      </c>
      <c r="AS2202" t="s">
        <v>9091</v>
      </c>
      <c r="AT2202">
        <v>3.9945242984257301</v>
      </c>
      <c r="AU2202">
        <f t="shared" si="104"/>
        <v>1.0999999999999999E-2</v>
      </c>
    </row>
    <row r="2203" spans="1:47" x14ac:dyDescent="0.3">
      <c r="A2203">
        <v>2201</v>
      </c>
      <c r="B2203" t="s">
        <v>9092</v>
      </c>
      <c r="C2203" t="s">
        <v>9088</v>
      </c>
      <c r="D2203">
        <v>385</v>
      </c>
      <c r="E2203" t="s">
        <v>8914</v>
      </c>
      <c r="F2203" t="str">
        <f>VLOOKUP(E2203,country_continent!A:C,2,FALSE)</f>
        <v>Norway</v>
      </c>
      <c r="G2203" t="str">
        <f>VLOOKUP(E2203,country_continent!A:C,3,FALSE)</f>
        <v>Europe</v>
      </c>
      <c r="H2203" t="s">
        <v>9089</v>
      </c>
      <c r="I2203" s="1">
        <v>38642</v>
      </c>
      <c r="J2203" s="3">
        <f t="shared" si="102"/>
        <v>38642</v>
      </c>
      <c r="K2203" s="1">
        <v>41563</v>
      </c>
      <c r="L2203" s="3">
        <f t="shared" si="103"/>
        <v>41563</v>
      </c>
      <c r="M2203" t="s">
        <v>49</v>
      </c>
      <c r="N2203" t="s">
        <v>49</v>
      </c>
      <c r="O2203" t="s">
        <v>49</v>
      </c>
      <c r="P2203">
        <v>1</v>
      </c>
      <c r="Q2203" t="s">
        <v>50</v>
      </c>
      <c r="R2203" t="s">
        <v>51</v>
      </c>
      <c r="S2203">
        <v>1959</v>
      </c>
      <c r="T2203">
        <v>-777</v>
      </c>
      <c r="Z2203">
        <v>0</v>
      </c>
      <c r="AA2203">
        <v>1</v>
      </c>
      <c r="AB2203">
        <v>0</v>
      </c>
      <c r="AC2203">
        <v>0</v>
      </c>
      <c r="AF2203">
        <v>2005</v>
      </c>
      <c r="AG2203">
        <v>2013</v>
      </c>
      <c r="AH2203">
        <v>0.23024090039873399</v>
      </c>
      <c r="AI2203">
        <v>85946.666666666599</v>
      </c>
      <c r="AJ2203">
        <v>4.9508636616518302</v>
      </c>
      <c r="AK2203">
        <v>3.4444444444444402</v>
      </c>
      <c r="AL2203">
        <v>1.12156651906681</v>
      </c>
      <c r="AM2203">
        <v>9.6817617681807508</v>
      </c>
      <c r="AN2203">
        <v>10</v>
      </c>
      <c r="AO2203" t="b">
        <v>1</v>
      </c>
      <c r="AP2203" t="s">
        <v>8210</v>
      </c>
      <c r="AQ2203">
        <v>1945</v>
      </c>
      <c r="AR2203">
        <v>2016</v>
      </c>
      <c r="AS2203" t="s">
        <v>9093</v>
      </c>
      <c r="AT2203">
        <v>7.9972621492128599</v>
      </c>
      <c r="AU2203">
        <f t="shared" si="104"/>
        <v>2.1999999999999999E-2</v>
      </c>
    </row>
    <row r="2204" spans="1:47" x14ac:dyDescent="0.3">
      <c r="A2204">
        <v>2202</v>
      </c>
      <c r="B2204" t="s">
        <v>9094</v>
      </c>
      <c r="C2204" t="s">
        <v>9095</v>
      </c>
      <c r="D2204">
        <v>385</v>
      </c>
      <c r="E2204" t="s">
        <v>8914</v>
      </c>
      <c r="F2204" t="str">
        <f>VLOOKUP(E2204,country_continent!A:C,2,FALSE)</f>
        <v>Norway</v>
      </c>
      <c r="G2204" t="str">
        <f>VLOOKUP(E2204,country_continent!A:C,3,FALSE)</f>
        <v>Europe</v>
      </c>
      <c r="H2204" t="s">
        <v>9096</v>
      </c>
      <c r="I2204" s="1">
        <v>41563</v>
      </c>
      <c r="J2204" s="3">
        <f t="shared" si="102"/>
        <v>41563</v>
      </c>
      <c r="K2204" s="1">
        <v>42369</v>
      </c>
      <c r="L2204" s="3">
        <f t="shared" si="103"/>
        <v>42369</v>
      </c>
      <c r="M2204" t="s">
        <v>49</v>
      </c>
      <c r="N2204" t="s">
        <v>173</v>
      </c>
      <c r="O2204" t="s">
        <v>173</v>
      </c>
      <c r="P2204">
        <v>0</v>
      </c>
      <c r="Q2204" t="s">
        <v>174</v>
      </c>
      <c r="R2204" t="s">
        <v>299</v>
      </c>
      <c r="S2204">
        <v>1961</v>
      </c>
      <c r="T2204">
        <v>-777</v>
      </c>
      <c r="U2204" s="1">
        <v>22336</v>
      </c>
      <c r="V2204" s="2">
        <v>22336</v>
      </c>
      <c r="Z2204">
        <v>0</v>
      </c>
      <c r="AA2204">
        <v>-888</v>
      </c>
      <c r="AB2204">
        <v>-888</v>
      </c>
      <c r="AC2204">
        <v>-888</v>
      </c>
      <c r="AF2204">
        <v>2013</v>
      </c>
      <c r="AG2204">
        <v>2015</v>
      </c>
      <c r="AH2204">
        <v>0.51822618797223097</v>
      </c>
      <c r="AI2204">
        <v>101113.33333333299</v>
      </c>
      <c r="AJ2204">
        <v>2.3678773185906001E-3</v>
      </c>
      <c r="AK2204">
        <v>2.7999999999999901</v>
      </c>
      <c r="AL2204">
        <v>1.11065433453635</v>
      </c>
      <c r="AM2204">
        <v>6.9494653221334604</v>
      </c>
      <c r="AN2204">
        <v>10</v>
      </c>
      <c r="AO2204" t="b">
        <v>1</v>
      </c>
      <c r="AP2204" t="s">
        <v>8210</v>
      </c>
      <c r="AQ2204">
        <v>1945</v>
      </c>
      <c r="AR2204">
        <v>2016</v>
      </c>
      <c r="AS2204" t="s">
        <v>9097</v>
      </c>
      <c r="AT2204">
        <v>2.2067077344284698</v>
      </c>
      <c r="AU2204">
        <f t="shared" si="104"/>
        <v>6.0000000000000001E-3</v>
      </c>
    </row>
    <row r="2205" spans="1:47" x14ac:dyDescent="0.3">
      <c r="A2205">
        <v>2203</v>
      </c>
      <c r="B2205" t="s">
        <v>9098</v>
      </c>
      <c r="C2205" t="s">
        <v>9099</v>
      </c>
      <c r="D2205">
        <v>390</v>
      </c>
      <c r="E2205" t="s">
        <v>9100</v>
      </c>
      <c r="F2205" t="str">
        <f>VLOOKUP(E2205,country_continent!A:C,2,FALSE)</f>
        <v>Denmark</v>
      </c>
      <c r="G2205" t="str">
        <f>VLOOKUP(E2205,country_continent!A:C,3,FALSE)</f>
        <v>Europe</v>
      </c>
      <c r="H2205" t="s">
        <v>9101</v>
      </c>
      <c r="I2205" t="s">
        <v>9102</v>
      </c>
      <c r="J2205" s="3" t="str">
        <f t="shared" si="102"/>
        <v>1874/07/14</v>
      </c>
      <c r="K2205" t="s">
        <v>9103</v>
      </c>
      <c r="L2205" s="3" t="str">
        <f t="shared" si="103"/>
        <v>1875/06/11</v>
      </c>
      <c r="M2205" t="s">
        <v>49</v>
      </c>
      <c r="N2205" t="s">
        <v>49</v>
      </c>
      <c r="O2205" t="s">
        <v>49</v>
      </c>
      <c r="P2205">
        <v>0</v>
      </c>
      <c r="Q2205" t="s">
        <v>50</v>
      </c>
      <c r="R2205" t="s">
        <v>51</v>
      </c>
      <c r="S2205">
        <v>1817</v>
      </c>
      <c r="T2205">
        <v>1880</v>
      </c>
      <c r="U2205" t="s">
        <v>9104</v>
      </c>
      <c r="V2205" t="s">
        <v>9105</v>
      </c>
      <c r="Y2205" t="s">
        <v>9106</v>
      </c>
      <c r="Z2205">
        <v>0</v>
      </c>
      <c r="AA2205">
        <v>1</v>
      </c>
      <c r="AB2205">
        <v>0</v>
      </c>
      <c r="AC2205">
        <v>0</v>
      </c>
      <c r="AF2205">
        <v>1874</v>
      </c>
      <c r="AG2205">
        <v>1875</v>
      </c>
      <c r="AO2205" t="b">
        <v>1</v>
      </c>
      <c r="AP2205" t="s">
        <v>177</v>
      </c>
      <c r="AQ2205">
        <v>1945</v>
      </c>
      <c r="AR2205">
        <v>2016</v>
      </c>
      <c r="AS2205" t="s">
        <v>9107</v>
      </c>
      <c r="AT2205">
        <v>0.90896646132785697</v>
      </c>
      <c r="AU2205">
        <f t="shared" si="104"/>
        <v>2E-3</v>
      </c>
    </row>
    <row r="2206" spans="1:47" x14ac:dyDescent="0.3">
      <c r="A2206">
        <v>2204</v>
      </c>
      <c r="B2206" t="s">
        <v>9108</v>
      </c>
      <c r="C2206" t="s">
        <v>9109</v>
      </c>
      <c r="D2206">
        <v>390</v>
      </c>
      <c r="E2206" t="s">
        <v>9100</v>
      </c>
      <c r="F2206" t="str">
        <f>VLOOKUP(E2206,country_continent!A:C,2,FALSE)</f>
        <v>Denmark</v>
      </c>
      <c r="G2206" t="str">
        <f>VLOOKUP(E2206,country_continent!A:C,3,FALSE)</f>
        <v>Europe</v>
      </c>
      <c r="H2206" t="s">
        <v>9110</v>
      </c>
      <c r="I2206" t="s">
        <v>9103</v>
      </c>
      <c r="J2206" s="3" t="str">
        <f t="shared" si="102"/>
        <v>1875/06/11</v>
      </c>
      <c r="K2206" t="s">
        <v>9111</v>
      </c>
      <c r="L2206" s="3" t="str">
        <f t="shared" si="103"/>
        <v>1894/08/07</v>
      </c>
      <c r="M2206" t="s">
        <v>49</v>
      </c>
      <c r="N2206" t="s">
        <v>49</v>
      </c>
      <c r="O2206" t="s">
        <v>49</v>
      </c>
      <c r="P2206">
        <v>0</v>
      </c>
      <c r="Q2206" t="s">
        <v>50</v>
      </c>
      <c r="R2206" t="s">
        <v>51</v>
      </c>
      <c r="S2206">
        <v>1825</v>
      </c>
      <c r="T2206">
        <v>1913</v>
      </c>
      <c r="U2206" t="s">
        <v>9112</v>
      </c>
      <c r="V2206" t="s">
        <v>9113</v>
      </c>
      <c r="W2206" s="1">
        <v>5107</v>
      </c>
      <c r="X2206" s="2">
        <v>5107</v>
      </c>
      <c r="Y2206" t="s">
        <v>9114</v>
      </c>
      <c r="Z2206">
        <v>0</v>
      </c>
      <c r="AA2206">
        <v>1</v>
      </c>
      <c r="AB2206">
        <v>0</v>
      </c>
      <c r="AC2206">
        <v>0</v>
      </c>
      <c r="AF2206">
        <v>1875</v>
      </c>
      <c r="AG2206">
        <v>1894</v>
      </c>
      <c r="AO2206" t="b">
        <v>1</v>
      </c>
      <c r="AP2206" t="s">
        <v>177</v>
      </c>
      <c r="AQ2206">
        <v>1945</v>
      </c>
      <c r="AR2206">
        <v>2016</v>
      </c>
      <c r="AS2206" t="s">
        <v>9115</v>
      </c>
      <c r="AT2206">
        <v>19.156741957563298</v>
      </c>
      <c r="AU2206">
        <f t="shared" si="104"/>
        <v>5.1999999999999998E-2</v>
      </c>
    </row>
    <row r="2207" spans="1:47" x14ac:dyDescent="0.3">
      <c r="A2207">
        <v>2205</v>
      </c>
      <c r="B2207" t="s">
        <v>9116</v>
      </c>
      <c r="C2207" t="s">
        <v>9117</v>
      </c>
      <c r="D2207">
        <v>390</v>
      </c>
      <c r="E2207" t="s">
        <v>9100</v>
      </c>
      <c r="F2207" t="str">
        <f>VLOOKUP(E2207,country_continent!A:C,2,FALSE)</f>
        <v>Denmark</v>
      </c>
      <c r="G2207" t="str">
        <f>VLOOKUP(E2207,country_continent!A:C,3,FALSE)</f>
        <v>Europe</v>
      </c>
      <c r="H2207" t="s">
        <v>9118</v>
      </c>
      <c r="I2207" t="s">
        <v>9111</v>
      </c>
      <c r="J2207" s="3" t="str">
        <f t="shared" si="102"/>
        <v>1894/08/07</v>
      </c>
      <c r="K2207" t="s">
        <v>9119</v>
      </c>
      <c r="L2207" s="3" t="str">
        <f t="shared" si="103"/>
        <v>1897/05/23</v>
      </c>
      <c r="M2207" t="s">
        <v>49</v>
      </c>
      <c r="N2207" t="s">
        <v>49</v>
      </c>
      <c r="O2207" t="s">
        <v>49</v>
      </c>
      <c r="P2207">
        <v>0</v>
      </c>
      <c r="Q2207" t="s">
        <v>50</v>
      </c>
      <c r="R2207" t="s">
        <v>51</v>
      </c>
      <c r="S2207">
        <v>1839</v>
      </c>
      <c r="T2207">
        <v>1923</v>
      </c>
      <c r="Y2207" t="s">
        <v>9120</v>
      </c>
      <c r="Z2207">
        <v>0</v>
      </c>
      <c r="AA2207">
        <v>1</v>
      </c>
      <c r="AB2207">
        <v>0</v>
      </c>
      <c r="AC2207">
        <v>0</v>
      </c>
      <c r="AF2207">
        <v>1894</v>
      </c>
      <c r="AG2207">
        <v>1897</v>
      </c>
      <c r="AO2207" t="b">
        <v>1</v>
      </c>
      <c r="AP2207" t="s">
        <v>177</v>
      </c>
      <c r="AQ2207">
        <v>1945</v>
      </c>
      <c r="AR2207">
        <v>2016</v>
      </c>
      <c r="AS2207" t="s">
        <v>9121</v>
      </c>
      <c r="AT2207">
        <v>2.7926078028747399</v>
      </c>
      <c r="AU2207">
        <f t="shared" si="104"/>
        <v>8.0000000000000002E-3</v>
      </c>
    </row>
    <row r="2208" spans="1:47" x14ac:dyDescent="0.3">
      <c r="A2208">
        <v>2206</v>
      </c>
      <c r="B2208" t="s">
        <v>9122</v>
      </c>
      <c r="C2208" t="s">
        <v>9123</v>
      </c>
      <c r="D2208">
        <v>390</v>
      </c>
      <c r="E2208" t="s">
        <v>9100</v>
      </c>
      <c r="F2208" t="str">
        <f>VLOOKUP(E2208,country_continent!A:C,2,FALSE)</f>
        <v>Denmark</v>
      </c>
      <c r="G2208" t="str">
        <f>VLOOKUP(E2208,country_continent!A:C,3,FALSE)</f>
        <v>Europe</v>
      </c>
      <c r="H2208" t="s">
        <v>9124</v>
      </c>
      <c r="I2208" t="s">
        <v>9119</v>
      </c>
      <c r="J2208" s="3" t="str">
        <f t="shared" si="102"/>
        <v>1897/05/23</v>
      </c>
      <c r="K2208" s="1">
        <v>115</v>
      </c>
      <c r="L2208" s="3">
        <f t="shared" si="103"/>
        <v>115</v>
      </c>
      <c r="M2208" t="s">
        <v>49</v>
      </c>
      <c r="N2208" t="s">
        <v>49</v>
      </c>
      <c r="O2208" t="s">
        <v>49</v>
      </c>
      <c r="P2208">
        <v>0</v>
      </c>
      <c r="Q2208" t="s">
        <v>50</v>
      </c>
      <c r="R2208" t="s">
        <v>51</v>
      </c>
      <c r="S2208">
        <v>1842</v>
      </c>
      <c r="T2208">
        <v>1909</v>
      </c>
      <c r="U2208" t="s">
        <v>9125</v>
      </c>
      <c r="V2208" t="s">
        <v>9126</v>
      </c>
      <c r="Y2208" t="s">
        <v>9127</v>
      </c>
      <c r="Z2208">
        <v>0</v>
      </c>
      <c r="AA2208">
        <v>1</v>
      </c>
      <c r="AB2208">
        <v>0</v>
      </c>
      <c r="AC2208">
        <v>0</v>
      </c>
      <c r="AF2208">
        <v>1897</v>
      </c>
      <c r="AG2208">
        <v>1900</v>
      </c>
      <c r="AO2208" t="b">
        <v>1</v>
      </c>
      <c r="AP2208" t="s">
        <v>177</v>
      </c>
      <c r="AQ2208">
        <v>1945</v>
      </c>
      <c r="AR2208">
        <v>2016</v>
      </c>
      <c r="AS2208" t="s">
        <v>9128</v>
      </c>
      <c r="AT2208">
        <v>2.9185489390828199</v>
      </c>
      <c r="AU2208">
        <f t="shared" si="104"/>
        <v>8.0000000000000002E-3</v>
      </c>
    </row>
    <row r="2209" spans="1:47" x14ac:dyDescent="0.3">
      <c r="A2209">
        <v>2207</v>
      </c>
      <c r="B2209" t="s">
        <v>9129</v>
      </c>
      <c r="C2209" t="s">
        <v>9130</v>
      </c>
      <c r="D2209">
        <v>390</v>
      </c>
      <c r="E2209" t="s">
        <v>9100</v>
      </c>
      <c r="F2209" t="str">
        <f>VLOOKUP(E2209,country_continent!A:C,2,FALSE)</f>
        <v>Denmark</v>
      </c>
      <c r="G2209" t="str">
        <f>VLOOKUP(E2209,country_continent!A:C,3,FALSE)</f>
        <v>Europe</v>
      </c>
      <c r="H2209" t="s">
        <v>9131</v>
      </c>
      <c r="I2209" s="1">
        <v>115</v>
      </c>
      <c r="J2209" s="3">
        <f t="shared" si="102"/>
        <v>115</v>
      </c>
      <c r="K2209" s="1">
        <v>571</v>
      </c>
      <c r="L2209" s="3">
        <f t="shared" si="103"/>
        <v>571</v>
      </c>
      <c r="M2209" t="s">
        <v>49</v>
      </c>
      <c r="N2209" t="s">
        <v>49</v>
      </c>
      <c r="O2209" t="s">
        <v>49</v>
      </c>
      <c r="P2209">
        <v>0</v>
      </c>
      <c r="Q2209" t="s">
        <v>50</v>
      </c>
      <c r="R2209" t="s">
        <v>51</v>
      </c>
      <c r="S2209">
        <v>1842</v>
      </c>
      <c r="T2209">
        <v>1924</v>
      </c>
      <c r="U2209" t="s">
        <v>9132</v>
      </c>
      <c r="V2209" t="s">
        <v>9133</v>
      </c>
      <c r="Z2209">
        <v>0</v>
      </c>
      <c r="AA2209">
        <v>1</v>
      </c>
      <c r="AB2209">
        <v>0</v>
      </c>
      <c r="AC2209">
        <v>0</v>
      </c>
      <c r="AF2209">
        <v>1900</v>
      </c>
      <c r="AG2209">
        <v>1901</v>
      </c>
      <c r="AO2209" t="b">
        <v>1</v>
      </c>
      <c r="AP2209" t="s">
        <v>177</v>
      </c>
      <c r="AQ2209">
        <v>1945</v>
      </c>
      <c r="AR2209">
        <v>2016</v>
      </c>
      <c r="AS2209" t="s">
        <v>9134</v>
      </c>
      <c r="AT2209">
        <v>1.2484599589322301</v>
      </c>
      <c r="AU2209">
        <f t="shared" si="104"/>
        <v>3.0000000000000001E-3</v>
      </c>
    </row>
    <row r="2210" spans="1:47" x14ac:dyDescent="0.3">
      <c r="A2210">
        <v>2208</v>
      </c>
      <c r="B2210" t="s">
        <v>9135</v>
      </c>
      <c r="C2210" t="s">
        <v>9136</v>
      </c>
      <c r="D2210">
        <v>390</v>
      </c>
      <c r="E2210" t="s">
        <v>9100</v>
      </c>
      <c r="F2210" t="str">
        <f>VLOOKUP(E2210,country_continent!A:C,2,FALSE)</f>
        <v>Denmark</v>
      </c>
      <c r="G2210" t="str">
        <f>VLOOKUP(E2210,country_continent!A:C,3,FALSE)</f>
        <v>Europe</v>
      </c>
      <c r="H2210" t="s">
        <v>9137</v>
      </c>
      <c r="I2210" s="1">
        <v>571</v>
      </c>
      <c r="J2210" s="3">
        <f t="shared" si="102"/>
        <v>571</v>
      </c>
      <c r="K2210" s="1">
        <v>1841</v>
      </c>
      <c r="L2210" s="3">
        <f t="shared" si="103"/>
        <v>1841</v>
      </c>
      <c r="M2210" t="s">
        <v>49</v>
      </c>
      <c r="N2210" t="s">
        <v>49</v>
      </c>
      <c r="O2210" t="s">
        <v>49</v>
      </c>
      <c r="P2210">
        <v>0</v>
      </c>
      <c r="Q2210" t="s">
        <v>50</v>
      </c>
      <c r="R2210" t="s">
        <v>51</v>
      </c>
      <c r="S2210">
        <v>1845</v>
      </c>
      <c r="T2210">
        <v>1918</v>
      </c>
      <c r="U2210" t="s">
        <v>9138</v>
      </c>
      <c r="V2210" t="s">
        <v>9139</v>
      </c>
      <c r="Y2210" t="s">
        <v>9140</v>
      </c>
      <c r="Z2210">
        <v>0</v>
      </c>
      <c r="AA2210">
        <v>1</v>
      </c>
      <c r="AB2210">
        <v>0</v>
      </c>
      <c r="AC2210">
        <v>0</v>
      </c>
      <c r="AF2210">
        <v>1901</v>
      </c>
      <c r="AG2210">
        <v>1905</v>
      </c>
      <c r="AO2210" t="b">
        <v>1</v>
      </c>
      <c r="AP2210" t="s">
        <v>177</v>
      </c>
      <c r="AQ2210">
        <v>1945</v>
      </c>
      <c r="AR2210">
        <v>2016</v>
      </c>
      <c r="AS2210" t="s">
        <v>9141</v>
      </c>
      <c r="AT2210">
        <v>3.4770704996577599</v>
      </c>
      <c r="AU2210">
        <f t="shared" si="104"/>
        <v>0.01</v>
      </c>
    </row>
    <row r="2211" spans="1:47" x14ac:dyDescent="0.3">
      <c r="A2211">
        <v>2209</v>
      </c>
      <c r="B2211" t="s">
        <v>9142</v>
      </c>
      <c r="C2211" t="s">
        <v>9143</v>
      </c>
      <c r="D2211">
        <v>390</v>
      </c>
      <c r="E2211" t="s">
        <v>9100</v>
      </c>
      <c r="F2211" t="str">
        <f>VLOOKUP(E2211,country_continent!A:C,2,FALSE)</f>
        <v>Denmark</v>
      </c>
      <c r="G2211" t="str">
        <f>VLOOKUP(E2211,country_continent!A:C,3,FALSE)</f>
        <v>Europe</v>
      </c>
      <c r="H2211" t="s">
        <v>9144</v>
      </c>
      <c r="I2211" s="1">
        <v>1841</v>
      </c>
      <c r="J2211" s="3">
        <f t="shared" si="102"/>
        <v>1841</v>
      </c>
      <c r="K2211" s="1">
        <v>3208</v>
      </c>
      <c r="L2211" s="3">
        <f t="shared" si="103"/>
        <v>3208</v>
      </c>
      <c r="M2211" t="s">
        <v>49</v>
      </c>
      <c r="N2211" t="s">
        <v>49</v>
      </c>
      <c r="O2211" t="s">
        <v>49</v>
      </c>
      <c r="P2211">
        <v>0</v>
      </c>
      <c r="Q2211" t="s">
        <v>50</v>
      </c>
      <c r="R2211" t="s">
        <v>51</v>
      </c>
      <c r="S2211">
        <v>1856</v>
      </c>
      <c r="T2211">
        <v>1930</v>
      </c>
      <c r="U2211" t="s">
        <v>9145</v>
      </c>
      <c r="V2211" t="s">
        <v>9146</v>
      </c>
      <c r="Y2211" t="s">
        <v>9147</v>
      </c>
      <c r="Z2211">
        <v>0</v>
      </c>
      <c r="AA2211">
        <v>1</v>
      </c>
      <c r="AB2211">
        <v>0</v>
      </c>
      <c r="AC2211">
        <v>0</v>
      </c>
      <c r="AF2211">
        <v>1905</v>
      </c>
      <c r="AG2211">
        <v>1908</v>
      </c>
      <c r="AO2211" t="b">
        <v>1</v>
      </c>
      <c r="AP2211" t="s">
        <v>177</v>
      </c>
      <c r="AQ2211">
        <v>1945</v>
      </c>
      <c r="AR2211">
        <v>2016</v>
      </c>
      <c r="AS2211" t="s">
        <v>9148</v>
      </c>
      <c r="AT2211">
        <v>3.7426420260095798</v>
      </c>
      <c r="AU2211">
        <f t="shared" si="104"/>
        <v>0.01</v>
      </c>
    </row>
    <row r="2212" spans="1:47" x14ac:dyDescent="0.3">
      <c r="A2212">
        <v>2210</v>
      </c>
      <c r="B2212" t="s">
        <v>9149</v>
      </c>
      <c r="C2212" t="s">
        <v>9150</v>
      </c>
      <c r="D2212">
        <v>390</v>
      </c>
      <c r="E2212" t="s">
        <v>9100</v>
      </c>
      <c r="F2212" t="str">
        <f>VLOOKUP(E2212,country_continent!A:C,2,FALSE)</f>
        <v>Denmark</v>
      </c>
      <c r="G2212" t="str">
        <f>VLOOKUP(E2212,country_continent!A:C,3,FALSE)</f>
        <v>Europe</v>
      </c>
      <c r="H2212" t="s">
        <v>9151</v>
      </c>
      <c r="I2212" s="1">
        <v>3208</v>
      </c>
      <c r="J2212" s="3">
        <f t="shared" si="102"/>
        <v>3208</v>
      </c>
      <c r="K2212" s="1">
        <v>3516</v>
      </c>
      <c r="L2212" s="3">
        <f t="shared" si="103"/>
        <v>3516</v>
      </c>
      <c r="M2212" t="s">
        <v>49</v>
      </c>
      <c r="N2212" t="s">
        <v>49</v>
      </c>
      <c r="O2212" t="s">
        <v>49</v>
      </c>
      <c r="P2212">
        <v>0</v>
      </c>
      <c r="Q2212" t="s">
        <v>50</v>
      </c>
      <c r="R2212" t="s">
        <v>51</v>
      </c>
      <c r="S2212">
        <v>1854</v>
      </c>
      <c r="T2212">
        <v>1936</v>
      </c>
      <c r="U2212" t="s">
        <v>9152</v>
      </c>
      <c r="V2212" t="s">
        <v>9153</v>
      </c>
      <c r="Y2212" t="s">
        <v>9154</v>
      </c>
      <c r="Z2212">
        <v>0</v>
      </c>
      <c r="AA2212">
        <v>1</v>
      </c>
      <c r="AB2212">
        <v>0</v>
      </c>
      <c r="AC2212">
        <v>0</v>
      </c>
      <c r="AF2212">
        <v>1908</v>
      </c>
      <c r="AG2212">
        <v>1909</v>
      </c>
      <c r="AO2212" t="b">
        <v>1</v>
      </c>
      <c r="AP2212" t="s">
        <v>177</v>
      </c>
      <c r="AQ2212">
        <v>1945</v>
      </c>
      <c r="AR2212">
        <v>2016</v>
      </c>
      <c r="AS2212" t="s">
        <v>9155</v>
      </c>
      <c r="AT2212">
        <v>0.84325804243668701</v>
      </c>
      <c r="AU2212">
        <f t="shared" si="104"/>
        <v>2E-3</v>
      </c>
    </row>
    <row r="2213" spans="1:47" x14ac:dyDescent="0.3">
      <c r="A2213">
        <v>2211</v>
      </c>
      <c r="B2213" t="s">
        <v>9156</v>
      </c>
      <c r="C2213" t="s">
        <v>9157</v>
      </c>
      <c r="D2213">
        <v>390</v>
      </c>
      <c r="E2213" t="s">
        <v>9100</v>
      </c>
      <c r="F2213" t="str">
        <f>VLOOKUP(E2213,country_continent!A:C,2,FALSE)</f>
        <v>Denmark</v>
      </c>
      <c r="G2213" t="str">
        <f>VLOOKUP(E2213,country_continent!A:C,3,FALSE)</f>
        <v>Europe</v>
      </c>
      <c r="H2213" t="s">
        <v>9158</v>
      </c>
      <c r="I2213" s="1">
        <v>3516</v>
      </c>
      <c r="J2213" s="3">
        <f t="shared" si="102"/>
        <v>3516</v>
      </c>
      <c r="K2213" s="1">
        <v>3589</v>
      </c>
      <c r="L2213" s="3">
        <f t="shared" si="103"/>
        <v>3589</v>
      </c>
      <c r="M2213" t="s">
        <v>49</v>
      </c>
      <c r="N2213" t="s">
        <v>49</v>
      </c>
      <c r="O2213" t="s">
        <v>49</v>
      </c>
      <c r="P2213">
        <v>0</v>
      </c>
      <c r="Q2213" t="s">
        <v>50</v>
      </c>
      <c r="R2213" t="s">
        <v>51</v>
      </c>
      <c r="S2213">
        <v>1839</v>
      </c>
      <c r="T2213">
        <v>1912</v>
      </c>
      <c r="U2213" t="s">
        <v>9159</v>
      </c>
      <c r="V2213" t="s">
        <v>9160</v>
      </c>
      <c r="Y2213" t="s">
        <v>9161</v>
      </c>
      <c r="Z2213">
        <v>0</v>
      </c>
      <c r="AA2213">
        <v>1</v>
      </c>
      <c r="AB2213">
        <v>0</v>
      </c>
      <c r="AC2213">
        <v>0</v>
      </c>
      <c r="AF2213">
        <v>1909</v>
      </c>
      <c r="AG2213">
        <v>1909</v>
      </c>
      <c r="AO2213" t="b">
        <v>1</v>
      </c>
      <c r="AP2213" t="s">
        <v>177</v>
      </c>
      <c r="AQ2213">
        <v>1945</v>
      </c>
      <c r="AR2213">
        <v>2016</v>
      </c>
      <c r="AS2213" t="s">
        <v>9162</v>
      </c>
      <c r="AT2213">
        <v>0.19986310746064301</v>
      </c>
      <c r="AU2213">
        <f t="shared" si="104"/>
        <v>1E-3</v>
      </c>
    </row>
    <row r="2214" spans="1:47" x14ac:dyDescent="0.3">
      <c r="A2214">
        <v>2212</v>
      </c>
      <c r="B2214" t="s">
        <v>9163</v>
      </c>
      <c r="C2214" t="s">
        <v>9164</v>
      </c>
      <c r="D2214">
        <v>390</v>
      </c>
      <c r="E2214" t="s">
        <v>9100</v>
      </c>
      <c r="F2214" t="str">
        <f>VLOOKUP(E2214,country_continent!A:C,2,FALSE)</f>
        <v>Denmark</v>
      </c>
      <c r="G2214" t="str">
        <f>VLOOKUP(E2214,country_continent!A:C,3,FALSE)</f>
        <v>Europe</v>
      </c>
      <c r="H2214" t="s">
        <v>9165</v>
      </c>
      <c r="I2214" s="1">
        <v>3589</v>
      </c>
      <c r="J2214" s="3">
        <f t="shared" si="102"/>
        <v>3589</v>
      </c>
      <c r="K2214" s="1">
        <v>3839</v>
      </c>
      <c r="L2214" s="3">
        <f t="shared" si="103"/>
        <v>3839</v>
      </c>
      <c r="M2214" t="s">
        <v>49</v>
      </c>
      <c r="N2214" t="s">
        <v>49</v>
      </c>
      <c r="O2214" t="s">
        <v>49</v>
      </c>
      <c r="P2214">
        <v>0</v>
      </c>
      <c r="Q2214" t="s">
        <v>50</v>
      </c>
      <c r="R2214" t="s">
        <v>51</v>
      </c>
      <c r="S2214">
        <v>1866</v>
      </c>
      <c r="T2214">
        <v>1946</v>
      </c>
      <c r="U2214" t="s">
        <v>9166</v>
      </c>
      <c r="V2214" t="s">
        <v>9167</v>
      </c>
      <c r="Y2214" t="s">
        <v>9168</v>
      </c>
      <c r="Z2214">
        <v>0</v>
      </c>
      <c r="AA2214">
        <v>1</v>
      </c>
      <c r="AB2214">
        <v>0</v>
      </c>
      <c r="AC2214">
        <v>0</v>
      </c>
      <c r="AF2214">
        <v>1909</v>
      </c>
      <c r="AG2214">
        <v>1910</v>
      </c>
      <c r="AO2214" t="b">
        <v>1</v>
      </c>
      <c r="AP2214" t="s">
        <v>177</v>
      </c>
      <c r="AQ2214">
        <v>1945</v>
      </c>
      <c r="AR2214">
        <v>2016</v>
      </c>
      <c r="AS2214" t="s">
        <v>9169</v>
      </c>
      <c r="AT2214">
        <v>0.68446269678302496</v>
      </c>
      <c r="AU2214">
        <f t="shared" si="104"/>
        <v>2E-3</v>
      </c>
    </row>
    <row r="2215" spans="1:47" x14ac:dyDescent="0.3">
      <c r="A2215">
        <v>2213</v>
      </c>
      <c r="B2215" t="s">
        <v>9170</v>
      </c>
      <c r="C2215" t="s">
        <v>9171</v>
      </c>
      <c r="D2215">
        <v>390</v>
      </c>
      <c r="E2215" t="s">
        <v>9100</v>
      </c>
      <c r="F2215" t="str">
        <f>VLOOKUP(E2215,country_continent!A:C,2,FALSE)</f>
        <v>Denmark</v>
      </c>
      <c r="G2215" t="str">
        <f>VLOOKUP(E2215,country_continent!A:C,3,FALSE)</f>
        <v>Europe</v>
      </c>
      <c r="H2215" t="s">
        <v>9172</v>
      </c>
      <c r="I2215" s="1">
        <v>3839</v>
      </c>
      <c r="J2215" s="3">
        <f t="shared" si="102"/>
        <v>3839</v>
      </c>
      <c r="K2215" s="1">
        <v>4921</v>
      </c>
      <c r="L2215" s="3">
        <f t="shared" si="103"/>
        <v>4921</v>
      </c>
      <c r="M2215" t="s">
        <v>49</v>
      </c>
      <c r="N2215" t="s">
        <v>49</v>
      </c>
      <c r="O2215" t="s">
        <v>49</v>
      </c>
      <c r="P2215">
        <v>0</v>
      </c>
      <c r="Q2215" t="s">
        <v>50</v>
      </c>
      <c r="R2215" t="s">
        <v>51</v>
      </c>
      <c r="S2215">
        <v>1844</v>
      </c>
      <c r="T2215">
        <v>1927</v>
      </c>
      <c r="U2215" t="s">
        <v>9173</v>
      </c>
      <c r="V2215" t="s">
        <v>9174</v>
      </c>
      <c r="Y2215" t="s">
        <v>9175</v>
      </c>
      <c r="Z2215">
        <v>0</v>
      </c>
      <c r="AA2215">
        <v>1</v>
      </c>
      <c r="AB2215">
        <v>0</v>
      </c>
      <c r="AC2215">
        <v>0</v>
      </c>
      <c r="AF2215">
        <v>1910</v>
      </c>
      <c r="AG2215">
        <v>1913</v>
      </c>
      <c r="AO2215" t="b">
        <v>1</v>
      </c>
      <c r="AP2215" t="s">
        <v>177</v>
      </c>
      <c r="AQ2215">
        <v>1945</v>
      </c>
      <c r="AR2215">
        <v>2016</v>
      </c>
      <c r="AS2215" t="s">
        <v>9176</v>
      </c>
      <c r="AT2215">
        <v>2.9623545516769298</v>
      </c>
      <c r="AU2215">
        <f t="shared" si="104"/>
        <v>8.0000000000000002E-3</v>
      </c>
    </row>
    <row r="2216" spans="1:47" x14ac:dyDescent="0.3">
      <c r="A2216">
        <v>2214</v>
      </c>
      <c r="B2216" t="s">
        <v>9177</v>
      </c>
      <c r="C2216" t="s">
        <v>9164</v>
      </c>
      <c r="D2216">
        <v>390</v>
      </c>
      <c r="E2216" t="s">
        <v>9100</v>
      </c>
      <c r="F2216" t="str">
        <f>VLOOKUP(E2216,country_continent!A:C,2,FALSE)</f>
        <v>Denmark</v>
      </c>
      <c r="G2216" t="str">
        <f>VLOOKUP(E2216,country_continent!A:C,3,FALSE)</f>
        <v>Europe</v>
      </c>
      <c r="H2216" t="s">
        <v>9165</v>
      </c>
      <c r="I2216" s="1">
        <v>4921</v>
      </c>
      <c r="J2216" s="3">
        <f t="shared" si="102"/>
        <v>4921</v>
      </c>
      <c r="K2216" s="1">
        <v>7395</v>
      </c>
      <c r="L2216" s="3">
        <f t="shared" si="103"/>
        <v>7395</v>
      </c>
      <c r="M2216" t="s">
        <v>49</v>
      </c>
      <c r="N2216" t="s">
        <v>49</v>
      </c>
      <c r="O2216" t="s">
        <v>49</v>
      </c>
      <c r="P2216">
        <v>1</v>
      </c>
      <c r="Q2216" t="s">
        <v>50</v>
      </c>
      <c r="R2216" t="s">
        <v>51</v>
      </c>
      <c r="S2216">
        <v>1866</v>
      </c>
      <c r="T2216">
        <v>1946</v>
      </c>
      <c r="U2216" t="s">
        <v>9166</v>
      </c>
      <c r="V2216" t="s">
        <v>9167</v>
      </c>
      <c r="Y2216" t="s">
        <v>9168</v>
      </c>
      <c r="Z2216">
        <v>0</v>
      </c>
      <c r="AA2216">
        <v>1</v>
      </c>
      <c r="AB2216">
        <v>0</v>
      </c>
      <c r="AC2216">
        <v>0</v>
      </c>
      <c r="AF2216">
        <v>1913</v>
      </c>
      <c r="AG2216">
        <v>1920</v>
      </c>
      <c r="AO2216" t="b">
        <v>1</v>
      </c>
      <c r="AP2216" t="s">
        <v>177</v>
      </c>
      <c r="AQ2216">
        <v>1945</v>
      </c>
      <c r="AR2216">
        <v>2016</v>
      </c>
      <c r="AS2216" t="s">
        <v>9178</v>
      </c>
      <c r="AT2216">
        <v>6.7734428473648096</v>
      </c>
      <c r="AU2216">
        <f t="shared" si="104"/>
        <v>1.9E-2</v>
      </c>
    </row>
    <row r="2217" spans="1:47" x14ac:dyDescent="0.3">
      <c r="A2217">
        <v>2215</v>
      </c>
      <c r="B2217" t="s">
        <v>9179</v>
      </c>
      <c r="C2217" t="s">
        <v>9180</v>
      </c>
      <c r="D2217">
        <v>390</v>
      </c>
      <c r="E2217" t="s">
        <v>9100</v>
      </c>
      <c r="F2217" t="str">
        <f>VLOOKUP(E2217,country_continent!A:C,2,FALSE)</f>
        <v>Denmark</v>
      </c>
      <c r="G2217" t="str">
        <f>VLOOKUP(E2217,country_continent!A:C,3,FALSE)</f>
        <v>Europe</v>
      </c>
      <c r="H2217" t="s">
        <v>9181</v>
      </c>
      <c r="I2217" s="1">
        <v>7395</v>
      </c>
      <c r="J2217" s="3">
        <f t="shared" si="102"/>
        <v>7395</v>
      </c>
      <c r="K2217" s="1">
        <v>7401</v>
      </c>
      <c r="L2217" s="3">
        <f t="shared" si="103"/>
        <v>7401</v>
      </c>
      <c r="M2217" t="s">
        <v>49</v>
      </c>
      <c r="N2217" t="s">
        <v>49</v>
      </c>
      <c r="O2217" t="s">
        <v>49</v>
      </c>
      <c r="P2217">
        <v>0</v>
      </c>
      <c r="Q2217" t="s">
        <v>50</v>
      </c>
      <c r="R2217" t="s">
        <v>51</v>
      </c>
      <c r="S2217">
        <v>1860</v>
      </c>
      <c r="T2217">
        <v>1929</v>
      </c>
      <c r="U2217" t="s">
        <v>9182</v>
      </c>
      <c r="V2217" t="s">
        <v>9183</v>
      </c>
      <c r="Y2217" t="s">
        <v>9184</v>
      </c>
      <c r="Z2217">
        <v>0</v>
      </c>
      <c r="AA2217">
        <v>1</v>
      </c>
      <c r="AB2217">
        <v>0</v>
      </c>
      <c r="AC2217">
        <v>0</v>
      </c>
      <c r="AF2217">
        <v>1920</v>
      </c>
      <c r="AG2217">
        <v>1920</v>
      </c>
      <c r="AO2217" t="b">
        <v>1</v>
      </c>
      <c r="AP2217" t="s">
        <v>177</v>
      </c>
      <c r="AQ2217">
        <v>1945</v>
      </c>
      <c r="AR2217">
        <v>2016</v>
      </c>
      <c r="AS2217" t="s">
        <v>9185</v>
      </c>
      <c r="AT2217">
        <v>1.6427104722792601E-2</v>
      </c>
      <c r="AU2217">
        <f t="shared" si="104"/>
        <v>0</v>
      </c>
    </row>
    <row r="2218" spans="1:47" x14ac:dyDescent="0.3">
      <c r="A2218">
        <v>2216</v>
      </c>
      <c r="B2218" t="s">
        <v>9186</v>
      </c>
      <c r="C2218" t="s">
        <v>9187</v>
      </c>
      <c r="D2218">
        <v>390</v>
      </c>
      <c r="E2218" t="s">
        <v>9100</v>
      </c>
      <c r="F2218" t="str">
        <f>VLOOKUP(E2218,country_continent!A:C,2,FALSE)</f>
        <v>Denmark</v>
      </c>
      <c r="G2218" t="str">
        <f>VLOOKUP(E2218,country_continent!A:C,3,FALSE)</f>
        <v>Europe</v>
      </c>
      <c r="H2218" t="s">
        <v>9188</v>
      </c>
      <c r="I2218" s="1">
        <v>7401</v>
      </c>
      <c r="J2218" s="3">
        <f t="shared" si="102"/>
        <v>7401</v>
      </c>
      <c r="K2218" s="1">
        <v>7431</v>
      </c>
      <c r="L2218" s="3">
        <f t="shared" si="103"/>
        <v>7431</v>
      </c>
      <c r="M2218" t="s">
        <v>49</v>
      </c>
      <c r="N2218" t="s">
        <v>49</v>
      </c>
      <c r="O2218" t="s">
        <v>49</v>
      </c>
      <c r="P2218">
        <v>0</v>
      </c>
      <c r="Q2218" t="s">
        <v>50</v>
      </c>
      <c r="R2218" t="s">
        <v>51</v>
      </c>
      <c r="S2218">
        <v>1870</v>
      </c>
      <c r="T2218">
        <v>1944</v>
      </c>
      <c r="U2218" t="s">
        <v>9189</v>
      </c>
      <c r="V2218" t="s">
        <v>9190</v>
      </c>
      <c r="Z2218">
        <v>0</v>
      </c>
      <c r="AA2218">
        <v>1</v>
      </c>
      <c r="AB2218">
        <v>0</v>
      </c>
      <c r="AC2218">
        <v>0</v>
      </c>
      <c r="AF2218">
        <v>1920</v>
      </c>
      <c r="AG2218">
        <v>1920</v>
      </c>
      <c r="AO2218" t="b">
        <v>1</v>
      </c>
      <c r="AP2218" t="s">
        <v>177</v>
      </c>
      <c r="AQ2218">
        <v>1945</v>
      </c>
      <c r="AR2218">
        <v>2016</v>
      </c>
      <c r="AS2218" t="s">
        <v>9191</v>
      </c>
      <c r="AT2218">
        <v>8.2135523613962994E-2</v>
      </c>
      <c r="AU2218">
        <f t="shared" si="104"/>
        <v>0</v>
      </c>
    </row>
    <row r="2219" spans="1:47" x14ac:dyDescent="0.3">
      <c r="A2219">
        <v>2217</v>
      </c>
      <c r="B2219" t="s">
        <v>9192</v>
      </c>
      <c r="C2219" t="s">
        <v>9150</v>
      </c>
      <c r="D2219">
        <v>390</v>
      </c>
      <c r="E2219" t="s">
        <v>9100</v>
      </c>
      <c r="F2219" t="str">
        <f>VLOOKUP(E2219,country_continent!A:C,2,FALSE)</f>
        <v>Denmark</v>
      </c>
      <c r="G2219" t="str">
        <f>VLOOKUP(E2219,country_continent!A:C,3,FALSE)</f>
        <v>Europe</v>
      </c>
      <c r="H2219" t="s">
        <v>9151</v>
      </c>
      <c r="I2219" s="1">
        <v>7431</v>
      </c>
      <c r="J2219" s="3">
        <f t="shared" si="102"/>
        <v>7431</v>
      </c>
      <c r="K2219" s="1">
        <v>8880</v>
      </c>
      <c r="L2219" s="3">
        <f t="shared" si="103"/>
        <v>8880</v>
      </c>
      <c r="M2219" t="s">
        <v>49</v>
      </c>
      <c r="N2219" t="s">
        <v>49</v>
      </c>
      <c r="O2219" t="s">
        <v>49</v>
      </c>
      <c r="P2219">
        <v>1</v>
      </c>
      <c r="Q2219" t="s">
        <v>50</v>
      </c>
      <c r="R2219" t="s">
        <v>51</v>
      </c>
      <c r="S2219">
        <v>1854</v>
      </c>
      <c r="T2219">
        <v>1936</v>
      </c>
      <c r="U2219" t="s">
        <v>9152</v>
      </c>
      <c r="V2219" t="s">
        <v>9153</v>
      </c>
      <c r="Y2219" t="s">
        <v>9154</v>
      </c>
      <c r="Z2219">
        <v>0</v>
      </c>
      <c r="AA2219">
        <v>1</v>
      </c>
      <c r="AB2219">
        <v>0</v>
      </c>
      <c r="AC2219">
        <v>0</v>
      </c>
      <c r="AF2219">
        <v>1920</v>
      </c>
      <c r="AG2219">
        <v>1924</v>
      </c>
      <c r="AO2219" t="b">
        <v>1</v>
      </c>
      <c r="AP2219" t="s">
        <v>177</v>
      </c>
      <c r="AQ2219">
        <v>1945</v>
      </c>
      <c r="AR2219">
        <v>2016</v>
      </c>
      <c r="AS2219" t="s">
        <v>9193</v>
      </c>
      <c r="AT2219">
        <v>3.9671457905544099</v>
      </c>
      <c r="AU2219">
        <f t="shared" si="104"/>
        <v>1.0999999999999999E-2</v>
      </c>
    </row>
    <row r="2220" spans="1:47" x14ac:dyDescent="0.3">
      <c r="A2220">
        <v>2218</v>
      </c>
      <c r="B2220" t="s">
        <v>9194</v>
      </c>
      <c r="C2220" t="s">
        <v>9195</v>
      </c>
      <c r="D2220">
        <v>390</v>
      </c>
      <c r="E2220" t="s">
        <v>9100</v>
      </c>
      <c r="F2220" t="str">
        <f>VLOOKUP(E2220,country_continent!A:C,2,FALSE)</f>
        <v>Denmark</v>
      </c>
      <c r="G2220" t="str">
        <f>VLOOKUP(E2220,country_continent!A:C,3,FALSE)</f>
        <v>Europe</v>
      </c>
      <c r="H2220" t="s">
        <v>9196</v>
      </c>
      <c r="I2220" s="1">
        <v>8880</v>
      </c>
      <c r="J2220" s="3">
        <f t="shared" si="102"/>
        <v>8880</v>
      </c>
      <c r="K2220" s="1">
        <v>9845</v>
      </c>
      <c r="L2220" s="3">
        <f t="shared" si="103"/>
        <v>9845</v>
      </c>
      <c r="M2220" t="s">
        <v>49</v>
      </c>
      <c r="N2220" t="s">
        <v>49</v>
      </c>
      <c r="O2220" t="s">
        <v>49</v>
      </c>
      <c r="P2220">
        <v>0</v>
      </c>
      <c r="Q2220" t="s">
        <v>50</v>
      </c>
      <c r="R2220" t="s">
        <v>51</v>
      </c>
      <c r="S2220">
        <v>1873</v>
      </c>
      <c r="T2220">
        <v>1942</v>
      </c>
      <c r="U2220" t="s">
        <v>9197</v>
      </c>
      <c r="V2220" t="s">
        <v>9198</v>
      </c>
      <c r="Y2220" t="s">
        <v>9199</v>
      </c>
      <c r="Z2220">
        <v>0</v>
      </c>
      <c r="AA2220">
        <v>1</v>
      </c>
      <c r="AB2220">
        <v>0</v>
      </c>
      <c r="AC2220">
        <v>0</v>
      </c>
      <c r="AF2220">
        <v>1924</v>
      </c>
      <c r="AG2220">
        <v>1926</v>
      </c>
      <c r="AO2220" t="b">
        <v>1</v>
      </c>
      <c r="AP2220" t="s">
        <v>177</v>
      </c>
      <c r="AQ2220">
        <v>1945</v>
      </c>
      <c r="AR2220">
        <v>2016</v>
      </c>
      <c r="AS2220" t="s">
        <v>9200</v>
      </c>
      <c r="AT2220">
        <v>2.6420260095824699</v>
      </c>
      <c r="AU2220">
        <f t="shared" si="104"/>
        <v>7.0000000000000001E-3</v>
      </c>
    </row>
    <row r="2221" spans="1:47" x14ac:dyDescent="0.3">
      <c r="A2221">
        <v>2219</v>
      </c>
      <c r="B2221" t="s">
        <v>9201</v>
      </c>
      <c r="C2221" t="s">
        <v>9202</v>
      </c>
      <c r="D2221">
        <v>390</v>
      </c>
      <c r="E2221" t="s">
        <v>9100</v>
      </c>
      <c r="F2221" t="str">
        <f>VLOOKUP(E2221,country_continent!A:C,2,FALSE)</f>
        <v>Denmark</v>
      </c>
      <c r="G2221" t="str">
        <f>VLOOKUP(E2221,country_continent!A:C,3,FALSE)</f>
        <v>Europe</v>
      </c>
      <c r="H2221" t="s">
        <v>9203</v>
      </c>
      <c r="I2221" s="1">
        <v>9845</v>
      </c>
      <c r="J2221" s="3">
        <f t="shared" si="102"/>
        <v>9845</v>
      </c>
      <c r="K2221" s="1">
        <v>10708</v>
      </c>
      <c r="L2221" s="3">
        <f t="shared" si="103"/>
        <v>10708</v>
      </c>
      <c r="M2221" t="s">
        <v>49</v>
      </c>
      <c r="N2221" t="s">
        <v>49</v>
      </c>
      <c r="O2221" t="s">
        <v>49</v>
      </c>
      <c r="P2221">
        <v>0</v>
      </c>
      <c r="Q2221" t="s">
        <v>50</v>
      </c>
      <c r="R2221" t="s">
        <v>51</v>
      </c>
      <c r="S2221">
        <v>1876</v>
      </c>
      <c r="T2221">
        <v>1943</v>
      </c>
      <c r="U2221" t="s">
        <v>9204</v>
      </c>
      <c r="V2221" t="s">
        <v>9205</v>
      </c>
      <c r="Y2221" t="s">
        <v>9206</v>
      </c>
      <c r="Z2221">
        <v>0</v>
      </c>
      <c r="AA2221">
        <v>1</v>
      </c>
      <c r="AB2221">
        <v>0</v>
      </c>
      <c r="AC2221">
        <v>0</v>
      </c>
      <c r="AF2221">
        <v>1926</v>
      </c>
      <c r="AG2221">
        <v>1929</v>
      </c>
      <c r="AO2221" t="b">
        <v>1</v>
      </c>
      <c r="AP2221" t="s">
        <v>177</v>
      </c>
      <c r="AQ2221">
        <v>1945</v>
      </c>
      <c r="AR2221">
        <v>2016</v>
      </c>
      <c r="AS2221" t="s">
        <v>9207</v>
      </c>
      <c r="AT2221">
        <v>2.3627652292949999</v>
      </c>
      <c r="AU2221">
        <f t="shared" si="104"/>
        <v>6.0000000000000001E-3</v>
      </c>
    </row>
    <row r="2222" spans="1:47" x14ac:dyDescent="0.3">
      <c r="A2222">
        <v>2220</v>
      </c>
      <c r="B2222" t="s">
        <v>9208</v>
      </c>
      <c r="C2222" t="s">
        <v>9195</v>
      </c>
      <c r="D2222">
        <v>390</v>
      </c>
      <c r="E2222" t="s">
        <v>9100</v>
      </c>
      <c r="F2222" t="str">
        <f>VLOOKUP(E2222,country_continent!A:C,2,FALSE)</f>
        <v>Denmark</v>
      </c>
      <c r="G2222" t="str">
        <f>VLOOKUP(E2222,country_continent!A:C,3,FALSE)</f>
        <v>Europe</v>
      </c>
      <c r="H2222" t="s">
        <v>9196</v>
      </c>
      <c r="I2222" s="1">
        <v>10713</v>
      </c>
      <c r="J2222" s="3">
        <f t="shared" si="102"/>
        <v>10713</v>
      </c>
      <c r="K2222" s="1">
        <v>15464</v>
      </c>
      <c r="L2222" s="3">
        <f t="shared" si="103"/>
        <v>15464</v>
      </c>
      <c r="M2222" t="s">
        <v>49</v>
      </c>
      <c r="N2222" t="s">
        <v>110</v>
      </c>
      <c r="O2222" t="s">
        <v>49</v>
      </c>
      <c r="P2222">
        <v>1</v>
      </c>
      <c r="Q2222" t="s">
        <v>111</v>
      </c>
      <c r="R2222" t="s">
        <v>51</v>
      </c>
      <c r="S2222">
        <v>1873</v>
      </c>
      <c r="T2222">
        <v>1942</v>
      </c>
      <c r="U2222" t="s">
        <v>9197</v>
      </c>
      <c r="V2222" t="s">
        <v>9198</v>
      </c>
      <c r="Y2222" t="s">
        <v>9199</v>
      </c>
      <c r="Z2222">
        <v>0</v>
      </c>
      <c r="AA2222">
        <v>2</v>
      </c>
      <c r="AB2222">
        <v>0</v>
      </c>
      <c r="AC2222">
        <v>-777</v>
      </c>
      <c r="AF2222">
        <v>1929</v>
      </c>
      <c r="AG2222">
        <v>1942</v>
      </c>
      <c r="AO2222" t="b">
        <v>1</v>
      </c>
      <c r="AP2222" t="s">
        <v>177</v>
      </c>
      <c r="AQ2222">
        <v>1945</v>
      </c>
      <c r="AR2222">
        <v>2016</v>
      </c>
      <c r="AS2222" t="s">
        <v>9209</v>
      </c>
      <c r="AT2222">
        <v>13.007529089664599</v>
      </c>
      <c r="AU2222">
        <f t="shared" si="104"/>
        <v>3.5999999999999997E-2</v>
      </c>
    </row>
    <row r="2223" spans="1:47" x14ac:dyDescent="0.3">
      <c r="A2223">
        <v>2221</v>
      </c>
      <c r="B2223" t="s">
        <v>9210</v>
      </c>
      <c r="C2223" t="s">
        <v>9211</v>
      </c>
      <c r="D2223">
        <v>390</v>
      </c>
      <c r="E2223" t="s">
        <v>9100</v>
      </c>
      <c r="F2223" t="str">
        <f>VLOOKUP(E2223,country_continent!A:C,2,FALSE)</f>
        <v>Denmark</v>
      </c>
      <c r="G2223" t="str">
        <f>VLOOKUP(E2223,country_continent!A:C,3,FALSE)</f>
        <v>Europe</v>
      </c>
      <c r="H2223" t="s">
        <v>9212</v>
      </c>
      <c r="I2223" s="1">
        <v>15464</v>
      </c>
      <c r="J2223" s="3">
        <f t="shared" si="102"/>
        <v>15464</v>
      </c>
      <c r="K2223" s="1">
        <v>15654</v>
      </c>
      <c r="L2223" s="3">
        <f t="shared" si="103"/>
        <v>15654</v>
      </c>
      <c r="M2223" t="s">
        <v>49</v>
      </c>
      <c r="N2223" t="s">
        <v>49</v>
      </c>
      <c r="O2223" t="s">
        <v>49</v>
      </c>
      <c r="P2223">
        <v>0</v>
      </c>
      <c r="Q2223" t="s">
        <v>50</v>
      </c>
      <c r="R2223" t="s">
        <v>51</v>
      </c>
      <c r="S2223">
        <v>1881</v>
      </c>
      <c r="T2223">
        <v>1954</v>
      </c>
      <c r="U2223" t="s">
        <v>9213</v>
      </c>
      <c r="V2223" t="s">
        <v>9214</v>
      </c>
      <c r="W2223" s="1">
        <v>20076</v>
      </c>
      <c r="X2223" s="2">
        <v>20076</v>
      </c>
      <c r="Y2223" t="s">
        <v>9215</v>
      </c>
      <c r="Z2223">
        <v>0</v>
      </c>
      <c r="AA2223">
        <v>1</v>
      </c>
      <c r="AB2223">
        <v>0</v>
      </c>
      <c r="AC2223">
        <v>0</v>
      </c>
      <c r="AF2223">
        <v>1942</v>
      </c>
      <c r="AG2223">
        <v>1942</v>
      </c>
      <c r="AO2223" t="b">
        <v>1</v>
      </c>
      <c r="AP2223" t="s">
        <v>177</v>
      </c>
      <c r="AQ2223">
        <v>1945</v>
      </c>
      <c r="AR2223">
        <v>2016</v>
      </c>
      <c r="AS2223" t="s">
        <v>9216</v>
      </c>
      <c r="AT2223">
        <v>0.520191649555099</v>
      </c>
      <c r="AU2223">
        <f t="shared" si="104"/>
        <v>1E-3</v>
      </c>
    </row>
    <row r="2224" spans="1:47" x14ac:dyDescent="0.3">
      <c r="A2224">
        <v>2222</v>
      </c>
      <c r="B2224" t="s">
        <v>9217</v>
      </c>
      <c r="C2224" t="s">
        <v>9218</v>
      </c>
      <c r="D2224">
        <v>390</v>
      </c>
      <c r="E2224" t="s">
        <v>9100</v>
      </c>
      <c r="F2224" t="str">
        <f>VLOOKUP(E2224,country_continent!A:C,2,FALSE)</f>
        <v>Denmark</v>
      </c>
      <c r="G2224" t="str">
        <f>VLOOKUP(E2224,country_continent!A:C,3,FALSE)</f>
        <v>Europe</v>
      </c>
      <c r="H2224" t="s">
        <v>9219</v>
      </c>
      <c r="I2224" s="1">
        <v>15654</v>
      </c>
      <c r="J2224" s="3">
        <f t="shared" si="102"/>
        <v>15654</v>
      </c>
      <c r="K2224" s="1">
        <v>15948</v>
      </c>
      <c r="L2224" s="3">
        <f t="shared" si="103"/>
        <v>15948</v>
      </c>
      <c r="M2224" t="s">
        <v>49</v>
      </c>
      <c r="N2224" t="s">
        <v>633</v>
      </c>
      <c r="O2224" t="s">
        <v>634</v>
      </c>
      <c r="P2224">
        <v>0</v>
      </c>
      <c r="Q2224" t="s">
        <v>50</v>
      </c>
      <c r="R2224" t="s">
        <v>51</v>
      </c>
      <c r="S2224">
        <v>1877</v>
      </c>
      <c r="T2224">
        <v>1962</v>
      </c>
      <c r="U2224" t="s">
        <v>9220</v>
      </c>
      <c r="V2224" t="s">
        <v>9221</v>
      </c>
      <c r="Y2224" t="s">
        <v>9222</v>
      </c>
      <c r="Z2224">
        <v>0</v>
      </c>
      <c r="AA2224">
        <v>4</v>
      </c>
      <c r="AB2224">
        <v>9</v>
      </c>
      <c r="AC2224">
        <v>0</v>
      </c>
      <c r="AF2224">
        <v>1942</v>
      </c>
      <c r="AG2224">
        <v>1943</v>
      </c>
      <c r="AO2224" t="b">
        <v>1</v>
      </c>
      <c r="AP2224" t="s">
        <v>177</v>
      </c>
      <c r="AQ2224">
        <v>1945</v>
      </c>
      <c r="AR2224">
        <v>2016</v>
      </c>
      <c r="AS2224" t="s">
        <v>9223</v>
      </c>
      <c r="AT2224">
        <v>0.80492813141683695</v>
      </c>
      <c r="AU2224">
        <f t="shared" si="104"/>
        <v>2E-3</v>
      </c>
    </row>
    <row r="2225" spans="1:47" x14ac:dyDescent="0.3">
      <c r="A2225">
        <v>2223</v>
      </c>
      <c r="B2225" t="s">
        <v>9224</v>
      </c>
      <c r="C2225" t="s">
        <v>9211</v>
      </c>
      <c r="D2225">
        <v>390</v>
      </c>
      <c r="E2225" t="s">
        <v>9100</v>
      </c>
      <c r="F2225" t="str">
        <f>VLOOKUP(E2225,country_continent!A:C,2,FALSE)</f>
        <v>Denmark</v>
      </c>
      <c r="G2225" t="str">
        <f>VLOOKUP(E2225,country_continent!A:C,3,FALSE)</f>
        <v>Europe</v>
      </c>
      <c r="H2225" t="s">
        <v>9212</v>
      </c>
      <c r="I2225" s="1">
        <v>16562</v>
      </c>
      <c r="J2225" s="3">
        <f t="shared" si="102"/>
        <v>16562</v>
      </c>
      <c r="K2225" s="1">
        <v>16748</v>
      </c>
      <c r="L2225" s="3">
        <f t="shared" si="103"/>
        <v>16748</v>
      </c>
      <c r="M2225" t="s">
        <v>49</v>
      </c>
      <c r="N2225" t="s">
        <v>49</v>
      </c>
      <c r="O2225" t="s">
        <v>49</v>
      </c>
      <c r="P2225">
        <v>1</v>
      </c>
      <c r="Q2225" t="s">
        <v>50</v>
      </c>
      <c r="R2225" t="s">
        <v>51</v>
      </c>
      <c r="S2225">
        <v>1881</v>
      </c>
      <c r="T2225">
        <v>1954</v>
      </c>
      <c r="U2225" t="s">
        <v>9213</v>
      </c>
      <c r="V2225" t="s">
        <v>9214</v>
      </c>
      <c r="W2225" s="1">
        <v>20076</v>
      </c>
      <c r="X2225" s="2">
        <v>20076</v>
      </c>
      <c r="Y2225" t="s">
        <v>9215</v>
      </c>
      <c r="Z2225">
        <v>0</v>
      </c>
      <c r="AA2225">
        <v>1</v>
      </c>
      <c r="AB2225">
        <v>0</v>
      </c>
      <c r="AC2225">
        <v>0</v>
      </c>
      <c r="AF2225">
        <v>1945</v>
      </c>
      <c r="AG2225">
        <v>1945</v>
      </c>
      <c r="AO2225" t="b">
        <v>1</v>
      </c>
      <c r="AP2225" t="s">
        <v>177</v>
      </c>
      <c r="AQ2225">
        <v>1945</v>
      </c>
      <c r="AR2225">
        <v>2016</v>
      </c>
      <c r="AS2225" t="s">
        <v>9225</v>
      </c>
      <c r="AT2225">
        <v>0.50924024640656995</v>
      </c>
      <c r="AU2225">
        <f t="shared" si="104"/>
        <v>1E-3</v>
      </c>
    </row>
    <row r="2226" spans="1:47" x14ac:dyDescent="0.3">
      <c r="A2226">
        <v>2224</v>
      </c>
      <c r="B2226" t="s">
        <v>9226</v>
      </c>
      <c r="C2226" t="s">
        <v>9227</v>
      </c>
      <c r="D2226">
        <v>390</v>
      </c>
      <c r="E2226" t="s">
        <v>9100</v>
      </c>
      <c r="F2226" t="str">
        <f>VLOOKUP(E2226,country_continent!A:C,2,FALSE)</f>
        <v>Denmark</v>
      </c>
      <c r="G2226" t="str">
        <f>VLOOKUP(E2226,country_continent!A:C,3,FALSE)</f>
        <v>Europe</v>
      </c>
      <c r="H2226" t="s">
        <v>9228</v>
      </c>
      <c r="I2226" s="1">
        <v>16749</v>
      </c>
      <c r="J2226" s="3">
        <f t="shared" si="102"/>
        <v>16749</v>
      </c>
      <c r="K2226" s="1">
        <v>17444</v>
      </c>
      <c r="L2226" s="3">
        <f t="shared" si="103"/>
        <v>17444</v>
      </c>
      <c r="M2226" t="s">
        <v>49</v>
      </c>
      <c r="N2226" t="s">
        <v>49</v>
      </c>
      <c r="O2226" t="s">
        <v>49</v>
      </c>
      <c r="P2226">
        <v>1</v>
      </c>
      <c r="Q2226" t="s">
        <v>50</v>
      </c>
      <c r="R2226" t="s">
        <v>51</v>
      </c>
      <c r="S2226">
        <v>1880</v>
      </c>
      <c r="T2226">
        <v>1962</v>
      </c>
      <c r="U2226" t="s">
        <v>9229</v>
      </c>
      <c r="V2226" t="s">
        <v>9230</v>
      </c>
      <c r="W2226" s="1">
        <v>22918</v>
      </c>
      <c r="X2226" s="2">
        <v>22918</v>
      </c>
      <c r="Y2226" t="s">
        <v>9231</v>
      </c>
      <c r="Z2226">
        <v>0</v>
      </c>
      <c r="AA2226">
        <v>1</v>
      </c>
      <c r="AB2226">
        <v>0</v>
      </c>
      <c r="AC2226">
        <v>0</v>
      </c>
      <c r="AF2226">
        <v>1945</v>
      </c>
      <c r="AG2226">
        <v>1947</v>
      </c>
      <c r="AO2226" t="b">
        <v>1</v>
      </c>
      <c r="AP2226" t="s">
        <v>177</v>
      </c>
      <c r="AQ2226">
        <v>1945</v>
      </c>
      <c r="AR2226">
        <v>2016</v>
      </c>
      <c r="AS2226" t="s">
        <v>9232</v>
      </c>
      <c r="AT2226">
        <v>1.90280629705681</v>
      </c>
      <c r="AU2226">
        <f t="shared" si="104"/>
        <v>5.0000000000000001E-3</v>
      </c>
    </row>
    <row r="2227" spans="1:47" x14ac:dyDescent="0.3">
      <c r="A2227">
        <v>2225</v>
      </c>
      <c r="B2227" t="s">
        <v>9233</v>
      </c>
      <c r="C2227" t="s">
        <v>9234</v>
      </c>
      <c r="D2227">
        <v>390</v>
      </c>
      <c r="E2227" t="s">
        <v>9100</v>
      </c>
      <c r="F2227" t="str">
        <f>VLOOKUP(E2227,country_continent!A:C,2,FALSE)</f>
        <v>Denmark</v>
      </c>
      <c r="G2227" t="str">
        <f>VLOOKUP(E2227,country_continent!A:C,3,FALSE)</f>
        <v>Europe</v>
      </c>
      <c r="H2227" t="s">
        <v>9235</v>
      </c>
      <c r="I2227" s="1">
        <v>17483</v>
      </c>
      <c r="J2227" s="3">
        <f t="shared" si="102"/>
        <v>17483</v>
      </c>
      <c r="K2227" s="1">
        <v>18561</v>
      </c>
      <c r="L2227" s="3">
        <f t="shared" si="103"/>
        <v>18561</v>
      </c>
      <c r="M2227" t="s">
        <v>49</v>
      </c>
      <c r="N2227" t="s">
        <v>49</v>
      </c>
      <c r="O2227" t="s">
        <v>49</v>
      </c>
      <c r="P2227">
        <v>0</v>
      </c>
      <c r="Q2227" t="s">
        <v>50</v>
      </c>
      <c r="R2227" t="s">
        <v>51</v>
      </c>
      <c r="S2227">
        <v>1903</v>
      </c>
      <c r="T2227">
        <v>1955</v>
      </c>
      <c r="U2227" s="1">
        <v>1207</v>
      </c>
      <c r="V2227" s="2">
        <v>1207</v>
      </c>
      <c r="W2227" s="1">
        <v>20118</v>
      </c>
      <c r="X2227" s="2">
        <v>20118</v>
      </c>
      <c r="Y2227" t="s">
        <v>9236</v>
      </c>
      <c r="Z2227">
        <v>0</v>
      </c>
      <c r="AA2227">
        <v>1</v>
      </c>
      <c r="AB2227">
        <v>0</v>
      </c>
      <c r="AC2227">
        <v>0</v>
      </c>
      <c r="AF2227">
        <v>1947</v>
      </c>
      <c r="AG2227">
        <v>1950</v>
      </c>
      <c r="AO2227" t="b">
        <v>1</v>
      </c>
      <c r="AP2227" t="s">
        <v>177</v>
      </c>
      <c r="AQ2227">
        <v>1945</v>
      </c>
      <c r="AR2227">
        <v>2016</v>
      </c>
      <c r="AS2227" t="s">
        <v>9237</v>
      </c>
      <c r="AT2227">
        <v>2.9514031485283998</v>
      </c>
      <c r="AU2227">
        <f t="shared" si="104"/>
        <v>8.0000000000000002E-3</v>
      </c>
    </row>
    <row r="2228" spans="1:47" x14ac:dyDescent="0.3">
      <c r="A2228">
        <v>2226</v>
      </c>
      <c r="B2228" t="s">
        <v>9238</v>
      </c>
      <c r="C2228" t="s">
        <v>9239</v>
      </c>
      <c r="D2228">
        <v>390</v>
      </c>
      <c r="E2228" t="s">
        <v>9100</v>
      </c>
      <c r="F2228" t="str">
        <f>VLOOKUP(E2228,country_continent!A:C,2,FALSE)</f>
        <v>Denmark</v>
      </c>
      <c r="G2228" t="str">
        <f>VLOOKUP(E2228,country_continent!A:C,3,FALSE)</f>
        <v>Europe</v>
      </c>
      <c r="H2228" t="s">
        <v>9240</v>
      </c>
      <c r="I2228" s="1">
        <v>18564</v>
      </c>
      <c r="J2228" s="3">
        <f t="shared" si="102"/>
        <v>18564</v>
      </c>
      <c r="K2228" s="1">
        <v>19632</v>
      </c>
      <c r="L2228" s="3">
        <f t="shared" si="103"/>
        <v>19632</v>
      </c>
      <c r="M2228" t="s">
        <v>49</v>
      </c>
      <c r="N2228" t="s">
        <v>49</v>
      </c>
      <c r="O2228" t="s">
        <v>49</v>
      </c>
      <c r="P2228">
        <v>0</v>
      </c>
      <c r="Q2228" t="s">
        <v>50</v>
      </c>
      <c r="R2228" t="s">
        <v>51</v>
      </c>
      <c r="S2228">
        <v>1902</v>
      </c>
      <c r="T2228">
        <v>1972</v>
      </c>
      <c r="U2228" s="1">
        <v>1055</v>
      </c>
      <c r="V2228" s="2">
        <v>1055</v>
      </c>
      <c r="W2228" s="1">
        <v>26579</v>
      </c>
      <c r="X2228" s="2">
        <v>26579</v>
      </c>
      <c r="Y2228" t="s">
        <v>9241</v>
      </c>
      <c r="Z2228">
        <v>0</v>
      </c>
      <c r="AA2228">
        <v>1</v>
      </c>
      <c r="AB2228">
        <v>0</v>
      </c>
      <c r="AC2228">
        <v>0</v>
      </c>
      <c r="AF2228">
        <v>1950</v>
      </c>
      <c r="AG2228">
        <v>1953</v>
      </c>
      <c r="AO2228" t="b">
        <v>1</v>
      </c>
      <c r="AP2228" t="s">
        <v>177</v>
      </c>
      <c r="AQ2228">
        <v>1945</v>
      </c>
      <c r="AR2228">
        <v>2016</v>
      </c>
      <c r="AS2228" t="s">
        <v>9242</v>
      </c>
      <c r="AT2228">
        <v>2.92402464065708</v>
      </c>
      <c r="AU2228">
        <f t="shared" si="104"/>
        <v>8.0000000000000002E-3</v>
      </c>
    </row>
    <row r="2229" spans="1:47" x14ac:dyDescent="0.3">
      <c r="A2229">
        <v>2227</v>
      </c>
      <c r="B2229" t="s">
        <v>9243</v>
      </c>
      <c r="C2229" t="s">
        <v>9234</v>
      </c>
      <c r="D2229">
        <v>390</v>
      </c>
      <c r="E2229" t="s">
        <v>9100</v>
      </c>
      <c r="F2229" t="str">
        <f>VLOOKUP(E2229,country_continent!A:C,2,FALSE)</f>
        <v>Denmark</v>
      </c>
      <c r="G2229" t="str">
        <f>VLOOKUP(E2229,country_continent!A:C,3,FALSE)</f>
        <v>Europe</v>
      </c>
      <c r="H2229" t="s">
        <v>9235</v>
      </c>
      <c r="I2229" s="1">
        <v>19632</v>
      </c>
      <c r="J2229" s="3">
        <f t="shared" si="102"/>
        <v>19632</v>
      </c>
      <c r="K2229" s="1">
        <v>20118</v>
      </c>
      <c r="L2229" s="3">
        <f t="shared" si="103"/>
        <v>20118</v>
      </c>
      <c r="M2229" t="s">
        <v>49</v>
      </c>
      <c r="N2229" t="s">
        <v>110</v>
      </c>
      <c r="O2229" t="s">
        <v>49</v>
      </c>
      <c r="P2229">
        <v>1</v>
      </c>
      <c r="Q2229" t="s">
        <v>111</v>
      </c>
      <c r="R2229" t="s">
        <v>51</v>
      </c>
      <c r="S2229">
        <v>1903</v>
      </c>
      <c r="T2229">
        <v>1955</v>
      </c>
      <c r="U2229" s="1">
        <v>1207</v>
      </c>
      <c r="V2229" s="2">
        <v>1207</v>
      </c>
      <c r="W2229" s="1">
        <v>20118</v>
      </c>
      <c r="X2229" s="2">
        <v>20118</v>
      </c>
      <c r="Y2229" t="s">
        <v>9236</v>
      </c>
      <c r="Z2229">
        <v>0</v>
      </c>
      <c r="AA2229">
        <v>2</v>
      </c>
      <c r="AB2229">
        <v>0</v>
      </c>
      <c r="AC2229">
        <v>-777</v>
      </c>
      <c r="AF2229">
        <v>1953</v>
      </c>
      <c r="AG2229">
        <v>1955</v>
      </c>
      <c r="AO2229" t="b">
        <v>1</v>
      </c>
      <c r="AP2229" t="s">
        <v>177</v>
      </c>
      <c r="AQ2229">
        <v>1945</v>
      </c>
      <c r="AR2229">
        <v>2016</v>
      </c>
      <c r="AS2229" t="s">
        <v>9244</v>
      </c>
      <c r="AT2229">
        <v>1.3305954825462001</v>
      </c>
      <c r="AU2229">
        <f t="shared" si="104"/>
        <v>4.0000000000000001E-3</v>
      </c>
    </row>
    <row r="2230" spans="1:47" x14ac:dyDescent="0.3">
      <c r="A2230">
        <v>2228</v>
      </c>
      <c r="B2230" t="s">
        <v>9245</v>
      </c>
      <c r="C2230" t="s">
        <v>9246</v>
      </c>
      <c r="D2230">
        <v>390</v>
      </c>
      <c r="E2230" t="s">
        <v>9100</v>
      </c>
      <c r="F2230" t="str">
        <f>VLOOKUP(E2230,country_continent!A:C,2,FALSE)</f>
        <v>Denmark</v>
      </c>
      <c r="G2230" t="str">
        <f>VLOOKUP(E2230,country_continent!A:C,3,FALSE)</f>
        <v>Europe</v>
      </c>
      <c r="H2230" t="s">
        <v>9247</v>
      </c>
      <c r="I2230" s="1">
        <v>20121</v>
      </c>
      <c r="J2230" s="3">
        <f t="shared" si="102"/>
        <v>20121</v>
      </c>
      <c r="K2230" s="1">
        <v>21965</v>
      </c>
      <c r="L2230" s="3">
        <f t="shared" si="103"/>
        <v>21965</v>
      </c>
      <c r="M2230" t="s">
        <v>49</v>
      </c>
      <c r="N2230" t="s">
        <v>110</v>
      </c>
      <c r="O2230" t="s">
        <v>49</v>
      </c>
      <c r="P2230">
        <v>0</v>
      </c>
      <c r="Q2230" t="s">
        <v>111</v>
      </c>
      <c r="R2230" t="s">
        <v>51</v>
      </c>
      <c r="S2230">
        <v>1906</v>
      </c>
      <c r="T2230">
        <v>1960</v>
      </c>
      <c r="U2230" s="1">
        <v>2504</v>
      </c>
      <c r="V2230" s="2">
        <v>2504</v>
      </c>
      <c r="W2230" s="1">
        <v>21965</v>
      </c>
      <c r="X2230" s="2">
        <v>21965</v>
      </c>
      <c r="Y2230" t="s">
        <v>9248</v>
      </c>
      <c r="Z2230">
        <v>0</v>
      </c>
      <c r="AA2230">
        <v>2</v>
      </c>
      <c r="AB2230">
        <v>0</v>
      </c>
      <c r="AC2230">
        <v>-777</v>
      </c>
      <c r="AF2230">
        <v>1955</v>
      </c>
      <c r="AG2230">
        <v>1960</v>
      </c>
      <c r="AO2230" t="b">
        <v>1</v>
      </c>
      <c r="AP2230" t="s">
        <v>177</v>
      </c>
      <c r="AQ2230">
        <v>1945</v>
      </c>
      <c r="AR2230">
        <v>2016</v>
      </c>
      <c r="AS2230" t="s">
        <v>9249</v>
      </c>
      <c r="AT2230">
        <v>5.04859685147159</v>
      </c>
      <c r="AU2230">
        <f t="shared" si="104"/>
        <v>1.4E-2</v>
      </c>
    </row>
    <row r="2231" spans="1:47" x14ac:dyDescent="0.3">
      <c r="A2231">
        <v>2229</v>
      </c>
      <c r="B2231" t="s">
        <v>9250</v>
      </c>
      <c r="C2231" t="s">
        <v>9251</v>
      </c>
      <c r="D2231">
        <v>390</v>
      </c>
      <c r="E2231" t="s">
        <v>9100</v>
      </c>
      <c r="F2231" t="str">
        <f>VLOOKUP(E2231,country_continent!A:C,2,FALSE)</f>
        <v>Denmark</v>
      </c>
      <c r="G2231" t="str">
        <f>VLOOKUP(E2231,country_continent!A:C,3,FALSE)</f>
        <v>Europe</v>
      </c>
      <c r="H2231" t="s">
        <v>9252</v>
      </c>
      <c r="I2231" s="1">
        <v>21965</v>
      </c>
      <c r="J2231" s="3">
        <f t="shared" si="102"/>
        <v>21965</v>
      </c>
      <c r="K2231" s="1">
        <v>22892</v>
      </c>
      <c r="L2231" s="3">
        <f t="shared" si="103"/>
        <v>22892</v>
      </c>
      <c r="M2231" t="s">
        <v>49</v>
      </c>
      <c r="N2231" t="s">
        <v>228</v>
      </c>
      <c r="O2231" t="s">
        <v>49</v>
      </c>
      <c r="P2231">
        <v>0</v>
      </c>
      <c r="Q2231" t="s">
        <v>50</v>
      </c>
      <c r="R2231" t="s">
        <v>51</v>
      </c>
      <c r="S2231">
        <v>1910</v>
      </c>
      <c r="T2231">
        <v>1976</v>
      </c>
      <c r="U2231" s="1">
        <v>3855</v>
      </c>
      <c r="V2231" s="2">
        <v>3855</v>
      </c>
      <c r="W2231" s="1">
        <v>27914</v>
      </c>
      <c r="X2231" s="2">
        <v>27914</v>
      </c>
      <c r="Y2231" t="s">
        <v>9253</v>
      </c>
      <c r="Z2231">
        <v>0</v>
      </c>
      <c r="AA2231">
        <v>2.0999998999999998</v>
      </c>
      <c r="AB2231">
        <v>0</v>
      </c>
      <c r="AC2231">
        <v>0</v>
      </c>
      <c r="AF2231">
        <v>1960</v>
      </c>
      <c r="AG2231">
        <v>1962</v>
      </c>
      <c r="AO2231" t="b">
        <v>1</v>
      </c>
      <c r="AP2231" t="s">
        <v>177</v>
      </c>
      <c r="AQ2231">
        <v>1945</v>
      </c>
      <c r="AR2231">
        <v>2016</v>
      </c>
      <c r="AS2231" t="s">
        <v>9254</v>
      </c>
      <c r="AT2231">
        <v>2.53798767967145</v>
      </c>
      <c r="AU2231">
        <f t="shared" si="104"/>
        <v>7.0000000000000001E-3</v>
      </c>
    </row>
    <row r="2232" spans="1:47" x14ac:dyDescent="0.3">
      <c r="A2232">
        <v>2230</v>
      </c>
      <c r="B2232" t="s">
        <v>9255</v>
      </c>
      <c r="C2232" t="s">
        <v>9256</v>
      </c>
      <c r="D2232">
        <v>390</v>
      </c>
      <c r="E2232" t="s">
        <v>9100</v>
      </c>
      <c r="F2232" t="str">
        <f>VLOOKUP(E2232,country_continent!A:C,2,FALSE)</f>
        <v>Denmark</v>
      </c>
      <c r="G2232" t="str">
        <f>VLOOKUP(E2232,country_continent!A:C,3,FALSE)</f>
        <v>Europe</v>
      </c>
      <c r="H2232" t="s">
        <v>9257</v>
      </c>
      <c r="I2232" s="1">
        <v>22892</v>
      </c>
      <c r="J2232" s="3">
        <f t="shared" si="102"/>
        <v>22892</v>
      </c>
      <c r="K2232" s="1">
        <v>24886</v>
      </c>
      <c r="L2232" s="3">
        <f t="shared" si="103"/>
        <v>24886</v>
      </c>
      <c r="M2232" t="s">
        <v>49</v>
      </c>
      <c r="N2232" t="s">
        <v>49</v>
      </c>
      <c r="O2232" t="s">
        <v>49</v>
      </c>
      <c r="P2232">
        <v>0</v>
      </c>
      <c r="Q2232" t="s">
        <v>50</v>
      </c>
      <c r="R2232" t="s">
        <v>51</v>
      </c>
      <c r="S2232">
        <v>1914</v>
      </c>
      <c r="T2232">
        <v>1978</v>
      </c>
      <c r="U2232" s="1">
        <v>5372</v>
      </c>
      <c r="V2232" s="2">
        <v>5372</v>
      </c>
      <c r="W2232" s="1">
        <v>28663</v>
      </c>
      <c r="X2232" s="2">
        <v>28663</v>
      </c>
      <c r="Y2232" t="s">
        <v>9258</v>
      </c>
      <c r="Z2232">
        <v>0</v>
      </c>
      <c r="AA2232">
        <v>1</v>
      </c>
      <c r="AB2232">
        <v>0</v>
      </c>
      <c r="AC2232">
        <v>0</v>
      </c>
      <c r="AF2232">
        <v>1962</v>
      </c>
      <c r="AG2232">
        <v>1968</v>
      </c>
      <c r="AO2232" t="b">
        <v>1</v>
      </c>
      <c r="AP2232" t="s">
        <v>177</v>
      </c>
      <c r="AQ2232">
        <v>1945</v>
      </c>
      <c r="AR2232">
        <v>2016</v>
      </c>
      <c r="AS2232" t="s">
        <v>9259</v>
      </c>
      <c r="AT2232">
        <v>5.4592744695414099</v>
      </c>
      <c r="AU2232">
        <f t="shared" si="104"/>
        <v>1.4999999999999999E-2</v>
      </c>
    </row>
    <row r="2233" spans="1:47" x14ac:dyDescent="0.3">
      <c r="A2233">
        <v>2231</v>
      </c>
      <c r="B2233" t="s">
        <v>9260</v>
      </c>
      <c r="C2233" t="s">
        <v>9261</v>
      </c>
      <c r="D2233">
        <v>390</v>
      </c>
      <c r="E2233" t="s">
        <v>9100</v>
      </c>
      <c r="F2233" t="str">
        <f>VLOOKUP(E2233,country_continent!A:C,2,FALSE)</f>
        <v>Denmark</v>
      </c>
      <c r="G2233" t="str">
        <f>VLOOKUP(E2233,country_continent!A:C,3,FALSE)</f>
        <v>Europe</v>
      </c>
      <c r="H2233" t="s">
        <v>9262</v>
      </c>
      <c r="I2233" s="1">
        <v>24886</v>
      </c>
      <c r="J2233" s="3">
        <f t="shared" si="102"/>
        <v>24886</v>
      </c>
      <c r="K2233" s="1">
        <v>26212</v>
      </c>
      <c r="L2233" s="3">
        <f t="shared" si="103"/>
        <v>26212</v>
      </c>
      <c r="M2233" t="s">
        <v>49</v>
      </c>
      <c r="N2233" t="s">
        <v>49</v>
      </c>
      <c r="O2233" t="s">
        <v>49</v>
      </c>
      <c r="P2233">
        <v>0</v>
      </c>
      <c r="Q2233" t="s">
        <v>50</v>
      </c>
      <c r="R2233" t="s">
        <v>51</v>
      </c>
      <c r="S2233">
        <v>1920</v>
      </c>
      <c r="T2233">
        <v>1989</v>
      </c>
      <c r="U2233" s="1">
        <v>7362</v>
      </c>
      <c r="V2233" s="2">
        <v>7362</v>
      </c>
      <c r="W2233" s="1">
        <v>32689</v>
      </c>
      <c r="X2233" s="2">
        <v>32689</v>
      </c>
      <c r="Y2233" t="s">
        <v>9263</v>
      </c>
      <c r="Z2233">
        <v>0</v>
      </c>
      <c r="AA2233">
        <v>1</v>
      </c>
      <c r="AB2233">
        <v>0</v>
      </c>
      <c r="AC2233">
        <v>0</v>
      </c>
      <c r="AF2233">
        <v>1968</v>
      </c>
      <c r="AG2233">
        <v>1971</v>
      </c>
      <c r="AO2233" t="b">
        <v>1</v>
      </c>
      <c r="AP2233" t="s">
        <v>177</v>
      </c>
      <c r="AQ2233">
        <v>1945</v>
      </c>
      <c r="AR2233">
        <v>2016</v>
      </c>
      <c r="AS2233" t="s">
        <v>9264</v>
      </c>
      <c r="AT2233">
        <v>3.6303901437371602</v>
      </c>
      <c r="AU2233">
        <f t="shared" si="104"/>
        <v>0.01</v>
      </c>
    </row>
    <row r="2234" spans="1:47" x14ac:dyDescent="0.3">
      <c r="A2234">
        <v>2232</v>
      </c>
      <c r="B2234" t="s">
        <v>9265</v>
      </c>
      <c r="C2234" t="s">
        <v>9256</v>
      </c>
      <c r="D2234">
        <v>390</v>
      </c>
      <c r="E2234" t="s">
        <v>9100</v>
      </c>
      <c r="F2234" t="str">
        <f>VLOOKUP(E2234,country_continent!A:C,2,FALSE)</f>
        <v>Denmark</v>
      </c>
      <c r="G2234" t="str">
        <f>VLOOKUP(E2234,country_continent!A:C,3,FALSE)</f>
        <v>Europe</v>
      </c>
      <c r="H2234" t="s">
        <v>9257</v>
      </c>
      <c r="I2234" s="1">
        <v>26217</v>
      </c>
      <c r="J2234" s="3">
        <f t="shared" si="102"/>
        <v>26217</v>
      </c>
      <c r="K2234" s="1">
        <v>26575</v>
      </c>
      <c r="L2234" s="3">
        <f t="shared" si="103"/>
        <v>26575</v>
      </c>
      <c r="M2234" t="s">
        <v>49</v>
      </c>
      <c r="N2234" t="s">
        <v>49</v>
      </c>
      <c r="O2234" t="s">
        <v>49</v>
      </c>
      <c r="P2234">
        <v>1</v>
      </c>
      <c r="Q2234" t="s">
        <v>50</v>
      </c>
      <c r="R2234" t="s">
        <v>51</v>
      </c>
      <c r="S2234">
        <v>1914</v>
      </c>
      <c r="T2234">
        <v>1978</v>
      </c>
      <c r="U2234" s="1">
        <v>5372</v>
      </c>
      <c r="V2234" s="2">
        <v>5372</v>
      </c>
      <c r="W2234" s="1">
        <v>28663</v>
      </c>
      <c r="X2234" s="2">
        <v>28663</v>
      </c>
      <c r="Y2234" t="s">
        <v>9258</v>
      </c>
      <c r="Z2234">
        <v>0</v>
      </c>
      <c r="AA2234">
        <v>1</v>
      </c>
      <c r="AB2234">
        <v>0</v>
      </c>
      <c r="AC2234">
        <v>0</v>
      </c>
      <c r="AF2234">
        <v>1971</v>
      </c>
      <c r="AG2234">
        <v>1972</v>
      </c>
      <c r="AO2234" t="b">
        <v>1</v>
      </c>
      <c r="AP2234" t="s">
        <v>177</v>
      </c>
      <c r="AQ2234">
        <v>1945</v>
      </c>
      <c r="AR2234">
        <v>2016</v>
      </c>
      <c r="AS2234" t="s">
        <v>9266</v>
      </c>
      <c r="AT2234">
        <v>0.98015058179329195</v>
      </c>
      <c r="AU2234">
        <f t="shared" si="104"/>
        <v>3.0000000000000001E-3</v>
      </c>
    </row>
    <row r="2235" spans="1:47" x14ac:dyDescent="0.3">
      <c r="A2235">
        <v>2233</v>
      </c>
      <c r="B2235" t="s">
        <v>9267</v>
      </c>
      <c r="C2235" t="s">
        <v>9268</v>
      </c>
      <c r="D2235">
        <v>390</v>
      </c>
      <c r="E2235" t="s">
        <v>9100</v>
      </c>
      <c r="F2235" t="str">
        <f>VLOOKUP(E2235,country_continent!A:C,2,FALSE)</f>
        <v>Denmark</v>
      </c>
      <c r="G2235" t="str">
        <f>VLOOKUP(E2235,country_continent!A:C,3,FALSE)</f>
        <v>Europe</v>
      </c>
      <c r="H2235" t="s">
        <v>9269</v>
      </c>
      <c r="I2235" s="1">
        <v>26577</v>
      </c>
      <c r="J2235" s="3">
        <f t="shared" si="102"/>
        <v>26577</v>
      </c>
      <c r="K2235" s="1">
        <v>27017</v>
      </c>
      <c r="L2235" s="3">
        <f t="shared" si="103"/>
        <v>27017</v>
      </c>
      <c r="M2235" t="s">
        <v>49</v>
      </c>
      <c r="N2235" t="s">
        <v>49</v>
      </c>
      <c r="O2235" t="s">
        <v>49</v>
      </c>
      <c r="P2235">
        <v>0</v>
      </c>
      <c r="Q2235" t="s">
        <v>50</v>
      </c>
      <c r="R2235" t="s">
        <v>51</v>
      </c>
      <c r="S2235">
        <v>1923</v>
      </c>
      <c r="T2235">
        <v>-777</v>
      </c>
      <c r="U2235" s="1">
        <v>8594</v>
      </c>
      <c r="V2235" s="2">
        <v>8594</v>
      </c>
      <c r="Z2235">
        <v>0</v>
      </c>
      <c r="AA2235">
        <v>1</v>
      </c>
      <c r="AB2235">
        <v>0</v>
      </c>
      <c r="AC2235">
        <v>0</v>
      </c>
      <c r="AF2235">
        <v>1972</v>
      </c>
      <c r="AG2235">
        <v>1973</v>
      </c>
      <c r="AO2235" t="b">
        <v>1</v>
      </c>
      <c r="AP2235" t="s">
        <v>177</v>
      </c>
      <c r="AQ2235">
        <v>1945</v>
      </c>
      <c r="AR2235">
        <v>2016</v>
      </c>
      <c r="AS2235" t="s">
        <v>9270</v>
      </c>
      <c r="AT2235">
        <v>1.2046543463381201</v>
      </c>
      <c r="AU2235">
        <f t="shared" si="104"/>
        <v>3.0000000000000001E-3</v>
      </c>
    </row>
    <row r="2236" spans="1:47" x14ac:dyDescent="0.3">
      <c r="A2236">
        <v>2234</v>
      </c>
      <c r="B2236" t="s">
        <v>9271</v>
      </c>
      <c r="C2236" t="s">
        <v>9272</v>
      </c>
      <c r="D2236">
        <v>390</v>
      </c>
      <c r="E2236" t="s">
        <v>9100</v>
      </c>
      <c r="F2236" t="str">
        <f>VLOOKUP(E2236,country_continent!A:C,2,FALSE)</f>
        <v>Denmark</v>
      </c>
      <c r="G2236" t="str">
        <f>VLOOKUP(E2236,country_continent!A:C,3,FALSE)</f>
        <v>Europe</v>
      </c>
      <c r="H2236" t="s">
        <v>9273</v>
      </c>
      <c r="I2236" s="1">
        <v>27017</v>
      </c>
      <c r="J2236" s="3">
        <f t="shared" si="102"/>
        <v>27017</v>
      </c>
      <c r="K2236" s="1">
        <v>27423</v>
      </c>
      <c r="L2236" s="3">
        <f t="shared" si="103"/>
        <v>27423</v>
      </c>
      <c r="M2236" t="s">
        <v>49</v>
      </c>
      <c r="N2236" t="s">
        <v>49</v>
      </c>
      <c r="O2236" t="s">
        <v>49</v>
      </c>
      <c r="P2236">
        <v>0</v>
      </c>
      <c r="Q2236" t="s">
        <v>50</v>
      </c>
      <c r="R2236" t="s">
        <v>51</v>
      </c>
      <c r="S2236">
        <v>1914</v>
      </c>
      <c r="T2236">
        <v>2000</v>
      </c>
      <c r="U2236" s="1">
        <v>5340</v>
      </c>
      <c r="V2236" s="2">
        <v>5340</v>
      </c>
      <c r="W2236" s="1">
        <v>36646</v>
      </c>
      <c r="X2236" s="2">
        <v>36646</v>
      </c>
      <c r="Y2236" t="s">
        <v>9274</v>
      </c>
      <c r="Z2236">
        <v>0</v>
      </c>
      <c r="AA2236">
        <v>1</v>
      </c>
      <c r="AB2236">
        <v>0</v>
      </c>
      <c r="AC2236">
        <v>0</v>
      </c>
      <c r="AF2236">
        <v>1973</v>
      </c>
      <c r="AG2236">
        <v>1975</v>
      </c>
      <c r="AO2236" t="b">
        <v>1</v>
      </c>
      <c r="AP2236" t="s">
        <v>177</v>
      </c>
      <c r="AQ2236">
        <v>1945</v>
      </c>
      <c r="AR2236">
        <v>2016</v>
      </c>
      <c r="AS2236" t="s">
        <v>9275</v>
      </c>
      <c r="AT2236">
        <v>1.11156741957563</v>
      </c>
      <c r="AU2236">
        <f t="shared" si="104"/>
        <v>3.0000000000000001E-3</v>
      </c>
    </row>
    <row r="2237" spans="1:47" x14ac:dyDescent="0.3">
      <c r="A2237">
        <v>2235</v>
      </c>
      <c r="B2237" t="s">
        <v>9276</v>
      </c>
      <c r="C2237" t="s">
        <v>9268</v>
      </c>
      <c r="D2237">
        <v>390</v>
      </c>
      <c r="E2237" t="s">
        <v>9100</v>
      </c>
      <c r="F2237" t="str">
        <f>VLOOKUP(E2237,country_continent!A:C,2,FALSE)</f>
        <v>Denmark</v>
      </c>
      <c r="G2237" t="str">
        <f>VLOOKUP(E2237,country_continent!A:C,3,FALSE)</f>
        <v>Europe</v>
      </c>
      <c r="H2237" t="s">
        <v>9269</v>
      </c>
      <c r="I2237" s="1">
        <v>27438</v>
      </c>
      <c r="J2237" s="3">
        <f t="shared" si="102"/>
        <v>27438</v>
      </c>
      <c r="K2237" s="1">
        <v>30204</v>
      </c>
      <c r="L2237" s="3">
        <f t="shared" si="103"/>
        <v>30204</v>
      </c>
      <c r="M2237" t="s">
        <v>49</v>
      </c>
      <c r="N2237" t="s">
        <v>49</v>
      </c>
      <c r="O2237" t="s">
        <v>49</v>
      </c>
      <c r="P2237">
        <v>1</v>
      </c>
      <c r="Q2237" t="s">
        <v>50</v>
      </c>
      <c r="R2237" t="s">
        <v>51</v>
      </c>
      <c r="S2237">
        <v>1923</v>
      </c>
      <c r="T2237">
        <v>-777</v>
      </c>
      <c r="U2237" s="1">
        <v>8594</v>
      </c>
      <c r="V2237" s="2">
        <v>8594</v>
      </c>
      <c r="Z2237">
        <v>0</v>
      </c>
      <c r="AA2237">
        <v>1</v>
      </c>
      <c r="AB2237">
        <v>0</v>
      </c>
      <c r="AC2237">
        <v>0</v>
      </c>
      <c r="AF2237">
        <v>1975</v>
      </c>
      <c r="AG2237">
        <v>1982</v>
      </c>
      <c r="AO2237" t="b">
        <v>1</v>
      </c>
      <c r="AP2237" t="s">
        <v>177</v>
      </c>
      <c r="AQ2237">
        <v>1945</v>
      </c>
      <c r="AR2237">
        <v>2016</v>
      </c>
      <c r="AS2237" t="s">
        <v>9277</v>
      </c>
      <c r="AT2237">
        <v>7.5728952772073903</v>
      </c>
      <c r="AU2237">
        <f t="shared" si="104"/>
        <v>2.1000000000000001E-2</v>
      </c>
    </row>
    <row r="2238" spans="1:47" x14ac:dyDescent="0.3">
      <c r="A2238">
        <v>2236</v>
      </c>
      <c r="B2238" t="s">
        <v>9278</v>
      </c>
      <c r="C2238" t="s">
        <v>9279</v>
      </c>
      <c r="D2238">
        <v>390</v>
      </c>
      <c r="E2238" t="s">
        <v>9100</v>
      </c>
      <c r="F2238" t="str">
        <f>VLOOKUP(E2238,country_continent!A:C,2,FALSE)</f>
        <v>Denmark</v>
      </c>
      <c r="G2238" t="str">
        <f>VLOOKUP(E2238,country_continent!A:C,3,FALSE)</f>
        <v>Europe</v>
      </c>
      <c r="H2238" t="s">
        <v>9280</v>
      </c>
      <c r="I2238" s="1">
        <v>30204</v>
      </c>
      <c r="J2238" s="3">
        <f t="shared" si="102"/>
        <v>30204</v>
      </c>
      <c r="K2238" s="1">
        <v>33994</v>
      </c>
      <c r="L2238" s="3">
        <f t="shared" si="103"/>
        <v>33994</v>
      </c>
      <c r="M2238" t="s">
        <v>49</v>
      </c>
      <c r="N2238" t="s">
        <v>49</v>
      </c>
      <c r="O2238" t="s">
        <v>49</v>
      </c>
      <c r="P2238">
        <v>0</v>
      </c>
      <c r="Q2238" t="s">
        <v>50</v>
      </c>
      <c r="R2238" t="s">
        <v>51</v>
      </c>
      <c r="S2238">
        <v>1929</v>
      </c>
      <c r="T2238">
        <v>-777</v>
      </c>
      <c r="U2238" s="1">
        <v>10686</v>
      </c>
      <c r="V2238" s="2">
        <v>10686</v>
      </c>
      <c r="Y2238" t="s">
        <v>9281</v>
      </c>
      <c r="Z2238">
        <v>0</v>
      </c>
      <c r="AA2238">
        <v>1</v>
      </c>
      <c r="AB2238">
        <v>0</v>
      </c>
      <c r="AC2238">
        <v>0</v>
      </c>
      <c r="AF2238">
        <v>1982</v>
      </c>
      <c r="AG2238">
        <v>1993</v>
      </c>
      <c r="AO2238" t="b">
        <v>1</v>
      </c>
      <c r="AP2238" t="s">
        <v>177</v>
      </c>
      <c r="AQ2238">
        <v>1945</v>
      </c>
      <c r="AR2238">
        <v>2016</v>
      </c>
      <c r="AS2238" t="s">
        <v>9282</v>
      </c>
      <c r="AT2238">
        <v>10.376454483230599</v>
      </c>
      <c r="AU2238">
        <f t="shared" si="104"/>
        <v>2.8000000000000001E-2</v>
      </c>
    </row>
    <row r="2239" spans="1:47" x14ac:dyDescent="0.3">
      <c r="A2239">
        <v>2237</v>
      </c>
      <c r="B2239" t="s">
        <v>9283</v>
      </c>
      <c r="C2239" t="s">
        <v>9284</v>
      </c>
      <c r="D2239">
        <v>390</v>
      </c>
      <c r="E2239" t="s">
        <v>9100</v>
      </c>
      <c r="F2239" t="str">
        <f>VLOOKUP(E2239,country_continent!A:C,2,FALSE)</f>
        <v>Denmark</v>
      </c>
      <c r="G2239" t="str">
        <f>VLOOKUP(E2239,country_continent!A:C,3,FALSE)</f>
        <v>Europe</v>
      </c>
      <c r="H2239" t="s">
        <v>9285</v>
      </c>
      <c r="I2239" s="1">
        <v>33994</v>
      </c>
      <c r="J2239" s="3">
        <f t="shared" si="102"/>
        <v>33994</v>
      </c>
      <c r="K2239" s="1">
        <v>37222</v>
      </c>
      <c r="L2239" s="3">
        <f t="shared" si="103"/>
        <v>37222</v>
      </c>
      <c r="M2239" t="s">
        <v>49</v>
      </c>
      <c r="N2239" t="s">
        <v>49</v>
      </c>
      <c r="O2239" t="s">
        <v>49</v>
      </c>
      <c r="P2239">
        <v>0</v>
      </c>
      <c r="Q2239" t="s">
        <v>50</v>
      </c>
      <c r="R2239" t="s">
        <v>51</v>
      </c>
      <c r="S2239">
        <v>1943</v>
      </c>
      <c r="T2239">
        <v>-777</v>
      </c>
      <c r="U2239" s="1">
        <v>15872</v>
      </c>
      <c r="V2239" s="2">
        <v>15872</v>
      </c>
      <c r="Y2239" t="s">
        <v>9286</v>
      </c>
      <c r="Z2239">
        <v>0</v>
      </c>
      <c r="AA2239">
        <v>1</v>
      </c>
      <c r="AB2239">
        <v>0</v>
      </c>
      <c r="AC2239">
        <v>0</v>
      </c>
      <c r="AF2239">
        <v>1993</v>
      </c>
      <c r="AG2239">
        <v>2001</v>
      </c>
      <c r="AO2239" t="b">
        <v>1</v>
      </c>
      <c r="AP2239" t="s">
        <v>177</v>
      </c>
      <c r="AQ2239">
        <v>1945</v>
      </c>
      <c r="AR2239">
        <v>2016</v>
      </c>
      <c r="AS2239" t="s">
        <v>9287</v>
      </c>
      <c r="AT2239">
        <v>8.8377823408624199</v>
      </c>
      <c r="AU2239">
        <f t="shared" si="104"/>
        <v>2.4E-2</v>
      </c>
    </row>
    <row r="2240" spans="1:47" x14ac:dyDescent="0.3">
      <c r="A2240">
        <v>2238</v>
      </c>
      <c r="B2240" t="s">
        <v>9288</v>
      </c>
      <c r="C2240" t="s">
        <v>9289</v>
      </c>
      <c r="D2240">
        <v>390</v>
      </c>
      <c r="E2240" t="s">
        <v>9100</v>
      </c>
      <c r="F2240" t="str">
        <f>VLOOKUP(E2240,country_continent!A:C,2,FALSE)</f>
        <v>Denmark</v>
      </c>
      <c r="G2240" t="str">
        <f>VLOOKUP(E2240,country_continent!A:C,3,FALSE)</f>
        <v>Europe</v>
      </c>
      <c r="H2240" t="s">
        <v>9290</v>
      </c>
      <c r="I2240" s="1">
        <v>37222</v>
      </c>
      <c r="J2240" s="3">
        <f t="shared" si="102"/>
        <v>37222</v>
      </c>
      <c r="K2240" s="1">
        <v>39908</v>
      </c>
      <c r="L2240" s="3">
        <f t="shared" si="103"/>
        <v>39908</v>
      </c>
      <c r="M2240" t="s">
        <v>49</v>
      </c>
      <c r="N2240" t="s">
        <v>49</v>
      </c>
      <c r="O2240" t="s">
        <v>49</v>
      </c>
      <c r="P2240">
        <v>0</v>
      </c>
      <c r="Q2240" t="s">
        <v>50</v>
      </c>
      <c r="R2240" t="s">
        <v>51</v>
      </c>
      <c r="S2240">
        <v>1953</v>
      </c>
      <c r="T2240">
        <v>-777</v>
      </c>
      <c r="U2240" s="1">
        <v>19385</v>
      </c>
      <c r="V2240" s="2">
        <v>19385</v>
      </c>
      <c r="Y2240" t="s">
        <v>9291</v>
      </c>
      <c r="Z2240">
        <v>0</v>
      </c>
      <c r="AA2240">
        <v>1</v>
      </c>
      <c r="AB2240">
        <v>0</v>
      </c>
      <c r="AC2240">
        <v>0</v>
      </c>
      <c r="AF2240">
        <v>2001</v>
      </c>
      <c r="AG2240">
        <v>2009</v>
      </c>
      <c r="AO2240" t="b">
        <v>1</v>
      </c>
      <c r="AP2240" t="s">
        <v>177</v>
      </c>
      <c r="AQ2240">
        <v>1945</v>
      </c>
      <c r="AR2240">
        <v>2016</v>
      </c>
      <c r="AS2240" t="s">
        <v>9292</v>
      </c>
      <c r="AT2240">
        <v>7.3538672142368204</v>
      </c>
      <c r="AU2240">
        <f t="shared" si="104"/>
        <v>0.02</v>
      </c>
    </row>
    <row r="2241" spans="1:47" x14ac:dyDescent="0.3">
      <c r="A2241">
        <v>2239</v>
      </c>
      <c r="B2241" t="s">
        <v>9293</v>
      </c>
      <c r="C2241" t="s">
        <v>9294</v>
      </c>
      <c r="D2241">
        <v>390</v>
      </c>
      <c r="E2241" t="s">
        <v>9100</v>
      </c>
      <c r="F2241" t="str">
        <f>VLOOKUP(E2241,country_continent!A:C,2,FALSE)</f>
        <v>Denmark</v>
      </c>
      <c r="G2241" t="str">
        <f>VLOOKUP(E2241,country_continent!A:C,3,FALSE)</f>
        <v>Europe</v>
      </c>
      <c r="H2241" t="s">
        <v>9295</v>
      </c>
      <c r="I2241" s="1">
        <v>39908</v>
      </c>
      <c r="J2241" s="3">
        <f t="shared" si="102"/>
        <v>39908</v>
      </c>
      <c r="K2241" s="1">
        <v>40819</v>
      </c>
      <c r="L2241" s="3">
        <f t="shared" si="103"/>
        <v>40819</v>
      </c>
      <c r="M2241" t="s">
        <v>49</v>
      </c>
      <c r="N2241" t="s">
        <v>49</v>
      </c>
      <c r="O2241" t="s">
        <v>49</v>
      </c>
      <c r="P2241">
        <v>0</v>
      </c>
      <c r="Q2241" t="s">
        <v>50</v>
      </c>
      <c r="R2241" t="s">
        <v>51</v>
      </c>
      <c r="S2241">
        <v>1964</v>
      </c>
      <c r="T2241">
        <v>-777</v>
      </c>
      <c r="Z2241">
        <v>0</v>
      </c>
      <c r="AA2241">
        <v>1</v>
      </c>
      <c r="AB2241">
        <v>0</v>
      </c>
      <c r="AC2241">
        <v>0</v>
      </c>
      <c r="AF2241">
        <v>2009</v>
      </c>
      <c r="AG2241">
        <v>2011</v>
      </c>
      <c r="AO2241" t="b">
        <v>1</v>
      </c>
      <c r="AP2241" t="s">
        <v>177</v>
      </c>
      <c r="AQ2241">
        <v>1945</v>
      </c>
      <c r="AR2241">
        <v>2016</v>
      </c>
      <c r="AS2241" t="s">
        <v>9296</v>
      </c>
      <c r="AT2241">
        <v>2.49418206707734</v>
      </c>
      <c r="AU2241">
        <f t="shared" si="104"/>
        <v>7.0000000000000001E-3</v>
      </c>
    </row>
    <row r="2242" spans="1:47" x14ac:dyDescent="0.3">
      <c r="A2242">
        <v>2240</v>
      </c>
      <c r="B2242" t="s">
        <v>9297</v>
      </c>
      <c r="C2242" t="s">
        <v>9298</v>
      </c>
      <c r="D2242">
        <v>390</v>
      </c>
      <c r="E2242" t="s">
        <v>9100</v>
      </c>
      <c r="F2242" t="str">
        <f>VLOOKUP(E2242,country_continent!A:C,2,FALSE)</f>
        <v>Denmark</v>
      </c>
      <c r="G2242" t="str">
        <f>VLOOKUP(E2242,country_continent!A:C,3,FALSE)</f>
        <v>Europe</v>
      </c>
      <c r="H2242" t="s">
        <v>9299</v>
      </c>
      <c r="I2242" s="1">
        <v>40819</v>
      </c>
      <c r="J2242" s="3">
        <f t="shared" si="102"/>
        <v>40819</v>
      </c>
      <c r="K2242" s="1">
        <v>42183</v>
      </c>
      <c r="L2242" s="3">
        <f t="shared" si="103"/>
        <v>42183</v>
      </c>
      <c r="M2242" t="s">
        <v>49</v>
      </c>
      <c r="N2242" t="s">
        <v>49</v>
      </c>
      <c r="O2242" t="s">
        <v>49</v>
      </c>
      <c r="P2242">
        <v>0</v>
      </c>
      <c r="Q2242" t="s">
        <v>312</v>
      </c>
      <c r="R2242" t="s">
        <v>299</v>
      </c>
      <c r="S2242">
        <v>1966</v>
      </c>
      <c r="T2242">
        <v>-777</v>
      </c>
      <c r="U2242" s="1">
        <v>24455</v>
      </c>
      <c r="V2242" s="2">
        <v>24455</v>
      </c>
      <c r="Z2242">
        <v>0</v>
      </c>
      <c r="AA2242">
        <v>1</v>
      </c>
      <c r="AB2242">
        <v>0</v>
      </c>
      <c r="AC2242">
        <v>-999</v>
      </c>
      <c r="AF2242">
        <v>2011</v>
      </c>
      <c r="AG2242">
        <v>2015</v>
      </c>
      <c r="AO2242" t="b">
        <v>1</v>
      </c>
      <c r="AP2242" t="s">
        <v>177</v>
      </c>
      <c r="AQ2242">
        <v>1945</v>
      </c>
      <c r="AR2242">
        <v>2016</v>
      </c>
      <c r="AS2242" t="s">
        <v>9300</v>
      </c>
      <c r="AT2242">
        <v>3.7344284736481801</v>
      </c>
      <c r="AU2242">
        <f t="shared" si="104"/>
        <v>0.01</v>
      </c>
    </row>
    <row r="2243" spans="1:47" x14ac:dyDescent="0.3">
      <c r="A2243">
        <v>2241</v>
      </c>
      <c r="B2243" t="s">
        <v>9301</v>
      </c>
      <c r="C2243" t="s">
        <v>9302</v>
      </c>
      <c r="D2243">
        <v>390</v>
      </c>
      <c r="E2243" t="s">
        <v>9100</v>
      </c>
      <c r="F2243" t="str">
        <f>VLOOKUP(E2243,country_continent!A:C,2,FALSE)</f>
        <v>Denmark</v>
      </c>
      <c r="G2243" t="str">
        <f>VLOOKUP(E2243,country_continent!A:C,3,FALSE)</f>
        <v>Europe</v>
      </c>
      <c r="H2243" t="s">
        <v>9295</v>
      </c>
      <c r="I2243" s="1">
        <v>42183</v>
      </c>
      <c r="J2243" s="3">
        <f t="shared" ref="J2243:J2306" si="105">IF(ISNUMBER(SEARCH("-", I2243)), SUBSTITUTE(I2243, "-", "/"), I2243)</f>
        <v>42183</v>
      </c>
      <c r="K2243" s="1">
        <v>42369</v>
      </c>
      <c r="L2243" s="3">
        <f t="shared" ref="L2243:L2306" si="106">IF(ISNUMBER(SEARCH("-", K2243)), SUBSTITUTE(K2243, "-", "/"), K2243)</f>
        <v>42369</v>
      </c>
      <c r="M2243" t="s">
        <v>49</v>
      </c>
      <c r="N2243" t="s">
        <v>173</v>
      </c>
      <c r="O2243" t="s">
        <v>173</v>
      </c>
      <c r="P2243">
        <v>0</v>
      </c>
      <c r="Q2243" t="s">
        <v>174</v>
      </c>
      <c r="R2243" t="s">
        <v>299</v>
      </c>
      <c r="S2243">
        <v>1964</v>
      </c>
      <c r="T2243">
        <v>-777</v>
      </c>
      <c r="U2243" s="1">
        <v>23512</v>
      </c>
      <c r="V2243" s="2">
        <v>23512</v>
      </c>
      <c r="Z2243">
        <v>0</v>
      </c>
      <c r="AA2243">
        <v>-888</v>
      </c>
      <c r="AB2243">
        <v>-888</v>
      </c>
      <c r="AC2243">
        <v>-888</v>
      </c>
      <c r="AF2243">
        <v>2015</v>
      </c>
      <c r="AG2243">
        <v>2015</v>
      </c>
      <c r="AO2243" t="b">
        <v>1</v>
      </c>
      <c r="AP2243" t="s">
        <v>177</v>
      </c>
      <c r="AQ2243">
        <v>1945</v>
      </c>
      <c r="AR2243">
        <v>2016</v>
      </c>
      <c r="AS2243" t="s">
        <v>9225</v>
      </c>
      <c r="AT2243">
        <v>0.50924024640656995</v>
      </c>
      <c r="AU2243">
        <f t="shared" si="104"/>
        <v>1E-3</v>
      </c>
    </row>
    <row r="2244" spans="1:47" x14ac:dyDescent="0.3">
      <c r="A2244">
        <v>2242</v>
      </c>
      <c r="B2244" t="s">
        <v>9303</v>
      </c>
      <c r="C2244" t="s">
        <v>9304</v>
      </c>
      <c r="D2244">
        <v>395</v>
      </c>
      <c r="E2244" t="s">
        <v>9305</v>
      </c>
      <c r="F2244" t="str">
        <f>VLOOKUP(E2244,country_continent!A:C,2,FALSE)</f>
        <v>Iceland</v>
      </c>
      <c r="G2244" t="str">
        <f>VLOOKUP(E2244,country_continent!A:C,3,FALSE)</f>
        <v>Europe</v>
      </c>
      <c r="H2244" t="s">
        <v>9306</v>
      </c>
      <c r="I2244" s="1">
        <v>16209</v>
      </c>
      <c r="J2244" s="3">
        <f t="shared" si="105"/>
        <v>16209</v>
      </c>
      <c r="K2244" s="1">
        <v>16366</v>
      </c>
      <c r="L2244" s="3">
        <f t="shared" si="106"/>
        <v>16366</v>
      </c>
      <c r="M2244" t="s">
        <v>49</v>
      </c>
      <c r="N2244" t="s">
        <v>49</v>
      </c>
      <c r="O2244" t="s">
        <v>49</v>
      </c>
      <c r="P2244">
        <v>0</v>
      </c>
      <c r="Q2244" t="s">
        <v>50</v>
      </c>
      <c r="R2244" t="s">
        <v>51</v>
      </c>
      <c r="S2244">
        <v>1879</v>
      </c>
      <c r="T2244">
        <v>1963</v>
      </c>
      <c r="Z2244">
        <v>0</v>
      </c>
      <c r="AA2244">
        <v>1</v>
      </c>
      <c r="AB2244">
        <v>0</v>
      </c>
      <c r="AC2244">
        <v>0</v>
      </c>
      <c r="AF2244">
        <v>1944</v>
      </c>
      <c r="AG2244">
        <v>1944</v>
      </c>
      <c r="AO2244" t="b">
        <v>1</v>
      </c>
      <c r="AP2244" t="s">
        <v>9100</v>
      </c>
      <c r="AQ2244">
        <v>1945</v>
      </c>
      <c r="AR2244">
        <v>2016</v>
      </c>
      <c r="AS2244" t="s">
        <v>9307</v>
      </c>
      <c r="AT2244">
        <v>0.42984257357973898</v>
      </c>
      <c r="AU2244">
        <f t="shared" ref="AU2244:AU2307" si="107">ROUND(AT2244/365,3)</f>
        <v>1E-3</v>
      </c>
    </row>
    <row r="2245" spans="1:47" x14ac:dyDescent="0.3">
      <c r="A2245">
        <v>2243</v>
      </c>
      <c r="B2245" t="s">
        <v>9308</v>
      </c>
      <c r="C2245" t="s">
        <v>9309</v>
      </c>
      <c r="D2245">
        <v>395</v>
      </c>
      <c r="E2245" t="s">
        <v>9305</v>
      </c>
      <c r="F2245" t="str">
        <f>VLOOKUP(E2245,country_continent!A:C,2,FALSE)</f>
        <v>Iceland</v>
      </c>
      <c r="G2245" t="str">
        <f>VLOOKUP(E2245,country_continent!A:C,3,FALSE)</f>
        <v>Europe</v>
      </c>
      <c r="H2245" t="s">
        <v>9310</v>
      </c>
      <c r="I2245" s="1">
        <v>16366</v>
      </c>
      <c r="J2245" s="3">
        <f t="shared" si="105"/>
        <v>16366</v>
      </c>
      <c r="K2245" s="1">
        <v>17201</v>
      </c>
      <c r="L2245" s="3">
        <f t="shared" si="106"/>
        <v>17201</v>
      </c>
      <c r="M2245" t="s">
        <v>49</v>
      </c>
      <c r="N2245" t="s">
        <v>49</v>
      </c>
      <c r="O2245" t="s">
        <v>49</v>
      </c>
      <c r="P2245">
        <v>0</v>
      </c>
      <c r="Q2245" t="s">
        <v>50</v>
      </c>
      <c r="R2245" t="s">
        <v>51</v>
      </c>
      <c r="S2245">
        <v>1892</v>
      </c>
      <c r="T2245">
        <v>1964</v>
      </c>
      <c r="U2245" t="s">
        <v>9311</v>
      </c>
      <c r="V2245" t="s">
        <v>9312</v>
      </c>
      <c r="Y2245" t="s">
        <v>9313</v>
      </c>
      <c r="Z2245">
        <v>0</v>
      </c>
      <c r="AA2245">
        <v>1</v>
      </c>
      <c r="AB2245">
        <v>0</v>
      </c>
      <c r="AC2245">
        <v>0</v>
      </c>
      <c r="AF2245">
        <v>1944</v>
      </c>
      <c r="AG2245">
        <v>1947</v>
      </c>
      <c r="AO2245" t="b">
        <v>1</v>
      </c>
      <c r="AP2245" t="s">
        <v>9100</v>
      </c>
      <c r="AQ2245">
        <v>1945</v>
      </c>
      <c r="AR2245">
        <v>2016</v>
      </c>
      <c r="AS2245" t="s">
        <v>9314</v>
      </c>
      <c r="AT2245">
        <v>2.2861054072553002</v>
      </c>
      <c r="AU2245">
        <f t="shared" si="107"/>
        <v>6.0000000000000001E-3</v>
      </c>
    </row>
    <row r="2246" spans="1:47" x14ac:dyDescent="0.3">
      <c r="A2246">
        <v>2244</v>
      </c>
      <c r="B2246" t="s">
        <v>9315</v>
      </c>
      <c r="C2246" t="s">
        <v>9316</v>
      </c>
      <c r="D2246">
        <v>395</v>
      </c>
      <c r="E2246" t="s">
        <v>9305</v>
      </c>
      <c r="F2246" t="str">
        <f>VLOOKUP(E2246,country_continent!A:C,2,FALSE)</f>
        <v>Iceland</v>
      </c>
      <c r="G2246" t="str">
        <f>VLOOKUP(E2246,country_continent!A:C,3,FALSE)</f>
        <v>Europe</v>
      </c>
      <c r="H2246" t="s">
        <v>9317</v>
      </c>
      <c r="I2246" s="1">
        <v>17201</v>
      </c>
      <c r="J2246" s="3">
        <f t="shared" si="105"/>
        <v>17201</v>
      </c>
      <c r="K2246" s="1">
        <v>18238</v>
      </c>
      <c r="L2246" s="3">
        <f t="shared" si="106"/>
        <v>18238</v>
      </c>
      <c r="M2246" t="s">
        <v>49</v>
      </c>
      <c r="N2246" t="s">
        <v>49</v>
      </c>
      <c r="O2246" t="s">
        <v>49</v>
      </c>
      <c r="P2246">
        <v>0</v>
      </c>
      <c r="Q2246" t="s">
        <v>50</v>
      </c>
      <c r="R2246" t="s">
        <v>51</v>
      </c>
      <c r="S2246">
        <v>1894</v>
      </c>
      <c r="T2246">
        <v>1980</v>
      </c>
      <c r="U2246" t="s">
        <v>9318</v>
      </c>
      <c r="V2246" t="s">
        <v>9319</v>
      </c>
      <c r="Y2246" t="s">
        <v>9320</v>
      </c>
      <c r="Z2246">
        <v>0</v>
      </c>
      <c r="AA2246">
        <v>1</v>
      </c>
      <c r="AB2246">
        <v>0</v>
      </c>
      <c r="AC2246">
        <v>0</v>
      </c>
      <c r="AF2246">
        <v>1947</v>
      </c>
      <c r="AG2246">
        <v>1949</v>
      </c>
      <c r="AO2246" t="b">
        <v>1</v>
      </c>
      <c r="AP2246" t="s">
        <v>9100</v>
      </c>
      <c r="AQ2246">
        <v>1945</v>
      </c>
      <c r="AR2246">
        <v>2016</v>
      </c>
      <c r="AS2246" t="s">
        <v>9321</v>
      </c>
      <c r="AT2246">
        <v>2.8391512662559801</v>
      </c>
      <c r="AU2246">
        <f t="shared" si="107"/>
        <v>8.0000000000000002E-3</v>
      </c>
    </row>
    <row r="2247" spans="1:47" x14ac:dyDescent="0.3">
      <c r="A2247">
        <v>2245</v>
      </c>
      <c r="B2247" t="s">
        <v>9322</v>
      </c>
      <c r="C2247" t="s">
        <v>9309</v>
      </c>
      <c r="D2247">
        <v>395</v>
      </c>
      <c r="E2247" t="s">
        <v>9305</v>
      </c>
      <c r="F2247" t="str">
        <f>VLOOKUP(E2247,country_continent!A:C,2,FALSE)</f>
        <v>Iceland</v>
      </c>
      <c r="G2247" t="str">
        <f>VLOOKUP(E2247,country_continent!A:C,3,FALSE)</f>
        <v>Europe</v>
      </c>
      <c r="H2247" t="s">
        <v>9310</v>
      </c>
      <c r="I2247" s="1">
        <v>18238</v>
      </c>
      <c r="J2247" s="3">
        <f t="shared" si="105"/>
        <v>18238</v>
      </c>
      <c r="K2247" s="1">
        <v>18336</v>
      </c>
      <c r="L2247" s="3">
        <f t="shared" si="106"/>
        <v>18336</v>
      </c>
      <c r="M2247" t="s">
        <v>49</v>
      </c>
      <c r="N2247" t="s">
        <v>49</v>
      </c>
      <c r="O2247" t="s">
        <v>49</v>
      </c>
      <c r="P2247">
        <v>1</v>
      </c>
      <c r="Q2247" t="s">
        <v>50</v>
      </c>
      <c r="R2247" t="s">
        <v>51</v>
      </c>
      <c r="S2247">
        <v>1892</v>
      </c>
      <c r="T2247">
        <v>1964</v>
      </c>
      <c r="U2247" t="s">
        <v>9311</v>
      </c>
      <c r="V2247" t="s">
        <v>9312</v>
      </c>
      <c r="Y2247" t="s">
        <v>9313</v>
      </c>
      <c r="Z2247">
        <v>0</v>
      </c>
      <c r="AA2247">
        <v>1</v>
      </c>
      <c r="AB2247">
        <v>0</v>
      </c>
      <c r="AC2247">
        <v>0</v>
      </c>
      <c r="AF2247">
        <v>1949</v>
      </c>
      <c r="AG2247">
        <v>1950</v>
      </c>
      <c r="AO2247" t="b">
        <v>1</v>
      </c>
      <c r="AP2247" t="s">
        <v>9100</v>
      </c>
      <c r="AQ2247">
        <v>1945</v>
      </c>
      <c r="AR2247">
        <v>2016</v>
      </c>
      <c r="AS2247" t="s">
        <v>9323</v>
      </c>
      <c r="AT2247">
        <v>0.26830937713894498</v>
      </c>
      <c r="AU2247">
        <f t="shared" si="107"/>
        <v>1E-3</v>
      </c>
    </row>
    <row r="2248" spans="1:47" x14ac:dyDescent="0.3">
      <c r="A2248">
        <v>2246</v>
      </c>
      <c r="B2248" t="s">
        <v>9324</v>
      </c>
      <c r="C2248" t="s">
        <v>9325</v>
      </c>
      <c r="D2248">
        <v>395</v>
      </c>
      <c r="E2248" t="s">
        <v>9305</v>
      </c>
      <c r="F2248" t="str">
        <f>VLOOKUP(E2248,country_continent!A:C,2,FALSE)</f>
        <v>Iceland</v>
      </c>
      <c r="G2248" t="str">
        <f>VLOOKUP(E2248,country_continent!A:C,3,FALSE)</f>
        <v>Europe</v>
      </c>
      <c r="H2248" t="s">
        <v>9326</v>
      </c>
      <c r="I2248" s="1">
        <v>18336</v>
      </c>
      <c r="J2248" s="3">
        <f t="shared" si="105"/>
        <v>18336</v>
      </c>
      <c r="K2248" s="1">
        <v>19615</v>
      </c>
      <c r="L2248" s="3">
        <f t="shared" si="106"/>
        <v>19615</v>
      </c>
      <c r="M2248" t="s">
        <v>49</v>
      </c>
      <c r="N2248" t="s">
        <v>49</v>
      </c>
      <c r="O2248" t="s">
        <v>49</v>
      </c>
      <c r="P2248">
        <v>0</v>
      </c>
      <c r="Q2248" t="s">
        <v>50</v>
      </c>
      <c r="R2248" t="s">
        <v>51</v>
      </c>
      <c r="S2248">
        <v>1893</v>
      </c>
      <c r="T2248">
        <v>1966</v>
      </c>
      <c r="U2248" t="s">
        <v>9327</v>
      </c>
      <c r="V2248" t="s">
        <v>9328</v>
      </c>
      <c r="Y2248" t="s">
        <v>9329</v>
      </c>
      <c r="Z2248">
        <v>0</v>
      </c>
      <c r="AA2248">
        <v>1</v>
      </c>
      <c r="AB2248">
        <v>0</v>
      </c>
      <c r="AC2248">
        <v>0</v>
      </c>
      <c r="AF2248">
        <v>1950</v>
      </c>
      <c r="AG2248">
        <v>1953</v>
      </c>
      <c r="AO2248" t="b">
        <v>1</v>
      </c>
      <c r="AP2248" t="s">
        <v>9100</v>
      </c>
      <c r="AQ2248">
        <v>1945</v>
      </c>
      <c r="AR2248">
        <v>2016</v>
      </c>
      <c r="AS2248" t="s">
        <v>9330</v>
      </c>
      <c r="AT2248">
        <v>3.5017111567419499</v>
      </c>
      <c r="AU2248">
        <f t="shared" si="107"/>
        <v>0.01</v>
      </c>
    </row>
    <row r="2249" spans="1:47" x14ac:dyDescent="0.3">
      <c r="A2249">
        <v>2247</v>
      </c>
      <c r="B2249" t="s">
        <v>9331</v>
      </c>
      <c r="C2249" t="s">
        <v>9309</v>
      </c>
      <c r="D2249">
        <v>395</v>
      </c>
      <c r="E2249" t="s">
        <v>9305</v>
      </c>
      <c r="F2249" t="str">
        <f>VLOOKUP(E2249,country_continent!A:C,2,FALSE)</f>
        <v>Iceland</v>
      </c>
      <c r="G2249" t="str">
        <f>VLOOKUP(E2249,country_continent!A:C,3,FALSE)</f>
        <v>Europe</v>
      </c>
      <c r="H2249" t="s">
        <v>9310</v>
      </c>
      <c r="I2249" s="1">
        <v>19615</v>
      </c>
      <c r="J2249" s="3">
        <f t="shared" si="105"/>
        <v>19615</v>
      </c>
      <c r="K2249" s="1">
        <v>20657</v>
      </c>
      <c r="L2249" s="3">
        <f t="shared" si="106"/>
        <v>20657</v>
      </c>
      <c r="M2249" t="s">
        <v>49</v>
      </c>
      <c r="N2249" t="s">
        <v>49</v>
      </c>
      <c r="O2249" t="s">
        <v>49</v>
      </c>
      <c r="P2249">
        <v>2</v>
      </c>
      <c r="Q2249" t="s">
        <v>50</v>
      </c>
      <c r="R2249" t="s">
        <v>51</v>
      </c>
      <c r="S2249">
        <v>1892</v>
      </c>
      <c r="T2249">
        <v>1964</v>
      </c>
      <c r="U2249" t="s">
        <v>9311</v>
      </c>
      <c r="V2249" t="s">
        <v>9312</v>
      </c>
      <c r="Y2249" t="s">
        <v>9313</v>
      </c>
      <c r="Z2249">
        <v>0</v>
      </c>
      <c r="AA2249">
        <v>1</v>
      </c>
      <c r="AB2249">
        <v>0</v>
      </c>
      <c r="AC2249">
        <v>0</v>
      </c>
      <c r="AF2249">
        <v>1953</v>
      </c>
      <c r="AG2249">
        <v>1956</v>
      </c>
      <c r="AO2249" t="b">
        <v>1</v>
      </c>
      <c r="AP2249" t="s">
        <v>9100</v>
      </c>
      <c r="AQ2249">
        <v>1945</v>
      </c>
      <c r="AR2249">
        <v>2016</v>
      </c>
      <c r="AS2249" t="s">
        <v>9332</v>
      </c>
      <c r="AT2249">
        <v>2.85284052019164</v>
      </c>
      <c r="AU2249">
        <f t="shared" si="107"/>
        <v>8.0000000000000002E-3</v>
      </c>
    </row>
    <row r="2250" spans="1:47" x14ac:dyDescent="0.3">
      <c r="A2250">
        <v>2248</v>
      </c>
      <c r="B2250" t="s">
        <v>9333</v>
      </c>
      <c r="C2250" t="s">
        <v>9334</v>
      </c>
      <c r="D2250">
        <v>395</v>
      </c>
      <c r="E2250" t="s">
        <v>9305</v>
      </c>
      <c r="F2250" t="str">
        <f>VLOOKUP(E2250,country_continent!A:C,2,FALSE)</f>
        <v>Iceland</v>
      </c>
      <c r="G2250" t="str">
        <f>VLOOKUP(E2250,country_continent!A:C,3,FALSE)</f>
        <v>Europe</v>
      </c>
      <c r="H2250" t="s">
        <v>9335</v>
      </c>
      <c r="I2250" s="1">
        <v>20657</v>
      </c>
      <c r="J2250" s="3">
        <f t="shared" si="105"/>
        <v>20657</v>
      </c>
      <c r="K2250" s="1">
        <v>21523</v>
      </c>
      <c r="L2250" s="3">
        <f t="shared" si="106"/>
        <v>21523</v>
      </c>
      <c r="M2250" t="s">
        <v>49</v>
      </c>
      <c r="N2250" t="s">
        <v>49</v>
      </c>
      <c r="O2250" t="s">
        <v>49</v>
      </c>
      <c r="P2250">
        <v>0</v>
      </c>
      <c r="Q2250" t="s">
        <v>50</v>
      </c>
      <c r="R2250" t="s">
        <v>51</v>
      </c>
      <c r="S2250">
        <v>1896</v>
      </c>
      <c r="T2250">
        <v>1976</v>
      </c>
      <c r="U2250" t="s">
        <v>9336</v>
      </c>
      <c r="V2250" t="s">
        <v>9337</v>
      </c>
      <c r="Z2250">
        <v>0</v>
      </c>
      <c r="AA2250">
        <v>1</v>
      </c>
      <c r="AB2250">
        <v>0</v>
      </c>
      <c r="AC2250">
        <v>0</v>
      </c>
      <c r="AD2250" t="s">
        <v>9338</v>
      </c>
      <c r="AE2250">
        <v>0</v>
      </c>
      <c r="AF2250">
        <v>1956</v>
      </c>
      <c r="AG2250">
        <v>1958</v>
      </c>
      <c r="AO2250" t="b">
        <v>1</v>
      </c>
      <c r="AP2250" t="s">
        <v>9100</v>
      </c>
      <c r="AQ2250">
        <v>1945</v>
      </c>
      <c r="AR2250">
        <v>2016</v>
      </c>
      <c r="AS2250" t="s">
        <v>9339</v>
      </c>
      <c r="AT2250">
        <v>2.3709787816563899</v>
      </c>
      <c r="AU2250">
        <f t="shared" si="107"/>
        <v>6.0000000000000001E-3</v>
      </c>
    </row>
    <row r="2251" spans="1:47" x14ac:dyDescent="0.3">
      <c r="A2251">
        <v>2249</v>
      </c>
      <c r="B2251" t="s">
        <v>9340</v>
      </c>
      <c r="C2251" t="s">
        <v>9341</v>
      </c>
      <c r="D2251">
        <v>395</v>
      </c>
      <c r="E2251" t="s">
        <v>9305</v>
      </c>
      <c r="F2251" t="str">
        <f>VLOOKUP(E2251,country_continent!A:C,2,FALSE)</f>
        <v>Iceland</v>
      </c>
      <c r="G2251" t="str">
        <f>VLOOKUP(E2251,country_continent!A:C,3,FALSE)</f>
        <v>Europe</v>
      </c>
      <c r="H2251" t="s">
        <v>9342</v>
      </c>
      <c r="I2251" s="1">
        <v>21542</v>
      </c>
      <c r="J2251" s="3">
        <f t="shared" si="105"/>
        <v>21542</v>
      </c>
      <c r="K2251" s="1">
        <v>21874</v>
      </c>
      <c r="L2251" s="3">
        <f t="shared" si="106"/>
        <v>21874</v>
      </c>
      <c r="M2251" t="s">
        <v>49</v>
      </c>
      <c r="N2251" t="s">
        <v>49</v>
      </c>
      <c r="O2251" t="s">
        <v>49</v>
      </c>
      <c r="P2251">
        <v>0</v>
      </c>
      <c r="Q2251" t="s">
        <v>50</v>
      </c>
      <c r="R2251" t="s">
        <v>51</v>
      </c>
      <c r="S2251">
        <v>1902</v>
      </c>
      <c r="T2251">
        <v>1986</v>
      </c>
      <c r="U2251" s="1">
        <v>1031</v>
      </c>
      <c r="V2251" s="2">
        <v>1031</v>
      </c>
      <c r="Y2251" t="s">
        <v>9343</v>
      </c>
      <c r="Z2251">
        <v>0</v>
      </c>
      <c r="AA2251">
        <v>1</v>
      </c>
      <c r="AB2251">
        <v>0</v>
      </c>
      <c r="AC2251">
        <v>0</v>
      </c>
      <c r="AF2251">
        <v>1958</v>
      </c>
      <c r="AG2251">
        <v>1959</v>
      </c>
      <c r="AO2251" t="b">
        <v>1</v>
      </c>
      <c r="AP2251" t="s">
        <v>9100</v>
      </c>
      <c r="AQ2251">
        <v>1945</v>
      </c>
      <c r="AR2251">
        <v>2016</v>
      </c>
      <c r="AS2251" t="s">
        <v>9107</v>
      </c>
      <c r="AT2251">
        <v>0.90896646132785697</v>
      </c>
      <c r="AU2251">
        <f t="shared" si="107"/>
        <v>2E-3</v>
      </c>
    </row>
    <row r="2252" spans="1:47" x14ac:dyDescent="0.3">
      <c r="A2252">
        <v>2250</v>
      </c>
      <c r="B2252" t="s">
        <v>9344</v>
      </c>
      <c r="C2252" t="s">
        <v>9309</v>
      </c>
      <c r="D2252">
        <v>395</v>
      </c>
      <c r="E2252" t="s">
        <v>9305</v>
      </c>
      <c r="F2252" t="str">
        <f>VLOOKUP(E2252,country_continent!A:C,2,FALSE)</f>
        <v>Iceland</v>
      </c>
      <c r="G2252" t="str">
        <f>VLOOKUP(E2252,country_continent!A:C,3,FALSE)</f>
        <v>Europe</v>
      </c>
      <c r="H2252" t="s">
        <v>9310</v>
      </c>
      <c r="I2252" s="1">
        <v>21874</v>
      </c>
      <c r="J2252" s="3">
        <f t="shared" si="105"/>
        <v>21874</v>
      </c>
      <c r="K2252" s="1">
        <v>23327</v>
      </c>
      <c r="L2252" s="3">
        <f t="shared" si="106"/>
        <v>23327</v>
      </c>
      <c r="M2252" t="s">
        <v>49</v>
      </c>
      <c r="N2252" t="s">
        <v>228</v>
      </c>
      <c r="O2252" t="s">
        <v>49</v>
      </c>
      <c r="P2252">
        <v>3</v>
      </c>
      <c r="Q2252" t="s">
        <v>50</v>
      </c>
      <c r="R2252" t="s">
        <v>51</v>
      </c>
      <c r="S2252">
        <v>1892</v>
      </c>
      <c r="T2252">
        <v>1964</v>
      </c>
      <c r="U2252" t="s">
        <v>9311</v>
      </c>
      <c r="V2252" t="s">
        <v>9312</v>
      </c>
      <c r="Y2252" t="s">
        <v>9313</v>
      </c>
      <c r="Z2252">
        <v>0</v>
      </c>
      <c r="AA2252">
        <v>2.0999998999999998</v>
      </c>
      <c r="AB2252">
        <v>0</v>
      </c>
      <c r="AC2252">
        <v>0</v>
      </c>
      <c r="AF2252">
        <v>1959</v>
      </c>
      <c r="AG2252">
        <v>1963</v>
      </c>
      <c r="AO2252" t="b">
        <v>1</v>
      </c>
      <c r="AP2252" t="s">
        <v>9100</v>
      </c>
      <c r="AQ2252">
        <v>1945</v>
      </c>
      <c r="AR2252">
        <v>2016</v>
      </c>
      <c r="AS2252" t="s">
        <v>9345</v>
      </c>
      <c r="AT2252">
        <v>3.9780971937029399</v>
      </c>
      <c r="AU2252">
        <f t="shared" si="107"/>
        <v>1.0999999999999999E-2</v>
      </c>
    </row>
    <row r="2253" spans="1:47" x14ac:dyDescent="0.3">
      <c r="A2253">
        <v>2251</v>
      </c>
      <c r="B2253" t="s">
        <v>9346</v>
      </c>
      <c r="C2253" t="s">
        <v>9347</v>
      </c>
      <c r="D2253">
        <v>395</v>
      </c>
      <c r="E2253" t="s">
        <v>9305</v>
      </c>
      <c r="F2253" t="str">
        <f>VLOOKUP(E2253,country_continent!A:C,2,FALSE)</f>
        <v>Iceland</v>
      </c>
      <c r="G2253" t="str">
        <f>VLOOKUP(E2253,country_continent!A:C,3,FALSE)</f>
        <v>Europe</v>
      </c>
      <c r="H2253" t="s">
        <v>9348</v>
      </c>
      <c r="I2253" s="1">
        <v>23329</v>
      </c>
      <c r="J2253" s="3">
        <f t="shared" si="105"/>
        <v>23329</v>
      </c>
      <c r="K2253" s="1">
        <v>25759</v>
      </c>
      <c r="L2253" s="3">
        <f t="shared" si="106"/>
        <v>25759</v>
      </c>
      <c r="M2253" t="s">
        <v>49</v>
      </c>
      <c r="N2253" t="s">
        <v>110</v>
      </c>
      <c r="O2253" t="s">
        <v>49</v>
      </c>
      <c r="P2253">
        <v>0</v>
      </c>
      <c r="Q2253" t="s">
        <v>111</v>
      </c>
      <c r="R2253" t="s">
        <v>51</v>
      </c>
      <c r="S2253">
        <v>1908</v>
      </c>
      <c r="T2253">
        <v>1970</v>
      </c>
      <c r="U2253" s="1">
        <v>3043</v>
      </c>
      <c r="V2253" s="2">
        <v>3043</v>
      </c>
      <c r="Y2253" t="s">
        <v>9349</v>
      </c>
      <c r="Z2253">
        <v>0</v>
      </c>
      <c r="AA2253">
        <v>2</v>
      </c>
      <c r="AB2253">
        <v>0</v>
      </c>
      <c r="AC2253">
        <v>-777</v>
      </c>
      <c r="AF2253">
        <v>1963</v>
      </c>
      <c r="AG2253">
        <v>1970</v>
      </c>
      <c r="AO2253" t="b">
        <v>1</v>
      </c>
      <c r="AP2253" t="s">
        <v>9100</v>
      </c>
      <c r="AQ2253">
        <v>1945</v>
      </c>
      <c r="AR2253">
        <v>2016</v>
      </c>
      <c r="AS2253" t="s">
        <v>9350</v>
      </c>
      <c r="AT2253">
        <v>6.6529774127310004</v>
      </c>
      <c r="AU2253">
        <f t="shared" si="107"/>
        <v>1.7999999999999999E-2</v>
      </c>
    </row>
    <row r="2254" spans="1:47" x14ac:dyDescent="0.3">
      <c r="A2254">
        <v>2252</v>
      </c>
      <c r="B2254" t="s">
        <v>9351</v>
      </c>
      <c r="C2254" t="s">
        <v>9352</v>
      </c>
      <c r="D2254">
        <v>395</v>
      </c>
      <c r="E2254" t="s">
        <v>9305</v>
      </c>
      <c r="F2254" t="str">
        <f>VLOOKUP(E2254,country_continent!A:C,2,FALSE)</f>
        <v>Iceland</v>
      </c>
      <c r="G2254" t="str">
        <f>VLOOKUP(E2254,country_continent!A:C,3,FALSE)</f>
        <v>Europe</v>
      </c>
      <c r="H2254" t="s">
        <v>9353</v>
      </c>
      <c r="I2254" s="1">
        <v>25759</v>
      </c>
      <c r="J2254" s="3">
        <f t="shared" si="105"/>
        <v>25759</v>
      </c>
      <c r="K2254" s="1">
        <v>26128</v>
      </c>
      <c r="L2254" s="3">
        <f t="shared" si="106"/>
        <v>26128</v>
      </c>
      <c r="M2254" t="s">
        <v>49</v>
      </c>
      <c r="N2254" t="s">
        <v>49</v>
      </c>
      <c r="O2254" t="s">
        <v>49</v>
      </c>
      <c r="P2254">
        <v>0</v>
      </c>
      <c r="Q2254" t="s">
        <v>50</v>
      </c>
      <c r="R2254" t="s">
        <v>51</v>
      </c>
      <c r="S2254">
        <v>1915</v>
      </c>
      <c r="T2254">
        <v>1980</v>
      </c>
      <c r="U2254" s="1">
        <v>5741</v>
      </c>
      <c r="V2254" s="2">
        <v>5741</v>
      </c>
      <c r="Y2254" t="s">
        <v>9354</v>
      </c>
      <c r="Z2254">
        <v>0</v>
      </c>
      <c r="AA2254">
        <v>1</v>
      </c>
      <c r="AB2254">
        <v>0</v>
      </c>
      <c r="AC2254">
        <v>0</v>
      </c>
      <c r="AF2254">
        <v>1970</v>
      </c>
      <c r="AG2254">
        <v>1971</v>
      </c>
      <c r="AO2254" t="b">
        <v>1</v>
      </c>
      <c r="AP2254" t="s">
        <v>9100</v>
      </c>
      <c r="AQ2254">
        <v>1945</v>
      </c>
      <c r="AR2254">
        <v>2016</v>
      </c>
      <c r="AS2254" t="s">
        <v>9355</v>
      </c>
      <c r="AT2254">
        <v>1.0102669404517399</v>
      </c>
      <c r="AU2254">
        <f t="shared" si="107"/>
        <v>3.0000000000000001E-3</v>
      </c>
    </row>
    <row r="2255" spans="1:47" x14ac:dyDescent="0.3">
      <c r="A2255">
        <v>2253</v>
      </c>
      <c r="B2255" t="s">
        <v>9356</v>
      </c>
      <c r="C2255" t="s">
        <v>9357</v>
      </c>
      <c r="D2255">
        <v>395</v>
      </c>
      <c r="E2255" t="s">
        <v>9305</v>
      </c>
      <c r="F2255" t="str">
        <f>VLOOKUP(E2255,country_continent!A:C,2,FALSE)</f>
        <v>Iceland</v>
      </c>
      <c r="G2255" t="str">
        <f>VLOOKUP(E2255,country_continent!A:C,3,FALSE)</f>
        <v>Europe</v>
      </c>
      <c r="H2255" t="s">
        <v>9358</v>
      </c>
      <c r="I2255" s="1">
        <v>26128</v>
      </c>
      <c r="J2255" s="3">
        <f t="shared" si="105"/>
        <v>26128</v>
      </c>
      <c r="K2255" s="1">
        <v>27269</v>
      </c>
      <c r="L2255" s="3">
        <f t="shared" si="106"/>
        <v>27269</v>
      </c>
      <c r="M2255" t="s">
        <v>49</v>
      </c>
      <c r="N2255" t="s">
        <v>49</v>
      </c>
      <c r="O2255" t="s">
        <v>49</v>
      </c>
      <c r="P2255">
        <v>0</v>
      </c>
      <c r="Q2255" t="s">
        <v>50</v>
      </c>
      <c r="R2255" t="s">
        <v>51</v>
      </c>
      <c r="S2255">
        <v>1913</v>
      </c>
      <c r="T2255">
        <v>1984</v>
      </c>
      <c r="U2255" s="1">
        <v>4809</v>
      </c>
      <c r="V2255" s="2">
        <v>4809</v>
      </c>
      <c r="Y2255" t="s">
        <v>9359</v>
      </c>
      <c r="Z2255">
        <v>0</v>
      </c>
      <c r="AA2255">
        <v>1</v>
      </c>
      <c r="AB2255">
        <v>0</v>
      </c>
      <c r="AC2255">
        <v>0</v>
      </c>
      <c r="AF2255">
        <v>1971</v>
      </c>
      <c r="AG2255">
        <v>1974</v>
      </c>
      <c r="AO2255" t="b">
        <v>1</v>
      </c>
      <c r="AP2255" t="s">
        <v>9100</v>
      </c>
      <c r="AQ2255">
        <v>1945</v>
      </c>
      <c r="AR2255">
        <v>2016</v>
      </c>
      <c r="AS2255" t="s">
        <v>9360</v>
      </c>
      <c r="AT2255">
        <v>3.1238877481177201</v>
      </c>
      <c r="AU2255">
        <f t="shared" si="107"/>
        <v>8.9999999999999993E-3</v>
      </c>
    </row>
    <row r="2256" spans="1:47" x14ac:dyDescent="0.3">
      <c r="A2256">
        <v>2254</v>
      </c>
      <c r="B2256" t="s">
        <v>9361</v>
      </c>
      <c r="C2256" t="s">
        <v>9362</v>
      </c>
      <c r="D2256">
        <v>395</v>
      </c>
      <c r="E2256" t="s">
        <v>9305</v>
      </c>
      <c r="F2256" t="str">
        <f>VLOOKUP(E2256,country_continent!A:C,2,FALSE)</f>
        <v>Iceland</v>
      </c>
      <c r="G2256" t="str">
        <f>VLOOKUP(E2256,country_continent!A:C,3,FALSE)</f>
        <v>Europe</v>
      </c>
      <c r="H2256" t="s">
        <v>9363</v>
      </c>
      <c r="I2256" s="1">
        <v>27270</v>
      </c>
      <c r="J2256" s="3">
        <f t="shared" si="105"/>
        <v>27270</v>
      </c>
      <c r="K2256" s="1">
        <v>28733</v>
      </c>
      <c r="L2256" s="3">
        <f t="shared" si="106"/>
        <v>28733</v>
      </c>
      <c r="M2256" t="s">
        <v>49</v>
      </c>
      <c r="N2256" t="s">
        <v>49</v>
      </c>
      <c r="O2256" t="s">
        <v>49</v>
      </c>
      <c r="P2256">
        <v>0</v>
      </c>
      <c r="Q2256" t="s">
        <v>50</v>
      </c>
      <c r="R2256" t="s">
        <v>51</v>
      </c>
      <c r="S2256">
        <v>1925</v>
      </c>
      <c r="T2256">
        <v>1990</v>
      </c>
      <c r="U2256" s="1">
        <v>9482</v>
      </c>
      <c r="V2256" s="2">
        <v>9482</v>
      </c>
      <c r="Y2256" t="s">
        <v>9364</v>
      </c>
      <c r="Z2256">
        <v>0</v>
      </c>
      <c r="AA2256">
        <v>1</v>
      </c>
      <c r="AB2256">
        <v>0</v>
      </c>
      <c r="AC2256">
        <v>0</v>
      </c>
      <c r="AF2256">
        <v>1974</v>
      </c>
      <c r="AG2256">
        <v>1978</v>
      </c>
      <c r="AO2256" t="b">
        <v>1</v>
      </c>
      <c r="AP2256" t="s">
        <v>9100</v>
      </c>
      <c r="AQ2256">
        <v>1945</v>
      </c>
      <c r="AR2256">
        <v>2016</v>
      </c>
      <c r="AS2256" t="s">
        <v>9365</v>
      </c>
      <c r="AT2256">
        <v>4.0054757015742597</v>
      </c>
      <c r="AU2256">
        <f t="shared" si="107"/>
        <v>1.0999999999999999E-2</v>
      </c>
    </row>
    <row r="2257" spans="1:47" x14ac:dyDescent="0.3">
      <c r="A2257">
        <v>2255</v>
      </c>
      <c r="B2257" t="s">
        <v>9366</v>
      </c>
      <c r="C2257" t="s">
        <v>9357</v>
      </c>
      <c r="D2257">
        <v>395</v>
      </c>
      <c r="E2257" t="s">
        <v>9305</v>
      </c>
      <c r="F2257" t="str">
        <f>VLOOKUP(E2257,country_continent!A:C,2,FALSE)</f>
        <v>Iceland</v>
      </c>
      <c r="G2257" t="str">
        <f>VLOOKUP(E2257,country_continent!A:C,3,FALSE)</f>
        <v>Europe</v>
      </c>
      <c r="H2257" t="s">
        <v>9358</v>
      </c>
      <c r="I2257" s="1">
        <v>28733</v>
      </c>
      <c r="J2257" s="3">
        <f t="shared" si="105"/>
        <v>28733</v>
      </c>
      <c r="K2257" s="1">
        <v>29143</v>
      </c>
      <c r="L2257" s="3">
        <f t="shared" si="106"/>
        <v>29143</v>
      </c>
      <c r="M2257" t="s">
        <v>49</v>
      </c>
      <c r="N2257" t="s">
        <v>49</v>
      </c>
      <c r="O2257" t="s">
        <v>49</v>
      </c>
      <c r="P2257">
        <v>1</v>
      </c>
      <c r="Q2257" t="s">
        <v>50</v>
      </c>
      <c r="R2257" t="s">
        <v>51</v>
      </c>
      <c r="S2257">
        <v>1913</v>
      </c>
      <c r="T2257">
        <v>1984</v>
      </c>
      <c r="U2257" s="1">
        <v>4809</v>
      </c>
      <c r="V2257" s="2">
        <v>4809</v>
      </c>
      <c r="Y2257" t="s">
        <v>9359</v>
      </c>
      <c r="Z2257">
        <v>0</v>
      </c>
      <c r="AA2257">
        <v>1</v>
      </c>
      <c r="AB2257">
        <v>0</v>
      </c>
      <c r="AC2257">
        <v>0</v>
      </c>
      <c r="AF2257">
        <v>1978</v>
      </c>
      <c r="AG2257">
        <v>1979</v>
      </c>
      <c r="AO2257" t="b">
        <v>1</v>
      </c>
      <c r="AP2257" t="s">
        <v>9100</v>
      </c>
      <c r="AQ2257">
        <v>1945</v>
      </c>
      <c r="AR2257">
        <v>2016</v>
      </c>
      <c r="AS2257" t="s">
        <v>9367</v>
      </c>
      <c r="AT2257">
        <v>1.12251882272416</v>
      </c>
      <c r="AU2257">
        <f t="shared" si="107"/>
        <v>3.0000000000000001E-3</v>
      </c>
    </row>
    <row r="2258" spans="1:47" x14ac:dyDescent="0.3">
      <c r="A2258">
        <v>2256</v>
      </c>
      <c r="B2258" t="s">
        <v>9368</v>
      </c>
      <c r="C2258" t="s">
        <v>9369</v>
      </c>
      <c r="D2258">
        <v>395</v>
      </c>
      <c r="E2258" t="s">
        <v>9305</v>
      </c>
      <c r="F2258" t="str">
        <f>VLOOKUP(E2258,country_continent!A:C,2,FALSE)</f>
        <v>Iceland</v>
      </c>
      <c r="G2258" t="str">
        <f>VLOOKUP(E2258,country_continent!A:C,3,FALSE)</f>
        <v>Europe</v>
      </c>
      <c r="H2258" t="s">
        <v>9370</v>
      </c>
      <c r="I2258" s="1">
        <v>29143</v>
      </c>
      <c r="J2258" s="3">
        <f t="shared" si="105"/>
        <v>29143</v>
      </c>
      <c r="K2258" s="1">
        <v>29259</v>
      </c>
      <c r="L2258" s="3">
        <f t="shared" si="106"/>
        <v>29259</v>
      </c>
      <c r="M2258" t="s">
        <v>49</v>
      </c>
      <c r="N2258" t="s">
        <v>49</v>
      </c>
      <c r="O2258" t="s">
        <v>49</v>
      </c>
      <c r="P2258">
        <v>0</v>
      </c>
      <c r="Q2258" t="s">
        <v>50</v>
      </c>
      <c r="R2258" t="s">
        <v>51</v>
      </c>
      <c r="S2258">
        <v>1924</v>
      </c>
      <c r="T2258">
        <v>2010</v>
      </c>
      <c r="U2258" s="1">
        <v>8955</v>
      </c>
      <c r="V2258" s="2">
        <v>8955</v>
      </c>
      <c r="Y2258" t="s">
        <v>9371</v>
      </c>
      <c r="Z2258">
        <v>0</v>
      </c>
      <c r="AA2258">
        <v>1</v>
      </c>
      <c r="AB2258">
        <v>0</v>
      </c>
      <c r="AC2258">
        <v>0</v>
      </c>
      <c r="AF2258">
        <v>1979</v>
      </c>
      <c r="AG2258">
        <v>1980</v>
      </c>
      <c r="AO2258" t="b">
        <v>1</v>
      </c>
      <c r="AP2258" t="s">
        <v>9100</v>
      </c>
      <c r="AQ2258">
        <v>1945</v>
      </c>
      <c r="AR2258">
        <v>2016</v>
      </c>
      <c r="AS2258" t="s">
        <v>9372</v>
      </c>
      <c r="AT2258">
        <v>0.31759069130732298</v>
      </c>
      <c r="AU2258">
        <f t="shared" si="107"/>
        <v>1E-3</v>
      </c>
    </row>
    <row r="2259" spans="1:47" x14ac:dyDescent="0.3">
      <c r="A2259">
        <v>2257</v>
      </c>
      <c r="B2259" t="s">
        <v>9373</v>
      </c>
      <c r="C2259" t="s">
        <v>9374</v>
      </c>
      <c r="D2259">
        <v>395</v>
      </c>
      <c r="E2259" t="s">
        <v>9305</v>
      </c>
      <c r="F2259" t="str">
        <f>VLOOKUP(E2259,country_continent!A:C,2,FALSE)</f>
        <v>Iceland</v>
      </c>
      <c r="G2259" t="str">
        <f>VLOOKUP(E2259,country_continent!A:C,3,FALSE)</f>
        <v>Europe</v>
      </c>
      <c r="H2259" t="s">
        <v>9375</v>
      </c>
      <c r="I2259" s="1">
        <v>29259</v>
      </c>
      <c r="J2259" s="3">
        <f t="shared" si="105"/>
        <v>29259</v>
      </c>
      <c r="K2259" s="1">
        <v>30462</v>
      </c>
      <c r="L2259" s="3">
        <f t="shared" si="106"/>
        <v>30462</v>
      </c>
      <c r="M2259" t="s">
        <v>49</v>
      </c>
      <c r="N2259" t="s">
        <v>49</v>
      </c>
      <c r="O2259" t="s">
        <v>49</v>
      </c>
      <c r="P2259">
        <v>0</v>
      </c>
      <c r="Q2259" t="s">
        <v>111</v>
      </c>
      <c r="R2259" t="s">
        <v>51</v>
      </c>
      <c r="S2259">
        <v>1910</v>
      </c>
      <c r="T2259">
        <v>1983</v>
      </c>
      <c r="U2259" s="1">
        <v>4016</v>
      </c>
      <c r="V2259" s="2">
        <v>4016</v>
      </c>
      <c r="Y2259" t="s">
        <v>9376</v>
      </c>
      <c r="Z2259">
        <v>0</v>
      </c>
      <c r="AA2259">
        <v>1</v>
      </c>
      <c r="AB2259">
        <v>0</v>
      </c>
      <c r="AC2259">
        <v>-777</v>
      </c>
      <c r="AF2259">
        <v>1980</v>
      </c>
      <c r="AG2259">
        <v>1983</v>
      </c>
      <c r="AO2259" t="b">
        <v>1</v>
      </c>
      <c r="AP2259" t="s">
        <v>9100</v>
      </c>
      <c r="AQ2259">
        <v>1945</v>
      </c>
      <c r="AR2259">
        <v>2016</v>
      </c>
      <c r="AS2259" t="s">
        <v>9377</v>
      </c>
      <c r="AT2259">
        <v>3.2936344969199101</v>
      </c>
      <c r="AU2259">
        <f t="shared" si="107"/>
        <v>8.9999999999999993E-3</v>
      </c>
    </row>
    <row r="2260" spans="1:47" x14ac:dyDescent="0.3">
      <c r="A2260">
        <v>2258</v>
      </c>
      <c r="B2260" t="s">
        <v>9378</v>
      </c>
      <c r="C2260" t="s">
        <v>9379</v>
      </c>
      <c r="D2260">
        <v>395</v>
      </c>
      <c r="E2260" t="s">
        <v>9305</v>
      </c>
      <c r="F2260" t="str">
        <f>VLOOKUP(E2260,country_continent!A:C,2,FALSE)</f>
        <v>Iceland</v>
      </c>
      <c r="G2260" t="str">
        <f>VLOOKUP(E2260,country_continent!A:C,3,FALSE)</f>
        <v>Europe</v>
      </c>
      <c r="H2260" t="s">
        <v>9380</v>
      </c>
      <c r="I2260" s="1">
        <v>30462</v>
      </c>
      <c r="J2260" s="3">
        <f t="shared" si="105"/>
        <v>30462</v>
      </c>
      <c r="K2260" s="1">
        <v>31966</v>
      </c>
      <c r="L2260" s="3">
        <f t="shared" si="106"/>
        <v>31966</v>
      </c>
      <c r="M2260" t="s">
        <v>49</v>
      </c>
      <c r="N2260" t="s">
        <v>49</v>
      </c>
      <c r="O2260" t="s">
        <v>49</v>
      </c>
      <c r="P2260">
        <v>0</v>
      </c>
      <c r="Q2260" t="s">
        <v>50</v>
      </c>
      <c r="R2260" t="s">
        <v>51</v>
      </c>
      <c r="S2260">
        <v>1928</v>
      </c>
      <c r="T2260">
        <v>2010</v>
      </c>
      <c r="U2260" s="1">
        <v>10401</v>
      </c>
      <c r="V2260" s="2">
        <v>10401</v>
      </c>
      <c r="Y2260" t="s">
        <v>9381</v>
      </c>
      <c r="Z2260">
        <v>0</v>
      </c>
      <c r="AA2260">
        <v>1</v>
      </c>
      <c r="AB2260">
        <v>0</v>
      </c>
      <c r="AC2260">
        <v>0</v>
      </c>
      <c r="AD2260" t="s">
        <v>9382</v>
      </c>
      <c r="AE2260">
        <v>1</v>
      </c>
      <c r="AF2260">
        <v>1983</v>
      </c>
      <c r="AG2260">
        <v>1987</v>
      </c>
      <c r="AO2260" t="b">
        <v>1</v>
      </c>
      <c r="AP2260" t="s">
        <v>9100</v>
      </c>
      <c r="AQ2260">
        <v>1945</v>
      </c>
      <c r="AR2260">
        <v>2016</v>
      </c>
      <c r="AS2260" t="s">
        <v>9383</v>
      </c>
      <c r="AT2260">
        <v>4.1177275838466798</v>
      </c>
      <c r="AU2260">
        <f t="shared" si="107"/>
        <v>1.0999999999999999E-2</v>
      </c>
    </row>
    <row r="2261" spans="1:47" x14ac:dyDescent="0.3">
      <c r="A2261">
        <v>2259</v>
      </c>
      <c r="B2261" t="s">
        <v>9384</v>
      </c>
      <c r="C2261" t="s">
        <v>9385</v>
      </c>
      <c r="D2261">
        <v>395</v>
      </c>
      <c r="E2261" t="s">
        <v>9305</v>
      </c>
      <c r="F2261" t="str">
        <f>VLOOKUP(E2261,country_continent!A:C,2,FALSE)</f>
        <v>Iceland</v>
      </c>
      <c r="G2261" t="str">
        <f>VLOOKUP(E2261,country_continent!A:C,3,FALSE)</f>
        <v>Europe</v>
      </c>
      <c r="H2261" t="s">
        <v>9386</v>
      </c>
      <c r="I2261" s="1">
        <v>31966</v>
      </c>
      <c r="J2261" s="3">
        <f t="shared" si="105"/>
        <v>31966</v>
      </c>
      <c r="K2261" s="1">
        <v>32414</v>
      </c>
      <c r="L2261" s="3">
        <f t="shared" si="106"/>
        <v>32414</v>
      </c>
      <c r="M2261" t="s">
        <v>49</v>
      </c>
      <c r="N2261" t="s">
        <v>49</v>
      </c>
      <c r="O2261" t="s">
        <v>49</v>
      </c>
      <c r="P2261">
        <v>0</v>
      </c>
      <c r="Q2261" t="s">
        <v>50</v>
      </c>
      <c r="R2261" t="s">
        <v>51</v>
      </c>
      <c r="S2261">
        <v>1947</v>
      </c>
      <c r="T2261">
        <v>-777</v>
      </c>
      <c r="U2261" s="1">
        <v>17469</v>
      </c>
      <c r="V2261" s="2">
        <v>17469</v>
      </c>
      <c r="Y2261" t="s">
        <v>9387</v>
      </c>
      <c r="Z2261">
        <v>0</v>
      </c>
      <c r="AA2261">
        <v>1</v>
      </c>
      <c r="AB2261">
        <v>0</v>
      </c>
      <c r="AC2261">
        <v>0</v>
      </c>
      <c r="AF2261">
        <v>1987</v>
      </c>
      <c r="AG2261">
        <v>1988</v>
      </c>
      <c r="AO2261" t="b">
        <v>1</v>
      </c>
      <c r="AP2261" t="s">
        <v>9100</v>
      </c>
      <c r="AQ2261">
        <v>1945</v>
      </c>
      <c r="AR2261">
        <v>2016</v>
      </c>
      <c r="AS2261" t="s">
        <v>9388</v>
      </c>
      <c r="AT2261">
        <v>1.2265571526351799</v>
      </c>
      <c r="AU2261">
        <f t="shared" si="107"/>
        <v>3.0000000000000001E-3</v>
      </c>
    </row>
    <row r="2262" spans="1:47" x14ac:dyDescent="0.3">
      <c r="A2262">
        <v>2260</v>
      </c>
      <c r="B2262" t="s">
        <v>9389</v>
      </c>
      <c r="C2262" t="s">
        <v>9379</v>
      </c>
      <c r="D2262">
        <v>395</v>
      </c>
      <c r="E2262" t="s">
        <v>9305</v>
      </c>
      <c r="F2262" t="str">
        <f>VLOOKUP(E2262,country_continent!A:C,2,FALSE)</f>
        <v>Iceland</v>
      </c>
      <c r="G2262" t="str">
        <f>VLOOKUP(E2262,country_continent!A:C,3,FALSE)</f>
        <v>Europe</v>
      </c>
      <c r="H2262" t="s">
        <v>9380</v>
      </c>
      <c r="I2262" s="1">
        <v>32414</v>
      </c>
      <c r="J2262" s="3">
        <f t="shared" si="105"/>
        <v>32414</v>
      </c>
      <c r="K2262" s="1">
        <v>33358</v>
      </c>
      <c r="L2262" s="3">
        <f t="shared" si="106"/>
        <v>33358</v>
      </c>
      <c r="M2262" t="s">
        <v>49</v>
      </c>
      <c r="N2262" t="s">
        <v>49</v>
      </c>
      <c r="O2262" t="s">
        <v>49</v>
      </c>
      <c r="P2262">
        <v>1</v>
      </c>
      <c r="Q2262" t="s">
        <v>50</v>
      </c>
      <c r="R2262" t="s">
        <v>51</v>
      </c>
      <c r="S2262">
        <v>1928</v>
      </c>
      <c r="T2262">
        <v>2010</v>
      </c>
      <c r="U2262" s="1">
        <v>10401</v>
      </c>
      <c r="V2262" s="2">
        <v>10401</v>
      </c>
      <c r="Y2262" t="s">
        <v>9381</v>
      </c>
      <c r="Z2262">
        <v>0</v>
      </c>
      <c r="AA2262">
        <v>1</v>
      </c>
      <c r="AB2262">
        <v>0</v>
      </c>
      <c r="AC2262">
        <v>0</v>
      </c>
      <c r="AD2262" t="s">
        <v>9382</v>
      </c>
      <c r="AE2262">
        <v>1</v>
      </c>
      <c r="AF2262">
        <v>1988</v>
      </c>
      <c r="AG2262">
        <v>1991</v>
      </c>
      <c r="AO2262" t="b">
        <v>1</v>
      </c>
      <c r="AP2262" t="s">
        <v>9100</v>
      </c>
      <c r="AQ2262">
        <v>1945</v>
      </c>
      <c r="AR2262">
        <v>2016</v>
      </c>
      <c r="AS2262" t="s">
        <v>9390</v>
      </c>
      <c r="AT2262">
        <v>2.5845311430527</v>
      </c>
      <c r="AU2262">
        <f t="shared" si="107"/>
        <v>7.0000000000000001E-3</v>
      </c>
    </row>
    <row r="2263" spans="1:47" x14ac:dyDescent="0.3">
      <c r="A2263">
        <v>2261</v>
      </c>
      <c r="B2263" t="s">
        <v>9391</v>
      </c>
      <c r="C2263" t="s">
        <v>9392</v>
      </c>
      <c r="D2263">
        <v>395</v>
      </c>
      <c r="E2263" t="s">
        <v>9305</v>
      </c>
      <c r="F2263" t="str">
        <f>VLOOKUP(E2263,country_continent!A:C,2,FALSE)</f>
        <v>Iceland</v>
      </c>
      <c r="G2263" t="str">
        <f>VLOOKUP(E2263,country_continent!A:C,3,FALSE)</f>
        <v>Europe</v>
      </c>
      <c r="H2263" t="s">
        <v>9393</v>
      </c>
      <c r="I2263" s="1">
        <v>33358</v>
      </c>
      <c r="J2263" s="3">
        <f t="shared" si="105"/>
        <v>33358</v>
      </c>
      <c r="K2263" s="1">
        <v>38245</v>
      </c>
      <c r="L2263" s="3">
        <f t="shared" si="106"/>
        <v>38245</v>
      </c>
      <c r="M2263" t="s">
        <v>49</v>
      </c>
      <c r="N2263" t="s">
        <v>49</v>
      </c>
      <c r="O2263" t="s">
        <v>49</v>
      </c>
      <c r="P2263">
        <v>0</v>
      </c>
      <c r="Q2263" t="s">
        <v>50</v>
      </c>
      <c r="R2263" t="s">
        <v>51</v>
      </c>
      <c r="S2263">
        <v>1948</v>
      </c>
      <c r="T2263">
        <v>-777</v>
      </c>
      <c r="U2263" s="1">
        <v>17549</v>
      </c>
      <c r="V2263" s="2">
        <v>17549</v>
      </c>
      <c r="Y2263" t="s">
        <v>9394</v>
      </c>
      <c r="Z2263">
        <v>0</v>
      </c>
      <c r="AA2263">
        <v>1</v>
      </c>
      <c r="AB2263">
        <v>0</v>
      </c>
      <c r="AC2263">
        <v>0</v>
      </c>
      <c r="AF2263">
        <v>1991</v>
      </c>
      <c r="AG2263">
        <v>2004</v>
      </c>
      <c r="AO2263" t="b">
        <v>1</v>
      </c>
      <c r="AP2263" t="s">
        <v>9100</v>
      </c>
      <c r="AQ2263">
        <v>1945</v>
      </c>
      <c r="AR2263">
        <v>2016</v>
      </c>
      <c r="AS2263" t="s">
        <v>9395</v>
      </c>
      <c r="AT2263">
        <v>13.3798767967145</v>
      </c>
      <c r="AU2263">
        <f t="shared" si="107"/>
        <v>3.6999999999999998E-2</v>
      </c>
    </row>
    <row r="2264" spans="1:47" x14ac:dyDescent="0.3">
      <c r="A2264">
        <v>2262</v>
      </c>
      <c r="B2264" t="s">
        <v>9396</v>
      </c>
      <c r="C2264" t="s">
        <v>9397</v>
      </c>
      <c r="D2264">
        <v>395</v>
      </c>
      <c r="E2264" t="s">
        <v>9305</v>
      </c>
      <c r="F2264" t="str">
        <f>VLOOKUP(E2264,country_continent!A:C,2,FALSE)</f>
        <v>Iceland</v>
      </c>
      <c r="G2264" t="str">
        <f>VLOOKUP(E2264,country_continent!A:C,3,FALSE)</f>
        <v>Europe</v>
      </c>
      <c r="H2264" t="s">
        <v>9398</v>
      </c>
      <c r="I2264" s="1">
        <v>38245</v>
      </c>
      <c r="J2264" s="3">
        <f t="shared" si="105"/>
        <v>38245</v>
      </c>
      <c r="K2264" s="1">
        <v>38883</v>
      </c>
      <c r="L2264" s="3">
        <f t="shared" si="106"/>
        <v>38883</v>
      </c>
      <c r="M2264" t="s">
        <v>49</v>
      </c>
      <c r="N2264" t="s">
        <v>49</v>
      </c>
      <c r="O2264" t="s">
        <v>49</v>
      </c>
      <c r="P2264">
        <v>0</v>
      </c>
      <c r="Q2264" t="s">
        <v>50</v>
      </c>
      <c r="R2264" t="s">
        <v>51</v>
      </c>
      <c r="S2264">
        <v>1947</v>
      </c>
      <c r="T2264">
        <v>-777</v>
      </c>
      <c r="Z2264">
        <v>0</v>
      </c>
      <c r="AA2264">
        <v>1</v>
      </c>
      <c r="AB2264">
        <v>0</v>
      </c>
      <c r="AC2264">
        <v>0</v>
      </c>
      <c r="AF2264">
        <v>2004</v>
      </c>
      <c r="AG2264">
        <v>2006</v>
      </c>
      <c r="AO2264" t="b">
        <v>1</v>
      </c>
      <c r="AP2264" t="s">
        <v>9100</v>
      </c>
      <c r="AQ2264">
        <v>1945</v>
      </c>
      <c r="AR2264">
        <v>2016</v>
      </c>
      <c r="AS2264" t="s">
        <v>9399</v>
      </c>
      <c r="AT2264">
        <v>1.7467488021902799</v>
      </c>
      <c r="AU2264">
        <f t="shared" si="107"/>
        <v>5.0000000000000001E-3</v>
      </c>
    </row>
    <row r="2265" spans="1:47" x14ac:dyDescent="0.3">
      <c r="A2265">
        <v>2263</v>
      </c>
      <c r="B2265" t="s">
        <v>9400</v>
      </c>
      <c r="C2265" t="s">
        <v>9401</v>
      </c>
      <c r="D2265">
        <v>395</v>
      </c>
      <c r="E2265" t="s">
        <v>9305</v>
      </c>
      <c r="F2265" t="str">
        <f>VLOOKUP(E2265,country_continent!A:C,2,FALSE)</f>
        <v>Iceland</v>
      </c>
      <c r="G2265" t="str">
        <f>VLOOKUP(E2265,country_continent!A:C,3,FALSE)</f>
        <v>Europe</v>
      </c>
      <c r="H2265" t="s">
        <v>9402</v>
      </c>
      <c r="I2265" s="1">
        <v>38883</v>
      </c>
      <c r="J2265" s="3">
        <f t="shared" si="105"/>
        <v>38883</v>
      </c>
      <c r="K2265" s="1">
        <v>39845</v>
      </c>
      <c r="L2265" s="3">
        <f t="shared" si="106"/>
        <v>39845</v>
      </c>
      <c r="M2265" t="s">
        <v>49</v>
      </c>
      <c r="N2265" t="s">
        <v>49</v>
      </c>
      <c r="O2265" t="s">
        <v>49</v>
      </c>
      <c r="P2265">
        <v>0</v>
      </c>
      <c r="Q2265" t="s">
        <v>50</v>
      </c>
      <c r="R2265" t="s">
        <v>51</v>
      </c>
      <c r="S2265">
        <v>1951</v>
      </c>
      <c r="T2265">
        <v>-777</v>
      </c>
      <c r="Z2265">
        <v>0</v>
      </c>
      <c r="AA2265">
        <v>1</v>
      </c>
      <c r="AB2265">
        <v>0</v>
      </c>
      <c r="AC2265">
        <v>0</v>
      </c>
      <c r="AF2265">
        <v>2006</v>
      </c>
      <c r="AG2265">
        <v>2009</v>
      </c>
      <c r="AO2265" t="b">
        <v>1</v>
      </c>
      <c r="AP2265" t="s">
        <v>9100</v>
      </c>
      <c r="AQ2265">
        <v>1945</v>
      </c>
      <c r="AR2265">
        <v>2016</v>
      </c>
      <c r="AS2265" t="s">
        <v>9403</v>
      </c>
      <c r="AT2265">
        <v>2.6338124572210799</v>
      </c>
      <c r="AU2265">
        <f t="shared" si="107"/>
        <v>7.0000000000000001E-3</v>
      </c>
    </row>
    <row r="2266" spans="1:47" x14ac:dyDescent="0.3">
      <c r="A2266">
        <v>2264</v>
      </c>
      <c r="B2266" t="s">
        <v>9404</v>
      </c>
      <c r="C2266" t="s">
        <v>9405</v>
      </c>
      <c r="D2266">
        <v>395</v>
      </c>
      <c r="E2266" t="s">
        <v>9305</v>
      </c>
      <c r="F2266" t="str">
        <f>VLOOKUP(E2266,country_continent!A:C,2,FALSE)</f>
        <v>Iceland</v>
      </c>
      <c r="G2266" t="str">
        <f>VLOOKUP(E2266,country_continent!A:C,3,FALSE)</f>
        <v>Europe</v>
      </c>
      <c r="H2266" t="s">
        <v>9406</v>
      </c>
      <c r="I2266" s="1">
        <v>39845</v>
      </c>
      <c r="J2266" s="3">
        <f t="shared" si="105"/>
        <v>39845</v>
      </c>
      <c r="K2266" s="1">
        <v>41417</v>
      </c>
      <c r="L2266" s="3">
        <f t="shared" si="106"/>
        <v>41417</v>
      </c>
      <c r="M2266" t="s">
        <v>49</v>
      </c>
      <c r="N2266" t="s">
        <v>49</v>
      </c>
      <c r="O2266" t="s">
        <v>49</v>
      </c>
      <c r="P2266">
        <v>0</v>
      </c>
      <c r="Q2266" t="s">
        <v>50</v>
      </c>
      <c r="R2266" t="s">
        <v>299</v>
      </c>
      <c r="S2266">
        <v>1942</v>
      </c>
      <c r="T2266">
        <v>-777</v>
      </c>
      <c r="U2266" s="1">
        <v>15618</v>
      </c>
      <c r="V2266" s="2">
        <v>15618</v>
      </c>
      <c r="Z2266">
        <v>0</v>
      </c>
      <c r="AA2266">
        <v>1</v>
      </c>
      <c r="AB2266">
        <v>0</v>
      </c>
      <c r="AC2266">
        <v>0</v>
      </c>
      <c r="AF2266">
        <v>2009</v>
      </c>
      <c r="AG2266">
        <v>2013</v>
      </c>
      <c r="AO2266" t="b">
        <v>1</v>
      </c>
      <c r="AP2266" t="s">
        <v>9100</v>
      </c>
      <c r="AQ2266">
        <v>1945</v>
      </c>
      <c r="AR2266">
        <v>2016</v>
      </c>
      <c r="AS2266" t="s">
        <v>9407</v>
      </c>
      <c r="AT2266">
        <v>4.3039014373716604</v>
      </c>
      <c r="AU2266">
        <f t="shared" si="107"/>
        <v>1.2E-2</v>
      </c>
    </row>
    <row r="2267" spans="1:47" x14ac:dyDescent="0.3">
      <c r="A2267">
        <v>2265</v>
      </c>
      <c r="B2267" t="s">
        <v>9408</v>
      </c>
      <c r="C2267" t="s">
        <v>9409</v>
      </c>
      <c r="D2267">
        <v>395</v>
      </c>
      <c r="E2267" t="s">
        <v>9305</v>
      </c>
      <c r="F2267" t="str">
        <f>VLOOKUP(E2267,country_continent!A:C,2,FALSE)</f>
        <v>Iceland</v>
      </c>
      <c r="G2267" t="str">
        <f>VLOOKUP(E2267,country_continent!A:C,3,FALSE)</f>
        <v>Europe</v>
      </c>
      <c r="H2267" t="s">
        <v>9410</v>
      </c>
      <c r="I2267" s="1">
        <v>41417</v>
      </c>
      <c r="J2267" s="3">
        <f t="shared" si="105"/>
        <v>41417</v>
      </c>
      <c r="K2267" s="1">
        <v>42369</v>
      </c>
      <c r="L2267" s="3">
        <f t="shared" si="106"/>
        <v>42369</v>
      </c>
      <c r="M2267" t="s">
        <v>49</v>
      </c>
      <c r="N2267" t="s">
        <v>173</v>
      </c>
      <c r="O2267" t="s">
        <v>173</v>
      </c>
      <c r="P2267">
        <v>0</v>
      </c>
      <c r="Q2267" t="s">
        <v>174</v>
      </c>
      <c r="R2267" t="s">
        <v>299</v>
      </c>
      <c r="S2267">
        <v>1975</v>
      </c>
      <c r="T2267">
        <v>-777</v>
      </c>
      <c r="U2267" s="1">
        <v>27465</v>
      </c>
      <c r="V2267" s="2">
        <v>27465</v>
      </c>
      <c r="Z2267">
        <v>0</v>
      </c>
      <c r="AA2267">
        <v>-888</v>
      </c>
      <c r="AB2267">
        <v>-888</v>
      </c>
      <c r="AC2267">
        <v>-888</v>
      </c>
      <c r="AF2267">
        <v>2013</v>
      </c>
      <c r="AG2267">
        <v>2015</v>
      </c>
      <c r="AO2267" t="b">
        <v>1</v>
      </c>
      <c r="AP2267" t="s">
        <v>9100</v>
      </c>
      <c r="AQ2267">
        <v>1945</v>
      </c>
      <c r="AR2267">
        <v>2016</v>
      </c>
      <c r="AS2267" t="s">
        <v>9411</v>
      </c>
      <c r="AT2267">
        <v>2.6064339493497601</v>
      </c>
      <c r="AU2267">
        <f t="shared" si="107"/>
        <v>7.0000000000000001E-3</v>
      </c>
    </row>
    <row r="2268" spans="1:47" x14ac:dyDescent="0.3">
      <c r="A2268">
        <v>2266</v>
      </c>
      <c r="B2268" t="s">
        <v>9412</v>
      </c>
      <c r="C2268" t="s">
        <v>9413</v>
      </c>
      <c r="D2268">
        <v>402</v>
      </c>
      <c r="E2268" t="s">
        <v>9414</v>
      </c>
      <c r="F2268" t="str">
        <f>VLOOKUP(E2268,country_continent!A:C,2,FALSE)</f>
        <v>Cape Verde Islands</v>
      </c>
      <c r="G2268" t="str">
        <f>VLOOKUP(E2268,country_continent!A:C,3,FALSE)</f>
        <v>Africa</v>
      </c>
      <c r="H2268" t="s">
        <v>9415</v>
      </c>
      <c r="I2268" s="1">
        <v>27583</v>
      </c>
      <c r="J2268" s="3">
        <f t="shared" si="105"/>
        <v>27583</v>
      </c>
      <c r="K2268" s="1">
        <v>33332</v>
      </c>
      <c r="L2268" s="3">
        <f t="shared" si="106"/>
        <v>33332</v>
      </c>
      <c r="M2268" t="s">
        <v>49</v>
      </c>
      <c r="N2268" t="s">
        <v>49</v>
      </c>
      <c r="O2268" t="s">
        <v>49</v>
      </c>
      <c r="P2268">
        <v>0</v>
      </c>
      <c r="Q2268" t="s">
        <v>50</v>
      </c>
      <c r="R2268" t="s">
        <v>51</v>
      </c>
      <c r="S2268">
        <v>1934</v>
      </c>
      <c r="T2268">
        <v>-777</v>
      </c>
      <c r="Y2268" t="s">
        <v>9416</v>
      </c>
      <c r="Z2268">
        <v>0</v>
      </c>
      <c r="AA2268">
        <v>1</v>
      </c>
      <c r="AB2268">
        <v>0</v>
      </c>
      <c r="AC2268">
        <v>0</v>
      </c>
      <c r="AF2268">
        <v>1975</v>
      </c>
      <c r="AG2268">
        <v>1991</v>
      </c>
      <c r="AO2268" t="b">
        <v>0</v>
      </c>
      <c r="AT2268">
        <v>5749</v>
      </c>
      <c r="AU2268">
        <f t="shared" si="107"/>
        <v>15.750999999999999</v>
      </c>
    </row>
    <row r="2269" spans="1:47" x14ac:dyDescent="0.3">
      <c r="A2269">
        <v>2267</v>
      </c>
      <c r="B2269" t="s">
        <v>9417</v>
      </c>
      <c r="C2269" t="s">
        <v>9418</v>
      </c>
      <c r="D2269">
        <v>402</v>
      </c>
      <c r="E2269" t="s">
        <v>9414</v>
      </c>
      <c r="F2269" t="str">
        <f>VLOOKUP(E2269,country_continent!A:C,2,FALSE)</f>
        <v>Cape Verde Islands</v>
      </c>
      <c r="G2269" t="str">
        <f>VLOOKUP(E2269,country_continent!A:C,3,FALSE)</f>
        <v>Africa</v>
      </c>
      <c r="H2269" t="s">
        <v>9419</v>
      </c>
      <c r="I2269" s="1">
        <v>33332</v>
      </c>
      <c r="J2269" s="3">
        <f t="shared" si="105"/>
        <v>33332</v>
      </c>
      <c r="K2269" s="1">
        <v>36736</v>
      </c>
      <c r="L2269" s="3">
        <f t="shared" si="106"/>
        <v>36736</v>
      </c>
      <c r="M2269" t="s">
        <v>49</v>
      </c>
      <c r="N2269" t="s">
        <v>49</v>
      </c>
      <c r="O2269" t="s">
        <v>49</v>
      </c>
      <c r="P2269">
        <v>0</v>
      </c>
      <c r="Q2269" t="s">
        <v>50</v>
      </c>
      <c r="R2269" t="s">
        <v>51</v>
      </c>
      <c r="S2269">
        <v>1949</v>
      </c>
      <c r="T2269">
        <v>-777</v>
      </c>
      <c r="Z2269">
        <v>0</v>
      </c>
      <c r="AA2269">
        <v>1</v>
      </c>
      <c r="AB2269">
        <v>0</v>
      </c>
      <c r="AC2269">
        <v>0</v>
      </c>
      <c r="AF2269">
        <v>1991</v>
      </c>
      <c r="AG2269">
        <v>2000</v>
      </c>
      <c r="AO2269" t="b">
        <v>0</v>
      </c>
      <c r="AT2269">
        <v>3404</v>
      </c>
      <c r="AU2269">
        <f t="shared" si="107"/>
        <v>9.3260000000000005</v>
      </c>
    </row>
    <row r="2270" spans="1:47" x14ac:dyDescent="0.3">
      <c r="A2270">
        <v>2268</v>
      </c>
      <c r="B2270" t="s">
        <v>9420</v>
      </c>
      <c r="C2270" t="s">
        <v>9421</v>
      </c>
      <c r="D2270">
        <v>402</v>
      </c>
      <c r="E2270" t="s">
        <v>9414</v>
      </c>
      <c r="F2270" t="str">
        <f>VLOOKUP(E2270,country_continent!A:C,2,FALSE)</f>
        <v>Cape Verde Islands</v>
      </c>
      <c r="G2270" t="str">
        <f>VLOOKUP(E2270,country_continent!A:C,3,FALSE)</f>
        <v>Africa</v>
      </c>
      <c r="H2270" t="s">
        <v>9422</v>
      </c>
      <c r="I2270" s="1">
        <v>36736</v>
      </c>
      <c r="J2270" s="3">
        <f t="shared" si="105"/>
        <v>36736</v>
      </c>
      <c r="K2270" s="1">
        <v>36923</v>
      </c>
      <c r="L2270" s="3">
        <f t="shared" si="106"/>
        <v>36923</v>
      </c>
      <c r="M2270" t="s">
        <v>49</v>
      </c>
      <c r="N2270" t="s">
        <v>49</v>
      </c>
      <c r="O2270" t="s">
        <v>49</v>
      </c>
      <c r="P2270">
        <v>0</v>
      </c>
      <c r="Q2270" t="s">
        <v>50</v>
      </c>
      <c r="R2270" t="s">
        <v>51</v>
      </c>
      <c r="S2270">
        <v>1950</v>
      </c>
      <c r="T2270">
        <v>-777</v>
      </c>
      <c r="Z2270">
        <v>0</v>
      </c>
      <c r="AA2270">
        <v>1</v>
      </c>
      <c r="AB2270">
        <v>0</v>
      </c>
      <c r="AC2270">
        <v>0</v>
      </c>
      <c r="AF2270">
        <v>2000</v>
      </c>
      <c r="AG2270">
        <v>2001</v>
      </c>
      <c r="AO2270" t="b">
        <v>0</v>
      </c>
      <c r="AT2270">
        <v>187</v>
      </c>
      <c r="AU2270">
        <f t="shared" si="107"/>
        <v>0.51200000000000001</v>
      </c>
    </row>
    <row r="2271" spans="1:47" x14ac:dyDescent="0.3">
      <c r="A2271">
        <v>2269</v>
      </c>
      <c r="B2271" t="s">
        <v>9423</v>
      </c>
      <c r="C2271" t="s">
        <v>9424</v>
      </c>
      <c r="D2271">
        <v>402</v>
      </c>
      <c r="E2271" t="s">
        <v>9414</v>
      </c>
      <c r="F2271" t="str">
        <f>VLOOKUP(E2271,country_continent!A:C,2,FALSE)</f>
        <v>Cape Verde Islands</v>
      </c>
      <c r="G2271" t="str">
        <f>VLOOKUP(E2271,country_continent!A:C,3,FALSE)</f>
        <v>Africa</v>
      </c>
      <c r="H2271" t="s">
        <v>9425</v>
      </c>
      <c r="I2271" s="1">
        <v>36923</v>
      </c>
      <c r="J2271" s="3">
        <f t="shared" si="105"/>
        <v>36923</v>
      </c>
      <c r="K2271" s="1">
        <v>42369</v>
      </c>
      <c r="L2271" s="3">
        <f t="shared" si="106"/>
        <v>42369</v>
      </c>
      <c r="M2271" t="s">
        <v>49</v>
      </c>
      <c r="N2271" t="s">
        <v>173</v>
      </c>
      <c r="O2271" t="s">
        <v>173</v>
      </c>
      <c r="P2271">
        <v>0</v>
      </c>
      <c r="Q2271" t="s">
        <v>174</v>
      </c>
      <c r="R2271" t="s">
        <v>51</v>
      </c>
      <c r="S2271">
        <v>1960</v>
      </c>
      <c r="T2271">
        <v>-777</v>
      </c>
      <c r="U2271" s="1">
        <v>22003</v>
      </c>
      <c r="V2271" s="2">
        <v>22003</v>
      </c>
      <c r="Z2271">
        <v>0</v>
      </c>
      <c r="AA2271">
        <v>-888</v>
      </c>
      <c r="AB2271">
        <v>-888</v>
      </c>
      <c r="AC2271">
        <v>-888</v>
      </c>
      <c r="AF2271">
        <v>2001</v>
      </c>
      <c r="AG2271">
        <v>2015</v>
      </c>
      <c r="AO2271" t="b">
        <v>0</v>
      </c>
      <c r="AT2271">
        <v>5446</v>
      </c>
      <c r="AU2271">
        <f t="shared" si="107"/>
        <v>14.920999999999999</v>
      </c>
    </row>
    <row r="2272" spans="1:47" x14ac:dyDescent="0.3">
      <c r="A2272">
        <v>2270</v>
      </c>
      <c r="B2272" t="s">
        <v>9426</v>
      </c>
      <c r="C2272" t="s">
        <v>9427</v>
      </c>
      <c r="D2272">
        <v>404</v>
      </c>
      <c r="E2272" t="s">
        <v>9428</v>
      </c>
      <c r="F2272" t="str">
        <f>VLOOKUP(E2272,country_continent!A:C,2,FALSE)</f>
        <v>Guinea-Bissau</v>
      </c>
      <c r="G2272" t="str">
        <f>VLOOKUP(E2272,country_continent!A:C,3,FALSE)</f>
        <v>Africa</v>
      </c>
      <c r="H2272" t="s">
        <v>833</v>
      </c>
      <c r="I2272" s="1">
        <v>27282</v>
      </c>
      <c r="J2272" s="3">
        <f t="shared" si="105"/>
        <v>27282</v>
      </c>
      <c r="K2272" s="1">
        <v>29539</v>
      </c>
      <c r="L2272" s="3">
        <f t="shared" si="106"/>
        <v>29539</v>
      </c>
      <c r="M2272" t="s">
        <v>67</v>
      </c>
      <c r="N2272" t="s">
        <v>67</v>
      </c>
      <c r="O2272" t="s">
        <v>376</v>
      </c>
      <c r="P2272">
        <v>0</v>
      </c>
      <c r="Q2272" t="s">
        <v>463</v>
      </c>
      <c r="R2272" t="s">
        <v>51</v>
      </c>
      <c r="S2272">
        <v>1931</v>
      </c>
      <c r="T2272">
        <v>2009</v>
      </c>
      <c r="Z2272">
        <v>1</v>
      </c>
      <c r="AA2272">
        <v>3</v>
      </c>
      <c r="AB2272">
        <v>6</v>
      </c>
      <c r="AC2272">
        <v>2</v>
      </c>
      <c r="AF2272">
        <v>1974</v>
      </c>
      <c r="AG2272">
        <v>1980</v>
      </c>
      <c r="AH2272">
        <v>-3.4958735343754102</v>
      </c>
      <c r="AI2272">
        <v>440</v>
      </c>
      <c r="AJ2272">
        <v>6.1228183804784102</v>
      </c>
      <c r="AL2272">
        <v>4.7959288541698202</v>
      </c>
      <c r="AM2272">
        <v>19.671925160348099</v>
      </c>
      <c r="AN2272">
        <v>-7.33</v>
      </c>
      <c r="AO2272" t="b">
        <v>0</v>
      </c>
      <c r="AT2272">
        <v>2257</v>
      </c>
      <c r="AU2272">
        <f t="shared" si="107"/>
        <v>6.1840000000000002</v>
      </c>
    </row>
    <row r="2273" spans="1:47" x14ac:dyDescent="0.3">
      <c r="A2273">
        <v>2271</v>
      </c>
      <c r="B2273" t="s">
        <v>9429</v>
      </c>
      <c r="C2273" t="s">
        <v>9430</v>
      </c>
      <c r="D2273">
        <v>404</v>
      </c>
      <c r="E2273" t="s">
        <v>9428</v>
      </c>
      <c r="F2273" t="str">
        <f>VLOOKUP(E2273,country_continent!A:C,2,FALSE)</f>
        <v>Guinea-Bissau</v>
      </c>
      <c r="G2273" t="str">
        <f>VLOOKUP(E2273,country_continent!A:C,3,FALSE)</f>
        <v>Africa</v>
      </c>
      <c r="H2273" t="s">
        <v>9431</v>
      </c>
      <c r="I2273" s="1">
        <v>29539</v>
      </c>
      <c r="J2273" s="3">
        <f t="shared" si="105"/>
        <v>29539</v>
      </c>
      <c r="K2273" s="1">
        <v>36287</v>
      </c>
      <c r="L2273" s="3">
        <f t="shared" si="106"/>
        <v>36287</v>
      </c>
      <c r="M2273" t="s">
        <v>67</v>
      </c>
      <c r="N2273" t="s">
        <v>67</v>
      </c>
      <c r="O2273" t="s">
        <v>376</v>
      </c>
      <c r="P2273">
        <v>0</v>
      </c>
      <c r="Q2273" t="s">
        <v>362</v>
      </c>
      <c r="R2273" t="s">
        <v>51</v>
      </c>
      <c r="S2273">
        <v>1939</v>
      </c>
      <c r="T2273">
        <v>2009</v>
      </c>
      <c r="U2273" s="1">
        <v>14362</v>
      </c>
      <c r="V2273" s="2">
        <v>14362</v>
      </c>
      <c r="Z2273">
        <v>1</v>
      </c>
      <c r="AA2273">
        <v>3</v>
      </c>
      <c r="AB2273">
        <v>6</v>
      </c>
      <c r="AC2273">
        <v>1</v>
      </c>
      <c r="AF2273">
        <v>1980</v>
      </c>
      <c r="AG2273">
        <v>1999</v>
      </c>
      <c r="AH2273">
        <v>1.1863036453492199</v>
      </c>
      <c r="AI2273">
        <v>519</v>
      </c>
      <c r="AJ2273">
        <v>44.116247729214599</v>
      </c>
      <c r="AK2273">
        <v>212.54</v>
      </c>
      <c r="AL2273">
        <v>1.9470187002642001</v>
      </c>
      <c r="AM2273">
        <v>21.185750545864</v>
      </c>
      <c r="AN2273">
        <v>-4.8</v>
      </c>
      <c r="AO2273" t="b">
        <v>0</v>
      </c>
      <c r="AT2273">
        <v>6748</v>
      </c>
      <c r="AU2273">
        <f t="shared" si="107"/>
        <v>18.488</v>
      </c>
    </row>
    <row r="2274" spans="1:47" x14ac:dyDescent="0.3">
      <c r="A2274">
        <v>2272</v>
      </c>
      <c r="B2274" t="s">
        <v>9432</v>
      </c>
      <c r="C2274" t="s">
        <v>9433</v>
      </c>
      <c r="D2274">
        <v>404</v>
      </c>
      <c r="E2274" t="s">
        <v>9428</v>
      </c>
      <c r="F2274" t="str">
        <f>VLOOKUP(E2274,country_continent!A:C,2,FALSE)</f>
        <v>Guinea-Bissau</v>
      </c>
      <c r="G2274" t="str">
        <f>VLOOKUP(E2274,country_continent!A:C,3,FALSE)</f>
        <v>Africa</v>
      </c>
      <c r="H2274" t="s">
        <v>9434</v>
      </c>
      <c r="I2274" s="1">
        <v>36287</v>
      </c>
      <c r="J2274" s="3">
        <f t="shared" si="105"/>
        <v>36287</v>
      </c>
      <c r="K2274" s="1">
        <v>36294</v>
      </c>
      <c r="L2274" s="3">
        <f t="shared" si="106"/>
        <v>36294</v>
      </c>
      <c r="M2274" t="s">
        <v>67</v>
      </c>
      <c r="N2274" t="s">
        <v>49</v>
      </c>
      <c r="O2274" t="s">
        <v>49</v>
      </c>
      <c r="P2274">
        <v>0</v>
      </c>
      <c r="Q2274" t="s">
        <v>50</v>
      </c>
      <c r="R2274" t="s">
        <v>51</v>
      </c>
      <c r="S2274">
        <v>1940</v>
      </c>
      <c r="T2274">
        <v>2000</v>
      </c>
      <c r="Z2274">
        <v>1</v>
      </c>
      <c r="AA2274">
        <v>1</v>
      </c>
      <c r="AB2274">
        <v>0</v>
      </c>
      <c r="AC2274">
        <v>0</v>
      </c>
      <c r="AF2274">
        <v>1999</v>
      </c>
      <c r="AG2274">
        <v>1999</v>
      </c>
      <c r="AH2274">
        <v>14.620720564687501</v>
      </c>
      <c r="AI2274">
        <v>500</v>
      </c>
      <c r="AJ2274">
        <v>-12.422290160009</v>
      </c>
      <c r="AK2274">
        <v>179</v>
      </c>
      <c r="AL2274">
        <v>1.89630732259312</v>
      </c>
      <c r="AM2274">
        <v>19.268801792287</v>
      </c>
      <c r="AN2274">
        <v>3</v>
      </c>
      <c r="AO2274" t="b">
        <v>0</v>
      </c>
      <c r="AT2274">
        <v>7</v>
      </c>
      <c r="AU2274">
        <f t="shared" si="107"/>
        <v>1.9E-2</v>
      </c>
    </row>
    <row r="2275" spans="1:47" x14ac:dyDescent="0.3">
      <c r="A2275">
        <v>2273</v>
      </c>
      <c r="B2275" t="s">
        <v>9435</v>
      </c>
      <c r="C2275" t="s">
        <v>9436</v>
      </c>
      <c r="D2275">
        <v>404</v>
      </c>
      <c r="E2275" t="s">
        <v>9428</v>
      </c>
      <c r="F2275" t="str">
        <f>VLOOKUP(E2275,country_continent!A:C,2,FALSE)</f>
        <v>Guinea-Bissau</v>
      </c>
      <c r="G2275" t="str">
        <f>VLOOKUP(E2275,country_continent!A:C,3,FALSE)</f>
        <v>Africa</v>
      </c>
      <c r="H2275" t="s">
        <v>9437</v>
      </c>
      <c r="I2275" s="1">
        <v>36294</v>
      </c>
      <c r="J2275" s="3">
        <f t="shared" si="105"/>
        <v>36294</v>
      </c>
      <c r="K2275" s="1">
        <v>36573</v>
      </c>
      <c r="L2275" s="3">
        <f t="shared" si="106"/>
        <v>36573</v>
      </c>
      <c r="M2275" t="s">
        <v>67</v>
      </c>
      <c r="N2275" t="s">
        <v>49</v>
      </c>
      <c r="O2275" t="s">
        <v>49</v>
      </c>
      <c r="P2275">
        <v>0</v>
      </c>
      <c r="Q2275" t="s">
        <v>50</v>
      </c>
      <c r="R2275" t="s">
        <v>51</v>
      </c>
      <c r="S2275">
        <v>1947</v>
      </c>
      <c r="T2275">
        <v>2012</v>
      </c>
      <c r="U2275" s="1">
        <v>17292</v>
      </c>
      <c r="V2275" s="2">
        <v>17292</v>
      </c>
      <c r="Y2275" t="s">
        <v>9438</v>
      </c>
      <c r="Z2275">
        <v>1</v>
      </c>
      <c r="AA2275">
        <v>1</v>
      </c>
      <c r="AB2275">
        <v>0</v>
      </c>
      <c r="AC2275">
        <v>0</v>
      </c>
      <c r="AF2275">
        <v>1999</v>
      </c>
      <c r="AG2275">
        <v>2000</v>
      </c>
      <c r="AH2275">
        <v>6.8560395900719904</v>
      </c>
      <c r="AI2275">
        <v>455</v>
      </c>
      <c r="AJ2275">
        <v>-17.6773047699728</v>
      </c>
      <c r="AK2275">
        <v>176.4</v>
      </c>
      <c r="AL2275">
        <v>1.95168558305407</v>
      </c>
      <c r="AM2275">
        <v>15.5628066631701</v>
      </c>
      <c r="AN2275">
        <v>4</v>
      </c>
      <c r="AO2275" t="b">
        <v>0</v>
      </c>
      <c r="AT2275">
        <v>279</v>
      </c>
      <c r="AU2275">
        <f t="shared" si="107"/>
        <v>0.76400000000000001</v>
      </c>
    </row>
    <row r="2276" spans="1:47" x14ac:dyDescent="0.3">
      <c r="A2276">
        <v>2274</v>
      </c>
      <c r="B2276" t="s">
        <v>9439</v>
      </c>
      <c r="C2276" t="s">
        <v>9440</v>
      </c>
      <c r="D2276">
        <v>404</v>
      </c>
      <c r="E2276" t="s">
        <v>9428</v>
      </c>
      <c r="F2276" t="str">
        <f>VLOOKUP(E2276,country_continent!A:C,2,FALSE)</f>
        <v>Guinea-Bissau</v>
      </c>
      <c r="G2276" t="str">
        <f>VLOOKUP(E2276,country_continent!A:C,3,FALSE)</f>
        <v>Africa</v>
      </c>
      <c r="H2276" t="s">
        <v>9441</v>
      </c>
      <c r="I2276" s="1">
        <v>36574</v>
      </c>
      <c r="J2276" s="3">
        <f t="shared" si="105"/>
        <v>36574</v>
      </c>
      <c r="K2276" s="1">
        <v>37878</v>
      </c>
      <c r="L2276" s="3">
        <f t="shared" si="106"/>
        <v>37878</v>
      </c>
      <c r="M2276" t="s">
        <v>49</v>
      </c>
      <c r="N2276" t="s">
        <v>67</v>
      </c>
      <c r="O2276" t="s">
        <v>376</v>
      </c>
      <c r="P2276">
        <v>0</v>
      </c>
      <c r="Q2276" t="s">
        <v>50</v>
      </c>
      <c r="R2276" t="s">
        <v>51</v>
      </c>
      <c r="S2276">
        <v>1953</v>
      </c>
      <c r="T2276">
        <v>-777</v>
      </c>
      <c r="Z2276">
        <v>0</v>
      </c>
      <c r="AA2276">
        <v>3</v>
      </c>
      <c r="AB2276">
        <v>6</v>
      </c>
      <c r="AC2276">
        <v>0</v>
      </c>
      <c r="AF2276">
        <v>2000</v>
      </c>
      <c r="AG2276">
        <v>2003</v>
      </c>
      <c r="AH2276">
        <v>0.13921829195955801</v>
      </c>
      <c r="AI2276">
        <v>362.5</v>
      </c>
      <c r="AJ2276">
        <v>-4.0915530157556699</v>
      </c>
      <c r="AK2276">
        <v>165.5</v>
      </c>
      <c r="AL2276">
        <v>2.1484047185906801</v>
      </c>
      <c r="AM2276">
        <v>13.322115019657099</v>
      </c>
      <c r="AN2276">
        <v>3.5</v>
      </c>
      <c r="AO2276" t="b">
        <v>0</v>
      </c>
      <c r="AT2276">
        <v>1304</v>
      </c>
      <c r="AU2276">
        <f t="shared" si="107"/>
        <v>3.573</v>
      </c>
    </row>
    <row r="2277" spans="1:47" x14ac:dyDescent="0.3">
      <c r="A2277">
        <v>2275</v>
      </c>
      <c r="B2277" t="s">
        <v>9442</v>
      </c>
      <c r="C2277" t="s">
        <v>9443</v>
      </c>
      <c r="D2277">
        <v>404</v>
      </c>
      <c r="E2277" t="s">
        <v>9428</v>
      </c>
      <c r="F2277" t="str">
        <f>VLOOKUP(E2277,country_continent!A:C,2,FALSE)</f>
        <v>Guinea-Bissau</v>
      </c>
      <c r="G2277" t="str">
        <f>VLOOKUP(E2277,country_continent!A:C,3,FALSE)</f>
        <v>Africa</v>
      </c>
      <c r="H2277" t="s">
        <v>9444</v>
      </c>
      <c r="I2277" s="1">
        <v>37878</v>
      </c>
      <c r="J2277" s="3">
        <f t="shared" si="105"/>
        <v>37878</v>
      </c>
      <c r="K2277" s="1">
        <v>37892</v>
      </c>
      <c r="L2277" s="3">
        <f t="shared" si="106"/>
        <v>37892</v>
      </c>
      <c r="M2277" t="s">
        <v>67</v>
      </c>
      <c r="N2277" t="s">
        <v>49</v>
      </c>
      <c r="O2277" t="s">
        <v>49</v>
      </c>
      <c r="P2277">
        <v>0</v>
      </c>
      <c r="Q2277" t="s">
        <v>50</v>
      </c>
      <c r="R2277" t="s">
        <v>51</v>
      </c>
      <c r="S2277">
        <v>1947</v>
      </c>
      <c r="T2277">
        <v>2004</v>
      </c>
      <c r="Z2277">
        <v>1</v>
      </c>
      <c r="AA2277">
        <v>1</v>
      </c>
      <c r="AB2277">
        <v>0</v>
      </c>
      <c r="AC2277">
        <v>0</v>
      </c>
      <c r="AF2277">
        <v>2003</v>
      </c>
      <c r="AG2277">
        <v>2003</v>
      </c>
      <c r="AH2277">
        <v>-2.5163313688521001</v>
      </c>
      <c r="AI2277">
        <v>360</v>
      </c>
      <c r="AJ2277">
        <v>-0.57031337644410396</v>
      </c>
      <c r="AK2277">
        <v>157</v>
      </c>
      <c r="AL2277">
        <v>2.2621917072987698</v>
      </c>
      <c r="AM2277">
        <v>17.826767166247699</v>
      </c>
      <c r="AN2277">
        <v>-1</v>
      </c>
      <c r="AO2277" t="b">
        <v>0</v>
      </c>
      <c r="AT2277">
        <v>14</v>
      </c>
      <c r="AU2277">
        <f t="shared" si="107"/>
        <v>3.7999999999999999E-2</v>
      </c>
    </row>
    <row r="2278" spans="1:47" x14ac:dyDescent="0.3">
      <c r="A2278">
        <v>2276</v>
      </c>
      <c r="B2278" t="s">
        <v>9445</v>
      </c>
      <c r="C2278" t="s">
        <v>9446</v>
      </c>
      <c r="D2278">
        <v>404</v>
      </c>
      <c r="E2278" t="s">
        <v>9428</v>
      </c>
      <c r="F2278" t="str">
        <f>VLOOKUP(E2278,country_continent!A:C,2,FALSE)</f>
        <v>Guinea-Bissau</v>
      </c>
      <c r="G2278" t="str">
        <f>VLOOKUP(E2278,country_continent!A:C,3,FALSE)</f>
        <v>Africa</v>
      </c>
      <c r="H2278" t="s">
        <v>9447</v>
      </c>
      <c r="I2278" s="1">
        <v>37892</v>
      </c>
      <c r="J2278" s="3">
        <f t="shared" si="105"/>
        <v>37892</v>
      </c>
      <c r="K2278" s="1">
        <v>38626</v>
      </c>
      <c r="L2278" s="3">
        <f t="shared" si="106"/>
        <v>38626</v>
      </c>
      <c r="M2278" t="s">
        <v>49</v>
      </c>
      <c r="N2278" t="s">
        <v>49</v>
      </c>
      <c r="O2278" t="s">
        <v>49</v>
      </c>
      <c r="P2278">
        <v>0</v>
      </c>
      <c r="Q2278" t="s">
        <v>50</v>
      </c>
      <c r="R2278" t="s">
        <v>51</v>
      </c>
      <c r="S2278">
        <v>1946</v>
      </c>
      <c r="T2278">
        <v>-777</v>
      </c>
      <c r="Z2278">
        <v>0</v>
      </c>
      <c r="AA2278">
        <v>1</v>
      </c>
      <c r="AB2278">
        <v>0</v>
      </c>
      <c r="AC2278">
        <v>0</v>
      </c>
      <c r="AF2278">
        <v>2003</v>
      </c>
      <c r="AG2278">
        <v>2005</v>
      </c>
      <c r="AH2278">
        <v>0.14659205009708801</v>
      </c>
      <c r="AI2278">
        <v>413.33333333333297</v>
      </c>
      <c r="AJ2278">
        <v>-0.978898954267165</v>
      </c>
      <c r="AK2278">
        <v>151</v>
      </c>
      <c r="AL2278">
        <v>2.3042175363779398</v>
      </c>
      <c r="AM2278">
        <v>15.1180951132642</v>
      </c>
      <c r="AN2278">
        <v>1.33</v>
      </c>
      <c r="AO2278" t="b">
        <v>0</v>
      </c>
      <c r="AT2278">
        <v>734</v>
      </c>
      <c r="AU2278">
        <f t="shared" si="107"/>
        <v>2.0110000000000001</v>
      </c>
    </row>
    <row r="2279" spans="1:47" x14ac:dyDescent="0.3">
      <c r="A2279">
        <v>2277</v>
      </c>
      <c r="B2279" t="s">
        <v>9448</v>
      </c>
      <c r="C2279" t="s">
        <v>9430</v>
      </c>
      <c r="D2279">
        <v>404</v>
      </c>
      <c r="E2279" t="s">
        <v>9428</v>
      </c>
      <c r="F2279" t="str">
        <f>VLOOKUP(E2279,country_continent!A:C,2,FALSE)</f>
        <v>Guinea-Bissau</v>
      </c>
      <c r="G2279" t="str">
        <f>VLOOKUP(E2279,country_continent!A:C,3,FALSE)</f>
        <v>Africa</v>
      </c>
      <c r="H2279" t="s">
        <v>9431</v>
      </c>
      <c r="I2279" s="1">
        <v>38626</v>
      </c>
      <c r="J2279" s="3">
        <f t="shared" si="105"/>
        <v>38626</v>
      </c>
      <c r="K2279" s="1">
        <v>39874</v>
      </c>
      <c r="L2279" s="3">
        <f t="shared" si="106"/>
        <v>39874</v>
      </c>
      <c r="M2279" t="s">
        <v>49</v>
      </c>
      <c r="N2279" t="s">
        <v>67</v>
      </c>
      <c r="O2279" t="s">
        <v>376</v>
      </c>
      <c r="P2279">
        <v>2</v>
      </c>
      <c r="Q2279" t="s">
        <v>69</v>
      </c>
      <c r="R2279" t="s">
        <v>51</v>
      </c>
      <c r="S2279">
        <v>1939</v>
      </c>
      <c r="T2279">
        <v>2009</v>
      </c>
      <c r="U2279" s="1">
        <v>14362</v>
      </c>
      <c r="V2279" s="2">
        <v>14362</v>
      </c>
      <c r="Z2279">
        <v>0</v>
      </c>
      <c r="AA2279">
        <v>3</v>
      </c>
      <c r="AB2279">
        <v>6</v>
      </c>
      <c r="AC2279">
        <v>3</v>
      </c>
      <c r="AF2279">
        <v>2005</v>
      </c>
      <c r="AG2279">
        <v>2009</v>
      </c>
      <c r="AH2279">
        <v>1.22896004474642</v>
      </c>
      <c r="AI2279">
        <v>510</v>
      </c>
      <c r="AJ2279">
        <v>2.7597634413479901</v>
      </c>
      <c r="AK2279">
        <v>132.36000000000001</v>
      </c>
      <c r="AL2279">
        <v>2.46232234241812</v>
      </c>
      <c r="AM2279">
        <v>15.3323266822451</v>
      </c>
      <c r="AN2279">
        <v>6</v>
      </c>
      <c r="AO2279" t="b">
        <v>0</v>
      </c>
      <c r="AT2279">
        <v>1248</v>
      </c>
      <c r="AU2279">
        <f t="shared" si="107"/>
        <v>3.419</v>
      </c>
    </row>
    <row r="2280" spans="1:47" x14ac:dyDescent="0.3">
      <c r="A2280">
        <v>2278</v>
      </c>
      <c r="B2280" t="s">
        <v>9449</v>
      </c>
      <c r="C2280" t="s">
        <v>9450</v>
      </c>
      <c r="D2280">
        <v>404</v>
      </c>
      <c r="E2280" t="s">
        <v>9428</v>
      </c>
      <c r="F2280" t="str">
        <f>VLOOKUP(E2280,country_continent!A:C,2,FALSE)</f>
        <v>Guinea-Bissau</v>
      </c>
      <c r="G2280" t="str">
        <f>VLOOKUP(E2280,country_continent!A:C,3,FALSE)</f>
        <v>Africa</v>
      </c>
      <c r="H2280" t="s">
        <v>9451</v>
      </c>
      <c r="I2280" s="1">
        <v>39874</v>
      </c>
      <c r="J2280" s="3">
        <f t="shared" si="105"/>
        <v>39874</v>
      </c>
      <c r="K2280" s="1">
        <v>40064</v>
      </c>
      <c r="L2280" s="3">
        <f t="shared" si="106"/>
        <v>40064</v>
      </c>
      <c r="M2280" t="s">
        <v>49</v>
      </c>
      <c r="N2280" t="s">
        <v>49</v>
      </c>
      <c r="O2280" t="s">
        <v>49</v>
      </c>
      <c r="P2280">
        <v>0</v>
      </c>
      <c r="Q2280" t="s">
        <v>50</v>
      </c>
      <c r="R2280" t="s">
        <v>51</v>
      </c>
      <c r="S2280">
        <v>1956</v>
      </c>
      <c r="T2280">
        <v>-777</v>
      </c>
      <c r="Z2280">
        <v>0</v>
      </c>
      <c r="AA2280">
        <v>1</v>
      </c>
      <c r="AB2280">
        <v>0</v>
      </c>
      <c r="AC2280">
        <v>0</v>
      </c>
      <c r="AF2280">
        <v>2009</v>
      </c>
      <c r="AG2280">
        <v>2009</v>
      </c>
      <c r="AH2280">
        <v>-0.124226604498275</v>
      </c>
      <c r="AI2280">
        <v>590</v>
      </c>
      <c r="AJ2280">
        <v>-3.8252077901305199</v>
      </c>
      <c r="AK2280">
        <v>120</v>
      </c>
      <c r="AL2280">
        <v>2.54277273891846</v>
      </c>
      <c r="AM2280">
        <v>17.197448017283101</v>
      </c>
      <c r="AN2280">
        <v>6</v>
      </c>
      <c r="AO2280" t="b">
        <v>0</v>
      </c>
      <c r="AT2280">
        <v>190</v>
      </c>
      <c r="AU2280">
        <f t="shared" si="107"/>
        <v>0.52100000000000002</v>
      </c>
    </row>
    <row r="2281" spans="1:47" x14ac:dyDescent="0.3">
      <c r="A2281">
        <v>2279</v>
      </c>
      <c r="B2281" t="s">
        <v>9452</v>
      </c>
      <c r="C2281" t="s">
        <v>9436</v>
      </c>
      <c r="D2281">
        <v>404</v>
      </c>
      <c r="E2281" t="s">
        <v>9428</v>
      </c>
      <c r="F2281" t="str">
        <f>VLOOKUP(E2281,country_continent!A:C,2,FALSE)</f>
        <v>Guinea-Bissau</v>
      </c>
      <c r="G2281" t="str">
        <f>VLOOKUP(E2281,country_continent!A:C,3,FALSE)</f>
        <v>Africa</v>
      </c>
      <c r="H2281" t="s">
        <v>9437</v>
      </c>
      <c r="I2281" s="1">
        <v>40064</v>
      </c>
      <c r="J2281" s="3">
        <f t="shared" si="105"/>
        <v>40064</v>
      </c>
      <c r="K2281" s="1">
        <v>40908</v>
      </c>
      <c r="L2281" s="3">
        <f t="shared" si="106"/>
        <v>40908</v>
      </c>
      <c r="M2281" t="s">
        <v>49</v>
      </c>
      <c r="N2281" t="s">
        <v>110</v>
      </c>
      <c r="O2281" t="s">
        <v>49</v>
      </c>
      <c r="P2281">
        <v>1</v>
      </c>
      <c r="Q2281" t="s">
        <v>111</v>
      </c>
      <c r="R2281" t="s">
        <v>51</v>
      </c>
      <c r="S2281">
        <v>1956</v>
      </c>
      <c r="T2281">
        <v>2012</v>
      </c>
      <c r="Z2281">
        <v>0</v>
      </c>
      <c r="AA2281">
        <v>2</v>
      </c>
      <c r="AB2281">
        <v>0</v>
      </c>
      <c r="AC2281">
        <v>-777</v>
      </c>
      <c r="AF2281">
        <v>2009</v>
      </c>
      <c r="AG2281">
        <v>2011</v>
      </c>
      <c r="AH2281">
        <v>2.6888583450966199</v>
      </c>
      <c r="AI2281">
        <v>623.33333333333303</v>
      </c>
      <c r="AJ2281">
        <v>3.2809099119592999</v>
      </c>
      <c r="AK2281">
        <v>114.3</v>
      </c>
      <c r="AL2281">
        <v>2.5856402415490298</v>
      </c>
      <c r="AM2281">
        <v>15.1256521654414</v>
      </c>
      <c r="AN2281">
        <v>6</v>
      </c>
      <c r="AO2281" t="b">
        <v>0</v>
      </c>
      <c r="AT2281">
        <v>844</v>
      </c>
      <c r="AU2281">
        <f t="shared" si="107"/>
        <v>2.3119999999999998</v>
      </c>
    </row>
    <row r="2282" spans="1:47" x14ac:dyDescent="0.3">
      <c r="A2282">
        <v>2280</v>
      </c>
      <c r="B2282" t="s">
        <v>9453</v>
      </c>
      <c r="C2282" t="s">
        <v>9454</v>
      </c>
      <c r="D2282">
        <v>404</v>
      </c>
      <c r="E2282" t="s">
        <v>9428</v>
      </c>
      <c r="F2282" t="str">
        <f>VLOOKUP(E2282,country_continent!A:C,2,FALSE)</f>
        <v>Guinea-Bissau</v>
      </c>
      <c r="G2282" t="str">
        <f>VLOOKUP(E2282,country_continent!A:C,3,FALSE)</f>
        <v>Africa</v>
      </c>
      <c r="H2282" t="s">
        <v>9455</v>
      </c>
      <c r="I2282" s="1">
        <v>40917</v>
      </c>
      <c r="J2282" s="3">
        <f t="shared" si="105"/>
        <v>40917</v>
      </c>
      <c r="K2282" s="1">
        <v>41011</v>
      </c>
      <c r="L2282" s="3">
        <f t="shared" si="106"/>
        <v>41011</v>
      </c>
      <c r="M2282" t="s">
        <v>49</v>
      </c>
      <c r="N2282" t="s">
        <v>67</v>
      </c>
      <c r="O2282" t="s">
        <v>376</v>
      </c>
      <c r="P2282">
        <v>0</v>
      </c>
      <c r="Q2282" t="s">
        <v>362</v>
      </c>
      <c r="R2282" t="s">
        <v>51</v>
      </c>
      <c r="S2282">
        <v>1955</v>
      </c>
      <c r="T2282">
        <v>-777</v>
      </c>
      <c r="U2282" s="1">
        <v>20129</v>
      </c>
      <c r="V2282" s="2">
        <v>20129</v>
      </c>
      <c r="Z2282">
        <v>0</v>
      </c>
      <c r="AA2282">
        <v>3</v>
      </c>
      <c r="AB2282">
        <v>6</v>
      </c>
      <c r="AC2282">
        <v>1</v>
      </c>
      <c r="AF2282">
        <v>2012</v>
      </c>
      <c r="AG2282">
        <v>2012</v>
      </c>
      <c r="AH2282">
        <v>-4.2923891845044801</v>
      </c>
      <c r="AI2282">
        <v>630</v>
      </c>
      <c r="AJ2282">
        <v>-2.7221160490299198E-2</v>
      </c>
      <c r="AK2282">
        <v>103.7</v>
      </c>
      <c r="AL2282">
        <v>2.6595273922480298</v>
      </c>
      <c r="AM2282">
        <v>17.119856746821799</v>
      </c>
      <c r="AN2282">
        <v>1</v>
      </c>
      <c r="AO2282" t="b">
        <v>0</v>
      </c>
      <c r="AT2282">
        <v>94</v>
      </c>
      <c r="AU2282">
        <f t="shared" si="107"/>
        <v>0.25800000000000001</v>
      </c>
    </row>
    <row r="2283" spans="1:47" x14ac:dyDescent="0.3">
      <c r="A2283">
        <v>2281</v>
      </c>
      <c r="B2283" t="s">
        <v>9456</v>
      </c>
      <c r="C2283" t="s">
        <v>9457</v>
      </c>
      <c r="D2283">
        <v>404</v>
      </c>
      <c r="E2283" t="s">
        <v>9428</v>
      </c>
      <c r="F2283" t="str">
        <f>VLOOKUP(E2283,country_continent!A:C,2,FALSE)</f>
        <v>Guinea-Bissau</v>
      </c>
      <c r="G2283" t="str">
        <f>VLOOKUP(E2283,country_continent!A:C,3,FALSE)</f>
        <v>Africa</v>
      </c>
      <c r="H2283" t="s">
        <v>9458</v>
      </c>
      <c r="I2283" s="1">
        <v>41011</v>
      </c>
      <c r="J2283" s="3">
        <f t="shared" si="105"/>
        <v>41011</v>
      </c>
      <c r="K2283" s="1">
        <v>41040</v>
      </c>
      <c r="L2283" s="3">
        <f t="shared" si="106"/>
        <v>41040</v>
      </c>
      <c r="M2283" t="s">
        <v>67</v>
      </c>
      <c r="N2283" t="s">
        <v>49</v>
      </c>
      <c r="O2283" t="s">
        <v>49</v>
      </c>
      <c r="P2283">
        <v>0</v>
      </c>
      <c r="Q2283" t="s">
        <v>1453</v>
      </c>
      <c r="R2283" t="s">
        <v>51</v>
      </c>
      <c r="S2283">
        <v>1947</v>
      </c>
      <c r="T2283">
        <v>-777</v>
      </c>
      <c r="U2283" s="1">
        <v>17283</v>
      </c>
      <c r="V2283" s="2">
        <v>17283</v>
      </c>
      <c r="Z2283">
        <v>1</v>
      </c>
      <c r="AA2283">
        <v>1</v>
      </c>
      <c r="AB2283">
        <v>0</v>
      </c>
      <c r="AC2283">
        <v>-666</v>
      </c>
      <c r="AF2283">
        <v>2012</v>
      </c>
      <c r="AG2283">
        <v>2012</v>
      </c>
      <c r="AH2283">
        <v>-4.2923891845044801</v>
      </c>
      <c r="AI2283">
        <v>630</v>
      </c>
      <c r="AJ2283">
        <v>-2.7221160490299198E-2</v>
      </c>
      <c r="AK2283">
        <v>103.7</v>
      </c>
      <c r="AL2283">
        <v>2.6595273922480298</v>
      </c>
      <c r="AM2283">
        <v>17.119856746821799</v>
      </c>
      <c r="AN2283">
        <v>1</v>
      </c>
      <c r="AO2283" t="b">
        <v>0</v>
      </c>
      <c r="AT2283">
        <v>29</v>
      </c>
      <c r="AU2283">
        <f t="shared" si="107"/>
        <v>7.9000000000000001E-2</v>
      </c>
    </row>
    <row r="2284" spans="1:47" x14ac:dyDescent="0.3">
      <c r="A2284">
        <v>2282</v>
      </c>
      <c r="B2284" t="s">
        <v>9459</v>
      </c>
      <c r="C2284" t="s">
        <v>9460</v>
      </c>
      <c r="D2284">
        <v>404</v>
      </c>
      <c r="E2284" t="s">
        <v>9428</v>
      </c>
      <c r="F2284" t="str">
        <f>VLOOKUP(E2284,country_continent!A:C,2,FALSE)</f>
        <v>Guinea-Bissau</v>
      </c>
      <c r="G2284" t="str">
        <f>VLOOKUP(E2284,country_continent!A:C,3,FALSE)</f>
        <v>Africa</v>
      </c>
      <c r="H2284" t="s">
        <v>9461</v>
      </c>
      <c r="I2284" s="1">
        <v>41040</v>
      </c>
      <c r="J2284" s="3">
        <f t="shared" si="105"/>
        <v>41040</v>
      </c>
      <c r="K2284" s="1">
        <v>41813</v>
      </c>
      <c r="L2284" s="3">
        <f t="shared" si="106"/>
        <v>41813</v>
      </c>
      <c r="M2284" t="s">
        <v>49</v>
      </c>
      <c r="N2284" t="s">
        <v>49</v>
      </c>
      <c r="O2284" t="s">
        <v>49</v>
      </c>
      <c r="P2284">
        <v>0</v>
      </c>
      <c r="Q2284" t="s">
        <v>50</v>
      </c>
      <c r="R2284" t="s">
        <v>51</v>
      </c>
      <c r="S2284">
        <v>1958</v>
      </c>
      <c r="T2284">
        <v>-777</v>
      </c>
      <c r="U2284" s="1">
        <v>21269</v>
      </c>
      <c r="V2284" s="2">
        <v>21269</v>
      </c>
      <c r="Z2284">
        <v>0</v>
      </c>
      <c r="AA2284">
        <v>1</v>
      </c>
      <c r="AB2284">
        <v>0</v>
      </c>
      <c r="AC2284">
        <v>0</v>
      </c>
      <c r="AF2284">
        <v>2012</v>
      </c>
      <c r="AG2284">
        <v>2014</v>
      </c>
      <c r="AH2284">
        <v>-1.8008691571775499</v>
      </c>
      <c r="AI2284">
        <v>650</v>
      </c>
      <c r="AJ2284">
        <v>0.11268698877869</v>
      </c>
      <c r="AK2284">
        <v>99.433333333333294</v>
      </c>
      <c r="AL2284">
        <v>2.6497099893064302</v>
      </c>
      <c r="AM2284">
        <v>17.5861879814201</v>
      </c>
      <c r="AN2284">
        <v>2.67</v>
      </c>
      <c r="AO2284" t="b">
        <v>0</v>
      </c>
      <c r="AT2284">
        <v>773</v>
      </c>
      <c r="AU2284">
        <f t="shared" si="107"/>
        <v>2.1179999999999999</v>
      </c>
    </row>
    <row r="2285" spans="1:47" x14ac:dyDescent="0.3">
      <c r="A2285">
        <v>2283</v>
      </c>
      <c r="B2285" t="s">
        <v>9462</v>
      </c>
      <c r="C2285" t="s">
        <v>9463</v>
      </c>
      <c r="D2285">
        <v>404</v>
      </c>
      <c r="E2285" t="s">
        <v>9428</v>
      </c>
      <c r="F2285" t="str">
        <f>VLOOKUP(E2285,country_continent!A:C,2,FALSE)</f>
        <v>Guinea-Bissau</v>
      </c>
      <c r="G2285" t="str">
        <f>VLOOKUP(E2285,country_continent!A:C,3,FALSE)</f>
        <v>Africa</v>
      </c>
      <c r="H2285" t="s">
        <v>9464</v>
      </c>
      <c r="I2285" s="1">
        <v>41813</v>
      </c>
      <c r="J2285" s="3">
        <f t="shared" si="105"/>
        <v>41813</v>
      </c>
      <c r="K2285" s="1">
        <v>42369</v>
      </c>
      <c r="L2285" s="3">
        <f t="shared" si="106"/>
        <v>42369</v>
      </c>
      <c r="M2285" t="s">
        <v>49</v>
      </c>
      <c r="N2285" t="s">
        <v>173</v>
      </c>
      <c r="O2285" t="s">
        <v>173</v>
      </c>
      <c r="P2285">
        <v>0</v>
      </c>
      <c r="Q2285" t="s">
        <v>174</v>
      </c>
      <c r="R2285" t="s">
        <v>51</v>
      </c>
      <c r="S2285">
        <v>1957</v>
      </c>
      <c r="T2285">
        <v>-777</v>
      </c>
      <c r="U2285" s="1">
        <v>21164</v>
      </c>
      <c r="V2285" s="2">
        <v>21164</v>
      </c>
      <c r="Z2285">
        <v>0</v>
      </c>
      <c r="AA2285">
        <v>-888</v>
      </c>
      <c r="AB2285">
        <v>-888</v>
      </c>
      <c r="AC2285">
        <v>-888</v>
      </c>
      <c r="AF2285">
        <v>2014</v>
      </c>
      <c r="AG2285">
        <v>2015</v>
      </c>
      <c r="AH2285">
        <v>0.89356820778377199</v>
      </c>
      <c r="AI2285">
        <v>665</v>
      </c>
      <c r="AJ2285">
        <v>7.9086101350603499</v>
      </c>
      <c r="AK2285">
        <v>93.55</v>
      </c>
      <c r="AL2285">
        <v>2.5988855675262901</v>
      </c>
      <c r="AM2285">
        <v>19.285100796703201</v>
      </c>
      <c r="AN2285">
        <v>6</v>
      </c>
      <c r="AO2285" t="b">
        <v>0</v>
      </c>
      <c r="AT2285">
        <v>556</v>
      </c>
      <c r="AU2285">
        <f t="shared" si="107"/>
        <v>1.5229999999999999</v>
      </c>
    </row>
    <row r="2286" spans="1:47" x14ac:dyDescent="0.3">
      <c r="A2286">
        <v>2284</v>
      </c>
      <c r="B2286" t="s">
        <v>9465</v>
      </c>
      <c r="C2286" t="s">
        <v>9466</v>
      </c>
      <c r="D2286">
        <v>411</v>
      </c>
      <c r="E2286" t="s">
        <v>9467</v>
      </c>
      <c r="F2286" t="str">
        <f>VLOOKUP(E2286,country_continent!A:C,2,FALSE)</f>
        <v>Equatorial Guinea</v>
      </c>
      <c r="G2286" t="str">
        <f>VLOOKUP(E2286,country_continent!A:C,3,FALSE)</f>
        <v>Africa</v>
      </c>
      <c r="H2286" t="s">
        <v>9468</v>
      </c>
      <c r="I2286" s="1">
        <v>23360</v>
      </c>
      <c r="J2286" s="3">
        <f t="shared" si="105"/>
        <v>23360</v>
      </c>
      <c r="K2286" s="1">
        <v>25123</v>
      </c>
      <c r="L2286" s="3">
        <f t="shared" si="106"/>
        <v>25123</v>
      </c>
      <c r="M2286" t="s">
        <v>49</v>
      </c>
      <c r="N2286" t="s">
        <v>49</v>
      </c>
      <c r="O2286" t="s">
        <v>49</v>
      </c>
      <c r="P2286">
        <v>0</v>
      </c>
      <c r="Q2286" t="s">
        <v>69</v>
      </c>
      <c r="R2286" t="s">
        <v>51</v>
      </c>
      <c r="S2286">
        <v>-999</v>
      </c>
      <c r="T2286">
        <v>1969</v>
      </c>
      <c r="Z2286">
        <v>0</v>
      </c>
      <c r="AA2286">
        <v>1</v>
      </c>
      <c r="AB2286">
        <v>0</v>
      </c>
      <c r="AC2286">
        <v>3</v>
      </c>
      <c r="AF2286">
        <v>1963</v>
      </c>
      <c r="AG2286">
        <v>1968</v>
      </c>
      <c r="AO2286" t="b">
        <v>0</v>
      </c>
      <c r="AT2286">
        <v>1763</v>
      </c>
      <c r="AU2286">
        <f t="shared" si="107"/>
        <v>4.83</v>
      </c>
    </row>
    <row r="2287" spans="1:47" x14ac:dyDescent="0.3">
      <c r="A2287">
        <v>2285</v>
      </c>
      <c r="B2287" t="s">
        <v>9469</v>
      </c>
      <c r="C2287" t="s">
        <v>9470</v>
      </c>
      <c r="D2287">
        <v>411</v>
      </c>
      <c r="E2287" t="s">
        <v>9467</v>
      </c>
      <c r="F2287" t="str">
        <f>VLOOKUP(E2287,country_continent!A:C,2,FALSE)</f>
        <v>Equatorial Guinea</v>
      </c>
      <c r="G2287" t="str">
        <f>VLOOKUP(E2287,country_continent!A:C,3,FALSE)</f>
        <v>Africa</v>
      </c>
      <c r="H2287" t="s">
        <v>9471</v>
      </c>
      <c r="I2287" s="1">
        <v>25123</v>
      </c>
      <c r="J2287" s="3">
        <f t="shared" si="105"/>
        <v>25123</v>
      </c>
      <c r="K2287" s="1">
        <v>29070</v>
      </c>
      <c r="L2287" s="3">
        <f t="shared" si="106"/>
        <v>29070</v>
      </c>
      <c r="M2287" t="s">
        <v>49</v>
      </c>
      <c r="N2287" t="s">
        <v>67</v>
      </c>
      <c r="O2287" t="s">
        <v>376</v>
      </c>
      <c r="P2287">
        <v>0</v>
      </c>
      <c r="Q2287" t="s">
        <v>69</v>
      </c>
      <c r="R2287" t="s">
        <v>51</v>
      </c>
      <c r="S2287">
        <v>1924</v>
      </c>
      <c r="T2287">
        <v>1979</v>
      </c>
      <c r="U2287" s="1">
        <v>8767</v>
      </c>
      <c r="V2287" s="2">
        <v>8767</v>
      </c>
      <c r="W2287" s="1">
        <v>29127</v>
      </c>
      <c r="X2287" s="2">
        <v>29127</v>
      </c>
      <c r="Y2287" t="s">
        <v>9472</v>
      </c>
      <c r="Z2287">
        <v>0</v>
      </c>
      <c r="AA2287">
        <v>3</v>
      </c>
      <c r="AB2287">
        <v>6</v>
      </c>
      <c r="AC2287">
        <v>3</v>
      </c>
      <c r="AD2287" t="s">
        <v>9473</v>
      </c>
      <c r="AE2287">
        <v>0</v>
      </c>
      <c r="AF2287">
        <v>1968</v>
      </c>
      <c r="AG2287">
        <v>1979</v>
      </c>
      <c r="AO2287" t="b">
        <v>0</v>
      </c>
      <c r="AT2287">
        <v>3947</v>
      </c>
      <c r="AU2287">
        <f t="shared" si="107"/>
        <v>10.814</v>
      </c>
    </row>
    <row r="2288" spans="1:47" x14ac:dyDescent="0.3">
      <c r="A2288">
        <v>2286</v>
      </c>
      <c r="B2288" t="s">
        <v>9474</v>
      </c>
      <c r="C2288" t="s">
        <v>9475</v>
      </c>
      <c r="D2288">
        <v>411</v>
      </c>
      <c r="E2288" t="s">
        <v>9467</v>
      </c>
      <c r="F2288" t="str">
        <f>VLOOKUP(E2288,country_continent!A:C,2,FALSE)</f>
        <v>Equatorial Guinea</v>
      </c>
      <c r="G2288" t="str">
        <f>VLOOKUP(E2288,country_continent!A:C,3,FALSE)</f>
        <v>Africa</v>
      </c>
      <c r="H2288" t="s">
        <v>9476</v>
      </c>
      <c r="I2288" s="1">
        <v>29070</v>
      </c>
      <c r="J2288" s="3">
        <f t="shared" si="105"/>
        <v>29070</v>
      </c>
      <c r="K2288" s="1">
        <v>42369</v>
      </c>
      <c r="L2288" s="3">
        <f t="shared" si="106"/>
        <v>42369</v>
      </c>
      <c r="M2288" t="s">
        <v>67</v>
      </c>
      <c r="N2288" t="s">
        <v>173</v>
      </c>
      <c r="O2288" t="s">
        <v>173</v>
      </c>
      <c r="P2288">
        <v>0</v>
      </c>
      <c r="Q2288" t="s">
        <v>174</v>
      </c>
      <c r="R2288" t="s">
        <v>51</v>
      </c>
      <c r="S2288">
        <v>1942</v>
      </c>
      <c r="T2288">
        <v>-777</v>
      </c>
      <c r="U2288" s="1">
        <v>15497</v>
      </c>
      <c r="V2288" s="2">
        <v>15497</v>
      </c>
      <c r="Z2288">
        <v>1</v>
      </c>
      <c r="AA2288">
        <v>-888</v>
      </c>
      <c r="AB2288">
        <v>-888</v>
      </c>
      <c r="AC2288">
        <v>-888</v>
      </c>
      <c r="AD2288" t="s">
        <v>9477</v>
      </c>
      <c r="AF2288">
        <v>1979</v>
      </c>
      <c r="AG2288">
        <v>2015</v>
      </c>
      <c r="AO2288" t="b">
        <v>0</v>
      </c>
      <c r="AT2288">
        <v>13299</v>
      </c>
      <c r="AU2288">
        <f t="shared" si="107"/>
        <v>36.436</v>
      </c>
    </row>
    <row r="2289" spans="1:47" x14ac:dyDescent="0.3">
      <c r="A2289">
        <v>2287</v>
      </c>
      <c r="B2289" t="s">
        <v>9478</v>
      </c>
      <c r="C2289" t="s">
        <v>9479</v>
      </c>
      <c r="D2289">
        <v>420</v>
      </c>
      <c r="E2289" t="s">
        <v>9480</v>
      </c>
      <c r="F2289" t="str">
        <f>VLOOKUP(E2289,country_continent!A:C,2,FALSE)</f>
        <v>Gambia</v>
      </c>
      <c r="G2289" t="str">
        <f>VLOOKUP(E2289,country_continent!A:C,3,FALSE)</f>
        <v>Africa</v>
      </c>
      <c r="H2289" t="s">
        <v>9481</v>
      </c>
      <c r="I2289" s="1">
        <v>23791</v>
      </c>
      <c r="J2289" s="3">
        <f t="shared" si="105"/>
        <v>23791</v>
      </c>
      <c r="K2289" s="1">
        <v>34537</v>
      </c>
      <c r="L2289" s="3">
        <f t="shared" si="106"/>
        <v>34537</v>
      </c>
      <c r="M2289" t="s">
        <v>49</v>
      </c>
      <c r="N2289" t="s">
        <v>67</v>
      </c>
      <c r="O2289" t="s">
        <v>376</v>
      </c>
      <c r="P2289">
        <v>0</v>
      </c>
      <c r="Q2289" t="s">
        <v>362</v>
      </c>
      <c r="R2289" t="s">
        <v>51</v>
      </c>
      <c r="S2289">
        <v>1924</v>
      </c>
      <c r="T2289">
        <v>-777</v>
      </c>
      <c r="U2289" s="1">
        <v>8898</v>
      </c>
      <c r="V2289" s="2">
        <v>8898</v>
      </c>
      <c r="Z2289">
        <v>0</v>
      </c>
      <c r="AA2289">
        <v>3</v>
      </c>
      <c r="AB2289">
        <v>6</v>
      </c>
      <c r="AC2289">
        <v>1</v>
      </c>
      <c r="AF2289">
        <v>1965</v>
      </c>
      <c r="AG2289">
        <v>1994</v>
      </c>
      <c r="AO2289" t="b">
        <v>0</v>
      </c>
      <c r="AT2289">
        <v>10746</v>
      </c>
      <c r="AU2289">
        <f t="shared" si="107"/>
        <v>29.440999999999999</v>
      </c>
    </row>
    <row r="2290" spans="1:47" x14ac:dyDescent="0.3">
      <c r="A2290">
        <v>2288</v>
      </c>
      <c r="B2290" t="s">
        <v>9482</v>
      </c>
      <c r="C2290" t="s">
        <v>9483</v>
      </c>
      <c r="D2290">
        <v>420</v>
      </c>
      <c r="E2290" t="s">
        <v>9480</v>
      </c>
      <c r="F2290" t="str">
        <f>VLOOKUP(E2290,country_continent!A:C,2,FALSE)</f>
        <v>Gambia</v>
      </c>
      <c r="G2290" t="str">
        <f>VLOOKUP(E2290,country_continent!A:C,3,FALSE)</f>
        <v>Africa</v>
      </c>
      <c r="H2290" t="s">
        <v>9484</v>
      </c>
      <c r="I2290" s="1">
        <v>34537</v>
      </c>
      <c r="J2290" s="3">
        <f t="shared" si="105"/>
        <v>34537</v>
      </c>
      <c r="K2290" s="1">
        <v>42369</v>
      </c>
      <c r="L2290" s="3">
        <f t="shared" si="106"/>
        <v>42369</v>
      </c>
      <c r="M2290" t="s">
        <v>67</v>
      </c>
      <c r="N2290" t="s">
        <v>173</v>
      </c>
      <c r="O2290" t="s">
        <v>173</v>
      </c>
      <c r="P2290">
        <v>0</v>
      </c>
      <c r="Q2290" t="s">
        <v>174</v>
      </c>
      <c r="R2290" t="s">
        <v>51</v>
      </c>
      <c r="S2290">
        <v>1942</v>
      </c>
      <c r="T2290">
        <v>-777</v>
      </c>
      <c r="U2290" s="1">
        <v>15497</v>
      </c>
      <c r="V2290" s="2">
        <v>15497</v>
      </c>
      <c r="Y2290" t="s">
        <v>9485</v>
      </c>
      <c r="Z2290">
        <v>1</v>
      </c>
      <c r="AA2290">
        <v>-888</v>
      </c>
      <c r="AB2290">
        <v>-888</v>
      </c>
      <c r="AC2290">
        <v>-888</v>
      </c>
      <c r="AF2290">
        <v>1994</v>
      </c>
      <c r="AG2290">
        <v>2015</v>
      </c>
      <c r="AO2290" t="b">
        <v>0</v>
      </c>
      <c r="AT2290">
        <v>7832</v>
      </c>
      <c r="AU2290">
        <f t="shared" si="107"/>
        <v>21.457999999999998</v>
      </c>
    </row>
    <row r="2291" spans="1:47" x14ac:dyDescent="0.3">
      <c r="A2291">
        <v>2289</v>
      </c>
      <c r="B2291" t="s">
        <v>9486</v>
      </c>
      <c r="C2291" t="s">
        <v>9487</v>
      </c>
      <c r="D2291">
        <v>432</v>
      </c>
      <c r="E2291" t="s">
        <v>9488</v>
      </c>
      <c r="F2291" t="str">
        <f>VLOOKUP(E2291,country_continent!A:C,2,FALSE)</f>
        <v>Mali</v>
      </c>
      <c r="G2291" t="str">
        <f>VLOOKUP(E2291,country_continent!A:C,3,FALSE)</f>
        <v>Africa</v>
      </c>
      <c r="H2291" t="s">
        <v>9489</v>
      </c>
      <c r="I2291" s="1">
        <v>22181</v>
      </c>
      <c r="J2291" s="3">
        <f t="shared" si="105"/>
        <v>22181</v>
      </c>
      <c r="K2291" s="1">
        <v>25161</v>
      </c>
      <c r="L2291" s="3">
        <f t="shared" si="106"/>
        <v>25161</v>
      </c>
      <c r="M2291" t="s">
        <v>49</v>
      </c>
      <c r="N2291" t="s">
        <v>67</v>
      </c>
      <c r="O2291" t="s">
        <v>376</v>
      </c>
      <c r="P2291">
        <v>0</v>
      </c>
      <c r="Q2291" t="s">
        <v>463</v>
      </c>
      <c r="R2291" t="s">
        <v>51</v>
      </c>
      <c r="S2291">
        <v>1915</v>
      </c>
      <c r="T2291">
        <v>1977</v>
      </c>
      <c r="U2291" s="1">
        <v>5634</v>
      </c>
      <c r="V2291" s="2">
        <v>5634</v>
      </c>
      <c r="W2291" s="1">
        <v>28261</v>
      </c>
      <c r="X2291" s="2">
        <v>28261</v>
      </c>
      <c r="Z2291">
        <v>0</v>
      </c>
      <c r="AA2291">
        <v>3</v>
      </c>
      <c r="AB2291">
        <v>6</v>
      </c>
      <c r="AC2291">
        <v>2</v>
      </c>
      <c r="AF2291">
        <v>1960</v>
      </c>
      <c r="AG2291">
        <v>1968</v>
      </c>
      <c r="AH2291">
        <v>2.1386621417891898</v>
      </c>
      <c r="AJ2291">
        <v>21.086447501990499</v>
      </c>
      <c r="AK2291">
        <v>408.56666666666598</v>
      </c>
      <c r="AL2291">
        <v>1.4827934844753099</v>
      </c>
      <c r="AN2291">
        <v>-7</v>
      </c>
      <c r="AO2291" t="b">
        <v>0</v>
      </c>
      <c r="AT2291">
        <v>2980</v>
      </c>
      <c r="AU2291">
        <f t="shared" si="107"/>
        <v>8.1639999999999997</v>
      </c>
    </row>
    <row r="2292" spans="1:47" x14ac:dyDescent="0.3">
      <c r="A2292">
        <v>2290</v>
      </c>
      <c r="B2292" t="s">
        <v>9490</v>
      </c>
      <c r="C2292" t="s">
        <v>9491</v>
      </c>
      <c r="D2292">
        <v>432</v>
      </c>
      <c r="E2292" t="s">
        <v>9488</v>
      </c>
      <c r="F2292" t="str">
        <f>VLOOKUP(E2292,country_continent!A:C,2,FALSE)</f>
        <v>Mali</v>
      </c>
      <c r="G2292" t="str">
        <f>VLOOKUP(E2292,country_continent!A:C,3,FALSE)</f>
        <v>Africa</v>
      </c>
      <c r="H2292" t="s">
        <v>9492</v>
      </c>
      <c r="I2292" s="1">
        <v>25161</v>
      </c>
      <c r="J2292" s="3">
        <f t="shared" si="105"/>
        <v>25161</v>
      </c>
      <c r="K2292" s="1">
        <v>33323</v>
      </c>
      <c r="L2292" s="3">
        <f t="shared" si="106"/>
        <v>33323</v>
      </c>
      <c r="M2292" t="s">
        <v>67</v>
      </c>
      <c r="N2292" t="s">
        <v>67</v>
      </c>
      <c r="O2292" t="s">
        <v>376</v>
      </c>
      <c r="P2292">
        <v>0</v>
      </c>
      <c r="Q2292" t="s">
        <v>463</v>
      </c>
      <c r="R2292" t="s">
        <v>51</v>
      </c>
      <c r="S2292">
        <v>1936</v>
      </c>
      <c r="T2292">
        <v>-777</v>
      </c>
      <c r="U2292" s="1">
        <v>13408</v>
      </c>
      <c r="V2292" s="2">
        <v>13408</v>
      </c>
      <c r="Z2292">
        <v>1</v>
      </c>
      <c r="AA2292">
        <v>3</v>
      </c>
      <c r="AB2292">
        <v>6</v>
      </c>
      <c r="AC2292">
        <v>2</v>
      </c>
      <c r="AF2292">
        <v>1968</v>
      </c>
      <c r="AG2292">
        <v>1991</v>
      </c>
      <c r="AH2292">
        <v>1.88128817010208</v>
      </c>
      <c r="AI2292">
        <v>166.52173913043401</v>
      </c>
      <c r="AJ2292">
        <v>7.02440995266464</v>
      </c>
      <c r="AK2292">
        <v>306.92916666666599</v>
      </c>
      <c r="AL2292">
        <v>1.8604630713770001</v>
      </c>
      <c r="AM2292">
        <v>4.3131954169717002</v>
      </c>
      <c r="AN2292">
        <v>-6.75</v>
      </c>
      <c r="AO2292" t="b">
        <v>0</v>
      </c>
      <c r="AT2292">
        <v>8162</v>
      </c>
      <c r="AU2292">
        <f t="shared" si="107"/>
        <v>22.361999999999998</v>
      </c>
    </row>
    <row r="2293" spans="1:47" x14ac:dyDescent="0.3">
      <c r="A2293">
        <v>2291</v>
      </c>
      <c r="B2293" t="s">
        <v>9493</v>
      </c>
      <c r="C2293" t="s">
        <v>9494</v>
      </c>
      <c r="D2293">
        <v>432</v>
      </c>
      <c r="E2293" t="s">
        <v>9488</v>
      </c>
      <c r="F2293" t="str">
        <f>VLOOKUP(E2293,country_continent!A:C,2,FALSE)</f>
        <v>Mali</v>
      </c>
      <c r="G2293" t="str">
        <f>VLOOKUP(E2293,country_continent!A:C,3,FALSE)</f>
        <v>Africa</v>
      </c>
      <c r="H2293" t="s">
        <v>9495</v>
      </c>
      <c r="I2293" s="1">
        <v>33323</v>
      </c>
      <c r="J2293" s="3">
        <f t="shared" si="105"/>
        <v>33323</v>
      </c>
      <c r="K2293" s="1">
        <v>33761</v>
      </c>
      <c r="L2293" s="3">
        <f t="shared" si="106"/>
        <v>33761</v>
      </c>
      <c r="M2293" t="s">
        <v>67</v>
      </c>
      <c r="N2293" t="s">
        <v>49</v>
      </c>
      <c r="O2293" t="s">
        <v>49</v>
      </c>
      <c r="P2293">
        <v>0</v>
      </c>
      <c r="Q2293" t="s">
        <v>50</v>
      </c>
      <c r="R2293" t="s">
        <v>51</v>
      </c>
      <c r="S2293">
        <v>1948</v>
      </c>
      <c r="T2293">
        <v>-777</v>
      </c>
      <c r="Y2293" t="s">
        <v>9496</v>
      </c>
      <c r="Z2293">
        <v>1</v>
      </c>
      <c r="AA2293">
        <v>1</v>
      </c>
      <c r="AB2293">
        <v>0</v>
      </c>
      <c r="AC2293">
        <v>0</v>
      </c>
      <c r="AF2293">
        <v>1991</v>
      </c>
      <c r="AG2293">
        <v>1992</v>
      </c>
      <c r="AH2293">
        <v>2.1992209677610299</v>
      </c>
      <c r="AI2293">
        <v>305</v>
      </c>
      <c r="AJ2293">
        <v>-2.5386202373065601</v>
      </c>
      <c r="AK2293">
        <v>224.55</v>
      </c>
      <c r="AL2293">
        <v>2.0006010453189602</v>
      </c>
      <c r="AM2293">
        <v>4.2119770809711596</v>
      </c>
      <c r="AN2293">
        <v>1.5</v>
      </c>
      <c r="AO2293" t="b">
        <v>0</v>
      </c>
      <c r="AT2293">
        <v>438</v>
      </c>
      <c r="AU2293">
        <f t="shared" si="107"/>
        <v>1.2</v>
      </c>
    </row>
    <row r="2294" spans="1:47" x14ac:dyDescent="0.3">
      <c r="A2294">
        <v>2292</v>
      </c>
      <c r="B2294" t="s">
        <v>9497</v>
      </c>
      <c r="C2294" t="s">
        <v>9498</v>
      </c>
      <c r="D2294">
        <v>432</v>
      </c>
      <c r="E2294" t="s">
        <v>9488</v>
      </c>
      <c r="F2294" t="str">
        <f>VLOOKUP(E2294,country_continent!A:C,2,FALSE)</f>
        <v>Mali</v>
      </c>
      <c r="G2294" t="str">
        <f>VLOOKUP(E2294,country_continent!A:C,3,FALSE)</f>
        <v>Africa</v>
      </c>
      <c r="H2294" t="s">
        <v>9499</v>
      </c>
      <c r="I2294" s="1">
        <v>33761</v>
      </c>
      <c r="J2294" s="3">
        <f t="shared" si="105"/>
        <v>33761</v>
      </c>
      <c r="K2294" s="1">
        <v>37415</v>
      </c>
      <c r="L2294" s="3">
        <f t="shared" si="106"/>
        <v>37415</v>
      </c>
      <c r="M2294" t="s">
        <v>49</v>
      </c>
      <c r="N2294" t="s">
        <v>49</v>
      </c>
      <c r="O2294" t="s">
        <v>49</v>
      </c>
      <c r="P2294">
        <v>0</v>
      </c>
      <c r="Q2294" t="s">
        <v>50</v>
      </c>
      <c r="R2294" t="s">
        <v>51</v>
      </c>
      <c r="S2294">
        <v>1946</v>
      </c>
      <c r="T2294">
        <v>-777</v>
      </c>
      <c r="Z2294">
        <v>0</v>
      </c>
      <c r="AA2294">
        <v>1</v>
      </c>
      <c r="AB2294">
        <v>0</v>
      </c>
      <c r="AC2294">
        <v>0</v>
      </c>
      <c r="AF2294">
        <v>1992</v>
      </c>
      <c r="AG2294">
        <v>2002</v>
      </c>
      <c r="AH2294">
        <v>1.8302566176646999</v>
      </c>
      <c r="AI2294">
        <v>276.36363636363598</v>
      </c>
      <c r="AJ2294">
        <v>8.0791329013010493</v>
      </c>
      <c r="AK2294">
        <v>201.59090909090901</v>
      </c>
      <c r="AL2294">
        <v>2.4715768681840502</v>
      </c>
      <c r="AM2294">
        <v>5.6361111409934397</v>
      </c>
      <c r="AN2294">
        <v>4.55</v>
      </c>
      <c r="AO2294" t="b">
        <v>0</v>
      </c>
      <c r="AT2294">
        <v>3654</v>
      </c>
      <c r="AU2294">
        <f t="shared" si="107"/>
        <v>10.010999999999999</v>
      </c>
    </row>
    <row r="2295" spans="1:47" x14ac:dyDescent="0.3">
      <c r="A2295">
        <v>2293</v>
      </c>
      <c r="B2295" t="s">
        <v>9500</v>
      </c>
      <c r="C2295" t="s">
        <v>9494</v>
      </c>
      <c r="D2295">
        <v>432</v>
      </c>
      <c r="E2295" t="s">
        <v>9488</v>
      </c>
      <c r="F2295" t="str">
        <f>VLOOKUP(E2295,country_continent!A:C,2,FALSE)</f>
        <v>Mali</v>
      </c>
      <c r="G2295" t="str">
        <f>VLOOKUP(E2295,country_continent!A:C,3,FALSE)</f>
        <v>Africa</v>
      </c>
      <c r="H2295" t="s">
        <v>9495</v>
      </c>
      <c r="I2295" s="1">
        <v>37416</v>
      </c>
      <c r="J2295" s="3">
        <f t="shared" si="105"/>
        <v>37416</v>
      </c>
      <c r="K2295" s="1">
        <v>40990</v>
      </c>
      <c r="L2295" s="3">
        <f t="shared" si="106"/>
        <v>40990</v>
      </c>
      <c r="M2295" t="s">
        <v>49</v>
      </c>
      <c r="N2295" t="s">
        <v>67</v>
      </c>
      <c r="O2295" t="s">
        <v>376</v>
      </c>
      <c r="P2295">
        <v>1</v>
      </c>
      <c r="Q2295" t="s">
        <v>362</v>
      </c>
      <c r="R2295" t="s">
        <v>51</v>
      </c>
      <c r="S2295">
        <v>1948</v>
      </c>
      <c r="T2295">
        <v>-777</v>
      </c>
      <c r="Y2295" t="s">
        <v>9496</v>
      </c>
      <c r="Z2295">
        <v>0</v>
      </c>
      <c r="AA2295">
        <v>3</v>
      </c>
      <c r="AB2295">
        <v>6</v>
      </c>
      <c r="AC2295">
        <v>1</v>
      </c>
      <c r="AF2295">
        <v>2002</v>
      </c>
      <c r="AG2295">
        <v>2012</v>
      </c>
      <c r="AH2295">
        <v>1.53682218187206</v>
      </c>
      <c r="AI2295">
        <v>625.45454545454504</v>
      </c>
      <c r="AJ2295">
        <v>5.8204420649063797</v>
      </c>
      <c r="AK2295">
        <v>148.62727272727199</v>
      </c>
      <c r="AL2295">
        <v>3.2102101344798402</v>
      </c>
      <c r="AM2295">
        <v>7.1179649241884704</v>
      </c>
      <c r="AN2295">
        <v>5.82</v>
      </c>
      <c r="AO2295" t="b">
        <v>0</v>
      </c>
      <c r="AT2295">
        <v>3574</v>
      </c>
      <c r="AU2295">
        <f t="shared" si="107"/>
        <v>9.7919999999999998</v>
      </c>
    </row>
    <row r="2296" spans="1:47" x14ac:dyDescent="0.3">
      <c r="A2296">
        <v>2294</v>
      </c>
      <c r="B2296" t="s">
        <v>9501</v>
      </c>
      <c r="C2296" t="s">
        <v>9502</v>
      </c>
      <c r="D2296">
        <v>432</v>
      </c>
      <c r="E2296" t="s">
        <v>9488</v>
      </c>
      <c r="F2296" t="str">
        <f>VLOOKUP(E2296,country_continent!A:C,2,FALSE)</f>
        <v>Mali</v>
      </c>
      <c r="G2296" t="str">
        <f>VLOOKUP(E2296,country_continent!A:C,3,FALSE)</f>
        <v>Africa</v>
      </c>
      <c r="H2296" t="s">
        <v>9503</v>
      </c>
      <c r="I2296" s="1">
        <v>40990</v>
      </c>
      <c r="J2296" s="3">
        <f t="shared" si="105"/>
        <v>40990</v>
      </c>
      <c r="K2296" s="1">
        <v>41011</v>
      </c>
      <c r="L2296" s="3">
        <f t="shared" si="106"/>
        <v>41011</v>
      </c>
      <c r="M2296" t="s">
        <v>67</v>
      </c>
      <c r="N2296" t="s">
        <v>49</v>
      </c>
      <c r="O2296" t="s">
        <v>49</v>
      </c>
      <c r="P2296">
        <v>0</v>
      </c>
      <c r="Q2296" t="s">
        <v>463</v>
      </c>
      <c r="R2296" t="s">
        <v>51</v>
      </c>
      <c r="S2296">
        <v>1972</v>
      </c>
      <c r="T2296">
        <v>-777</v>
      </c>
      <c r="Z2296">
        <v>1</v>
      </c>
      <c r="AA2296">
        <v>1</v>
      </c>
      <c r="AB2296">
        <v>0</v>
      </c>
      <c r="AC2296">
        <v>2</v>
      </c>
      <c r="AF2296">
        <v>2012</v>
      </c>
      <c r="AG2296">
        <v>2012</v>
      </c>
      <c r="AH2296">
        <v>-3.4319359660063702</v>
      </c>
      <c r="AI2296">
        <v>850</v>
      </c>
      <c r="AJ2296">
        <v>4.6422533118280898</v>
      </c>
      <c r="AK2296">
        <v>126.1</v>
      </c>
      <c r="AL2296">
        <v>2.9199872847505102</v>
      </c>
      <c r="AM2296">
        <v>12.1110881558093</v>
      </c>
      <c r="AN2296">
        <v>0</v>
      </c>
      <c r="AO2296" t="b">
        <v>0</v>
      </c>
      <c r="AT2296">
        <v>21</v>
      </c>
      <c r="AU2296">
        <f t="shared" si="107"/>
        <v>5.8000000000000003E-2</v>
      </c>
    </row>
    <row r="2297" spans="1:47" x14ac:dyDescent="0.3">
      <c r="A2297">
        <v>2295</v>
      </c>
      <c r="B2297" t="s">
        <v>9504</v>
      </c>
      <c r="C2297" t="s">
        <v>9505</v>
      </c>
      <c r="D2297">
        <v>432</v>
      </c>
      <c r="E2297" t="s">
        <v>9488</v>
      </c>
      <c r="F2297" t="str">
        <f>VLOOKUP(E2297,country_continent!A:C,2,FALSE)</f>
        <v>Mali</v>
      </c>
      <c r="G2297" t="str">
        <f>VLOOKUP(E2297,country_continent!A:C,3,FALSE)</f>
        <v>Africa</v>
      </c>
      <c r="H2297" t="s">
        <v>9506</v>
      </c>
      <c r="I2297" s="1">
        <v>41011</v>
      </c>
      <c r="J2297" s="3">
        <f t="shared" si="105"/>
        <v>41011</v>
      </c>
      <c r="K2297" s="1">
        <v>41521</v>
      </c>
      <c r="L2297" s="3">
        <f t="shared" si="106"/>
        <v>41521</v>
      </c>
      <c r="M2297" t="s">
        <v>67</v>
      </c>
      <c r="N2297" t="s">
        <v>49</v>
      </c>
      <c r="O2297" t="s">
        <v>49</v>
      </c>
      <c r="P2297">
        <v>0</v>
      </c>
      <c r="Q2297" t="s">
        <v>69</v>
      </c>
      <c r="R2297" t="s">
        <v>51</v>
      </c>
      <c r="S2297">
        <v>1942</v>
      </c>
      <c r="T2297">
        <v>2013</v>
      </c>
      <c r="U2297" s="1">
        <v>15395</v>
      </c>
      <c r="V2297" s="2">
        <v>15395</v>
      </c>
      <c r="W2297" s="1">
        <v>41521</v>
      </c>
      <c r="X2297" s="2">
        <v>41521</v>
      </c>
      <c r="Z2297">
        <v>1</v>
      </c>
      <c r="AA2297">
        <v>1</v>
      </c>
      <c r="AB2297">
        <v>0</v>
      </c>
      <c r="AC2297">
        <v>3</v>
      </c>
      <c r="AF2297">
        <v>2012</v>
      </c>
      <c r="AG2297">
        <v>2013</v>
      </c>
      <c r="AH2297">
        <v>-1.99846022541877</v>
      </c>
      <c r="AI2297">
        <v>865</v>
      </c>
      <c r="AJ2297">
        <v>2.3479692851763798</v>
      </c>
      <c r="AK2297">
        <v>124.25</v>
      </c>
      <c r="AL2297">
        <v>2.9203849296439199</v>
      </c>
      <c r="AM2297">
        <v>10.3121219520484</v>
      </c>
      <c r="AN2297">
        <v>2.5</v>
      </c>
      <c r="AO2297" t="b">
        <v>0</v>
      </c>
      <c r="AT2297">
        <v>510</v>
      </c>
      <c r="AU2297">
        <f t="shared" si="107"/>
        <v>1.397</v>
      </c>
    </row>
    <row r="2298" spans="1:47" x14ac:dyDescent="0.3">
      <c r="A2298">
        <v>2296</v>
      </c>
      <c r="B2298" t="s">
        <v>9507</v>
      </c>
      <c r="C2298" t="s">
        <v>9508</v>
      </c>
      <c r="D2298">
        <v>432</v>
      </c>
      <c r="E2298" t="s">
        <v>9488</v>
      </c>
      <c r="F2298" t="str">
        <f>VLOOKUP(E2298,country_continent!A:C,2,FALSE)</f>
        <v>Mali</v>
      </c>
      <c r="G2298" t="str">
        <f>VLOOKUP(E2298,country_continent!A:C,3,FALSE)</f>
        <v>Africa</v>
      </c>
      <c r="H2298" t="s">
        <v>9509</v>
      </c>
      <c r="I2298" s="1">
        <v>41521</v>
      </c>
      <c r="J2298" s="3">
        <f t="shared" si="105"/>
        <v>41521</v>
      </c>
      <c r="K2298" s="1">
        <v>42369</v>
      </c>
      <c r="L2298" s="3">
        <f t="shared" si="106"/>
        <v>42369</v>
      </c>
      <c r="M2298" t="s">
        <v>49</v>
      </c>
      <c r="N2298" t="s">
        <v>173</v>
      </c>
      <c r="O2298" t="s">
        <v>173</v>
      </c>
      <c r="P2298">
        <v>0</v>
      </c>
      <c r="Q2298" t="s">
        <v>174</v>
      </c>
      <c r="R2298" t="s">
        <v>51</v>
      </c>
      <c r="S2298">
        <v>1945</v>
      </c>
      <c r="T2298">
        <v>-777</v>
      </c>
      <c r="U2298" s="1">
        <v>16466</v>
      </c>
      <c r="V2298" s="2">
        <v>16466</v>
      </c>
      <c r="Z2298">
        <v>0</v>
      </c>
      <c r="AA2298">
        <v>-888</v>
      </c>
      <c r="AB2298">
        <v>-888</v>
      </c>
      <c r="AC2298">
        <v>-888</v>
      </c>
      <c r="AF2298">
        <v>2013</v>
      </c>
      <c r="AG2298">
        <v>2015</v>
      </c>
      <c r="AH2298">
        <v>2.1333232994577802</v>
      </c>
      <c r="AI2298">
        <v>893.33333333333303</v>
      </c>
      <c r="AJ2298">
        <v>1.26488862939901</v>
      </c>
      <c r="AK2298">
        <v>119.033333333333</v>
      </c>
      <c r="AL2298">
        <v>3.0701225005392501</v>
      </c>
      <c r="AM2298">
        <v>7.7297288858269804</v>
      </c>
      <c r="AN2298">
        <v>5</v>
      </c>
      <c r="AO2298" t="b">
        <v>0</v>
      </c>
      <c r="AT2298">
        <v>848</v>
      </c>
      <c r="AU2298">
        <f t="shared" si="107"/>
        <v>2.323</v>
      </c>
    </row>
    <row r="2299" spans="1:47" x14ac:dyDescent="0.3">
      <c r="A2299">
        <v>2297</v>
      </c>
      <c r="B2299" t="s">
        <v>9510</v>
      </c>
      <c r="C2299" t="s">
        <v>9511</v>
      </c>
      <c r="D2299">
        <v>433</v>
      </c>
      <c r="E2299" t="s">
        <v>9512</v>
      </c>
      <c r="F2299" t="str">
        <f>VLOOKUP(E2299,country_continent!A:C,2,FALSE)</f>
        <v>Senegal</v>
      </c>
      <c r="G2299" t="str">
        <f>VLOOKUP(E2299,country_continent!A:C,3,FALSE)</f>
        <v>Africa</v>
      </c>
      <c r="H2299" t="s">
        <v>9513</v>
      </c>
      <c r="I2299" s="1">
        <v>22148</v>
      </c>
      <c r="J2299" s="3">
        <f t="shared" si="105"/>
        <v>22148</v>
      </c>
      <c r="K2299" s="1">
        <v>29586</v>
      </c>
      <c r="L2299" s="3">
        <f t="shared" si="106"/>
        <v>29586</v>
      </c>
      <c r="M2299" t="s">
        <v>49</v>
      </c>
      <c r="N2299" t="s">
        <v>49</v>
      </c>
      <c r="O2299" t="s">
        <v>49</v>
      </c>
      <c r="P2299">
        <v>0</v>
      </c>
      <c r="Q2299" t="s">
        <v>50</v>
      </c>
      <c r="R2299" t="s">
        <v>51</v>
      </c>
      <c r="S2299">
        <v>1906</v>
      </c>
      <c r="T2299">
        <v>2001</v>
      </c>
      <c r="U2299" s="1">
        <v>2474</v>
      </c>
      <c r="V2299" s="2">
        <v>2474</v>
      </c>
      <c r="Y2299" t="s">
        <v>9514</v>
      </c>
      <c r="Z2299">
        <v>0</v>
      </c>
      <c r="AA2299">
        <v>1</v>
      </c>
      <c r="AB2299">
        <v>0</v>
      </c>
      <c r="AC2299">
        <v>0</v>
      </c>
      <c r="AF2299">
        <v>1960</v>
      </c>
      <c r="AG2299">
        <v>1980</v>
      </c>
      <c r="AH2299">
        <v>-0.54286660499274197</v>
      </c>
      <c r="AI2299">
        <v>465.38461538461502</v>
      </c>
      <c r="AJ2299">
        <v>4.8063824402469901</v>
      </c>
      <c r="AK2299">
        <v>271.07619047618999</v>
      </c>
      <c r="AL2299">
        <v>2.79726707539825</v>
      </c>
      <c r="AM2299">
        <v>2.86145266209452</v>
      </c>
      <c r="AN2299">
        <v>-5.6</v>
      </c>
      <c r="AO2299" t="b">
        <v>1</v>
      </c>
      <c r="AP2299" t="s">
        <v>6291</v>
      </c>
      <c r="AQ2299">
        <v>1961</v>
      </c>
      <c r="AR2299">
        <v>1974</v>
      </c>
      <c r="AS2299" t="s">
        <v>9515</v>
      </c>
      <c r="AT2299">
        <v>20.3641341546885</v>
      </c>
      <c r="AU2299">
        <f t="shared" si="107"/>
        <v>5.6000000000000001E-2</v>
      </c>
    </row>
    <row r="2300" spans="1:47" x14ac:dyDescent="0.3">
      <c r="A2300">
        <v>2298</v>
      </c>
      <c r="B2300" t="s">
        <v>9516</v>
      </c>
      <c r="C2300" t="s">
        <v>9517</v>
      </c>
      <c r="D2300">
        <v>433</v>
      </c>
      <c r="E2300" t="s">
        <v>9512</v>
      </c>
      <c r="F2300" t="str">
        <f>VLOOKUP(E2300,country_continent!A:C,2,FALSE)</f>
        <v>Senegal</v>
      </c>
      <c r="G2300" t="str">
        <f>VLOOKUP(E2300,country_continent!A:C,3,FALSE)</f>
        <v>Africa</v>
      </c>
      <c r="H2300" t="s">
        <v>9518</v>
      </c>
      <c r="I2300" s="1">
        <v>29587</v>
      </c>
      <c r="J2300" s="3">
        <f t="shared" si="105"/>
        <v>29587</v>
      </c>
      <c r="K2300" s="1">
        <v>36617</v>
      </c>
      <c r="L2300" s="3">
        <f t="shared" si="106"/>
        <v>36617</v>
      </c>
      <c r="M2300" t="s">
        <v>49</v>
      </c>
      <c r="N2300" t="s">
        <v>49</v>
      </c>
      <c r="O2300" t="s">
        <v>49</v>
      </c>
      <c r="P2300">
        <v>0</v>
      </c>
      <c r="Q2300" t="s">
        <v>50</v>
      </c>
      <c r="R2300" t="s">
        <v>51</v>
      </c>
      <c r="S2300">
        <v>1935</v>
      </c>
      <c r="T2300">
        <v>-777</v>
      </c>
      <c r="U2300" s="1">
        <v>13034</v>
      </c>
      <c r="V2300" s="2">
        <v>13034</v>
      </c>
      <c r="Y2300" t="s">
        <v>9519</v>
      </c>
      <c r="Z2300">
        <v>0</v>
      </c>
      <c r="AA2300">
        <v>1</v>
      </c>
      <c r="AB2300">
        <v>0</v>
      </c>
      <c r="AC2300">
        <v>0</v>
      </c>
      <c r="AF2300">
        <v>1981</v>
      </c>
      <c r="AG2300">
        <v>2000</v>
      </c>
      <c r="AH2300">
        <v>0.22313509013723601</v>
      </c>
      <c r="AI2300">
        <v>750.5</v>
      </c>
      <c r="AJ2300">
        <v>5.0264413013870097</v>
      </c>
      <c r="AK2300">
        <v>151.19499999999999</v>
      </c>
      <c r="AL2300">
        <v>2.6685515154121702</v>
      </c>
      <c r="AM2300">
        <v>2.3340538101809498</v>
      </c>
      <c r="AN2300">
        <v>-0.55000000000000004</v>
      </c>
      <c r="AO2300" t="b">
        <v>1</v>
      </c>
      <c r="AP2300" t="s">
        <v>6291</v>
      </c>
      <c r="AQ2300">
        <v>1961</v>
      </c>
      <c r="AR2300">
        <v>1974</v>
      </c>
      <c r="AS2300" t="s">
        <v>9520</v>
      </c>
      <c r="AT2300">
        <v>19.247091033538599</v>
      </c>
      <c r="AU2300">
        <f t="shared" si="107"/>
        <v>5.2999999999999999E-2</v>
      </c>
    </row>
    <row r="2301" spans="1:47" x14ac:dyDescent="0.3">
      <c r="A2301">
        <v>2299</v>
      </c>
      <c r="B2301" t="s">
        <v>9521</v>
      </c>
      <c r="C2301" t="s">
        <v>9522</v>
      </c>
      <c r="D2301">
        <v>433</v>
      </c>
      <c r="E2301" t="s">
        <v>9512</v>
      </c>
      <c r="F2301" t="str">
        <f>VLOOKUP(E2301,country_continent!A:C,2,FALSE)</f>
        <v>Senegal</v>
      </c>
      <c r="G2301" t="str">
        <f>VLOOKUP(E2301,country_continent!A:C,3,FALSE)</f>
        <v>Africa</v>
      </c>
      <c r="H2301" t="s">
        <v>9523</v>
      </c>
      <c r="I2301" s="1">
        <v>36618</v>
      </c>
      <c r="J2301" s="3">
        <f t="shared" si="105"/>
        <v>36618</v>
      </c>
      <c r="K2301" s="1">
        <v>41001</v>
      </c>
      <c r="L2301" s="3">
        <f t="shared" si="106"/>
        <v>41001</v>
      </c>
      <c r="M2301" t="s">
        <v>49</v>
      </c>
      <c r="N2301" t="s">
        <v>49</v>
      </c>
      <c r="O2301" t="s">
        <v>49</v>
      </c>
      <c r="P2301">
        <v>0</v>
      </c>
      <c r="Q2301" t="s">
        <v>50</v>
      </c>
      <c r="R2301" t="s">
        <v>51</v>
      </c>
      <c r="S2301">
        <v>1926</v>
      </c>
      <c r="T2301">
        <v>-777</v>
      </c>
      <c r="Z2301">
        <v>0</v>
      </c>
      <c r="AA2301">
        <v>1</v>
      </c>
      <c r="AB2301">
        <v>0</v>
      </c>
      <c r="AC2301">
        <v>0</v>
      </c>
      <c r="AF2301">
        <v>2000</v>
      </c>
      <c r="AG2301">
        <v>2012</v>
      </c>
      <c r="AH2301">
        <v>0.86001248946319797</v>
      </c>
      <c r="AI2301">
        <v>1006.92307692307</v>
      </c>
      <c r="AJ2301">
        <v>2.96992387032379</v>
      </c>
      <c r="AK2301">
        <v>86.692307692307693</v>
      </c>
      <c r="AL2301">
        <v>2.40959821845024</v>
      </c>
      <c r="AM2301">
        <v>2.7691104147627401</v>
      </c>
      <c r="AN2301">
        <v>7.54</v>
      </c>
      <c r="AO2301" t="b">
        <v>1</v>
      </c>
      <c r="AP2301" t="s">
        <v>6291</v>
      </c>
      <c r="AQ2301">
        <v>1961</v>
      </c>
      <c r="AR2301">
        <v>1974</v>
      </c>
      <c r="AS2301" t="s">
        <v>9524</v>
      </c>
      <c r="AT2301">
        <v>12</v>
      </c>
      <c r="AU2301">
        <f t="shared" si="107"/>
        <v>3.3000000000000002E-2</v>
      </c>
    </row>
    <row r="2302" spans="1:47" x14ac:dyDescent="0.3">
      <c r="A2302">
        <v>2300</v>
      </c>
      <c r="B2302" t="s">
        <v>9525</v>
      </c>
      <c r="C2302" t="s">
        <v>9526</v>
      </c>
      <c r="D2302">
        <v>433</v>
      </c>
      <c r="E2302" t="s">
        <v>9512</v>
      </c>
      <c r="F2302" t="str">
        <f>VLOOKUP(E2302,country_continent!A:C,2,FALSE)</f>
        <v>Senegal</v>
      </c>
      <c r="G2302" t="str">
        <f>VLOOKUP(E2302,country_continent!A:C,3,FALSE)</f>
        <v>Africa</v>
      </c>
      <c r="H2302" t="s">
        <v>9527</v>
      </c>
      <c r="I2302" s="1">
        <v>41001</v>
      </c>
      <c r="J2302" s="3">
        <f t="shared" si="105"/>
        <v>41001</v>
      </c>
      <c r="K2302" s="1">
        <v>42369</v>
      </c>
      <c r="L2302" s="3">
        <f t="shared" si="106"/>
        <v>42369</v>
      </c>
      <c r="M2302" t="s">
        <v>49</v>
      </c>
      <c r="N2302" t="s">
        <v>173</v>
      </c>
      <c r="O2302" t="s">
        <v>173</v>
      </c>
      <c r="P2302">
        <v>0</v>
      </c>
      <c r="Q2302" t="s">
        <v>174</v>
      </c>
      <c r="R2302" t="s">
        <v>51</v>
      </c>
      <c r="S2302">
        <v>1945</v>
      </c>
      <c r="T2302">
        <v>-777</v>
      </c>
      <c r="U2302" s="1">
        <v>16782</v>
      </c>
      <c r="V2302" s="2">
        <v>16782</v>
      </c>
      <c r="Z2302">
        <v>0</v>
      </c>
      <c r="AA2302">
        <v>-888</v>
      </c>
      <c r="AB2302">
        <v>-888</v>
      </c>
      <c r="AC2302">
        <v>-888</v>
      </c>
      <c r="AF2302">
        <v>2012</v>
      </c>
      <c r="AG2302">
        <v>2015</v>
      </c>
      <c r="AH2302">
        <v>1.6852072680114301</v>
      </c>
      <c r="AI2302">
        <v>1337.5</v>
      </c>
      <c r="AJ2302">
        <v>1.00354173281315</v>
      </c>
      <c r="AK2302">
        <v>54.924999999999997</v>
      </c>
      <c r="AL2302">
        <v>2.96955160646724</v>
      </c>
      <c r="AM2302">
        <v>3.7311024865301698</v>
      </c>
      <c r="AN2302">
        <v>7</v>
      </c>
      <c r="AO2302" t="b">
        <v>1</v>
      </c>
      <c r="AP2302" t="s">
        <v>6291</v>
      </c>
      <c r="AQ2302">
        <v>1961</v>
      </c>
      <c r="AR2302">
        <v>1974</v>
      </c>
      <c r="AS2302" t="s">
        <v>9528</v>
      </c>
      <c r="AT2302">
        <v>3.7453798767967101</v>
      </c>
      <c r="AU2302">
        <f t="shared" si="107"/>
        <v>0.01</v>
      </c>
    </row>
    <row r="2303" spans="1:47" x14ac:dyDescent="0.3">
      <c r="A2303">
        <v>2301</v>
      </c>
      <c r="B2303" t="s">
        <v>9529</v>
      </c>
      <c r="C2303" t="s">
        <v>9530</v>
      </c>
      <c r="D2303">
        <v>434</v>
      </c>
      <c r="E2303" t="s">
        <v>9531</v>
      </c>
      <c r="F2303" t="str">
        <f>VLOOKUP(E2303,country_continent!A:C,2,FALSE)</f>
        <v>Benin</v>
      </c>
      <c r="G2303" t="str">
        <f>VLOOKUP(E2303,country_continent!A:C,3,FALSE)</f>
        <v>Africa</v>
      </c>
      <c r="H2303" t="s">
        <v>9532</v>
      </c>
      <c r="I2303" s="1">
        <v>21916</v>
      </c>
      <c r="J2303" s="3">
        <f t="shared" si="105"/>
        <v>21916</v>
      </c>
      <c r="K2303" s="1">
        <v>23311</v>
      </c>
      <c r="L2303" s="3">
        <f t="shared" si="106"/>
        <v>23311</v>
      </c>
      <c r="M2303" t="s">
        <v>49</v>
      </c>
      <c r="N2303" t="s">
        <v>67</v>
      </c>
      <c r="O2303" t="s">
        <v>376</v>
      </c>
      <c r="P2303">
        <v>0</v>
      </c>
      <c r="Q2303" t="s">
        <v>463</v>
      </c>
      <c r="R2303" t="s">
        <v>51</v>
      </c>
      <c r="S2303">
        <v>1916</v>
      </c>
      <c r="T2303">
        <v>2000</v>
      </c>
      <c r="U2303" s="1">
        <v>6067</v>
      </c>
      <c r="V2303" s="2">
        <v>6067</v>
      </c>
      <c r="W2303" s="1">
        <v>36654</v>
      </c>
      <c r="X2303" s="2">
        <v>36654</v>
      </c>
      <c r="Y2303" t="s">
        <v>9533</v>
      </c>
      <c r="Z2303">
        <v>0</v>
      </c>
      <c r="AA2303">
        <v>3</v>
      </c>
      <c r="AB2303">
        <v>6</v>
      </c>
      <c r="AC2303">
        <v>2</v>
      </c>
      <c r="AF2303">
        <v>1960</v>
      </c>
      <c r="AG2303">
        <v>1963</v>
      </c>
      <c r="AH2303">
        <v>-0.278208954325189</v>
      </c>
      <c r="AI2303">
        <v>90</v>
      </c>
      <c r="AJ2303">
        <v>2.4570126482836101</v>
      </c>
      <c r="AK2303">
        <v>304.32499999999999</v>
      </c>
      <c r="AL2303">
        <v>1.7491686599591301</v>
      </c>
      <c r="AN2303">
        <v>1</v>
      </c>
      <c r="AO2303" t="b">
        <v>0</v>
      </c>
      <c r="AT2303">
        <v>1395</v>
      </c>
      <c r="AU2303">
        <f t="shared" si="107"/>
        <v>3.8220000000000001</v>
      </c>
    </row>
    <row r="2304" spans="1:47" x14ac:dyDescent="0.3">
      <c r="A2304">
        <v>2302</v>
      </c>
      <c r="B2304" t="s">
        <v>9534</v>
      </c>
      <c r="C2304" t="s">
        <v>9535</v>
      </c>
      <c r="D2304">
        <v>434</v>
      </c>
      <c r="E2304" t="s">
        <v>9531</v>
      </c>
      <c r="F2304" t="str">
        <f>VLOOKUP(E2304,country_continent!A:C,2,FALSE)</f>
        <v>Benin</v>
      </c>
      <c r="G2304" t="str">
        <f>VLOOKUP(E2304,country_continent!A:C,3,FALSE)</f>
        <v>Africa</v>
      </c>
      <c r="H2304" t="s">
        <v>9536</v>
      </c>
      <c r="I2304" s="1">
        <v>23312</v>
      </c>
      <c r="J2304" s="3">
        <f t="shared" si="105"/>
        <v>23312</v>
      </c>
      <c r="K2304" s="1">
        <v>23395</v>
      </c>
      <c r="L2304" s="3">
        <f t="shared" si="106"/>
        <v>23395</v>
      </c>
      <c r="M2304" t="s">
        <v>67</v>
      </c>
      <c r="N2304" t="s">
        <v>49</v>
      </c>
      <c r="O2304" t="s">
        <v>49</v>
      </c>
      <c r="P2304">
        <v>0</v>
      </c>
      <c r="Q2304" t="s">
        <v>50</v>
      </c>
      <c r="R2304" t="s">
        <v>51</v>
      </c>
      <c r="S2304">
        <v>1912</v>
      </c>
      <c r="T2304">
        <v>1983</v>
      </c>
      <c r="U2304" s="1">
        <v>4563</v>
      </c>
      <c r="V2304" s="2">
        <v>4563</v>
      </c>
      <c r="Z2304">
        <v>1</v>
      </c>
      <c r="AA2304">
        <v>1</v>
      </c>
      <c r="AB2304">
        <v>0</v>
      </c>
      <c r="AC2304">
        <v>0</v>
      </c>
      <c r="AF2304">
        <v>1963</v>
      </c>
      <c r="AG2304">
        <v>1964</v>
      </c>
      <c r="AH2304">
        <v>3.7303804290212201</v>
      </c>
      <c r="AI2304">
        <v>95</v>
      </c>
      <c r="AJ2304">
        <v>1.0926845724938199</v>
      </c>
      <c r="AK2304">
        <v>293.5</v>
      </c>
      <c r="AL2304">
        <v>1.8715751560990499</v>
      </c>
      <c r="AN2304">
        <v>-2.5</v>
      </c>
      <c r="AO2304" t="b">
        <v>0</v>
      </c>
      <c r="AT2304">
        <v>83</v>
      </c>
      <c r="AU2304">
        <f t="shared" si="107"/>
        <v>0.22700000000000001</v>
      </c>
    </row>
    <row r="2305" spans="1:47" x14ac:dyDescent="0.3">
      <c r="A2305">
        <v>2303</v>
      </c>
      <c r="B2305" t="s">
        <v>9537</v>
      </c>
      <c r="C2305" t="s">
        <v>9538</v>
      </c>
      <c r="D2305">
        <v>434</v>
      </c>
      <c r="E2305" t="s">
        <v>9531</v>
      </c>
      <c r="F2305" t="str">
        <f>VLOOKUP(E2305,country_continent!A:C,2,FALSE)</f>
        <v>Benin</v>
      </c>
      <c r="G2305" t="str">
        <f>VLOOKUP(E2305,country_continent!A:C,3,FALSE)</f>
        <v>Africa</v>
      </c>
      <c r="H2305" t="s">
        <v>9539</v>
      </c>
      <c r="I2305" s="1">
        <v>23395</v>
      </c>
      <c r="J2305" s="3">
        <f t="shared" si="105"/>
        <v>23395</v>
      </c>
      <c r="K2305" s="1">
        <v>24075</v>
      </c>
      <c r="L2305" s="3">
        <f t="shared" si="106"/>
        <v>24075</v>
      </c>
      <c r="M2305" t="s">
        <v>67</v>
      </c>
      <c r="N2305" t="s">
        <v>67</v>
      </c>
      <c r="O2305" t="s">
        <v>376</v>
      </c>
      <c r="P2305">
        <v>0</v>
      </c>
      <c r="Q2305" t="s">
        <v>463</v>
      </c>
      <c r="R2305" t="s">
        <v>51</v>
      </c>
      <c r="S2305">
        <v>1913</v>
      </c>
      <c r="T2305">
        <v>1989</v>
      </c>
      <c r="U2305" s="1">
        <v>4847</v>
      </c>
      <c r="V2305" s="2">
        <v>4847</v>
      </c>
      <c r="Z2305">
        <v>1</v>
      </c>
      <c r="AA2305">
        <v>3</v>
      </c>
      <c r="AB2305">
        <v>6</v>
      </c>
      <c r="AC2305">
        <v>2</v>
      </c>
      <c r="AF2305">
        <v>1964</v>
      </c>
      <c r="AG2305">
        <v>1965</v>
      </c>
      <c r="AH2305">
        <v>3.9351309124054801</v>
      </c>
      <c r="AI2305">
        <v>105</v>
      </c>
      <c r="AJ2305">
        <v>0.84697423586339204</v>
      </c>
      <c r="AK2305">
        <v>288.04999999999899</v>
      </c>
      <c r="AL2305">
        <v>1.9413088524852899</v>
      </c>
      <c r="AN2305">
        <v>-5.5</v>
      </c>
      <c r="AO2305" t="b">
        <v>0</v>
      </c>
      <c r="AT2305">
        <v>680</v>
      </c>
      <c r="AU2305">
        <f t="shared" si="107"/>
        <v>1.863</v>
      </c>
    </row>
    <row r="2306" spans="1:47" x14ac:dyDescent="0.3">
      <c r="A2306">
        <v>2304</v>
      </c>
      <c r="B2306" t="s">
        <v>9540</v>
      </c>
      <c r="C2306" t="s">
        <v>9541</v>
      </c>
      <c r="D2306">
        <v>434</v>
      </c>
      <c r="E2306" t="s">
        <v>9531</v>
      </c>
      <c r="F2306" t="str">
        <f>VLOOKUP(E2306,country_continent!A:C,2,FALSE)</f>
        <v>Benin</v>
      </c>
      <c r="G2306" t="str">
        <f>VLOOKUP(E2306,country_continent!A:C,3,FALSE)</f>
        <v>Africa</v>
      </c>
      <c r="H2306" t="s">
        <v>9542</v>
      </c>
      <c r="I2306" s="1">
        <v>24075</v>
      </c>
      <c r="J2306" s="3">
        <f t="shared" si="105"/>
        <v>24075</v>
      </c>
      <c r="K2306" s="1">
        <v>24098</v>
      </c>
      <c r="L2306" s="3">
        <f t="shared" si="106"/>
        <v>24098</v>
      </c>
      <c r="M2306" t="s">
        <v>67</v>
      </c>
      <c r="N2306" t="s">
        <v>67</v>
      </c>
      <c r="O2306" t="s">
        <v>376</v>
      </c>
      <c r="P2306">
        <v>0</v>
      </c>
      <c r="Q2306" t="s">
        <v>463</v>
      </c>
      <c r="R2306" t="s">
        <v>51</v>
      </c>
      <c r="S2306">
        <v>1913</v>
      </c>
      <c r="T2306">
        <v>1994</v>
      </c>
      <c r="Z2306">
        <v>1</v>
      </c>
      <c r="AA2306">
        <v>3</v>
      </c>
      <c r="AB2306">
        <v>6</v>
      </c>
      <c r="AC2306">
        <v>2</v>
      </c>
      <c r="AF2306">
        <v>1965</v>
      </c>
      <c r="AG2306">
        <v>1965</v>
      </c>
      <c r="AH2306">
        <v>3.2347817246030899</v>
      </c>
      <c r="AI2306">
        <v>110</v>
      </c>
      <c r="AJ2306">
        <v>2.0576204636815798</v>
      </c>
      <c r="AK2306">
        <v>285.39999999999998</v>
      </c>
      <c r="AL2306">
        <v>1.97493062331323</v>
      </c>
      <c r="AN2306">
        <v>-7</v>
      </c>
      <c r="AO2306" t="b">
        <v>0</v>
      </c>
      <c r="AT2306">
        <v>23</v>
      </c>
      <c r="AU2306">
        <f t="shared" si="107"/>
        <v>6.3E-2</v>
      </c>
    </row>
    <row r="2307" spans="1:47" x14ac:dyDescent="0.3">
      <c r="A2307">
        <v>2305</v>
      </c>
      <c r="B2307" t="s">
        <v>9543</v>
      </c>
      <c r="C2307" t="s">
        <v>9535</v>
      </c>
      <c r="D2307">
        <v>434</v>
      </c>
      <c r="E2307" t="s">
        <v>9531</v>
      </c>
      <c r="F2307" t="str">
        <f>VLOOKUP(E2307,country_continent!A:C,2,FALSE)</f>
        <v>Benin</v>
      </c>
      <c r="G2307" t="str">
        <f>VLOOKUP(E2307,country_continent!A:C,3,FALSE)</f>
        <v>Africa</v>
      </c>
      <c r="H2307" t="s">
        <v>9536</v>
      </c>
      <c r="I2307" s="1">
        <v>24098</v>
      </c>
      <c r="J2307" s="3">
        <f t="shared" ref="J2307:J2370" si="108">IF(ISNUMBER(SEARCH("-", I2307)), SUBSTITUTE(I2307, "-", "/"), I2307)</f>
        <v>24098</v>
      </c>
      <c r="K2307" s="1">
        <v>24823</v>
      </c>
      <c r="L2307" s="3">
        <f t="shared" ref="L2307:L2370" si="109">IF(ISNUMBER(SEARCH("-", K2307)), SUBSTITUTE(K2307, "-", "/"), K2307)</f>
        <v>24823</v>
      </c>
      <c r="M2307" t="s">
        <v>67</v>
      </c>
      <c r="N2307" t="s">
        <v>67</v>
      </c>
      <c r="O2307" t="s">
        <v>376</v>
      </c>
      <c r="P2307">
        <v>1</v>
      </c>
      <c r="Q2307" t="s">
        <v>463</v>
      </c>
      <c r="R2307" t="s">
        <v>51</v>
      </c>
      <c r="S2307">
        <v>1912</v>
      </c>
      <c r="T2307">
        <v>1983</v>
      </c>
      <c r="U2307" s="1">
        <v>4563</v>
      </c>
      <c r="V2307" s="2">
        <v>4563</v>
      </c>
      <c r="Z2307">
        <v>1</v>
      </c>
      <c r="AA2307">
        <v>3</v>
      </c>
      <c r="AB2307">
        <v>6</v>
      </c>
      <c r="AC2307">
        <v>2</v>
      </c>
      <c r="AF2307">
        <v>1965</v>
      </c>
      <c r="AG2307">
        <v>1967</v>
      </c>
      <c r="AH2307">
        <v>1.24984989722674</v>
      </c>
      <c r="AI2307">
        <v>110</v>
      </c>
      <c r="AJ2307">
        <v>1.1117861642622699</v>
      </c>
      <c r="AK2307">
        <v>280.166666666666</v>
      </c>
      <c r="AL2307">
        <v>2.0207489381461801</v>
      </c>
      <c r="AN2307">
        <v>-7</v>
      </c>
      <c r="AO2307" t="b">
        <v>0</v>
      </c>
      <c r="AT2307">
        <v>725</v>
      </c>
      <c r="AU2307">
        <f t="shared" si="107"/>
        <v>1.986</v>
      </c>
    </row>
    <row r="2308" spans="1:47" x14ac:dyDescent="0.3">
      <c r="A2308">
        <v>2306</v>
      </c>
      <c r="B2308" t="s">
        <v>9544</v>
      </c>
      <c r="C2308" t="s">
        <v>9545</v>
      </c>
      <c r="D2308">
        <v>434</v>
      </c>
      <c r="E2308" t="s">
        <v>9531</v>
      </c>
      <c r="F2308" t="str">
        <f>VLOOKUP(E2308,country_continent!A:C,2,FALSE)</f>
        <v>Benin</v>
      </c>
      <c r="G2308" t="str">
        <f>VLOOKUP(E2308,country_continent!A:C,3,FALSE)</f>
        <v>Africa</v>
      </c>
      <c r="H2308" t="s">
        <v>9546</v>
      </c>
      <c r="I2308" s="1">
        <v>24823</v>
      </c>
      <c r="J2308" s="3">
        <f t="shared" si="108"/>
        <v>24823</v>
      </c>
      <c r="K2308" s="1">
        <v>25051</v>
      </c>
      <c r="L2308" s="3">
        <f t="shared" si="109"/>
        <v>25051</v>
      </c>
      <c r="M2308" t="s">
        <v>67</v>
      </c>
      <c r="N2308" t="s">
        <v>49</v>
      </c>
      <c r="O2308" t="s">
        <v>49</v>
      </c>
      <c r="P2308">
        <v>0</v>
      </c>
      <c r="Q2308" t="s">
        <v>463</v>
      </c>
      <c r="R2308" t="s">
        <v>51</v>
      </c>
      <c r="S2308">
        <v>1930</v>
      </c>
      <c r="T2308">
        <v>1987</v>
      </c>
      <c r="U2308" s="1">
        <v>11057</v>
      </c>
      <c r="V2308" s="2">
        <v>11057</v>
      </c>
      <c r="Z2308">
        <v>1</v>
      </c>
      <c r="AA2308">
        <v>1</v>
      </c>
      <c r="AB2308">
        <v>0</v>
      </c>
      <c r="AC2308">
        <v>2</v>
      </c>
      <c r="AF2308">
        <v>1967</v>
      </c>
      <c r="AG2308">
        <v>1968</v>
      </c>
      <c r="AH2308">
        <v>0.34413590053747301</v>
      </c>
      <c r="AI2308">
        <v>110</v>
      </c>
      <c r="AJ2308">
        <v>1.70729869161041</v>
      </c>
      <c r="AK2308">
        <v>272.7</v>
      </c>
      <c r="AL2308">
        <v>2.0867333117636702</v>
      </c>
      <c r="AN2308">
        <v>-7</v>
      </c>
      <c r="AO2308" t="b">
        <v>0</v>
      </c>
      <c r="AT2308">
        <v>228</v>
      </c>
      <c r="AU2308">
        <f t="shared" ref="AU2308:AU2371" si="110">ROUND(AT2308/365,3)</f>
        <v>0.625</v>
      </c>
    </row>
    <row r="2309" spans="1:47" x14ac:dyDescent="0.3">
      <c r="A2309">
        <v>2307</v>
      </c>
      <c r="B2309" t="s">
        <v>9547</v>
      </c>
      <c r="C2309" t="s">
        <v>9548</v>
      </c>
      <c r="D2309">
        <v>434</v>
      </c>
      <c r="E2309" t="s">
        <v>9531</v>
      </c>
      <c r="F2309" t="str">
        <f>VLOOKUP(E2309,country_continent!A:C,2,FALSE)</f>
        <v>Benin</v>
      </c>
      <c r="G2309" t="str">
        <f>VLOOKUP(E2309,country_continent!A:C,3,FALSE)</f>
        <v>Africa</v>
      </c>
      <c r="H2309" t="s">
        <v>9549</v>
      </c>
      <c r="I2309" s="1">
        <v>25051</v>
      </c>
      <c r="J2309" s="3">
        <f t="shared" si="108"/>
        <v>25051</v>
      </c>
      <c r="K2309" s="1">
        <v>25547</v>
      </c>
      <c r="L2309" s="3">
        <f t="shared" si="109"/>
        <v>25547</v>
      </c>
      <c r="M2309" t="s">
        <v>67</v>
      </c>
      <c r="N2309" t="s">
        <v>67</v>
      </c>
      <c r="O2309" t="s">
        <v>376</v>
      </c>
      <c r="P2309">
        <v>0</v>
      </c>
      <c r="Q2309" t="s">
        <v>463</v>
      </c>
      <c r="R2309" t="s">
        <v>51</v>
      </c>
      <c r="S2309">
        <v>1918</v>
      </c>
      <c r="T2309">
        <v>-777</v>
      </c>
      <c r="U2309" s="1">
        <v>6657</v>
      </c>
      <c r="V2309" s="2">
        <v>6657</v>
      </c>
      <c r="Y2309" t="s">
        <v>9550</v>
      </c>
      <c r="Z2309">
        <v>1</v>
      </c>
      <c r="AA2309">
        <v>3</v>
      </c>
      <c r="AB2309">
        <v>6</v>
      </c>
      <c r="AC2309">
        <v>2</v>
      </c>
      <c r="AF2309">
        <v>1968</v>
      </c>
      <c r="AG2309">
        <v>1969</v>
      </c>
      <c r="AH2309">
        <v>1.1785214894949201</v>
      </c>
      <c r="AI2309">
        <v>110</v>
      </c>
      <c r="AJ2309">
        <v>3.3638602386158301</v>
      </c>
      <c r="AK2309">
        <v>268</v>
      </c>
      <c r="AL2309">
        <v>2.1331855256593899</v>
      </c>
      <c r="AN2309">
        <v>-7</v>
      </c>
      <c r="AO2309" t="b">
        <v>0</v>
      </c>
      <c r="AT2309">
        <v>496</v>
      </c>
      <c r="AU2309">
        <f t="shared" si="110"/>
        <v>1.359</v>
      </c>
    </row>
    <row r="2310" spans="1:47" x14ac:dyDescent="0.3">
      <c r="A2310">
        <v>2308</v>
      </c>
      <c r="B2310" t="s">
        <v>9551</v>
      </c>
      <c r="C2310" t="s">
        <v>9552</v>
      </c>
      <c r="D2310">
        <v>434</v>
      </c>
      <c r="E2310" t="s">
        <v>9531</v>
      </c>
      <c r="F2310" t="str">
        <f>VLOOKUP(E2310,country_continent!A:C,2,FALSE)</f>
        <v>Benin</v>
      </c>
      <c r="G2310" t="str">
        <f>VLOOKUP(E2310,country_continent!A:C,3,FALSE)</f>
        <v>Africa</v>
      </c>
      <c r="H2310" t="s">
        <v>9553</v>
      </c>
      <c r="I2310" s="1">
        <v>25547</v>
      </c>
      <c r="J2310" s="3">
        <f t="shared" si="108"/>
        <v>25547</v>
      </c>
      <c r="K2310" s="1">
        <v>25550</v>
      </c>
      <c r="L2310" s="3">
        <f t="shared" si="109"/>
        <v>25550</v>
      </c>
      <c r="M2310" t="s">
        <v>67</v>
      </c>
      <c r="N2310" t="s">
        <v>49</v>
      </c>
      <c r="O2310" t="s">
        <v>49</v>
      </c>
      <c r="P2310">
        <v>0</v>
      </c>
      <c r="Q2310" t="s">
        <v>50</v>
      </c>
      <c r="R2310" t="s">
        <v>51</v>
      </c>
      <c r="S2310">
        <v>1939</v>
      </c>
      <c r="T2310">
        <v>2003</v>
      </c>
      <c r="Z2310">
        <v>1</v>
      </c>
      <c r="AA2310">
        <v>1</v>
      </c>
      <c r="AB2310">
        <v>0</v>
      </c>
      <c r="AC2310">
        <v>0</v>
      </c>
      <c r="AD2310" t="s">
        <v>9554</v>
      </c>
      <c r="AE2310">
        <v>0</v>
      </c>
      <c r="AF2310">
        <v>1969</v>
      </c>
      <c r="AG2310">
        <v>1969</v>
      </c>
      <c r="AH2310">
        <v>0.68267745777464395</v>
      </c>
      <c r="AI2310">
        <v>110</v>
      </c>
      <c r="AJ2310">
        <v>3.4541955241057898</v>
      </c>
      <c r="AK2310">
        <v>265.7</v>
      </c>
      <c r="AL2310">
        <v>2.1565176691749701</v>
      </c>
      <c r="AN2310">
        <v>-7</v>
      </c>
      <c r="AO2310" t="b">
        <v>0</v>
      </c>
      <c r="AT2310">
        <v>3</v>
      </c>
      <c r="AU2310">
        <f t="shared" si="110"/>
        <v>8.0000000000000002E-3</v>
      </c>
    </row>
    <row r="2311" spans="1:47" x14ac:dyDescent="0.3">
      <c r="A2311">
        <v>2309</v>
      </c>
      <c r="B2311" t="s">
        <v>9555</v>
      </c>
      <c r="C2311" t="s">
        <v>9556</v>
      </c>
      <c r="D2311">
        <v>434</v>
      </c>
      <c r="E2311" t="s">
        <v>9531</v>
      </c>
      <c r="F2311" t="str">
        <f>VLOOKUP(E2311,country_continent!A:C,2,FALSE)</f>
        <v>Benin</v>
      </c>
      <c r="G2311" t="str">
        <f>VLOOKUP(E2311,country_continent!A:C,3,FALSE)</f>
        <v>Africa</v>
      </c>
      <c r="H2311" t="s">
        <v>9557</v>
      </c>
      <c r="I2311" s="1">
        <v>25550</v>
      </c>
      <c r="J2311" s="3">
        <f t="shared" si="108"/>
        <v>25550</v>
      </c>
      <c r="K2311" s="1">
        <v>25695</v>
      </c>
      <c r="L2311" s="3">
        <f t="shared" si="109"/>
        <v>25695</v>
      </c>
      <c r="M2311" t="s">
        <v>67</v>
      </c>
      <c r="N2311" t="s">
        <v>49</v>
      </c>
      <c r="O2311" t="s">
        <v>49</v>
      </c>
      <c r="P2311">
        <v>0</v>
      </c>
      <c r="Q2311" t="s">
        <v>50</v>
      </c>
      <c r="R2311" t="s">
        <v>51</v>
      </c>
      <c r="S2311">
        <v>1930</v>
      </c>
      <c r="T2311">
        <v>1999</v>
      </c>
      <c r="Z2311">
        <v>1</v>
      </c>
      <c r="AA2311">
        <v>1</v>
      </c>
      <c r="AB2311">
        <v>0</v>
      </c>
      <c r="AC2311">
        <v>0</v>
      </c>
      <c r="AF2311">
        <v>1969</v>
      </c>
      <c r="AG2311">
        <v>1970</v>
      </c>
      <c r="AH2311">
        <v>0.27707286508015</v>
      </c>
      <c r="AI2311">
        <v>110</v>
      </c>
      <c r="AJ2311">
        <v>4.2506212308317703</v>
      </c>
      <c r="AK2311">
        <v>263.39999999999998</v>
      </c>
      <c r="AL2311">
        <v>2.1805948332745801</v>
      </c>
      <c r="AM2311">
        <v>6.7073412461411301</v>
      </c>
      <c r="AN2311">
        <v>-4.5</v>
      </c>
      <c r="AO2311" t="b">
        <v>0</v>
      </c>
      <c r="AT2311">
        <v>145</v>
      </c>
      <c r="AU2311">
        <f t="shared" si="110"/>
        <v>0.39700000000000002</v>
      </c>
    </row>
    <row r="2312" spans="1:47" x14ac:dyDescent="0.3">
      <c r="A2312">
        <v>2310</v>
      </c>
      <c r="B2312" t="s">
        <v>9558</v>
      </c>
      <c r="C2312" t="s">
        <v>9530</v>
      </c>
      <c r="D2312">
        <v>434</v>
      </c>
      <c r="E2312" t="s">
        <v>9531</v>
      </c>
      <c r="F2312" t="str">
        <f>VLOOKUP(E2312,country_continent!A:C,2,FALSE)</f>
        <v>Benin</v>
      </c>
      <c r="G2312" t="str">
        <f>VLOOKUP(E2312,country_continent!A:C,3,FALSE)</f>
        <v>Africa</v>
      </c>
      <c r="H2312" t="s">
        <v>9532</v>
      </c>
      <c r="I2312" s="1">
        <v>25695</v>
      </c>
      <c r="J2312" s="3">
        <f t="shared" si="108"/>
        <v>25695</v>
      </c>
      <c r="K2312" s="1">
        <v>26396</v>
      </c>
      <c r="L2312" s="3">
        <f t="shared" si="109"/>
        <v>26396</v>
      </c>
      <c r="M2312" t="s">
        <v>49</v>
      </c>
      <c r="N2312" t="s">
        <v>49</v>
      </c>
      <c r="O2312" t="s">
        <v>49</v>
      </c>
      <c r="P2312">
        <v>1</v>
      </c>
      <c r="Q2312" t="s">
        <v>463</v>
      </c>
      <c r="R2312" t="s">
        <v>51</v>
      </c>
      <c r="S2312">
        <v>1916</v>
      </c>
      <c r="T2312">
        <v>2000</v>
      </c>
      <c r="Y2312" t="s">
        <v>9533</v>
      </c>
      <c r="Z2312">
        <v>0</v>
      </c>
      <c r="AA2312">
        <v>1</v>
      </c>
      <c r="AB2312">
        <v>0</v>
      </c>
      <c r="AC2312">
        <v>2</v>
      </c>
      <c r="AF2312">
        <v>1970</v>
      </c>
      <c r="AG2312">
        <v>1972</v>
      </c>
      <c r="AH2312">
        <v>6.5266941668440298E-2</v>
      </c>
      <c r="AI2312">
        <v>113.333333333333</v>
      </c>
      <c r="AJ2312">
        <v>3.97918559582167</v>
      </c>
      <c r="AK2312">
        <v>256.53333333333302</v>
      </c>
      <c r="AL2312">
        <v>2.2495259064054598</v>
      </c>
      <c r="AM2312">
        <v>5.9470689928286502</v>
      </c>
      <c r="AN2312">
        <v>-3.67</v>
      </c>
      <c r="AO2312" t="b">
        <v>0</v>
      </c>
      <c r="AT2312">
        <v>701</v>
      </c>
      <c r="AU2312">
        <f t="shared" si="110"/>
        <v>1.921</v>
      </c>
    </row>
    <row r="2313" spans="1:47" x14ac:dyDescent="0.3">
      <c r="A2313">
        <v>2311</v>
      </c>
      <c r="B2313" t="s">
        <v>9559</v>
      </c>
      <c r="C2313" t="s">
        <v>9560</v>
      </c>
      <c r="D2313">
        <v>434</v>
      </c>
      <c r="E2313" t="s">
        <v>9531</v>
      </c>
      <c r="F2313" t="str">
        <f>VLOOKUP(E2313,country_continent!A:C,2,FALSE)</f>
        <v>Benin</v>
      </c>
      <c r="G2313" t="str">
        <f>VLOOKUP(E2313,country_continent!A:C,3,FALSE)</f>
        <v>Africa</v>
      </c>
      <c r="H2313" t="s">
        <v>9561</v>
      </c>
      <c r="I2313" s="1">
        <v>26396</v>
      </c>
      <c r="J2313" s="3">
        <f t="shared" si="108"/>
        <v>26396</v>
      </c>
      <c r="K2313" s="1">
        <v>26598</v>
      </c>
      <c r="L2313" s="3">
        <f t="shared" si="109"/>
        <v>26598</v>
      </c>
      <c r="M2313" t="s">
        <v>67</v>
      </c>
      <c r="N2313" t="s">
        <v>67</v>
      </c>
      <c r="O2313" t="s">
        <v>376</v>
      </c>
      <c r="P2313">
        <v>0</v>
      </c>
      <c r="Q2313" t="s">
        <v>463</v>
      </c>
      <c r="R2313" t="s">
        <v>51</v>
      </c>
      <c r="S2313">
        <v>1917</v>
      </c>
      <c r="T2313">
        <v>2002</v>
      </c>
      <c r="Z2313">
        <v>1</v>
      </c>
      <c r="AA2313">
        <v>3</v>
      </c>
      <c r="AB2313">
        <v>6</v>
      </c>
      <c r="AC2313">
        <v>2</v>
      </c>
      <c r="AF2313">
        <v>1972</v>
      </c>
      <c r="AG2313">
        <v>1972</v>
      </c>
      <c r="AH2313">
        <v>4.0116578045580802</v>
      </c>
      <c r="AI2313">
        <v>120</v>
      </c>
      <c r="AJ2313">
        <v>5.3172260772773097</v>
      </c>
      <c r="AK2313">
        <v>251.8</v>
      </c>
      <c r="AL2313">
        <v>2.2950374343499198</v>
      </c>
      <c r="AM2313">
        <v>5.3408427570427399</v>
      </c>
      <c r="AN2313">
        <v>-7</v>
      </c>
      <c r="AO2313" t="b">
        <v>0</v>
      </c>
      <c r="AT2313">
        <v>202</v>
      </c>
      <c r="AU2313">
        <f t="shared" si="110"/>
        <v>0.55300000000000005</v>
      </c>
    </row>
    <row r="2314" spans="1:47" x14ac:dyDescent="0.3">
      <c r="A2314">
        <v>2312</v>
      </c>
      <c r="B2314" t="s">
        <v>9562</v>
      </c>
      <c r="C2314" t="s">
        <v>9563</v>
      </c>
      <c r="D2314">
        <v>434</v>
      </c>
      <c r="E2314" t="s">
        <v>9531</v>
      </c>
      <c r="F2314" t="str">
        <f>VLOOKUP(E2314,country_continent!A:C,2,FALSE)</f>
        <v>Benin</v>
      </c>
      <c r="G2314" t="str">
        <f>VLOOKUP(E2314,country_continent!A:C,3,FALSE)</f>
        <v>Africa</v>
      </c>
      <c r="H2314" t="s">
        <v>9564</v>
      </c>
      <c r="I2314" s="1">
        <v>26599</v>
      </c>
      <c r="J2314" s="3">
        <f t="shared" si="108"/>
        <v>26599</v>
      </c>
      <c r="K2314" s="1">
        <v>33332</v>
      </c>
      <c r="L2314" s="3">
        <f t="shared" si="109"/>
        <v>33332</v>
      </c>
      <c r="M2314" t="s">
        <v>67</v>
      </c>
      <c r="N2314" t="s">
        <v>49</v>
      </c>
      <c r="O2314" t="s">
        <v>49</v>
      </c>
      <c r="P2314">
        <v>0</v>
      </c>
      <c r="Q2314" t="s">
        <v>50</v>
      </c>
      <c r="R2314" t="s">
        <v>51</v>
      </c>
      <c r="S2314">
        <v>1933</v>
      </c>
      <c r="T2314">
        <v>-777</v>
      </c>
      <c r="U2314" s="1">
        <v>12299</v>
      </c>
      <c r="V2314" s="2">
        <v>12299</v>
      </c>
      <c r="Z2314">
        <v>1</v>
      </c>
      <c r="AA2314">
        <v>1</v>
      </c>
      <c r="AB2314">
        <v>0</v>
      </c>
      <c r="AC2314">
        <v>0</v>
      </c>
      <c r="AD2314" t="s">
        <v>9565</v>
      </c>
      <c r="AE2314">
        <v>1</v>
      </c>
      <c r="AF2314">
        <v>1972</v>
      </c>
      <c r="AG2314">
        <v>1991</v>
      </c>
      <c r="AH2314">
        <v>0.52138668978145097</v>
      </c>
      <c r="AI2314">
        <v>269</v>
      </c>
      <c r="AJ2314">
        <v>6.1729433146954804</v>
      </c>
      <c r="AK2314">
        <v>207.53</v>
      </c>
      <c r="AL2314">
        <v>2.76248832616852</v>
      </c>
      <c r="AM2314">
        <v>8.1607184084369599</v>
      </c>
      <c r="AN2314">
        <v>-6.05</v>
      </c>
      <c r="AO2314" t="b">
        <v>0</v>
      </c>
      <c r="AT2314">
        <v>6733</v>
      </c>
      <c r="AU2314">
        <f t="shared" si="110"/>
        <v>18.446999999999999</v>
      </c>
    </row>
    <row r="2315" spans="1:47" x14ac:dyDescent="0.3">
      <c r="A2315">
        <v>2313</v>
      </c>
      <c r="B2315" t="s">
        <v>9566</v>
      </c>
      <c r="C2315" t="s">
        <v>9567</v>
      </c>
      <c r="D2315">
        <v>434</v>
      </c>
      <c r="E2315" t="s">
        <v>9531</v>
      </c>
      <c r="F2315" t="str">
        <f>VLOOKUP(E2315,country_continent!A:C,2,FALSE)</f>
        <v>Benin</v>
      </c>
      <c r="G2315" t="str">
        <f>VLOOKUP(E2315,country_continent!A:C,3,FALSE)</f>
        <v>Africa</v>
      </c>
      <c r="H2315" t="s">
        <v>9568</v>
      </c>
      <c r="I2315" s="1">
        <v>33332</v>
      </c>
      <c r="J2315" s="3">
        <f t="shared" si="108"/>
        <v>33332</v>
      </c>
      <c r="K2315" s="1">
        <v>35159</v>
      </c>
      <c r="L2315" s="3">
        <f t="shared" si="109"/>
        <v>35159</v>
      </c>
      <c r="M2315" t="s">
        <v>49</v>
      </c>
      <c r="N2315" t="s">
        <v>49</v>
      </c>
      <c r="O2315" t="s">
        <v>49</v>
      </c>
      <c r="P2315">
        <v>0</v>
      </c>
      <c r="Q2315" t="s">
        <v>50</v>
      </c>
      <c r="R2315" t="s">
        <v>51</v>
      </c>
      <c r="S2315">
        <v>1934</v>
      </c>
      <c r="T2315">
        <v>-777</v>
      </c>
      <c r="U2315" s="1">
        <v>12752</v>
      </c>
      <c r="V2315" s="2">
        <v>12752</v>
      </c>
      <c r="Z2315">
        <v>0</v>
      </c>
      <c r="AA2315">
        <v>1</v>
      </c>
      <c r="AB2315">
        <v>0</v>
      </c>
      <c r="AC2315">
        <v>0</v>
      </c>
      <c r="AF2315">
        <v>1991</v>
      </c>
      <c r="AG2315">
        <v>1996</v>
      </c>
      <c r="AH2315">
        <v>0.97671031607410896</v>
      </c>
      <c r="AI2315">
        <v>341.666666666666</v>
      </c>
      <c r="AJ2315">
        <v>10.5328224659961</v>
      </c>
      <c r="AK2315">
        <v>158.21666666666599</v>
      </c>
      <c r="AL2315">
        <v>3.1803136803015102</v>
      </c>
      <c r="AM2315">
        <v>8.0966647211011296</v>
      </c>
      <c r="AN2315">
        <v>6</v>
      </c>
      <c r="AO2315" t="b">
        <v>0</v>
      </c>
      <c r="AT2315">
        <v>1827</v>
      </c>
      <c r="AU2315">
        <f t="shared" si="110"/>
        <v>5.0049999999999999</v>
      </c>
    </row>
    <row r="2316" spans="1:47" x14ac:dyDescent="0.3">
      <c r="A2316">
        <v>2314</v>
      </c>
      <c r="B2316" t="s">
        <v>9569</v>
      </c>
      <c r="C2316" t="s">
        <v>9563</v>
      </c>
      <c r="D2316">
        <v>434</v>
      </c>
      <c r="E2316" t="s">
        <v>9531</v>
      </c>
      <c r="F2316" t="str">
        <f>VLOOKUP(E2316,country_continent!A:C,2,FALSE)</f>
        <v>Benin</v>
      </c>
      <c r="G2316" t="str">
        <f>VLOOKUP(E2316,country_continent!A:C,3,FALSE)</f>
        <v>Africa</v>
      </c>
      <c r="H2316" t="s">
        <v>9564</v>
      </c>
      <c r="I2316" s="1">
        <v>35159</v>
      </c>
      <c r="J2316" s="3">
        <f t="shared" si="108"/>
        <v>35159</v>
      </c>
      <c r="K2316" s="1">
        <v>38813</v>
      </c>
      <c r="L2316" s="3">
        <f t="shared" si="109"/>
        <v>38813</v>
      </c>
      <c r="M2316" t="s">
        <v>49</v>
      </c>
      <c r="N2316" t="s">
        <v>49</v>
      </c>
      <c r="O2316" t="s">
        <v>49</v>
      </c>
      <c r="P2316">
        <v>1</v>
      </c>
      <c r="Q2316" t="s">
        <v>50</v>
      </c>
      <c r="R2316" t="s">
        <v>51</v>
      </c>
      <c r="S2316">
        <v>1933</v>
      </c>
      <c r="T2316">
        <v>-777</v>
      </c>
      <c r="U2316" s="1">
        <v>12299</v>
      </c>
      <c r="V2316" s="2">
        <v>12299</v>
      </c>
      <c r="Z2316">
        <v>0</v>
      </c>
      <c r="AA2316">
        <v>1</v>
      </c>
      <c r="AB2316">
        <v>0</v>
      </c>
      <c r="AC2316">
        <v>0</v>
      </c>
      <c r="AD2316" t="s">
        <v>9565</v>
      </c>
      <c r="AE2316">
        <v>1</v>
      </c>
      <c r="AF2316">
        <v>1996</v>
      </c>
      <c r="AG2316">
        <v>2006</v>
      </c>
      <c r="AH2316">
        <v>1.30981963698375</v>
      </c>
      <c r="AI2316">
        <v>522.72727272727195</v>
      </c>
      <c r="AJ2316">
        <v>7.6576274375860898</v>
      </c>
      <c r="AK2316">
        <v>133.06363636363599</v>
      </c>
      <c r="AL2316">
        <v>3.0335247375055698</v>
      </c>
      <c r="AM2316">
        <v>4.5478416039160701</v>
      </c>
      <c r="AN2316">
        <v>6.09</v>
      </c>
      <c r="AO2316" t="b">
        <v>0</v>
      </c>
      <c r="AT2316">
        <v>3654</v>
      </c>
      <c r="AU2316">
        <f t="shared" si="110"/>
        <v>10.010999999999999</v>
      </c>
    </row>
    <row r="2317" spans="1:47" x14ac:dyDescent="0.3">
      <c r="A2317">
        <v>2315</v>
      </c>
      <c r="B2317" t="s">
        <v>9570</v>
      </c>
      <c r="C2317" t="s">
        <v>9571</v>
      </c>
      <c r="D2317">
        <v>434</v>
      </c>
      <c r="E2317" t="s">
        <v>9531</v>
      </c>
      <c r="F2317" t="str">
        <f>VLOOKUP(E2317,country_continent!A:C,2,FALSE)</f>
        <v>Benin</v>
      </c>
      <c r="G2317" t="str">
        <f>VLOOKUP(E2317,country_continent!A:C,3,FALSE)</f>
        <v>Africa</v>
      </c>
      <c r="H2317" t="s">
        <v>9572</v>
      </c>
      <c r="I2317" s="1">
        <v>38813</v>
      </c>
      <c r="J2317" s="3">
        <f t="shared" si="108"/>
        <v>38813</v>
      </c>
      <c r="K2317" s="1">
        <v>42369</v>
      </c>
      <c r="L2317" s="3">
        <f t="shared" si="109"/>
        <v>42369</v>
      </c>
      <c r="M2317" t="s">
        <v>49</v>
      </c>
      <c r="N2317" t="s">
        <v>173</v>
      </c>
      <c r="O2317" t="s">
        <v>173</v>
      </c>
      <c r="P2317">
        <v>0</v>
      </c>
      <c r="Q2317" t="s">
        <v>174</v>
      </c>
      <c r="R2317" t="s">
        <v>51</v>
      </c>
      <c r="S2317">
        <v>1952</v>
      </c>
      <c r="T2317">
        <v>-777</v>
      </c>
      <c r="U2317" s="1">
        <v>19176</v>
      </c>
      <c r="V2317" s="2">
        <v>19176</v>
      </c>
      <c r="Z2317">
        <v>0</v>
      </c>
      <c r="AA2317">
        <v>-888</v>
      </c>
      <c r="AB2317">
        <v>-888</v>
      </c>
      <c r="AC2317">
        <v>-888</v>
      </c>
      <c r="AF2317">
        <v>2006</v>
      </c>
      <c r="AG2317">
        <v>2015</v>
      </c>
      <c r="AH2317">
        <v>1.1677222410934101</v>
      </c>
      <c r="AI2317">
        <v>1019</v>
      </c>
      <c r="AJ2317">
        <v>2.5772211367390101</v>
      </c>
      <c r="AK2317">
        <v>107.34</v>
      </c>
      <c r="AL2317">
        <v>2.9881910530890101</v>
      </c>
      <c r="AM2317">
        <v>3.6416325273796599</v>
      </c>
      <c r="AN2317">
        <v>7</v>
      </c>
      <c r="AO2317" t="b">
        <v>0</v>
      </c>
      <c r="AT2317">
        <v>3556</v>
      </c>
      <c r="AU2317">
        <f t="shared" si="110"/>
        <v>9.7420000000000009</v>
      </c>
    </row>
    <row r="2318" spans="1:47" x14ac:dyDescent="0.3">
      <c r="A2318">
        <v>2316</v>
      </c>
      <c r="B2318" t="s">
        <v>9573</v>
      </c>
      <c r="C2318" t="s">
        <v>9574</v>
      </c>
      <c r="D2318">
        <v>435</v>
      </c>
      <c r="E2318" t="s">
        <v>9575</v>
      </c>
      <c r="F2318" t="str">
        <f>VLOOKUP(E2318,country_continent!A:C,2,FALSE)</f>
        <v>Mauritania</v>
      </c>
      <c r="G2318" t="str">
        <f>VLOOKUP(E2318,country_continent!A:C,3,FALSE)</f>
        <v>Africa</v>
      </c>
      <c r="H2318" t="s">
        <v>9576</v>
      </c>
      <c r="I2318" s="1">
        <v>22248</v>
      </c>
      <c r="J2318" s="3">
        <f t="shared" si="108"/>
        <v>22248</v>
      </c>
      <c r="K2318" s="1">
        <v>28681</v>
      </c>
      <c r="L2318" s="3">
        <f t="shared" si="109"/>
        <v>28681</v>
      </c>
      <c r="M2318" t="s">
        <v>49</v>
      </c>
      <c r="N2318" t="s">
        <v>67</v>
      </c>
      <c r="O2318" t="s">
        <v>376</v>
      </c>
      <c r="P2318">
        <v>0</v>
      </c>
      <c r="Q2318" t="s">
        <v>463</v>
      </c>
      <c r="R2318" t="s">
        <v>51</v>
      </c>
      <c r="S2318">
        <v>1924</v>
      </c>
      <c r="T2318">
        <v>2003</v>
      </c>
      <c r="U2318" s="1">
        <v>9126</v>
      </c>
      <c r="V2318" s="2">
        <v>9126</v>
      </c>
      <c r="W2318" s="1">
        <v>37909</v>
      </c>
      <c r="X2318" s="2">
        <v>37909</v>
      </c>
      <c r="Y2318" t="s">
        <v>9577</v>
      </c>
      <c r="Z2318">
        <v>0</v>
      </c>
      <c r="AA2318">
        <v>3</v>
      </c>
      <c r="AB2318">
        <v>6</v>
      </c>
      <c r="AC2318">
        <v>2</v>
      </c>
      <c r="AF2318">
        <v>1960</v>
      </c>
      <c r="AG2318">
        <v>1978</v>
      </c>
      <c r="AO2318" t="b">
        <v>1</v>
      </c>
      <c r="AP2318" t="s">
        <v>5985</v>
      </c>
      <c r="AQ2318">
        <v>1960</v>
      </c>
      <c r="AR2318">
        <v>1974</v>
      </c>
      <c r="AS2318" t="s">
        <v>9578</v>
      </c>
      <c r="AT2318">
        <v>17.612594113620801</v>
      </c>
      <c r="AU2318">
        <f t="shared" si="110"/>
        <v>4.8000000000000001E-2</v>
      </c>
    </row>
    <row r="2319" spans="1:47" x14ac:dyDescent="0.3">
      <c r="A2319">
        <v>2317</v>
      </c>
      <c r="B2319" t="s">
        <v>9579</v>
      </c>
      <c r="C2319" t="s">
        <v>9580</v>
      </c>
      <c r="D2319">
        <v>435</v>
      </c>
      <c r="E2319" t="s">
        <v>9575</v>
      </c>
      <c r="F2319" t="str">
        <f>VLOOKUP(E2319,country_continent!A:C,2,FALSE)</f>
        <v>Mauritania</v>
      </c>
      <c r="G2319" t="str">
        <f>VLOOKUP(E2319,country_continent!A:C,3,FALSE)</f>
        <v>Africa</v>
      </c>
      <c r="H2319" t="s">
        <v>9581</v>
      </c>
      <c r="I2319" s="1">
        <v>28681</v>
      </c>
      <c r="J2319" s="3">
        <f t="shared" si="108"/>
        <v>28681</v>
      </c>
      <c r="K2319" s="1">
        <v>28951</v>
      </c>
      <c r="L2319" s="3">
        <f t="shared" si="109"/>
        <v>28951</v>
      </c>
      <c r="M2319" t="s">
        <v>67</v>
      </c>
      <c r="N2319" t="s">
        <v>67</v>
      </c>
      <c r="O2319" t="s">
        <v>389</v>
      </c>
      <c r="P2319">
        <v>0</v>
      </c>
      <c r="Q2319" t="s">
        <v>50</v>
      </c>
      <c r="R2319" t="s">
        <v>51</v>
      </c>
      <c r="S2319">
        <v>1936</v>
      </c>
      <c r="T2319">
        <v>-777</v>
      </c>
      <c r="Z2319">
        <v>1</v>
      </c>
      <c r="AA2319">
        <v>3</v>
      </c>
      <c r="AB2319">
        <v>16</v>
      </c>
      <c r="AC2319">
        <v>0</v>
      </c>
      <c r="AF2319">
        <v>1978</v>
      </c>
      <c r="AG2319">
        <v>1979</v>
      </c>
      <c r="AO2319" t="b">
        <v>1</v>
      </c>
      <c r="AP2319" t="s">
        <v>5985</v>
      </c>
      <c r="AQ2319">
        <v>1960</v>
      </c>
      <c r="AR2319">
        <v>1974</v>
      </c>
      <c r="AS2319" t="s">
        <v>9582</v>
      </c>
      <c r="AT2319">
        <v>0.73921971252566698</v>
      </c>
      <c r="AU2319">
        <f t="shared" si="110"/>
        <v>2E-3</v>
      </c>
    </row>
    <row r="2320" spans="1:47" x14ac:dyDescent="0.3">
      <c r="A2320">
        <v>2318</v>
      </c>
      <c r="B2320" t="s">
        <v>9583</v>
      </c>
      <c r="C2320" t="s">
        <v>9584</v>
      </c>
      <c r="D2320">
        <v>435</v>
      </c>
      <c r="E2320" t="s">
        <v>9575</v>
      </c>
      <c r="F2320" t="str">
        <f>VLOOKUP(E2320,country_continent!A:C,2,FALSE)</f>
        <v>Mauritania</v>
      </c>
      <c r="G2320" t="str">
        <f>VLOOKUP(E2320,country_continent!A:C,3,FALSE)</f>
        <v>Africa</v>
      </c>
      <c r="H2320" t="s">
        <v>9585</v>
      </c>
      <c r="I2320" s="1">
        <v>28951</v>
      </c>
      <c r="J2320" s="3">
        <f t="shared" si="108"/>
        <v>28951</v>
      </c>
      <c r="K2320" s="1">
        <v>29002</v>
      </c>
      <c r="L2320" s="3">
        <f t="shared" si="109"/>
        <v>29002</v>
      </c>
      <c r="M2320" t="s">
        <v>67</v>
      </c>
      <c r="N2320" t="s">
        <v>110</v>
      </c>
      <c r="O2320" t="s">
        <v>49</v>
      </c>
      <c r="P2320">
        <v>0</v>
      </c>
      <c r="Q2320" t="s">
        <v>111</v>
      </c>
      <c r="R2320" t="s">
        <v>51</v>
      </c>
      <c r="S2320">
        <v>1933</v>
      </c>
      <c r="T2320">
        <v>1979</v>
      </c>
      <c r="Z2320">
        <v>1</v>
      </c>
      <c r="AA2320">
        <v>2</v>
      </c>
      <c r="AB2320">
        <v>0</v>
      </c>
      <c r="AC2320">
        <v>-777</v>
      </c>
      <c r="AF2320">
        <v>1979</v>
      </c>
      <c r="AG2320">
        <v>1979</v>
      </c>
      <c r="AO2320" t="b">
        <v>1</v>
      </c>
      <c r="AP2320" t="s">
        <v>5985</v>
      </c>
      <c r="AQ2320">
        <v>1960</v>
      </c>
      <c r="AR2320">
        <v>1974</v>
      </c>
      <c r="AS2320" t="s">
        <v>9586</v>
      </c>
      <c r="AT2320">
        <v>0.13963039014373699</v>
      </c>
      <c r="AU2320">
        <f t="shared" si="110"/>
        <v>0</v>
      </c>
    </row>
    <row r="2321" spans="1:47" x14ac:dyDescent="0.3">
      <c r="A2321">
        <v>2319</v>
      </c>
      <c r="B2321" t="s">
        <v>9587</v>
      </c>
      <c r="C2321" t="s">
        <v>9588</v>
      </c>
      <c r="D2321">
        <v>435</v>
      </c>
      <c r="E2321" t="s">
        <v>9575</v>
      </c>
      <c r="F2321" t="str">
        <f>VLOOKUP(E2321,country_continent!A:C,2,FALSE)</f>
        <v>Mauritania</v>
      </c>
      <c r="G2321" t="str">
        <f>VLOOKUP(E2321,country_continent!A:C,3,FALSE)</f>
        <v>Africa</v>
      </c>
      <c r="H2321" t="s">
        <v>9589</v>
      </c>
      <c r="I2321" s="1">
        <v>29002</v>
      </c>
      <c r="J2321" s="3">
        <f t="shared" si="108"/>
        <v>29002</v>
      </c>
      <c r="K2321" s="1">
        <v>29006</v>
      </c>
      <c r="L2321" s="3">
        <f t="shared" si="109"/>
        <v>29006</v>
      </c>
      <c r="M2321" t="s">
        <v>49</v>
      </c>
      <c r="N2321" t="s">
        <v>49</v>
      </c>
      <c r="O2321" t="s">
        <v>49</v>
      </c>
      <c r="P2321">
        <v>0</v>
      </c>
      <c r="Q2321" t="s">
        <v>362</v>
      </c>
      <c r="R2321" t="s">
        <v>51</v>
      </c>
      <c r="S2321">
        <v>1934</v>
      </c>
      <c r="T2321">
        <v>1981</v>
      </c>
      <c r="Z2321">
        <v>0</v>
      </c>
      <c r="AA2321">
        <v>1</v>
      </c>
      <c r="AB2321">
        <v>0</v>
      </c>
      <c r="AC2321">
        <v>1</v>
      </c>
      <c r="AF2321">
        <v>1979</v>
      </c>
      <c r="AG2321">
        <v>1979</v>
      </c>
      <c r="AO2321" t="b">
        <v>1</v>
      </c>
      <c r="AP2321" t="s">
        <v>5985</v>
      </c>
      <c r="AQ2321">
        <v>1960</v>
      </c>
      <c r="AR2321">
        <v>1974</v>
      </c>
      <c r="AS2321" t="s">
        <v>9590</v>
      </c>
      <c r="AT2321">
        <v>1.09514031485284E-2</v>
      </c>
      <c r="AU2321">
        <f t="shared" si="110"/>
        <v>0</v>
      </c>
    </row>
    <row r="2322" spans="1:47" x14ac:dyDescent="0.3">
      <c r="A2322">
        <v>2320</v>
      </c>
      <c r="B2322" t="s">
        <v>9591</v>
      </c>
      <c r="C2322" t="s">
        <v>9592</v>
      </c>
      <c r="D2322">
        <v>435</v>
      </c>
      <c r="E2322" t="s">
        <v>9575</v>
      </c>
      <c r="F2322" t="str">
        <f>VLOOKUP(E2322,country_continent!A:C,2,FALSE)</f>
        <v>Mauritania</v>
      </c>
      <c r="G2322" t="str">
        <f>VLOOKUP(E2322,country_continent!A:C,3,FALSE)</f>
        <v>Africa</v>
      </c>
      <c r="H2322" t="s">
        <v>9593</v>
      </c>
      <c r="I2322" s="1">
        <v>29009</v>
      </c>
      <c r="J2322" s="3">
        <f t="shared" si="108"/>
        <v>29009</v>
      </c>
      <c r="K2322" s="1">
        <v>29224</v>
      </c>
      <c r="L2322" s="3">
        <f t="shared" si="109"/>
        <v>29224</v>
      </c>
      <c r="M2322" t="s">
        <v>49</v>
      </c>
      <c r="N2322" t="s">
        <v>67</v>
      </c>
      <c r="O2322" t="s">
        <v>389</v>
      </c>
      <c r="P2322">
        <v>0</v>
      </c>
      <c r="Q2322" t="s">
        <v>50</v>
      </c>
      <c r="R2322" t="s">
        <v>51</v>
      </c>
      <c r="S2322">
        <v>1943</v>
      </c>
      <c r="T2322">
        <v>-777</v>
      </c>
      <c r="Z2322">
        <v>0</v>
      </c>
      <c r="AA2322">
        <v>3</v>
      </c>
      <c r="AB2322">
        <v>16</v>
      </c>
      <c r="AC2322">
        <v>0</v>
      </c>
      <c r="AF2322">
        <v>1979</v>
      </c>
      <c r="AG2322">
        <v>1980</v>
      </c>
      <c r="AO2322" t="b">
        <v>1</v>
      </c>
      <c r="AP2322" t="s">
        <v>5985</v>
      </c>
      <c r="AQ2322">
        <v>1960</v>
      </c>
      <c r="AR2322">
        <v>1974</v>
      </c>
      <c r="AS2322" t="s">
        <v>9594</v>
      </c>
      <c r="AT2322">
        <v>0.58863791923340103</v>
      </c>
      <c r="AU2322">
        <f t="shared" si="110"/>
        <v>2E-3</v>
      </c>
    </row>
    <row r="2323" spans="1:47" x14ac:dyDescent="0.3">
      <c r="A2323">
        <v>2321</v>
      </c>
      <c r="B2323" t="s">
        <v>9595</v>
      </c>
      <c r="C2323" t="s">
        <v>9596</v>
      </c>
      <c r="D2323">
        <v>435</v>
      </c>
      <c r="E2323" t="s">
        <v>9575</v>
      </c>
      <c r="F2323" t="str">
        <f>VLOOKUP(E2323,country_continent!A:C,2,FALSE)</f>
        <v>Mauritania</v>
      </c>
      <c r="G2323" t="str">
        <f>VLOOKUP(E2323,country_continent!A:C,3,FALSE)</f>
        <v>Africa</v>
      </c>
      <c r="H2323" t="s">
        <v>9597</v>
      </c>
      <c r="I2323" s="1">
        <v>29224</v>
      </c>
      <c r="J2323" s="3">
        <f t="shared" si="108"/>
        <v>29224</v>
      </c>
      <c r="K2323" s="1">
        <v>31028</v>
      </c>
      <c r="L2323" s="3">
        <f t="shared" si="109"/>
        <v>31028</v>
      </c>
      <c r="M2323" t="s">
        <v>67</v>
      </c>
      <c r="N2323" t="s">
        <v>67</v>
      </c>
      <c r="O2323" t="s">
        <v>376</v>
      </c>
      <c r="P2323">
        <v>0</v>
      </c>
      <c r="Q2323" t="s">
        <v>362</v>
      </c>
      <c r="R2323" t="s">
        <v>51</v>
      </c>
      <c r="S2323">
        <v>1940</v>
      </c>
      <c r="T2323">
        <v>-777</v>
      </c>
      <c r="Z2323">
        <v>1</v>
      </c>
      <c r="AA2323">
        <v>3</v>
      </c>
      <c r="AB2323">
        <v>6</v>
      </c>
      <c r="AC2323">
        <v>1</v>
      </c>
      <c r="AF2323">
        <v>1980</v>
      </c>
      <c r="AG2323">
        <v>1984</v>
      </c>
      <c r="AO2323" t="b">
        <v>1</v>
      </c>
      <c r="AP2323" t="s">
        <v>5985</v>
      </c>
      <c r="AQ2323">
        <v>1960</v>
      </c>
      <c r="AR2323">
        <v>1974</v>
      </c>
      <c r="AS2323" t="s">
        <v>9598</v>
      </c>
      <c r="AT2323">
        <v>4.9390828199863099</v>
      </c>
      <c r="AU2323">
        <f t="shared" si="110"/>
        <v>1.4E-2</v>
      </c>
    </row>
    <row r="2324" spans="1:47" x14ac:dyDescent="0.3">
      <c r="A2324">
        <v>2322</v>
      </c>
      <c r="B2324" t="s">
        <v>9599</v>
      </c>
      <c r="C2324" t="s">
        <v>9600</v>
      </c>
      <c r="D2324">
        <v>435</v>
      </c>
      <c r="E2324" t="s">
        <v>9575</v>
      </c>
      <c r="F2324" t="str">
        <f>VLOOKUP(E2324,country_continent!A:C,2,FALSE)</f>
        <v>Mauritania</v>
      </c>
      <c r="G2324" t="str">
        <f>VLOOKUP(E2324,country_continent!A:C,3,FALSE)</f>
        <v>Africa</v>
      </c>
      <c r="H2324" t="s">
        <v>9601</v>
      </c>
      <c r="I2324" s="1">
        <v>31028</v>
      </c>
      <c r="J2324" s="3">
        <f t="shared" si="108"/>
        <v>31028</v>
      </c>
      <c r="K2324" s="1">
        <v>38567</v>
      </c>
      <c r="L2324" s="3">
        <f t="shared" si="109"/>
        <v>38567</v>
      </c>
      <c r="M2324" t="s">
        <v>67</v>
      </c>
      <c r="N2324" t="s">
        <v>67</v>
      </c>
      <c r="O2324" t="s">
        <v>376</v>
      </c>
      <c r="P2324">
        <v>0</v>
      </c>
      <c r="Q2324" t="s">
        <v>362</v>
      </c>
      <c r="R2324" t="s">
        <v>51</v>
      </c>
      <c r="S2324">
        <v>1941</v>
      </c>
      <c r="T2324">
        <v>-777</v>
      </c>
      <c r="Z2324">
        <v>1</v>
      </c>
      <c r="AA2324">
        <v>3</v>
      </c>
      <c r="AB2324">
        <v>6</v>
      </c>
      <c r="AC2324">
        <v>1</v>
      </c>
      <c r="AF2324">
        <v>1984</v>
      </c>
      <c r="AG2324">
        <v>2005</v>
      </c>
      <c r="AO2324" t="b">
        <v>1</v>
      </c>
      <c r="AP2324" t="s">
        <v>5985</v>
      </c>
      <c r="AQ2324">
        <v>1960</v>
      </c>
      <c r="AR2324">
        <v>1974</v>
      </c>
      <c r="AS2324" t="s">
        <v>9602</v>
      </c>
      <c r="AT2324">
        <v>20.640657084188899</v>
      </c>
      <c r="AU2324">
        <f t="shared" si="110"/>
        <v>5.7000000000000002E-2</v>
      </c>
    </row>
    <row r="2325" spans="1:47" x14ac:dyDescent="0.3">
      <c r="A2325">
        <v>2323</v>
      </c>
      <c r="B2325" t="s">
        <v>9603</v>
      </c>
      <c r="C2325" t="s">
        <v>9604</v>
      </c>
      <c r="D2325">
        <v>435</v>
      </c>
      <c r="E2325" t="s">
        <v>9575</v>
      </c>
      <c r="F2325" t="str">
        <f>VLOOKUP(E2325,country_continent!A:C,2,FALSE)</f>
        <v>Mauritania</v>
      </c>
      <c r="G2325" t="str">
        <f>VLOOKUP(E2325,country_continent!A:C,3,FALSE)</f>
        <v>Africa</v>
      </c>
      <c r="H2325" t="s">
        <v>9605</v>
      </c>
      <c r="I2325" s="1">
        <v>38567</v>
      </c>
      <c r="J2325" s="3">
        <f t="shared" si="108"/>
        <v>38567</v>
      </c>
      <c r="K2325" s="1">
        <v>39191</v>
      </c>
      <c r="L2325" s="3">
        <f t="shared" si="109"/>
        <v>39191</v>
      </c>
      <c r="M2325" t="s">
        <v>67</v>
      </c>
      <c r="N2325" t="s">
        <v>49</v>
      </c>
      <c r="O2325" t="s">
        <v>49</v>
      </c>
      <c r="P2325">
        <v>0</v>
      </c>
      <c r="Q2325" t="s">
        <v>50</v>
      </c>
      <c r="R2325" t="s">
        <v>51</v>
      </c>
      <c r="S2325">
        <v>1953</v>
      </c>
      <c r="T2325">
        <v>-777</v>
      </c>
      <c r="Z2325">
        <v>1</v>
      </c>
      <c r="AA2325">
        <v>1</v>
      </c>
      <c r="AB2325">
        <v>0</v>
      </c>
      <c r="AC2325">
        <v>0</v>
      </c>
      <c r="AF2325">
        <v>2005</v>
      </c>
      <c r="AG2325">
        <v>2007</v>
      </c>
      <c r="AO2325" t="b">
        <v>1</v>
      </c>
      <c r="AP2325" t="s">
        <v>5985</v>
      </c>
      <c r="AQ2325">
        <v>1960</v>
      </c>
      <c r="AR2325">
        <v>1974</v>
      </c>
      <c r="AS2325" t="s">
        <v>9606</v>
      </c>
      <c r="AT2325">
        <v>1.7084188911704301</v>
      </c>
      <c r="AU2325">
        <f t="shared" si="110"/>
        <v>5.0000000000000001E-3</v>
      </c>
    </row>
    <row r="2326" spans="1:47" x14ac:dyDescent="0.3">
      <c r="A2326">
        <v>2324</v>
      </c>
      <c r="B2326" t="s">
        <v>9607</v>
      </c>
      <c r="C2326" t="s">
        <v>9608</v>
      </c>
      <c r="D2326">
        <v>435</v>
      </c>
      <c r="E2326" t="s">
        <v>9575</v>
      </c>
      <c r="F2326" t="str">
        <f>VLOOKUP(E2326,country_continent!A:C,2,FALSE)</f>
        <v>Mauritania</v>
      </c>
      <c r="G2326" t="str">
        <f>VLOOKUP(E2326,country_continent!A:C,3,FALSE)</f>
        <v>Africa</v>
      </c>
      <c r="H2326" t="s">
        <v>9609</v>
      </c>
      <c r="I2326" s="1">
        <v>39191</v>
      </c>
      <c r="J2326" s="3">
        <f t="shared" si="108"/>
        <v>39191</v>
      </c>
      <c r="K2326" s="1">
        <v>39666</v>
      </c>
      <c r="L2326" s="3">
        <f t="shared" si="109"/>
        <v>39666</v>
      </c>
      <c r="M2326" t="s">
        <v>49</v>
      </c>
      <c r="N2326" t="s">
        <v>67</v>
      </c>
      <c r="O2326" t="s">
        <v>376</v>
      </c>
      <c r="P2326">
        <v>0</v>
      </c>
      <c r="Q2326" t="s">
        <v>463</v>
      </c>
      <c r="R2326" t="s">
        <v>51</v>
      </c>
      <c r="S2326">
        <v>1938</v>
      </c>
      <c r="T2326">
        <v>-777</v>
      </c>
      <c r="Z2326">
        <v>0</v>
      </c>
      <c r="AA2326">
        <v>3</v>
      </c>
      <c r="AB2326">
        <v>6</v>
      </c>
      <c r="AC2326">
        <v>2</v>
      </c>
      <c r="AF2326">
        <v>2007</v>
      </c>
      <c r="AG2326">
        <v>2008</v>
      </c>
      <c r="AO2326" t="b">
        <v>1</v>
      </c>
      <c r="AP2326" t="s">
        <v>5985</v>
      </c>
      <c r="AQ2326">
        <v>1960</v>
      </c>
      <c r="AR2326">
        <v>1974</v>
      </c>
      <c r="AS2326" t="s">
        <v>9610</v>
      </c>
      <c r="AT2326">
        <v>1.30047912388774</v>
      </c>
      <c r="AU2326">
        <f t="shared" si="110"/>
        <v>4.0000000000000001E-3</v>
      </c>
    </row>
    <row r="2327" spans="1:47" x14ac:dyDescent="0.3">
      <c r="A2327">
        <v>2325</v>
      </c>
      <c r="B2327" t="s">
        <v>9611</v>
      </c>
      <c r="C2327" t="s">
        <v>9612</v>
      </c>
      <c r="D2327">
        <v>435</v>
      </c>
      <c r="E2327" t="s">
        <v>9575</v>
      </c>
      <c r="F2327" t="str">
        <f>VLOOKUP(E2327,country_continent!A:C,2,FALSE)</f>
        <v>Mauritania</v>
      </c>
      <c r="G2327" t="str">
        <f>VLOOKUP(E2327,country_continent!A:C,3,FALSE)</f>
        <v>Africa</v>
      </c>
      <c r="H2327" t="s">
        <v>9613</v>
      </c>
      <c r="I2327" s="1">
        <v>39666</v>
      </c>
      <c r="J2327" s="3">
        <f t="shared" si="108"/>
        <v>39666</v>
      </c>
      <c r="K2327" s="1">
        <v>39918</v>
      </c>
      <c r="L2327" s="3">
        <f t="shared" si="109"/>
        <v>39918</v>
      </c>
      <c r="M2327" t="s">
        <v>67</v>
      </c>
      <c r="N2327" t="s">
        <v>49</v>
      </c>
      <c r="O2327" t="s">
        <v>49</v>
      </c>
      <c r="P2327">
        <v>0</v>
      </c>
      <c r="Q2327" t="s">
        <v>50</v>
      </c>
      <c r="R2327" t="s">
        <v>51</v>
      </c>
      <c r="S2327">
        <v>1956</v>
      </c>
      <c r="T2327">
        <v>-777</v>
      </c>
      <c r="Z2327">
        <v>1</v>
      </c>
      <c r="AA2327">
        <v>1</v>
      </c>
      <c r="AB2327">
        <v>0</v>
      </c>
      <c r="AC2327">
        <v>0</v>
      </c>
      <c r="AF2327">
        <v>2008</v>
      </c>
      <c r="AG2327">
        <v>2009</v>
      </c>
      <c r="AO2327" t="b">
        <v>1</v>
      </c>
      <c r="AP2327" t="s">
        <v>5985</v>
      </c>
      <c r="AQ2327">
        <v>1960</v>
      </c>
      <c r="AR2327">
        <v>1974</v>
      </c>
      <c r="AS2327" t="s">
        <v>9614</v>
      </c>
      <c r="AT2327">
        <v>0.68993839835728898</v>
      </c>
      <c r="AU2327">
        <f t="shared" si="110"/>
        <v>2E-3</v>
      </c>
    </row>
    <row r="2328" spans="1:47" x14ac:dyDescent="0.3">
      <c r="A2328">
        <v>2326</v>
      </c>
      <c r="B2328" t="s">
        <v>9615</v>
      </c>
      <c r="C2328" t="s">
        <v>9616</v>
      </c>
      <c r="D2328">
        <v>435</v>
      </c>
      <c r="E2328" t="s">
        <v>9575</v>
      </c>
      <c r="F2328" t="str">
        <f>VLOOKUP(E2328,country_continent!A:C,2,FALSE)</f>
        <v>Mauritania</v>
      </c>
      <c r="G2328" t="str">
        <f>VLOOKUP(E2328,country_continent!A:C,3,FALSE)</f>
        <v>Africa</v>
      </c>
      <c r="H2328" t="s">
        <v>9617</v>
      </c>
      <c r="I2328" s="1">
        <v>39918</v>
      </c>
      <c r="J2328" s="3">
        <f t="shared" si="108"/>
        <v>39918</v>
      </c>
      <c r="K2328" s="1">
        <v>40030</v>
      </c>
      <c r="L2328" s="3">
        <f t="shared" si="109"/>
        <v>40030</v>
      </c>
      <c r="M2328" t="s">
        <v>49</v>
      </c>
      <c r="N2328" t="s">
        <v>49</v>
      </c>
      <c r="O2328" t="s">
        <v>49</v>
      </c>
      <c r="P2328">
        <v>0</v>
      </c>
      <c r="Q2328" t="s">
        <v>50</v>
      </c>
      <c r="R2328" t="s">
        <v>51</v>
      </c>
      <c r="S2328">
        <v>1946</v>
      </c>
      <c r="T2328">
        <v>2013</v>
      </c>
      <c r="W2328" s="1">
        <v>41284</v>
      </c>
      <c r="X2328" s="2">
        <v>41284</v>
      </c>
      <c r="Z2328">
        <v>0</v>
      </c>
      <c r="AA2328">
        <v>1</v>
      </c>
      <c r="AB2328">
        <v>0</v>
      </c>
      <c r="AC2328">
        <v>0</v>
      </c>
      <c r="AF2328">
        <v>2009</v>
      </c>
      <c r="AG2328">
        <v>2009</v>
      </c>
      <c r="AO2328" t="b">
        <v>1</v>
      </c>
      <c r="AP2328" t="s">
        <v>5985</v>
      </c>
      <c r="AQ2328">
        <v>1960</v>
      </c>
      <c r="AR2328">
        <v>1974</v>
      </c>
      <c r="AS2328" t="s">
        <v>9618</v>
      </c>
      <c r="AT2328">
        <v>0.30663928815879499</v>
      </c>
      <c r="AU2328">
        <f t="shared" si="110"/>
        <v>1E-3</v>
      </c>
    </row>
    <row r="2329" spans="1:47" x14ac:dyDescent="0.3">
      <c r="A2329">
        <v>2327</v>
      </c>
      <c r="B2329" t="s">
        <v>9619</v>
      </c>
      <c r="C2329" t="s">
        <v>9612</v>
      </c>
      <c r="D2329">
        <v>435</v>
      </c>
      <c r="E2329" t="s">
        <v>9575</v>
      </c>
      <c r="F2329" t="str">
        <f>VLOOKUP(E2329,country_continent!A:C,2,FALSE)</f>
        <v>Mauritania</v>
      </c>
      <c r="G2329" t="str">
        <f>VLOOKUP(E2329,country_continent!A:C,3,FALSE)</f>
        <v>Africa</v>
      </c>
      <c r="H2329" t="s">
        <v>9613</v>
      </c>
      <c r="I2329" s="1">
        <v>40030</v>
      </c>
      <c r="J2329" s="3">
        <f t="shared" si="108"/>
        <v>40030</v>
      </c>
      <c r="K2329" s="1">
        <v>42369</v>
      </c>
      <c r="L2329" s="3">
        <f t="shared" si="109"/>
        <v>42369</v>
      </c>
      <c r="M2329" t="s">
        <v>49</v>
      </c>
      <c r="N2329" t="s">
        <v>173</v>
      </c>
      <c r="O2329" t="s">
        <v>173</v>
      </c>
      <c r="P2329">
        <v>1</v>
      </c>
      <c r="Q2329" t="s">
        <v>174</v>
      </c>
      <c r="R2329" t="s">
        <v>51</v>
      </c>
      <c r="S2329">
        <v>1956</v>
      </c>
      <c r="T2329">
        <v>-777</v>
      </c>
      <c r="Z2329">
        <v>0</v>
      </c>
      <c r="AA2329">
        <v>-888</v>
      </c>
      <c r="AB2329">
        <v>-888</v>
      </c>
      <c r="AC2329">
        <v>-888</v>
      </c>
      <c r="AF2329">
        <v>2009</v>
      </c>
      <c r="AG2329">
        <v>2015</v>
      </c>
      <c r="AO2329" t="b">
        <v>1</v>
      </c>
      <c r="AP2329" t="s">
        <v>5985</v>
      </c>
      <c r="AQ2329">
        <v>1960</v>
      </c>
      <c r="AR2329">
        <v>1974</v>
      </c>
      <c r="AS2329" t="s">
        <v>9620</v>
      </c>
      <c r="AT2329">
        <v>6.4038329911019796</v>
      </c>
      <c r="AU2329">
        <f t="shared" si="110"/>
        <v>1.7999999999999999E-2</v>
      </c>
    </row>
    <row r="2330" spans="1:47" x14ac:dyDescent="0.3">
      <c r="A2330">
        <v>2328</v>
      </c>
      <c r="B2330" t="s">
        <v>9621</v>
      </c>
      <c r="C2330" t="s">
        <v>9622</v>
      </c>
      <c r="D2330">
        <v>436</v>
      </c>
      <c r="E2330" t="s">
        <v>9623</v>
      </c>
      <c r="F2330" t="str">
        <f>VLOOKUP(E2330,country_continent!A:C,2,FALSE)</f>
        <v>Niger</v>
      </c>
      <c r="G2330" t="str">
        <f>VLOOKUP(E2330,country_continent!A:C,3,FALSE)</f>
        <v>Africa</v>
      </c>
      <c r="H2330" t="s">
        <v>9624</v>
      </c>
      <c r="I2330" s="1">
        <v>22192</v>
      </c>
      <c r="J2330" s="3">
        <f t="shared" si="108"/>
        <v>22192</v>
      </c>
      <c r="K2330" s="1">
        <v>27134</v>
      </c>
      <c r="L2330" s="3">
        <f t="shared" si="109"/>
        <v>27134</v>
      </c>
      <c r="M2330" t="s">
        <v>49</v>
      </c>
      <c r="N2330" t="s">
        <v>67</v>
      </c>
      <c r="O2330" t="s">
        <v>376</v>
      </c>
      <c r="P2330">
        <v>0</v>
      </c>
      <c r="Q2330" t="s">
        <v>463</v>
      </c>
      <c r="R2330" t="s">
        <v>51</v>
      </c>
      <c r="S2330">
        <v>1916</v>
      </c>
      <c r="T2330">
        <v>1989</v>
      </c>
      <c r="U2330" s="1">
        <v>6002</v>
      </c>
      <c r="V2330" s="2">
        <v>6002</v>
      </c>
      <c r="W2330" s="1">
        <v>32621</v>
      </c>
      <c r="X2330" s="2">
        <v>32621</v>
      </c>
      <c r="Y2330" t="s">
        <v>9625</v>
      </c>
      <c r="Z2330">
        <v>0</v>
      </c>
      <c r="AA2330">
        <v>3</v>
      </c>
      <c r="AB2330">
        <v>6</v>
      </c>
      <c r="AC2330">
        <v>2</v>
      </c>
      <c r="AF2330">
        <v>1960</v>
      </c>
      <c r="AG2330">
        <v>1974</v>
      </c>
      <c r="AO2330" t="b">
        <v>0</v>
      </c>
      <c r="AT2330">
        <v>4942</v>
      </c>
      <c r="AU2330">
        <f t="shared" si="110"/>
        <v>13.54</v>
      </c>
    </row>
    <row r="2331" spans="1:47" x14ac:dyDescent="0.3">
      <c r="A2331">
        <v>2329</v>
      </c>
      <c r="B2331" t="s">
        <v>9626</v>
      </c>
      <c r="C2331" t="s">
        <v>9627</v>
      </c>
      <c r="D2331">
        <v>436</v>
      </c>
      <c r="E2331" t="s">
        <v>9623</v>
      </c>
      <c r="F2331" t="str">
        <f>VLOOKUP(E2331,country_continent!A:C,2,FALSE)</f>
        <v>Niger</v>
      </c>
      <c r="G2331" t="str">
        <f>VLOOKUP(E2331,country_continent!A:C,3,FALSE)</f>
        <v>Africa</v>
      </c>
      <c r="H2331" t="s">
        <v>9628</v>
      </c>
      <c r="I2331" s="1">
        <v>27136</v>
      </c>
      <c r="J2331" s="3">
        <f t="shared" si="108"/>
        <v>27136</v>
      </c>
      <c r="K2331" s="1">
        <v>32091</v>
      </c>
      <c r="L2331" s="3">
        <f t="shared" si="109"/>
        <v>32091</v>
      </c>
      <c r="M2331" t="s">
        <v>67</v>
      </c>
      <c r="N2331" t="s">
        <v>110</v>
      </c>
      <c r="O2331" t="s">
        <v>49</v>
      </c>
      <c r="P2331">
        <v>0</v>
      </c>
      <c r="Q2331" t="s">
        <v>111</v>
      </c>
      <c r="R2331" t="s">
        <v>51</v>
      </c>
      <c r="S2331">
        <v>1931</v>
      </c>
      <c r="T2331">
        <v>1987</v>
      </c>
      <c r="U2331" s="1">
        <v>11505</v>
      </c>
      <c r="V2331" s="2">
        <v>11505</v>
      </c>
      <c r="W2331" s="1">
        <v>32091</v>
      </c>
      <c r="X2331" s="2">
        <v>32091</v>
      </c>
      <c r="Y2331" t="s">
        <v>9629</v>
      </c>
      <c r="Z2331">
        <v>1</v>
      </c>
      <c r="AA2331">
        <v>2</v>
      </c>
      <c r="AB2331">
        <v>0</v>
      </c>
      <c r="AC2331">
        <v>-777</v>
      </c>
      <c r="AD2331" t="s">
        <v>9630</v>
      </c>
      <c r="AE2331">
        <v>0</v>
      </c>
      <c r="AF2331">
        <v>1974</v>
      </c>
      <c r="AG2331">
        <v>1987</v>
      </c>
      <c r="AO2331" t="b">
        <v>0</v>
      </c>
      <c r="AT2331">
        <v>4955</v>
      </c>
      <c r="AU2331">
        <f t="shared" si="110"/>
        <v>13.574999999999999</v>
      </c>
    </row>
    <row r="2332" spans="1:47" x14ac:dyDescent="0.3">
      <c r="A2332">
        <v>2330</v>
      </c>
      <c r="B2332" t="s">
        <v>9631</v>
      </c>
      <c r="C2332" t="s">
        <v>9632</v>
      </c>
      <c r="D2332">
        <v>436</v>
      </c>
      <c r="E2332" t="s">
        <v>9623</v>
      </c>
      <c r="F2332" t="str">
        <f>VLOOKUP(E2332,country_continent!A:C,2,FALSE)</f>
        <v>Niger</v>
      </c>
      <c r="G2332" t="str">
        <f>VLOOKUP(E2332,country_continent!A:C,3,FALSE)</f>
        <v>Africa</v>
      </c>
      <c r="H2332" t="s">
        <v>9633</v>
      </c>
      <c r="I2332" s="1">
        <v>32091</v>
      </c>
      <c r="J2332" s="3">
        <f t="shared" si="108"/>
        <v>32091</v>
      </c>
      <c r="K2332" s="1">
        <v>34075</v>
      </c>
      <c r="L2332" s="3">
        <f t="shared" si="109"/>
        <v>34075</v>
      </c>
      <c r="M2332" t="s">
        <v>49</v>
      </c>
      <c r="N2332" t="s">
        <v>49</v>
      </c>
      <c r="O2332" t="s">
        <v>49</v>
      </c>
      <c r="P2332">
        <v>0</v>
      </c>
      <c r="Q2332" t="s">
        <v>50</v>
      </c>
      <c r="R2332" t="s">
        <v>51</v>
      </c>
      <c r="S2332">
        <v>1940</v>
      </c>
      <c r="T2332">
        <v>2011</v>
      </c>
      <c r="Z2332">
        <v>0</v>
      </c>
      <c r="AA2332">
        <v>1</v>
      </c>
      <c r="AB2332">
        <v>0</v>
      </c>
      <c r="AC2332">
        <v>0</v>
      </c>
      <c r="AD2332" t="s">
        <v>9634</v>
      </c>
      <c r="AF2332">
        <v>1987</v>
      </c>
      <c r="AG2332">
        <v>1993</v>
      </c>
      <c r="AO2332" t="b">
        <v>0</v>
      </c>
      <c r="AT2332">
        <v>1984</v>
      </c>
      <c r="AU2332">
        <f t="shared" si="110"/>
        <v>5.4359999999999999</v>
      </c>
    </row>
    <row r="2333" spans="1:47" x14ac:dyDescent="0.3">
      <c r="A2333">
        <v>2331</v>
      </c>
      <c r="B2333" t="s">
        <v>9635</v>
      </c>
      <c r="C2333" t="s">
        <v>9636</v>
      </c>
      <c r="D2333">
        <v>436</v>
      </c>
      <c r="E2333" t="s">
        <v>9623</v>
      </c>
      <c r="F2333" t="str">
        <f>VLOOKUP(E2333,country_continent!A:C,2,FALSE)</f>
        <v>Niger</v>
      </c>
      <c r="G2333" t="str">
        <f>VLOOKUP(E2333,country_continent!A:C,3,FALSE)</f>
        <v>Africa</v>
      </c>
      <c r="H2333" t="s">
        <v>9637</v>
      </c>
      <c r="I2333" s="1">
        <v>34075</v>
      </c>
      <c r="J2333" s="3">
        <f t="shared" si="108"/>
        <v>34075</v>
      </c>
      <c r="K2333" s="1">
        <v>35091</v>
      </c>
      <c r="L2333" s="3">
        <f t="shared" si="109"/>
        <v>35091</v>
      </c>
      <c r="M2333" t="s">
        <v>49</v>
      </c>
      <c r="N2333" t="s">
        <v>67</v>
      </c>
      <c r="O2333" t="s">
        <v>376</v>
      </c>
      <c r="P2333">
        <v>0</v>
      </c>
      <c r="Q2333" t="s">
        <v>463</v>
      </c>
      <c r="R2333" t="s">
        <v>51</v>
      </c>
      <c r="S2333">
        <v>1950</v>
      </c>
      <c r="T2333">
        <v>-777</v>
      </c>
      <c r="Z2333">
        <v>0</v>
      </c>
      <c r="AA2333">
        <v>3</v>
      </c>
      <c r="AB2333">
        <v>6</v>
      </c>
      <c r="AC2333">
        <v>2</v>
      </c>
      <c r="AF2333">
        <v>1993</v>
      </c>
      <c r="AG2333">
        <v>1996</v>
      </c>
      <c r="AO2333" t="b">
        <v>0</v>
      </c>
      <c r="AT2333">
        <v>1016</v>
      </c>
      <c r="AU2333">
        <f t="shared" si="110"/>
        <v>2.7839999999999998</v>
      </c>
    </row>
    <row r="2334" spans="1:47" x14ac:dyDescent="0.3">
      <c r="A2334">
        <v>2332</v>
      </c>
      <c r="B2334" t="s">
        <v>9638</v>
      </c>
      <c r="C2334" t="s">
        <v>9639</v>
      </c>
      <c r="D2334">
        <v>436</v>
      </c>
      <c r="E2334" t="s">
        <v>9623</v>
      </c>
      <c r="F2334" t="str">
        <f>VLOOKUP(E2334,country_continent!A:C,2,FALSE)</f>
        <v>Niger</v>
      </c>
      <c r="G2334" t="str">
        <f>VLOOKUP(E2334,country_continent!A:C,3,FALSE)</f>
        <v>Africa</v>
      </c>
      <c r="H2334" t="s">
        <v>9640</v>
      </c>
      <c r="I2334" s="1">
        <v>35091</v>
      </c>
      <c r="J2334" s="3">
        <f t="shared" si="108"/>
        <v>35091</v>
      </c>
      <c r="K2334" s="1">
        <v>36261</v>
      </c>
      <c r="L2334" s="3">
        <f t="shared" si="109"/>
        <v>36261</v>
      </c>
      <c r="M2334" t="s">
        <v>67</v>
      </c>
      <c r="N2334" t="s">
        <v>67</v>
      </c>
      <c r="O2334" t="s">
        <v>376</v>
      </c>
      <c r="P2334">
        <v>0</v>
      </c>
      <c r="Q2334" t="s">
        <v>69</v>
      </c>
      <c r="R2334" t="s">
        <v>51</v>
      </c>
      <c r="S2334">
        <v>1949</v>
      </c>
      <c r="T2334">
        <v>1999</v>
      </c>
      <c r="U2334" s="1">
        <v>18027</v>
      </c>
      <c r="V2334" s="2">
        <v>18027</v>
      </c>
      <c r="W2334" s="1">
        <v>36259</v>
      </c>
      <c r="X2334" s="2">
        <v>36259</v>
      </c>
      <c r="Y2334" t="s">
        <v>9641</v>
      </c>
      <c r="Z2334">
        <v>1</v>
      </c>
      <c r="AA2334">
        <v>3</v>
      </c>
      <c r="AB2334">
        <v>6</v>
      </c>
      <c r="AC2334">
        <v>3</v>
      </c>
      <c r="AF2334">
        <v>1996</v>
      </c>
      <c r="AG2334">
        <v>1999</v>
      </c>
      <c r="AO2334" t="b">
        <v>0</v>
      </c>
      <c r="AT2334">
        <v>1170</v>
      </c>
      <c r="AU2334">
        <f t="shared" si="110"/>
        <v>3.2050000000000001</v>
      </c>
    </row>
    <row r="2335" spans="1:47" x14ac:dyDescent="0.3">
      <c r="A2335">
        <v>2333</v>
      </c>
      <c r="B2335" t="s">
        <v>9642</v>
      </c>
      <c r="C2335" t="s">
        <v>9643</v>
      </c>
      <c r="D2335">
        <v>436</v>
      </c>
      <c r="E2335" t="s">
        <v>9623</v>
      </c>
      <c r="F2335" t="str">
        <f>VLOOKUP(E2335,country_continent!A:C,2,FALSE)</f>
        <v>Niger</v>
      </c>
      <c r="G2335" t="str">
        <f>VLOOKUP(E2335,country_continent!A:C,3,FALSE)</f>
        <v>Africa</v>
      </c>
      <c r="H2335" t="s">
        <v>9644</v>
      </c>
      <c r="I2335" s="1">
        <v>36261</v>
      </c>
      <c r="J2335" s="3">
        <f t="shared" si="108"/>
        <v>36261</v>
      </c>
      <c r="K2335" s="1">
        <v>36516</v>
      </c>
      <c r="L2335" s="3">
        <f t="shared" si="109"/>
        <v>36516</v>
      </c>
      <c r="M2335" t="s">
        <v>67</v>
      </c>
      <c r="N2335" t="s">
        <v>49</v>
      </c>
      <c r="O2335" t="s">
        <v>49</v>
      </c>
      <c r="P2335">
        <v>0</v>
      </c>
      <c r="Q2335" t="s">
        <v>50</v>
      </c>
      <c r="R2335" t="s">
        <v>51</v>
      </c>
      <c r="S2335">
        <v>1954</v>
      </c>
      <c r="T2335">
        <v>2004</v>
      </c>
      <c r="Z2335">
        <v>1</v>
      </c>
      <c r="AA2335">
        <v>1</v>
      </c>
      <c r="AB2335">
        <v>0</v>
      </c>
      <c r="AC2335">
        <v>0</v>
      </c>
      <c r="AF2335">
        <v>1999</v>
      </c>
      <c r="AG2335">
        <v>1999</v>
      </c>
      <c r="AO2335" t="b">
        <v>0</v>
      </c>
      <c r="AT2335">
        <v>255</v>
      </c>
      <c r="AU2335">
        <f t="shared" si="110"/>
        <v>0.69899999999999995</v>
      </c>
    </row>
    <row r="2336" spans="1:47" x14ac:dyDescent="0.3">
      <c r="A2336">
        <v>2334</v>
      </c>
      <c r="B2336" t="s">
        <v>9645</v>
      </c>
      <c r="C2336" t="s">
        <v>9646</v>
      </c>
      <c r="D2336">
        <v>436</v>
      </c>
      <c r="E2336" t="s">
        <v>9623</v>
      </c>
      <c r="F2336" t="str">
        <f>VLOOKUP(E2336,country_continent!A:C,2,FALSE)</f>
        <v>Niger</v>
      </c>
      <c r="G2336" t="str">
        <f>VLOOKUP(E2336,country_continent!A:C,3,FALSE)</f>
        <v>Africa</v>
      </c>
      <c r="H2336" t="s">
        <v>9647</v>
      </c>
      <c r="I2336" s="1">
        <v>36516</v>
      </c>
      <c r="J2336" s="3">
        <f t="shared" si="108"/>
        <v>36516</v>
      </c>
      <c r="K2336" s="1">
        <v>40217</v>
      </c>
      <c r="L2336" s="3">
        <f t="shared" si="109"/>
        <v>40217</v>
      </c>
      <c r="M2336" t="s">
        <v>49</v>
      </c>
      <c r="N2336" t="s">
        <v>67</v>
      </c>
      <c r="O2336" t="s">
        <v>376</v>
      </c>
      <c r="P2336">
        <v>0</v>
      </c>
      <c r="Q2336" t="s">
        <v>463</v>
      </c>
      <c r="R2336" t="s">
        <v>51</v>
      </c>
      <c r="S2336">
        <v>1938</v>
      </c>
      <c r="T2336">
        <v>-777</v>
      </c>
      <c r="Z2336">
        <v>0</v>
      </c>
      <c r="AA2336">
        <v>3</v>
      </c>
      <c r="AB2336">
        <v>6</v>
      </c>
      <c r="AC2336">
        <v>2</v>
      </c>
      <c r="AF2336">
        <v>1999</v>
      </c>
      <c r="AG2336">
        <v>2010</v>
      </c>
      <c r="AO2336" t="b">
        <v>0</v>
      </c>
      <c r="AT2336">
        <v>3701</v>
      </c>
      <c r="AU2336">
        <f t="shared" si="110"/>
        <v>10.14</v>
      </c>
    </row>
    <row r="2337" spans="1:47" x14ac:dyDescent="0.3">
      <c r="A2337">
        <v>2335</v>
      </c>
      <c r="B2337" t="s">
        <v>9648</v>
      </c>
      <c r="C2337" t="s">
        <v>9649</v>
      </c>
      <c r="D2337">
        <v>436</v>
      </c>
      <c r="E2337" t="s">
        <v>9623</v>
      </c>
      <c r="F2337" t="str">
        <f>VLOOKUP(E2337,country_continent!A:C,2,FALSE)</f>
        <v>Niger</v>
      </c>
      <c r="G2337" t="str">
        <f>VLOOKUP(E2337,country_continent!A:C,3,FALSE)</f>
        <v>Africa</v>
      </c>
      <c r="H2337" t="s">
        <v>9650</v>
      </c>
      <c r="I2337" s="1">
        <v>40217</v>
      </c>
      <c r="J2337" s="3">
        <f t="shared" si="108"/>
        <v>40217</v>
      </c>
      <c r="K2337" s="1">
        <v>40640</v>
      </c>
      <c r="L2337" s="3">
        <f t="shared" si="109"/>
        <v>40640</v>
      </c>
      <c r="M2337" t="s">
        <v>67</v>
      </c>
      <c r="N2337" t="s">
        <v>49</v>
      </c>
      <c r="O2337" t="s">
        <v>49</v>
      </c>
      <c r="P2337">
        <v>0</v>
      </c>
      <c r="Q2337" t="s">
        <v>50</v>
      </c>
      <c r="R2337" t="s">
        <v>51</v>
      </c>
      <c r="S2337">
        <v>1965</v>
      </c>
      <c r="T2337">
        <v>-777</v>
      </c>
      <c r="Z2337">
        <v>1</v>
      </c>
      <c r="AA2337">
        <v>1</v>
      </c>
      <c r="AB2337">
        <v>0</v>
      </c>
      <c r="AC2337">
        <v>0</v>
      </c>
      <c r="AF2337">
        <v>2010</v>
      </c>
      <c r="AG2337">
        <v>2011</v>
      </c>
      <c r="AO2337" t="b">
        <v>0</v>
      </c>
      <c r="AT2337">
        <v>423</v>
      </c>
      <c r="AU2337">
        <f t="shared" si="110"/>
        <v>1.159</v>
      </c>
    </row>
    <row r="2338" spans="1:47" x14ac:dyDescent="0.3">
      <c r="A2338">
        <v>2336</v>
      </c>
      <c r="B2338" t="s">
        <v>9651</v>
      </c>
      <c r="C2338" t="s">
        <v>9652</v>
      </c>
      <c r="D2338">
        <v>436</v>
      </c>
      <c r="E2338" t="s">
        <v>9623</v>
      </c>
      <c r="F2338" t="str">
        <f>VLOOKUP(E2338,country_continent!A:C,2,FALSE)</f>
        <v>Niger</v>
      </c>
      <c r="G2338" t="str">
        <f>VLOOKUP(E2338,country_continent!A:C,3,FALSE)</f>
        <v>Africa</v>
      </c>
      <c r="H2338" t="s">
        <v>9653</v>
      </c>
      <c r="I2338" s="1">
        <v>40640</v>
      </c>
      <c r="J2338" s="3">
        <f t="shared" si="108"/>
        <v>40640</v>
      </c>
      <c r="K2338" s="1">
        <v>42369</v>
      </c>
      <c r="L2338" s="3">
        <f t="shared" si="109"/>
        <v>42369</v>
      </c>
      <c r="M2338" t="s">
        <v>49</v>
      </c>
      <c r="N2338" t="s">
        <v>173</v>
      </c>
      <c r="O2338" t="s">
        <v>173</v>
      </c>
      <c r="P2338">
        <v>0</v>
      </c>
      <c r="Q2338" t="s">
        <v>174</v>
      </c>
      <c r="R2338" t="s">
        <v>51</v>
      </c>
      <c r="S2338">
        <v>1952</v>
      </c>
      <c r="T2338">
        <v>-777</v>
      </c>
      <c r="Z2338">
        <v>0</v>
      </c>
      <c r="AA2338">
        <v>-888</v>
      </c>
      <c r="AB2338">
        <v>-888</v>
      </c>
      <c r="AC2338">
        <v>-888</v>
      </c>
      <c r="AF2338">
        <v>2011</v>
      </c>
      <c r="AG2338">
        <v>2015</v>
      </c>
      <c r="AO2338" t="b">
        <v>0</v>
      </c>
      <c r="AT2338">
        <v>1729</v>
      </c>
      <c r="AU2338">
        <f t="shared" si="110"/>
        <v>4.7370000000000001</v>
      </c>
    </row>
    <row r="2339" spans="1:47" x14ac:dyDescent="0.3">
      <c r="A2339">
        <v>2337</v>
      </c>
      <c r="B2339" t="s">
        <v>9654</v>
      </c>
      <c r="C2339" t="s">
        <v>9655</v>
      </c>
      <c r="D2339">
        <v>437</v>
      </c>
      <c r="E2339" t="s">
        <v>9656</v>
      </c>
      <c r="F2339" t="str">
        <f>VLOOKUP(E2339,country_continent!A:C,2,FALSE)</f>
        <v>Côte d'Ivoire</v>
      </c>
      <c r="G2339" t="str">
        <f>VLOOKUP(E2339,country_continent!A:C,3,FALSE)</f>
        <v>Africa</v>
      </c>
      <c r="H2339" t="s">
        <v>9657</v>
      </c>
      <c r="I2339" s="1">
        <v>22135</v>
      </c>
      <c r="J2339" s="3">
        <f t="shared" si="108"/>
        <v>22135</v>
      </c>
      <c r="K2339" s="1">
        <v>34310</v>
      </c>
      <c r="L2339" s="3">
        <f t="shared" si="109"/>
        <v>34310</v>
      </c>
      <c r="M2339" t="s">
        <v>49</v>
      </c>
      <c r="N2339" t="s">
        <v>110</v>
      </c>
      <c r="O2339" t="s">
        <v>49</v>
      </c>
      <c r="P2339">
        <v>0</v>
      </c>
      <c r="Q2339" t="s">
        <v>111</v>
      </c>
      <c r="R2339" t="s">
        <v>51</v>
      </c>
      <c r="S2339">
        <v>1905</v>
      </c>
      <c r="T2339">
        <v>1993</v>
      </c>
      <c r="U2339" s="1">
        <v>2118</v>
      </c>
      <c r="V2339" s="2">
        <v>2118</v>
      </c>
      <c r="W2339" s="1">
        <v>34310</v>
      </c>
      <c r="X2339" s="2">
        <v>34310</v>
      </c>
      <c r="Y2339" t="s">
        <v>9658</v>
      </c>
      <c r="Z2339">
        <v>0</v>
      </c>
      <c r="AA2339">
        <v>2</v>
      </c>
      <c r="AB2339">
        <v>0</v>
      </c>
      <c r="AC2339">
        <v>-777</v>
      </c>
      <c r="AF2339">
        <v>1960</v>
      </c>
      <c r="AG2339">
        <v>1993</v>
      </c>
      <c r="AO2339" t="b">
        <v>0</v>
      </c>
      <c r="AT2339">
        <v>12175</v>
      </c>
      <c r="AU2339">
        <f t="shared" si="110"/>
        <v>33.356000000000002</v>
      </c>
    </row>
    <row r="2340" spans="1:47" x14ac:dyDescent="0.3">
      <c r="A2340">
        <v>2338</v>
      </c>
      <c r="B2340" t="s">
        <v>9659</v>
      </c>
      <c r="C2340" t="s">
        <v>9660</v>
      </c>
      <c r="D2340">
        <v>437</v>
      </c>
      <c r="E2340" t="s">
        <v>9656</v>
      </c>
      <c r="F2340" t="str">
        <f>VLOOKUP(E2340,country_continent!A:C,2,FALSE)</f>
        <v>Côte d'Ivoire</v>
      </c>
      <c r="G2340" t="str">
        <f>VLOOKUP(E2340,country_continent!A:C,3,FALSE)</f>
        <v>Africa</v>
      </c>
      <c r="H2340" t="s">
        <v>9661</v>
      </c>
      <c r="I2340" s="1">
        <v>34310</v>
      </c>
      <c r="J2340" s="3">
        <f t="shared" si="108"/>
        <v>34310</v>
      </c>
      <c r="K2340" s="1">
        <v>36519</v>
      </c>
      <c r="L2340" s="3">
        <f t="shared" si="109"/>
        <v>36519</v>
      </c>
      <c r="M2340" t="s">
        <v>49</v>
      </c>
      <c r="N2340" t="s">
        <v>67</v>
      </c>
      <c r="O2340" t="s">
        <v>376</v>
      </c>
      <c r="P2340">
        <v>0</v>
      </c>
      <c r="Q2340" t="s">
        <v>362</v>
      </c>
      <c r="R2340" t="s">
        <v>51</v>
      </c>
      <c r="S2340">
        <v>1934</v>
      </c>
      <c r="T2340">
        <v>-777</v>
      </c>
      <c r="Z2340">
        <v>0</v>
      </c>
      <c r="AA2340">
        <v>3</v>
      </c>
      <c r="AB2340">
        <v>6</v>
      </c>
      <c r="AC2340">
        <v>1</v>
      </c>
      <c r="AF2340">
        <v>1993</v>
      </c>
      <c r="AG2340">
        <v>1999</v>
      </c>
      <c r="AO2340" t="b">
        <v>0</v>
      </c>
      <c r="AT2340">
        <v>2209</v>
      </c>
      <c r="AU2340">
        <f t="shared" si="110"/>
        <v>6.0519999999999996</v>
      </c>
    </row>
    <row r="2341" spans="1:47" x14ac:dyDescent="0.3">
      <c r="A2341">
        <v>2339</v>
      </c>
      <c r="B2341" t="s">
        <v>9662</v>
      </c>
      <c r="C2341" t="s">
        <v>9663</v>
      </c>
      <c r="D2341">
        <v>437</v>
      </c>
      <c r="E2341" t="s">
        <v>9656</v>
      </c>
      <c r="F2341" t="str">
        <f>VLOOKUP(E2341,country_continent!A:C,2,FALSE)</f>
        <v>Côte d'Ivoire</v>
      </c>
      <c r="G2341" t="str">
        <f>VLOOKUP(E2341,country_continent!A:C,3,FALSE)</f>
        <v>Africa</v>
      </c>
      <c r="H2341" t="s">
        <v>9664</v>
      </c>
      <c r="I2341" s="1">
        <v>36519</v>
      </c>
      <c r="J2341" s="3">
        <f t="shared" si="108"/>
        <v>36519</v>
      </c>
      <c r="K2341" s="1">
        <v>36824</v>
      </c>
      <c r="L2341" s="3">
        <f t="shared" si="109"/>
        <v>36824</v>
      </c>
      <c r="M2341" t="s">
        <v>67</v>
      </c>
      <c r="N2341" t="s">
        <v>67</v>
      </c>
      <c r="O2341" t="s">
        <v>613</v>
      </c>
      <c r="P2341">
        <v>0</v>
      </c>
      <c r="Q2341" t="s">
        <v>362</v>
      </c>
      <c r="R2341" t="s">
        <v>51</v>
      </c>
      <c r="S2341">
        <v>1941</v>
      </c>
      <c r="T2341">
        <v>2002</v>
      </c>
      <c r="U2341" s="1">
        <v>15051</v>
      </c>
      <c r="V2341" s="2">
        <v>15051</v>
      </c>
      <c r="W2341" s="1">
        <v>37518</v>
      </c>
      <c r="X2341" s="2">
        <v>37518</v>
      </c>
      <c r="Z2341">
        <v>1</v>
      </c>
      <c r="AA2341">
        <v>3</v>
      </c>
      <c r="AB2341">
        <v>2</v>
      </c>
      <c r="AC2341">
        <v>1</v>
      </c>
      <c r="AF2341">
        <v>1999</v>
      </c>
      <c r="AG2341">
        <v>2000</v>
      </c>
      <c r="AO2341" t="b">
        <v>0</v>
      </c>
      <c r="AT2341">
        <v>305</v>
      </c>
      <c r="AU2341">
        <f t="shared" si="110"/>
        <v>0.83599999999999997</v>
      </c>
    </row>
    <row r="2342" spans="1:47" x14ac:dyDescent="0.3">
      <c r="A2342">
        <v>2340</v>
      </c>
      <c r="B2342" t="s">
        <v>9665</v>
      </c>
      <c r="C2342" t="s">
        <v>9666</v>
      </c>
      <c r="D2342">
        <v>437</v>
      </c>
      <c r="E2342" t="s">
        <v>9656</v>
      </c>
      <c r="F2342" t="str">
        <f>VLOOKUP(E2342,country_continent!A:C,2,FALSE)</f>
        <v>Côte d'Ivoire</v>
      </c>
      <c r="G2342" t="str">
        <f>VLOOKUP(E2342,country_continent!A:C,3,FALSE)</f>
        <v>Africa</v>
      </c>
      <c r="H2342" t="s">
        <v>9667</v>
      </c>
      <c r="I2342" s="1">
        <v>36825</v>
      </c>
      <c r="J2342" s="3">
        <f t="shared" si="108"/>
        <v>36825</v>
      </c>
      <c r="K2342" s="1">
        <v>40644</v>
      </c>
      <c r="L2342" s="3">
        <f t="shared" si="109"/>
        <v>40644</v>
      </c>
      <c r="M2342" t="s">
        <v>67</v>
      </c>
      <c r="N2342" t="s">
        <v>67</v>
      </c>
      <c r="O2342" t="s">
        <v>1215</v>
      </c>
      <c r="P2342">
        <v>0</v>
      </c>
      <c r="Q2342" t="s">
        <v>463</v>
      </c>
      <c r="R2342" t="s">
        <v>51</v>
      </c>
      <c r="S2342">
        <v>1945</v>
      </c>
      <c r="T2342">
        <v>-777</v>
      </c>
      <c r="U2342" s="1">
        <v>16588</v>
      </c>
      <c r="V2342" s="2">
        <v>16588</v>
      </c>
      <c r="Y2342" t="s">
        <v>9668</v>
      </c>
      <c r="Z2342">
        <v>1</v>
      </c>
      <c r="AA2342">
        <v>3</v>
      </c>
      <c r="AB2342">
        <v>5</v>
      </c>
      <c r="AC2342">
        <v>2</v>
      </c>
      <c r="AF2342">
        <v>2000</v>
      </c>
      <c r="AG2342">
        <v>2011</v>
      </c>
      <c r="AO2342" t="b">
        <v>0</v>
      </c>
      <c r="AT2342">
        <v>3819</v>
      </c>
      <c r="AU2342">
        <f t="shared" si="110"/>
        <v>10.462999999999999</v>
      </c>
    </row>
    <row r="2343" spans="1:47" x14ac:dyDescent="0.3">
      <c r="A2343">
        <v>2341</v>
      </c>
      <c r="B2343" t="s">
        <v>9669</v>
      </c>
      <c r="C2343" t="s">
        <v>9670</v>
      </c>
      <c r="D2343">
        <v>437</v>
      </c>
      <c r="E2343" t="s">
        <v>9656</v>
      </c>
      <c r="F2343" t="str">
        <f>VLOOKUP(E2343,country_continent!A:C,2,FALSE)</f>
        <v>Côte d'Ivoire</v>
      </c>
      <c r="G2343" t="str">
        <f>VLOOKUP(E2343,country_continent!A:C,3,FALSE)</f>
        <v>Africa</v>
      </c>
      <c r="H2343" t="s">
        <v>9671</v>
      </c>
      <c r="I2343" s="1">
        <v>40644</v>
      </c>
      <c r="J2343" s="3">
        <f t="shared" si="108"/>
        <v>40644</v>
      </c>
      <c r="K2343" s="1">
        <v>42369</v>
      </c>
      <c r="L2343" s="3">
        <f t="shared" si="109"/>
        <v>42369</v>
      </c>
      <c r="M2343" t="s">
        <v>67</v>
      </c>
      <c r="N2343" t="s">
        <v>173</v>
      </c>
      <c r="O2343" t="s">
        <v>173</v>
      </c>
      <c r="P2343">
        <v>0</v>
      </c>
      <c r="Q2343" t="s">
        <v>174</v>
      </c>
      <c r="R2343" t="s">
        <v>51</v>
      </c>
      <c r="S2343">
        <v>1942</v>
      </c>
      <c r="T2343">
        <v>-777</v>
      </c>
      <c r="U2343" s="1">
        <v>15342</v>
      </c>
      <c r="V2343" s="2">
        <v>15342</v>
      </c>
      <c r="Z2343">
        <v>1</v>
      </c>
      <c r="AA2343">
        <v>-888</v>
      </c>
      <c r="AB2343">
        <v>-888</v>
      </c>
      <c r="AC2343">
        <v>-888</v>
      </c>
      <c r="AF2343">
        <v>2011</v>
      </c>
      <c r="AG2343">
        <v>2015</v>
      </c>
      <c r="AO2343" t="b">
        <v>0</v>
      </c>
      <c r="AT2343">
        <v>1725</v>
      </c>
      <c r="AU2343">
        <f t="shared" si="110"/>
        <v>4.726</v>
      </c>
    </row>
    <row r="2344" spans="1:47" x14ac:dyDescent="0.3">
      <c r="A2344">
        <v>2342</v>
      </c>
      <c r="B2344" t="s">
        <v>9672</v>
      </c>
      <c r="C2344" t="s">
        <v>9673</v>
      </c>
      <c r="D2344">
        <v>438</v>
      </c>
      <c r="E2344" t="s">
        <v>9674</v>
      </c>
      <c r="F2344" t="str">
        <f>VLOOKUP(E2344,country_continent!A:C,2,FALSE)</f>
        <v>Guinea</v>
      </c>
      <c r="G2344" t="str">
        <f>VLOOKUP(E2344,country_continent!A:C,3,FALSE)</f>
        <v>Africa</v>
      </c>
      <c r="H2344" t="s">
        <v>9675</v>
      </c>
      <c r="I2344" s="1">
        <v>21460</v>
      </c>
      <c r="J2344" s="3">
        <f t="shared" si="108"/>
        <v>21460</v>
      </c>
      <c r="K2344" s="1">
        <v>30767</v>
      </c>
      <c r="L2344" s="3">
        <f t="shared" si="109"/>
        <v>30767</v>
      </c>
      <c r="M2344" t="s">
        <v>49</v>
      </c>
      <c r="N2344" t="s">
        <v>110</v>
      </c>
      <c r="O2344" t="s">
        <v>49</v>
      </c>
      <c r="P2344">
        <v>0</v>
      </c>
      <c r="Q2344" t="s">
        <v>111</v>
      </c>
      <c r="R2344" t="s">
        <v>51</v>
      </c>
      <c r="S2344">
        <v>1922</v>
      </c>
      <c r="T2344">
        <v>1984</v>
      </c>
      <c r="U2344" s="1">
        <v>8045</v>
      </c>
      <c r="V2344" s="2">
        <v>8045</v>
      </c>
      <c r="Y2344" t="s">
        <v>9676</v>
      </c>
      <c r="Z2344">
        <v>0</v>
      </c>
      <c r="AA2344">
        <v>2</v>
      </c>
      <c r="AB2344">
        <v>0</v>
      </c>
      <c r="AC2344">
        <v>-777</v>
      </c>
      <c r="AF2344">
        <v>1958</v>
      </c>
      <c r="AG2344">
        <v>1984</v>
      </c>
      <c r="AO2344" t="b">
        <v>1</v>
      </c>
      <c r="AP2344" t="s">
        <v>6291</v>
      </c>
      <c r="AQ2344">
        <v>1958</v>
      </c>
      <c r="AR2344">
        <v>1973</v>
      </c>
      <c r="AS2344" t="s">
        <v>9677</v>
      </c>
      <c r="AT2344">
        <v>25.481177275838402</v>
      </c>
      <c r="AU2344">
        <f t="shared" si="110"/>
        <v>7.0000000000000007E-2</v>
      </c>
    </row>
    <row r="2345" spans="1:47" x14ac:dyDescent="0.3">
      <c r="A2345">
        <v>2343</v>
      </c>
      <c r="B2345" t="s">
        <v>9678</v>
      </c>
      <c r="C2345" t="s">
        <v>9679</v>
      </c>
      <c r="D2345">
        <v>438</v>
      </c>
      <c r="E2345" t="s">
        <v>9674</v>
      </c>
      <c r="F2345" t="str">
        <f>VLOOKUP(E2345,country_continent!A:C,2,FALSE)</f>
        <v>Guinea</v>
      </c>
      <c r="G2345" t="str">
        <f>VLOOKUP(E2345,country_continent!A:C,3,FALSE)</f>
        <v>Africa</v>
      </c>
      <c r="H2345" t="s">
        <v>9680</v>
      </c>
      <c r="I2345" s="1">
        <v>30768</v>
      </c>
      <c r="J2345" s="3">
        <f t="shared" si="108"/>
        <v>30768</v>
      </c>
      <c r="K2345" s="1">
        <v>30775</v>
      </c>
      <c r="L2345" s="3">
        <f t="shared" si="109"/>
        <v>30775</v>
      </c>
      <c r="M2345" t="s">
        <v>67</v>
      </c>
      <c r="N2345" t="s">
        <v>67</v>
      </c>
      <c r="O2345" t="s">
        <v>376</v>
      </c>
      <c r="P2345">
        <v>0</v>
      </c>
      <c r="Q2345" t="s">
        <v>463</v>
      </c>
      <c r="R2345" t="s">
        <v>51</v>
      </c>
      <c r="S2345">
        <v>1923</v>
      </c>
      <c r="T2345">
        <v>1984</v>
      </c>
      <c r="Z2345">
        <v>1</v>
      </c>
      <c r="AA2345">
        <v>3</v>
      </c>
      <c r="AB2345">
        <v>6</v>
      </c>
      <c r="AC2345">
        <v>2</v>
      </c>
      <c r="AF2345">
        <v>1984</v>
      </c>
      <c r="AG2345">
        <v>1984</v>
      </c>
      <c r="AO2345" t="b">
        <v>1</v>
      </c>
      <c r="AP2345" t="s">
        <v>6291</v>
      </c>
      <c r="AQ2345">
        <v>1958</v>
      </c>
      <c r="AR2345">
        <v>1973</v>
      </c>
      <c r="AS2345" t="s">
        <v>9681</v>
      </c>
      <c r="AT2345">
        <v>1.9164955509924701E-2</v>
      </c>
      <c r="AU2345">
        <f t="shared" si="110"/>
        <v>0</v>
      </c>
    </row>
    <row r="2346" spans="1:47" x14ac:dyDescent="0.3">
      <c r="A2346">
        <v>2344</v>
      </c>
      <c r="B2346" t="s">
        <v>9682</v>
      </c>
      <c r="C2346" t="s">
        <v>9683</v>
      </c>
      <c r="D2346">
        <v>438</v>
      </c>
      <c r="E2346" t="s">
        <v>9674</v>
      </c>
      <c r="F2346" t="str">
        <f>VLOOKUP(E2346,country_continent!A:C,2,FALSE)</f>
        <v>Guinea</v>
      </c>
      <c r="G2346" t="str">
        <f>VLOOKUP(E2346,country_continent!A:C,3,FALSE)</f>
        <v>Africa</v>
      </c>
      <c r="H2346" t="s">
        <v>9684</v>
      </c>
      <c r="I2346" s="1">
        <v>30775</v>
      </c>
      <c r="J2346" s="3">
        <f t="shared" si="108"/>
        <v>30775</v>
      </c>
      <c r="K2346" s="1">
        <v>39804</v>
      </c>
      <c r="L2346" s="3">
        <f t="shared" si="109"/>
        <v>39804</v>
      </c>
      <c r="M2346" t="s">
        <v>67</v>
      </c>
      <c r="N2346" t="s">
        <v>110</v>
      </c>
      <c r="O2346" t="s">
        <v>49</v>
      </c>
      <c r="P2346">
        <v>0</v>
      </c>
      <c r="Q2346" t="s">
        <v>111</v>
      </c>
      <c r="R2346" t="s">
        <v>51</v>
      </c>
      <c r="S2346">
        <v>1934</v>
      </c>
      <c r="T2346">
        <v>-777</v>
      </c>
      <c r="Z2346">
        <v>1</v>
      </c>
      <c r="AA2346">
        <v>2</v>
      </c>
      <c r="AB2346">
        <v>0</v>
      </c>
      <c r="AC2346">
        <v>-777</v>
      </c>
      <c r="AF2346">
        <v>1984</v>
      </c>
      <c r="AG2346">
        <v>2008</v>
      </c>
      <c r="AO2346" t="b">
        <v>1</v>
      </c>
      <c r="AP2346" t="s">
        <v>6291</v>
      </c>
      <c r="AQ2346">
        <v>1958</v>
      </c>
      <c r="AR2346">
        <v>1973</v>
      </c>
      <c r="AS2346" t="s">
        <v>9685</v>
      </c>
      <c r="AT2346">
        <v>24.720054757015699</v>
      </c>
      <c r="AU2346">
        <f t="shared" si="110"/>
        <v>6.8000000000000005E-2</v>
      </c>
    </row>
    <row r="2347" spans="1:47" x14ac:dyDescent="0.3">
      <c r="A2347">
        <v>2345</v>
      </c>
      <c r="B2347" t="s">
        <v>9686</v>
      </c>
      <c r="C2347" t="s">
        <v>9687</v>
      </c>
      <c r="D2347">
        <v>438</v>
      </c>
      <c r="E2347" t="s">
        <v>9674</v>
      </c>
      <c r="F2347" t="str">
        <f>VLOOKUP(E2347,country_continent!A:C,2,FALSE)</f>
        <v>Guinea</v>
      </c>
      <c r="G2347" t="str">
        <f>VLOOKUP(E2347,country_continent!A:C,3,FALSE)</f>
        <v>Africa</v>
      </c>
      <c r="H2347" t="s">
        <v>9688</v>
      </c>
      <c r="I2347" s="1">
        <v>39804</v>
      </c>
      <c r="J2347" s="3">
        <f t="shared" si="108"/>
        <v>39804</v>
      </c>
      <c r="K2347" s="1">
        <v>39805</v>
      </c>
      <c r="L2347" s="3">
        <f t="shared" si="109"/>
        <v>39805</v>
      </c>
      <c r="M2347" t="s">
        <v>49</v>
      </c>
      <c r="N2347" t="s">
        <v>49</v>
      </c>
      <c r="O2347" t="s">
        <v>49</v>
      </c>
      <c r="P2347">
        <v>0</v>
      </c>
      <c r="Q2347" t="s">
        <v>50</v>
      </c>
      <c r="R2347" t="s">
        <v>51</v>
      </c>
      <c r="S2347">
        <v>1944</v>
      </c>
      <c r="T2347">
        <v>-777</v>
      </c>
      <c r="Z2347">
        <v>0</v>
      </c>
      <c r="AA2347">
        <v>1</v>
      </c>
      <c r="AB2347">
        <v>0</v>
      </c>
      <c r="AC2347">
        <v>0</v>
      </c>
      <c r="AF2347">
        <v>2008</v>
      </c>
      <c r="AG2347">
        <v>2008</v>
      </c>
      <c r="AO2347" t="b">
        <v>1</v>
      </c>
      <c r="AP2347" t="s">
        <v>6291</v>
      </c>
      <c r="AQ2347">
        <v>1958</v>
      </c>
      <c r="AR2347">
        <v>1973</v>
      </c>
      <c r="AS2347" t="s">
        <v>9689</v>
      </c>
      <c r="AT2347">
        <v>2.7378507871321E-3</v>
      </c>
      <c r="AU2347">
        <f t="shared" si="110"/>
        <v>0</v>
      </c>
    </row>
    <row r="2348" spans="1:47" x14ac:dyDescent="0.3">
      <c r="A2348">
        <v>2346</v>
      </c>
      <c r="B2348" t="s">
        <v>9690</v>
      </c>
      <c r="C2348" t="s">
        <v>9691</v>
      </c>
      <c r="D2348">
        <v>438</v>
      </c>
      <c r="E2348" t="s">
        <v>9674</v>
      </c>
      <c r="F2348" t="str">
        <f>VLOOKUP(E2348,country_continent!A:C,2,FALSE)</f>
        <v>Guinea</v>
      </c>
      <c r="G2348" t="str">
        <f>VLOOKUP(E2348,country_continent!A:C,3,FALSE)</f>
        <v>Africa</v>
      </c>
      <c r="H2348" t="s">
        <v>9692</v>
      </c>
      <c r="I2348" s="1">
        <v>39805</v>
      </c>
      <c r="J2348" s="3">
        <f t="shared" si="108"/>
        <v>39805</v>
      </c>
      <c r="K2348" s="1">
        <v>40152</v>
      </c>
      <c r="L2348" s="3">
        <f t="shared" si="109"/>
        <v>40152</v>
      </c>
      <c r="M2348" t="s">
        <v>67</v>
      </c>
      <c r="N2348" t="s">
        <v>67</v>
      </c>
      <c r="O2348" t="s">
        <v>376</v>
      </c>
      <c r="P2348">
        <v>0</v>
      </c>
      <c r="Q2348" t="s">
        <v>362</v>
      </c>
      <c r="R2348" t="s">
        <v>51</v>
      </c>
      <c r="S2348">
        <v>1964</v>
      </c>
      <c r="T2348">
        <v>-777</v>
      </c>
      <c r="Z2348">
        <v>1</v>
      </c>
      <c r="AA2348">
        <v>3</v>
      </c>
      <c r="AB2348">
        <v>6</v>
      </c>
      <c r="AC2348">
        <v>1</v>
      </c>
      <c r="AF2348">
        <v>2008</v>
      </c>
      <c r="AG2348">
        <v>2009</v>
      </c>
      <c r="AO2348" t="b">
        <v>1</v>
      </c>
      <c r="AP2348" t="s">
        <v>6291</v>
      </c>
      <c r="AQ2348">
        <v>1958</v>
      </c>
      <c r="AR2348">
        <v>1973</v>
      </c>
      <c r="AS2348" t="s">
        <v>9693</v>
      </c>
      <c r="AT2348">
        <v>0.95003422313483898</v>
      </c>
      <c r="AU2348">
        <f t="shared" si="110"/>
        <v>3.0000000000000001E-3</v>
      </c>
    </row>
    <row r="2349" spans="1:47" x14ac:dyDescent="0.3">
      <c r="A2349">
        <v>2347</v>
      </c>
      <c r="B2349" t="s">
        <v>9694</v>
      </c>
      <c r="C2349" t="s">
        <v>9695</v>
      </c>
      <c r="D2349">
        <v>438</v>
      </c>
      <c r="E2349" t="s">
        <v>9674</v>
      </c>
      <c r="F2349" t="str">
        <f>VLOOKUP(E2349,country_continent!A:C,2,FALSE)</f>
        <v>Guinea</v>
      </c>
      <c r="G2349" t="str">
        <f>VLOOKUP(E2349,country_continent!A:C,3,FALSE)</f>
        <v>Africa</v>
      </c>
      <c r="H2349" t="s">
        <v>9696</v>
      </c>
      <c r="I2349" s="1">
        <v>40152</v>
      </c>
      <c r="J2349" s="3">
        <f t="shared" si="108"/>
        <v>40152</v>
      </c>
      <c r="K2349" s="1">
        <v>40533</v>
      </c>
      <c r="L2349" s="3">
        <f t="shared" si="109"/>
        <v>40533</v>
      </c>
      <c r="M2349" t="s">
        <v>67</v>
      </c>
      <c r="N2349" t="s">
        <v>49</v>
      </c>
      <c r="O2349" t="s">
        <v>49</v>
      </c>
      <c r="P2349">
        <v>0</v>
      </c>
      <c r="Q2349" t="s">
        <v>50</v>
      </c>
      <c r="R2349" t="s">
        <v>51</v>
      </c>
      <c r="S2349">
        <v>1966</v>
      </c>
      <c r="T2349">
        <v>-777</v>
      </c>
      <c r="Z2349">
        <v>1</v>
      </c>
      <c r="AA2349">
        <v>1</v>
      </c>
      <c r="AB2349">
        <v>0</v>
      </c>
      <c r="AC2349">
        <v>0</v>
      </c>
      <c r="AF2349">
        <v>2009</v>
      </c>
      <c r="AG2349">
        <v>2010</v>
      </c>
      <c r="AO2349" t="b">
        <v>1</v>
      </c>
      <c r="AP2349" t="s">
        <v>6291</v>
      </c>
      <c r="AQ2349">
        <v>1958</v>
      </c>
      <c r="AR2349">
        <v>1973</v>
      </c>
      <c r="AS2349" t="s">
        <v>9697</v>
      </c>
      <c r="AT2349">
        <v>1.0431211498973301</v>
      </c>
      <c r="AU2349">
        <f t="shared" si="110"/>
        <v>3.0000000000000001E-3</v>
      </c>
    </row>
    <row r="2350" spans="1:47" x14ac:dyDescent="0.3">
      <c r="A2350">
        <v>2348</v>
      </c>
      <c r="B2350" t="s">
        <v>9698</v>
      </c>
      <c r="C2350" t="s">
        <v>9699</v>
      </c>
      <c r="D2350">
        <v>438</v>
      </c>
      <c r="E2350" t="s">
        <v>9674</v>
      </c>
      <c r="F2350" t="str">
        <f>VLOOKUP(E2350,country_continent!A:C,2,FALSE)</f>
        <v>Guinea</v>
      </c>
      <c r="G2350" t="str">
        <f>VLOOKUP(E2350,country_continent!A:C,3,FALSE)</f>
        <v>Africa</v>
      </c>
      <c r="H2350" t="s">
        <v>9700</v>
      </c>
      <c r="I2350" s="1">
        <v>40533</v>
      </c>
      <c r="J2350" s="3">
        <f t="shared" si="108"/>
        <v>40533</v>
      </c>
      <c r="K2350" s="1">
        <v>42369</v>
      </c>
      <c r="L2350" s="3">
        <f t="shared" si="109"/>
        <v>42369</v>
      </c>
      <c r="M2350" t="s">
        <v>49</v>
      </c>
      <c r="N2350" t="s">
        <v>173</v>
      </c>
      <c r="O2350" t="s">
        <v>173</v>
      </c>
      <c r="P2350">
        <v>0</v>
      </c>
      <c r="Q2350" t="s">
        <v>174</v>
      </c>
      <c r="R2350" t="s">
        <v>51</v>
      </c>
      <c r="S2350">
        <v>1938</v>
      </c>
      <c r="T2350">
        <v>-777</v>
      </c>
      <c r="U2350" s="1">
        <v>13943</v>
      </c>
      <c r="V2350" s="2">
        <v>13943</v>
      </c>
      <c r="Z2350">
        <v>0</v>
      </c>
      <c r="AA2350">
        <v>-888</v>
      </c>
      <c r="AB2350">
        <v>-888</v>
      </c>
      <c r="AC2350">
        <v>-888</v>
      </c>
      <c r="AF2350">
        <v>2010</v>
      </c>
      <c r="AG2350">
        <v>2015</v>
      </c>
      <c r="AO2350" t="b">
        <v>1</v>
      </c>
      <c r="AP2350" t="s">
        <v>6291</v>
      </c>
      <c r="AQ2350">
        <v>1958</v>
      </c>
      <c r="AR2350">
        <v>1973</v>
      </c>
      <c r="AS2350" t="s">
        <v>9701</v>
      </c>
      <c r="AT2350">
        <v>5.0266940451745299</v>
      </c>
      <c r="AU2350">
        <f t="shared" si="110"/>
        <v>1.4E-2</v>
      </c>
    </row>
    <row r="2351" spans="1:47" x14ac:dyDescent="0.3">
      <c r="A2351">
        <v>2349</v>
      </c>
      <c r="B2351" t="s">
        <v>9702</v>
      </c>
      <c r="C2351" t="s">
        <v>9703</v>
      </c>
      <c r="D2351">
        <v>439</v>
      </c>
      <c r="E2351" t="s">
        <v>9704</v>
      </c>
      <c r="F2351" t="str">
        <f>VLOOKUP(E2351,country_continent!A:C,2,FALSE)</f>
        <v>Burkina Faso</v>
      </c>
      <c r="G2351" t="str">
        <f>VLOOKUP(E2351,country_continent!A:C,3,FALSE)</f>
        <v>Africa</v>
      </c>
      <c r="H2351" t="s">
        <v>9705</v>
      </c>
      <c r="I2351" s="1">
        <v>22133</v>
      </c>
      <c r="J2351" s="3">
        <f t="shared" si="108"/>
        <v>22133</v>
      </c>
      <c r="K2351" s="1">
        <v>24110</v>
      </c>
      <c r="L2351" s="3">
        <f t="shared" si="109"/>
        <v>24110</v>
      </c>
      <c r="M2351" t="s">
        <v>49</v>
      </c>
      <c r="N2351" t="s">
        <v>67</v>
      </c>
      <c r="O2351" t="s">
        <v>376</v>
      </c>
      <c r="P2351">
        <v>0</v>
      </c>
      <c r="Q2351" t="s">
        <v>463</v>
      </c>
      <c r="R2351" t="s">
        <v>51</v>
      </c>
      <c r="S2351">
        <v>1921</v>
      </c>
      <c r="T2351">
        <v>1993</v>
      </c>
      <c r="U2351" s="1">
        <v>8036</v>
      </c>
      <c r="V2351" s="2">
        <v>8036</v>
      </c>
      <c r="Y2351" t="s">
        <v>9706</v>
      </c>
      <c r="Z2351">
        <v>0</v>
      </c>
      <c r="AA2351">
        <v>3</v>
      </c>
      <c r="AB2351">
        <v>6</v>
      </c>
      <c r="AC2351">
        <v>2</v>
      </c>
      <c r="AF2351">
        <v>1960</v>
      </c>
      <c r="AG2351">
        <v>1966</v>
      </c>
      <c r="AO2351" t="b">
        <v>0</v>
      </c>
      <c r="AT2351">
        <v>1977</v>
      </c>
      <c r="AU2351">
        <f t="shared" si="110"/>
        <v>5.4160000000000004</v>
      </c>
    </row>
    <row r="2352" spans="1:47" x14ac:dyDescent="0.3">
      <c r="A2352">
        <v>2350</v>
      </c>
      <c r="B2352" t="s">
        <v>9707</v>
      </c>
      <c r="C2352" t="s">
        <v>9708</v>
      </c>
      <c r="D2352">
        <v>439</v>
      </c>
      <c r="E2352" t="s">
        <v>9704</v>
      </c>
      <c r="F2352" t="str">
        <f>VLOOKUP(E2352,country_continent!A:C,2,FALSE)</f>
        <v>Burkina Faso</v>
      </c>
      <c r="G2352" t="str">
        <f>VLOOKUP(E2352,country_continent!A:C,3,FALSE)</f>
        <v>Africa</v>
      </c>
      <c r="H2352" t="s">
        <v>9709</v>
      </c>
      <c r="I2352" s="1">
        <v>24110</v>
      </c>
      <c r="J2352" s="3">
        <f t="shared" si="108"/>
        <v>24110</v>
      </c>
      <c r="K2352" s="1">
        <v>25946</v>
      </c>
      <c r="L2352" s="3">
        <f t="shared" si="109"/>
        <v>25946</v>
      </c>
      <c r="M2352" t="s">
        <v>67</v>
      </c>
      <c r="N2352" t="s">
        <v>49</v>
      </c>
      <c r="O2352" t="s">
        <v>49</v>
      </c>
      <c r="P2352">
        <v>0</v>
      </c>
      <c r="Q2352" t="s">
        <v>50</v>
      </c>
      <c r="R2352" t="s">
        <v>51</v>
      </c>
      <c r="S2352">
        <v>1916</v>
      </c>
      <c r="T2352">
        <v>2005</v>
      </c>
      <c r="Z2352">
        <v>1</v>
      </c>
      <c r="AA2352">
        <v>1</v>
      </c>
      <c r="AB2352">
        <v>0</v>
      </c>
      <c r="AC2352">
        <v>0</v>
      </c>
      <c r="AF2352">
        <v>1966</v>
      </c>
      <c r="AG2352">
        <v>1971</v>
      </c>
      <c r="AO2352" t="b">
        <v>0</v>
      </c>
      <c r="AT2352">
        <v>1836</v>
      </c>
      <c r="AU2352">
        <f t="shared" si="110"/>
        <v>5.03</v>
      </c>
    </row>
    <row r="2353" spans="1:47" x14ac:dyDescent="0.3">
      <c r="A2353">
        <v>2351</v>
      </c>
      <c r="B2353" t="s">
        <v>9710</v>
      </c>
      <c r="C2353" t="s">
        <v>9711</v>
      </c>
      <c r="D2353">
        <v>439</v>
      </c>
      <c r="E2353" t="s">
        <v>9704</v>
      </c>
      <c r="F2353" t="str">
        <f>VLOOKUP(E2353,country_continent!A:C,2,FALSE)</f>
        <v>Burkina Faso</v>
      </c>
      <c r="G2353" t="str">
        <f>VLOOKUP(E2353,country_continent!A:C,3,FALSE)</f>
        <v>Africa</v>
      </c>
      <c r="H2353" t="s">
        <v>9712</v>
      </c>
      <c r="I2353" s="1">
        <v>25946</v>
      </c>
      <c r="J2353" s="3">
        <f t="shared" si="108"/>
        <v>25946</v>
      </c>
      <c r="K2353" s="1">
        <v>27068</v>
      </c>
      <c r="L2353" s="3">
        <f t="shared" si="109"/>
        <v>27068</v>
      </c>
      <c r="M2353" t="s">
        <v>49</v>
      </c>
      <c r="N2353" t="s">
        <v>67</v>
      </c>
      <c r="O2353" t="s">
        <v>376</v>
      </c>
      <c r="P2353">
        <v>0</v>
      </c>
      <c r="Q2353" t="s">
        <v>1453</v>
      </c>
      <c r="R2353" t="s">
        <v>51</v>
      </c>
      <c r="S2353">
        <v>1925</v>
      </c>
      <c r="T2353">
        <v>-777</v>
      </c>
      <c r="Z2353">
        <v>0</v>
      </c>
      <c r="AA2353">
        <v>3</v>
      </c>
      <c r="AB2353">
        <v>6</v>
      </c>
      <c r="AC2353">
        <v>-666</v>
      </c>
      <c r="AF2353">
        <v>1971</v>
      </c>
      <c r="AG2353">
        <v>1974</v>
      </c>
      <c r="AO2353" t="b">
        <v>0</v>
      </c>
      <c r="AT2353">
        <v>1122</v>
      </c>
      <c r="AU2353">
        <f t="shared" si="110"/>
        <v>3.0739999999999998</v>
      </c>
    </row>
    <row r="2354" spans="1:47" x14ac:dyDescent="0.3">
      <c r="A2354">
        <v>2352</v>
      </c>
      <c r="B2354" t="s">
        <v>9713</v>
      </c>
      <c r="C2354" t="s">
        <v>9708</v>
      </c>
      <c r="D2354">
        <v>439</v>
      </c>
      <c r="E2354" t="s">
        <v>9704</v>
      </c>
      <c r="F2354" t="str">
        <f>VLOOKUP(E2354,country_continent!A:C,2,FALSE)</f>
        <v>Burkina Faso</v>
      </c>
      <c r="G2354" t="str">
        <f>VLOOKUP(E2354,country_continent!A:C,3,FALSE)</f>
        <v>Africa</v>
      </c>
      <c r="H2354" t="s">
        <v>9709</v>
      </c>
      <c r="I2354" s="1">
        <v>27068</v>
      </c>
      <c r="J2354" s="3">
        <f t="shared" si="108"/>
        <v>27068</v>
      </c>
      <c r="K2354" s="1">
        <v>29550</v>
      </c>
      <c r="L2354" s="3">
        <f t="shared" si="109"/>
        <v>29550</v>
      </c>
      <c r="M2354" t="s">
        <v>67</v>
      </c>
      <c r="N2354" t="s">
        <v>67</v>
      </c>
      <c r="O2354" t="s">
        <v>376</v>
      </c>
      <c r="P2354">
        <v>1</v>
      </c>
      <c r="Q2354" t="s">
        <v>463</v>
      </c>
      <c r="R2354" t="s">
        <v>51</v>
      </c>
      <c r="S2354">
        <v>1916</v>
      </c>
      <c r="T2354">
        <v>2005</v>
      </c>
      <c r="Z2354">
        <v>1</v>
      </c>
      <c r="AA2354">
        <v>3</v>
      </c>
      <c r="AB2354">
        <v>6</v>
      </c>
      <c r="AC2354">
        <v>2</v>
      </c>
      <c r="AF2354">
        <v>1974</v>
      </c>
      <c r="AG2354">
        <v>1980</v>
      </c>
      <c r="AO2354" t="b">
        <v>0</v>
      </c>
      <c r="AT2354">
        <v>2482</v>
      </c>
      <c r="AU2354">
        <f t="shared" si="110"/>
        <v>6.8</v>
      </c>
    </row>
    <row r="2355" spans="1:47" x14ac:dyDescent="0.3">
      <c r="A2355">
        <v>2353</v>
      </c>
      <c r="B2355" t="s">
        <v>9714</v>
      </c>
      <c r="C2355" t="s">
        <v>9715</v>
      </c>
      <c r="D2355">
        <v>439</v>
      </c>
      <c r="E2355" t="s">
        <v>9704</v>
      </c>
      <c r="F2355" t="str">
        <f>VLOOKUP(E2355,country_continent!A:C,2,FALSE)</f>
        <v>Burkina Faso</v>
      </c>
      <c r="G2355" t="str">
        <f>VLOOKUP(E2355,country_continent!A:C,3,FALSE)</f>
        <v>Africa</v>
      </c>
      <c r="H2355" t="s">
        <v>9716</v>
      </c>
      <c r="I2355" s="1">
        <v>29550</v>
      </c>
      <c r="J2355" s="3">
        <f t="shared" si="108"/>
        <v>29550</v>
      </c>
      <c r="K2355" s="1">
        <v>30262</v>
      </c>
      <c r="L2355" s="3">
        <f t="shared" si="109"/>
        <v>30262</v>
      </c>
      <c r="M2355" t="s">
        <v>67</v>
      </c>
      <c r="N2355" t="s">
        <v>67</v>
      </c>
      <c r="O2355" t="s">
        <v>376</v>
      </c>
      <c r="P2355">
        <v>0</v>
      </c>
      <c r="Q2355" t="s">
        <v>463</v>
      </c>
      <c r="R2355" t="s">
        <v>51</v>
      </c>
      <c r="S2355">
        <v>1932</v>
      </c>
      <c r="T2355">
        <v>-777</v>
      </c>
      <c r="Z2355">
        <v>1</v>
      </c>
      <c r="AA2355">
        <v>3</v>
      </c>
      <c r="AB2355">
        <v>6</v>
      </c>
      <c r="AC2355">
        <v>2</v>
      </c>
      <c r="AF2355">
        <v>1980</v>
      </c>
      <c r="AG2355">
        <v>1982</v>
      </c>
      <c r="AO2355" t="b">
        <v>0</v>
      </c>
      <c r="AT2355">
        <v>712</v>
      </c>
      <c r="AU2355">
        <f t="shared" si="110"/>
        <v>1.9510000000000001</v>
      </c>
    </row>
    <row r="2356" spans="1:47" x14ac:dyDescent="0.3">
      <c r="A2356">
        <v>2354</v>
      </c>
      <c r="B2356" t="s">
        <v>9717</v>
      </c>
      <c r="C2356" t="s">
        <v>9718</v>
      </c>
      <c r="D2356">
        <v>439</v>
      </c>
      <c r="E2356" t="s">
        <v>9704</v>
      </c>
      <c r="F2356" t="str">
        <f>VLOOKUP(E2356,country_continent!A:C,2,FALSE)</f>
        <v>Burkina Faso</v>
      </c>
      <c r="G2356" t="str">
        <f>VLOOKUP(E2356,country_continent!A:C,3,FALSE)</f>
        <v>Africa</v>
      </c>
      <c r="H2356" t="s">
        <v>9719</v>
      </c>
      <c r="I2356" s="1">
        <v>30262</v>
      </c>
      <c r="J2356" s="3">
        <f t="shared" si="108"/>
        <v>30262</v>
      </c>
      <c r="K2356" s="1">
        <v>30532</v>
      </c>
      <c r="L2356" s="3">
        <f t="shared" si="109"/>
        <v>30532</v>
      </c>
      <c r="M2356" t="s">
        <v>67</v>
      </c>
      <c r="N2356" t="s">
        <v>67</v>
      </c>
      <c r="O2356" t="s">
        <v>376</v>
      </c>
      <c r="P2356">
        <v>0</v>
      </c>
      <c r="Q2356" t="s">
        <v>463</v>
      </c>
      <c r="R2356" t="s">
        <v>51</v>
      </c>
      <c r="S2356">
        <v>1942</v>
      </c>
      <c r="T2356">
        <v>-777</v>
      </c>
      <c r="Z2356">
        <v>1</v>
      </c>
      <c r="AA2356">
        <v>3</v>
      </c>
      <c r="AB2356">
        <v>6</v>
      </c>
      <c r="AC2356">
        <v>2</v>
      </c>
      <c r="AF2356">
        <v>1982</v>
      </c>
      <c r="AG2356">
        <v>1983</v>
      </c>
      <c r="AO2356" t="b">
        <v>0</v>
      </c>
      <c r="AT2356">
        <v>270</v>
      </c>
      <c r="AU2356">
        <f t="shared" si="110"/>
        <v>0.74</v>
      </c>
    </row>
    <row r="2357" spans="1:47" x14ac:dyDescent="0.3">
      <c r="A2357">
        <v>2355</v>
      </c>
      <c r="B2357" t="s">
        <v>9720</v>
      </c>
      <c r="C2357" t="s">
        <v>9721</v>
      </c>
      <c r="D2357">
        <v>439</v>
      </c>
      <c r="E2357" t="s">
        <v>9704</v>
      </c>
      <c r="F2357" t="str">
        <f>VLOOKUP(E2357,country_continent!A:C,2,FALSE)</f>
        <v>Burkina Faso</v>
      </c>
      <c r="G2357" t="str">
        <f>VLOOKUP(E2357,country_continent!A:C,3,FALSE)</f>
        <v>Africa</v>
      </c>
      <c r="H2357" t="s">
        <v>9722</v>
      </c>
      <c r="I2357" s="1">
        <v>30532</v>
      </c>
      <c r="J2357" s="3">
        <f t="shared" si="108"/>
        <v>30532</v>
      </c>
      <c r="K2357" s="1">
        <v>32065</v>
      </c>
      <c r="L2357" s="3">
        <f t="shared" si="109"/>
        <v>32065</v>
      </c>
      <c r="M2357" t="s">
        <v>67</v>
      </c>
      <c r="N2357" t="s">
        <v>67</v>
      </c>
      <c r="O2357" t="s">
        <v>376</v>
      </c>
      <c r="P2357">
        <v>0</v>
      </c>
      <c r="Q2357" t="s">
        <v>69</v>
      </c>
      <c r="R2357" t="s">
        <v>51</v>
      </c>
      <c r="S2357">
        <v>1949</v>
      </c>
      <c r="T2357">
        <v>1987</v>
      </c>
      <c r="U2357" s="1">
        <v>18253</v>
      </c>
      <c r="V2357" s="2">
        <v>18253</v>
      </c>
      <c r="Y2357" t="s">
        <v>9723</v>
      </c>
      <c r="Z2357">
        <v>1</v>
      </c>
      <c r="AA2357">
        <v>3</v>
      </c>
      <c r="AB2357">
        <v>6</v>
      </c>
      <c r="AC2357">
        <v>3</v>
      </c>
      <c r="AF2357">
        <v>1983</v>
      </c>
      <c r="AG2357">
        <v>1987</v>
      </c>
      <c r="AO2357" t="b">
        <v>0</v>
      </c>
      <c r="AT2357">
        <v>1533</v>
      </c>
      <c r="AU2357">
        <f t="shared" si="110"/>
        <v>4.2</v>
      </c>
    </row>
    <row r="2358" spans="1:47" x14ac:dyDescent="0.3">
      <c r="A2358">
        <v>2356</v>
      </c>
      <c r="B2358" t="s">
        <v>9724</v>
      </c>
      <c r="C2358" t="s">
        <v>9725</v>
      </c>
      <c r="D2358">
        <v>439</v>
      </c>
      <c r="E2358" t="s">
        <v>9704</v>
      </c>
      <c r="F2358" t="str">
        <f>VLOOKUP(E2358,country_continent!A:C,2,FALSE)</f>
        <v>Burkina Faso</v>
      </c>
      <c r="G2358" t="str">
        <f>VLOOKUP(E2358,country_continent!A:C,3,FALSE)</f>
        <v>Africa</v>
      </c>
      <c r="H2358" t="s">
        <v>9726</v>
      </c>
      <c r="I2358" s="1">
        <v>32065</v>
      </c>
      <c r="J2358" s="3">
        <f t="shared" si="108"/>
        <v>32065</v>
      </c>
      <c r="K2358" s="1">
        <v>41943</v>
      </c>
      <c r="L2358" s="3">
        <f t="shared" si="109"/>
        <v>41943</v>
      </c>
      <c r="M2358" t="s">
        <v>67</v>
      </c>
      <c r="N2358" t="s">
        <v>49</v>
      </c>
      <c r="O2358" t="s">
        <v>49</v>
      </c>
      <c r="P2358">
        <v>0</v>
      </c>
      <c r="Q2358" t="s">
        <v>362</v>
      </c>
      <c r="R2358" t="s">
        <v>51</v>
      </c>
      <c r="S2358">
        <v>1951</v>
      </c>
      <c r="T2358">
        <v>-777</v>
      </c>
      <c r="U2358" s="1">
        <v>18662</v>
      </c>
      <c r="V2358" s="2">
        <v>18662</v>
      </c>
      <c r="Y2358" t="s">
        <v>9727</v>
      </c>
      <c r="Z2358">
        <v>1</v>
      </c>
      <c r="AA2358">
        <v>1</v>
      </c>
      <c r="AB2358">
        <v>0</v>
      </c>
      <c r="AC2358">
        <v>1</v>
      </c>
      <c r="AF2358">
        <v>1987</v>
      </c>
      <c r="AG2358">
        <v>2014</v>
      </c>
      <c r="AO2358" t="b">
        <v>0</v>
      </c>
      <c r="AT2358">
        <v>9878</v>
      </c>
      <c r="AU2358">
        <f t="shared" si="110"/>
        <v>27.062999999999999</v>
      </c>
    </row>
    <row r="2359" spans="1:47" x14ac:dyDescent="0.3">
      <c r="A2359">
        <v>2357</v>
      </c>
      <c r="B2359" t="s">
        <v>9728</v>
      </c>
      <c r="C2359" t="s">
        <v>9729</v>
      </c>
      <c r="D2359">
        <v>439</v>
      </c>
      <c r="E2359" t="s">
        <v>9704</v>
      </c>
      <c r="F2359" t="str">
        <f>VLOOKUP(E2359,country_continent!A:C,2,FALSE)</f>
        <v>Burkina Faso</v>
      </c>
      <c r="G2359" t="str">
        <f>VLOOKUP(E2359,country_continent!A:C,3,FALSE)</f>
        <v>Africa</v>
      </c>
      <c r="H2359" t="s">
        <v>9492</v>
      </c>
      <c r="I2359" s="1">
        <v>41943</v>
      </c>
      <c r="J2359" s="3">
        <f t="shared" si="108"/>
        <v>41943</v>
      </c>
      <c r="K2359" s="1">
        <v>41944</v>
      </c>
      <c r="L2359" s="3">
        <f t="shared" si="109"/>
        <v>41944</v>
      </c>
      <c r="M2359" t="s">
        <v>67</v>
      </c>
      <c r="N2359" t="s">
        <v>67</v>
      </c>
      <c r="O2359" t="s">
        <v>1215</v>
      </c>
      <c r="P2359">
        <v>0</v>
      </c>
      <c r="Q2359" t="s">
        <v>50</v>
      </c>
      <c r="R2359" t="s">
        <v>51</v>
      </c>
      <c r="S2359">
        <v>1957</v>
      </c>
      <c r="T2359">
        <v>-777</v>
      </c>
      <c r="U2359" s="1">
        <v>21091</v>
      </c>
      <c r="V2359" s="2">
        <v>21091</v>
      </c>
      <c r="Z2359">
        <v>1</v>
      </c>
      <c r="AA2359">
        <v>3</v>
      </c>
      <c r="AB2359">
        <v>5</v>
      </c>
      <c r="AC2359">
        <v>0</v>
      </c>
      <c r="AF2359">
        <v>2014</v>
      </c>
      <c r="AG2359">
        <v>2014</v>
      </c>
      <c r="AO2359" t="b">
        <v>0</v>
      </c>
      <c r="AT2359">
        <v>1</v>
      </c>
      <c r="AU2359">
        <f t="shared" si="110"/>
        <v>3.0000000000000001E-3</v>
      </c>
    </row>
    <row r="2360" spans="1:47" x14ac:dyDescent="0.3">
      <c r="A2360">
        <v>2358</v>
      </c>
      <c r="B2360" t="s">
        <v>9730</v>
      </c>
      <c r="C2360" t="s">
        <v>9731</v>
      </c>
      <c r="D2360">
        <v>439</v>
      </c>
      <c r="E2360" t="s">
        <v>9704</v>
      </c>
      <c r="F2360" t="str">
        <f>VLOOKUP(E2360,country_continent!A:C,2,FALSE)</f>
        <v>Burkina Faso</v>
      </c>
      <c r="G2360" t="str">
        <f>VLOOKUP(E2360,country_continent!A:C,3,FALSE)</f>
        <v>Africa</v>
      </c>
      <c r="H2360" t="s">
        <v>9732</v>
      </c>
      <c r="I2360" s="1">
        <v>41944</v>
      </c>
      <c r="J2360" s="3">
        <f t="shared" si="108"/>
        <v>41944</v>
      </c>
      <c r="K2360" s="1">
        <v>41961</v>
      </c>
      <c r="L2360" s="3">
        <f t="shared" si="109"/>
        <v>41961</v>
      </c>
      <c r="M2360" t="s">
        <v>67</v>
      </c>
      <c r="N2360" t="s">
        <v>49</v>
      </c>
      <c r="O2360" t="s">
        <v>49</v>
      </c>
      <c r="P2360">
        <v>0</v>
      </c>
      <c r="Q2360" t="s">
        <v>50</v>
      </c>
      <c r="R2360" t="s">
        <v>51</v>
      </c>
      <c r="S2360">
        <v>1957</v>
      </c>
      <c r="T2360">
        <v>-777</v>
      </c>
      <c r="U2360" s="1">
        <v>21091</v>
      </c>
      <c r="V2360" s="2">
        <v>21091</v>
      </c>
      <c r="Z2360">
        <v>1</v>
      </c>
      <c r="AA2360">
        <v>1</v>
      </c>
      <c r="AB2360">
        <v>0</v>
      </c>
      <c r="AC2360">
        <v>0</v>
      </c>
      <c r="AF2360">
        <v>2014</v>
      </c>
      <c r="AG2360">
        <v>2014</v>
      </c>
      <c r="AO2360" t="b">
        <v>0</v>
      </c>
      <c r="AT2360">
        <v>17</v>
      </c>
      <c r="AU2360">
        <f t="shared" si="110"/>
        <v>4.7E-2</v>
      </c>
    </row>
    <row r="2361" spans="1:47" x14ac:dyDescent="0.3">
      <c r="A2361">
        <v>2359</v>
      </c>
      <c r="B2361" t="s">
        <v>9733</v>
      </c>
      <c r="C2361" t="s">
        <v>9734</v>
      </c>
      <c r="D2361">
        <v>439</v>
      </c>
      <c r="E2361" t="s">
        <v>9704</v>
      </c>
      <c r="F2361" t="str">
        <f>VLOOKUP(E2361,country_continent!A:C,2,FALSE)</f>
        <v>Burkina Faso</v>
      </c>
      <c r="G2361" t="str">
        <f>VLOOKUP(E2361,country_continent!A:C,3,FALSE)</f>
        <v>Africa</v>
      </c>
      <c r="H2361" t="s">
        <v>9735</v>
      </c>
      <c r="I2361" s="1">
        <v>41961</v>
      </c>
      <c r="J2361" s="3">
        <f t="shared" si="108"/>
        <v>41961</v>
      </c>
      <c r="K2361" s="1">
        <v>42367</v>
      </c>
      <c r="L2361" s="3">
        <f t="shared" si="109"/>
        <v>42367</v>
      </c>
      <c r="M2361" t="s">
        <v>49</v>
      </c>
      <c r="N2361" t="s">
        <v>49</v>
      </c>
      <c r="O2361" t="s">
        <v>49</v>
      </c>
      <c r="P2361">
        <v>0</v>
      </c>
      <c r="Q2361" t="s">
        <v>312</v>
      </c>
      <c r="R2361" t="s">
        <v>51</v>
      </c>
      <c r="S2361">
        <v>1957</v>
      </c>
      <c r="T2361">
        <v>-777</v>
      </c>
      <c r="U2361" s="1">
        <v>21091</v>
      </c>
      <c r="V2361" s="2">
        <v>21091</v>
      </c>
      <c r="Z2361">
        <v>0</v>
      </c>
      <c r="AA2361">
        <v>1</v>
      </c>
      <c r="AB2361">
        <v>0</v>
      </c>
      <c r="AC2361">
        <v>-999</v>
      </c>
      <c r="AF2361">
        <v>2014</v>
      </c>
      <c r="AG2361">
        <v>2015</v>
      </c>
      <c r="AO2361" t="b">
        <v>0</v>
      </c>
      <c r="AT2361">
        <v>406</v>
      </c>
      <c r="AU2361">
        <f t="shared" si="110"/>
        <v>1.1120000000000001</v>
      </c>
    </row>
    <row r="2362" spans="1:47" x14ac:dyDescent="0.3">
      <c r="A2362">
        <v>2360</v>
      </c>
      <c r="B2362" t="s">
        <v>9736</v>
      </c>
      <c r="C2362" t="s">
        <v>9737</v>
      </c>
      <c r="D2362">
        <v>439</v>
      </c>
      <c r="E2362" t="s">
        <v>9704</v>
      </c>
      <c r="F2362" t="str">
        <f>VLOOKUP(E2362,country_continent!A:C,2,FALSE)</f>
        <v>Burkina Faso</v>
      </c>
      <c r="G2362" t="str">
        <f>VLOOKUP(E2362,country_continent!A:C,3,FALSE)</f>
        <v>Africa</v>
      </c>
      <c r="H2362" t="s">
        <v>9738</v>
      </c>
      <c r="I2362" s="1">
        <v>42367</v>
      </c>
      <c r="J2362" s="3">
        <f t="shared" si="108"/>
        <v>42367</v>
      </c>
      <c r="K2362" s="1">
        <v>42369</v>
      </c>
      <c r="L2362" s="3">
        <f t="shared" si="109"/>
        <v>42369</v>
      </c>
      <c r="M2362" t="s">
        <v>49</v>
      </c>
      <c r="N2362" t="s">
        <v>173</v>
      </c>
      <c r="O2362" t="s">
        <v>173</v>
      </c>
      <c r="P2362">
        <v>0</v>
      </c>
      <c r="Q2362" t="s">
        <v>174</v>
      </c>
      <c r="R2362" t="s">
        <v>51</v>
      </c>
      <c r="S2362">
        <v>1957</v>
      </c>
      <c r="T2362">
        <v>-777</v>
      </c>
      <c r="U2362" s="1">
        <v>20935</v>
      </c>
      <c r="V2362" s="2">
        <v>20935</v>
      </c>
      <c r="Z2362">
        <v>0</v>
      </c>
      <c r="AA2362">
        <v>-888</v>
      </c>
      <c r="AB2362">
        <v>-888</v>
      </c>
      <c r="AC2362">
        <v>-888</v>
      </c>
      <c r="AF2362">
        <v>2015</v>
      </c>
      <c r="AG2362">
        <v>2015</v>
      </c>
      <c r="AO2362" t="b">
        <v>0</v>
      </c>
      <c r="AT2362">
        <v>2</v>
      </c>
      <c r="AU2362">
        <f t="shared" si="110"/>
        <v>5.0000000000000001E-3</v>
      </c>
    </row>
    <row r="2363" spans="1:47" x14ac:dyDescent="0.3">
      <c r="A2363">
        <v>2361</v>
      </c>
      <c r="B2363" t="s">
        <v>9739</v>
      </c>
      <c r="C2363" t="s">
        <v>9740</v>
      </c>
      <c r="D2363">
        <v>450</v>
      </c>
      <c r="E2363" t="s">
        <v>9741</v>
      </c>
      <c r="F2363" t="str">
        <f>VLOOKUP(E2363,country_continent!A:C,2,FALSE)</f>
        <v>Liberia</v>
      </c>
      <c r="G2363" t="str">
        <f>VLOOKUP(E2363,country_continent!A:C,3,FALSE)</f>
        <v>Africa</v>
      </c>
      <c r="H2363" t="s">
        <v>9742</v>
      </c>
      <c r="I2363" t="s">
        <v>9743</v>
      </c>
      <c r="J2363" s="3" t="str">
        <f t="shared" si="108"/>
        <v>1872/01/01</v>
      </c>
      <c r="K2363" t="s">
        <v>9744</v>
      </c>
      <c r="L2363" s="3" t="str">
        <f t="shared" si="109"/>
        <v>1875/06/27</v>
      </c>
      <c r="M2363" t="s">
        <v>67</v>
      </c>
      <c r="N2363" t="s">
        <v>228</v>
      </c>
      <c r="O2363" t="s">
        <v>49</v>
      </c>
      <c r="P2363">
        <v>1</v>
      </c>
      <c r="Q2363" t="s">
        <v>50</v>
      </c>
      <c r="R2363" t="s">
        <v>51</v>
      </c>
      <c r="S2363">
        <v>1809</v>
      </c>
      <c r="T2363">
        <v>1876</v>
      </c>
      <c r="Y2363" t="s">
        <v>9745</v>
      </c>
      <c r="Z2363">
        <v>1</v>
      </c>
      <c r="AA2363">
        <v>2.0999998999999998</v>
      </c>
      <c r="AB2363">
        <v>0</v>
      </c>
      <c r="AC2363">
        <v>0</v>
      </c>
      <c r="AF2363">
        <v>1872</v>
      </c>
      <c r="AG2363">
        <v>1875</v>
      </c>
      <c r="AO2363" t="b">
        <v>1</v>
      </c>
      <c r="AP2363" t="s">
        <v>4202</v>
      </c>
      <c r="AQ2363">
        <v>1920</v>
      </c>
      <c r="AR2363">
        <v>1960</v>
      </c>
      <c r="AS2363" t="s">
        <v>9746</v>
      </c>
      <c r="AT2363">
        <v>3.4852840520191601</v>
      </c>
      <c r="AU2363">
        <f t="shared" si="110"/>
        <v>0.01</v>
      </c>
    </row>
    <row r="2364" spans="1:47" x14ac:dyDescent="0.3">
      <c r="A2364">
        <v>2362</v>
      </c>
      <c r="B2364" t="s">
        <v>9747</v>
      </c>
      <c r="C2364" t="s">
        <v>9748</v>
      </c>
      <c r="D2364">
        <v>450</v>
      </c>
      <c r="E2364" t="s">
        <v>9741</v>
      </c>
      <c r="F2364" t="str">
        <f>VLOOKUP(E2364,country_continent!A:C,2,FALSE)</f>
        <v>Liberia</v>
      </c>
      <c r="G2364" t="str">
        <f>VLOOKUP(E2364,country_continent!A:C,3,FALSE)</f>
        <v>Africa</v>
      </c>
      <c r="H2364" t="s">
        <v>9749</v>
      </c>
      <c r="I2364" t="s">
        <v>9744</v>
      </c>
      <c r="J2364" s="3" t="str">
        <f t="shared" si="108"/>
        <v>1875/06/27</v>
      </c>
      <c r="K2364" t="s">
        <v>9750</v>
      </c>
      <c r="L2364" s="3" t="str">
        <f t="shared" si="109"/>
        <v>1876/01/03</v>
      </c>
      <c r="M2364" t="s">
        <v>49</v>
      </c>
      <c r="N2364" t="s">
        <v>49</v>
      </c>
      <c r="O2364" t="s">
        <v>49</v>
      </c>
      <c r="P2364">
        <v>0</v>
      </c>
      <c r="Q2364" t="s">
        <v>50</v>
      </c>
      <c r="R2364" t="s">
        <v>51</v>
      </c>
      <c r="S2364">
        <v>1820</v>
      </c>
      <c r="T2364">
        <v>1885</v>
      </c>
      <c r="Z2364">
        <v>0</v>
      </c>
      <c r="AA2364">
        <v>1</v>
      </c>
      <c r="AB2364">
        <v>0</v>
      </c>
      <c r="AC2364">
        <v>0</v>
      </c>
      <c r="AF2364">
        <v>1875</v>
      </c>
      <c r="AG2364">
        <v>1876</v>
      </c>
      <c r="AO2364" t="b">
        <v>1</v>
      </c>
      <c r="AP2364" t="s">
        <v>4202</v>
      </c>
      <c r="AQ2364">
        <v>1920</v>
      </c>
      <c r="AR2364">
        <v>1960</v>
      </c>
      <c r="AS2364" t="s">
        <v>9751</v>
      </c>
      <c r="AT2364">
        <v>0.520191649555099</v>
      </c>
      <c r="AU2364">
        <f t="shared" si="110"/>
        <v>1E-3</v>
      </c>
    </row>
    <row r="2365" spans="1:47" x14ac:dyDescent="0.3">
      <c r="A2365">
        <v>2363</v>
      </c>
      <c r="B2365" t="s">
        <v>9752</v>
      </c>
      <c r="C2365" t="s">
        <v>9753</v>
      </c>
      <c r="D2365">
        <v>450</v>
      </c>
      <c r="E2365" t="s">
        <v>9741</v>
      </c>
      <c r="F2365" t="str">
        <f>VLOOKUP(E2365,country_continent!A:C,2,FALSE)</f>
        <v>Liberia</v>
      </c>
      <c r="G2365" t="str">
        <f>VLOOKUP(E2365,country_continent!A:C,3,FALSE)</f>
        <v>Africa</v>
      </c>
      <c r="H2365" t="s">
        <v>9754</v>
      </c>
      <c r="I2365" t="s">
        <v>9750</v>
      </c>
      <c r="J2365" s="3" t="str">
        <f t="shared" si="108"/>
        <v>1876/01/03</v>
      </c>
      <c r="K2365" t="s">
        <v>9755</v>
      </c>
      <c r="L2365" s="3" t="str">
        <f t="shared" si="109"/>
        <v>1878/01/07</v>
      </c>
      <c r="M2365" t="s">
        <v>49</v>
      </c>
      <c r="N2365" t="s">
        <v>49</v>
      </c>
      <c r="O2365" t="s">
        <v>49</v>
      </c>
      <c r="P2365">
        <v>1</v>
      </c>
      <c r="Q2365" t="s">
        <v>50</v>
      </c>
      <c r="R2365" t="s">
        <v>51</v>
      </c>
      <c r="S2365">
        <v>1819</v>
      </c>
      <c r="T2365">
        <v>1882</v>
      </c>
      <c r="Y2365" t="s">
        <v>9756</v>
      </c>
      <c r="Z2365">
        <v>0</v>
      </c>
      <c r="AA2365">
        <v>1</v>
      </c>
      <c r="AB2365">
        <v>0</v>
      </c>
      <c r="AC2365">
        <v>0</v>
      </c>
      <c r="AF2365">
        <v>1876</v>
      </c>
      <c r="AG2365">
        <v>1878</v>
      </c>
      <c r="AO2365" t="b">
        <v>1</v>
      </c>
      <c r="AP2365" t="s">
        <v>4202</v>
      </c>
      <c r="AQ2365">
        <v>1920</v>
      </c>
      <c r="AR2365">
        <v>1960</v>
      </c>
      <c r="AS2365" t="s">
        <v>9757</v>
      </c>
      <c r="AT2365">
        <v>2.0123203285420899</v>
      </c>
      <c r="AU2365">
        <f t="shared" si="110"/>
        <v>6.0000000000000001E-3</v>
      </c>
    </row>
    <row r="2366" spans="1:47" x14ac:dyDescent="0.3">
      <c r="A2366">
        <v>2364</v>
      </c>
      <c r="B2366" t="s">
        <v>9758</v>
      </c>
      <c r="C2366" t="s">
        <v>9748</v>
      </c>
      <c r="D2366">
        <v>450</v>
      </c>
      <c r="E2366" t="s">
        <v>9741</v>
      </c>
      <c r="F2366" t="str">
        <f>VLOOKUP(E2366,country_continent!A:C,2,FALSE)</f>
        <v>Liberia</v>
      </c>
      <c r="G2366" t="str">
        <f>VLOOKUP(E2366,country_continent!A:C,3,FALSE)</f>
        <v>Africa</v>
      </c>
      <c r="H2366" t="s">
        <v>9749</v>
      </c>
      <c r="I2366" t="s">
        <v>9755</v>
      </c>
      <c r="J2366" s="3" t="str">
        <f t="shared" si="108"/>
        <v>1878/01/07</v>
      </c>
      <c r="K2366" t="s">
        <v>9759</v>
      </c>
      <c r="L2366" s="3" t="str">
        <f t="shared" si="109"/>
        <v>1883/01/20</v>
      </c>
      <c r="M2366" t="s">
        <v>49</v>
      </c>
      <c r="N2366" t="s">
        <v>49</v>
      </c>
      <c r="O2366" t="s">
        <v>49</v>
      </c>
      <c r="P2366">
        <v>1</v>
      </c>
      <c r="Q2366" t="s">
        <v>50</v>
      </c>
      <c r="R2366" t="s">
        <v>51</v>
      </c>
      <c r="S2366">
        <v>1820</v>
      </c>
      <c r="T2366">
        <v>1882</v>
      </c>
      <c r="Z2366">
        <v>0</v>
      </c>
      <c r="AA2366">
        <v>1</v>
      </c>
      <c r="AB2366">
        <v>0</v>
      </c>
      <c r="AC2366">
        <v>0</v>
      </c>
      <c r="AF2366">
        <v>1878</v>
      </c>
      <c r="AG2366">
        <v>1883</v>
      </c>
      <c r="AO2366" t="b">
        <v>1</v>
      </c>
      <c r="AP2366" t="s">
        <v>4202</v>
      </c>
      <c r="AQ2366">
        <v>1920</v>
      </c>
      <c r="AR2366">
        <v>1960</v>
      </c>
      <c r="AS2366" t="s">
        <v>9760</v>
      </c>
      <c r="AT2366">
        <v>5.0349075975359296</v>
      </c>
      <c r="AU2366">
        <f t="shared" si="110"/>
        <v>1.4E-2</v>
      </c>
    </row>
    <row r="2367" spans="1:47" x14ac:dyDescent="0.3">
      <c r="A2367">
        <v>2365</v>
      </c>
      <c r="B2367" t="s">
        <v>9761</v>
      </c>
      <c r="C2367" t="s">
        <v>9762</v>
      </c>
      <c r="D2367">
        <v>450</v>
      </c>
      <c r="E2367" t="s">
        <v>9741</v>
      </c>
      <c r="F2367" t="str">
        <f>VLOOKUP(E2367,country_continent!A:C,2,FALSE)</f>
        <v>Liberia</v>
      </c>
      <c r="G2367" t="str">
        <f>VLOOKUP(E2367,country_continent!A:C,3,FALSE)</f>
        <v>Africa</v>
      </c>
      <c r="H2367" t="s">
        <v>9763</v>
      </c>
      <c r="I2367" t="s">
        <v>9759</v>
      </c>
      <c r="J2367" s="3" t="str">
        <f t="shared" si="108"/>
        <v>1883/01/20</v>
      </c>
      <c r="K2367" t="s">
        <v>9764</v>
      </c>
      <c r="L2367" s="3" t="str">
        <f t="shared" si="109"/>
        <v>1884/01/07</v>
      </c>
      <c r="M2367" t="s">
        <v>49</v>
      </c>
      <c r="N2367" t="s">
        <v>49</v>
      </c>
      <c r="O2367" t="s">
        <v>49</v>
      </c>
      <c r="P2367">
        <v>0</v>
      </c>
      <c r="Q2367" t="s">
        <v>111</v>
      </c>
      <c r="R2367" t="s">
        <v>51</v>
      </c>
      <c r="S2367">
        <v>1817</v>
      </c>
      <c r="T2367">
        <v>1884</v>
      </c>
      <c r="Y2367" t="s">
        <v>9765</v>
      </c>
      <c r="Z2367">
        <v>0</v>
      </c>
      <c r="AA2367">
        <v>1</v>
      </c>
      <c r="AB2367">
        <v>0</v>
      </c>
      <c r="AC2367">
        <v>-777</v>
      </c>
      <c r="AF2367">
        <v>1883</v>
      </c>
      <c r="AG2367">
        <v>1884</v>
      </c>
      <c r="AO2367" t="b">
        <v>1</v>
      </c>
      <c r="AP2367" t="s">
        <v>4202</v>
      </c>
      <c r="AQ2367">
        <v>1920</v>
      </c>
      <c r="AR2367">
        <v>1960</v>
      </c>
      <c r="AS2367" t="s">
        <v>9766</v>
      </c>
      <c r="AT2367">
        <v>0.96372347707049899</v>
      </c>
      <c r="AU2367">
        <f t="shared" si="110"/>
        <v>3.0000000000000001E-3</v>
      </c>
    </row>
    <row r="2368" spans="1:47" x14ac:dyDescent="0.3">
      <c r="A2368">
        <v>2366</v>
      </c>
      <c r="B2368" t="s">
        <v>9767</v>
      </c>
      <c r="C2368" t="s">
        <v>9768</v>
      </c>
      <c r="D2368">
        <v>450</v>
      </c>
      <c r="E2368" t="s">
        <v>9741</v>
      </c>
      <c r="F2368" t="str">
        <f>VLOOKUP(E2368,country_continent!A:C,2,FALSE)</f>
        <v>Liberia</v>
      </c>
      <c r="G2368" t="str">
        <f>VLOOKUP(E2368,country_continent!A:C,3,FALSE)</f>
        <v>Africa</v>
      </c>
      <c r="H2368" t="s">
        <v>9769</v>
      </c>
      <c r="I2368" t="s">
        <v>9764</v>
      </c>
      <c r="J2368" s="3" t="str">
        <f t="shared" si="108"/>
        <v>1884/01/07</v>
      </c>
      <c r="K2368" t="s">
        <v>9770</v>
      </c>
      <c r="L2368" s="3" t="str">
        <f t="shared" si="109"/>
        <v>1892/01/04</v>
      </c>
      <c r="M2368" t="s">
        <v>49</v>
      </c>
      <c r="N2368" t="s">
        <v>49</v>
      </c>
      <c r="O2368" t="s">
        <v>49</v>
      </c>
      <c r="P2368">
        <v>0</v>
      </c>
      <c r="Q2368" t="s">
        <v>50</v>
      </c>
      <c r="R2368" t="s">
        <v>51</v>
      </c>
      <c r="S2368">
        <v>1837</v>
      </c>
      <c r="T2368">
        <v>1901</v>
      </c>
      <c r="Z2368">
        <v>0</v>
      </c>
      <c r="AA2368">
        <v>1</v>
      </c>
      <c r="AB2368">
        <v>0</v>
      </c>
      <c r="AC2368">
        <v>0</v>
      </c>
      <c r="AF2368">
        <v>1884</v>
      </c>
      <c r="AG2368">
        <v>1892</v>
      </c>
      <c r="AO2368" t="b">
        <v>1</v>
      </c>
      <c r="AP2368" t="s">
        <v>4202</v>
      </c>
      <c r="AQ2368">
        <v>1920</v>
      </c>
      <c r="AR2368">
        <v>1960</v>
      </c>
      <c r="AS2368" t="s">
        <v>9771</v>
      </c>
      <c r="AT2368">
        <v>7.9917864476386002</v>
      </c>
      <c r="AU2368">
        <f t="shared" si="110"/>
        <v>2.1999999999999999E-2</v>
      </c>
    </row>
    <row r="2369" spans="1:47" x14ac:dyDescent="0.3">
      <c r="A2369">
        <v>2367</v>
      </c>
      <c r="B2369" t="s">
        <v>9772</v>
      </c>
      <c r="C2369" t="s">
        <v>9773</v>
      </c>
      <c r="D2369">
        <v>450</v>
      </c>
      <c r="E2369" t="s">
        <v>9741</v>
      </c>
      <c r="F2369" t="str">
        <f>VLOOKUP(E2369,country_continent!A:C,2,FALSE)</f>
        <v>Liberia</v>
      </c>
      <c r="G2369" t="str">
        <f>VLOOKUP(E2369,country_continent!A:C,3,FALSE)</f>
        <v>Africa</v>
      </c>
      <c r="H2369" t="s">
        <v>9774</v>
      </c>
      <c r="I2369" t="s">
        <v>9770</v>
      </c>
      <c r="J2369" s="3" t="str">
        <f t="shared" si="108"/>
        <v>1892/01/04</v>
      </c>
      <c r="K2369" t="s">
        <v>9775</v>
      </c>
      <c r="L2369" s="3" t="str">
        <f t="shared" si="109"/>
        <v>1896/11/12</v>
      </c>
      <c r="M2369" t="s">
        <v>49</v>
      </c>
      <c r="N2369" t="s">
        <v>110</v>
      </c>
      <c r="O2369" t="s">
        <v>49</v>
      </c>
      <c r="P2369">
        <v>0</v>
      </c>
      <c r="Q2369" t="s">
        <v>111</v>
      </c>
      <c r="R2369" t="s">
        <v>51</v>
      </c>
      <c r="S2369">
        <v>1843</v>
      </c>
      <c r="T2369">
        <v>1896</v>
      </c>
      <c r="Z2369">
        <v>0</v>
      </c>
      <c r="AA2369">
        <v>2</v>
      </c>
      <c r="AB2369">
        <v>0</v>
      </c>
      <c r="AC2369">
        <v>-777</v>
      </c>
      <c r="AF2369">
        <v>1892</v>
      </c>
      <c r="AG2369">
        <v>1896</v>
      </c>
      <c r="AO2369" t="b">
        <v>1</v>
      </c>
      <c r="AP2369" t="s">
        <v>4202</v>
      </c>
      <c r="AQ2369">
        <v>1920</v>
      </c>
      <c r="AR2369">
        <v>1960</v>
      </c>
      <c r="AS2369" t="s">
        <v>9776</v>
      </c>
      <c r="AT2369">
        <v>4.8569472963723399</v>
      </c>
      <c r="AU2369">
        <f t="shared" si="110"/>
        <v>1.2999999999999999E-2</v>
      </c>
    </row>
    <row r="2370" spans="1:47" x14ac:dyDescent="0.3">
      <c r="A2370">
        <v>2368</v>
      </c>
      <c r="B2370" t="s">
        <v>9777</v>
      </c>
      <c r="C2370" t="s">
        <v>9778</v>
      </c>
      <c r="D2370">
        <v>450</v>
      </c>
      <c r="E2370" t="s">
        <v>9741</v>
      </c>
      <c r="F2370" t="str">
        <f>VLOOKUP(E2370,country_continent!A:C,2,FALSE)</f>
        <v>Liberia</v>
      </c>
      <c r="G2370" t="str">
        <f>VLOOKUP(E2370,country_continent!A:C,3,FALSE)</f>
        <v>Africa</v>
      </c>
      <c r="H2370" t="s">
        <v>9779</v>
      </c>
      <c r="I2370" t="s">
        <v>9775</v>
      </c>
      <c r="J2370" s="3" t="str">
        <f t="shared" si="108"/>
        <v>1896/11/12</v>
      </c>
      <c r="K2370" s="1">
        <v>346</v>
      </c>
      <c r="L2370" s="3">
        <f t="shared" si="109"/>
        <v>346</v>
      </c>
      <c r="M2370" t="s">
        <v>49</v>
      </c>
      <c r="N2370" t="s">
        <v>49</v>
      </c>
      <c r="O2370" t="s">
        <v>49</v>
      </c>
      <c r="P2370">
        <v>0</v>
      </c>
      <c r="Q2370" t="s">
        <v>50</v>
      </c>
      <c r="R2370" t="s">
        <v>51</v>
      </c>
      <c r="S2370">
        <v>1842</v>
      </c>
      <c r="T2370">
        <v>1908</v>
      </c>
      <c r="U2370" t="s">
        <v>9780</v>
      </c>
      <c r="V2370" t="s">
        <v>9781</v>
      </c>
      <c r="Z2370">
        <v>0</v>
      </c>
      <c r="AA2370">
        <v>1</v>
      </c>
      <c r="AB2370">
        <v>0</v>
      </c>
      <c r="AC2370">
        <v>0</v>
      </c>
      <c r="AF2370">
        <v>1896</v>
      </c>
      <c r="AG2370">
        <v>1900</v>
      </c>
      <c r="AO2370" t="b">
        <v>1</v>
      </c>
      <c r="AP2370" t="s">
        <v>4202</v>
      </c>
      <c r="AQ2370">
        <v>1920</v>
      </c>
      <c r="AR2370">
        <v>1960</v>
      </c>
      <c r="AS2370" t="s">
        <v>9782</v>
      </c>
      <c r="AT2370">
        <v>4.0766598220396899</v>
      </c>
      <c r="AU2370">
        <f t="shared" si="110"/>
        <v>1.0999999999999999E-2</v>
      </c>
    </row>
    <row r="2371" spans="1:47" x14ac:dyDescent="0.3">
      <c r="A2371">
        <v>2369</v>
      </c>
      <c r="B2371" t="s">
        <v>9783</v>
      </c>
      <c r="C2371" t="s">
        <v>9784</v>
      </c>
      <c r="D2371">
        <v>450</v>
      </c>
      <c r="E2371" t="s">
        <v>9741</v>
      </c>
      <c r="F2371" t="str">
        <f>VLOOKUP(E2371,country_continent!A:C,2,FALSE)</f>
        <v>Liberia</v>
      </c>
      <c r="G2371" t="str">
        <f>VLOOKUP(E2371,country_continent!A:C,3,FALSE)</f>
        <v>Africa</v>
      </c>
      <c r="H2371" t="s">
        <v>9785</v>
      </c>
      <c r="I2371" s="1">
        <v>346</v>
      </c>
      <c r="J2371" s="3">
        <f t="shared" ref="J2371:J2434" si="111">IF(ISNUMBER(SEARCH("-", I2371)), SUBSTITUTE(I2371, "-", "/"), I2371)</f>
        <v>346</v>
      </c>
      <c r="K2371" s="1">
        <v>1465</v>
      </c>
      <c r="L2371" s="3">
        <f t="shared" ref="L2371:L2434" si="112">IF(ISNUMBER(SEARCH("-", K2371)), SUBSTITUTE(K2371, "-", "/"), K2371)</f>
        <v>1465</v>
      </c>
      <c r="M2371" t="s">
        <v>49</v>
      </c>
      <c r="N2371" t="s">
        <v>49</v>
      </c>
      <c r="O2371" t="s">
        <v>49</v>
      </c>
      <c r="P2371">
        <v>0</v>
      </c>
      <c r="Q2371" t="s">
        <v>50</v>
      </c>
      <c r="R2371" t="s">
        <v>51</v>
      </c>
      <c r="S2371">
        <v>1832</v>
      </c>
      <c r="T2371">
        <v>1910</v>
      </c>
      <c r="U2371" t="s">
        <v>9786</v>
      </c>
      <c r="V2371" t="s">
        <v>9787</v>
      </c>
      <c r="Y2371" t="s">
        <v>9788</v>
      </c>
      <c r="Z2371">
        <v>0</v>
      </c>
      <c r="AA2371">
        <v>1</v>
      </c>
      <c r="AB2371">
        <v>0</v>
      </c>
      <c r="AC2371">
        <v>0</v>
      </c>
      <c r="AF2371">
        <v>1900</v>
      </c>
      <c r="AG2371">
        <v>1904</v>
      </c>
      <c r="AO2371" t="b">
        <v>1</v>
      </c>
      <c r="AP2371" t="s">
        <v>4202</v>
      </c>
      <c r="AQ2371">
        <v>1920</v>
      </c>
      <c r="AR2371">
        <v>1960</v>
      </c>
      <c r="AS2371" t="s">
        <v>9789</v>
      </c>
      <c r="AT2371">
        <v>3.0636550308008199</v>
      </c>
      <c r="AU2371">
        <f t="shared" si="110"/>
        <v>8.0000000000000002E-3</v>
      </c>
    </row>
    <row r="2372" spans="1:47" x14ac:dyDescent="0.3">
      <c r="A2372">
        <v>2370</v>
      </c>
      <c r="B2372" t="s">
        <v>9790</v>
      </c>
      <c r="C2372" t="s">
        <v>9791</v>
      </c>
      <c r="D2372">
        <v>450</v>
      </c>
      <c r="E2372" t="s">
        <v>9741</v>
      </c>
      <c r="F2372" t="str">
        <f>VLOOKUP(E2372,country_continent!A:C,2,FALSE)</f>
        <v>Liberia</v>
      </c>
      <c r="G2372" t="str">
        <f>VLOOKUP(E2372,country_continent!A:C,3,FALSE)</f>
        <v>Africa</v>
      </c>
      <c r="H2372" t="s">
        <v>9792</v>
      </c>
      <c r="I2372" s="1">
        <v>1465</v>
      </c>
      <c r="J2372" s="3">
        <f t="shared" si="111"/>
        <v>1465</v>
      </c>
      <c r="K2372" s="1">
        <v>4384</v>
      </c>
      <c r="L2372" s="3">
        <f t="shared" si="112"/>
        <v>4384</v>
      </c>
      <c r="M2372" t="s">
        <v>49</v>
      </c>
      <c r="N2372" t="s">
        <v>49</v>
      </c>
      <c r="O2372" t="s">
        <v>49</v>
      </c>
      <c r="P2372">
        <v>0</v>
      </c>
      <c r="Q2372" t="s">
        <v>50</v>
      </c>
      <c r="R2372" t="s">
        <v>51</v>
      </c>
      <c r="S2372">
        <v>1854</v>
      </c>
      <c r="T2372">
        <v>1938</v>
      </c>
      <c r="U2372" t="s">
        <v>9793</v>
      </c>
      <c r="V2372" t="s">
        <v>9794</v>
      </c>
      <c r="Y2372" t="s">
        <v>9795</v>
      </c>
      <c r="Z2372">
        <v>0</v>
      </c>
      <c r="AA2372">
        <v>1</v>
      </c>
      <c r="AB2372">
        <v>0</v>
      </c>
      <c r="AC2372">
        <v>0</v>
      </c>
      <c r="AD2372" t="s">
        <v>9796</v>
      </c>
      <c r="AE2372">
        <v>0</v>
      </c>
      <c r="AF2372">
        <v>1904</v>
      </c>
      <c r="AG2372">
        <v>1912</v>
      </c>
      <c r="AO2372" t="b">
        <v>1</v>
      </c>
      <c r="AP2372" t="s">
        <v>4202</v>
      </c>
      <c r="AQ2372">
        <v>1920</v>
      </c>
      <c r="AR2372">
        <v>1960</v>
      </c>
      <c r="AS2372" t="s">
        <v>9771</v>
      </c>
      <c r="AT2372">
        <v>7.9917864476386002</v>
      </c>
      <c r="AU2372">
        <f t="shared" ref="AU2372:AU2435" si="113">ROUND(AT2372/365,3)</f>
        <v>2.1999999999999999E-2</v>
      </c>
    </row>
    <row r="2373" spans="1:47" x14ac:dyDescent="0.3">
      <c r="A2373">
        <v>2371</v>
      </c>
      <c r="B2373" t="s">
        <v>9797</v>
      </c>
      <c r="C2373" t="s">
        <v>9798</v>
      </c>
      <c r="D2373">
        <v>450</v>
      </c>
      <c r="E2373" t="s">
        <v>9741</v>
      </c>
      <c r="F2373" t="str">
        <f>VLOOKUP(E2373,country_continent!A:C,2,FALSE)</f>
        <v>Liberia</v>
      </c>
      <c r="G2373" t="str">
        <f>VLOOKUP(E2373,country_continent!A:C,3,FALSE)</f>
        <v>Africa</v>
      </c>
      <c r="H2373" t="s">
        <v>9799</v>
      </c>
      <c r="I2373" s="1">
        <v>4384</v>
      </c>
      <c r="J2373" s="3">
        <f t="shared" si="111"/>
        <v>4384</v>
      </c>
      <c r="K2373" s="1">
        <v>7310</v>
      </c>
      <c r="L2373" s="3">
        <f t="shared" si="112"/>
        <v>7310</v>
      </c>
      <c r="M2373" t="s">
        <v>49</v>
      </c>
      <c r="N2373" t="s">
        <v>49</v>
      </c>
      <c r="O2373" t="s">
        <v>49</v>
      </c>
      <c r="P2373">
        <v>0</v>
      </c>
      <c r="Q2373" t="s">
        <v>50</v>
      </c>
      <c r="R2373" t="s">
        <v>51</v>
      </c>
      <c r="S2373">
        <v>1861</v>
      </c>
      <c r="T2373">
        <v>1935</v>
      </c>
      <c r="U2373" t="s">
        <v>9800</v>
      </c>
      <c r="V2373" t="s">
        <v>9801</v>
      </c>
      <c r="Y2373" t="s">
        <v>9802</v>
      </c>
      <c r="Z2373">
        <v>0</v>
      </c>
      <c r="AA2373">
        <v>1</v>
      </c>
      <c r="AB2373">
        <v>0</v>
      </c>
      <c r="AC2373">
        <v>0</v>
      </c>
      <c r="AF2373">
        <v>1912</v>
      </c>
      <c r="AG2373">
        <v>1920</v>
      </c>
      <c r="AO2373" t="b">
        <v>1</v>
      </c>
      <c r="AP2373" t="s">
        <v>4202</v>
      </c>
      <c r="AQ2373">
        <v>1920</v>
      </c>
      <c r="AR2373">
        <v>1960</v>
      </c>
      <c r="AS2373" t="s">
        <v>9803</v>
      </c>
      <c r="AT2373">
        <v>8.0109514031485194</v>
      </c>
      <c r="AU2373">
        <f t="shared" si="113"/>
        <v>2.1999999999999999E-2</v>
      </c>
    </row>
    <row r="2374" spans="1:47" x14ac:dyDescent="0.3">
      <c r="A2374">
        <v>2372</v>
      </c>
      <c r="B2374" t="s">
        <v>9804</v>
      </c>
      <c r="C2374" t="s">
        <v>9805</v>
      </c>
      <c r="D2374">
        <v>450</v>
      </c>
      <c r="E2374" t="s">
        <v>9741</v>
      </c>
      <c r="F2374" t="str">
        <f>VLOOKUP(E2374,country_continent!A:C,2,FALSE)</f>
        <v>Liberia</v>
      </c>
      <c r="G2374" t="str">
        <f>VLOOKUP(E2374,country_continent!A:C,3,FALSE)</f>
        <v>Africa</v>
      </c>
      <c r="H2374" t="s">
        <v>9806</v>
      </c>
      <c r="I2374" s="1">
        <v>7310</v>
      </c>
      <c r="J2374" s="3">
        <f t="shared" si="111"/>
        <v>7310</v>
      </c>
      <c r="K2374" s="1">
        <v>11295</v>
      </c>
      <c r="L2374" s="3">
        <f t="shared" si="112"/>
        <v>11295</v>
      </c>
      <c r="M2374" t="s">
        <v>49</v>
      </c>
      <c r="N2374" t="s">
        <v>49</v>
      </c>
      <c r="O2374" t="s">
        <v>49</v>
      </c>
      <c r="P2374">
        <v>0</v>
      </c>
      <c r="Q2374" t="s">
        <v>50</v>
      </c>
      <c r="R2374" t="s">
        <v>51</v>
      </c>
      <c r="S2374">
        <v>1875</v>
      </c>
      <c r="T2374">
        <v>1961</v>
      </c>
      <c r="Z2374">
        <v>0</v>
      </c>
      <c r="AA2374">
        <v>1</v>
      </c>
      <c r="AB2374">
        <v>0</v>
      </c>
      <c r="AC2374">
        <v>0</v>
      </c>
      <c r="AF2374">
        <v>1920</v>
      </c>
      <c r="AG2374">
        <v>1930</v>
      </c>
      <c r="AO2374" t="b">
        <v>1</v>
      </c>
      <c r="AP2374" t="s">
        <v>4202</v>
      </c>
      <c r="AQ2374">
        <v>1920</v>
      </c>
      <c r="AR2374">
        <v>1960</v>
      </c>
      <c r="AS2374" t="s">
        <v>9807</v>
      </c>
      <c r="AT2374">
        <v>10.9103353867214</v>
      </c>
      <c r="AU2374">
        <f t="shared" si="113"/>
        <v>0.03</v>
      </c>
    </row>
    <row r="2375" spans="1:47" x14ac:dyDescent="0.3">
      <c r="A2375">
        <v>2373</v>
      </c>
      <c r="B2375" t="s">
        <v>9808</v>
      </c>
      <c r="C2375" t="s">
        <v>9809</v>
      </c>
      <c r="D2375">
        <v>450</v>
      </c>
      <c r="E2375" t="s">
        <v>9741</v>
      </c>
      <c r="F2375" t="str">
        <f>VLOOKUP(E2375,country_continent!A:C,2,FALSE)</f>
        <v>Liberia</v>
      </c>
      <c r="G2375" t="str">
        <f>VLOOKUP(E2375,country_continent!A:C,3,FALSE)</f>
        <v>Africa</v>
      </c>
      <c r="H2375" t="s">
        <v>9810</v>
      </c>
      <c r="I2375" s="1">
        <v>11295</v>
      </c>
      <c r="J2375" s="3">
        <f t="shared" si="111"/>
        <v>11295</v>
      </c>
      <c r="K2375" s="1">
        <v>16071</v>
      </c>
      <c r="L2375" s="3">
        <f t="shared" si="112"/>
        <v>16071</v>
      </c>
      <c r="M2375" t="s">
        <v>49</v>
      </c>
      <c r="N2375" t="s">
        <v>49</v>
      </c>
      <c r="O2375" t="s">
        <v>49</v>
      </c>
      <c r="P2375">
        <v>0</v>
      </c>
      <c r="Q2375" t="s">
        <v>50</v>
      </c>
      <c r="R2375" t="s">
        <v>51</v>
      </c>
      <c r="S2375">
        <v>1882</v>
      </c>
      <c r="T2375">
        <v>1955</v>
      </c>
      <c r="U2375" t="s">
        <v>9811</v>
      </c>
      <c r="V2375" t="s">
        <v>9812</v>
      </c>
      <c r="Z2375">
        <v>0</v>
      </c>
      <c r="AA2375">
        <v>1</v>
      </c>
      <c r="AB2375">
        <v>0</v>
      </c>
      <c r="AC2375">
        <v>0</v>
      </c>
      <c r="AD2375" t="s">
        <v>9813</v>
      </c>
      <c r="AE2375">
        <v>1</v>
      </c>
      <c r="AF2375">
        <v>1930</v>
      </c>
      <c r="AG2375">
        <v>1943</v>
      </c>
      <c r="AO2375" t="b">
        <v>1</v>
      </c>
      <c r="AP2375" t="s">
        <v>4202</v>
      </c>
      <c r="AQ2375">
        <v>1920</v>
      </c>
      <c r="AR2375">
        <v>1960</v>
      </c>
      <c r="AS2375" t="s">
        <v>9814</v>
      </c>
      <c r="AT2375">
        <v>13.0759753593429</v>
      </c>
      <c r="AU2375">
        <f t="shared" si="113"/>
        <v>3.5999999999999997E-2</v>
      </c>
    </row>
    <row r="2376" spans="1:47" x14ac:dyDescent="0.3">
      <c r="A2376">
        <v>2374</v>
      </c>
      <c r="B2376" t="s">
        <v>9815</v>
      </c>
      <c r="C2376" t="s">
        <v>9816</v>
      </c>
      <c r="D2376">
        <v>450</v>
      </c>
      <c r="E2376" t="s">
        <v>9741</v>
      </c>
      <c r="F2376" t="str">
        <f>VLOOKUP(E2376,country_continent!A:C,2,FALSE)</f>
        <v>Liberia</v>
      </c>
      <c r="G2376" t="str">
        <f>VLOOKUP(E2376,country_continent!A:C,3,FALSE)</f>
        <v>Africa</v>
      </c>
      <c r="H2376" t="s">
        <v>9817</v>
      </c>
      <c r="I2376" s="1">
        <v>16072</v>
      </c>
      <c r="J2376" s="3">
        <f t="shared" si="111"/>
        <v>16072</v>
      </c>
      <c r="K2376" s="1">
        <v>26137</v>
      </c>
      <c r="L2376" s="3">
        <f t="shared" si="112"/>
        <v>26137</v>
      </c>
      <c r="M2376" t="s">
        <v>49</v>
      </c>
      <c r="N2376" t="s">
        <v>110</v>
      </c>
      <c r="O2376" t="s">
        <v>49</v>
      </c>
      <c r="P2376">
        <v>0</v>
      </c>
      <c r="Q2376" t="s">
        <v>111</v>
      </c>
      <c r="R2376" t="s">
        <v>51</v>
      </c>
      <c r="S2376">
        <v>1895</v>
      </c>
      <c r="T2376">
        <v>1971</v>
      </c>
      <c r="U2376" t="s">
        <v>9818</v>
      </c>
      <c r="V2376" t="s">
        <v>9819</v>
      </c>
      <c r="Y2376" t="s">
        <v>9820</v>
      </c>
      <c r="Z2376">
        <v>0</v>
      </c>
      <c r="AA2376">
        <v>2</v>
      </c>
      <c r="AB2376">
        <v>0</v>
      </c>
      <c r="AC2376">
        <v>-777</v>
      </c>
      <c r="AF2376">
        <v>1944</v>
      </c>
      <c r="AG2376">
        <v>1971</v>
      </c>
      <c r="AH2376">
        <v>2.3014040266591702</v>
      </c>
      <c r="AI2376">
        <v>206</v>
      </c>
      <c r="AJ2376">
        <v>0.56301616636388196</v>
      </c>
      <c r="AK2376">
        <v>303.24166666666599</v>
      </c>
      <c r="AL2376">
        <v>2.52336858904496</v>
      </c>
      <c r="AN2376">
        <v>-6</v>
      </c>
      <c r="AO2376" t="b">
        <v>1</v>
      </c>
      <c r="AP2376" t="s">
        <v>4202</v>
      </c>
      <c r="AQ2376">
        <v>1920</v>
      </c>
      <c r="AR2376">
        <v>1960</v>
      </c>
      <c r="AS2376" t="s">
        <v>9821</v>
      </c>
      <c r="AT2376">
        <v>27.5564681724846</v>
      </c>
      <c r="AU2376">
        <f t="shared" si="113"/>
        <v>7.4999999999999997E-2</v>
      </c>
    </row>
    <row r="2377" spans="1:47" x14ac:dyDescent="0.3">
      <c r="A2377">
        <v>2375</v>
      </c>
      <c r="B2377" t="s">
        <v>9822</v>
      </c>
      <c r="C2377" t="s">
        <v>9823</v>
      </c>
      <c r="D2377">
        <v>450</v>
      </c>
      <c r="E2377" t="s">
        <v>9741</v>
      </c>
      <c r="F2377" t="str">
        <f>VLOOKUP(E2377,country_continent!A:C,2,FALSE)</f>
        <v>Liberia</v>
      </c>
      <c r="G2377" t="str">
        <f>VLOOKUP(E2377,country_continent!A:C,3,FALSE)</f>
        <v>Africa</v>
      </c>
      <c r="H2377" t="s">
        <v>9824</v>
      </c>
      <c r="I2377" s="1">
        <v>26137</v>
      </c>
      <c r="J2377" s="3">
        <f t="shared" si="111"/>
        <v>26137</v>
      </c>
      <c r="K2377" s="1">
        <v>29323</v>
      </c>
      <c r="L2377" s="3">
        <f t="shared" si="112"/>
        <v>29323</v>
      </c>
      <c r="M2377" t="s">
        <v>49</v>
      </c>
      <c r="N2377" t="s">
        <v>67</v>
      </c>
      <c r="O2377" t="s">
        <v>376</v>
      </c>
      <c r="P2377">
        <v>0</v>
      </c>
      <c r="Q2377" t="s">
        <v>69</v>
      </c>
      <c r="R2377" t="s">
        <v>51</v>
      </c>
      <c r="S2377">
        <v>1913</v>
      </c>
      <c r="T2377">
        <v>1980</v>
      </c>
      <c r="U2377" s="1">
        <v>4882</v>
      </c>
      <c r="V2377" s="2">
        <v>4882</v>
      </c>
      <c r="Z2377">
        <v>0</v>
      </c>
      <c r="AA2377">
        <v>3</v>
      </c>
      <c r="AB2377">
        <v>6</v>
      </c>
      <c r="AC2377">
        <v>3</v>
      </c>
      <c r="AF2377">
        <v>1971</v>
      </c>
      <c r="AG2377">
        <v>1980</v>
      </c>
      <c r="AH2377">
        <v>-0.85842455125235995</v>
      </c>
      <c r="AI2377">
        <v>392</v>
      </c>
      <c r="AJ2377">
        <v>8.5001237760426704</v>
      </c>
      <c r="AK2377">
        <v>263.19</v>
      </c>
      <c r="AL2377">
        <v>2.7413426549056701</v>
      </c>
      <c r="AN2377">
        <v>-6.1</v>
      </c>
      <c r="AO2377" t="b">
        <v>1</v>
      </c>
      <c r="AP2377" t="s">
        <v>4202</v>
      </c>
      <c r="AQ2377">
        <v>1920</v>
      </c>
      <c r="AR2377">
        <v>1960</v>
      </c>
      <c r="AS2377" t="s">
        <v>9825</v>
      </c>
      <c r="AT2377">
        <v>8.7227926078028695</v>
      </c>
      <c r="AU2377">
        <f t="shared" si="113"/>
        <v>2.4E-2</v>
      </c>
    </row>
    <row r="2378" spans="1:47" x14ac:dyDescent="0.3">
      <c r="A2378">
        <v>2376</v>
      </c>
      <c r="B2378" t="s">
        <v>9826</v>
      </c>
      <c r="C2378" t="s">
        <v>9827</v>
      </c>
      <c r="D2378">
        <v>450</v>
      </c>
      <c r="E2378" t="s">
        <v>9741</v>
      </c>
      <c r="F2378" t="str">
        <f>VLOOKUP(E2378,country_continent!A:C,2,FALSE)</f>
        <v>Liberia</v>
      </c>
      <c r="G2378" t="str">
        <f>VLOOKUP(E2378,country_continent!A:C,3,FALSE)</f>
        <v>Africa</v>
      </c>
      <c r="H2378" t="s">
        <v>9828</v>
      </c>
      <c r="I2378" s="1">
        <v>29323</v>
      </c>
      <c r="J2378" s="3">
        <f t="shared" si="111"/>
        <v>29323</v>
      </c>
      <c r="K2378" s="1">
        <v>33125</v>
      </c>
      <c r="L2378" s="3">
        <f t="shared" si="112"/>
        <v>33125</v>
      </c>
      <c r="M2378" t="s">
        <v>67</v>
      </c>
      <c r="N2378" t="s">
        <v>67</v>
      </c>
      <c r="O2378" t="s">
        <v>433</v>
      </c>
      <c r="P2378">
        <v>0</v>
      </c>
      <c r="Q2378" t="s">
        <v>69</v>
      </c>
      <c r="R2378" t="s">
        <v>51</v>
      </c>
      <c r="S2378">
        <v>1951</v>
      </c>
      <c r="T2378">
        <v>1990</v>
      </c>
      <c r="U2378" s="1">
        <v>18754</v>
      </c>
      <c r="V2378" s="2">
        <v>18754</v>
      </c>
      <c r="W2378" s="1">
        <v>33125</v>
      </c>
      <c r="X2378" s="2">
        <v>33125</v>
      </c>
      <c r="Y2378" t="s">
        <v>9829</v>
      </c>
      <c r="Z2378">
        <v>1</v>
      </c>
      <c r="AA2378">
        <v>3</v>
      </c>
      <c r="AB2378">
        <v>4</v>
      </c>
      <c r="AC2378">
        <v>3</v>
      </c>
      <c r="AF2378">
        <v>1980</v>
      </c>
      <c r="AG2378">
        <v>1990</v>
      </c>
      <c r="AH2378">
        <v>-10.6674496365517</v>
      </c>
      <c r="AI2378">
        <v>421.81818181818102</v>
      </c>
      <c r="AJ2378">
        <v>4.3879033174163196</v>
      </c>
      <c r="AK2378">
        <v>249.2</v>
      </c>
      <c r="AL2378">
        <v>1.56154048502656</v>
      </c>
      <c r="AN2378">
        <v>-5.82</v>
      </c>
      <c r="AO2378" t="b">
        <v>1</v>
      </c>
      <c r="AP2378" t="s">
        <v>4202</v>
      </c>
      <c r="AQ2378">
        <v>1920</v>
      </c>
      <c r="AR2378">
        <v>1960</v>
      </c>
      <c r="AS2378" t="s">
        <v>9830</v>
      </c>
      <c r="AT2378">
        <v>10.4093086926762</v>
      </c>
      <c r="AU2378">
        <f t="shared" si="113"/>
        <v>2.9000000000000001E-2</v>
      </c>
    </row>
    <row r="2379" spans="1:47" x14ac:dyDescent="0.3">
      <c r="A2379">
        <v>2377</v>
      </c>
      <c r="B2379" t="s">
        <v>9831</v>
      </c>
      <c r="C2379" t="s">
        <v>9832</v>
      </c>
      <c r="D2379">
        <v>450</v>
      </c>
      <c r="E2379" t="s">
        <v>9741</v>
      </c>
      <c r="F2379" t="str">
        <f>VLOOKUP(E2379,country_continent!A:C,2,FALSE)</f>
        <v>Liberia</v>
      </c>
      <c r="G2379" t="str">
        <f>VLOOKUP(E2379,country_continent!A:C,3,FALSE)</f>
        <v>Africa</v>
      </c>
      <c r="H2379" t="s">
        <v>9833</v>
      </c>
      <c r="I2379" s="1">
        <v>33199</v>
      </c>
      <c r="J2379" s="3">
        <f t="shared" si="111"/>
        <v>33199</v>
      </c>
      <c r="K2379" s="1">
        <v>34400</v>
      </c>
      <c r="L2379" s="3">
        <f t="shared" si="112"/>
        <v>34400</v>
      </c>
      <c r="M2379" t="s">
        <v>637</v>
      </c>
      <c r="N2379" t="s">
        <v>49</v>
      </c>
      <c r="O2379" t="s">
        <v>49</v>
      </c>
      <c r="P2379">
        <v>0</v>
      </c>
      <c r="Q2379" t="s">
        <v>50</v>
      </c>
      <c r="R2379" t="s">
        <v>51</v>
      </c>
      <c r="S2379">
        <v>1945</v>
      </c>
      <c r="T2379">
        <v>-777</v>
      </c>
      <c r="U2379" s="1">
        <v>16603</v>
      </c>
      <c r="V2379" s="2">
        <v>16603</v>
      </c>
      <c r="Z2379">
        <v>2</v>
      </c>
      <c r="AA2379">
        <v>1</v>
      </c>
      <c r="AB2379">
        <v>0</v>
      </c>
      <c r="AC2379">
        <v>0</v>
      </c>
      <c r="AF2379">
        <v>1990</v>
      </c>
      <c r="AG2379">
        <v>1994</v>
      </c>
      <c r="AH2379">
        <v>-28.580453244999301</v>
      </c>
      <c r="AI2379">
        <v>166</v>
      </c>
      <c r="AJ2379">
        <v>3.3469112576654498</v>
      </c>
      <c r="AK2379">
        <v>266.33999999999997</v>
      </c>
      <c r="AL2379">
        <v>-3.1594837372352398</v>
      </c>
      <c r="AN2379">
        <v>0</v>
      </c>
      <c r="AO2379" t="b">
        <v>1</v>
      </c>
      <c r="AP2379" t="s">
        <v>4202</v>
      </c>
      <c r="AQ2379">
        <v>1920</v>
      </c>
      <c r="AR2379">
        <v>1960</v>
      </c>
      <c r="AS2379" t="s">
        <v>9834</v>
      </c>
      <c r="AT2379">
        <v>3.2881587953456499</v>
      </c>
      <c r="AU2379">
        <f t="shared" si="113"/>
        <v>8.9999999999999993E-3</v>
      </c>
    </row>
    <row r="2380" spans="1:47" x14ac:dyDescent="0.3">
      <c r="A2380">
        <v>2378</v>
      </c>
      <c r="B2380" t="s">
        <v>9835</v>
      </c>
      <c r="C2380" t="s">
        <v>9836</v>
      </c>
      <c r="D2380">
        <v>450</v>
      </c>
      <c r="E2380" t="s">
        <v>9741</v>
      </c>
      <c r="F2380" t="str">
        <f>VLOOKUP(E2380,country_continent!A:C,2,FALSE)</f>
        <v>Liberia</v>
      </c>
      <c r="G2380" t="str">
        <f>VLOOKUP(E2380,country_continent!A:C,3,FALSE)</f>
        <v>Africa</v>
      </c>
      <c r="H2380" t="s">
        <v>9837</v>
      </c>
      <c r="I2380" s="1">
        <v>34400</v>
      </c>
      <c r="J2380" s="3">
        <f t="shared" si="111"/>
        <v>34400</v>
      </c>
      <c r="K2380" s="1">
        <v>34943</v>
      </c>
      <c r="L2380" s="3">
        <f t="shared" si="112"/>
        <v>34943</v>
      </c>
      <c r="M2380" t="s">
        <v>49</v>
      </c>
      <c r="N2380" t="s">
        <v>49</v>
      </c>
      <c r="O2380" t="s">
        <v>49</v>
      </c>
      <c r="P2380">
        <v>0</v>
      </c>
      <c r="Q2380" t="s">
        <v>50</v>
      </c>
      <c r="R2380" t="s">
        <v>51</v>
      </c>
      <c r="S2380">
        <v>1944</v>
      </c>
      <c r="T2380">
        <v>-777</v>
      </c>
      <c r="Z2380">
        <v>0</v>
      </c>
      <c r="AA2380">
        <v>1</v>
      </c>
      <c r="AB2380">
        <v>0</v>
      </c>
      <c r="AC2380">
        <v>0</v>
      </c>
      <c r="AF2380">
        <v>1994</v>
      </c>
      <c r="AG2380">
        <v>1995</v>
      </c>
      <c r="AH2380">
        <v>-13.344132570594001</v>
      </c>
      <c r="AI2380">
        <v>80</v>
      </c>
      <c r="AJ2380">
        <v>5.92751866420081</v>
      </c>
      <c r="AK2380">
        <v>255.1</v>
      </c>
      <c r="AL2380">
        <v>0.32458636641848598</v>
      </c>
      <c r="AN2380">
        <v>0</v>
      </c>
      <c r="AO2380" t="b">
        <v>1</v>
      </c>
      <c r="AP2380" t="s">
        <v>4202</v>
      </c>
      <c r="AQ2380">
        <v>1920</v>
      </c>
      <c r="AR2380">
        <v>1960</v>
      </c>
      <c r="AS2380" t="s">
        <v>9838</v>
      </c>
      <c r="AT2380">
        <v>1.4866529774127299</v>
      </c>
      <c r="AU2380">
        <f t="shared" si="113"/>
        <v>4.0000000000000001E-3</v>
      </c>
    </row>
    <row r="2381" spans="1:47" x14ac:dyDescent="0.3">
      <c r="A2381">
        <v>2379</v>
      </c>
      <c r="B2381" t="s">
        <v>9839</v>
      </c>
      <c r="C2381" t="s">
        <v>9840</v>
      </c>
      <c r="D2381">
        <v>450</v>
      </c>
      <c r="E2381" t="s">
        <v>9741</v>
      </c>
      <c r="F2381" t="str">
        <f>VLOOKUP(E2381,country_continent!A:C,2,FALSE)</f>
        <v>Liberia</v>
      </c>
      <c r="G2381" t="str">
        <f>VLOOKUP(E2381,country_continent!A:C,3,FALSE)</f>
        <v>Africa</v>
      </c>
      <c r="H2381" t="s">
        <v>9841</v>
      </c>
      <c r="I2381" s="1">
        <v>34943</v>
      </c>
      <c r="J2381" s="3">
        <f t="shared" si="111"/>
        <v>34943</v>
      </c>
      <c r="K2381" s="1">
        <v>35311</v>
      </c>
      <c r="L2381" s="3">
        <f t="shared" si="112"/>
        <v>35311</v>
      </c>
      <c r="M2381" t="s">
        <v>49</v>
      </c>
      <c r="N2381" t="s">
        <v>49</v>
      </c>
      <c r="O2381" t="s">
        <v>49</v>
      </c>
      <c r="P2381">
        <v>0</v>
      </c>
      <c r="Q2381" t="s">
        <v>50</v>
      </c>
      <c r="R2381" t="s">
        <v>51</v>
      </c>
      <c r="S2381">
        <v>1943</v>
      </c>
      <c r="T2381">
        <v>-777</v>
      </c>
      <c r="Z2381">
        <v>0</v>
      </c>
      <c r="AA2381">
        <v>1</v>
      </c>
      <c r="AB2381">
        <v>0</v>
      </c>
      <c r="AC2381">
        <v>0</v>
      </c>
      <c r="AF2381">
        <v>1995</v>
      </c>
      <c r="AG2381">
        <v>1996</v>
      </c>
      <c r="AH2381">
        <v>1.9177224055789801</v>
      </c>
      <c r="AI2381">
        <v>90</v>
      </c>
      <c r="AJ2381">
        <v>5.9881218103854703</v>
      </c>
      <c r="AK2381">
        <v>246</v>
      </c>
      <c r="AL2381">
        <v>1.87965816086118</v>
      </c>
      <c r="AN2381">
        <v>0</v>
      </c>
      <c r="AO2381" t="b">
        <v>1</v>
      </c>
      <c r="AP2381" t="s">
        <v>4202</v>
      </c>
      <c r="AQ2381">
        <v>1920</v>
      </c>
      <c r="AR2381">
        <v>1960</v>
      </c>
      <c r="AS2381" t="s">
        <v>9842</v>
      </c>
      <c r="AT2381">
        <v>1.0075290896646101</v>
      </c>
      <c r="AU2381">
        <f t="shared" si="113"/>
        <v>3.0000000000000001E-3</v>
      </c>
    </row>
    <row r="2382" spans="1:47" x14ac:dyDescent="0.3">
      <c r="A2382">
        <v>2380</v>
      </c>
      <c r="B2382" t="s">
        <v>9843</v>
      </c>
      <c r="C2382" t="s">
        <v>9844</v>
      </c>
      <c r="D2382">
        <v>450</v>
      </c>
      <c r="E2382" t="s">
        <v>9741</v>
      </c>
      <c r="F2382" t="str">
        <f>VLOOKUP(E2382,country_continent!A:C,2,FALSE)</f>
        <v>Liberia</v>
      </c>
      <c r="G2382" t="str">
        <f>VLOOKUP(E2382,country_continent!A:C,3,FALSE)</f>
        <v>Africa</v>
      </c>
      <c r="H2382" t="s">
        <v>9845</v>
      </c>
      <c r="I2382" s="1">
        <v>35311</v>
      </c>
      <c r="J2382" s="3">
        <f t="shared" si="111"/>
        <v>35311</v>
      </c>
      <c r="K2382" s="1">
        <v>35644</v>
      </c>
      <c r="L2382" s="3">
        <f t="shared" si="112"/>
        <v>35644</v>
      </c>
      <c r="M2382" t="s">
        <v>49</v>
      </c>
      <c r="N2382" t="s">
        <v>49</v>
      </c>
      <c r="O2382" t="s">
        <v>49</v>
      </c>
      <c r="P2382">
        <v>0</v>
      </c>
      <c r="Q2382" t="s">
        <v>50</v>
      </c>
      <c r="R2382" t="s">
        <v>299</v>
      </c>
      <c r="S2382">
        <v>1939</v>
      </c>
      <c r="T2382">
        <v>-777</v>
      </c>
      <c r="Z2382">
        <v>0</v>
      </c>
      <c r="AA2382">
        <v>1</v>
      </c>
      <c r="AB2382">
        <v>0</v>
      </c>
      <c r="AC2382">
        <v>0</v>
      </c>
      <c r="AF2382">
        <v>1996</v>
      </c>
      <c r="AG2382">
        <v>1997</v>
      </c>
      <c r="AH2382">
        <v>49.8913950009578</v>
      </c>
      <c r="AI2382">
        <v>130</v>
      </c>
      <c r="AJ2382">
        <v>-2.27163189444475</v>
      </c>
      <c r="AK2382">
        <v>235.55</v>
      </c>
      <c r="AL2382">
        <v>5.3262655069729599</v>
      </c>
      <c r="AN2382">
        <v>0</v>
      </c>
      <c r="AO2382" t="b">
        <v>1</v>
      </c>
      <c r="AP2382" t="s">
        <v>4202</v>
      </c>
      <c r="AQ2382">
        <v>1920</v>
      </c>
      <c r="AR2382">
        <v>1960</v>
      </c>
      <c r="AS2382" t="s">
        <v>9846</v>
      </c>
      <c r="AT2382">
        <v>0.91170431211498904</v>
      </c>
      <c r="AU2382">
        <f t="shared" si="113"/>
        <v>2E-3</v>
      </c>
    </row>
    <row r="2383" spans="1:47" x14ac:dyDescent="0.3">
      <c r="A2383">
        <v>2381</v>
      </c>
      <c r="B2383" t="s">
        <v>9847</v>
      </c>
      <c r="C2383" t="s">
        <v>9848</v>
      </c>
      <c r="D2383">
        <v>450</v>
      </c>
      <c r="E2383" t="s">
        <v>9741</v>
      </c>
      <c r="F2383" t="str">
        <f>VLOOKUP(E2383,country_continent!A:C,2,FALSE)</f>
        <v>Liberia</v>
      </c>
      <c r="G2383" t="str">
        <f>VLOOKUP(E2383,country_continent!A:C,3,FALSE)</f>
        <v>Africa</v>
      </c>
      <c r="H2383" t="s">
        <v>9849</v>
      </c>
      <c r="I2383" s="1">
        <v>35644</v>
      </c>
      <c r="J2383" s="3">
        <f t="shared" si="111"/>
        <v>35644</v>
      </c>
      <c r="K2383" s="1">
        <v>37844</v>
      </c>
      <c r="L2383" s="3">
        <f t="shared" si="112"/>
        <v>37844</v>
      </c>
      <c r="M2383" t="s">
        <v>49</v>
      </c>
      <c r="N2383" t="s">
        <v>49</v>
      </c>
      <c r="O2383" t="s">
        <v>49</v>
      </c>
      <c r="P2383">
        <v>0</v>
      </c>
      <c r="Q2383" t="s">
        <v>362</v>
      </c>
      <c r="R2383" t="s">
        <v>51</v>
      </c>
      <c r="S2383">
        <v>1948</v>
      </c>
      <c r="T2383">
        <v>-777</v>
      </c>
      <c r="Z2383">
        <v>0</v>
      </c>
      <c r="AA2383">
        <v>1</v>
      </c>
      <c r="AB2383">
        <v>0</v>
      </c>
      <c r="AC2383">
        <v>1</v>
      </c>
      <c r="AF2383">
        <v>1997</v>
      </c>
      <c r="AG2383">
        <v>2003</v>
      </c>
      <c r="AH2383">
        <v>16.855404654067598</v>
      </c>
      <c r="AI2383">
        <v>191.42857142857099</v>
      </c>
      <c r="AJ2383">
        <v>7.5561818238972096</v>
      </c>
      <c r="AK2383">
        <v>192.3</v>
      </c>
      <c r="AL2383">
        <v>4.7807924878044501</v>
      </c>
      <c r="AM2383">
        <v>23.292672290540899</v>
      </c>
      <c r="AN2383">
        <v>0.14000000000000001</v>
      </c>
      <c r="AO2383" t="b">
        <v>1</v>
      </c>
      <c r="AP2383" t="s">
        <v>4202</v>
      </c>
      <c r="AQ2383">
        <v>1920</v>
      </c>
      <c r="AR2383">
        <v>1960</v>
      </c>
      <c r="AS2383" t="s">
        <v>9850</v>
      </c>
      <c r="AT2383">
        <v>6.0232717316906204</v>
      </c>
      <c r="AU2383">
        <f t="shared" si="113"/>
        <v>1.7000000000000001E-2</v>
      </c>
    </row>
    <row r="2384" spans="1:47" x14ac:dyDescent="0.3">
      <c r="A2384">
        <v>2382</v>
      </c>
      <c r="B2384" t="s">
        <v>9851</v>
      </c>
      <c r="C2384" t="s">
        <v>9852</v>
      </c>
      <c r="D2384">
        <v>450</v>
      </c>
      <c r="E2384" t="s">
        <v>9741</v>
      </c>
      <c r="F2384" t="str">
        <f>VLOOKUP(E2384,country_continent!A:C,2,FALSE)</f>
        <v>Liberia</v>
      </c>
      <c r="G2384" t="str">
        <f>VLOOKUP(E2384,country_continent!A:C,3,FALSE)</f>
        <v>Africa</v>
      </c>
      <c r="H2384" t="s">
        <v>9853</v>
      </c>
      <c r="I2384" s="1">
        <v>37844</v>
      </c>
      <c r="J2384" s="3">
        <f t="shared" si="111"/>
        <v>37844</v>
      </c>
      <c r="K2384" s="1">
        <v>37908</v>
      </c>
      <c r="L2384" s="3">
        <f t="shared" si="112"/>
        <v>37908</v>
      </c>
      <c r="M2384" t="s">
        <v>49</v>
      </c>
      <c r="N2384" t="s">
        <v>49</v>
      </c>
      <c r="O2384" t="s">
        <v>49</v>
      </c>
      <c r="P2384">
        <v>0</v>
      </c>
      <c r="Q2384" t="s">
        <v>50</v>
      </c>
      <c r="R2384" t="s">
        <v>51</v>
      </c>
      <c r="S2384">
        <v>1947</v>
      </c>
      <c r="T2384">
        <v>-777</v>
      </c>
      <c r="Z2384">
        <v>0</v>
      </c>
      <c r="AA2384">
        <v>1</v>
      </c>
      <c r="AB2384">
        <v>0</v>
      </c>
      <c r="AC2384">
        <v>0</v>
      </c>
      <c r="AF2384">
        <v>2003</v>
      </c>
      <c r="AG2384">
        <v>2003</v>
      </c>
      <c r="AH2384">
        <v>-30.6993530292511</v>
      </c>
      <c r="AI2384">
        <v>180</v>
      </c>
      <c r="AJ2384">
        <v>15.5114915940543</v>
      </c>
      <c r="AK2384">
        <v>154.30000000000001</v>
      </c>
      <c r="AL2384">
        <v>0.79655231018503003</v>
      </c>
      <c r="AM2384">
        <v>34.177668750345198</v>
      </c>
      <c r="AN2384">
        <v>1</v>
      </c>
      <c r="AO2384" t="b">
        <v>1</v>
      </c>
      <c r="AP2384" t="s">
        <v>4202</v>
      </c>
      <c r="AQ2384">
        <v>1920</v>
      </c>
      <c r="AR2384">
        <v>1960</v>
      </c>
      <c r="AS2384" t="s">
        <v>9854</v>
      </c>
      <c r="AT2384">
        <v>0.17522245037645401</v>
      </c>
      <c r="AU2384">
        <f t="shared" si="113"/>
        <v>0</v>
      </c>
    </row>
    <row r="2385" spans="1:47" x14ac:dyDescent="0.3">
      <c r="A2385">
        <v>2383</v>
      </c>
      <c r="B2385" t="s">
        <v>9855</v>
      </c>
      <c r="C2385" t="s">
        <v>9856</v>
      </c>
      <c r="D2385">
        <v>450</v>
      </c>
      <c r="E2385" t="s">
        <v>9741</v>
      </c>
      <c r="F2385" t="str">
        <f>VLOOKUP(E2385,country_continent!A:C,2,FALSE)</f>
        <v>Liberia</v>
      </c>
      <c r="G2385" t="str">
        <f>VLOOKUP(E2385,country_continent!A:C,3,FALSE)</f>
        <v>Africa</v>
      </c>
      <c r="H2385" t="s">
        <v>9857</v>
      </c>
      <c r="I2385" s="1">
        <v>37908</v>
      </c>
      <c r="J2385" s="3">
        <f t="shared" si="111"/>
        <v>37908</v>
      </c>
      <c r="K2385" s="1">
        <v>38733</v>
      </c>
      <c r="L2385" s="3">
        <f t="shared" si="112"/>
        <v>38733</v>
      </c>
      <c r="M2385" t="s">
        <v>49</v>
      </c>
      <c r="N2385" t="s">
        <v>49</v>
      </c>
      <c r="O2385" t="s">
        <v>49</v>
      </c>
      <c r="P2385">
        <v>0</v>
      </c>
      <c r="Q2385" t="s">
        <v>50</v>
      </c>
      <c r="R2385" t="s">
        <v>51</v>
      </c>
      <c r="S2385">
        <v>1949</v>
      </c>
      <c r="T2385">
        <v>-777</v>
      </c>
      <c r="Z2385">
        <v>0</v>
      </c>
      <c r="AA2385">
        <v>1</v>
      </c>
      <c r="AB2385">
        <v>0</v>
      </c>
      <c r="AC2385">
        <v>0</v>
      </c>
      <c r="AF2385">
        <v>2003</v>
      </c>
      <c r="AG2385">
        <v>2006</v>
      </c>
      <c r="AH2385">
        <v>-6.60977345598205</v>
      </c>
      <c r="AI2385">
        <v>225</v>
      </c>
      <c r="AJ2385">
        <v>10.4986654624932</v>
      </c>
      <c r="AK2385">
        <v>138.85</v>
      </c>
      <c r="AL2385">
        <v>3.0102436189239699</v>
      </c>
      <c r="AM2385">
        <v>22.917179426996299</v>
      </c>
      <c r="AN2385">
        <v>3.75</v>
      </c>
      <c r="AO2385" t="b">
        <v>1</v>
      </c>
      <c r="AP2385" t="s">
        <v>4202</v>
      </c>
      <c r="AQ2385">
        <v>1920</v>
      </c>
      <c r="AR2385">
        <v>1960</v>
      </c>
      <c r="AS2385" t="s">
        <v>9858</v>
      </c>
      <c r="AT2385">
        <v>2.25872689938398</v>
      </c>
      <c r="AU2385">
        <f t="shared" si="113"/>
        <v>6.0000000000000001E-3</v>
      </c>
    </row>
    <row r="2386" spans="1:47" x14ac:dyDescent="0.3">
      <c r="A2386">
        <v>2384</v>
      </c>
      <c r="B2386" t="s">
        <v>9859</v>
      </c>
      <c r="C2386" t="s">
        <v>9860</v>
      </c>
      <c r="D2386">
        <v>450</v>
      </c>
      <c r="E2386" t="s">
        <v>9741</v>
      </c>
      <c r="F2386" t="str">
        <f>VLOOKUP(E2386,country_continent!A:C,2,FALSE)</f>
        <v>Liberia</v>
      </c>
      <c r="G2386" t="str">
        <f>VLOOKUP(E2386,country_continent!A:C,3,FALSE)</f>
        <v>Africa</v>
      </c>
      <c r="H2386" t="s">
        <v>9861</v>
      </c>
      <c r="I2386" s="1">
        <v>38733</v>
      </c>
      <c r="J2386" s="3">
        <f t="shared" si="111"/>
        <v>38733</v>
      </c>
      <c r="K2386" s="1">
        <v>42369</v>
      </c>
      <c r="L2386" s="3">
        <f t="shared" si="112"/>
        <v>42369</v>
      </c>
      <c r="M2386" t="s">
        <v>49</v>
      </c>
      <c r="N2386" t="s">
        <v>173</v>
      </c>
      <c r="O2386" t="s">
        <v>173</v>
      </c>
      <c r="P2386">
        <v>0</v>
      </c>
      <c r="Q2386" t="s">
        <v>174</v>
      </c>
      <c r="R2386" t="s">
        <v>299</v>
      </c>
      <c r="S2386">
        <v>1938</v>
      </c>
      <c r="T2386">
        <v>-777</v>
      </c>
      <c r="U2386" s="1">
        <v>14182</v>
      </c>
      <c r="V2386" s="2">
        <v>14182</v>
      </c>
      <c r="Z2386">
        <v>0</v>
      </c>
      <c r="AA2386">
        <v>-888</v>
      </c>
      <c r="AB2386">
        <v>-888</v>
      </c>
      <c r="AC2386">
        <v>-888</v>
      </c>
      <c r="AF2386">
        <v>2006</v>
      </c>
      <c r="AG2386">
        <v>2015</v>
      </c>
      <c r="AH2386">
        <v>2.5556106374300298</v>
      </c>
      <c r="AI2386">
        <v>469</v>
      </c>
      <c r="AJ2386">
        <v>6.65845802758062</v>
      </c>
      <c r="AK2386">
        <v>104.84</v>
      </c>
      <c r="AL2386">
        <v>3.4466334073980001</v>
      </c>
      <c r="AM2386">
        <v>22.541804969929199</v>
      </c>
      <c r="AN2386">
        <v>6</v>
      </c>
      <c r="AO2386" t="b">
        <v>1</v>
      </c>
      <c r="AP2386" t="s">
        <v>4202</v>
      </c>
      <c r="AQ2386">
        <v>1920</v>
      </c>
      <c r="AR2386">
        <v>1960</v>
      </c>
      <c r="AS2386" t="s">
        <v>9862</v>
      </c>
      <c r="AT2386">
        <v>9.9548254620123195</v>
      </c>
      <c r="AU2386">
        <f t="shared" si="113"/>
        <v>2.7E-2</v>
      </c>
    </row>
    <row r="2387" spans="1:47" x14ac:dyDescent="0.3">
      <c r="A2387">
        <v>2385</v>
      </c>
      <c r="B2387" t="s">
        <v>9863</v>
      </c>
      <c r="C2387" t="s">
        <v>9864</v>
      </c>
      <c r="D2387">
        <v>451</v>
      </c>
      <c r="E2387" t="s">
        <v>9865</v>
      </c>
      <c r="F2387" t="str">
        <f>VLOOKUP(E2387,country_continent!A:C,2,FALSE)</f>
        <v>Sierra Leone</v>
      </c>
      <c r="G2387" t="str">
        <f>VLOOKUP(E2387,country_continent!A:C,3,FALSE)</f>
        <v>Africa</v>
      </c>
      <c r="H2387" t="s">
        <v>9866</v>
      </c>
      <c r="I2387" s="1">
        <v>22398</v>
      </c>
      <c r="J2387" s="3">
        <f t="shared" si="111"/>
        <v>22398</v>
      </c>
      <c r="K2387" s="1">
        <v>23495</v>
      </c>
      <c r="L2387" s="3">
        <f t="shared" si="112"/>
        <v>23495</v>
      </c>
      <c r="M2387" t="s">
        <v>49</v>
      </c>
      <c r="N2387" t="s">
        <v>110</v>
      </c>
      <c r="O2387" t="s">
        <v>49</v>
      </c>
      <c r="P2387">
        <v>0</v>
      </c>
      <c r="Q2387" t="s">
        <v>111</v>
      </c>
      <c r="R2387" t="s">
        <v>51</v>
      </c>
      <c r="S2387">
        <v>1895</v>
      </c>
      <c r="T2387">
        <v>1964</v>
      </c>
      <c r="U2387" t="s">
        <v>9867</v>
      </c>
      <c r="V2387" t="s">
        <v>9868</v>
      </c>
      <c r="W2387" s="1">
        <v>23495</v>
      </c>
      <c r="X2387" s="2">
        <v>23495</v>
      </c>
      <c r="Y2387" t="s">
        <v>9869</v>
      </c>
      <c r="Z2387">
        <v>0</v>
      </c>
      <c r="AA2387">
        <v>2</v>
      </c>
      <c r="AB2387">
        <v>0</v>
      </c>
      <c r="AC2387">
        <v>-777</v>
      </c>
      <c r="AD2387" t="s">
        <v>9870</v>
      </c>
      <c r="AE2387">
        <v>0</v>
      </c>
      <c r="AF2387">
        <v>1961</v>
      </c>
      <c r="AG2387">
        <v>1964</v>
      </c>
      <c r="AO2387" t="b">
        <v>0</v>
      </c>
      <c r="AT2387">
        <v>1097</v>
      </c>
      <c r="AU2387">
        <f t="shared" si="113"/>
        <v>3.0049999999999999</v>
      </c>
    </row>
    <row r="2388" spans="1:47" x14ac:dyDescent="0.3">
      <c r="A2388">
        <v>2386</v>
      </c>
      <c r="B2388" t="s">
        <v>9871</v>
      </c>
      <c r="C2388" t="s">
        <v>9872</v>
      </c>
      <c r="D2388">
        <v>451</v>
      </c>
      <c r="E2388" t="s">
        <v>9865</v>
      </c>
      <c r="F2388" t="str">
        <f>VLOOKUP(E2388,country_continent!A:C,2,FALSE)</f>
        <v>Sierra Leone</v>
      </c>
      <c r="G2388" t="str">
        <f>VLOOKUP(E2388,country_continent!A:C,3,FALSE)</f>
        <v>Africa</v>
      </c>
      <c r="H2388" t="s">
        <v>9873</v>
      </c>
      <c r="I2388" s="1">
        <v>23496</v>
      </c>
      <c r="J2388" s="3">
        <f t="shared" si="111"/>
        <v>23496</v>
      </c>
      <c r="K2388" s="1">
        <v>24548</v>
      </c>
      <c r="L2388" s="3">
        <f t="shared" si="112"/>
        <v>24548</v>
      </c>
      <c r="M2388" t="s">
        <v>49</v>
      </c>
      <c r="N2388" t="s">
        <v>49</v>
      </c>
      <c r="O2388" t="s">
        <v>49</v>
      </c>
      <c r="P2388">
        <v>0</v>
      </c>
      <c r="Q2388" t="s">
        <v>463</v>
      </c>
      <c r="R2388" t="s">
        <v>51</v>
      </c>
      <c r="S2388">
        <v>1910</v>
      </c>
      <c r="T2388">
        <v>1980</v>
      </c>
      <c r="U2388" s="1">
        <v>3936</v>
      </c>
      <c r="V2388" s="2">
        <v>3936</v>
      </c>
      <c r="W2388" s="1">
        <v>29573</v>
      </c>
      <c r="X2388" s="2">
        <v>29573</v>
      </c>
      <c r="Y2388" t="s">
        <v>9874</v>
      </c>
      <c r="Z2388">
        <v>0</v>
      </c>
      <c r="AA2388">
        <v>1</v>
      </c>
      <c r="AB2388">
        <v>0</v>
      </c>
      <c r="AC2388">
        <v>2</v>
      </c>
      <c r="AD2388" t="s">
        <v>9875</v>
      </c>
      <c r="AE2388">
        <v>1</v>
      </c>
      <c r="AF2388">
        <v>1964</v>
      </c>
      <c r="AG2388">
        <v>1967</v>
      </c>
      <c r="AO2388" t="b">
        <v>0</v>
      </c>
      <c r="AT2388">
        <v>1052</v>
      </c>
      <c r="AU2388">
        <f t="shared" si="113"/>
        <v>2.8820000000000001</v>
      </c>
    </row>
    <row r="2389" spans="1:47" x14ac:dyDescent="0.3">
      <c r="A2389">
        <v>2387</v>
      </c>
      <c r="B2389" t="s">
        <v>9876</v>
      </c>
      <c r="C2389" t="s">
        <v>9877</v>
      </c>
      <c r="D2389">
        <v>451</v>
      </c>
      <c r="E2389" t="s">
        <v>9865</v>
      </c>
      <c r="F2389" t="str">
        <f>VLOOKUP(E2389,country_continent!A:C,2,FALSE)</f>
        <v>Sierra Leone</v>
      </c>
      <c r="G2389" t="str">
        <f>VLOOKUP(E2389,country_continent!A:C,3,FALSE)</f>
        <v>Africa</v>
      </c>
      <c r="H2389" t="s">
        <v>9878</v>
      </c>
      <c r="I2389" s="1">
        <v>24552</v>
      </c>
      <c r="J2389" s="3">
        <f t="shared" si="111"/>
        <v>24552</v>
      </c>
      <c r="K2389" s="1">
        <v>24554</v>
      </c>
      <c r="L2389" s="3">
        <f t="shared" si="112"/>
        <v>24554</v>
      </c>
      <c r="M2389" t="s">
        <v>67</v>
      </c>
      <c r="N2389" t="s">
        <v>67</v>
      </c>
      <c r="O2389" t="s">
        <v>389</v>
      </c>
      <c r="P2389">
        <v>0</v>
      </c>
      <c r="Q2389" t="s">
        <v>463</v>
      </c>
      <c r="R2389" t="s">
        <v>51</v>
      </c>
      <c r="S2389">
        <v>1922</v>
      </c>
      <c r="T2389">
        <v>1975</v>
      </c>
      <c r="U2389" s="1">
        <v>8122</v>
      </c>
      <c r="V2389" s="2">
        <v>8122</v>
      </c>
      <c r="Z2389">
        <v>1</v>
      </c>
      <c r="AA2389">
        <v>3</v>
      </c>
      <c r="AB2389">
        <v>16</v>
      </c>
      <c r="AC2389">
        <v>2</v>
      </c>
      <c r="AF2389">
        <v>1967</v>
      </c>
      <c r="AG2389">
        <v>1967</v>
      </c>
      <c r="AO2389" t="b">
        <v>0</v>
      </c>
      <c r="AT2389">
        <v>2</v>
      </c>
      <c r="AU2389">
        <f t="shared" si="113"/>
        <v>5.0000000000000001E-3</v>
      </c>
    </row>
    <row r="2390" spans="1:47" x14ac:dyDescent="0.3">
      <c r="A2390">
        <v>2388</v>
      </c>
      <c r="B2390" t="s">
        <v>9879</v>
      </c>
      <c r="C2390" t="s">
        <v>9880</v>
      </c>
      <c r="D2390">
        <v>451</v>
      </c>
      <c r="E2390" t="s">
        <v>9865</v>
      </c>
      <c r="F2390" t="str">
        <f>VLOOKUP(E2390,country_continent!A:C,2,FALSE)</f>
        <v>Sierra Leone</v>
      </c>
      <c r="G2390" t="str">
        <f>VLOOKUP(E2390,country_continent!A:C,3,FALSE)</f>
        <v>Africa</v>
      </c>
      <c r="H2390" t="s">
        <v>9881</v>
      </c>
      <c r="I2390" s="1">
        <v>24558</v>
      </c>
      <c r="J2390" s="3">
        <f t="shared" si="111"/>
        <v>24558</v>
      </c>
      <c r="K2390" s="1">
        <v>24947</v>
      </c>
      <c r="L2390" s="3">
        <f t="shared" si="112"/>
        <v>24947</v>
      </c>
      <c r="M2390" t="s">
        <v>67</v>
      </c>
      <c r="N2390" t="s">
        <v>67</v>
      </c>
      <c r="O2390" t="s">
        <v>376</v>
      </c>
      <c r="P2390">
        <v>0</v>
      </c>
      <c r="Q2390" t="s">
        <v>463</v>
      </c>
      <c r="R2390" t="s">
        <v>51</v>
      </c>
      <c r="S2390">
        <v>1933</v>
      </c>
      <c r="T2390">
        <v>1996</v>
      </c>
      <c r="Z2390">
        <v>1</v>
      </c>
      <c r="AA2390">
        <v>3</v>
      </c>
      <c r="AB2390">
        <v>6</v>
      </c>
      <c r="AC2390">
        <v>2</v>
      </c>
      <c r="AF2390">
        <v>1967</v>
      </c>
      <c r="AG2390">
        <v>1968</v>
      </c>
      <c r="AO2390" t="b">
        <v>0</v>
      </c>
      <c r="AT2390">
        <v>389</v>
      </c>
      <c r="AU2390">
        <f t="shared" si="113"/>
        <v>1.0660000000000001</v>
      </c>
    </row>
    <row r="2391" spans="1:47" x14ac:dyDescent="0.3">
      <c r="A2391">
        <v>2389</v>
      </c>
      <c r="B2391" t="s">
        <v>9882</v>
      </c>
      <c r="C2391" t="s">
        <v>9883</v>
      </c>
      <c r="D2391">
        <v>451</v>
      </c>
      <c r="E2391" t="s">
        <v>9865</v>
      </c>
      <c r="F2391" t="str">
        <f>VLOOKUP(E2391,country_continent!A:C,2,FALSE)</f>
        <v>Sierra Leone</v>
      </c>
      <c r="G2391" t="str">
        <f>VLOOKUP(E2391,country_continent!A:C,3,FALSE)</f>
        <v>Africa</v>
      </c>
      <c r="H2391" t="s">
        <v>9884</v>
      </c>
      <c r="I2391" s="1">
        <v>24947</v>
      </c>
      <c r="J2391" s="3">
        <f t="shared" si="111"/>
        <v>24947</v>
      </c>
      <c r="K2391" s="1">
        <v>31379</v>
      </c>
      <c r="L2391" s="3">
        <f t="shared" si="112"/>
        <v>31379</v>
      </c>
      <c r="M2391" t="s">
        <v>67</v>
      </c>
      <c r="N2391" t="s">
        <v>49</v>
      </c>
      <c r="O2391" t="s">
        <v>49</v>
      </c>
      <c r="P2391">
        <v>0</v>
      </c>
      <c r="Q2391" t="s">
        <v>50</v>
      </c>
      <c r="R2391" t="s">
        <v>51</v>
      </c>
      <c r="S2391">
        <v>1905</v>
      </c>
      <c r="T2391">
        <v>1988</v>
      </c>
      <c r="U2391" s="1">
        <v>2063</v>
      </c>
      <c r="V2391" s="2">
        <v>2063</v>
      </c>
      <c r="Y2391" t="s">
        <v>9885</v>
      </c>
      <c r="Z2391">
        <v>1</v>
      </c>
      <c r="AA2391">
        <v>1</v>
      </c>
      <c r="AB2391">
        <v>0</v>
      </c>
      <c r="AC2391">
        <v>0</v>
      </c>
      <c r="AF2391">
        <v>1968</v>
      </c>
      <c r="AG2391">
        <v>1985</v>
      </c>
      <c r="AO2391" t="b">
        <v>0</v>
      </c>
      <c r="AT2391">
        <v>6432</v>
      </c>
      <c r="AU2391">
        <f t="shared" si="113"/>
        <v>17.622</v>
      </c>
    </row>
    <row r="2392" spans="1:47" x14ac:dyDescent="0.3">
      <c r="A2392">
        <v>2390</v>
      </c>
      <c r="B2392" t="s">
        <v>9886</v>
      </c>
      <c r="C2392" t="s">
        <v>9887</v>
      </c>
      <c r="D2392">
        <v>451</v>
      </c>
      <c r="E2392" t="s">
        <v>9865</v>
      </c>
      <c r="F2392" t="str">
        <f>VLOOKUP(E2392,country_continent!A:C,2,FALSE)</f>
        <v>Sierra Leone</v>
      </c>
      <c r="G2392" t="str">
        <f>VLOOKUP(E2392,country_continent!A:C,3,FALSE)</f>
        <v>Africa</v>
      </c>
      <c r="H2392" t="s">
        <v>9888</v>
      </c>
      <c r="I2392" s="1">
        <v>31379</v>
      </c>
      <c r="J2392" s="3">
        <f t="shared" si="111"/>
        <v>31379</v>
      </c>
      <c r="K2392" s="1">
        <v>33723</v>
      </c>
      <c r="L2392" s="3">
        <f t="shared" si="112"/>
        <v>33723</v>
      </c>
      <c r="M2392" t="s">
        <v>49</v>
      </c>
      <c r="N2392" t="s">
        <v>67</v>
      </c>
      <c r="O2392" t="s">
        <v>376</v>
      </c>
      <c r="P2392">
        <v>0</v>
      </c>
      <c r="Q2392" t="s">
        <v>362</v>
      </c>
      <c r="R2392" t="s">
        <v>51</v>
      </c>
      <c r="S2392">
        <v>1937</v>
      </c>
      <c r="T2392">
        <v>2003</v>
      </c>
      <c r="U2392" s="1">
        <v>13541</v>
      </c>
      <c r="V2392" s="2">
        <v>13541</v>
      </c>
      <c r="W2392" s="1">
        <v>37835</v>
      </c>
      <c r="X2392" s="2">
        <v>37835</v>
      </c>
      <c r="Y2392" t="s">
        <v>9889</v>
      </c>
      <c r="Z2392">
        <v>0</v>
      </c>
      <c r="AA2392">
        <v>3</v>
      </c>
      <c r="AB2392">
        <v>6</v>
      </c>
      <c r="AC2392">
        <v>1</v>
      </c>
      <c r="AF2392">
        <v>1985</v>
      </c>
      <c r="AG2392">
        <v>1992</v>
      </c>
      <c r="AO2392" t="b">
        <v>0</v>
      </c>
      <c r="AT2392">
        <v>2344</v>
      </c>
      <c r="AU2392">
        <f t="shared" si="113"/>
        <v>6.4219999999999997</v>
      </c>
    </row>
    <row r="2393" spans="1:47" x14ac:dyDescent="0.3">
      <c r="A2393">
        <v>2391</v>
      </c>
      <c r="B2393" t="s">
        <v>9890</v>
      </c>
      <c r="C2393" t="s">
        <v>9891</v>
      </c>
      <c r="D2393">
        <v>451</v>
      </c>
      <c r="E2393" t="s">
        <v>9865</v>
      </c>
      <c r="F2393" t="str">
        <f>VLOOKUP(E2393,country_continent!A:C,2,FALSE)</f>
        <v>Sierra Leone</v>
      </c>
      <c r="G2393" t="str">
        <f>VLOOKUP(E2393,country_continent!A:C,3,FALSE)</f>
        <v>Africa</v>
      </c>
      <c r="H2393" t="s">
        <v>9892</v>
      </c>
      <c r="I2393" s="1">
        <v>33725</v>
      </c>
      <c r="J2393" s="3">
        <f t="shared" si="111"/>
        <v>33725</v>
      </c>
      <c r="K2393" s="1">
        <v>35081</v>
      </c>
      <c r="L2393" s="3">
        <f t="shared" si="112"/>
        <v>35081</v>
      </c>
      <c r="M2393" t="s">
        <v>67</v>
      </c>
      <c r="N2393" t="s">
        <v>67</v>
      </c>
      <c r="O2393" t="s">
        <v>376</v>
      </c>
      <c r="P2393">
        <v>0</v>
      </c>
      <c r="Q2393" t="s">
        <v>362</v>
      </c>
      <c r="R2393" t="s">
        <v>51</v>
      </c>
      <c r="S2393">
        <v>1965</v>
      </c>
      <c r="T2393">
        <v>-777</v>
      </c>
      <c r="Z2393">
        <v>1</v>
      </c>
      <c r="AA2393">
        <v>3</v>
      </c>
      <c r="AB2393">
        <v>6</v>
      </c>
      <c r="AC2393">
        <v>1</v>
      </c>
      <c r="AF2393">
        <v>1992</v>
      </c>
      <c r="AG2393">
        <v>1996</v>
      </c>
      <c r="AO2393" t="b">
        <v>0</v>
      </c>
      <c r="AT2393">
        <v>1356</v>
      </c>
      <c r="AU2393">
        <f t="shared" si="113"/>
        <v>3.7149999999999999</v>
      </c>
    </row>
    <row r="2394" spans="1:47" x14ac:dyDescent="0.3">
      <c r="A2394">
        <v>2392</v>
      </c>
      <c r="B2394" t="s">
        <v>9893</v>
      </c>
      <c r="C2394" t="s">
        <v>9894</v>
      </c>
      <c r="D2394">
        <v>451</v>
      </c>
      <c r="E2394" t="s">
        <v>9865</v>
      </c>
      <c r="F2394" t="str">
        <f>VLOOKUP(E2394,country_continent!A:C,2,FALSE)</f>
        <v>Sierra Leone</v>
      </c>
      <c r="G2394" t="str">
        <f>VLOOKUP(E2394,country_continent!A:C,3,FALSE)</f>
        <v>Africa</v>
      </c>
      <c r="H2394" t="s">
        <v>9895</v>
      </c>
      <c r="I2394" s="1">
        <v>35081</v>
      </c>
      <c r="J2394" s="3">
        <f t="shared" si="111"/>
        <v>35081</v>
      </c>
      <c r="K2394" s="1">
        <v>35153</v>
      </c>
      <c r="L2394" s="3">
        <f t="shared" si="112"/>
        <v>35153</v>
      </c>
      <c r="M2394" t="s">
        <v>67</v>
      </c>
      <c r="N2394" t="s">
        <v>49</v>
      </c>
      <c r="O2394" t="s">
        <v>49</v>
      </c>
      <c r="P2394">
        <v>0</v>
      </c>
      <c r="Q2394" t="s">
        <v>50</v>
      </c>
      <c r="R2394" t="s">
        <v>51</v>
      </c>
      <c r="S2394">
        <v>1964</v>
      </c>
      <c r="T2394">
        <v>-777</v>
      </c>
      <c r="Z2394">
        <v>1</v>
      </c>
      <c r="AA2394">
        <v>1</v>
      </c>
      <c r="AB2394">
        <v>0</v>
      </c>
      <c r="AC2394">
        <v>0</v>
      </c>
      <c r="AF2394">
        <v>1996</v>
      </c>
      <c r="AG2394">
        <v>1996</v>
      </c>
      <c r="AO2394" t="b">
        <v>0</v>
      </c>
      <c r="AT2394">
        <v>72</v>
      </c>
      <c r="AU2394">
        <f t="shared" si="113"/>
        <v>0.19700000000000001</v>
      </c>
    </row>
    <row r="2395" spans="1:47" x14ac:dyDescent="0.3">
      <c r="A2395">
        <v>2393</v>
      </c>
      <c r="B2395" t="s">
        <v>9896</v>
      </c>
      <c r="C2395" t="s">
        <v>9897</v>
      </c>
      <c r="D2395">
        <v>451</v>
      </c>
      <c r="E2395" t="s">
        <v>9865</v>
      </c>
      <c r="F2395" t="str">
        <f>VLOOKUP(E2395,country_continent!A:C,2,FALSE)</f>
        <v>Sierra Leone</v>
      </c>
      <c r="G2395" t="str">
        <f>VLOOKUP(E2395,country_continent!A:C,3,FALSE)</f>
        <v>Africa</v>
      </c>
      <c r="H2395" t="s">
        <v>9898</v>
      </c>
      <c r="I2395" s="1">
        <v>35153</v>
      </c>
      <c r="J2395" s="3">
        <f t="shared" si="111"/>
        <v>35153</v>
      </c>
      <c r="K2395" s="1">
        <v>35575</v>
      </c>
      <c r="L2395" s="3">
        <f t="shared" si="112"/>
        <v>35575</v>
      </c>
      <c r="M2395" t="s">
        <v>49</v>
      </c>
      <c r="N2395" t="s">
        <v>67</v>
      </c>
      <c r="O2395" t="s">
        <v>376</v>
      </c>
      <c r="P2395">
        <v>0</v>
      </c>
      <c r="Q2395" t="s">
        <v>362</v>
      </c>
      <c r="R2395" t="s">
        <v>51</v>
      </c>
      <c r="S2395">
        <v>1932</v>
      </c>
      <c r="T2395">
        <v>-777</v>
      </c>
      <c r="U2395" s="1">
        <v>11735</v>
      </c>
      <c r="V2395" s="2">
        <v>11735</v>
      </c>
      <c r="Y2395" t="s">
        <v>9899</v>
      </c>
      <c r="Z2395">
        <v>0</v>
      </c>
      <c r="AA2395">
        <v>3</v>
      </c>
      <c r="AB2395">
        <v>6</v>
      </c>
      <c r="AC2395">
        <v>1</v>
      </c>
      <c r="AF2395">
        <v>1996</v>
      </c>
      <c r="AG2395">
        <v>1997</v>
      </c>
      <c r="AO2395" t="b">
        <v>0</v>
      </c>
      <c r="AT2395">
        <v>422</v>
      </c>
      <c r="AU2395">
        <f t="shared" si="113"/>
        <v>1.1559999999999999</v>
      </c>
    </row>
    <row r="2396" spans="1:47" x14ac:dyDescent="0.3">
      <c r="A2396">
        <v>2394</v>
      </c>
      <c r="B2396" t="s">
        <v>9900</v>
      </c>
      <c r="C2396" t="s">
        <v>9901</v>
      </c>
      <c r="D2396">
        <v>451</v>
      </c>
      <c r="E2396" t="s">
        <v>9865</v>
      </c>
      <c r="F2396" t="str">
        <f>VLOOKUP(E2396,country_continent!A:C,2,FALSE)</f>
        <v>Sierra Leone</v>
      </c>
      <c r="G2396" t="str">
        <f>VLOOKUP(E2396,country_continent!A:C,3,FALSE)</f>
        <v>Africa</v>
      </c>
      <c r="H2396" t="s">
        <v>9902</v>
      </c>
      <c r="I2396" s="1">
        <v>35575</v>
      </c>
      <c r="J2396" s="3">
        <f t="shared" si="111"/>
        <v>35575</v>
      </c>
      <c r="K2396" s="1">
        <v>35838</v>
      </c>
      <c r="L2396" s="3">
        <f t="shared" si="112"/>
        <v>35838</v>
      </c>
      <c r="M2396" t="s">
        <v>67</v>
      </c>
      <c r="N2396" t="s">
        <v>633</v>
      </c>
      <c r="O2396" t="s">
        <v>634</v>
      </c>
      <c r="P2396">
        <v>0</v>
      </c>
      <c r="Q2396" t="s">
        <v>50</v>
      </c>
      <c r="R2396" t="s">
        <v>51</v>
      </c>
      <c r="S2396">
        <v>1960</v>
      </c>
      <c r="T2396">
        <v>2003</v>
      </c>
      <c r="U2396" s="1">
        <v>22045</v>
      </c>
      <c r="V2396" s="2">
        <v>22045</v>
      </c>
      <c r="W2396" s="1">
        <v>37773</v>
      </c>
      <c r="X2396" s="2">
        <v>37773</v>
      </c>
      <c r="Y2396" t="s">
        <v>9903</v>
      </c>
      <c r="Z2396">
        <v>1</v>
      </c>
      <c r="AA2396">
        <v>4</v>
      </c>
      <c r="AB2396">
        <v>9</v>
      </c>
      <c r="AC2396">
        <v>0</v>
      </c>
      <c r="AF2396">
        <v>1997</v>
      </c>
      <c r="AG2396">
        <v>1998</v>
      </c>
      <c r="AO2396" t="b">
        <v>0</v>
      </c>
      <c r="AT2396">
        <v>263</v>
      </c>
      <c r="AU2396">
        <f t="shared" si="113"/>
        <v>0.72099999999999997</v>
      </c>
    </row>
    <row r="2397" spans="1:47" x14ac:dyDescent="0.3">
      <c r="A2397">
        <v>2395</v>
      </c>
      <c r="B2397" t="s">
        <v>9904</v>
      </c>
      <c r="C2397" t="s">
        <v>9897</v>
      </c>
      <c r="D2397">
        <v>451</v>
      </c>
      <c r="E2397" t="s">
        <v>9865</v>
      </c>
      <c r="F2397" t="str">
        <f>VLOOKUP(E2397,country_continent!A:C,2,FALSE)</f>
        <v>Sierra Leone</v>
      </c>
      <c r="G2397" t="str">
        <f>VLOOKUP(E2397,country_continent!A:C,3,FALSE)</f>
        <v>Africa</v>
      </c>
      <c r="H2397" t="s">
        <v>9898</v>
      </c>
      <c r="I2397" s="1">
        <v>35864</v>
      </c>
      <c r="J2397" s="3">
        <f t="shared" si="111"/>
        <v>35864</v>
      </c>
      <c r="K2397" s="1">
        <v>39342</v>
      </c>
      <c r="L2397" s="3">
        <f t="shared" si="112"/>
        <v>39342</v>
      </c>
      <c r="M2397" t="s">
        <v>637</v>
      </c>
      <c r="N2397" t="s">
        <v>49</v>
      </c>
      <c r="O2397" t="s">
        <v>49</v>
      </c>
      <c r="P2397">
        <v>1</v>
      </c>
      <c r="Q2397" t="s">
        <v>50</v>
      </c>
      <c r="R2397" t="s">
        <v>51</v>
      </c>
      <c r="S2397">
        <v>1932</v>
      </c>
      <c r="T2397">
        <v>-777</v>
      </c>
      <c r="U2397" s="1">
        <v>11735</v>
      </c>
      <c r="V2397" s="2">
        <v>11735</v>
      </c>
      <c r="Y2397" t="s">
        <v>9899</v>
      </c>
      <c r="Z2397">
        <v>2</v>
      </c>
      <c r="AA2397">
        <v>1</v>
      </c>
      <c r="AB2397">
        <v>0</v>
      </c>
      <c r="AC2397">
        <v>0</v>
      </c>
      <c r="AF2397">
        <v>1998</v>
      </c>
      <c r="AG2397">
        <v>2007</v>
      </c>
      <c r="AO2397" t="b">
        <v>0</v>
      </c>
      <c r="AT2397">
        <v>3478</v>
      </c>
      <c r="AU2397">
        <f t="shared" si="113"/>
        <v>9.5289999999999999</v>
      </c>
    </row>
    <row r="2398" spans="1:47" x14ac:dyDescent="0.3">
      <c r="A2398">
        <v>2396</v>
      </c>
      <c r="B2398" t="s">
        <v>9905</v>
      </c>
      <c r="C2398" t="s">
        <v>9906</v>
      </c>
      <c r="D2398">
        <v>451</v>
      </c>
      <c r="E2398" t="s">
        <v>9865</v>
      </c>
      <c r="F2398" t="str">
        <f>VLOOKUP(E2398,country_continent!A:C,2,FALSE)</f>
        <v>Sierra Leone</v>
      </c>
      <c r="G2398" t="str">
        <f>VLOOKUP(E2398,country_continent!A:C,3,FALSE)</f>
        <v>Africa</v>
      </c>
      <c r="H2398" t="s">
        <v>9907</v>
      </c>
      <c r="I2398" s="1">
        <v>39342</v>
      </c>
      <c r="J2398" s="3">
        <f t="shared" si="111"/>
        <v>39342</v>
      </c>
      <c r="K2398" s="1">
        <v>42369</v>
      </c>
      <c r="L2398" s="3">
        <f t="shared" si="112"/>
        <v>42369</v>
      </c>
      <c r="M2398" t="s">
        <v>49</v>
      </c>
      <c r="N2398" t="s">
        <v>173</v>
      </c>
      <c r="O2398" t="s">
        <v>173</v>
      </c>
      <c r="P2398">
        <v>0</v>
      </c>
      <c r="Q2398" t="s">
        <v>174</v>
      </c>
      <c r="R2398" t="s">
        <v>51</v>
      </c>
      <c r="S2398">
        <v>1953</v>
      </c>
      <c r="T2398">
        <v>-777</v>
      </c>
      <c r="U2398" s="1">
        <v>19634</v>
      </c>
      <c r="V2398" s="2">
        <v>19634</v>
      </c>
      <c r="Z2398">
        <v>0</v>
      </c>
      <c r="AA2398">
        <v>-888</v>
      </c>
      <c r="AB2398">
        <v>-888</v>
      </c>
      <c r="AC2398">
        <v>-888</v>
      </c>
      <c r="AF2398">
        <v>2007</v>
      </c>
      <c r="AG2398">
        <v>2015</v>
      </c>
      <c r="AO2398" t="b">
        <v>0</v>
      </c>
      <c r="AT2398">
        <v>3027</v>
      </c>
      <c r="AU2398">
        <f t="shared" si="113"/>
        <v>8.2929999999999993</v>
      </c>
    </row>
    <row r="2399" spans="1:47" x14ac:dyDescent="0.3">
      <c r="A2399">
        <v>2397</v>
      </c>
      <c r="B2399" t="s">
        <v>9908</v>
      </c>
      <c r="C2399" t="s">
        <v>9909</v>
      </c>
      <c r="D2399">
        <v>452</v>
      </c>
      <c r="E2399" t="s">
        <v>9910</v>
      </c>
      <c r="F2399" t="str">
        <f>VLOOKUP(E2399,country_continent!A:C,2,FALSE)</f>
        <v>Ghana</v>
      </c>
      <c r="G2399" t="str">
        <f>VLOOKUP(E2399,country_continent!A:C,3,FALSE)</f>
        <v>Africa</v>
      </c>
      <c r="H2399" t="s">
        <v>9911</v>
      </c>
      <c r="I2399" s="1">
        <v>19074</v>
      </c>
      <c r="J2399" s="3">
        <f t="shared" si="111"/>
        <v>19074</v>
      </c>
      <c r="K2399" s="1">
        <v>24162</v>
      </c>
      <c r="L2399" s="3">
        <f t="shared" si="112"/>
        <v>24162</v>
      </c>
      <c r="M2399" t="s">
        <v>49</v>
      </c>
      <c r="N2399" t="s">
        <v>67</v>
      </c>
      <c r="O2399" t="s">
        <v>376</v>
      </c>
      <c r="P2399">
        <v>0</v>
      </c>
      <c r="Q2399" t="s">
        <v>362</v>
      </c>
      <c r="R2399" t="s">
        <v>51</v>
      </c>
      <c r="S2399">
        <v>1909</v>
      </c>
      <c r="T2399">
        <v>1972</v>
      </c>
      <c r="U2399" s="1">
        <v>3552</v>
      </c>
      <c r="V2399" s="2">
        <v>3552</v>
      </c>
      <c r="W2399" s="1">
        <v>26416</v>
      </c>
      <c r="X2399" s="2">
        <v>26416</v>
      </c>
      <c r="Y2399" t="s">
        <v>9912</v>
      </c>
      <c r="Z2399">
        <v>0</v>
      </c>
      <c r="AA2399">
        <v>3</v>
      </c>
      <c r="AB2399">
        <v>6</v>
      </c>
      <c r="AC2399">
        <v>1</v>
      </c>
      <c r="AF2399">
        <v>1952</v>
      </c>
      <c r="AG2399">
        <v>1966</v>
      </c>
      <c r="AH2399">
        <v>-0.61163889619985901</v>
      </c>
      <c r="AI2399">
        <v>212</v>
      </c>
      <c r="AJ2399">
        <v>7.8750958774026003</v>
      </c>
      <c r="AK2399">
        <v>204.828571428571</v>
      </c>
      <c r="AL2399">
        <v>2.472658673123</v>
      </c>
      <c r="AN2399">
        <v>-3.71</v>
      </c>
      <c r="AO2399" t="b">
        <v>0</v>
      </c>
      <c r="AT2399">
        <v>5088</v>
      </c>
      <c r="AU2399">
        <f t="shared" si="113"/>
        <v>13.94</v>
      </c>
    </row>
    <row r="2400" spans="1:47" x14ac:dyDescent="0.3">
      <c r="A2400">
        <v>2398</v>
      </c>
      <c r="B2400" t="s">
        <v>9913</v>
      </c>
      <c r="C2400" t="s">
        <v>9914</v>
      </c>
      <c r="D2400">
        <v>452</v>
      </c>
      <c r="E2400" t="s">
        <v>9910</v>
      </c>
      <c r="F2400" t="str">
        <f>VLOOKUP(E2400,country_continent!A:C,2,FALSE)</f>
        <v>Ghana</v>
      </c>
      <c r="G2400" t="str">
        <f>VLOOKUP(E2400,country_continent!A:C,3,FALSE)</f>
        <v>Africa</v>
      </c>
      <c r="H2400" t="s">
        <v>9915</v>
      </c>
      <c r="I2400" s="1">
        <v>24162</v>
      </c>
      <c r="J2400" s="3">
        <f t="shared" si="111"/>
        <v>24162</v>
      </c>
      <c r="K2400" s="1">
        <v>25296</v>
      </c>
      <c r="L2400" s="3">
        <f t="shared" si="112"/>
        <v>25296</v>
      </c>
      <c r="M2400" t="s">
        <v>67</v>
      </c>
      <c r="N2400" t="s">
        <v>49</v>
      </c>
      <c r="O2400" t="s">
        <v>49</v>
      </c>
      <c r="P2400">
        <v>0</v>
      </c>
      <c r="Q2400" t="s">
        <v>50</v>
      </c>
      <c r="R2400" t="s">
        <v>51</v>
      </c>
      <c r="S2400">
        <v>1915</v>
      </c>
      <c r="T2400">
        <v>1992</v>
      </c>
      <c r="U2400" s="1">
        <v>5709</v>
      </c>
      <c r="V2400" s="2">
        <v>5709</v>
      </c>
      <c r="Y2400" t="s">
        <v>9916</v>
      </c>
      <c r="Z2400">
        <v>1</v>
      </c>
      <c r="AA2400">
        <v>1</v>
      </c>
      <c r="AB2400">
        <v>0</v>
      </c>
      <c r="AC2400">
        <v>0</v>
      </c>
      <c r="AF2400">
        <v>1966</v>
      </c>
      <c r="AG2400">
        <v>1969</v>
      </c>
      <c r="AH2400">
        <v>-1.1437749053398101</v>
      </c>
      <c r="AI2400">
        <v>230</v>
      </c>
      <c r="AJ2400">
        <v>6.9818731167955796</v>
      </c>
      <c r="AK2400">
        <v>202.724999999999</v>
      </c>
      <c r="AL2400">
        <v>2.4389613024246901</v>
      </c>
      <c r="AN2400">
        <v>-4</v>
      </c>
      <c r="AO2400" t="b">
        <v>0</v>
      </c>
      <c r="AT2400">
        <v>1134</v>
      </c>
      <c r="AU2400">
        <f t="shared" si="113"/>
        <v>3.1070000000000002</v>
      </c>
    </row>
    <row r="2401" spans="1:47" x14ac:dyDescent="0.3">
      <c r="A2401">
        <v>2399</v>
      </c>
      <c r="B2401" t="s">
        <v>9917</v>
      </c>
      <c r="C2401" t="s">
        <v>9918</v>
      </c>
      <c r="D2401">
        <v>452</v>
      </c>
      <c r="E2401" t="s">
        <v>9910</v>
      </c>
      <c r="F2401" t="str">
        <f>VLOOKUP(E2401,country_continent!A:C,2,FALSE)</f>
        <v>Ghana</v>
      </c>
      <c r="G2401" t="str">
        <f>VLOOKUP(E2401,country_continent!A:C,3,FALSE)</f>
        <v>Africa</v>
      </c>
      <c r="H2401" t="s">
        <v>9919</v>
      </c>
      <c r="I2401" s="1">
        <v>25296</v>
      </c>
      <c r="J2401" s="3">
        <f t="shared" si="111"/>
        <v>25296</v>
      </c>
      <c r="K2401" s="1">
        <v>25449</v>
      </c>
      <c r="L2401" s="3">
        <f t="shared" si="112"/>
        <v>25449</v>
      </c>
      <c r="M2401" t="s">
        <v>49</v>
      </c>
      <c r="N2401" t="s">
        <v>49</v>
      </c>
      <c r="O2401" t="s">
        <v>49</v>
      </c>
      <c r="P2401">
        <v>0</v>
      </c>
      <c r="Q2401" t="s">
        <v>50</v>
      </c>
      <c r="R2401" t="s">
        <v>51</v>
      </c>
      <c r="S2401">
        <v>1936</v>
      </c>
      <c r="T2401">
        <v>1979</v>
      </c>
      <c r="U2401" s="1">
        <v>13264</v>
      </c>
      <c r="V2401" s="2">
        <v>13264</v>
      </c>
      <c r="W2401" s="1">
        <v>29032</v>
      </c>
      <c r="X2401" s="2">
        <v>29032</v>
      </c>
      <c r="Y2401" t="s">
        <v>9920</v>
      </c>
      <c r="Z2401">
        <v>0</v>
      </c>
      <c r="AA2401">
        <v>1</v>
      </c>
      <c r="AB2401">
        <v>0</v>
      </c>
      <c r="AC2401">
        <v>0</v>
      </c>
      <c r="AF2401">
        <v>1969</v>
      </c>
      <c r="AG2401">
        <v>1969</v>
      </c>
      <c r="AH2401">
        <v>3.3878036607246802</v>
      </c>
      <c r="AI2401">
        <v>220</v>
      </c>
      <c r="AJ2401">
        <v>11.036816855639399</v>
      </c>
      <c r="AK2401">
        <v>202.7</v>
      </c>
      <c r="AL2401">
        <v>2.5010344687638302</v>
      </c>
      <c r="AN2401">
        <v>-4</v>
      </c>
      <c r="AO2401" t="b">
        <v>0</v>
      </c>
      <c r="AT2401">
        <v>153</v>
      </c>
      <c r="AU2401">
        <f t="shared" si="113"/>
        <v>0.41899999999999998</v>
      </c>
    </row>
    <row r="2402" spans="1:47" x14ac:dyDescent="0.3">
      <c r="A2402">
        <v>2400</v>
      </c>
      <c r="B2402" t="s">
        <v>9921</v>
      </c>
      <c r="C2402" t="s">
        <v>9922</v>
      </c>
      <c r="D2402">
        <v>452</v>
      </c>
      <c r="E2402" t="s">
        <v>9910</v>
      </c>
      <c r="F2402" t="str">
        <f>VLOOKUP(E2402,country_continent!A:C,2,FALSE)</f>
        <v>Ghana</v>
      </c>
      <c r="G2402" t="str">
        <f>VLOOKUP(E2402,country_continent!A:C,3,FALSE)</f>
        <v>Africa</v>
      </c>
      <c r="H2402" t="s">
        <v>9923</v>
      </c>
      <c r="I2402" s="1">
        <v>25449</v>
      </c>
      <c r="J2402" s="3">
        <f t="shared" si="111"/>
        <v>25449</v>
      </c>
      <c r="K2402" s="1">
        <v>26311</v>
      </c>
      <c r="L2402" s="3">
        <f t="shared" si="112"/>
        <v>26311</v>
      </c>
      <c r="M2402" t="s">
        <v>49</v>
      </c>
      <c r="N2402" t="s">
        <v>67</v>
      </c>
      <c r="O2402" t="s">
        <v>376</v>
      </c>
      <c r="P2402">
        <v>0</v>
      </c>
      <c r="Q2402" t="s">
        <v>362</v>
      </c>
      <c r="R2402" t="s">
        <v>51</v>
      </c>
      <c r="S2402">
        <v>1913</v>
      </c>
      <c r="T2402">
        <v>1978</v>
      </c>
      <c r="U2402" s="1">
        <v>4941</v>
      </c>
      <c r="V2402" s="2">
        <v>4941</v>
      </c>
      <c r="W2402" s="1">
        <v>28730</v>
      </c>
      <c r="X2402" s="2">
        <v>28730</v>
      </c>
      <c r="Z2402">
        <v>0</v>
      </c>
      <c r="AA2402">
        <v>3</v>
      </c>
      <c r="AB2402">
        <v>6</v>
      </c>
      <c r="AC2402">
        <v>1</v>
      </c>
      <c r="AF2402">
        <v>1969</v>
      </c>
      <c r="AG2402">
        <v>1972</v>
      </c>
      <c r="AH2402">
        <v>1.8419598593034501</v>
      </c>
      <c r="AI2402">
        <v>242.5</v>
      </c>
      <c r="AJ2402">
        <v>8.6451358205231603</v>
      </c>
      <c r="AK2402">
        <v>201.27500000000001</v>
      </c>
      <c r="AL2402">
        <v>2.6889309840351299</v>
      </c>
      <c r="AM2402">
        <v>2.8919640726993698</v>
      </c>
      <c r="AN2402">
        <v>-0.75</v>
      </c>
      <c r="AO2402" t="b">
        <v>0</v>
      </c>
      <c r="AT2402">
        <v>862</v>
      </c>
      <c r="AU2402">
        <f t="shared" si="113"/>
        <v>2.3620000000000001</v>
      </c>
    </row>
    <row r="2403" spans="1:47" x14ac:dyDescent="0.3">
      <c r="A2403">
        <v>2401</v>
      </c>
      <c r="B2403" t="s">
        <v>9924</v>
      </c>
      <c r="C2403" t="s">
        <v>9925</v>
      </c>
      <c r="D2403">
        <v>452</v>
      </c>
      <c r="E2403" t="s">
        <v>9910</v>
      </c>
      <c r="F2403" t="str">
        <f>VLOOKUP(E2403,country_continent!A:C,2,FALSE)</f>
        <v>Ghana</v>
      </c>
      <c r="G2403" t="str">
        <f>VLOOKUP(E2403,country_continent!A:C,3,FALSE)</f>
        <v>Africa</v>
      </c>
      <c r="H2403" t="s">
        <v>9926</v>
      </c>
      <c r="I2403" s="1">
        <v>26311</v>
      </c>
      <c r="J2403" s="3">
        <f t="shared" si="111"/>
        <v>26311</v>
      </c>
      <c r="K2403" s="1">
        <v>28676</v>
      </c>
      <c r="L2403" s="3">
        <f t="shared" si="112"/>
        <v>28676</v>
      </c>
      <c r="M2403" t="s">
        <v>67</v>
      </c>
      <c r="N2403" t="s">
        <v>67</v>
      </c>
      <c r="O2403" t="s">
        <v>389</v>
      </c>
      <c r="P2403">
        <v>0</v>
      </c>
      <c r="Q2403" t="s">
        <v>463</v>
      </c>
      <c r="R2403" t="s">
        <v>51</v>
      </c>
      <c r="S2403">
        <v>1931</v>
      </c>
      <c r="T2403">
        <v>1979</v>
      </c>
      <c r="U2403" s="1">
        <v>11589</v>
      </c>
      <c r="V2403" s="2">
        <v>11589</v>
      </c>
      <c r="W2403" s="1">
        <v>29022</v>
      </c>
      <c r="X2403" s="2">
        <v>29022</v>
      </c>
      <c r="Y2403" t="s">
        <v>9927</v>
      </c>
      <c r="Z2403">
        <v>1</v>
      </c>
      <c r="AA2403">
        <v>3</v>
      </c>
      <c r="AB2403">
        <v>16</v>
      </c>
      <c r="AC2403">
        <v>2</v>
      </c>
      <c r="AF2403">
        <v>1972</v>
      </c>
      <c r="AG2403">
        <v>1978</v>
      </c>
      <c r="AH2403">
        <v>-2.5862310183832302</v>
      </c>
      <c r="AI2403">
        <v>297.142857142857</v>
      </c>
      <c r="AJ2403">
        <v>36.999062233759197</v>
      </c>
      <c r="AK2403">
        <v>186.24285714285699</v>
      </c>
      <c r="AL2403">
        <v>2.9087170180147202</v>
      </c>
      <c r="AM2403">
        <v>5.4746018218352903</v>
      </c>
      <c r="AN2403">
        <v>-6.71</v>
      </c>
      <c r="AO2403" t="b">
        <v>0</v>
      </c>
      <c r="AT2403">
        <v>2365</v>
      </c>
      <c r="AU2403">
        <f t="shared" si="113"/>
        <v>6.4790000000000001</v>
      </c>
    </row>
    <row r="2404" spans="1:47" x14ac:dyDescent="0.3">
      <c r="A2404">
        <v>2402</v>
      </c>
      <c r="B2404" t="s">
        <v>9928</v>
      </c>
      <c r="C2404" t="s">
        <v>9929</v>
      </c>
      <c r="D2404">
        <v>452</v>
      </c>
      <c r="E2404" t="s">
        <v>9910</v>
      </c>
      <c r="F2404" t="str">
        <f>VLOOKUP(E2404,country_continent!A:C,2,FALSE)</f>
        <v>Ghana</v>
      </c>
      <c r="G2404" t="str">
        <f>VLOOKUP(E2404,country_continent!A:C,3,FALSE)</f>
        <v>Africa</v>
      </c>
      <c r="H2404" t="s">
        <v>9930</v>
      </c>
      <c r="I2404" s="1">
        <v>28676</v>
      </c>
      <c r="J2404" s="3">
        <f t="shared" si="111"/>
        <v>28676</v>
      </c>
      <c r="K2404" s="1">
        <v>29010</v>
      </c>
      <c r="L2404" s="3">
        <f t="shared" si="112"/>
        <v>29010</v>
      </c>
      <c r="M2404" t="s">
        <v>49</v>
      </c>
      <c r="N2404" t="s">
        <v>67</v>
      </c>
      <c r="O2404" t="s">
        <v>376</v>
      </c>
      <c r="P2404">
        <v>0</v>
      </c>
      <c r="Q2404" t="s">
        <v>69</v>
      </c>
      <c r="R2404" t="s">
        <v>51</v>
      </c>
      <c r="S2404">
        <v>1937</v>
      </c>
      <c r="T2404">
        <v>1979</v>
      </c>
      <c r="U2404" s="1">
        <v>13595</v>
      </c>
      <c r="V2404" s="2">
        <v>13595</v>
      </c>
      <c r="W2404" s="1">
        <v>29032</v>
      </c>
      <c r="X2404" s="2">
        <v>29032</v>
      </c>
      <c r="Y2404" t="s">
        <v>9931</v>
      </c>
      <c r="Z2404">
        <v>0</v>
      </c>
      <c r="AA2404">
        <v>3</v>
      </c>
      <c r="AB2404">
        <v>6</v>
      </c>
      <c r="AC2404">
        <v>3</v>
      </c>
      <c r="AF2404">
        <v>1978</v>
      </c>
      <c r="AG2404">
        <v>1979</v>
      </c>
      <c r="AH2404">
        <v>-0.108430618310563</v>
      </c>
      <c r="AI2404">
        <v>340</v>
      </c>
      <c r="AJ2404">
        <v>55.628086377532902</v>
      </c>
      <c r="AK2404">
        <v>170.7</v>
      </c>
      <c r="AL2404">
        <v>3.04585764971955</v>
      </c>
      <c r="AM2404">
        <v>6.4961249298201604</v>
      </c>
      <c r="AN2404">
        <v>0</v>
      </c>
      <c r="AO2404" t="b">
        <v>0</v>
      </c>
      <c r="AT2404">
        <v>334</v>
      </c>
      <c r="AU2404">
        <f t="shared" si="113"/>
        <v>0.91500000000000004</v>
      </c>
    </row>
    <row r="2405" spans="1:47" x14ac:dyDescent="0.3">
      <c r="A2405">
        <v>2403</v>
      </c>
      <c r="B2405" t="s">
        <v>9932</v>
      </c>
      <c r="C2405" t="s">
        <v>9933</v>
      </c>
      <c r="D2405">
        <v>452</v>
      </c>
      <c r="E2405" t="s">
        <v>9910</v>
      </c>
      <c r="F2405" t="str">
        <f>VLOOKUP(E2405,country_continent!A:C,2,FALSE)</f>
        <v>Ghana</v>
      </c>
      <c r="G2405" t="str">
        <f>VLOOKUP(E2405,country_continent!A:C,3,FALSE)</f>
        <v>Africa</v>
      </c>
      <c r="H2405" t="s">
        <v>9934</v>
      </c>
      <c r="I2405" s="1">
        <v>29011</v>
      </c>
      <c r="J2405" s="3">
        <f t="shared" si="111"/>
        <v>29011</v>
      </c>
      <c r="K2405" s="1">
        <v>29122</v>
      </c>
      <c r="L2405" s="3">
        <f t="shared" si="112"/>
        <v>29122</v>
      </c>
      <c r="M2405" t="s">
        <v>67</v>
      </c>
      <c r="N2405" t="s">
        <v>49</v>
      </c>
      <c r="O2405" t="s">
        <v>49</v>
      </c>
      <c r="P2405">
        <v>0</v>
      </c>
      <c r="Q2405" t="s">
        <v>50</v>
      </c>
      <c r="R2405" t="s">
        <v>51</v>
      </c>
      <c r="S2405">
        <v>1947</v>
      </c>
      <c r="T2405">
        <v>-777</v>
      </c>
      <c r="U2405" s="1">
        <v>17340</v>
      </c>
      <c r="V2405" s="2">
        <v>17340</v>
      </c>
      <c r="Y2405" t="s">
        <v>9935</v>
      </c>
      <c r="Z2405">
        <v>1</v>
      </c>
      <c r="AA2405">
        <v>1</v>
      </c>
      <c r="AB2405">
        <v>0</v>
      </c>
      <c r="AC2405">
        <v>0</v>
      </c>
      <c r="AF2405">
        <v>1979</v>
      </c>
      <c r="AG2405">
        <v>1979</v>
      </c>
      <c r="AH2405">
        <v>-5.4469521288633302</v>
      </c>
      <c r="AI2405">
        <v>350</v>
      </c>
      <c r="AJ2405">
        <v>37.949478174950499</v>
      </c>
      <c r="AK2405">
        <v>169.1</v>
      </c>
      <c r="AL2405">
        <v>3.0538090797690001</v>
      </c>
      <c r="AM2405">
        <v>6.6141469423947798</v>
      </c>
      <c r="AN2405">
        <v>5</v>
      </c>
      <c r="AO2405" t="b">
        <v>0</v>
      </c>
      <c r="AT2405">
        <v>111</v>
      </c>
      <c r="AU2405">
        <f t="shared" si="113"/>
        <v>0.30399999999999999</v>
      </c>
    </row>
    <row r="2406" spans="1:47" x14ac:dyDescent="0.3">
      <c r="A2406">
        <v>2404</v>
      </c>
      <c r="B2406" t="s">
        <v>9936</v>
      </c>
      <c r="C2406" t="s">
        <v>9937</v>
      </c>
      <c r="D2406">
        <v>452</v>
      </c>
      <c r="E2406" t="s">
        <v>9910</v>
      </c>
      <c r="F2406" t="str">
        <f>VLOOKUP(E2406,country_continent!A:C,2,FALSE)</f>
        <v>Ghana</v>
      </c>
      <c r="G2406" t="str">
        <f>VLOOKUP(E2406,country_continent!A:C,3,FALSE)</f>
        <v>Africa</v>
      </c>
      <c r="H2406" t="s">
        <v>9938</v>
      </c>
      <c r="I2406" s="1">
        <v>29122</v>
      </c>
      <c r="J2406" s="3">
        <f t="shared" si="111"/>
        <v>29122</v>
      </c>
      <c r="K2406" s="1">
        <v>29951</v>
      </c>
      <c r="L2406" s="3">
        <f t="shared" si="112"/>
        <v>29951</v>
      </c>
      <c r="M2406" t="s">
        <v>49</v>
      </c>
      <c r="N2406" t="s">
        <v>67</v>
      </c>
      <c r="O2406" t="s">
        <v>376</v>
      </c>
      <c r="P2406">
        <v>0</v>
      </c>
      <c r="Q2406" t="s">
        <v>463</v>
      </c>
      <c r="R2406" t="s">
        <v>51</v>
      </c>
      <c r="S2406">
        <v>1934</v>
      </c>
      <c r="T2406">
        <v>1998</v>
      </c>
      <c r="U2406" s="1">
        <v>12765</v>
      </c>
      <c r="V2406" s="2">
        <v>12765</v>
      </c>
      <c r="W2406" s="1">
        <v>35818</v>
      </c>
      <c r="X2406" s="2">
        <v>35818</v>
      </c>
      <c r="Y2406" t="s">
        <v>9939</v>
      </c>
      <c r="Z2406">
        <v>0</v>
      </c>
      <c r="AA2406">
        <v>3</v>
      </c>
      <c r="AB2406">
        <v>6</v>
      </c>
      <c r="AC2406">
        <v>2</v>
      </c>
      <c r="AF2406">
        <v>1979</v>
      </c>
      <c r="AG2406">
        <v>1981</v>
      </c>
      <c r="AH2406">
        <v>-4.6825663006433897</v>
      </c>
      <c r="AI2406">
        <v>373.33333333333297</v>
      </c>
      <c r="AJ2406">
        <v>54.903059654320799</v>
      </c>
      <c r="AK2406">
        <v>167.2</v>
      </c>
      <c r="AL2406">
        <v>2.9293661767390802</v>
      </c>
      <c r="AM2406">
        <v>7.4439321703972103</v>
      </c>
      <c r="AN2406">
        <v>5</v>
      </c>
      <c r="AO2406" t="b">
        <v>0</v>
      </c>
      <c r="AT2406">
        <v>829</v>
      </c>
      <c r="AU2406">
        <f t="shared" si="113"/>
        <v>2.2709999999999999</v>
      </c>
    </row>
    <row r="2407" spans="1:47" x14ac:dyDescent="0.3">
      <c r="A2407">
        <v>2405</v>
      </c>
      <c r="B2407" t="s">
        <v>9940</v>
      </c>
      <c r="C2407" t="s">
        <v>9933</v>
      </c>
      <c r="D2407">
        <v>452</v>
      </c>
      <c r="E2407" t="s">
        <v>9910</v>
      </c>
      <c r="F2407" t="str">
        <f>VLOOKUP(E2407,country_continent!A:C,2,FALSE)</f>
        <v>Ghana</v>
      </c>
      <c r="G2407" t="str">
        <f>VLOOKUP(E2407,country_continent!A:C,3,FALSE)</f>
        <v>Africa</v>
      </c>
      <c r="H2407" t="s">
        <v>9934</v>
      </c>
      <c r="I2407" s="1">
        <v>29951</v>
      </c>
      <c r="J2407" s="3">
        <f t="shared" si="111"/>
        <v>29951</v>
      </c>
      <c r="K2407" s="1">
        <v>36898</v>
      </c>
      <c r="L2407" s="3">
        <f t="shared" si="112"/>
        <v>36898</v>
      </c>
      <c r="M2407" t="s">
        <v>67</v>
      </c>
      <c r="N2407" t="s">
        <v>49</v>
      </c>
      <c r="O2407" t="s">
        <v>49</v>
      </c>
      <c r="P2407">
        <v>1</v>
      </c>
      <c r="Q2407" t="s">
        <v>50</v>
      </c>
      <c r="R2407" t="s">
        <v>51</v>
      </c>
      <c r="S2407">
        <v>1947</v>
      </c>
      <c r="T2407">
        <v>-777</v>
      </c>
      <c r="U2407" s="1">
        <v>17340</v>
      </c>
      <c r="V2407" s="2">
        <v>17340</v>
      </c>
      <c r="Y2407" t="s">
        <v>9935</v>
      </c>
      <c r="Z2407">
        <v>1</v>
      </c>
      <c r="AA2407">
        <v>1</v>
      </c>
      <c r="AB2407">
        <v>0</v>
      </c>
      <c r="AC2407">
        <v>0</v>
      </c>
      <c r="AF2407">
        <v>1981</v>
      </c>
      <c r="AG2407">
        <v>2001</v>
      </c>
      <c r="AH2407">
        <v>0.78355309148740604</v>
      </c>
      <c r="AI2407">
        <v>366.19047619047598</v>
      </c>
      <c r="AJ2407">
        <v>35.466845373530703</v>
      </c>
      <c r="AK2407">
        <v>129.585714285714</v>
      </c>
      <c r="AL2407">
        <v>2.4954078711409502</v>
      </c>
      <c r="AM2407">
        <v>8.77874693813669</v>
      </c>
      <c r="AN2407">
        <v>-2.38</v>
      </c>
      <c r="AO2407" t="b">
        <v>0</v>
      </c>
      <c r="AT2407">
        <v>6947</v>
      </c>
      <c r="AU2407">
        <f t="shared" si="113"/>
        <v>19.033000000000001</v>
      </c>
    </row>
    <row r="2408" spans="1:47" x14ac:dyDescent="0.3">
      <c r="A2408">
        <v>2406</v>
      </c>
      <c r="B2408" t="s">
        <v>9941</v>
      </c>
      <c r="C2408" t="s">
        <v>9942</v>
      </c>
      <c r="D2408">
        <v>452</v>
      </c>
      <c r="E2408" t="s">
        <v>9910</v>
      </c>
      <c r="F2408" t="str">
        <f>VLOOKUP(E2408,country_continent!A:C,2,FALSE)</f>
        <v>Ghana</v>
      </c>
      <c r="G2408" t="str">
        <f>VLOOKUP(E2408,country_continent!A:C,3,FALSE)</f>
        <v>Africa</v>
      </c>
      <c r="H2408" t="s">
        <v>9943</v>
      </c>
      <c r="I2408" s="1">
        <v>36899</v>
      </c>
      <c r="J2408" s="3">
        <f t="shared" si="111"/>
        <v>36899</v>
      </c>
      <c r="K2408" s="1">
        <v>39820</v>
      </c>
      <c r="L2408" s="3">
        <f t="shared" si="112"/>
        <v>39820</v>
      </c>
      <c r="M2408" t="s">
        <v>49</v>
      </c>
      <c r="N2408" t="s">
        <v>49</v>
      </c>
      <c r="O2408" t="s">
        <v>49</v>
      </c>
      <c r="P2408">
        <v>0</v>
      </c>
      <c r="Q2408" t="s">
        <v>50</v>
      </c>
      <c r="R2408" t="s">
        <v>51</v>
      </c>
      <c r="S2408">
        <v>1938</v>
      </c>
      <c r="T2408">
        <v>-777</v>
      </c>
      <c r="U2408" s="1">
        <v>14222</v>
      </c>
      <c r="V2408" s="2">
        <v>14222</v>
      </c>
      <c r="Y2408" t="s">
        <v>9944</v>
      </c>
      <c r="Z2408">
        <v>0</v>
      </c>
      <c r="AA2408">
        <v>1</v>
      </c>
      <c r="AB2408">
        <v>0</v>
      </c>
      <c r="AC2408">
        <v>0</v>
      </c>
      <c r="AF2408">
        <v>2001</v>
      </c>
      <c r="AG2408">
        <v>2009</v>
      </c>
      <c r="AH2408">
        <v>2.81831338521215</v>
      </c>
      <c r="AI2408">
        <v>590</v>
      </c>
      <c r="AJ2408">
        <v>27.946595293709599</v>
      </c>
      <c r="AK2408">
        <v>82.522222222222197</v>
      </c>
      <c r="AL2408">
        <v>2.6216363140846202</v>
      </c>
      <c r="AM2408">
        <v>11.366420085440801</v>
      </c>
      <c r="AN2408">
        <v>7.33</v>
      </c>
      <c r="AO2408" t="b">
        <v>0</v>
      </c>
      <c r="AT2408">
        <v>2921</v>
      </c>
      <c r="AU2408">
        <f t="shared" si="113"/>
        <v>8.0030000000000001</v>
      </c>
    </row>
    <row r="2409" spans="1:47" x14ac:dyDescent="0.3">
      <c r="A2409">
        <v>2407</v>
      </c>
      <c r="B2409" t="s">
        <v>9945</v>
      </c>
      <c r="C2409" t="s">
        <v>9946</v>
      </c>
      <c r="D2409">
        <v>452</v>
      </c>
      <c r="E2409" t="s">
        <v>9910</v>
      </c>
      <c r="F2409" t="str">
        <f>VLOOKUP(E2409,country_continent!A:C,2,FALSE)</f>
        <v>Ghana</v>
      </c>
      <c r="G2409" t="str">
        <f>VLOOKUP(E2409,country_continent!A:C,3,FALSE)</f>
        <v>Africa</v>
      </c>
      <c r="H2409" t="s">
        <v>9947</v>
      </c>
      <c r="I2409" s="1">
        <v>39820</v>
      </c>
      <c r="J2409" s="3">
        <f t="shared" si="111"/>
        <v>39820</v>
      </c>
      <c r="K2409" s="1">
        <v>41114</v>
      </c>
      <c r="L2409" s="3">
        <f t="shared" si="112"/>
        <v>41114</v>
      </c>
      <c r="M2409" t="s">
        <v>49</v>
      </c>
      <c r="N2409" t="s">
        <v>110</v>
      </c>
      <c r="O2409" t="s">
        <v>49</v>
      </c>
      <c r="P2409">
        <v>0</v>
      </c>
      <c r="Q2409" t="s">
        <v>111</v>
      </c>
      <c r="R2409" t="s">
        <v>51</v>
      </c>
      <c r="S2409">
        <v>1944</v>
      </c>
      <c r="T2409">
        <v>-777</v>
      </c>
      <c r="Z2409">
        <v>0</v>
      </c>
      <c r="AA2409">
        <v>2</v>
      </c>
      <c r="AB2409">
        <v>0</v>
      </c>
      <c r="AC2409">
        <v>-777</v>
      </c>
      <c r="AF2409">
        <v>2009</v>
      </c>
      <c r="AG2409">
        <v>2012</v>
      </c>
      <c r="AH2409">
        <v>6.3959133012929001</v>
      </c>
      <c r="AI2409">
        <v>1300</v>
      </c>
      <c r="AJ2409">
        <v>15.345578567506699</v>
      </c>
      <c r="AK2409">
        <v>64.974999999999994</v>
      </c>
      <c r="AL2409">
        <v>2.4382949402452199</v>
      </c>
      <c r="AM2409">
        <v>13.204894142936</v>
      </c>
      <c r="AN2409">
        <v>8</v>
      </c>
      <c r="AO2409" t="b">
        <v>0</v>
      </c>
      <c r="AT2409">
        <v>1294</v>
      </c>
      <c r="AU2409">
        <f t="shared" si="113"/>
        <v>3.5449999999999999</v>
      </c>
    </row>
    <row r="2410" spans="1:47" x14ac:dyDescent="0.3">
      <c r="A2410">
        <v>2408</v>
      </c>
      <c r="B2410" t="s">
        <v>9948</v>
      </c>
      <c r="C2410" t="s">
        <v>9949</v>
      </c>
      <c r="D2410">
        <v>452</v>
      </c>
      <c r="E2410" t="s">
        <v>9910</v>
      </c>
      <c r="F2410" t="str">
        <f>VLOOKUP(E2410,country_continent!A:C,2,FALSE)</f>
        <v>Ghana</v>
      </c>
      <c r="G2410" t="str">
        <f>VLOOKUP(E2410,country_continent!A:C,3,FALSE)</f>
        <v>Africa</v>
      </c>
      <c r="H2410" t="s">
        <v>9950</v>
      </c>
      <c r="I2410" s="1">
        <v>41114</v>
      </c>
      <c r="J2410" s="3">
        <f t="shared" si="111"/>
        <v>41114</v>
      </c>
      <c r="K2410" s="1">
        <v>42369</v>
      </c>
      <c r="L2410" s="3">
        <f t="shared" si="112"/>
        <v>42369</v>
      </c>
      <c r="M2410" t="s">
        <v>49</v>
      </c>
      <c r="N2410" t="s">
        <v>173</v>
      </c>
      <c r="O2410" t="s">
        <v>173</v>
      </c>
      <c r="P2410">
        <v>0</v>
      </c>
      <c r="Q2410" t="s">
        <v>174</v>
      </c>
      <c r="R2410" t="s">
        <v>51</v>
      </c>
      <c r="S2410">
        <v>1958</v>
      </c>
      <c r="T2410">
        <v>-777</v>
      </c>
      <c r="U2410" s="1">
        <v>21518</v>
      </c>
      <c r="V2410" s="2">
        <v>21518</v>
      </c>
      <c r="Z2410">
        <v>0</v>
      </c>
      <c r="AA2410">
        <v>-888</v>
      </c>
      <c r="AB2410">
        <v>-888</v>
      </c>
      <c r="AC2410">
        <v>-888</v>
      </c>
      <c r="AF2410">
        <v>2012</v>
      </c>
      <c r="AG2410">
        <v>2015</v>
      </c>
      <c r="AH2410">
        <v>2.9204072661806602</v>
      </c>
      <c r="AI2410">
        <v>1747.5</v>
      </c>
      <c r="AJ2410">
        <v>26.6027789845472</v>
      </c>
      <c r="AK2410">
        <v>56.224999999999902</v>
      </c>
      <c r="AL2410">
        <v>2.3753253128046699</v>
      </c>
      <c r="AM2410">
        <v>12.381235689616201</v>
      </c>
      <c r="AN2410">
        <v>8</v>
      </c>
      <c r="AO2410" t="b">
        <v>0</v>
      </c>
      <c r="AT2410">
        <v>1255</v>
      </c>
      <c r="AU2410">
        <f t="shared" si="113"/>
        <v>3.4380000000000002</v>
      </c>
    </row>
    <row r="2411" spans="1:47" x14ac:dyDescent="0.3">
      <c r="A2411">
        <v>2409</v>
      </c>
      <c r="B2411" t="s">
        <v>9951</v>
      </c>
      <c r="C2411" t="s">
        <v>9952</v>
      </c>
      <c r="D2411">
        <v>461</v>
      </c>
      <c r="E2411" t="s">
        <v>9953</v>
      </c>
      <c r="F2411" t="str">
        <f>VLOOKUP(E2411,country_continent!A:C,2,FALSE)</f>
        <v>Togo</v>
      </c>
      <c r="G2411" t="str">
        <f>VLOOKUP(E2411,country_continent!A:C,3,FALSE)</f>
        <v>Africa</v>
      </c>
      <c r="H2411" t="s">
        <v>9954</v>
      </c>
      <c r="I2411" s="1">
        <v>22033</v>
      </c>
      <c r="J2411" s="3">
        <f t="shared" si="111"/>
        <v>22033</v>
      </c>
      <c r="K2411" s="1">
        <v>23024</v>
      </c>
      <c r="L2411" s="3">
        <f t="shared" si="112"/>
        <v>23024</v>
      </c>
      <c r="M2411" t="s">
        <v>49</v>
      </c>
      <c r="N2411" t="s">
        <v>67</v>
      </c>
      <c r="O2411" t="s">
        <v>376</v>
      </c>
      <c r="P2411">
        <v>0</v>
      </c>
      <c r="Q2411" t="s">
        <v>69</v>
      </c>
      <c r="R2411" t="s">
        <v>51</v>
      </c>
      <c r="S2411">
        <v>1902</v>
      </c>
      <c r="T2411">
        <v>1963</v>
      </c>
      <c r="U2411" s="1">
        <v>980</v>
      </c>
      <c r="V2411" s="2">
        <v>980</v>
      </c>
      <c r="W2411" s="1">
        <v>23024</v>
      </c>
      <c r="X2411" s="2">
        <v>23024</v>
      </c>
      <c r="Z2411">
        <v>0</v>
      </c>
      <c r="AA2411">
        <v>3</v>
      </c>
      <c r="AB2411">
        <v>6</v>
      </c>
      <c r="AC2411">
        <v>3</v>
      </c>
      <c r="AD2411" t="s">
        <v>9955</v>
      </c>
      <c r="AE2411">
        <v>0</v>
      </c>
      <c r="AF2411">
        <v>1960</v>
      </c>
      <c r="AG2411">
        <v>1963</v>
      </c>
      <c r="AO2411" t="b">
        <v>0</v>
      </c>
      <c r="AT2411">
        <v>991</v>
      </c>
      <c r="AU2411">
        <f t="shared" si="113"/>
        <v>2.7149999999999999</v>
      </c>
    </row>
    <row r="2412" spans="1:47" x14ac:dyDescent="0.3">
      <c r="A2412">
        <v>2410</v>
      </c>
      <c r="B2412" t="s">
        <v>9956</v>
      </c>
      <c r="C2412" t="s">
        <v>9957</v>
      </c>
      <c r="D2412">
        <v>461</v>
      </c>
      <c r="E2412" t="s">
        <v>9953</v>
      </c>
      <c r="F2412" t="str">
        <f>VLOOKUP(E2412,country_continent!A:C,2,FALSE)</f>
        <v>Togo</v>
      </c>
      <c r="G2412" t="str">
        <f>VLOOKUP(E2412,country_continent!A:C,3,FALSE)</f>
        <v>Africa</v>
      </c>
      <c r="H2412" t="s">
        <v>9958</v>
      </c>
      <c r="I2412" s="1">
        <v>23027</v>
      </c>
      <c r="J2412" s="3">
        <f t="shared" si="111"/>
        <v>23027</v>
      </c>
      <c r="K2412" s="1">
        <v>24485</v>
      </c>
      <c r="L2412" s="3">
        <f t="shared" si="112"/>
        <v>24485</v>
      </c>
      <c r="M2412" t="s">
        <v>67</v>
      </c>
      <c r="N2412" t="s">
        <v>67</v>
      </c>
      <c r="O2412" t="s">
        <v>376</v>
      </c>
      <c r="P2412">
        <v>0</v>
      </c>
      <c r="Q2412" t="s">
        <v>362</v>
      </c>
      <c r="R2412" t="s">
        <v>51</v>
      </c>
      <c r="S2412">
        <v>1913</v>
      </c>
      <c r="T2412">
        <v>1969</v>
      </c>
      <c r="U2412" s="1">
        <v>4844</v>
      </c>
      <c r="V2412" s="2">
        <v>4844</v>
      </c>
      <c r="Z2412">
        <v>1</v>
      </c>
      <c r="AA2412">
        <v>3</v>
      </c>
      <c r="AB2412">
        <v>6</v>
      </c>
      <c r="AC2412">
        <v>1</v>
      </c>
      <c r="AD2412" t="s">
        <v>9959</v>
      </c>
      <c r="AE2412">
        <v>1</v>
      </c>
      <c r="AF2412">
        <v>1963</v>
      </c>
      <c r="AG2412">
        <v>1967</v>
      </c>
      <c r="AO2412" t="b">
        <v>0</v>
      </c>
      <c r="AT2412">
        <v>1458</v>
      </c>
      <c r="AU2412">
        <f t="shared" si="113"/>
        <v>3.9950000000000001</v>
      </c>
    </row>
    <row r="2413" spans="1:47" x14ac:dyDescent="0.3">
      <c r="A2413">
        <v>2411</v>
      </c>
      <c r="B2413" t="s">
        <v>9960</v>
      </c>
      <c r="C2413" t="s">
        <v>9961</v>
      </c>
      <c r="D2413">
        <v>461</v>
      </c>
      <c r="E2413" t="s">
        <v>9953</v>
      </c>
      <c r="F2413" t="str">
        <f>VLOOKUP(E2413,country_continent!A:C,2,FALSE)</f>
        <v>Togo</v>
      </c>
      <c r="G2413" t="str">
        <f>VLOOKUP(E2413,country_continent!A:C,3,FALSE)</f>
        <v>Africa</v>
      </c>
      <c r="H2413" t="s">
        <v>9962</v>
      </c>
      <c r="I2413" s="1">
        <v>24485</v>
      </c>
      <c r="J2413" s="3">
        <f t="shared" si="111"/>
        <v>24485</v>
      </c>
      <c r="K2413" s="1">
        <v>24576</v>
      </c>
      <c r="L2413" s="3">
        <f t="shared" si="112"/>
        <v>24576</v>
      </c>
      <c r="M2413" t="s">
        <v>67</v>
      </c>
      <c r="N2413" t="s">
        <v>67</v>
      </c>
      <c r="O2413" t="s">
        <v>389</v>
      </c>
      <c r="P2413">
        <v>0</v>
      </c>
      <c r="Q2413" t="s">
        <v>50</v>
      </c>
      <c r="R2413" t="s">
        <v>51</v>
      </c>
      <c r="S2413">
        <v>1914</v>
      </c>
      <c r="T2413">
        <v>1979</v>
      </c>
      <c r="U2413" s="1">
        <v>5338</v>
      </c>
      <c r="V2413" s="2">
        <v>5338</v>
      </c>
      <c r="Z2413">
        <v>1</v>
      </c>
      <c r="AA2413">
        <v>3</v>
      </c>
      <c r="AB2413">
        <v>16</v>
      </c>
      <c r="AC2413">
        <v>0</v>
      </c>
      <c r="AF2413">
        <v>1967</v>
      </c>
      <c r="AG2413">
        <v>1967</v>
      </c>
      <c r="AO2413" t="b">
        <v>0</v>
      </c>
      <c r="AT2413">
        <v>91</v>
      </c>
      <c r="AU2413">
        <f t="shared" si="113"/>
        <v>0.249</v>
      </c>
    </row>
    <row r="2414" spans="1:47" x14ac:dyDescent="0.3">
      <c r="A2414">
        <v>2412</v>
      </c>
      <c r="B2414" t="s">
        <v>9963</v>
      </c>
      <c r="C2414" t="s">
        <v>9964</v>
      </c>
      <c r="D2414">
        <v>461</v>
      </c>
      <c r="E2414" t="s">
        <v>9953</v>
      </c>
      <c r="F2414" t="str">
        <f>VLOOKUP(E2414,country_continent!A:C,2,FALSE)</f>
        <v>Togo</v>
      </c>
      <c r="G2414" t="str">
        <f>VLOOKUP(E2414,country_continent!A:C,3,FALSE)</f>
        <v>Africa</v>
      </c>
      <c r="H2414" t="s">
        <v>9965</v>
      </c>
      <c r="I2414" s="1">
        <v>24576</v>
      </c>
      <c r="J2414" s="3">
        <f t="shared" si="111"/>
        <v>24576</v>
      </c>
      <c r="K2414" s="1">
        <v>38388</v>
      </c>
      <c r="L2414" s="3">
        <f t="shared" si="112"/>
        <v>38388</v>
      </c>
      <c r="M2414" t="s">
        <v>67</v>
      </c>
      <c r="N2414" t="s">
        <v>110</v>
      </c>
      <c r="O2414" t="s">
        <v>49</v>
      </c>
      <c r="P2414">
        <v>0</v>
      </c>
      <c r="Q2414" t="s">
        <v>111</v>
      </c>
      <c r="R2414" t="s">
        <v>51</v>
      </c>
      <c r="S2414">
        <v>1937</v>
      </c>
      <c r="T2414">
        <v>2005</v>
      </c>
      <c r="U2414" s="1">
        <v>13875</v>
      </c>
      <c r="V2414" s="2">
        <v>13875</v>
      </c>
      <c r="W2414" s="1">
        <v>38388</v>
      </c>
      <c r="X2414" s="2">
        <v>38388</v>
      </c>
      <c r="Y2414" t="s">
        <v>9966</v>
      </c>
      <c r="Z2414">
        <v>1</v>
      </c>
      <c r="AA2414">
        <v>2</v>
      </c>
      <c r="AB2414">
        <v>0</v>
      </c>
      <c r="AC2414">
        <v>-777</v>
      </c>
      <c r="AD2414" t="s">
        <v>9967</v>
      </c>
      <c r="AE2414">
        <v>0</v>
      </c>
      <c r="AF2414">
        <v>1967</v>
      </c>
      <c r="AG2414">
        <v>2005</v>
      </c>
      <c r="AO2414" t="b">
        <v>0</v>
      </c>
      <c r="AT2414">
        <v>13812</v>
      </c>
      <c r="AU2414">
        <f t="shared" si="113"/>
        <v>37.841000000000001</v>
      </c>
    </row>
    <row r="2415" spans="1:47" x14ac:dyDescent="0.3">
      <c r="A2415">
        <v>2413</v>
      </c>
      <c r="B2415" t="s">
        <v>9968</v>
      </c>
      <c r="C2415" t="s">
        <v>9969</v>
      </c>
      <c r="D2415">
        <v>461</v>
      </c>
      <c r="E2415" t="s">
        <v>9953</v>
      </c>
      <c r="F2415" t="str">
        <f>VLOOKUP(E2415,country_continent!A:C,2,FALSE)</f>
        <v>Togo</v>
      </c>
      <c r="G2415" t="str">
        <f>VLOOKUP(E2415,country_continent!A:C,3,FALSE)</f>
        <v>Africa</v>
      </c>
      <c r="H2415" t="s">
        <v>9970</v>
      </c>
      <c r="I2415" s="1">
        <v>38388</v>
      </c>
      <c r="J2415" s="3">
        <f t="shared" si="111"/>
        <v>38388</v>
      </c>
      <c r="K2415" s="1">
        <v>38408</v>
      </c>
      <c r="L2415" s="3">
        <f t="shared" si="112"/>
        <v>38408</v>
      </c>
      <c r="M2415" t="s">
        <v>49</v>
      </c>
      <c r="N2415" t="s">
        <v>49</v>
      </c>
      <c r="O2415" t="s">
        <v>49</v>
      </c>
      <c r="P2415">
        <v>0</v>
      </c>
      <c r="Q2415" t="s">
        <v>50</v>
      </c>
      <c r="R2415" t="s">
        <v>51</v>
      </c>
      <c r="S2415">
        <v>1966</v>
      </c>
      <c r="T2415">
        <v>-777</v>
      </c>
      <c r="Z2415">
        <v>0</v>
      </c>
      <c r="AA2415">
        <v>1</v>
      </c>
      <c r="AB2415">
        <v>0</v>
      </c>
      <c r="AC2415">
        <v>0</v>
      </c>
      <c r="AD2415" t="s">
        <v>9971</v>
      </c>
      <c r="AF2415">
        <v>2005</v>
      </c>
      <c r="AG2415">
        <v>2005</v>
      </c>
      <c r="AO2415" t="b">
        <v>0</v>
      </c>
      <c r="AT2415">
        <v>20</v>
      </c>
      <c r="AU2415">
        <f t="shared" si="113"/>
        <v>5.5E-2</v>
      </c>
    </row>
    <row r="2416" spans="1:47" x14ac:dyDescent="0.3">
      <c r="A2416">
        <v>2414</v>
      </c>
      <c r="B2416" t="s">
        <v>9972</v>
      </c>
      <c r="C2416" t="s">
        <v>9973</v>
      </c>
      <c r="D2416">
        <v>461</v>
      </c>
      <c r="E2416" t="s">
        <v>9953</v>
      </c>
      <c r="F2416" t="str">
        <f>VLOOKUP(E2416,country_continent!A:C,2,FALSE)</f>
        <v>Togo</v>
      </c>
      <c r="G2416" t="str">
        <f>VLOOKUP(E2416,country_continent!A:C,3,FALSE)</f>
        <v>Africa</v>
      </c>
      <c r="H2416" t="s">
        <v>9974</v>
      </c>
      <c r="I2416" s="1">
        <v>38408</v>
      </c>
      <c r="J2416" s="3">
        <f t="shared" si="111"/>
        <v>38408</v>
      </c>
      <c r="K2416" s="1">
        <v>38476</v>
      </c>
      <c r="L2416" s="3">
        <f t="shared" si="112"/>
        <v>38476</v>
      </c>
      <c r="M2416" t="s">
        <v>49</v>
      </c>
      <c r="N2416" t="s">
        <v>49</v>
      </c>
      <c r="O2416" t="s">
        <v>49</v>
      </c>
      <c r="P2416">
        <v>0</v>
      </c>
      <c r="Q2416" t="s">
        <v>50</v>
      </c>
      <c r="R2416" t="s">
        <v>51</v>
      </c>
      <c r="S2416">
        <v>1948</v>
      </c>
      <c r="T2416">
        <v>-777</v>
      </c>
      <c r="Z2416">
        <v>0</v>
      </c>
      <c r="AA2416">
        <v>1</v>
      </c>
      <c r="AB2416">
        <v>0</v>
      </c>
      <c r="AC2416">
        <v>0</v>
      </c>
      <c r="AF2416">
        <v>2005</v>
      </c>
      <c r="AG2416">
        <v>2005</v>
      </c>
      <c r="AO2416" t="b">
        <v>0</v>
      </c>
      <c r="AT2416">
        <v>68</v>
      </c>
      <c r="AU2416">
        <f t="shared" si="113"/>
        <v>0.186</v>
      </c>
    </row>
    <row r="2417" spans="1:47" x14ac:dyDescent="0.3">
      <c r="A2417">
        <v>2415</v>
      </c>
      <c r="B2417" t="s">
        <v>9975</v>
      </c>
      <c r="C2417" t="s">
        <v>9969</v>
      </c>
      <c r="D2417">
        <v>461</v>
      </c>
      <c r="E2417" t="s">
        <v>9953</v>
      </c>
      <c r="F2417" t="str">
        <f>VLOOKUP(E2417,country_continent!A:C,2,FALSE)</f>
        <v>Togo</v>
      </c>
      <c r="G2417" t="str">
        <f>VLOOKUP(E2417,country_continent!A:C,3,FALSE)</f>
        <v>Africa</v>
      </c>
      <c r="H2417" t="s">
        <v>9970</v>
      </c>
      <c r="I2417" s="1">
        <v>38476</v>
      </c>
      <c r="J2417" s="3">
        <f t="shared" si="111"/>
        <v>38476</v>
      </c>
      <c r="K2417" s="1">
        <v>42369</v>
      </c>
      <c r="L2417" s="3">
        <f t="shared" si="112"/>
        <v>42369</v>
      </c>
      <c r="M2417" t="s">
        <v>49</v>
      </c>
      <c r="N2417" t="s">
        <v>173</v>
      </c>
      <c r="O2417" t="s">
        <v>173</v>
      </c>
      <c r="P2417">
        <v>1</v>
      </c>
      <c r="Q2417" t="s">
        <v>174</v>
      </c>
      <c r="R2417" t="s">
        <v>51</v>
      </c>
      <c r="S2417">
        <v>1966</v>
      </c>
      <c r="T2417">
        <v>-777</v>
      </c>
      <c r="Z2417">
        <v>0</v>
      </c>
      <c r="AA2417">
        <v>-888</v>
      </c>
      <c r="AB2417">
        <v>-888</v>
      </c>
      <c r="AC2417">
        <v>-888</v>
      </c>
      <c r="AD2417" t="s">
        <v>9971</v>
      </c>
      <c r="AE2417">
        <v>1</v>
      </c>
      <c r="AF2417">
        <v>2005</v>
      </c>
      <c r="AG2417">
        <v>2015</v>
      </c>
      <c r="AO2417" t="b">
        <v>0</v>
      </c>
      <c r="AT2417">
        <v>3893</v>
      </c>
      <c r="AU2417">
        <f t="shared" si="113"/>
        <v>10.666</v>
      </c>
    </row>
    <row r="2418" spans="1:47" x14ac:dyDescent="0.3">
      <c r="A2418">
        <v>2416</v>
      </c>
      <c r="B2418" t="s">
        <v>9976</v>
      </c>
      <c r="C2418" t="s">
        <v>9977</v>
      </c>
      <c r="D2418">
        <v>471</v>
      </c>
      <c r="E2418" t="s">
        <v>9978</v>
      </c>
      <c r="F2418" t="str">
        <f>VLOOKUP(E2418,country_continent!A:C,2,FALSE)</f>
        <v>Cameroon</v>
      </c>
      <c r="G2418" t="str">
        <f>VLOOKUP(E2418,country_continent!A:C,3,FALSE)</f>
        <v>Africa</v>
      </c>
      <c r="H2418" t="s">
        <v>9979</v>
      </c>
      <c r="I2418" s="1">
        <v>21916</v>
      </c>
      <c r="J2418" s="3">
        <f t="shared" si="111"/>
        <v>21916</v>
      </c>
      <c r="K2418" s="1">
        <v>30261</v>
      </c>
      <c r="L2418" s="3">
        <f t="shared" si="112"/>
        <v>30261</v>
      </c>
      <c r="M2418" t="s">
        <v>49</v>
      </c>
      <c r="N2418" t="s">
        <v>228</v>
      </c>
      <c r="O2418" t="s">
        <v>49</v>
      </c>
      <c r="P2418">
        <v>0</v>
      </c>
      <c r="Q2418" t="s">
        <v>362</v>
      </c>
      <c r="R2418" t="s">
        <v>51</v>
      </c>
      <c r="S2418">
        <v>1924</v>
      </c>
      <c r="T2418">
        <v>1989</v>
      </c>
      <c r="U2418" s="1">
        <v>9003</v>
      </c>
      <c r="V2418" s="2">
        <v>9003</v>
      </c>
      <c r="W2418" s="1">
        <v>32842</v>
      </c>
      <c r="X2418" s="2">
        <v>32842</v>
      </c>
      <c r="Y2418" t="s">
        <v>9980</v>
      </c>
      <c r="Z2418">
        <v>0</v>
      </c>
      <c r="AA2418">
        <v>2.0999998999999998</v>
      </c>
      <c r="AB2418">
        <v>0</v>
      </c>
      <c r="AC2418">
        <v>1</v>
      </c>
      <c r="AF2418">
        <v>1960</v>
      </c>
      <c r="AG2418">
        <v>1982</v>
      </c>
      <c r="AO2418" t="b">
        <v>1</v>
      </c>
      <c r="AP2418" t="s">
        <v>6291</v>
      </c>
      <c r="AQ2418">
        <v>1960</v>
      </c>
      <c r="AR2418">
        <v>1974</v>
      </c>
      <c r="AS2418" t="s">
        <v>9981</v>
      </c>
      <c r="AT2418">
        <v>22.847364818617301</v>
      </c>
      <c r="AU2418">
        <f t="shared" si="113"/>
        <v>6.3E-2</v>
      </c>
    </row>
    <row r="2419" spans="1:47" x14ac:dyDescent="0.3">
      <c r="A2419">
        <v>2417</v>
      </c>
      <c r="B2419" t="s">
        <v>9982</v>
      </c>
      <c r="C2419" t="s">
        <v>9983</v>
      </c>
      <c r="D2419">
        <v>471</v>
      </c>
      <c r="E2419" t="s">
        <v>9978</v>
      </c>
      <c r="F2419" t="str">
        <f>VLOOKUP(E2419,country_continent!A:C,2,FALSE)</f>
        <v>Cameroon</v>
      </c>
      <c r="G2419" t="str">
        <f>VLOOKUP(E2419,country_continent!A:C,3,FALSE)</f>
        <v>Africa</v>
      </c>
      <c r="H2419" t="s">
        <v>9984</v>
      </c>
      <c r="I2419" s="1">
        <v>30261</v>
      </c>
      <c r="J2419" s="3">
        <f t="shared" si="111"/>
        <v>30261</v>
      </c>
      <c r="K2419" s="1">
        <v>42369</v>
      </c>
      <c r="L2419" s="3">
        <f t="shared" si="112"/>
        <v>42369</v>
      </c>
      <c r="M2419" t="s">
        <v>49</v>
      </c>
      <c r="N2419" t="s">
        <v>173</v>
      </c>
      <c r="O2419" t="s">
        <v>173</v>
      </c>
      <c r="P2419">
        <v>0</v>
      </c>
      <c r="Q2419" t="s">
        <v>174</v>
      </c>
      <c r="R2419" t="s">
        <v>51</v>
      </c>
      <c r="S2419">
        <v>1933</v>
      </c>
      <c r="T2419">
        <v>-777</v>
      </c>
      <c r="U2419" s="1">
        <v>12098</v>
      </c>
      <c r="V2419" s="2">
        <v>12098</v>
      </c>
      <c r="Y2419" t="s">
        <v>9985</v>
      </c>
      <c r="Z2419">
        <v>0</v>
      </c>
      <c r="AA2419">
        <v>-888</v>
      </c>
      <c r="AB2419">
        <v>-888</v>
      </c>
      <c r="AC2419">
        <v>-888</v>
      </c>
      <c r="AF2419">
        <v>1982</v>
      </c>
      <c r="AG2419">
        <v>2015</v>
      </c>
      <c r="AO2419" t="b">
        <v>1</v>
      </c>
      <c r="AP2419" t="s">
        <v>6291</v>
      </c>
      <c r="AQ2419">
        <v>1960</v>
      </c>
      <c r="AR2419">
        <v>1974</v>
      </c>
      <c r="AS2419" t="s">
        <v>9986</v>
      </c>
      <c r="AT2419">
        <v>33.149897330595401</v>
      </c>
      <c r="AU2419">
        <f t="shared" si="113"/>
        <v>9.0999999999999998E-2</v>
      </c>
    </row>
    <row r="2420" spans="1:47" x14ac:dyDescent="0.3">
      <c r="A2420">
        <v>2418</v>
      </c>
      <c r="B2420" t="s">
        <v>9987</v>
      </c>
      <c r="C2420" t="s">
        <v>9988</v>
      </c>
      <c r="D2420">
        <v>475</v>
      </c>
      <c r="E2420" t="s">
        <v>9989</v>
      </c>
      <c r="F2420" t="str">
        <f>VLOOKUP(E2420,country_continent!A:C,2,FALSE)</f>
        <v>Nigeria</v>
      </c>
      <c r="G2420" t="str">
        <f>VLOOKUP(E2420,country_continent!A:C,3,FALSE)</f>
        <v>Africa</v>
      </c>
      <c r="H2420" t="s">
        <v>9990</v>
      </c>
      <c r="I2420" s="1">
        <v>22190</v>
      </c>
      <c r="J2420" s="3">
        <f t="shared" si="111"/>
        <v>22190</v>
      </c>
      <c r="K2420" s="1">
        <v>24122</v>
      </c>
      <c r="L2420" s="3">
        <f t="shared" si="112"/>
        <v>24122</v>
      </c>
      <c r="M2420" t="s">
        <v>49</v>
      </c>
      <c r="N2420" t="s">
        <v>67</v>
      </c>
      <c r="O2420" t="s">
        <v>376</v>
      </c>
      <c r="P2420">
        <v>0</v>
      </c>
      <c r="Q2420" t="s">
        <v>69</v>
      </c>
      <c r="R2420" t="s">
        <v>51</v>
      </c>
      <c r="S2420">
        <v>1912</v>
      </c>
      <c r="T2420">
        <v>1966</v>
      </c>
      <c r="W2420" s="1">
        <v>24122</v>
      </c>
      <c r="X2420" s="2">
        <v>24122</v>
      </c>
      <c r="Y2420" t="s">
        <v>9991</v>
      </c>
      <c r="Z2420">
        <v>0</v>
      </c>
      <c r="AA2420">
        <v>3</v>
      </c>
      <c r="AB2420">
        <v>6</v>
      </c>
      <c r="AC2420">
        <v>3</v>
      </c>
      <c r="AF2420">
        <v>1960</v>
      </c>
      <c r="AG2420">
        <v>1966</v>
      </c>
      <c r="AO2420" t="b">
        <v>1</v>
      </c>
      <c r="AP2420" t="s">
        <v>6291</v>
      </c>
      <c r="AQ2420">
        <v>1960</v>
      </c>
      <c r="AR2420">
        <v>1974</v>
      </c>
      <c r="AS2420" t="s">
        <v>9992</v>
      </c>
      <c r="AT2420">
        <v>5.28952772073922</v>
      </c>
      <c r="AU2420">
        <f t="shared" si="113"/>
        <v>1.4E-2</v>
      </c>
    </row>
    <row r="2421" spans="1:47" x14ac:dyDescent="0.3">
      <c r="A2421">
        <v>2419</v>
      </c>
      <c r="B2421" t="s">
        <v>9993</v>
      </c>
      <c r="C2421" t="s">
        <v>9994</v>
      </c>
      <c r="D2421">
        <v>475</v>
      </c>
      <c r="E2421" t="s">
        <v>9989</v>
      </c>
      <c r="F2421" t="str">
        <f>VLOOKUP(E2421,country_continent!A:C,2,FALSE)</f>
        <v>Nigeria</v>
      </c>
      <c r="G2421" t="str">
        <f>VLOOKUP(E2421,country_continent!A:C,3,FALSE)</f>
        <v>Africa</v>
      </c>
      <c r="H2421" t="s">
        <v>9995</v>
      </c>
      <c r="I2421" s="1">
        <v>24122</v>
      </c>
      <c r="J2421" s="3">
        <f t="shared" si="111"/>
        <v>24122</v>
      </c>
      <c r="K2421" s="1">
        <v>24317</v>
      </c>
      <c r="L2421" s="3">
        <f t="shared" si="112"/>
        <v>24317</v>
      </c>
      <c r="M2421" t="s">
        <v>67</v>
      </c>
      <c r="N2421" t="s">
        <v>67</v>
      </c>
      <c r="O2421" t="s">
        <v>376</v>
      </c>
      <c r="P2421">
        <v>0</v>
      </c>
      <c r="Q2421" t="s">
        <v>69</v>
      </c>
      <c r="R2421" t="s">
        <v>51</v>
      </c>
      <c r="S2421">
        <v>1924</v>
      </c>
      <c r="T2421">
        <v>1966</v>
      </c>
      <c r="U2421" s="1">
        <v>8829</v>
      </c>
      <c r="V2421" s="2">
        <v>8829</v>
      </c>
      <c r="Z2421">
        <v>1</v>
      </c>
      <c r="AA2421">
        <v>3</v>
      </c>
      <c r="AB2421">
        <v>6</v>
      </c>
      <c r="AC2421">
        <v>3</v>
      </c>
      <c r="AF2421">
        <v>1966</v>
      </c>
      <c r="AG2421">
        <v>1966</v>
      </c>
      <c r="AO2421" t="b">
        <v>1</v>
      </c>
      <c r="AP2421" t="s">
        <v>6291</v>
      </c>
      <c r="AQ2421">
        <v>1960</v>
      </c>
      <c r="AR2421">
        <v>1974</v>
      </c>
      <c r="AS2421" t="s">
        <v>9996</v>
      </c>
      <c r="AT2421">
        <v>0.53388090349075901</v>
      </c>
      <c r="AU2421">
        <f t="shared" si="113"/>
        <v>1E-3</v>
      </c>
    </row>
    <row r="2422" spans="1:47" x14ac:dyDescent="0.3">
      <c r="A2422">
        <v>2420</v>
      </c>
      <c r="B2422" t="s">
        <v>9997</v>
      </c>
      <c r="C2422" t="s">
        <v>9998</v>
      </c>
      <c r="D2422">
        <v>475</v>
      </c>
      <c r="E2422" t="s">
        <v>9989</v>
      </c>
      <c r="F2422" t="str">
        <f>VLOOKUP(E2422,country_continent!A:C,2,FALSE)</f>
        <v>Nigeria</v>
      </c>
      <c r="G2422" t="str">
        <f>VLOOKUP(E2422,country_continent!A:C,3,FALSE)</f>
        <v>Africa</v>
      </c>
      <c r="H2422" t="s">
        <v>9999</v>
      </c>
      <c r="I2422" s="1">
        <v>24317</v>
      </c>
      <c r="J2422" s="3">
        <f t="shared" si="111"/>
        <v>24317</v>
      </c>
      <c r="K2422" s="1">
        <v>27604</v>
      </c>
      <c r="L2422" s="3">
        <f t="shared" si="112"/>
        <v>27604</v>
      </c>
      <c r="M2422" t="s">
        <v>67</v>
      </c>
      <c r="N2422" t="s">
        <v>67</v>
      </c>
      <c r="O2422" t="s">
        <v>376</v>
      </c>
      <c r="P2422">
        <v>0</v>
      </c>
      <c r="Q2422" t="s">
        <v>362</v>
      </c>
      <c r="R2422" t="s">
        <v>51</v>
      </c>
      <c r="S2422">
        <v>1934</v>
      </c>
      <c r="T2422">
        <v>-777</v>
      </c>
      <c r="U2422" s="1">
        <v>12711</v>
      </c>
      <c r="V2422" s="2">
        <v>12711</v>
      </c>
      <c r="Y2422" t="s">
        <v>10000</v>
      </c>
      <c r="Z2422">
        <v>1</v>
      </c>
      <c r="AA2422">
        <v>3</v>
      </c>
      <c r="AB2422">
        <v>6</v>
      </c>
      <c r="AC2422">
        <v>1</v>
      </c>
      <c r="AF2422">
        <v>1966</v>
      </c>
      <c r="AG2422">
        <v>1975</v>
      </c>
      <c r="AO2422" t="b">
        <v>1</v>
      </c>
      <c r="AP2422" t="s">
        <v>6291</v>
      </c>
      <c r="AQ2422">
        <v>1960</v>
      </c>
      <c r="AR2422">
        <v>1974</v>
      </c>
      <c r="AS2422" t="s">
        <v>10001</v>
      </c>
      <c r="AT2422">
        <v>8.9993155373032092</v>
      </c>
      <c r="AU2422">
        <f t="shared" si="113"/>
        <v>2.5000000000000001E-2</v>
      </c>
    </row>
    <row r="2423" spans="1:47" x14ac:dyDescent="0.3">
      <c r="A2423">
        <v>2421</v>
      </c>
      <c r="B2423" t="s">
        <v>10002</v>
      </c>
      <c r="C2423" t="s">
        <v>10003</v>
      </c>
      <c r="D2423">
        <v>475</v>
      </c>
      <c r="E2423" t="s">
        <v>9989</v>
      </c>
      <c r="F2423" t="str">
        <f>VLOOKUP(E2423,country_continent!A:C,2,FALSE)</f>
        <v>Nigeria</v>
      </c>
      <c r="G2423" t="str">
        <f>VLOOKUP(E2423,country_continent!A:C,3,FALSE)</f>
        <v>Africa</v>
      </c>
      <c r="H2423" t="s">
        <v>10004</v>
      </c>
      <c r="I2423" s="1">
        <v>27604</v>
      </c>
      <c r="J2423" s="3">
        <f t="shared" si="111"/>
        <v>27604</v>
      </c>
      <c r="K2423" s="1">
        <v>27803</v>
      </c>
      <c r="L2423" s="3">
        <f t="shared" si="112"/>
        <v>27803</v>
      </c>
      <c r="M2423" t="s">
        <v>67</v>
      </c>
      <c r="N2423" t="s">
        <v>67</v>
      </c>
      <c r="O2423" t="s">
        <v>376</v>
      </c>
      <c r="P2423">
        <v>0</v>
      </c>
      <c r="Q2423" t="s">
        <v>69</v>
      </c>
      <c r="R2423" t="s">
        <v>51</v>
      </c>
      <c r="S2423">
        <v>1938</v>
      </c>
      <c r="T2423">
        <v>1976</v>
      </c>
      <c r="U2423" s="1">
        <v>14192</v>
      </c>
      <c r="V2423" s="2">
        <v>14192</v>
      </c>
      <c r="Y2423" t="s">
        <v>10005</v>
      </c>
      <c r="Z2423">
        <v>1</v>
      </c>
      <c r="AA2423">
        <v>3</v>
      </c>
      <c r="AB2423">
        <v>6</v>
      </c>
      <c r="AC2423">
        <v>3</v>
      </c>
      <c r="AF2423">
        <v>1975</v>
      </c>
      <c r="AG2423">
        <v>1976</v>
      </c>
      <c r="AO2423" t="b">
        <v>1</v>
      </c>
      <c r="AP2423" t="s">
        <v>6291</v>
      </c>
      <c r="AQ2423">
        <v>1960</v>
      </c>
      <c r="AR2423">
        <v>1974</v>
      </c>
      <c r="AS2423" t="s">
        <v>10006</v>
      </c>
      <c r="AT2423">
        <v>0.54483230663928806</v>
      </c>
      <c r="AU2423">
        <f t="shared" si="113"/>
        <v>1E-3</v>
      </c>
    </row>
    <row r="2424" spans="1:47" x14ac:dyDescent="0.3">
      <c r="A2424">
        <v>2422</v>
      </c>
      <c r="B2424" t="s">
        <v>10007</v>
      </c>
      <c r="C2424" t="s">
        <v>10008</v>
      </c>
      <c r="D2424">
        <v>475</v>
      </c>
      <c r="E2424" t="s">
        <v>9989</v>
      </c>
      <c r="F2424" t="str">
        <f>VLOOKUP(E2424,country_continent!A:C,2,FALSE)</f>
        <v>Nigeria</v>
      </c>
      <c r="G2424" t="str">
        <f>VLOOKUP(E2424,country_continent!A:C,3,FALSE)</f>
        <v>Africa</v>
      </c>
      <c r="H2424" t="s">
        <v>10009</v>
      </c>
      <c r="I2424" s="1">
        <v>27803</v>
      </c>
      <c r="J2424" s="3">
        <f t="shared" si="111"/>
        <v>27803</v>
      </c>
      <c r="K2424" s="1">
        <v>29129</v>
      </c>
      <c r="L2424" s="3">
        <f t="shared" si="112"/>
        <v>29129</v>
      </c>
      <c r="M2424" t="s">
        <v>67</v>
      </c>
      <c r="N2424" t="s">
        <v>49</v>
      </c>
      <c r="O2424" t="s">
        <v>49</v>
      </c>
      <c r="P2424">
        <v>0</v>
      </c>
      <c r="Q2424" t="s">
        <v>50</v>
      </c>
      <c r="R2424" t="s">
        <v>51</v>
      </c>
      <c r="S2424">
        <v>1937</v>
      </c>
      <c r="T2424">
        <v>-777</v>
      </c>
      <c r="U2424" s="1">
        <v>13579</v>
      </c>
      <c r="V2424" s="2">
        <v>13579</v>
      </c>
      <c r="Y2424" t="s">
        <v>10010</v>
      </c>
      <c r="Z2424">
        <v>1</v>
      </c>
      <c r="AA2424">
        <v>1</v>
      </c>
      <c r="AB2424">
        <v>0</v>
      </c>
      <c r="AC2424">
        <v>0</v>
      </c>
      <c r="AF2424">
        <v>1976</v>
      </c>
      <c r="AG2424">
        <v>1979</v>
      </c>
      <c r="AO2424" t="b">
        <v>1</v>
      </c>
      <c r="AP2424" t="s">
        <v>6291</v>
      </c>
      <c r="AQ2424">
        <v>1960</v>
      </c>
      <c r="AR2424">
        <v>1974</v>
      </c>
      <c r="AS2424" t="s">
        <v>10011</v>
      </c>
      <c r="AT2424">
        <v>3.6303901437371602</v>
      </c>
      <c r="AU2424">
        <f t="shared" si="113"/>
        <v>0.01</v>
      </c>
    </row>
    <row r="2425" spans="1:47" x14ac:dyDescent="0.3">
      <c r="A2425">
        <v>2423</v>
      </c>
      <c r="B2425" t="s">
        <v>10012</v>
      </c>
      <c r="C2425" t="s">
        <v>10013</v>
      </c>
      <c r="D2425">
        <v>475</v>
      </c>
      <c r="E2425" t="s">
        <v>9989</v>
      </c>
      <c r="F2425" t="str">
        <f>VLOOKUP(E2425,country_continent!A:C,2,FALSE)</f>
        <v>Nigeria</v>
      </c>
      <c r="G2425" t="str">
        <f>VLOOKUP(E2425,country_continent!A:C,3,FALSE)</f>
        <v>Africa</v>
      </c>
      <c r="H2425" t="s">
        <v>10014</v>
      </c>
      <c r="I2425" s="1">
        <v>29129</v>
      </c>
      <c r="J2425" s="3">
        <f t="shared" si="111"/>
        <v>29129</v>
      </c>
      <c r="K2425" s="1">
        <v>30681</v>
      </c>
      <c r="L2425" s="3">
        <f t="shared" si="112"/>
        <v>30681</v>
      </c>
      <c r="M2425" t="s">
        <v>49</v>
      </c>
      <c r="N2425" t="s">
        <v>67</v>
      </c>
      <c r="O2425" t="s">
        <v>376</v>
      </c>
      <c r="P2425">
        <v>0</v>
      </c>
      <c r="Q2425" t="s">
        <v>463</v>
      </c>
      <c r="R2425" t="s">
        <v>51</v>
      </c>
      <c r="S2425">
        <v>1925</v>
      </c>
      <c r="T2425">
        <v>-777</v>
      </c>
      <c r="Z2425">
        <v>0</v>
      </c>
      <c r="AA2425">
        <v>3</v>
      </c>
      <c r="AB2425">
        <v>6</v>
      </c>
      <c r="AC2425">
        <v>2</v>
      </c>
      <c r="AF2425">
        <v>1979</v>
      </c>
      <c r="AG2425">
        <v>1983</v>
      </c>
      <c r="AO2425" t="b">
        <v>1</v>
      </c>
      <c r="AP2425" t="s">
        <v>6291</v>
      </c>
      <c r="AQ2425">
        <v>1960</v>
      </c>
      <c r="AR2425">
        <v>1974</v>
      </c>
      <c r="AS2425" t="s">
        <v>10015</v>
      </c>
      <c r="AT2425">
        <v>4.24914442162902</v>
      </c>
      <c r="AU2425">
        <f t="shared" si="113"/>
        <v>1.2E-2</v>
      </c>
    </row>
    <row r="2426" spans="1:47" x14ac:dyDescent="0.3">
      <c r="A2426">
        <v>2424</v>
      </c>
      <c r="B2426" t="s">
        <v>10016</v>
      </c>
      <c r="C2426" t="s">
        <v>10017</v>
      </c>
      <c r="D2426">
        <v>475</v>
      </c>
      <c r="E2426" t="s">
        <v>9989</v>
      </c>
      <c r="F2426" t="str">
        <f>VLOOKUP(E2426,country_continent!A:C,2,FALSE)</f>
        <v>Nigeria</v>
      </c>
      <c r="G2426" t="str">
        <f>VLOOKUP(E2426,country_continent!A:C,3,FALSE)</f>
        <v>Africa</v>
      </c>
      <c r="H2426" t="s">
        <v>10018</v>
      </c>
      <c r="I2426" s="1">
        <v>30681</v>
      </c>
      <c r="J2426" s="3">
        <f t="shared" si="111"/>
        <v>30681</v>
      </c>
      <c r="K2426" s="1">
        <v>31286</v>
      </c>
      <c r="L2426" s="3">
        <f t="shared" si="112"/>
        <v>31286</v>
      </c>
      <c r="M2426" t="s">
        <v>67</v>
      </c>
      <c r="N2426" t="s">
        <v>67</v>
      </c>
      <c r="O2426" t="s">
        <v>376</v>
      </c>
      <c r="P2426">
        <v>0</v>
      </c>
      <c r="Q2426" t="s">
        <v>463</v>
      </c>
      <c r="R2426" t="s">
        <v>51</v>
      </c>
      <c r="S2426">
        <v>1942</v>
      </c>
      <c r="T2426">
        <v>-777</v>
      </c>
      <c r="U2426" s="1">
        <v>15692</v>
      </c>
      <c r="V2426" s="2">
        <v>15692</v>
      </c>
      <c r="Y2426" t="s">
        <v>10019</v>
      </c>
      <c r="Z2426">
        <v>1</v>
      </c>
      <c r="AA2426">
        <v>3</v>
      </c>
      <c r="AB2426">
        <v>6</v>
      </c>
      <c r="AC2426">
        <v>2</v>
      </c>
      <c r="AF2426">
        <v>1983</v>
      </c>
      <c r="AG2426">
        <v>1985</v>
      </c>
      <c r="AO2426" t="b">
        <v>1</v>
      </c>
      <c r="AP2426" t="s">
        <v>6291</v>
      </c>
      <c r="AQ2426">
        <v>1960</v>
      </c>
      <c r="AR2426">
        <v>1974</v>
      </c>
      <c r="AS2426" t="s">
        <v>10020</v>
      </c>
      <c r="AT2426">
        <v>1.6563997262149199</v>
      </c>
      <c r="AU2426">
        <f t="shared" si="113"/>
        <v>5.0000000000000001E-3</v>
      </c>
    </row>
    <row r="2427" spans="1:47" x14ac:dyDescent="0.3">
      <c r="A2427">
        <v>2425</v>
      </c>
      <c r="B2427" t="s">
        <v>10021</v>
      </c>
      <c r="C2427" t="s">
        <v>10022</v>
      </c>
      <c r="D2427">
        <v>475</v>
      </c>
      <c r="E2427" t="s">
        <v>9989</v>
      </c>
      <c r="F2427" t="str">
        <f>VLOOKUP(E2427,country_continent!A:C,2,FALSE)</f>
        <v>Nigeria</v>
      </c>
      <c r="G2427" t="str">
        <f>VLOOKUP(E2427,country_continent!A:C,3,FALSE)</f>
        <v>Africa</v>
      </c>
      <c r="H2427" t="s">
        <v>10023</v>
      </c>
      <c r="I2427" s="1">
        <v>31286</v>
      </c>
      <c r="J2427" s="3">
        <f t="shared" si="111"/>
        <v>31286</v>
      </c>
      <c r="K2427" s="1">
        <v>34207</v>
      </c>
      <c r="L2427" s="3">
        <f t="shared" si="112"/>
        <v>34207</v>
      </c>
      <c r="M2427" t="s">
        <v>67</v>
      </c>
      <c r="N2427" t="s">
        <v>49</v>
      </c>
      <c r="O2427" t="s">
        <v>49</v>
      </c>
      <c r="P2427">
        <v>0</v>
      </c>
      <c r="Q2427" t="s">
        <v>50</v>
      </c>
      <c r="R2427" t="s">
        <v>51</v>
      </c>
      <c r="S2427">
        <v>1941</v>
      </c>
      <c r="T2427">
        <v>-777</v>
      </c>
      <c r="U2427" s="1">
        <v>15205</v>
      </c>
      <c r="V2427" s="2">
        <v>15205</v>
      </c>
      <c r="Y2427" t="s">
        <v>10024</v>
      </c>
      <c r="Z2427">
        <v>1</v>
      </c>
      <c r="AA2427">
        <v>1</v>
      </c>
      <c r="AB2427">
        <v>0</v>
      </c>
      <c r="AC2427">
        <v>0</v>
      </c>
      <c r="AF2427">
        <v>1985</v>
      </c>
      <c r="AG2427">
        <v>1993</v>
      </c>
      <c r="AO2427" t="b">
        <v>1</v>
      </c>
      <c r="AP2427" t="s">
        <v>6291</v>
      </c>
      <c r="AQ2427">
        <v>1960</v>
      </c>
      <c r="AR2427">
        <v>1974</v>
      </c>
      <c r="AS2427" t="s">
        <v>10025</v>
      </c>
      <c r="AT2427">
        <v>7.9972621492128599</v>
      </c>
      <c r="AU2427">
        <f t="shared" si="113"/>
        <v>2.1999999999999999E-2</v>
      </c>
    </row>
    <row r="2428" spans="1:47" x14ac:dyDescent="0.3">
      <c r="A2428">
        <v>2426</v>
      </c>
      <c r="B2428" t="s">
        <v>10026</v>
      </c>
      <c r="C2428" t="s">
        <v>10027</v>
      </c>
      <c r="D2428">
        <v>475</v>
      </c>
      <c r="E2428" t="s">
        <v>9989</v>
      </c>
      <c r="F2428" t="str">
        <f>VLOOKUP(E2428,country_continent!A:C,2,FALSE)</f>
        <v>Nigeria</v>
      </c>
      <c r="G2428" t="str">
        <f>VLOOKUP(E2428,country_continent!A:C,3,FALSE)</f>
        <v>Africa</v>
      </c>
      <c r="H2428" t="s">
        <v>10028</v>
      </c>
      <c r="I2428" s="1">
        <v>34207</v>
      </c>
      <c r="J2428" s="3">
        <f t="shared" si="111"/>
        <v>34207</v>
      </c>
      <c r="K2428" s="1">
        <v>34290</v>
      </c>
      <c r="L2428" s="3">
        <f t="shared" si="112"/>
        <v>34290</v>
      </c>
      <c r="M2428" t="s">
        <v>67</v>
      </c>
      <c r="N2428" t="s">
        <v>67</v>
      </c>
      <c r="O2428" t="s">
        <v>376</v>
      </c>
      <c r="P2428">
        <v>0</v>
      </c>
      <c r="Q2428" t="s">
        <v>50</v>
      </c>
      <c r="R2428" t="s">
        <v>51</v>
      </c>
      <c r="S2428">
        <v>1936</v>
      </c>
      <c r="T2428">
        <v>-777</v>
      </c>
      <c r="Z2428">
        <v>1</v>
      </c>
      <c r="AA2428">
        <v>3</v>
      </c>
      <c r="AB2428">
        <v>6</v>
      </c>
      <c r="AC2428">
        <v>0</v>
      </c>
      <c r="AF2428">
        <v>1993</v>
      </c>
      <c r="AG2428">
        <v>1993</v>
      </c>
      <c r="AO2428" t="b">
        <v>1</v>
      </c>
      <c r="AP2428" t="s">
        <v>6291</v>
      </c>
      <c r="AQ2428">
        <v>1960</v>
      </c>
      <c r="AR2428">
        <v>1974</v>
      </c>
      <c r="AS2428" t="s">
        <v>10029</v>
      </c>
      <c r="AT2428">
        <v>0.22724161533196399</v>
      </c>
      <c r="AU2428">
        <f t="shared" si="113"/>
        <v>1E-3</v>
      </c>
    </row>
    <row r="2429" spans="1:47" x14ac:dyDescent="0.3">
      <c r="A2429">
        <v>2427</v>
      </c>
      <c r="B2429" t="s">
        <v>10030</v>
      </c>
      <c r="C2429" t="s">
        <v>10031</v>
      </c>
      <c r="D2429">
        <v>475</v>
      </c>
      <c r="E2429" t="s">
        <v>9989</v>
      </c>
      <c r="F2429" t="str">
        <f>VLOOKUP(E2429,country_continent!A:C,2,FALSE)</f>
        <v>Nigeria</v>
      </c>
      <c r="G2429" t="str">
        <f>VLOOKUP(E2429,country_continent!A:C,3,FALSE)</f>
        <v>Africa</v>
      </c>
      <c r="H2429" t="s">
        <v>10032</v>
      </c>
      <c r="I2429" s="1">
        <v>34290</v>
      </c>
      <c r="J2429" s="3">
        <f t="shared" si="111"/>
        <v>34290</v>
      </c>
      <c r="K2429" s="1">
        <v>35954</v>
      </c>
      <c r="L2429" s="3">
        <f t="shared" si="112"/>
        <v>35954</v>
      </c>
      <c r="M2429" t="s">
        <v>67</v>
      </c>
      <c r="N2429" t="s">
        <v>110</v>
      </c>
      <c r="O2429" t="s">
        <v>49</v>
      </c>
      <c r="P2429">
        <v>0</v>
      </c>
      <c r="Q2429" t="s">
        <v>111</v>
      </c>
      <c r="R2429" t="s">
        <v>51</v>
      </c>
      <c r="S2429">
        <v>1943</v>
      </c>
      <c r="T2429">
        <v>1998</v>
      </c>
      <c r="U2429" s="1">
        <v>15969</v>
      </c>
      <c r="V2429" s="2">
        <v>15969</v>
      </c>
      <c r="W2429" s="1">
        <v>35954</v>
      </c>
      <c r="X2429" s="2">
        <v>35954</v>
      </c>
      <c r="Y2429" t="s">
        <v>10033</v>
      </c>
      <c r="Z2429">
        <v>1</v>
      </c>
      <c r="AA2429">
        <v>2</v>
      </c>
      <c r="AB2429">
        <v>0</v>
      </c>
      <c r="AC2429">
        <v>-777</v>
      </c>
      <c r="AF2429">
        <v>1993</v>
      </c>
      <c r="AG2429">
        <v>1998</v>
      </c>
      <c r="AO2429" t="b">
        <v>1</v>
      </c>
      <c r="AP2429" t="s">
        <v>6291</v>
      </c>
      <c r="AQ2429">
        <v>1960</v>
      </c>
      <c r="AR2429">
        <v>1974</v>
      </c>
      <c r="AS2429" t="s">
        <v>10034</v>
      </c>
      <c r="AT2429">
        <v>4.5557837097878098</v>
      </c>
      <c r="AU2429">
        <f t="shared" si="113"/>
        <v>1.2E-2</v>
      </c>
    </row>
    <row r="2430" spans="1:47" x14ac:dyDescent="0.3">
      <c r="A2430">
        <v>2428</v>
      </c>
      <c r="B2430" t="s">
        <v>10035</v>
      </c>
      <c r="C2430" t="s">
        <v>10036</v>
      </c>
      <c r="D2430">
        <v>475</v>
      </c>
      <c r="E2430" t="s">
        <v>9989</v>
      </c>
      <c r="F2430" t="str">
        <f>VLOOKUP(E2430,country_continent!A:C,2,FALSE)</f>
        <v>Nigeria</v>
      </c>
      <c r="G2430" t="str">
        <f>VLOOKUP(E2430,country_continent!A:C,3,FALSE)</f>
        <v>Africa</v>
      </c>
      <c r="H2430" t="s">
        <v>10037</v>
      </c>
      <c r="I2430" s="1">
        <v>35955</v>
      </c>
      <c r="J2430" s="3">
        <f t="shared" si="111"/>
        <v>35955</v>
      </c>
      <c r="K2430" s="1">
        <v>36309</v>
      </c>
      <c r="L2430" s="3">
        <f t="shared" si="112"/>
        <v>36309</v>
      </c>
      <c r="M2430" t="s">
        <v>49</v>
      </c>
      <c r="N2430" t="s">
        <v>49</v>
      </c>
      <c r="O2430" t="s">
        <v>49</v>
      </c>
      <c r="P2430">
        <v>0</v>
      </c>
      <c r="Q2430" t="s">
        <v>50</v>
      </c>
      <c r="R2430" t="s">
        <v>51</v>
      </c>
      <c r="S2430">
        <v>1942</v>
      </c>
      <c r="T2430">
        <v>-777</v>
      </c>
      <c r="U2430" s="1">
        <v>15505</v>
      </c>
      <c r="V2430" s="2">
        <v>15505</v>
      </c>
      <c r="Y2430" t="s">
        <v>10038</v>
      </c>
      <c r="Z2430">
        <v>0</v>
      </c>
      <c r="AA2430">
        <v>1</v>
      </c>
      <c r="AB2430">
        <v>0</v>
      </c>
      <c r="AC2430">
        <v>0</v>
      </c>
      <c r="AF2430">
        <v>1998</v>
      </c>
      <c r="AG2430">
        <v>1999</v>
      </c>
      <c r="AO2430" t="b">
        <v>1</v>
      </c>
      <c r="AP2430" t="s">
        <v>6291</v>
      </c>
      <c r="AQ2430">
        <v>1960</v>
      </c>
      <c r="AR2430">
        <v>1974</v>
      </c>
      <c r="AS2430" t="s">
        <v>10039</v>
      </c>
      <c r="AT2430">
        <v>0.96919917864476302</v>
      </c>
      <c r="AU2430">
        <f t="shared" si="113"/>
        <v>3.0000000000000001E-3</v>
      </c>
    </row>
    <row r="2431" spans="1:47" x14ac:dyDescent="0.3">
      <c r="A2431">
        <v>2429</v>
      </c>
      <c r="B2431" t="s">
        <v>10040</v>
      </c>
      <c r="C2431" t="s">
        <v>10008</v>
      </c>
      <c r="D2431">
        <v>475</v>
      </c>
      <c r="E2431" t="s">
        <v>9989</v>
      </c>
      <c r="F2431" t="str">
        <f>VLOOKUP(E2431,country_continent!A:C,2,FALSE)</f>
        <v>Nigeria</v>
      </c>
      <c r="G2431" t="str">
        <f>VLOOKUP(E2431,country_continent!A:C,3,FALSE)</f>
        <v>Africa</v>
      </c>
      <c r="H2431" t="s">
        <v>10009</v>
      </c>
      <c r="I2431" s="1">
        <v>36309</v>
      </c>
      <c r="J2431" s="3">
        <f t="shared" si="111"/>
        <v>36309</v>
      </c>
      <c r="K2431" s="1">
        <v>39231</v>
      </c>
      <c r="L2431" s="3">
        <f t="shared" si="112"/>
        <v>39231</v>
      </c>
      <c r="M2431" t="s">
        <v>49</v>
      </c>
      <c r="N2431" t="s">
        <v>49</v>
      </c>
      <c r="O2431" t="s">
        <v>49</v>
      </c>
      <c r="P2431">
        <v>1</v>
      </c>
      <c r="Q2431" t="s">
        <v>50</v>
      </c>
      <c r="R2431" t="s">
        <v>51</v>
      </c>
      <c r="S2431">
        <v>1937</v>
      </c>
      <c r="T2431">
        <v>-777</v>
      </c>
      <c r="U2431" s="1">
        <v>13579</v>
      </c>
      <c r="V2431" s="2">
        <v>13579</v>
      </c>
      <c r="Y2431" t="s">
        <v>10010</v>
      </c>
      <c r="Z2431">
        <v>0</v>
      </c>
      <c r="AA2431">
        <v>1</v>
      </c>
      <c r="AB2431">
        <v>0</v>
      </c>
      <c r="AC2431">
        <v>0</v>
      </c>
      <c r="AF2431">
        <v>1999</v>
      </c>
      <c r="AG2431">
        <v>2007</v>
      </c>
      <c r="AO2431" t="b">
        <v>1</v>
      </c>
      <c r="AP2431" t="s">
        <v>6291</v>
      </c>
      <c r="AQ2431">
        <v>1960</v>
      </c>
      <c r="AR2431">
        <v>1974</v>
      </c>
      <c r="AS2431" t="s">
        <v>10041</v>
      </c>
      <c r="AT2431">
        <v>8</v>
      </c>
      <c r="AU2431">
        <f t="shared" si="113"/>
        <v>2.1999999999999999E-2</v>
      </c>
    </row>
    <row r="2432" spans="1:47" x14ac:dyDescent="0.3">
      <c r="A2432">
        <v>2430</v>
      </c>
      <c r="B2432" t="s">
        <v>10042</v>
      </c>
      <c r="C2432" t="s">
        <v>10043</v>
      </c>
      <c r="D2432">
        <v>475</v>
      </c>
      <c r="E2432" t="s">
        <v>9989</v>
      </c>
      <c r="F2432" t="str">
        <f>VLOOKUP(E2432,country_continent!A:C,2,FALSE)</f>
        <v>Nigeria</v>
      </c>
      <c r="G2432" t="str">
        <f>VLOOKUP(E2432,country_continent!A:C,3,FALSE)</f>
        <v>Africa</v>
      </c>
      <c r="H2432" t="s">
        <v>10044</v>
      </c>
      <c r="I2432" s="1">
        <v>39231</v>
      </c>
      <c r="J2432" s="3">
        <f t="shared" si="111"/>
        <v>39231</v>
      </c>
      <c r="K2432" s="1">
        <v>40218</v>
      </c>
      <c r="L2432" s="3">
        <f t="shared" si="112"/>
        <v>40218</v>
      </c>
      <c r="M2432" t="s">
        <v>49</v>
      </c>
      <c r="N2432" t="s">
        <v>228</v>
      </c>
      <c r="O2432" t="s">
        <v>49</v>
      </c>
      <c r="P2432">
        <v>0</v>
      </c>
      <c r="Q2432" t="s">
        <v>111</v>
      </c>
      <c r="R2432" t="s">
        <v>51</v>
      </c>
      <c r="S2432">
        <v>1951</v>
      </c>
      <c r="T2432">
        <v>2010</v>
      </c>
      <c r="U2432" s="1">
        <v>18856</v>
      </c>
      <c r="V2432" s="2">
        <v>18856</v>
      </c>
      <c r="Z2432">
        <v>0</v>
      </c>
      <c r="AA2432">
        <v>2.0999998999999998</v>
      </c>
      <c r="AB2432">
        <v>0</v>
      </c>
      <c r="AC2432">
        <v>-777</v>
      </c>
      <c r="AF2432">
        <v>2007</v>
      </c>
      <c r="AG2432">
        <v>2010</v>
      </c>
      <c r="AO2432" t="b">
        <v>1</v>
      </c>
      <c r="AP2432" t="s">
        <v>6291</v>
      </c>
      <c r="AQ2432">
        <v>1960</v>
      </c>
      <c r="AR2432">
        <v>1974</v>
      </c>
      <c r="AS2432" t="s">
        <v>10045</v>
      </c>
      <c r="AT2432">
        <v>2.7022587268993798</v>
      </c>
      <c r="AU2432">
        <f t="shared" si="113"/>
        <v>7.0000000000000001E-3</v>
      </c>
    </row>
    <row r="2433" spans="1:47" x14ac:dyDescent="0.3">
      <c r="A2433">
        <v>2431</v>
      </c>
      <c r="B2433" t="s">
        <v>10046</v>
      </c>
      <c r="C2433" t="s">
        <v>10047</v>
      </c>
      <c r="D2433">
        <v>475</v>
      </c>
      <c r="E2433" t="s">
        <v>9989</v>
      </c>
      <c r="F2433" t="str">
        <f>VLOOKUP(E2433,country_continent!A:C,2,FALSE)</f>
        <v>Nigeria</v>
      </c>
      <c r="G2433" t="str">
        <f>VLOOKUP(E2433,country_continent!A:C,3,FALSE)</f>
        <v>Africa</v>
      </c>
      <c r="H2433" t="s">
        <v>10048</v>
      </c>
      <c r="I2433" s="1">
        <v>40218</v>
      </c>
      <c r="J2433" s="3">
        <f t="shared" si="111"/>
        <v>40218</v>
      </c>
      <c r="K2433" s="1">
        <v>42153</v>
      </c>
      <c r="L2433" s="3">
        <f t="shared" si="112"/>
        <v>42153</v>
      </c>
      <c r="M2433" t="s">
        <v>49</v>
      </c>
      <c r="N2433" t="s">
        <v>49</v>
      </c>
      <c r="O2433" t="s">
        <v>49</v>
      </c>
      <c r="P2433">
        <v>0</v>
      </c>
      <c r="Q2433" t="s">
        <v>312</v>
      </c>
      <c r="R2433" t="s">
        <v>51</v>
      </c>
      <c r="S2433">
        <v>1957</v>
      </c>
      <c r="T2433">
        <v>-777</v>
      </c>
      <c r="U2433" s="1">
        <v>21144</v>
      </c>
      <c r="V2433" s="2">
        <v>21144</v>
      </c>
      <c r="Z2433">
        <v>0</v>
      </c>
      <c r="AA2433">
        <v>1</v>
      </c>
      <c r="AB2433">
        <v>0</v>
      </c>
      <c r="AC2433">
        <v>-999</v>
      </c>
      <c r="AF2433">
        <v>2010</v>
      </c>
      <c r="AG2433">
        <v>2015</v>
      </c>
      <c r="AO2433" t="b">
        <v>1</v>
      </c>
      <c r="AP2433" t="s">
        <v>6291</v>
      </c>
      <c r="AQ2433">
        <v>1960</v>
      </c>
      <c r="AR2433">
        <v>1974</v>
      </c>
      <c r="AS2433" t="s">
        <v>10049</v>
      </c>
      <c r="AT2433">
        <v>5.2977412731006099</v>
      </c>
      <c r="AU2433">
        <f t="shared" si="113"/>
        <v>1.4999999999999999E-2</v>
      </c>
    </row>
    <row r="2434" spans="1:47" x14ac:dyDescent="0.3">
      <c r="A2434">
        <v>2432</v>
      </c>
      <c r="B2434" t="s">
        <v>10050</v>
      </c>
      <c r="C2434" t="s">
        <v>10051</v>
      </c>
      <c r="D2434">
        <v>475</v>
      </c>
      <c r="E2434" t="s">
        <v>9989</v>
      </c>
      <c r="F2434" t="str">
        <f>VLOOKUP(E2434,country_continent!A:C,2,FALSE)</f>
        <v>Nigeria</v>
      </c>
      <c r="G2434" t="str">
        <f>VLOOKUP(E2434,country_continent!A:C,3,FALSE)</f>
        <v>Africa</v>
      </c>
      <c r="H2434" t="s">
        <v>10052</v>
      </c>
      <c r="I2434" s="1">
        <v>42153</v>
      </c>
      <c r="J2434" s="3">
        <f t="shared" si="111"/>
        <v>42153</v>
      </c>
      <c r="K2434" s="1">
        <v>42369</v>
      </c>
      <c r="L2434" s="3">
        <f t="shared" si="112"/>
        <v>42369</v>
      </c>
      <c r="M2434" t="s">
        <v>49</v>
      </c>
      <c r="N2434" t="s">
        <v>173</v>
      </c>
      <c r="O2434" t="s">
        <v>173</v>
      </c>
      <c r="P2434">
        <v>0</v>
      </c>
      <c r="Q2434" t="s">
        <v>174</v>
      </c>
      <c r="R2434" t="s">
        <v>51</v>
      </c>
      <c r="S2434">
        <v>1942</v>
      </c>
      <c r="T2434">
        <v>-777</v>
      </c>
      <c r="U2434" s="1">
        <v>15692</v>
      </c>
      <c r="V2434" s="2">
        <v>15692</v>
      </c>
      <c r="Z2434">
        <v>0</v>
      </c>
      <c r="AA2434">
        <v>-888</v>
      </c>
      <c r="AB2434">
        <v>-888</v>
      </c>
      <c r="AC2434">
        <v>-888</v>
      </c>
      <c r="AF2434">
        <v>2015</v>
      </c>
      <c r="AG2434">
        <v>2015</v>
      </c>
      <c r="AO2434" t="b">
        <v>1</v>
      </c>
      <c r="AP2434" t="s">
        <v>6291</v>
      </c>
      <c r="AQ2434">
        <v>1960</v>
      </c>
      <c r="AR2434">
        <v>1974</v>
      </c>
      <c r="AS2434" t="s">
        <v>10053</v>
      </c>
      <c r="AT2434">
        <v>0.59137577002053299</v>
      </c>
      <c r="AU2434">
        <f t="shared" si="113"/>
        <v>2E-3</v>
      </c>
    </row>
    <row r="2435" spans="1:47" x14ac:dyDescent="0.3">
      <c r="A2435">
        <v>2433</v>
      </c>
      <c r="B2435" t="s">
        <v>10054</v>
      </c>
      <c r="C2435" t="s">
        <v>10055</v>
      </c>
      <c r="D2435">
        <v>481</v>
      </c>
      <c r="E2435" t="s">
        <v>10056</v>
      </c>
      <c r="F2435" t="str">
        <f>VLOOKUP(E2435,country_continent!A:C,2,FALSE)</f>
        <v>Gabon</v>
      </c>
      <c r="G2435" t="str">
        <f>VLOOKUP(E2435,country_continent!A:C,3,FALSE)</f>
        <v>Africa</v>
      </c>
      <c r="H2435" t="s">
        <v>10057</v>
      </c>
      <c r="I2435" s="1">
        <v>22145</v>
      </c>
      <c r="J2435" s="3">
        <f t="shared" ref="J2435:J2498" si="114">IF(ISNUMBER(SEARCH("-", I2435)), SUBSTITUTE(I2435, "-", "/"), I2435)</f>
        <v>22145</v>
      </c>
      <c r="K2435" s="1">
        <v>23424</v>
      </c>
      <c r="L2435" s="3">
        <f t="shared" ref="L2435:L2498" si="115">IF(ISNUMBER(SEARCH("-", K2435)), SUBSTITUTE(K2435, "-", "/"), K2435)</f>
        <v>23424</v>
      </c>
      <c r="M2435" t="s">
        <v>49</v>
      </c>
      <c r="N2435" t="s">
        <v>67</v>
      </c>
      <c r="O2435" t="s">
        <v>376</v>
      </c>
      <c r="P2435">
        <v>0</v>
      </c>
      <c r="Q2435" t="s">
        <v>463</v>
      </c>
      <c r="R2435" t="s">
        <v>51</v>
      </c>
      <c r="S2435">
        <v>1902</v>
      </c>
      <c r="T2435">
        <v>1967</v>
      </c>
      <c r="W2435" s="1">
        <v>24804</v>
      </c>
      <c r="X2435" s="2">
        <v>24804</v>
      </c>
      <c r="Z2435">
        <v>0</v>
      </c>
      <c r="AA2435">
        <v>3</v>
      </c>
      <c r="AB2435">
        <v>6</v>
      </c>
      <c r="AC2435">
        <v>2</v>
      </c>
      <c r="AF2435">
        <v>1960</v>
      </c>
      <c r="AG2435">
        <v>1964</v>
      </c>
      <c r="AH2435">
        <v>6.8703823148871503</v>
      </c>
      <c r="AI2435">
        <v>353.33333333333297</v>
      </c>
      <c r="AJ2435">
        <v>4.4642881498283797</v>
      </c>
      <c r="AK2435">
        <v>205.06</v>
      </c>
      <c r="AL2435">
        <v>1.25343456374301</v>
      </c>
      <c r="AN2435">
        <v>-7</v>
      </c>
      <c r="AO2435" t="b">
        <v>1</v>
      </c>
      <c r="AP2435" t="s">
        <v>6291</v>
      </c>
      <c r="AQ2435">
        <v>1960</v>
      </c>
      <c r="AR2435">
        <v>1974</v>
      </c>
      <c r="AS2435" t="s">
        <v>10058</v>
      </c>
      <c r="AT2435">
        <v>3.5017111567419499</v>
      </c>
      <c r="AU2435">
        <f t="shared" si="113"/>
        <v>0.01</v>
      </c>
    </row>
    <row r="2436" spans="1:47" x14ac:dyDescent="0.3">
      <c r="A2436">
        <v>2434</v>
      </c>
      <c r="B2436" t="s">
        <v>10059</v>
      </c>
      <c r="C2436" t="s">
        <v>10060</v>
      </c>
      <c r="D2436">
        <v>481</v>
      </c>
      <c r="E2436" t="s">
        <v>10056</v>
      </c>
      <c r="F2436" t="str">
        <f>VLOOKUP(E2436,country_continent!A:C,2,FALSE)</f>
        <v>Gabon</v>
      </c>
      <c r="G2436" t="str">
        <f>VLOOKUP(E2436,country_continent!A:C,3,FALSE)</f>
        <v>Africa</v>
      </c>
      <c r="H2436" t="s">
        <v>10061</v>
      </c>
      <c r="I2436" s="1">
        <v>23424</v>
      </c>
      <c r="J2436" s="3">
        <f t="shared" si="114"/>
        <v>23424</v>
      </c>
      <c r="K2436" s="1">
        <v>23426</v>
      </c>
      <c r="L2436" s="3">
        <f t="shared" si="115"/>
        <v>23426</v>
      </c>
      <c r="M2436" t="s">
        <v>67</v>
      </c>
      <c r="N2436" t="s">
        <v>633</v>
      </c>
      <c r="O2436" t="s">
        <v>634</v>
      </c>
      <c r="P2436">
        <v>0</v>
      </c>
      <c r="Q2436" t="s">
        <v>463</v>
      </c>
      <c r="R2436" t="s">
        <v>51</v>
      </c>
      <c r="S2436">
        <v>1912</v>
      </c>
      <c r="T2436">
        <v>1989</v>
      </c>
      <c r="U2436" s="1">
        <v>4698</v>
      </c>
      <c r="V2436" s="2">
        <v>4698</v>
      </c>
      <c r="Z2436">
        <v>1</v>
      </c>
      <c r="AA2436">
        <v>4</v>
      </c>
      <c r="AB2436">
        <v>9</v>
      </c>
      <c r="AC2436">
        <v>2</v>
      </c>
      <c r="AF2436">
        <v>1964</v>
      </c>
      <c r="AG2436">
        <v>1964</v>
      </c>
      <c r="AH2436">
        <v>3.15594802056075</v>
      </c>
      <c r="AI2436">
        <v>330</v>
      </c>
      <c r="AJ2436">
        <v>33.540593172228903</v>
      </c>
      <c r="AK2436">
        <v>191.8</v>
      </c>
      <c r="AL2436">
        <v>1.34661214457291</v>
      </c>
      <c r="AN2436">
        <v>-7</v>
      </c>
      <c r="AO2436" t="b">
        <v>1</v>
      </c>
      <c r="AP2436" t="s">
        <v>6291</v>
      </c>
      <c r="AQ2436">
        <v>1960</v>
      </c>
      <c r="AR2436">
        <v>1974</v>
      </c>
      <c r="AS2436" t="s">
        <v>10062</v>
      </c>
      <c r="AT2436">
        <v>5.4757015742641999E-3</v>
      </c>
      <c r="AU2436">
        <f t="shared" ref="AU2436:AU2499" si="116">ROUND(AT2436/365,3)</f>
        <v>0</v>
      </c>
    </row>
    <row r="2437" spans="1:47" x14ac:dyDescent="0.3">
      <c r="A2437">
        <v>2435</v>
      </c>
      <c r="B2437" t="s">
        <v>10063</v>
      </c>
      <c r="C2437" t="s">
        <v>10055</v>
      </c>
      <c r="D2437">
        <v>481</v>
      </c>
      <c r="E2437" t="s">
        <v>10056</v>
      </c>
      <c r="F2437" t="str">
        <f>VLOOKUP(E2437,country_continent!A:C,2,FALSE)</f>
        <v>Gabon</v>
      </c>
      <c r="G2437" t="str">
        <f>VLOOKUP(E2437,country_continent!A:C,3,FALSE)</f>
        <v>Africa</v>
      </c>
      <c r="H2437" t="s">
        <v>10057</v>
      </c>
      <c r="I2437" s="1">
        <v>23427</v>
      </c>
      <c r="J2437" s="3">
        <f t="shared" si="114"/>
        <v>23427</v>
      </c>
      <c r="K2437" s="1">
        <v>24804</v>
      </c>
      <c r="L2437" s="3">
        <f t="shared" si="115"/>
        <v>24804</v>
      </c>
      <c r="M2437" t="s">
        <v>637</v>
      </c>
      <c r="N2437" t="s">
        <v>110</v>
      </c>
      <c r="O2437" t="s">
        <v>49</v>
      </c>
      <c r="P2437">
        <v>1</v>
      </c>
      <c r="Q2437" t="s">
        <v>111</v>
      </c>
      <c r="R2437" t="s">
        <v>51</v>
      </c>
      <c r="S2437">
        <v>1902</v>
      </c>
      <c r="T2437">
        <v>1967</v>
      </c>
      <c r="W2437" s="1">
        <v>24804</v>
      </c>
      <c r="X2437" s="2">
        <v>24804</v>
      </c>
      <c r="Z2437">
        <v>2</v>
      </c>
      <c r="AA2437">
        <v>2</v>
      </c>
      <c r="AB2437">
        <v>0</v>
      </c>
      <c r="AC2437">
        <v>-777</v>
      </c>
      <c r="AF2437">
        <v>1964</v>
      </c>
      <c r="AG2437">
        <v>1967</v>
      </c>
      <c r="AH2437">
        <v>3.8649347505674001</v>
      </c>
      <c r="AI2437">
        <v>382.5</v>
      </c>
      <c r="AJ2437">
        <v>10.2101616718299</v>
      </c>
      <c r="AK2437">
        <v>182.55</v>
      </c>
      <c r="AL2437">
        <v>1.44646389915114</v>
      </c>
      <c r="AN2437">
        <v>-7</v>
      </c>
      <c r="AO2437" t="b">
        <v>1</v>
      </c>
      <c r="AP2437" t="s">
        <v>6291</v>
      </c>
      <c r="AQ2437">
        <v>1960</v>
      </c>
      <c r="AR2437">
        <v>1974</v>
      </c>
      <c r="AS2437" t="s">
        <v>10064</v>
      </c>
      <c r="AT2437">
        <v>3.7700205338809001</v>
      </c>
      <c r="AU2437">
        <f t="shared" si="116"/>
        <v>0.01</v>
      </c>
    </row>
    <row r="2438" spans="1:47" x14ac:dyDescent="0.3">
      <c r="A2438">
        <v>2436</v>
      </c>
      <c r="B2438" t="s">
        <v>10065</v>
      </c>
      <c r="C2438" t="s">
        <v>10066</v>
      </c>
      <c r="D2438">
        <v>481</v>
      </c>
      <c r="E2438" t="s">
        <v>10056</v>
      </c>
      <c r="F2438" t="str">
        <f>VLOOKUP(E2438,country_continent!A:C,2,FALSE)</f>
        <v>Gabon</v>
      </c>
      <c r="G2438" t="str">
        <f>VLOOKUP(E2438,country_continent!A:C,3,FALSE)</f>
        <v>Africa</v>
      </c>
      <c r="H2438" t="s">
        <v>10067</v>
      </c>
      <c r="I2438" s="1">
        <v>24804</v>
      </c>
      <c r="J2438" s="3">
        <f t="shared" si="114"/>
        <v>24804</v>
      </c>
      <c r="K2438" s="1">
        <v>39972</v>
      </c>
      <c r="L2438" s="3">
        <f t="shared" si="115"/>
        <v>39972</v>
      </c>
      <c r="M2438" t="s">
        <v>49</v>
      </c>
      <c r="N2438" t="s">
        <v>110</v>
      </c>
      <c r="O2438" t="s">
        <v>49</v>
      </c>
      <c r="P2438">
        <v>0</v>
      </c>
      <c r="Q2438" t="s">
        <v>111</v>
      </c>
      <c r="R2438" t="s">
        <v>51</v>
      </c>
      <c r="S2438">
        <v>1935</v>
      </c>
      <c r="T2438">
        <v>-777</v>
      </c>
      <c r="U2438" s="1">
        <v>13148</v>
      </c>
      <c r="V2438" s="2">
        <v>13148</v>
      </c>
      <c r="Y2438" t="s">
        <v>10068</v>
      </c>
      <c r="Z2438">
        <v>0</v>
      </c>
      <c r="AA2438">
        <v>2</v>
      </c>
      <c r="AB2438">
        <v>0</v>
      </c>
      <c r="AC2438">
        <v>-777</v>
      </c>
      <c r="AF2438">
        <v>1967</v>
      </c>
      <c r="AG2438">
        <v>2009</v>
      </c>
      <c r="AH2438">
        <v>1.17579744916308</v>
      </c>
      <c r="AI2438">
        <v>3610.4651162790601</v>
      </c>
      <c r="AJ2438">
        <v>8.7449166569117693</v>
      </c>
      <c r="AK2438">
        <v>99.625581395348803</v>
      </c>
      <c r="AL2438">
        <v>2.5523481719240801</v>
      </c>
      <c r="AM2438">
        <v>27.452870694606201</v>
      </c>
      <c r="AN2438">
        <v>-6.51</v>
      </c>
      <c r="AO2438" t="b">
        <v>1</v>
      </c>
      <c r="AP2438" t="s">
        <v>6291</v>
      </c>
      <c r="AQ2438">
        <v>1960</v>
      </c>
      <c r="AR2438">
        <v>1974</v>
      </c>
      <c r="AS2438" t="s">
        <v>10069</v>
      </c>
      <c r="AT2438">
        <v>41.527720739219703</v>
      </c>
      <c r="AU2438">
        <f t="shared" si="116"/>
        <v>0.114</v>
      </c>
    </row>
    <row r="2439" spans="1:47" x14ac:dyDescent="0.3">
      <c r="A2439">
        <v>2437</v>
      </c>
      <c r="B2439" t="s">
        <v>10070</v>
      </c>
      <c r="C2439" t="s">
        <v>10071</v>
      </c>
      <c r="D2439">
        <v>481</v>
      </c>
      <c r="E2439" t="s">
        <v>10056</v>
      </c>
      <c r="F2439" t="str">
        <f>VLOOKUP(E2439,country_continent!A:C,2,FALSE)</f>
        <v>Gabon</v>
      </c>
      <c r="G2439" t="str">
        <f>VLOOKUP(E2439,country_continent!A:C,3,FALSE)</f>
        <v>Africa</v>
      </c>
      <c r="H2439" t="s">
        <v>10072</v>
      </c>
      <c r="I2439" s="1">
        <v>39974</v>
      </c>
      <c r="J2439" s="3">
        <f t="shared" si="114"/>
        <v>39974</v>
      </c>
      <c r="K2439" s="1">
        <v>40102</v>
      </c>
      <c r="L2439" s="3">
        <f t="shared" si="115"/>
        <v>40102</v>
      </c>
      <c r="M2439" t="s">
        <v>49</v>
      </c>
      <c r="N2439" t="s">
        <v>49</v>
      </c>
      <c r="O2439" t="s">
        <v>49</v>
      </c>
      <c r="P2439">
        <v>0</v>
      </c>
      <c r="Q2439" t="s">
        <v>50</v>
      </c>
      <c r="R2439" t="s">
        <v>299</v>
      </c>
      <c r="S2439">
        <v>1942</v>
      </c>
      <c r="T2439">
        <v>-777</v>
      </c>
      <c r="Z2439">
        <v>0</v>
      </c>
      <c r="AA2439">
        <v>1</v>
      </c>
      <c r="AB2439">
        <v>0</v>
      </c>
      <c r="AC2439">
        <v>0</v>
      </c>
      <c r="AF2439">
        <v>2009</v>
      </c>
      <c r="AG2439">
        <v>2009</v>
      </c>
      <c r="AH2439">
        <v>-3.14683049052138</v>
      </c>
      <c r="AI2439">
        <v>7170</v>
      </c>
      <c r="AJ2439">
        <v>-18.0745351045978</v>
      </c>
      <c r="AK2439">
        <v>55.7</v>
      </c>
      <c r="AL2439">
        <v>3.3276533333310101</v>
      </c>
      <c r="AM2439">
        <v>27.736259078337199</v>
      </c>
      <c r="AN2439">
        <v>3</v>
      </c>
      <c r="AO2439" t="b">
        <v>1</v>
      </c>
      <c r="AP2439" t="s">
        <v>6291</v>
      </c>
      <c r="AQ2439">
        <v>1960</v>
      </c>
      <c r="AR2439">
        <v>1974</v>
      </c>
      <c r="AS2439" t="s">
        <v>10073</v>
      </c>
      <c r="AT2439">
        <v>0.35044490075290802</v>
      </c>
      <c r="AU2439">
        <f t="shared" si="116"/>
        <v>1E-3</v>
      </c>
    </row>
    <row r="2440" spans="1:47" x14ac:dyDescent="0.3">
      <c r="A2440">
        <v>2438</v>
      </c>
      <c r="B2440" t="s">
        <v>10074</v>
      </c>
      <c r="C2440" t="s">
        <v>10075</v>
      </c>
      <c r="D2440">
        <v>481</v>
      </c>
      <c r="E2440" t="s">
        <v>10056</v>
      </c>
      <c r="F2440" t="str">
        <f>VLOOKUP(E2440,country_continent!A:C,2,FALSE)</f>
        <v>Gabon</v>
      </c>
      <c r="G2440" t="str">
        <f>VLOOKUP(E2440,country_continent!A:C,3,FALSE)</f>
        <v>Africa</v>
      </c>
      <c r="H2440" t="s">
        <v>10076</v>
      </c>
      <c r="I2440" s="1">
        <v>40102</v>
      </c>
      <c r="J2440" s="3">
        <f t="shared" si="114"/>
        <v>40102</v>
      </c>
      <c r="K2440" s="1">
        <v>42369</v>
      </c>
      <c r="L2440" s="3">
        <f t="shared" si="115"/>
        <v>42369</v>
      </c>
      <c r="M2440" t="s">
        <v>49</v>
      </c>
      <c r="N2440" t="s">
        <v>173</v>
      </c>
      <c r="O2440" t="s">
        <v>173</v>
      </c>
      <c r="P2440">
        <v>0</v>
      </c>
      <c r="Q2440" t="s">
        <v>174</v>
      </c>
      <c r="R2440" t="s">
        <v>51</v>
      </c>
      <c r="S2440">
        <v>1959</v>
      </c>
      <c r="T2440">
        <v>-777</v>
      </c>
      <c r="Z2440">
        <v>0</v>
      </c>
      <c r="AA2440">
        <v>-888</v>
      </c>
      <c r="AB2440">
        <v>-888</v>
      </c>
      <c r="AC2440">
        <v>-888</v>
      </c>
      <c r="AF2440">
        <v>2009</v>
      </c>
      <c r="AG2440">
        <v>2015</v>
      </c>
      <c r="AH2440">
        <v>1.2530130950831599</v>
      </c>
      <c r="AI2440">
        <v>8034.2857142857101</v>
      </c>
      <c r="AJ2440">
        <v>-1.1010539345758601</v>
      </c>
      <c r="AK2440">
        <v>49.6</v>
      </c>
      <c r="AL2440">
        <v>3.4136644986160198</v>
      </c>
      <c r="AM2440">
        <v>30.468701571084999</v>
      </c>
      <c r="AN2440">
        <v>3</v>
      </c>
      <c r="AO2440" t="b">
        <v>1</v>
      </c>
      <c r="AP2440" t="s">
        <v>6291</v>
      </c>
      <c r="AQ2440">
        <v>1960</v>
      </c>
      <c r="AR2440">
        <v>1974</v>
      </c>
      <c r="AS2440" t="s">
        <v>10077</v>
      </c>
      <c r="AT2440">
        <v>6.2067077344284698</v>
      </c>
      <c r="AU2440">
        <f t="shared" si="116"/>
        <v>1.7000000000000001E-2</v>
      </c>
    </row>
    <row r="2441" spans="1:47" x14ac:dyDescent="0.3">
      <c r="A2441">
        <v>2439</v>
      </c>
      <c r="B2441" t="s">
        <v>10078</v>
      </c>
      <c r="C2441" t="s">
        <v>10079</v>
      </c>
      <c r="D2441">
        <v>482</v>
      </c>
      <c r="E2441" t="s">
        <v>10080</v>
      </c>
      <c r="F2441" t="str">
        <f>VLOOKUP(E2441,country_continent!A:C,2,FALSE)</f>
        <v>Central African Republic</v>
      </c>
      <c r="G2441" t="str">
        <f>VLOOKUP(E2441,country_continent!A:C,3,FALSE)</f>
        <v>Africa</v>
      </c>
      <c r="H2441" t="s">
        <v>10081</v>
      </c>
      <c r="I2441" s="1">
        <v>22141</v>
      </c>
      <c r="J2441" s="3">
        <f t="shared" si="114"/>
        <v>22141</v>
      </c>
      <c r="K2441" s="1">
        <v>24108</v>
      </c>
      <c r="L2441" s="3">
        <f t="shared" si="115"/>
        <v>24108</v>
      </c>
      <c r="M2441" t="s">
        <v>49</v>
      </c>
      <c r="N2441" t="s">
        <v>67</v>
      </c>
      <c r="O2441" t="s">
        <v>376</v>
      </c>
      <c r="P2441">
        <v>0</v>
      </c>
      <c r="Q2441" t="s">
        <v>463</v>
      </c>
      <c r="R2441" t="s">
        <v>51</v>
      </c>
      <c r="S2441">
        <v>1930</v>
      </c>
      <c r="T2441">
        <v>2003</v>
      </c>
      <c r="U2441" s="1">
        <v>11041</v>
      </c>
      <c r="V2441" s="2">
        <v>11041</v>
      </c>
      <c r="W2441" s="1">
        <v>37945</v>
      </c>
      <c r="X2441" s="2">
        <v>37945</v>
      </c>
      <c r="Z2441">
        <v>0</v>
      </c>
      <c r="AA2441">
        <v>3</v>
      </c>
      <c r="AB2441">
        <v>6</v>
      </c>
      <c r="AC2441">
        <v>2</v>
      </c>
      <c r="AD2441" t="s">
        <v>10082</v>
      </c>
      <c r="AE2441">
        <v>0</v>
      </c>
      <c r="AF2441">
        <v>1960</v>
      </c>
      <c r="AG2441">
        <v>1966</v>
      </c>
      <c r="AO2441" t="b">
        <v>0</v>
      </c>
      <c r="AT2441">
        <v>1967</v>
      </c>
      <c r="AU2441">
        <f t="shared" si="116"/>
        <v>5.3890000000000002</v>
      </c>
    </row>
    <row r="2442" spans="1:47" x14ac:dyDescent="0.3">
      <c r="A2442">
        <v>2440</v>
      </c>
      <c r="B2442" t="s">
        <v>10083</v>
      </c>
      <c r="C2442" t="s">
        <v>10084</v>
      </c>
      <c r="D2442">
        <v>482</v>
      </c>
      <c r="E2442" t="s">
        <v>10080</v>
      </c>
      <c r="F2442" t="str">
        <f>VLOOKUP(E2442,country_continent!A:C,2,FALSE)</f>
        <v>Central African Republic</v>
      </c>
      <c r="G2442" t="str">
        <f>VLOOKUP(E2442,country_continent!A:C,3,FALSE)</f>
        <v>Africa</v>
      </c>
      <c r="H2442" t="s">
        <v>10085</v>
      </c>
      <c r="I2442" s="1">
        <v>24108</v>
      </c>
      <c r="J2442" s="3">
        <f t="shared" si="114"/>
        <v>24108</v>
      </c>
      <c r="K2442" s="1">
        <v>29119</v>
      </c>
      <c r="L2442" s="3">
        <f t="shared" si="115"/>
        <v>29119</v>
      </c>
      <c r="M2442" t="s">
        <v>67</v>
      </c>
      <c r="N2442" t="s">
        <v>633</v>
      </c>
      <c r="O2442" t="s">
        <v>634</v>
      </c>
      <c r="P2442">
        <v>0</v>
      </c>
      <c r="Q2442" t="s">
        <v>362</v>
      </c>
      <c r="R2442" t="s">
        <v>51</v>
      </c>
      <c r="S2442">
        <v>1921</v>
      </c>
      <c r="T2442">
        <v>1996</v>
      </c>
      <c r="U2442" s="1">
        <v>7724</v>
      </c>
      <c r="V2442" s="2">
        <v>7724</v>
      </c>
      <c r="W2442" s="1">
        <v>35372</v>
      </c>
      <c r="X2442" s="2">
        <v>35372</v>
      </c>
      <c r="Y2442" t="s">
        <v>10086</v>
      </c>
      <c r="Z2442">
        <v>1</v>
      </c>
      <c r="AA2442">
        <v>4</v>
      </c>
      <c r="AB2442">
        <v>9</v>
      </c>
      <c r="AC2442">
        <v>1</v>
      </c>
      <c r="AD2442" t="s">
        <v>10087</v>
      </c>
      <c r="AF2442">
        <v>1966</v>
      </c>
      <c r="AG2442">
        <v>1979</v>
      </c>
      <c r="AO2442" t="b">
        <v>0</v>
      </c>
      <c r="AT2442">
        <v>5011</v>
      </c>
      <c r="AU2442">
        <f t="shared" si="116"/>
        <v>13.728999999999999</v>
      </c>
    </row>
    <row r="2443" spans="1:47" x14ac:dyDescent="0.3">
      <c r="A2443">
        <v>2441</v>
      </c>
      <c r="B2443" t="s">
        <v>10088</v>
      </c>
      <c r="C2443" t="s">
        <v>10079</v>
      </c>
      <c r="D2443">
        <v>482</v>
      </c>
      <c r="E2443" t="s">
        <v>10080</v>
      </c>
      <c r="F2443" t="str">
        <f>VLOOKUP(E2443,country_continent!A:C,2,FALSE)</f>
        <v>Central African Republic</v>
      </c>
      <c r="G2443" t="str">
        <f>VLOOKUP(E2443,country_continent!A:C,3,FALSE)</f>
        <v>Africa</v>
      </c>
      <c r="H2443" t="s">
        <v>10081</v>
      </c>
      <c r="I2443" s="1">
        <v>29119</v>
      </c>
      <c r="J2443" s="3">
        <f t="shared" si="114"/>
        <v>29119</v>
      </c>
      <c r="K2443" s="1">
        <v>29830</v>
      </c>
      <c r="L2443" s="3">
        <f t="shared" si="115"/>
        <v>29830</v>
      </c>
      <c r="M2443" t="s">
        <v>637</v>
      </c>
      <c r="N2443" t="s">
        <v>67</v>
      </c>
      <c r="O2443" t="s">
        <v>376</v>
      </c>
      <c r="P2443">
        <v>1</v>
      </c>
      <c r="Q2443" t="s">
        <v>50</v>
      </c>
      <c r="R2443" t="s">
        <v>51</v>
      </c>
      <c r="S2443">
        <v>1930</v>
      </c>
      <c r="T2443">
        <v>2003</v>
      </c>
      <c r="U2443" s="1">
        <v>11041</v>
      </c>
      <c r="V2443" s="2">
        <v>11041</v>
      </c>
      <c r="W2443" s="1">
        <v>37945</v>
      </c>
      <c r="X2443" s="2">
        <v>37945</v>
      </c>
      <c r="Z2443">
        <v>2</v>
      </c>
      <c r="AA2443">
        <v>3</v>
      </c>
      <c r="AB2443">
        <v>6</v>
      </c>
      <c r="AC2443">
        <v>0</v>
      </c>
      <c r="AD2443" t="s">
        <v>10082</v>
      </c>
      <c r="AF2443">
        <v>1979</v>
      </c>
      <c r="AG2443">
        <v>1981</v>
      </c>
      <c r="AO2443" t="b">
        <v>0</v>
      </c>
      <c r="AT2443">
        <v>711</v>
      </c>
      <c r="AU2443">
        <f t="shared" si="116"/>
        <v>1.948</v>
      </c>
    </row>
    <row r="2444" spans="1:47" x14ac:dyDescent="0.3">
      <c r="A2444">
        <v>2442</v>
      </c>
      <c r="B2444" t="s">
        <v>10089</v>
      </c>
      <c r="C2444" t="s">
        <v>10090</v>
      </c>
      <c r="D2444">
        <v>482</v>
      </c>
      <c r="E2444" t="s">
        <v>10080</v>
      </c>
      <c r="F2444" t="str">
        <f>VLOOKUP(E2444,country_continent!A:C,2,FALSE)</f>
        <v>Central African Republic</v>
      </c>
      <c r="G2444" t="str">
        <f>VLOOKUP(E2444,country_continent!A:C,3,FALSE)</f>
        <v>Africa</v>
      </c>
      <c r="H2444" t="s">
        <v>10091</v>
      </c>
      <c r="I2444" s="1">
        <v>29830</v>
      </c>
      <c r="J2444" s="3">
        <f t="shared" si="114"/>
        <v>29830</v>
      </c>
      <c r="K2444" s="1">
        <v>34264</v>
      </c>
      <c r="L2444" s="3">
        <f t="shared" si="115"/>
        <v>34264</v>
      </c>
      <c r="M2444" t="s">
        <v>67</v>
      </c>
      <c r="N2444" t="s">
        <v>49</v>
      </c>
      <c r="O2444" t="s">
        <v>49</v>
      </c>
      <c r="P2444">
        <v>0</v>
      </c>
      <c r="Q2444" t="s">
        <v>50</v>
      </c>
      <c r="R2444" t="s">
        <v>51</v>
      </c>
      <c r="S2444">
        <v>1935</v>
      </c>
      <c r="T2444">
        <v>2010</v>
      </c>
      <c r="U2444" s="1">
        <v>13008</v>
      </c>
      <c r="V2444" s="2">
        <v>13008</v>
      </c>
      <c r="Z2444">
        <v>1</v>
      </c>
      <c r="AA2444">
        <v>1</v>
      </c>
      <c r="AB2444">
        <v>0</v>
      </c>
      <c r="AC2444">
        <v>0</v>
      </c>
      <c r="AF2444">
        <v>1981</v>
      </c>
      <c r="AG2444">
        <v>1993</v>
      </c>
      <c r="AO2444" t="b">
        <v>0</v>
      </c>
      <c r="AT2444">
        <v>4434</v>
      </c>
      <c r="AU2444">
        <f t="shared" si="116"/>
        <v>12.148</v>
      </c>
    </row>
    <row r="2445" spans="1:47" x14ac:dyDescent="0.3">
      <c r="A2445">
        <v>2443</v>
      </c>
      <c r="B2445" t="s">
        <v>10092</v>
      </c>
      <c r="C2445" t="s">
        <v>10093</v>
      </c>
      <c r="D2445">
        <v>482</v>
      </c>
      <c r="E2445" t="s">
        <v>10080</v>
      </c>
      <c r="F2445" t="str">
        <f>VLOOKUP(E2445,country_continent!A:C,2,FALSE)</f>
        <v>Central African Republic</v>
      </c>
      <c r="G2445" t="str">
        <f>VLOOKUP(E2445,country_continent!A:C,3,FALSE)</f>
        <v>Africa</v>
      </c>
      <c r="H2445" t="s">
        <v>10094</v>
      </c>
      <c r="I2445" s="1">
        <v>34264</v>
      </c>
      <c r="J2445" s="3">
        <f t="shared" si="114"/>
        <v>34264</v>
      </c>
      <c r="K2445" s="1">
        <v>37695</v>
      </c>
      <c r="L2445" s="3">
        <f t="shared" si="115"/>
        <v>37695</v>
      </c>
      <c r="M2445" t="s">
        <v>49</v>
      </c>
      <c r="N2445" t="s">
        <v>67</v>
      </c>
      <c r="O2445" t="s">
        <v>433</v>
      </c>
      <c r="P2445">
        <v>0</v>
      </c>
      <c r="Q2445" t="s">
        <v>362</v>
      </c>
      <c r="R2445" t="s">
        <v>51</v>
      </c>
      <c r="S2445">
        <v>1937</v>
      </c>
      <c r="T2445">
        <v>2011</v>
      </c>
      <c r="U2445" s="1">
        <v>13540</v>
      </c>
      <c r="V2445" s="2">
        <v>13540</v>
      </c>
      <c r="Y2445" t="s">
        <v>10095</v>
      </c>
      <c r="Z2445">
        <v>0</v>
      </c>
      <c r="AA2445">
        <v>3</v>
      </c>
      <c r="AB2445">
        <v>4</v>
      </c>
      <c r="AC2445">
        <v>1</v>
      </c>
      <c r="AF2445">
        <v>1993</v>
      </c>
      <c r="AG2445">
        <v>2003</v>
      </c>
      <c r="AO2445" t="b">
        <v>0</v>
      </c>
      <c r="AT2445">
        <v>3431</v>
      </c>
      <c r="AU2445">
        <f t="shared" si="116"/>
        <v>9.4</v>
      </c>
    </row>
    <row r="2446" spans="1:47" x14ac:dyDescent="0.3">
      <c r="A2446">
        <v>2444</v>
      </c>
      <c r="B2446" t="s">
        <v>10096</v>
      </c>
      <c r="C2446" t="s">
        <v>10097</v>
      </c>
      <c r="D2446">
        <v>482</v>
      </c>
      <c r="E2446" t="s">
        <v>10080</v>
      </c>
      <c r="F2446" t="str">
        <f>VLOOKUP(E2446,country_continent!A:C,2,FALSE)</f>
        <v>Central African Republic</v>
      </c>
      <c r="G2446" t="str">
        <f>VLOOKUP(E2446,country_continent!A:C,3,FALSE)</f>
        <v>Africa</v>
      </c>
      <c r="H2446" t="s">
        <v>10098</v>
      </c>
      <c r="I2446" s="1">
        <v>37695</v>
      </c>
      <c r="J2446" s="3">
        <f t="shared" si="114"/>
        <v>37695</v>
      </c>
      <c r="K2446" s="1">
        <v>41357</v>
      </c>
      <c r="L2446" s="3">
        <f t="shared" si="115"/>
        <v>41357</v>
      </c>
      <c r="M2446" t="s">
        <v>49</v>
      </c>
      <c r="N2446" t="s">
        <v>67</v>
      </c>
      <c r="O2446" t="s">
        <v>433</v>
      </c>
      <c r="P2446">
        <v>0</v>
      </c>
      <c r="Q2446" t="s">
        <v>362</v>
      </c>
      <c r="R2446" t="s">
        <v>51</v>
      </c>
      <c r="S2446">
        <v>1953</v>
      </c>
      <c r="T2446">
        <v>-777</v>
      </c>
      <c r="Z2446">
        <v>0</v>
      </c>
      <c r="AA2446">
        <v>3</v>
      </c>
      <c r="AB2446">
        <v>4</v>
      </c>
      <c r="AC2446">
        <v>1</v>
      </c>
      <c r="AF2446">
        <v>2003</v>
      </c>
      <c r="AG2446">
        <v>2013</v>
      </c>
      <c r="AO2446" t="b">
        <v>0</v>
      </c>
      <c r="AT2446">
        <v>3662</v>
      </c>
      <c r="AU2446">
        <f t="shared" si="116"/>
        <v>10.032999999999999</v>
      </c>
    </row>
    <row r="2447" spans="1:47" x14ac:dyDescent="0.3">
      <c r="A2447">
        <v>2445</v>
      </c>
      <c r="B2447" t="s">
        <v>10099</v>
      </c>
      <c r="C2447" t="s">
        <v>10100</v>
      </c>
      <c r="D2447">
        <v>482</v>
      </c>
      <c r="E2447" t="s">
        <v>10080</v>
      </c>
      <c r="F2447" t="str">
        <f>VLOOKUP(E2447,country_continent!A:C,2,FALSE)</f>
        <v>Central African Republic</v>
      </c>
      <c r="G2447" t="str">
        <f>VLOOKUP(E2447,country_continent!A:C,3,FALSE)</f>
        <v>Africa</v>
      </c>
      <c r="H2447" t="s">
        <v>10101</v>
      </c>
      <c r="I2447" s="1">
        <v>41357</v>
      </c>
      <c r="J2447" s="3">
        <f t="shared" si="114"/>
        <v>41357</v>
      </c>
      <c r="K2447" s="1">
        <v>41649</v>
      </c>
      <c r="L2447" s="3">
        <f t="shared" si="115"/>
        <v>41649</v>
      </c>
      <c r="M2447" t="s">
        <v>67</v>
      </c>
      <c r="N2447" t="s">
        <v>49</v>
      </c>
      <c r="O2447" t="s">
        <v>49</v>
      </c>
      <c r="P2447">
        <v>0</v>
      </c>
      <c r="Q2447" t="s">
        <v>362</v>
      </c>
      <c r="R2447" t="s">
        <v>51</v>
      </c>
      <c r="S2447">
        <v>1949</v>
      </c>
      <c r="T2447">
        <v>-777</v>
      </c>
      <c r="Z2447">
        <v>1</v>
      </c>
      <c r="AA2447">
        <v>1</v>
      </c>
      <c r="AB2447">
        <v>0</v>
      </c>
      <c r="AC2447">
        <v>1</v>
      </c>
      <c r="AF2447">
        <v>2013</v>
      </c>
      <c r="AG2447">
        <v>2014</v>
      </c>
      <c r="AO2447" t="b">
        <v>0</v>
      </c>
      <c r="AT2447">
        <v>292</v>
      </c>
      <c r="AU2447">
        <f t="shared" si="116"/>
        <v>0.8</v>
      </c>
    </row>
    <row r="2448" spans="1:47" x14ac:dyDescent="0.3">
      <c r="A2448">
        <v>2446</v>
      </c>
      <c r="B2448" t="s">
        <v>10102</v>
      </c>
      <c r="C2448" t="s">
        <v>10103</v>
      </c>
      <c r="D2448">
        <v>482</v>
      </c>
      <c r="E2448" t="s">
        <v>10080</v>
      </c>
      <c r="F2448" t="str">
        <f>VLOOKUP(E2448,country_continent!A:C,2,FALSE)</f>
        <v>Central African Republic</v>
      </c>
      <c r="G2448" t="str">
        <f>VLOOKUP(E2448,country_continent!A:C,3,FALSE)</f>
        <v>Africa</v>
      </c>
      <c r="H2448" t="s">
        <v>10104</v>
      </c>
      <c r="I2448" s="1">
        <v>41649</v>
      </c>
      <c r="J2448" s="3">
        <f t="shared" si="114"/>
        <v>41649</v>
      </c>
      <c r="K2448" s="1">
        <v>41662</v>
      </c>
      <c r="L2448" s="3">
        <f t="shared" si="115"/>
        <v>41662</v>
      </c>
      <c r="M2448" t="s">
        <v>49</v>
      </c>
      <c r="N2448" t="s">
        <v>49</v>
      </c>
      <c r="O2448" t="s">
        <v>49</v>
      </c>
      <c r="P2448">
        <v>0</v>
      </c>
      <c r="Q2448" t="s">
        <v>50</v>
      </c>
      <c r="R2448" t="s">
        <v>51</v>
      </c>
      <c r="S2448">
        <v>1972</v>
      </c>
      <c r="T2448">
        <v>-777</v>
      </c>
      <c r="U2448" s="1">
        <v>26442</v>
      </c>
      <c r="V2448" s="2">
        <v>26442</v>
      </c>
      <c r="Z2448">
        <v>0</v>
      </c>
      <c r="AA2448">
        <v>1</v>
      </c>
      <c r="AB2448">
        <v>0</v>
      </c>
      <c r="AC2448">
        <v>0</v>
      </c>
      <c r="AF2448">
        <v>2014</v>
      </c>
      <c r="AG2448">
        <v>2014</v>
      </c>
      <c r="AO2448" t="b">
        <v>0</v>
      </c>
      <c r="AT2448">
        <v>13</v>
      </c>
      <c r="AU2448">
        <f t="shared" si="116"/>
        <v>3.5999999999999997E-2</v>
      </c>
    </row>
    <row r="2449" spans="1:47" x14ac:dyDescent="0.3">
      <c r="A2449">
        <v>2447</v>
      </c>
      <c r="B2449" t="s">
        <v>10105</v>
      </c>
      <c r="C2449" t="s">
        <v>10106</v>
      </c>
      <c r="D2449">
        <v>482</v>
      </c>
      <c r="E2449" t="s">
        <v>10080</v>
      </c>
      <c r="F2449" t="str">
        <f>VLOOKUP(E2449,country_continent!A:C,2,FALSE)</f>
        <v>Central African Republic</v>
      </c>
      <c r="G2449" t="str">
        <f>VLOOKUP(E2449,country_continent!A:C,3,FALSE)</f>
        <v>Africa</v>
      </c>
      <c r="H2449" t="s">
        <v>10107</v>
      </c>
      <c r="I2449" s="1">
        <v>41662</v>
      </c>
      <c r="J2449" s="3">
        <f t="shared" si="114"/>
        <v>41662</v>
      </c>
      <c r="K2449" s="1">
        <v>42369</v>
      </c>
      <c r="L2449" s="3">
        <f t="shared" si="115"/>
        <v>42369</v>
      </c>
      <c r="M2449" t="s">
        <v>49</v>
      </c>
      <c r="N2449" t="s">
        <v>173</v>
      </c>
      <c r="O2449" t="s">
        <v>173</v>
      </c>
      <c r="P2449">
        <v>0</v>
      </c>
      <c r="Q2449" t="s">
        <v>174</v>
      </c>
      <c r="R2449" t="s">
        <v>299</v>
      </c>
      <c r="S2449">
        <v>1954</v>
      </c>
      <c r="T2449">
        <v>-777</v>
      </c>
      <c r="U2449" s="1">
        <v>19901</v>
      </c>
      <c r="V2449" s="2">
        <v>19901</v>
      </c>
      <c r="Z2449">
        <v>0</v>
      </c>
      <c r="AA2449">
        <v>-888</v>
      </c>
      <c r="AB2449">
        <v>-888</v>
      </c>
      <c r="AC2449">
        <v>-888</v>
      </c>
      <c r="AF2449">
        <v>2014</v>
      </c>
      <c r="AG2449">
        <v>2015</v>
      </c>
      <c r="AO2449" t="b">
        <v>0</v>
      </c>
      <c r="AT2449">
        <v>707</v>
      </c>
      <c r="AU2449">
        <f t="shared" si="116"/>
        <v>1.9370000000000001</v>
      </c>
    </row>
    <row r="2450" spans="1:47" x14ac:dyDescent="0.3">
      <c r="A2450">
        <v>2448</v>
      </c>
      <c r="B2450" t="s">
        <v>10108</v>
      </c>
      <c r="C2450" t="s">
        <v>10109</v>
      </c>
      <c r="D2450">
        <v>483</v>
      </c>
      <c r="E2450" t="s">
        <v>10110</v>
      </c>
      <c r="F2450" t="str">
        <f>VLOOKUP(E2450,country_continent!A:C,2,FALSE)</f>
        <v>Chad</v>
      </c>
      <c r="G2450" t="str">
        <f>VLOOKUP(E2450,country_continent!A:C,3,FALSE)</f>
        <v>Africa</v>
      </c>
      <c r="H2450" t="s">
        <v>10111</v>
      </c>
      <c r="I2450" s="1">
        <v>22139</v>
      </c>
      <c r="J2450" s="3">
        <f t="shared" si="114"/>
        <v>22139</v>
      </c>
      <c r="K2450" s="1">
        <v>27497</v>
      </c>
      <c r="L2450" s="3">
        <f t="shared" si="115"/>
        <v>27497</v>
      </c>
      <c r="M2450" t="s">
        <v>49</v>
      </c>
      <c r="N2450" t="s">
        <v>67</v>
      </c>
      <c r="O2450" t="s">
        <v>376</v>
      </c>
      <c r="P2450">
        <v>0</v>
      </c>
      <c r="Q2450" t="s">
        <v>69</v>
      </c>
      <c r="R2450" t="s">
        <v>51</v>
      </c>
      <c r="S2450">
        <v>1918</v>
      </c>
      <c r="T2450">
        <v>1975</v>
      </c>
      <c r="U2450" s="1">
        <v>6741</v>
      </c>
      <c r="V2450" s="2">
        <v>6741</v>
      </c>
      <c r="Y2450" t="s">
        <v>10112</v>
      </c>
      <c r="Z2450">
        <v>0</v>
      </c>
      <c r="AA2450">
        <v>3</v>
      </c>
      <c r="AB2450">
        <v>6</v>
      </c>
      <c r="AC2450">
        <v>3</v>
      </c>
      <c r="AF2450">
        <v>1960</v>
      </c>
      <c r="AG2450">
        <v>1975</v>
      </c>
      <c r="AO2450" t="b">
        <v>0</v>
      </c>
      <c r="AT2450">
        <v>5358</v>
      </c>
      <c r="AU2450">
        <f t="shared" si="116"/>
        <v>14.679</v>
      </c>
    </row>
    <row r="2451" spans="1:47" x14ac:dyDescent="0.3">
      <c r="A2451">
        <v>2449</v>
      </c>
      <c r="B2451" t="s">
        <v>10113</v>
      </c>
      <c r="C2451" t="s">
        <v>10114</v>
      </c>
      <c r="D2451">
        <v>483</v>
      </c>
      <c r="E2451" t="s">
        <v>10110</v>
      </c>
      <c r="F2451" t="str">
        <f>VLOOKUP(E2451,country_continent!A:C,2,FALSE)</f>
        <v>Chad</v>
      </c>
      <c r="G2451" t="str">
        <f>VLOOKUP(E2451,country_continent!A:C,3,FALSE)</f>
        <v>Africa</v>
      </c>
      <c r="H2451" t="s">
        <v>10115</v>
      </c>
      <c r="I2451" s="1">
        <v>27499</v>
      </c>
      <c r="J2451" s="3">
        <f t="shared" si="114"/>
        <v>27499</v>
      </c>
      <c r="K2451" s="1">
        <v>28937</v>
      </c>
      <c r="L2451" s="3">
        <f t="shared" si="115"/>
        <v>28937</v>
      </c>
      <c r="M2451" t="s">
        <v>67</v>
      </c>
      <c r="N2451" t="s">
        <v>67</v>
      </c>
      <c r="O2451" t="s">
        <v>645</v>
      </c>
      <c r="P2451">
        <v>0</v>
      </c>
      <c r="Q2451" t="s">
        <v>362</v>
      </c>
      <c r="R2451" t="s">
        <v>51</v>
      </c>
      <c r="S2451">
        <v>1932</v>
      </c>
      <c r="T2451">
        <v>2009</v>
      </c>
      <c r="U2451" s="1">
        <v>11942</v>
      </c>
      <c r="V2451" s="2">
        <v>11942</v>
      </c>
      <c r="Z2451">
        <v>1</v>
      </c>
      <c r="AA2451">
        <v>3</v>
      </c>
      <c r="AB2451">
        <v>3</v>
      </c>
      <c r="AC2451">
        <v>1</v>
      </c>
      <c r="AF2451">
        <v>1975</v>
      </c>
      <c r="AG2451">
        <v>1979</v>
      </c>
      <c r="AO2451" t="b">
        <v>0</v>
      </c>
      <c r="AT2451">
        <v>1438</v>
      </c>
      <c r="AU2451">
        <f t="shared" si="116"/>
        <v>3.94</v>
      </c>
    </row>
    <row r="2452" spans="1:47" x14ac:dyDescent="0.3">
      <c r="A2452">
        <v>2450</v>
      </c>
      <c r="B2452" t="s">
        <v>10116</v>
      </c>
      <c r="C2452" t="s">
        <v>10117</v>
      </c>
      <c r="D2452">
        <v>483</v>
      </c>
      <c r="E2452" t="s">
        <v>10110</v>
      </c>
      <c r="F2452" t="str">
        <f>VLOOKUP(E2452,country_continent!A:C,2,FALSE)</f>
        <v>Chad</v>
      </c>
      <c r="G2452" t="str">
        <f>VLOOKUP(E2452,country_continent!A:C,3,FALSE)</f>
        <v>Africa</v>
      </c>
      <c r="H2452" t="s">
        <v>10118</v>
      </c>
      <c r="I2452" s="1">
        <v>28937</v>
      </c>
      <c r="J2452" s="3">
        <f t="shared" si="114"/>
        <v>28937</v>
      </c>
      <c r="K2452" s="1">
        <v>30109</v>
      </c>
      <c r="L2452" s="3">
        <f t="shared" si="115"/>
        <v>30109</v>
      </c>
      <c r="M2452" t="s">
        <v>49</v>
      </c>
      <c r="N2452" t="s">
        <v>67</v>
      </c>
      <c r="O2452" t="s">
        <v>433</v>
      </c>
      <c r="P2452">
        <v>0</v>
      </c>
      <c r="Q2452" t="s">
        <v>362</v>
      </c>
      <c r="R2452" t="s">
        <v>51</v>
      </c>
      <c r="S2452">
        <v>1944</v>
      </c>
      <c r="T2452">
        <v>-777</v>
      </c>
      <c r="Y2452" t="s">
        <v>10119</v>
      </c>
      <c r="Z2452">
        <v>0</v>
      </c>
      <c r="AA2452">
        <v>3</v>
      </c>
      <c r="AB2452">
        <v>4</v>
      </c>
      <c r="AC2452">
        <v>1</v>
      </c>
      <c r="AF2452">
        <v>1979</v>
      </c>
      <c r="AG2452">
        <v>1982</v>
      </c>
      <c r="AO2452" t="b">
        <v>0</v>
      </c>
      <c r="AT2452">
        <v>1172</v>
      </c>
      <c r="AU2452">
        <f t="shared" si="116"/>
        <v>3.2109999999999999</v>
      </c>
    </row>
    <row r="2453" spans="1:47" x14ac:dyDescent="0.3">
      <c r="A2453">
        <v>2451</v>
      </c>
      <c r="B2453" t="s">
        <v>10120</v>
      </c>
      <c r="C2453" t="s">
        <v>10121</v>
      </c>
      <c r="D2453">
        <v>483</v>
      </c>
      <c r="E2453" t="s">
        <v>10110</v>
      </c>
      <c r="F2453" t="str">
        <f>VLOOKUP(E2453,country_continent!A:C,2,FALSE)</f>
        <v>Chad</v>
      </c>
      <c r="G2453" t="str">
        <f>VLOOKUP(E2453,country_continent!A:C,3,FALSE)</f>
        <v>Africa</v>
      </c>
      <c r="H2453" t="s">
        <v>10122</v>
      </c>
      <c r="I2453" s="1">
        <v>30121</v>
      </c>
      <c r="J2453" s="3">
        <f t="shared" si="114"/>
        <v>30121</v>
      </c>
      <c r="K2453" s="1">
        <v>33209</v>
      </c>
      <c r="L2453" s="3">
        <f t="shared" si="115"/>
        <v>33209</v>
      </c>
      <c r="M2453" t="s">
        <v>67</v>
      </c>
      <c r="N2453" t="s">
        <v>67</v>
      </c>
      <c r="O2453" t="s">
        <v>433</v>
      </c>
      <c r="P2453">
        <v>0</v>
      </c>
      <c r="Q2453" t="s">
        <v>362</v>
      </c>
      <c r="R2453" t="s">
        <v>51</v>
      </c>
      <c r="S2453">
        <v>1942</v>
      </c>
      <c r="T2453">
        <v>-777</v>
      </c>
      <c r="Z2453">
        <v>1</v>
      </c>
      <c r="AA2453">
        <v>3</v>
      </c>
      <c r="AB2453">
        <v>4</v>
      </c>
      <c r="AC2453">
        <v>1</v>
      </c>
      <c r="AF2453">
        <v>1982</v>
      </c>
      <c r="AG2453">
        <v>1990</v>
      </c>
      <c r="AO2453" t="b">
        <v>0</v>
      </c>
      <c r="AT2453">
        <v>3088</v>
      </c>
      <c r="AU2453">
        <f t="shared" si="116"/>
        <v>8.4600000000000009</v>
      </c>
    </row>
    <row r="2454" spans="1:47" x14ac:dyDescent="0.3">
      <c r="A2454">
        <v>2452</v>
      </c>
      <c r="B2454" t="s">
        <v>10123</v>
      </c>
      <c r="C2454" t="s">
        <v>10124</v>
      </c>
      <c r="D2454">
        <v>483</v>
      </c>
      <c r="E2454" t="s">
        <v>10110</v>
      </c>
      <c r="F2454" t="str">
        <f>VLOOKUP(E2454,country_continent!A:C,2,FALSE)</f>
        <v>Chad</v>
      </c>
      <c r="G2454" t="str">
        <f>VLOOKUP(E2454,country_continent!A:C,3,FALSE)</f>
        <v>Africa</v>
      </c>
      <c r="H2454" t="s">
        <v>10125</v>
      </c>
      <c r="I2454" s="1">
        <v>33211</v>
      </c>
      <c r="J2454" s="3">
        <f t="shared" si="114"/>
        <v>33211</v>
      </c>
      <c r="K2454" s="1">
        <v>42369</v>
      </c>
      <c r="L2454" s="3">
        <f t="shared" si="115"/>
        <v>42369</v>
      </c>
      <c r="M2454" t="s">
        <v>67</v>
      </c>
      <c r="N2454" t="s">
        <v>173</v>
      </c>
      <c r="O2454" t="s">
        <v>173</v>
      </c>
      <c r="P2454">
        <v>0</v>
      </c>
      <c r="Q2454" t="s">
        <v>174</v>
      </c>
      <c r="R2454" t="s">
        <v>51</v>
      </c>
      <c r="S2454">
        <v>1952</v>
      </c>
      <c r="T2454">
        <v>-777</v>
      </c>
      <c r="U2454" s="1">
        <v>19163</v>
      </c>
      <c r="V2454" s="2">
        <v>19163</v>
      </c>
      <c r="Z2454">
        <v>1</v>
      </c>
      <c r="AA2454">
        <v>-888</v>
      </c>
      <c r="AB2454">
        <v>-888</v>
      </c>
      <c r="AC2454">
        <v>-888</v>
      </c>
      <c r="AF2454">
        <v>1990</v>
      </c>
      <c r="AG2454">
        <v>2015</v>
      </c>
      <c r="AO2454" t="b">
        <v>0</v>
      </c>
      <c r="AT2454">
        <v>9158</v>
      </c>
      <c r="AU2454">
        <f t="shared" si="116"/>
        <v>25.09</v>
      </c>
    </row>
    <row r="2455" spans="1:47" x14ac:dyDescent="0.3">
      <c r="A2455">
        <v>2453</v>
      </c>
      <c r="B2455" t="s">
        <v>10126</v>
      </c>
      <c r="C2455" t="s">
        <v>10127</v>
      </c>
      <c r="D2455">
        <v>484</v>
      </c>
      <c r="E2455" t="s">
        <v>10128</v>
      </c>
      <c r="F2455" t="str">
        <f>VLOOKUP(E2455,country_continent!A:C,2,FALSE)</f>
        <v>Congo</v>
      </c>
      <c r="G2455" t="str">
        <f>VLOOKUP(E2455,country_continent!A:C,3,FALSE)</f>
        <v>Africa</v>
      </c>
      <c r="H2455" t="s">
        <v>10129</v>
      </c>
      <c r="I2455" s="1">
        <v>22143</v>
      </c>
      <c r="J2455" s="3">
        <f t="shared" si="114"/>
        <v>22143</v>
      </c>
      <c r="K2455" s="1">
        <v>23238</v>
      </c>
      <c r="L2455" s="3">
        <f t="shared" si="115"/>
        <v>23238</v>
      </c>
      <c r="M2455" t="s">
        <v>49</v>
      </c>
      <c r="N2455" t="s">
        <v>67</v>
      </c>
      <c r="O2455" t="s">
        <v>613</v>
      </c>
      <c r="P2455">
        <v>0</v>
      </c>
      <c r="Q2455" t="s">
        <v>463</v>
      </c>
      <c r="R2455" t="s">
        <v>51</v>
      </c>
      <c r="S2455">
        <v>1917</v>
      </c>
      <c r="T2455">
        <v>1972</v>
      </c>
      <c r="U2455" s="1">
        <v>6370</v>
      </c>
      <c r="V2455" s="2">
        <v>6370</v>
      </c>
      <c r="Z2455">
        <v>0</v>
      </c>
      <c r="AA2455">
        <v>3</v>
      </c>
      <c r="AB2455">
        <v>2</v>
      </c>
      <c r="AC2455">
        <v>2</v>
      </c>
      <c r="AF2455">
        <v>1960</v>
      </c>
      <c r="AG2455">
        <v>1963</v>
      </c>
      <c r="AO2455" t="b">
        <v>1</v>
      </c>
      <c r="AP2455" t="s">
        <v>6291</v>
      </c>
      <c r="AQ2455">
        <v>1960</v>
      </c>
      <c r="AR2455">
        <v>1974</v>
      </c>
      <c r="AS2455" t="s">
        <v>10130</v>
      </c>
      <c r="AT2455">
        <v>2.9979466119096498</v>
      </c>
      <c r="AU2455">
        <f t="shared" si="116"/>
        <v>8.0000000000000002E-3</v>
      </c>
    </row>
    <row r="2456" spans="1:47" x14ac:dyDescent="0.3">
      <c r="A2456">
        <v>2454</v>
      </c>
      <c r="B2456" t="s">
        <v>10131</v>
      </c>
      <c r="C2456" t="s">
        <v>10132</v>
      </c>
      <c r="D2456">
        <v>484</v>
      </c>
      <c r="E2456" t="s">
        <v>10128</v>
      </c>
      <c r="F2456" t="str">
        <f>VLOOKUP(E2456,country_continent!A:C,2,FALSE)</f>
        <v>Congo</v>
      </c>
      <c r="G2456" t="str">
        <f>VLOOKUP(E2456,country_continent!A:C,3,FALSE)</f>
        <v>Africa</v>
      </c>
      <c r="H2456" t="s">
        <v>10133</v>
      </c>
      <c r="I2456" s="1">
        <v>23239</v>
      </c>
      <c r="J2456" s="3">
        <f t="shared" si="114"/>
        <v>23239</v>
      </c>
      <c r="K2456" s="1">
        <v>25085</v>
      </c>
      <c r="L2456" s="3">
        <f t="shared" si="115"/>
        <v>25085</v>
      </c>
      <c r="M2456" t="s">
        <v>67</v>
      </c>
      <c r="N2456" t="s">
        <v>67</v>
      </c>
      <c r="O2456" t="s">
        <v>376</v>
      </c>
      <c r="P2456">
        <v>0</v>
      </c>
      <c r="Q2456" t="s">
        <v>50</v>
      </c>
      <c r="R2456" t="s">
        <v>51</v>
      </c>
      <c r="S2456">
        <v>1921</v>
      </c>
      <c r="T2456">
        <v>1977</v>
      </c>
      <c r="Z2456">
        <v>1</v>
      </c>
      <c r="AA2456">
        <v>3</v>
      </c>
      <c r="AB2456">
        <v>6</v>
      </c>
      <c r="AC2456">
        <v>0</v>
      </c>
      <c r="AF2456">
        <v>1963</v>
      </c>
      <c r="AG2456">
        <v>1968</v>
      </c>
      <c r="AO2456" t="b">
        <v>1</v>
      </c>
      <c r="AP2456" t="s">
        <v>6291</v>
      </c>
      <c r="AQ2456">
        <v>1960</v>
      </c>
      <c r="AR2456">
        <v>1974</v>
      </c>
      <c r="AS2456" t="s">
        <v>10134</v>
      </c>
      <c r="AT2456">
        <v>5.0540725530458497</v>
      </c>
      <c r="AU2456">
        <f t="shared" si="116"/>
        <v>1.4E-2</v>
      </c>
    </row>
    <row r="2457" spans="1:47" x14ac:dyDescent="0.3">
      <c r="A2457">
        <v>2455</v>
      </c>
      <c r="B2457" t="s">
        <v>10135</v>
      </c>
      <c r="C2457" t="s">
        <v>10136</v>
      </c>
      <c r="D2457">
        <v>484</v>
      </c>
      <c r="E2457" t="s">
        <v>10128</v>
      </c>
      <c r="F2457" t="str">
        <f>VLOOKUP(E2457,country_continent!A:C,2,FALSE)</f>
        <v>Congo</v>
      </c>
      <c r="G2457" t="str">
        <f>VLOOKUP(E2457,country_continent!A:C,3,FALSE)</f>
        <v>Africa</v>
      </c>
      <c r="H2457" t="s">
        <v>10137</v>
      </c>
      <c r="I2457" s="1">
        <v>25085</v>
      </c>
      <c r="J2457" s="3">
        <f t="shared" si="114"/>
        <v>25085</v>
      </c>
      <c r="K2457" s="1">
        <v>25204</v>
      </c>
      <c r="L2457" s="3">
        <f t="shared" si="115"/>
        <v>25204</v>
      </c>
      <c r="M2457" t="s">
        <v>67</v>
      </c>
      <c r="N2457" t="s">
        <v>49</v>
      </c>
      <c r="O2457" t="s">
        <v>49</v>
      </c>
      <c r="P2457">
        <v>0</v>
      </c>
      <c r="Q2457" t="s">
        <v>50</v>
      </c>
      <c r="R2457" t="s">
        <v>51</v>
      </c>
      <c r="S2457">
        <v>1938</v>
      </c>
      <c r="T2457">
        <v>1999</v>
      </c>
      <c r="U2457" s="1">
        <v>14227</v>
      </c>
      <c r="V2457" s="2">
        <v>14227</v>
      </c>
      <c r="Z2457">
        <v>1</v>
      </c>
      <c r="AA2457">
        <v>1</v>
      </c>
      <c r="AB2457">
        <v>0</v>
      </c>
      <c r="AC2457">
        <v>0</v>
      </c>
      <c r="AF2457">
        <v>1968</v>
      </c>
      <c r="AG2457">
        <v>1969</v>
      </c>
      <c r="AO2457" t="b">
        <v>1</v>
      </c>
      <c r="AP2457" t="s">
        <v>6291</v>
      </c>
      <c r="AQ2457">
        <v>1960</v>
      </c>
      <c r="AR2457">
        <v>1974</v>
      </c>
      <c r="AS2457" t="s">
        <v>10138</v>
      </c>
      <c r="AT2457">
        <v>0.32580424366872002</v>
      </c>
      <c r="AU2457">
        <f t="shared" si="116"/>
        <v>1E-3</v>
      </c>
    </row>
    <row r="2458" spans="1:47" x14ac:dyDescent="0.3">
      <c r="A2458">
        <v>2456</v>
      </c>
      <c r="B2458" t="s">
        <v>10139</v>
      </c>
      <c r="C2458" t="s">
        <v>10140</v>
      </c>
      <c r="D2458">
        <v>484</v>
      </c>
      <c r="E2458" t="s">
        <v>10128</v>
      </c>
      <c r="F2458" t="str">
        <f>VLOOKUP(E2458,country_continent!A:C,2,FALSE)</f>
        <v>Congo</v>
      </c>
      <c r="G2458" t="str">
        <f>VLOOKUP(E2458,country_continent!A:C,3,FALSE)</f>
        <v>Africa</v>
      </c>
      <c r="H2458" t="s">
        <v>10141</v>
      </c>
      <c r="I2458" s="1">
        <v>25204</v>
      </c>
      <c r="J2458" s="3">
        <f t="shared" si="114"/>
        <v>25204</v>
      </c>
      <c r="K2458" s="1">
        <v>28202</v>
      </c>
      <c r="L2458" s="3">
        <f t="shared" si="115"/>
        <v>28202</v>
      </c>
      <c r="M2458" t="s">
        <v>49</v>
      </c>
      <c r="N2458" t="s">
        <v>67</v>
      </c>
      <c r="O2458" t="s">
        <v>376</v>
      </c>
      <c r="P2458">
        <v>0</v>
      </c>
      <c r="Q2458" t="s">
        <v>69</v>
      </c>
      <c r="R2458" t="s">
        <v>51</v>
      </c>
      <c r="S2458">
        <v>1938</v>
      </c>
      <c r="T2458">
        <v>1977</v>
      </c>
      <c r="Z2458">
        <v>0</v>
      </c>
      <c r="AA2458">
        <v>3</v>
      </c>
      <c r="AB2458">
        <v>6</v>
      </c>
      <c r="AC2458">
        <v>3</v>
      </c>
      <c r="AF2458">
        <v>1969</v>
      </c>
      <c r="AG2458">
        <v>1977</v>
      </c>
      <c r="AO2458" t="b">
        <v>1</v>
      </c>
      <c r="AP2458" t="s">
        <v>6291</v>
      </c>
      <c r="AQ2458">
        <v>1960</v>
      </c>
      <c r="AR2458">
        <v>1974</v>
      </c>
      <c r="AS2458" t="s">
        <v>10142</v>
      </c>
      <c r="AT2458">
        <v>8.2080766598220301</v>
      </c>
      <c r="AU2458">
        <f t="shared" si="116"/>
        <v>2.1999999999999999E-2</v>
      </c>
    </row>
    <row r="2459" spans="1:47" x14ac:dyDescent="0.3">
      <c r="A2459">
        <v>2457</v>
      </c>
      <c r="B2459" t="s">
        <v>10143</v>
      </c>
      <c r="C2459" t="s">
        <v>10144</v>
      </c>
      <c r="D2459">
        <v>484</v>
      </c>
      <c r="E2459" t="s">
        <v>10128</v>
      </c>
      <c r="F2459" t="str">
        <f>VLOOKUP(E2459,country_continent!A:C,2,FALSE)</f>
        <v>Congo</v>
      </c>
      <c r="G2459" t="str">
        <f>VLOOKUP(E2459,country_continent!A:C,3,FALSE)</f>
        <v>Africa</v>
      </c>
      <c r="H2459" t="s">
        <v>10145</v>
      </c>
      <c r="I2459" s="1">
        <v>28202</v>
      </c>
      <c r="J2459" s="3">
        <f t="shared" si="114"/>
        <v>28202</v>
      </c>
      <c r="K2459" s="1">
        <v>28891</v>
      </c>
      <c r="L2459" s="3">
        <f t="shared" si="115"/>
        <v>28891</v>
      </c>
      <c r="M2459" t="s">
        <v>49</v>
      </c>
      <c r="N2459" t="s">
        <v>67</v>
      </c>
      <c r="O2459" t="s">
        <v>389</v>
      </c>
      <c r="P2459">
        <v>0</v>
      </c>
      <c r="Q2459" t="s">
        <v>463</v>
      </c>
      <c r="R2459" t="s">
        <v>51</v>
      </c>
      <c r="S2459">
        <v>1939</v>
      </c>
      <c r="T2459">
        <v>-777</v>
      </c>
      <c r="Z2459">
        <v>0</v>
      </c>
      <c r="AA2459">
        <v>3</v>
      </c>
      <c r="AB2459">
        <v>16</v>
      </c>
      <c r="AC2459">
        <v>2</v>
      </c>
      <c r="AF2459">
        <v>1977</v>
      </c>
      <c r="AG2459">
        <v>1979</v>
      </c>
      <c r="AO2459" t="b">
        <v>1</v>
      </c>
      <c r="AP2459" t="s">
        <v>6291</v>
      </c>
      <c r="AQ2459">
        <v>1960</v>
      </c>
      <c r="AR2459">
        <v>1974</v>
      </c>
      <c r="AS2459" t="s">
        <v>10146</v>
      </c>
      <c r="AT2459">
        <v>1.8863791923340101</v>
      </c>
      <c r="AU2459">
        <f t="shared" si="116"/>
        <v>5.0000000000000001E-3</v>
      </c>
    </row>
    <row r="2460" spans="1:47" x14ac:dyDescent="0.3">
      <c r="A2460">
        <v>2458</v>
      </c>
      <c r="B2460" t="s">
        <v>10147</v>
      </c>
      <c r="C2460" t="s">
        <v>10148</v>
      </c>
      <c r="D2460">
        <v>484</v>
      </c>
      <c r="E2460" t="s">
        <v>10128</v>
      </c>
      <c r="F2460" t="str">
        <f>VLOOKUP(E2460,country_continent!A:C,2,FALSE)</f>
        <v>Congo</v>
      </c>
      <c r="G2460" t="str">
        <f>VLOOKUP(E2460,country_continent!A:C,3,FALSE)</f>
        <v>Africa</v>
      </c>
      <c r="H2460" t="s">
        <v>10149</v>
      </c>
      <c r="I2460" s="1">
        <v>28894</v>
      </c>
      <c r="J2460" s="3">
        <f t="shared" si="114"/>
        <v>28894</v>
      </c>
      <c r="K2460" s="1">
        <v>33836</v>
      </c>
      <c r="L2460" s="3">
        <f t="shared" si="115"/>
        <v>33836</v>
      </c>
      <c r="M2460" t="s">
        <v>67</v>
      </c>
      <c r="N2460" t="s">
        <v>49</v>
      </c>
      <c r="O2460" t="s">
        <v>49</v>
      </c>
      <c r="P2460">
        <v>0</v>
      </c>
      <c r="Q2460" t="s">
        <v>50</v>
      </c>
      <c r="R2460" t="s">
        <v>51</v>
      </c>
      <c r="S2460">
        <v>1943</v>
      </c>
      <c r="T2460">
        <v>-777</v>
      </c>
      <c r="Z2460">
        <v>1</v>
      </c>
      <c r="AA2460">
        <v>1</v>
      </c>
      <c r="AB2460">
        <v>0</v>
      </c>
      <c r="AC2460">
        <v>0</v>
      </c>
      <c r="AF2460">
        <v>1979</v>
      </c>
      <c r="AG2460">
        <v>1992</v>
      </c>
      <c r="AO2460" t="b">
        <v>1</v>
      </c>
      <c r="AP2460" t="s">
        <v>6291</v>
      </c>
      <c r="AQ2460">
        <v>1960</v>
      </c>
      <c r="AR2460">
        <v>1974</v>
      </c>
      <c r="AS2460" t="s">
        <v>10150</v>
      </c>
      <c r="AT2460">
        <v>13.5304585900068</v>
      </c>
      <c r="AU2460">
        <f t="shared" si="116"/>
        <v>3.6999999999999998E-2</v>
      </c>
    </row>
    <row r="2461" spans="1:47" x14ac:dyDescent="0.3">
      <c r="A2461">
        <v>2459</v>
      </c>
      <c r="B2461" t="s">
        <v>10151</v>
      </c>
      <c r="C2461" t="s">
        <v>10152</v>
      </c>
      <c r="D2461">
        <v>484</v>
      </c>
      <c r="E2461" t="s">
        <v>10128</v>
      </c>
      <c r="F2461" t="str">
        <f>VLOOKUP(E2461,country_continent!A:C,2,FALSE)</f>
        <v>Congo</v>
      </c>
      <c r="G2461" t="str">
        <f>VLOOKUP(E2461,country_continent!A:C,3,FALSE)</f>
        <v>Africa</v>
      </c>
      <c r="H2461" t="s">
        <v>10153</v>
      </c>
      <c r="I2461" s="1">
        <v>33847</v>
      </c>
      <c r="J2461" s="3">
        <f t="shared" si="114"/>
        <v>33847</v>
      </c>
      <c r="K2461" s="1">
        <v>35718</v>
      </c>
      <c r="L2461" s="3">
        <f t="shared" si="115"/>
        <v>35718</v>
      </c>
      <c r="M2461" t="s">
        <v>49</v>
      </c>
      <c r="N2461" t="s">
        <v>67</v>
      </c>
      <c r="O2461" t="s">
        <v>645</v>
      </c>
      <c r="P2461">
        <v>0</v>
      </c>
      <c r="Q2461" t="s">
        <v>362</v>
      </c>
      <c r="R2461" t="s">
        <v>51</v>
      </c>
      <c r="S2461">
        <v>1931</v>
      </c>
      <c r="T2461">
        <v>-777</v>
      </c>
      <c r="U2461" s="1">
        <v>11656</v>
      </c>
      <c r="V2461" s="2">
        <v>11656</v>
      </c>
      <c r="Z2461">
        <v>0</v>
      </c>
      <c r="AA2461">
        <v>3</v>
      </c>
      <c r="AB2461">
        <v>3</v>
      </c>
      <c r="AC2461">
        <v>1</v>
      </c>
      <c r="AF2461">
        <v>1992</v>
      </c>
      <c r="AG2461">
        <v>1997</v>
      </c>
      <c r="AO2461" t="b">
        <v>1</v>
      </c>
      <c r="AP2461" t="s">
        <v>6291</v>
      </c>
      <c r="AQ2461">
        <v>1960</v>
      </c>
      <c r="AR2461">
        <v>1974</v>
      </c>
      <c r="AS2461" t="s">
        <v>10154</v>
      </c>
      <c r="AT2461">
        <v>5.1225188227241603</v>
      </c>
      <c r="AU2461">
        <f t="shared" si="116"/>
        <v>1.4E-2</v>
      </c>
    </row>
    <row r="2462" spans="1:47" x14ac:dyDescent="0.3">
      <c r="A2462">
        <v>2460</v>
      </c>
      <c r="B2462" t="s">
        <v>10155</v>
      </c>
      <c r="C2462" t="s">
        <v>10148</v>
      </c>
      <c r="D2462">
        <v>484</v>
      </c>
      <c r="E2462" t="s">
        <v>10128</v>
      </c>
      <c r="F2462" t="str">
        <f>VLOOKUP(E2462,country_continent!A:C,2,FALSE)</f>
        <v>Congo</v>
      </c>
      <c r="G2462" t="str">
        <f>VLOOKUP(E2462,country_continent!A:C,3,FALSE)</f>
        <v>Africa</v>
      </c>
      <c r="H2462" t="s">
        <v>10149</v>
      </c>
      <c r="I2462" s="1">
        <v>35718</v>
      </c>
      <c r="J2462" s="3">
        <f t="shared" si="114"/>
        <v>35718</v>
      </c>
      <c r="K2462" s="1">
        <v>42369</v>
      </c>
      <c r="L2462" s="3">
        <f t="shared" si="115"/>
        <v>42369</v>
      </c>
      <c r="M2462" t="s">
        <v>67</v>
      </c>
      <c r="N2462" t="s">
        <v>173</v>
      </c>
      <c r="O2462" t="s">
        <v>173</v>
      </c>
      <c r="P2462">
        <v>1</v>
      </c>
      <c r="Q2462" t="s">
        <v>174</v>
      </c>
      <c r="R2462" t="s">
        <v>51</v>
      </c>
      <c r="S2462">
        <v>1943</v>
      </c>
      <c r="T2462">
        <v>-777</v>
      </c>
      <c r="U2462" s="1">
        <v>16033</v>
      </c>
      <c r="V2462" s="2">
        <v>16033</v>
      </c>
      <c r="Z2462">
        <v>1</v>
      </c>
      <c r="AA2462">
        <v>-888</v>
      </c>
      <c r="AB2462">
        <v>-888</v>
      </c>
      <c r="AC2462">
        <v>-888</v>
      </c>
      <c r="AF2462">
        <v>1997</v>
      </c>
      <c r="AG2462">
        <v>2015</v>
      </c>
      <c r="AO2462" t="b">
        <v>1</v>
      </c>
      <c r="AP2462" t="s">
        <v>6291</v>
      </c>
      <c r="AQ2462">
        <v>1960</v>
      </c>
      <c r="AR2462">
        <v>1974</v>
      </c>
      <c r="AS2462" t="s">
        <v>10156</v>
      </c>
      <c r="AT2462">
        <v>18.209445585215601</v>
      </c>
      <c r="AU2462">
        <f t="shared" si="116"/>
        <v>0.05</v>
      </c>
    </row>
    <row r="2463" spans="1:47" x14ac:dyDescent="0.3">
      <c r="A2463">
        <v>2461</v>
      </c>
      <c r="B2463" t="s">
        <v>10157</v>
      </c>
      <c r="C2463" t="s">
        <v>10158</v>
      </c>
      <c r="D2463">
        <v>490</v>
      </c>
      <c r="E2463" t="s">
        <v>10159</v>
      </c>
      <c r="F2463" t="str">
        <f>VLOOKUP(E2463,country_continent!A:C,2,FALSE)</f>
        <v>Democratic Republic of Congo</v>
      </c>
      <c r="G2463" t="str">
        <f>VLOOKUP(E2463,country_continent!A:C,3,FALSE)</f>
        <v>Africa</v>
      </c>
      <c r="H2463" t="s">
        <v>10160</v>
      </c>
      <c r="I2463" s="1">
        <v>22097</v>
      </c>
      <c r="J2463" s="3">
        <f t="shared" si="114"/>
        <v>22097</v>
      </c>
      <c r="K2463" s="1">
        <v>22173</v>
      </c>
      <c r="L2463" s="3">
        <f t="shared" si="115"/>
        <v>22173</v>
      </c>
      <c r="M2463" t="s">
        <v>49</v>
      </c>
      <c r="N2463" t="s">
        <v>67</v>
      </c>
      <c r="O2463" t="s">
        <v>376</v>
      </c>
      <c r="P2463">
        <v>0</v>
      </c>
      <c r="Q2463" t="s">
        <v>69</v>
      </c>
      <c r="R2463" t="s">
        <v>51</v>
      </c>
      <c r="S2463">
        <v>1925</v>
      </c>
      <c r="T2463">
        <v>1961</v>
      </c>
      <c r="U2463" s="1">
        <v>9315</v>
      </c>
      <c r="V2463" s="2">
        <v>9315</v>
      </c>
      <c r="W2463" s="1">
        <v>22298</v>
      </c>
      <c r="X2463" s="2">
        <v>22298</v>
      </c>
      <c r="Y2463" t="s">
        <v>10161</v>
      </c>
      <c r="Z2463">
        <v>0</v>
      </c>
      <c r="AA2463">
        <v>3</v>
      </c>
      <c r="AB2463">
        <v>6</v>
      </c>
      <c r="AC2463">
        <v>3</v>
      </c>
      <c r="AF2463">
        <v>1960</v>
      </c>
      <c r="AG2463">
        <v>1960</v>
      </c>
      <c r="AO2463" t="b">
        <v>1</v>
      </c>
      <c r="AP2463" t="s">
        <v>6291</v>
      </c>
      <c r="AQ2463">
        <v>1960</v>
      </c>
      <c r="AR2463">
        <v>1974</v>
      </c>
      <c r="AS2463" t="s">
        <v>10162</v>
      </c>
      <c r="AT2463">
        <v>0.20807665982203899</v>
      </c>
      <c r="AU2463">
        <f t="shared" si="116"/>
        <v>1E-3</v>
      </c>
    </row>
    <row r="2464" spans="1:47" x14ac:dyDescent="0.3">
      <c r="A2464">
        <v>2462</v>
      </c>
      <c r="B2464" t="s">
        <v>10163</v>
      </c>
      <c r="C2464" t="s">
        <v>10164</v>
      </c>
      <c r="D2464">
        <v>490</v>
      </c>
      <c r="E2464" t="s">
        <v>10159</v>
      </c>
      <c r="F2464" t="str">
        <f>VLOOKUP(E2464,country_continent!A:C,2,FALSE)</f>
        <v>Democratic Republic of Congo</v>
      </c>
      <c r="G2464" t="str">
        <f>VLOOKUP(E2464,country_continent!A:C,3,FALSE)</f>
        <v>Africa</v>
      </c>
      <c r="H2464" t="s">
        <v>10165</v>
      </c>
      <c r="I2464" s="1">
        <v>22173</v>
      </c>
      <c r="J2464" s="3">
        <f t="shared" si="114"/>
        <v>22173</v>
      </c>
      <c r="K2464" s="1">
        <v>22179</v>
      </c>
      <c r="L2464" s="3">
        <f t="shared" si="115"/>
        <v>22179</v>
      </c>
      <c r="M2464" t="s">
        <v>67</v>
      </c>
      <c r="N2464" t="s">
        <v>49</v>
      </c>
      <c r="O2464" t="s">
        <v>49</v>
      </c>
      <c r="P2464">
        <v>0</v>
      </c>
      <c r="Q2464" t="s">
        <v>50</v>
      </c>
      <c r="R2464" t="s">
        <v>51</v>
      </c>
      <c r="S2464">
        <v>1930</v>
      </c>
      <c r="T2464">
        <v>-777</v>
      </c>
      <c r="U2464" s="1">
        <v>11245</v>
      </c>
      <c r="V2464" s="2">
        <v>11245</v>
      </c>
      <c r="Y2464" t="s">
        <v>10166</v>
      </c>
      <c r="Z2464">
        <v>1</v>
      </c>
      <c r="AA2464">
        <v>1</v>
      </c>
      <c r="AB2464">
        <v>0</v>
      </c>
      <c r="AC2464">
        <v>0</v>
      </c>
      <c r="AF2464">
        <v>1960</v>
      </c>
      <c r="AG2464">
        <v>1960</v>
      </c>
      <c r="AO2464" t="b">
        <v>1</v>
      </c>
      <c r="AP2464" t="s">
        <v>6291</v>
      </c>
      <c r="AQ2464">
        <v>1960</v>
      </c>
      <c r="AR2464">
        <v>1974</v>
      </c>
      <c r="AS2464" t="s">
        <v>10167</v>
      </c>
      <c r="AT2464">
        <v>1.6427104722792601E-2</v>
      </c>
      <c r="AU2464">
        <f t="shared" si="116"/>
        <v>0</v>
      </c>
    </row>
    <row r="2465" spans="1:47" x14ac:dyDescent="0.3">
      <c r="A2465">
        <v>2463</v>
      </c>
      <c r="B2465" t="s">
        <v>10168</v>
      </c>
      <c r="C2465" t="s">
        <v>10169</v>
      </c>
      <c r="D2465">
        <v>490</v>
      </c>
      <c r="E2465" t="s">
        <v>10159</v>
      </c>
      <c r="F2465" t="str">
        <f>VLOOKUP(E2465,country_continent!A:C,2,FALSE)</f>
        <v>Democratic Republic of Congo</v>
      </c>
      <c r="G2465" t="str">
        <f>VLOOKUP(E2465,country_continent!A:C,3,FALSE)</f>
        <v>Africa</v>
      </c>
      <c r="H2465" t="s">
        <v>10170</v>
      </c>
      <c r="I2465" s="1">
        <v>22179</v>
      </c>
      <c r="J2465" s="3">
        <f t="shared" si="114"/>
        <v>22179</v>
      </c>
      <c r="K2465" s="1">
        <v>24071</v>
      </c>
      <c r="L2465" s="3">
        <f t="shared" si="115"/>
        <v>24071</v>
      </c>
      <c r="M2465" t="s">
        <v>49</v>
      </c>
      <c r="N2465" t="s">
        <v>67</v>
      </c>
      <c r="O2465" t="s">
        <v>376</v>
      </c>
      <c r="P2465">
        <v>0</v>
      </c>
      <c r="Q2465" t="s">
        <v>50</v>
      </c>
      <c r="R2465" t="s">
        <v>51</v>
      </c>
      <c r="S2465">
        <v>1913</v>
      </c>
      <c r="T2465">
        <v>1969</v>
      </c>
      <c r="Z2465">
        <v>0</v>
      </c>
      <c r="AA2465">
        <v>3</v>
      </c>
      <c r="AB2465">
        <v>6</v>
      </c>
      <c r="AC2465">
        <v>0</v>
      </c>
      <c r="AF2465">
        <v>1960</v>
      </c>
      <c r="AG2465">
        <v>1965</v>
      </c>
      <c r="AO2465" t="b">
        <v>1</v>
      </c>
      <c r="AP2465" t="s">
        <v>6291</v>
      </c>
      <c r="AQ2465">
        <v>1960</v>
      </c>
      <c r="AR2465">
        <v>1974</v>
      </c>
      <c r="AS2465" t="s">
        <v>10171</v>
      </c>
      <c r="AT2465">
        <v>5.1800136892539301</v>
      </c>
      <c r="AU2465">
        <f t="shared" si="116"/>
        <v>1.4E-2</v>
      </c>
    </row>
    <row r="2466" spans="1:47" x14ac:dyDescent="0.3">
      <c r="A2466">
        <v>2464</v>
      </c>
      <c r="B2466" t="s">
        <v>10172</v>
      </c>
      <c r="C2466" t="s">
        <v>10164</v>
      </c>
      <c r="D2466">
        <v>490</v>
      </c>
      <c r="E2466" t="s">
        <v>10159</v>
      </c>
      <c r="F2466" t="str">
        <f>VLOOKUP(E2466,country_continent!A:C,2,FALSE)</f>
        <v>Democratic Republic of Congo</v>
      </c>
      <c r="G2466" t="str">
        <f>VLOOKUP(E2466,country_continent!A:C,3,FALSE)</f>
        <v>Africa</v>
      </c>
      <c r="H2466" t="s">
        <v>10165</v>
      </c>
      <c r="I2466" s="1">
        <v>24071</v>
      </c>
      <c r="J2466" s="3">
        <f t="shared" si="114"/>
        <v>24071</v>
      </c>
      <c r="K2466" s="1">
        <v>35566</v>
      </c>
      <c r="L2466" s="3">
        <f t="shared" si="115"/>
        <v>35566</v>
      </c>
      <c r="M2466" t="s">
        <v>67</v>
      </c>
      <c r="N2466" t="s">
        <v>67</v>
      </c>
      <c r="O2466" t="s">
        <v>433</v>
      </c>
      <c r="P2466">
        <v>1</v>
      </c>
      <c r="Q2466" t="s">
        <v>362</v>
      </c>
      <c r="R2466" t="s">
        <v>51</v>
      </c>
      <c r="S2466">
        <v>1930</v>
      </c>
      <c r="T2466">
        <v>-777</v>
      </c>
      <c r="U2466" s="1">
        <v>11245</v>
      </c>
      <c r="V2466" s="2">
        <v>11245</v>
      </c>
      <c r="Y2466" t="s">
        <v>10166</v>
      </c>
      <c r="Z2466">
        <v>1</v>
      </c>
      <c r="AA2466">
        <v>3</v>
      </c>
      <c r="AB2466">
        <v>4</v>
      </c>
      <c r="AC2466">
        <v>1</v>
      </c>
      <c r="AF2466">
        <v>1965</v>
      </c>
      <c r="AG2466">
        <v>1997</v>
      </c>
      <c r="AO2466" t="b">
        <v>1</v>
      </c>
      <c r="AP2466" t="s">
        <v>6291</v>
      </c>
      <c r="AQ2466">
        <v>1960</v>
      </c>
      <c r="AR2466">
        <v>1974</v>
      </c>
      <c r="AS2466" t="s">
        <v>10173</v>
      </c>
      <c r="AT2466">
        <v>31.471594798083501</v>
      </c>
      <c r="AU2466">
        <f t="shared" si="116"/>
        <v>8.5999999999999993E-2</v>
      </c>
    </row>
    <row r="2467" spans="1:47" x14ac:dyDescent="0.3">
      <c r="A2467">
        <v>2465</v>
      </c>
      <c r="B2467" t="s">
        <v>10174</v>
      </c>
      <c r="C2467" t="s">
        <v>10175</v>
      </c>
      <c r="D2467">
        <v>490</v>
      </c>
      <c r="E2467" t="s">
        <v>10159</v>
      </c>
      <c r="F2467" t="str">
        <f>VLOOKUP(E2467,country_continent!A:C,2,FALSE)</f>
        <v>Democratic Republic of Congo</v>
      </c>
      <c r="G2467" t="str">
        <f>VLOOKUP(E2467,country_continent!A:C,3,FALSE)</f>
        <v>Africa</v>
      </c>
      <c r="H2467" t="s">
        <v>10176</v>
      </c>
      <c r="I2467" s="1">
        <v>35566</v>
      </c>
      <c r="J2467" s="3">
        <f t="shared" si="114"/>
        <v>35566</v>
      </c>
      <c r="K2467" s="1">
        <v>36907</v>
      </c>
      <c r="L2467" s="3">
        <f t="shared" si="115"/>
        <v>36907</v>
      </c>
      <c r="M2467" t="s">
        <v>67</v>
      </c>
      <c r="N2467" t="s">
        <v>67</v>
      </c>
      <c r="O2467" t="s">
        <v>376</v>
      </c>
      <c r="P2467">
        <v>0</v>
      </c>
      <c r="Q2467" t="s">
        <v>69</v>
      </c>
      <c r="R2467" t="s">
        <v>51</v>
      </c>
      <c r="S2467">
        <v>1939</v>
      </c>
      <c r="T2467">
        <v>2001</v>
      </c>
      <c r="U2467" s="1">
        <v>14576</v>
      </c>
      <c r="V2467" s="2">
        <v>14576</v>
      </c>
      <c r="W2467" s="1">
        <v>36907</v>
      </c>
      <c r="X2467" s="2">
        <v>36907</v>
      </c>
      <c r="Y2467" t="s">
        <v>10177</v>
      </c>
      <c r="Z2467">
        <v>1</v>
      </c>
      <c r="AA2467">
        <v>3</v>
      </c>
      <c r="AB2467">
        <v>6</v>
      </c>
      <c r="AC2467">
        <v>3</v>
      </c>
      <c r="AD2467" t="s">
        <v>10178</v>
      </c>
      <c r="AE2467">
        <v>0</v>
      </c>
      <c r="AF2467">
        <v>1997</v>
      </c>
      <c r="AG2467">
        <v>2001</v>
      </c>
      <c r="AO2467" t="b">
        <v>1</v>
      </c>
      <c r="AP2467" t="s">
        <v>6291</v>
      </c>
      <c r="AQ2467">
        <v>1960</v>
      </c>
      <c r="AR2467">
        <v>1974</v>
      </c>
      <c r="AS2467" t="s">
        <v>10179</v>
      </c>
      <c r="AT2467">
        <v>3.6714579055441399</v>
      </c>
      <c r="AU2467">
        <f t="shared" si="116"/>
        <v>0.01</v>
      </c>
    </row>
    <row r="2468" spans="1:47" x14ac:dyDescent="0.3">
      <c r="A2468">
        <v>2466</v>
      </c>
      <c r="B2468" t="s">
        <v>10180</v>
      </c>
      <c r="C2468" t="s">
        <v>10181</v>
      </c>
      <c r="D2468">
        <v>490</v>
      </c>
      <c r="E2468" t="s">
        <v>10159</v>
      </c>
      <c r="F2468" t="str">
        <f>VLOOKUP(E2468,country_continent!A:C,2,FALSE)</f>
        <v>Democratic Republic of Congo</v>
      </c>
      <c r="G2468" t="str">
        <f>VLOOKUP(E2468,country_continent!A:C,3,FALSE)</f>
        <v>Africa</v>
      </c>
      <c r="H2468" t="s">
        <v>10182</v>
      </c>
      <c r="I2468" s="1">
        <v>36908</v>
      </c>
      <c r="J2468" s="3">
        <f t="shared" si="114"/>
        <v>36908</v>
      </c>
      <c r="K2468" s="1">
        <v>42369</v>
      </c>
      <c r="L2468" s="3">
        <f t="shared" si="115"/>
        <v>42369</v>
      </c>
      <c r="M2468" t="s">
        <v>49</v>
      </c>
      <c r="N2468" t="s">
        <v>173</v>
      </c>
      <c r="O2468" t="s">
        <v>173</v>
      </c>
      <c r="P2468">
        <v>0</v>
      </c>
      <c r="Q2468" t="s">
        <v>174</v>
      </c>
      <c r="R2468" t="s">
        <v>51</v>
      </c>
      <c r="S2468">
        <v>1971</v>
      </c>
      <c r="T2468">
        <v>-777</v>
      </c>
      <c r="U2468" s="1">
        <v>26088</v>
      </c>
      <c r="V2468" s="2">
        <v>26088</v>
      </c>
      <c r="Z2468">
        <v>0</v>
      </c>
      <c r="AA2468">
        <v>-888</v>
      </c>
      <c r="AB2468">
        <v>-888</v>
      </c>
      <c r="AC2468">
        <v>-888</v>
      </c>
      <c r="AD2468" t="s">
        <v>10183</v>
      </c>
      <c r="AE2468">
        <v>1</v>
      </c>
      <c r="AF2468">
        <v>2001</v>
      </c>
      <c r="AG2468">
        <v>2015</v>
      </c>
      <c r="AO2468" t="b">
        <v>1</v>
      </c>
      <c r="AP2468" t="s">
        <v>6291</v>
      </c>
      <c r="AQ2468">
        <v>1960</v>
      </c>
      <c r="AR2468">
        <v>1974</v>
      </c>
      <c r="AS2468" t="s">
        <v>10184</v>
      </c>
      <c r="AT2468">
        <v>14.951403148528399</v>
      </c>
      <c r="AU2468">
        <f t="shared" si="116"/>
        <v>4.1000000000000002E-2</v>
      </c>
    </row>
    <row r="2469" spans="1:47" x14ac:dyDescent="0.3">
      <c r="A2469">
        <v>2467</v>
      </c>
      <c r="B2469" t="s">
        <v>10185</v>
      </c>
      <c r="C2469" t="s">
        <v>10186</v>
      </c>
      <c r="D2469">
        <v>500</v>
      </c>
      <c r="E2469" t="s">
        <v>10187</v>
      </c>
      <c r="F2469" t="str">
        <f>VLOOKUP(E2469,country_continent!A:C,2,FALSE)</f>
        <v>Uganda</v>
      </c>
      <c r="G2469" t="str">
        <f>VLOOKUP(E2469,country_continent!A:C,3,FALSE)</f>
        <v>Africa</v>
      </c>
      <c r="H2469" t="s">
        <v>10188</v>
      </c>
      <c r="I2469" s="1">
        <v>22928</v>
      </c>
      <c r="J2469" s="3">
        <f t="shared" si="114"/>
        <v>22928</v>
      </c>
      <c r="K2469" s="1">
        <v>25958</v>
      </c>
      <c r="L2469" s="3">
        <f t="shared" si="115"/>
        <v>25958</v>
      </c>
      <c r="M2469" t="s">
        <v>49</v>
      </c>
      <c r="N2469" t="s">
        <v>67</v>
      </c>
      <c r="O2469" t="s">
        <v>376</v>
      </c>
      <c r="P2469">
        <v>0</v>
      </c>
      <c r="Q2469" t="s">
        <v>362</v>
      </c>
      <c r="R2469" t="s">
        <v>51</v>
      </c>
      <c r="S2469">
        <v>1924</v>
      </c>
      <c r="T2469">
        <v>2005</v>
      </c>
      <c r="U2469" s="1">
        <v>9129</v>
      </c>
      <c r="V2469" s="2">
        <v>9129</v>
      </c>
      <c r="W2469" s="1">
        <v>38635</v>
      </c>
      <c r="X2469" s="2">
        <v>38635</v>
      </c>
      <c r="Y2469" t="s">
        <v>10189</v>
      </c>
      <c r="Z2469">
        <v>0</v>
      </c>
      <c r="AA2469">
        <v>3</v>
      </c>
      <c r="AB2469">
        <v>6</v>
      </c>
      <c r="AC2469">
        <v>1</v>
      </c>
      <c r="AF2469">
        <v>1962</v>
      </c>
      <c r="AG2469">
        <v>1971</v>
      </c>
      <c r="AK2469">
        <v>202.22</v>
      </c>
      <c r="AL2469">
        <v>3.0050144725235</v>
      </c>
      <c r="AM2469">
        <v>7.7358589112314</v>
      </c>
      <c r="AN2469">
        <v>-1.33</v>
      </c>
      <c r="AO2469" t="b">
        <v>0</v>
      </c>
      <c r="AT2469">
        <v>3030</v>
      </c>
      <c r="AU2469">
        <f t="shared" si="116"/>
        <v>8.3010000000000002</v>
      </c>
    </row>
    <row r="2470" spans="1:47" x14ac:dyDescent="0.3">
      <c r="A2470">
        <v>2468</v>
      </c>
      <c r="B2470" t="s">
        <v>10190</v>
      </c>
      <c r="C2470" t="s">
        <v>10191</v>
      </c>
      <c r="D2470">
        <v>500</v>
      </c>
      <c r="E2470" t="s">
        <v>10187</v>
      </c>
      <c r="F2470" t="str">
        <f>VLOOKUP(E2470,country_continent!A:C,2,FALSE)</f>
        <v>Uganda</v>
      </c>
      <c r="G2470" t="str">
        <f>VLOOKUP(E2470,country_continent!A:C,3,FALSE)</f>
        <v>Africa</v>
      </c>
      <c r="H2470" t="s">
        <v>10192</v>
      </c>
      <c r="I2470" s="1">
        <v>25958</v>
      </c>
      <c r="J2470" s="3">
        <f t="shared" si="114"/>
        <v>25958</v>
      </c>
      <c r="K2470" s="1">
        <v>28956</v>
      </c>
      <c r="L2470" s="3">
        <f t="shared" si="115"/>
        <v>28956</v>
      </c>
      <c r="M2470" t="s">
        <v>67</v>
      </c>
      <c r="N2470" t="s">
        <v>633</v>
      </c>
      <c r="O2470" t="s">
        <v>634</v>
      </c>
      <c r="P2470">
        <v>0</v>
      </c>
      <c r="Q2470" t="s">
        <v>362</v>
      </c>
      <c r="R2470" t="s">
        <v>51</v>
      </c>
      <c r="S2470">
        <v>1925</v>
      </c>
      <c r="T2470">
        <v>2003</v>
      </c>
      <c r="W2470" s="1">
        <v>37849</v>
      </c>
      <c r="X2470" s="2">
        <v>37849</v>
      </c>
      <c r="Z2470">
        <v>1</v>
      </c>
      <c r="AA2470">
        <v>4</v>
      </c>
      <c r="AB2470">
        <v>9</v>
      </c>
      <c r="AC2470">
        <v>1</v>
      </c>
      <c r="AF2470">
        <v>1971</v>
      </c>
      <c r="AG2470">
        <v>1979</v>
      </c>
      <c r="AK2470">
        <v>204.02222222222201</v>
      </c>
      <c r="AL2470">
        <v>2.5652961198680702</v>
      </c>
      <c r="AM2470">
        <v>12.0760020094833</v>
      </c>
      <c r="AN2470">
        <v>-7</v>
      </c>
      <c r="AO2470" t="b">
        <v>0</v>
      </c>
      <c r="AT2470">
        <v>2998</v>
      </c>
      <c r="AU2470">
        <f t="shared" si="116"/>
        <v>8.2140000000000004</v>
      </c>
    </row>
    <row r="2471" spans="1:47" x14ac:dyDescent="0.3">
      <c r="A2471">
        <v>2469</v>
      </c>
      <c r="B2471" t="s">
        <v>10193</v>
      </c>
      <c r="C2471" t="s">
        <v>10194</v>
      </c>
      <c r="D2471">
        <v>500</v>
      </c>
      <c r="E2471" t="s">
        <v>10187</v>
      </c>
      <c r="F2471" t="str">
        <f>VLOOKUP(E2471,country_continent!A:C,2,FALSE)</f>
        <v>Uganda</v>
      </c>
      <c r="G2471" t="str">
        <f>VLOOKUP(E2471,country_continent!A:C,3,FALSE)</f>
        <v>Africa</v>
      </c>
      <c r="H2471" t="s">
        <v>10195</v>
      </c>
      <c r="I2471" s="1">
        <v>28958</v>
      </c>
      <c r="J2471" s="3">
        <f t="shared" si="114"/>
        <v>28958</v>
      </c>
      <c r="K2471" s="1">
        <v>29026</v>
      </c>
      <c r="L2471" s="3">
        <f t="shared" si="115"/>
        <v>29026</v>
      </c>
      <c r="M2471" t="s">
        <v>49</v>
      </c>
      <c r="N2471" t="s">
        <v>49</v>
      </c>
      <c r="O2471" t="s">
        <v>49</v>
      </c>
      <c r="P2471">
        <v>0</v>
      </c>
      <c r="Q2471" t="s">
        <v>362</v>
      </c>
      <c r="R2471" t="s">
        <v>51</v>
      </c>
      <c r="S2471">
        <v>1912</v>
      </c>
      <c r="T2471">
        <v>1985</v>
      </c>
      <c r="U2471" s="1">
        <v>4484</v>
      </c>
      <c r="V2471" s="2">
        <v>4484</v>
      </c>
      <c r="W2471" s="1">
        <v>31068</v>
      </c>
      <c r="X2471" s="2">
        <v>31068</v>
      </c>
      <c r="Z2471">
        <v>0</v>
      </c>
      <c r="AA2471">
        <v>1</v>
      </c>
      <c r="AB2471">
        <v>0</v>
      </c>
      <c r="AC2471">
        <v>1</v>
      </c>
      <c r="AF2471">
        <v>1979</v>
      </c>
      <c r="AG2471">
        <v>1979</v>
      </c>
      <c r="AK2471">
        <v>218</v>
      </c>
      <c r="AL2471">
        <v>2.41349513090816</v>
      </c>
      <c r="AM2471">
        <v>20.901349921901101</v>
      </c>
      <c r="AO2471" t="b">
        <v>0</v>
      </c>
      <c r="AT2471">
        <v>68</v>
      </c>
      <c r="AU2471">
        <f t="shared" si="116"/>
        <v>0.186</v>
      </c>
    </row>
    <row r="2472" spans="1:47" x14ac:dyDescent="0.3">
      <c r="A2472">
        <v>2470</v>
      </c>
      <c r="B2472" t="s">
        <v>10196</v>
      </c>
      <c r="C2472" t="s">
        <v>10197</v>
      </c>
      <c r="D2472">
        <v>500</v>
      </c>
      <c r="E2472" t="s">
        <v>10187</v>
      </c>
      <c r="F2472" t="str">
        <f>VLOOKUP(E2472,country_continent!A:C,2,FALSE)</f>
        <v>Uganda</v>
      </c>
      <c r="G2472" t="str">
        <f>VLOOKUP(E2472,country_continent!A:C,3,FALSE)</f>
        <v>Africa</v>
      </c>
      <c r="H2472" t="s">
        <v>10198</v>
      </c>
      <c r="I2472" s="1">
        <v>29026</v>
      </c>
      <c r="J2472" s="3">
        <f t="shared" si="114"/>
        <v>29026</v>
      </c>
      <c r="K2472" s="1">
        <v>29353</v>
      </c>
      <c r="L2472" s="3">
        <f t="shared" si="115"/>
        <v>29353</v>
      </c>
      <c r="M2472" t="s">
        <v>49</v>
      </c>
      <c r="N2472" t="s">
        <v>67</v>
      </c>
      <c r="O2472" t="s">
        <v>376</v>
      </c>
      <c r="P2472">
        <v>0</v>
      </c>
      <c r="Q2472" t="s">
        <v>362</v>
      </c>
      <c r="R2472" t="s">
        <v>51</v>
      </c>
      <c r="S2472">
        <v>1919</v>
      </c>
      <c r="T2472">
        <v>2010</v>
      </c>
      <c r="U2472" s="1">
        <v>7090</v>
      </c>
      <c r="V2472" s="2">
        <v>7090</v>
      </c>
      <c r="Z2472">
        <v>0</v>
      </c>
      <c r="AA2472">
        <v>3</v>
      </c>
      <c r="AB2472">
        <v>6</v>
      </c>
      <c r="AC2472">
        <v>1</v>
      </c>
      <c r="AF2472">
        <v>1979</v>
      </c>
      <c r="AG2472">
        <v>1980</v>
      </c>
      <c r="AK2472">
        <v>218.95</v>
      </c>
      <c r="AL2472">
        <v>2.24788039258766</v>
      </c>
      <c r="AM2472">
        <v>32.779100700415199</v>
      </c>
      <c r="AN2472">
        <v>3</v>
      </c>
      <c r="AO2472" t="b">
        <v>0</v>
      </c>
      <c r="AT2472">
        <v>327</v>
      </c>
      <c r="AU2472">
        <f t="shared" si="116"/>
        <v>0.89600000000000002</v>
      </c>
    </row>
    <row r="2473" spans="1:47" x14ac:dyDescent="0.3">
      <c r="A2473">
        <v>2471</v>
      </c>
      <c r="B2473" t="s">
        <v>10199</v>
      </c>
      <c r="C2473" t="s">
        <v>10200</v>
      </c>
      <c r="D2473">
        <v>500</v>
      </c>
      <c r="E2473" t="s">
        <v>10187</v>
      </c>
      <c r="F2473" t="str">
        <f>VLOOKUP(E2473,country_continent!A:C,2,FALSE)</f>
        <v>Uganda</v>
      </c>
      <c r="G2473" t="str">
        <f>VLOOKUP(E2473,country_continent!A:C,3,FALSE)</f>
        <v>Africa</v>
      </c>
      <c r="H2473" t="s">
        <v>10201</v>
      </c>
      <c r="I2473" s="1">
        <v>29359</v>
      </c>
      <c r="J2473" s="3">
        <f t="shared" si="114"/>
        <v>29359</v>
      </c>
      <c r="K2473" s="1">
        <v>29572</v>
      </c>
      <c r="L2473" s="3">
        <f t="shared" si="115"/>
        <v>29572</v>
      </c>
      <c r="M2473" t="s">
        <v>67</v>
      </c>
      <c r="N2473" t="s">
        <v>49</v>
      </c>
      <c r="O2473" t="s">
        <v>49</v>
      </c>
      <c r="P2473">
        <v>0</v>
      </c>
      <c r="Q2473" t="s">
        <v>50</v>
      </c>
      <c r="R2473" t="s">
        <v>51</v>
      </c>
      <c r="S2473">
        <v>1924</v>
      </c>
      <c r="T2473">
        <v>1991</v>
      </c>
      <c r="W2473" s="1">
        <v>33329</v>
      </c>
      <c r="X2473" s="2">
        <v>33329</v>
      </c>
      <c r="Y2473" t="s">
        <v>10202</v>
      </c>
      <c r="Z2473">
        <v>1</v>
      </c>
      <c r="AA2473">
        <v>1</v>
      </c>
      <c r="AB2473">
        <v>0</v>
      </c>
      <c r="AC2473">
        <v>0</v>
      </c>
      <c r="AF2473">
        <v>1980</v>
      </c>
      <c r="AG2473">
        <v>1980</v>
      </c>
      <c r="AK2473">
        <v>219.9</v>
      </c>
      <c r="AL2473">
        <v>2.08226565426716</v>
      </c>
      <c r="AM2473">
        <v>44.656851478929298</v>
      </c>
      <c r="AN2473">
        <v>3</v>
      </c>
      <c r="AO2473" t="b">
        <v>0</v>
      </c>
      <c r="AT2473">
        <v>213</v>
      </c>
      <c r="AU2473">
        <f t="shared" si="116"/>
        <v>0.58399999999999996</v>
      </c>
    </row>
    <row r="2474" spans="1:47" x14ac:dyDescent="0.3">
      <c r="A2474">
        <v>2472</v>
      </c>
      <c r="B2474" t="s">
        <v>10203</v>
      </c>
      <c r="C2474" t="s">
        <v>10186</v>
      </c>
      <c r="D2474">
        <v>500</v>
      </c>
      <c r="E2474" t="s">
        <v>10187</v>
      </c>
      <c r="F2474" t="str">
        <f>VLOOKUP(E2474,country_continent!A:C,2,FALSE)</f>
        <v>Uganda</v>
      </c>
      <c r="G2474" t="str">
        <f>VLOOKUP(E2474,country_continent!A:C,3,FALSE)</f>
        <v>Africa</v>
      </c>
      <c r="H2474" t="s">
        <v>10188</v>
      </c>
      <c r="I2474" s="1">
        <v>29572</v>
      </c>
      <c r="J2474" s="3">
        <f t="shared" si="114"/>
        <v>29572</v>
      </c>
      <c r="K2474" s="1">
        <v>31255</v>
      </c>
      <c r="L2474" s="3">
        <f t="shared" si="115"/>
        <v>31255</v>
      </c>
      <c r="M2474" t="s">
        <v>49</v>
      </c>
      <c r="N2474" t="s">
        <v>67</v>
      </c>
      <c r="O2474" t="s">
        <v>376</v>
      </c>
      <c r="P2474">
        <v>1</v>
      </c>
      <c r="Q2474" t="s">
        <v>362</v>
      </c>
      <c r="R2474" t="s">
        <v>51</v>
      </c>
      <c r="S2474">
        <v>1924</v>
      </c>
      <c r="T2474">
        <v>2005</v>
      </c>
      <c r="U2474" s="1">
        <v>9129</v>
      </c>
      <c r="V2474" s="2">
        <v>9129</v>
      </c>
      <c r="W2474" s="1">
        <v>38635</v>
      </c>
      <c r="X2474" s="2">
        <v>38635</v>
      </c>
      <c r="Y2474" t="s">
        <v>10189</v>
      </c>
      <c r="Z2474">
        <v>0</v>
      </c>
      <c r="AA2474">
        <v>3</v>
      </c>
      <c r="AB2474">
        <v>6</v>
      </c>
      <c r="AC2474">
        <v>1</v>
      </c>
      <c r="AF2474">
        <v>1980</v>
      </c>
      <c r="AG2474">
        <v>1985</v>
      </c>
      <c r="AH2474">
        <v>-1.93507960373416</v>
      </c>
      <c r="AI2474">
        <v>180</v>
      </c>
      <c r="AJ2474">
        <v>63.852416312131801</v>
      </c>
      <c r="AK2474">
        <v>210.56666666666601</v>
      </c>
      <c r="AL2474">
        <v>2.4085326884932998</v>
      </c>
      <c r="AM2474">
        <v>25.513745883810799</v>
      </c>
      <c r="AN2474">
        <v>2.5</v>
      </c>
      <c r="AO2474" t="b">
        <v>0</v>
      </c>
      <c r="AT2474">
        <v>1683</v>
      </c>
      <c r="AU2474">
        <f t="shared" si="116"/>
        <v>4.6109999999999998</v>
      </c>
    </row>
    <row r="2475" spans="1:47" x14ac:dyDescent="0.3">
      <c r="A2475">
        <v>2473</v>
      </c>
      <c r="B2475" t="s">
        <v>10204</v>
      </c>
      <c r="C2475" t="s">
        <v>10205</v>
      </c>
      <c r="D2475">
        <v>500</v>
      </c>
      <c r="E2475" t="s">
        <v>10187</v>
      </c>
      <c r="F2475" t="str">
        <f>VLOOKUP(E2475,country_continent!A:C,2,FALSE)</f>
        <v>Uganda</v>
      </c>
      <c r="G2475" t="str">
        <f>VLOOKUP(E2475,country_continent!A:C,3,FALSE)</f>
        <v>Africa</v>
      </c>
      <c r="H2475" t="s">
        <v>10206</v>
      </c>
      <c r="I2475" s="1">
        <v>31257</v>
      </c>
      <c r="J2475" s="3">
        <f t="shared" si="114"/>
        <v>31257</v>
      </c>
      <c r="K2475" s="1">
        <v>31441</v>
      </c>
      <c r="L2475" s="3">
        <f t="shared" si="115"/>
        <v>31441</v>
      </c>
      <c r="M2475" t="s">
        <v>67</v>
      </c>
      <c r="N2475" t="s">
        <v>67</v>
      </c>
      <c r="O2475" t="s">
        <v>433</v>
      </c>
      <c r="P2475">
        <v>0</v>
      </c>
      <c r="Q2475" t="s">
        <v>463</v>
      </c>
      <c r="R2475" t="s">
        <v>51</v>
      </c>
      <c r="S2475">
        <v>1914</v>
      </c>
      <c r="T2475">
        <v>1990</v>
      </c>
      <c r="Z2475">
        <v>1</v>
      </c>
      <c r="AA2475">
        <v>3</v>
      </c>
      <c r="AB2475">
        <v>4</v>
      </c>
      <c r="AC2475">
        <v>2</v>
      </c>
      <c r="AF2475">
        <v>1985</v>
      </c>
      <c r="AG2475">
        <v>1986</v>
      </c>
      <c r="AH2475">
        <v>-4.2373920636301898</v>
      </c>
      <c r="AI2475">
        <v>215</v>
      </c>
      <c r="AJ2475">
        <v>128.80841093148601</v>
      </c>
      <c r="AK2475">
        <v>196.9</v>
      </c>
      <c r="AL2475">
        <v>2.8599471728600099</v>
      </c>
      <c r="AM2475">
        <v>10.835354647960401</v>
      </c>
      <c r="AN2475">
        <v>-3.5</v>
      </c>
      <c r="AO2475" t="b">
        <v>0</v>
      </c>
      <c r="AT2475">
        <v>184</v>
      </c>
      <c r="AU2475">
        <f t="shared" si="116"/>
        <v>0.504</v>
      </c>
    </row>
    <row r="2476" spans="1:47" x14ac:dyDescent="0.3">
      <c r="A2476">
        <v>2474</v>
      </c>
      <c r="B2476" t="s">
        <v>10207</v>
      </c>
      <c r="C2476" t="s">
        <v>10208</v>
      </c>
      <c r="D2476">
        <v>500</v>
      </c>
      <c r="E2476" t="s">
        <v>10187</v>
      </c>
      <c r="F2476" t="str">
        <f>VLOOKUP(E2476,country_continent!A:C,2,FALSE)</f>
        <v>Uganda</v>
      </c>
      <c r="G2476" t="str">
        <f>VLOOKUP(E2476,country_continent!A:C,3,FALSE)</f>
        <v>Africa</v>
      </c>
      <c r="H2476" t="s">
        <v>10209</v>
      </c>
      <c r="I2476" s="1">
        <v>31441</v>
      </c>
      <c r="J2476" s="3">
        <f t="shared" si="114"/>
        <v>31441</v>
      </c>
      <c r="K2476" s="1">
        <v>42369</v>
      </c>
      <c r="L2476" s="3">
        <f t="shared" si="115"/>
        <v>42369</v>
      </c>
      <c r="M2476" t="s">
        <v>67</v>
      </c>
      <c r="N2476" t="s">
        <v>173</v>
      </c>
      <c r="O2476" t="s">
        <v>173</v>
      </c>
      <c r="P2476">
        <v>0</v>
      </c>
      <c r="Q2476" t="s">
        <v>174</v>
      </c>
      <c r="R2476" t="s">
        <v>51</v>
      </c>
      <c r="S2476">
        <v>1944</v>
      </c>
      <c r="T2476">
        <v>-777</v>
      </c>
      <c r="U2476" s="1">
        <v>16299</v>
      </c>
      <c r="V2476" s="2">
        <v>16299</v>
      </c>
      <c r="Z2476">
        <v>1</v>
      </c>
      <c r="AA2476">
        <v>-888</v>
      </c>
      <c r="AB2476">
        <v>-888</v>
      </c>
      <c r="AC2476">
        <v>-888</v>
      </c>
      <c r="AF2476">
        <v>1986</v>
      </c>
      <c r="AG2476">
        <v>2015</v>
      </c>
      <c r="AH2476">
        <v>3.2007024084375999</v>
      </c>
      <c r="AI2476">
        <v>399.666666666666</v>
      </c>
      <c r="AJ2476">
        <v>32.339595554171296</v>
      </c>
      <c r="AK2476">
        <v>131.44333333333299</v>
      </c>
      <c r="AL2476">
        <v>3.05183817345074</v>
      </c>
      <c r="AM2476">
        <v>14.238119203655099</v>
      </c>
      <c r="AN2476">
        <v>-3.6</v>
      </c>
      <c r="AO2476" t="b">
        <v>0</v>
      </c>
      <c r="AT2476">
        <v>10928</v>
      </c>
      <c r="AU2476">
        <f t="shared" si="116"/>
        <v>29.94</v>
      </c>
    </row>
    <row r="2477" spans="1:47" x14ac:dyDescent="0.3">
      <c r="A2477">
        <v>2475</v>
      </c>
      <c r="B2477" t="s">
        <v>10210</v>
      </c>
      <c r="C2477" t="s">
        <v>10211</v>
      </c>
      <c r="D2477">
        <v>501</v>
      </c>
      <c r="E2477" t="s">
        <v>10212</v>
      </c>
      <c r="F2477" t="str">
        <f>VLOOKUP(E2477,country_continent!A:C,2,FALSE)</f>
        <v>Kenya</v>
      </c>
      <c r="G2477" t="str">
        <f>VLOOKUP(E2477,country_continent!A:C,3,FALSE)</f>
        <v>Africa</v>
      </c>
      <c r="H2477" t="s">
        <v>10213</v>
      </c>
      <c r="I2477" s="1">
        <v>23357</v>
      </c>
      <c r="J2477" s="3">
        <f t="shared" si="114"/>
        <v>23357</v>
      </c>
      <c r="K2477" s="1">
        <v>28724</v>
      </c>
      <c r="L2477" s="3">
        <f t="shared" si="115"/>
        <v>28724</v>
      </c>
      <c r="M2477" t="s">
        <v>49</v>
      </c>
      <c r="N2477" t="s">
        <v>110</v>
      </c>
      <c r="O2477" t="s">
        <v>49</v>
      </c>
      <c r="P2477">
        <v>0</v>
      </c>
      <c r="Q2477" t="s">
        <v>111</v>
      </c>
      <c r="R2477" t="s">
        <v>51</v>
      </c>
      <c r="S2477">
        <v>1891</v>
      </c>
      <c r="T2477">
        <v>1978</v>
      </c>
      <c r="U2477" t="s">
        <v>10214</v>
      </c>
      <c r="V2477" t="s">
        <v>10215</v>
      </c>
      <c r="W2477" s="1">
        <v>28724</v>
      </c>
      <c r="X2477" s="2">
        <v>28724</v>
      </c>
      <c r="Y2477" t="s">
        <v>10216</v>
      </c>
      <c r="Z2477">
        <v>0</v>
      </c>
      <c r="AA2477">
        <v>2</v>
      </c>
      <c r="AB2477">
        <v>0</v>
      </c>
      <c r="AC2477">
        <v>-777</v>
      </c>
      <c r="AF2477">
        <v>1963</v>
      </c>
      <c r="AG2477">
        <v>1978</v>
      </c>
      <c r="AH2477">
        <v>3.2482985378060998</v>
      </c>
      <c r="AI2477">
        <v>178.75</v>
      </c>
      <c r="AJ2477">
        <v>5.5407481961539098</v>
      </c>
      <c r="AK2477">
        <v>147.27500000000001</v>
      </c>
      <c r="AL2477">
        <v>3.6717299491777902</v>
      </c>
      <c r="AM2477">
        <v>3.5995071554475699</v>
      </c>
      <c r="AN2477">
        <v>-5</v>
      </c>
      <c r="AO2477" t="b">
        <v>0</v>
      </c>
      <c r="AT2477">
        <v>5367</v>
      </c>
      <c r="AU2477">
        <f t="shared" si="116"/>
        <v>14.704000000000001</v>
      </c>
    </row>
    <row r="2478" spans="1:47" x14ac:dyDescent="0.3">
      <c r="A2478">
        <v>2476</v>
      </c>
      <c r="B2478" t="s">
        <v>10217</v>
      </c>
      <c r="C2478" t="s">
        <v>10218</v>
      </c>
      <c r="D2478">
        <v>501</v>
      </c>
      <c r="E2478" t="s">
        <v>10212</v>
      </c>
      <c r="F2478" t="str">
        <f>VLOOKUP(E2478,country_continent!A:C,2,FALSE)</f>
        <v>Kenya</v>
      </c>
      <c r="G2478" t="str">
        <f>VLOOKUP(E2478,country_continent!A:C,3,FALSE)</f>
        <v>Africa</v>
      </c>
      <c r="H2478" t="s">
        <v>10219</v>
      </c>
      <c r="I2478" s="1">
        <v>28724</v>
      </c>
      <c r="J2478" s="3">
        <f t="shared" si="114"/>
        <v>28724</v>
      </c>
      <c r="K2478" s="1">
        <v>37620</v>
      </c>
      <c r="L2478" s="3">
        <f t="shared" si="115"/>
        <v>37620</v>
      </c>
      <c r="M2478" t="s">
        <v>49</v>
      </c>
      <c r="N2478" t="s">
        <v>49</v>
      </c>
      <c r="O2478" t="s">
        <v>49</v>
      </c>
      <c r="P2478">
        <v>0</v>
      </c>
      <c r="Q2478" t="s">
        <v>50</v>
      </c>
      <c r="R2478" t="s">
        <v>51</v>
      </c>
      <c r="S2478">
        <v>1924</v>
      </c>
      <c r="T2478">
        <v>-777</v>
      </c>
      <c r="U2478" s="1">
        <v>9012</v>
      </c>
      <c r="V2478" s="2">
        <v>9012</v>
      </c>
      <c r="Y2478" t="s">
        <v>10220</v>
      </c>
      <c r="Z2478">
        <v>0</v>
      </c>
      <c r="AA2478">
        <v>1</v>
      </c>
      <c r="AB2478">
        <v>0</v>
      </c>
      <c r="AC2478">
        <v>0</v>
      </c>
      <c r="AF2478">
        <v>1978</v>
      </c>
      <c r="AG2478">
        <v>2002</v>
      </c>
      <c r="AH2478">
        <v>4.3717734703850999E-2</v>
      </c>
      <c r="AI2478">
        <v>376.8</v>
      </c>
      <c r="AJ2478">
        <v>10.8210684164798</v>
      </c>
      <c r="AK2478">
        <v>102.608</v>
      </c>
      <c r="AL2478">
        <v>3.2639948015105902</v>
      </c>
      <c r="AM2478">
        <v>4.5639758185841801</v>
      </c>
      <c r="AN2478">
        <v>-3.6</v>
      </c>
      <c r="AO2478" t="b">
        <v>0</v>
      </c>
      <c r="AT2478">
        <v>8896</v>
      </c>
      <c r="AU2478">
        <f t="shared" si="116"/>
        <v>24.373000000000001</v>
      </c>
    </row>
    <row r="2479" spans="1:47" x14ac:dyDescent="0.3">
      <c r="A2479">
        <v>2477</v>
      </c>
      <c r="B2479" t="s">
        <v>10221</v>
      </c>
      <c r="C2479" t="s">
        <v>10222</v>
      </c>
      <c r="D2479">
        <v>501</v>
      </c>
      <c r="E2479" t="s">
        <v>10212</v>
      </c>
      <c r="F2479" t="str">
        <f>VLOOKUP(E2479,country_continent!A:C,2,FALSE)</f>
        <v>Kenya</v>
      </c>
      <c r="G2479" t="str">
        <f>VLOOKUP(E2479,country_continent!A:C,3,FALSE)</f>
        <v>Africa</v>
      </c>
      <c r="H2479" t="s">
        <v>10223</v>
      </c>
      <c r="I2479" s="1">
        <v>37621</v>
      </c>
      <c r="J2479" s="3">
        <f t="shared" si="114"/>
        <v>37621</v>
      </c>
      <c r="K2479" s="1">
        <v>41373</v>
      </c>
      <c r="L2479" s="3">
        <f t="shared" si="115"/>
        <v>41373</v>
      </c>
      <c r="M2479" t="s">
        <v>49</v>
      </c>
      <c r="N2479" t="s">
        <v>49</v>
      </c>
      <c r="O2479" t="s">
        <v>49</v>
      </c>
      <c r="P2479">
        <v>0</v>
      </c>
      <c r="Q2479" t="s">
        <v>50</v>
      </c>
      <c r="R2479" t="s">
        <v>51</v>
      </c>
      <c r="S2479">
        <v>1931</v>
      </c>
      <c r="T2479">
        <v>-777</v>
      </c>
      <c r="Z2479">
        <v>0</v>
      </c>
      <c r="AA2479">
        <v>1</v>
      </c>
      <c r="AB2479">
        <v>0</v>
      </c>
      <c r="AC2479">
        <v>0</v>
      </c>
      <c r="AF2479">
        <v>2002</v>
      </c>
      <c r="AG2479">
        <v>2013</v>
      </c>
      <c r="AH2479">
        <v>1.3858120361619399</v>
      </c>
      <c r="AI2479">
        <v>740</v>
      </c>
      <c r="AJ2479">
        <v>10.185780609922199</v>
      </c>
      <c r="AK2479">
        <v>63.924999999999997</v>
      </c>
      <c r="AL2479">
        <v>2.93837775933497</v>
      </c>
      <c r="AM2479">
        <v>3.4740867299271501</v>
      </c>
      <c r="AN2479">
        <v>7.83</v>
      </c>
      <c r="AO2479" t="b">
        <v>0</v>
      </c>
      <c r="AT2479">
        <v>3752</v>
      </c>
      <c r="AU2479">
        <f t="shared" si="116"/>
        <v>10.279</v>
      </c>
    </row>
    <row r="2480" spans="1:47" x14ac:dyDescent="0.3">
      <c r="A2480">
        <v>2478</v>
      </c>
      <c r="B2480" t="s">
        <v>10224</v>
      </c>
      <c r="C2480" t="s">
        <v>10225</v>
      </c>
      <c r="D2480">
        <v>501</v>
      </c>
      <c r="E2480" t="s">
        <v>10212</v>
      </c>
      <c r="F2480" t="str">
        <f>VLOOKUP(E2480,country_continent!A:C,2,FALSE)</f>
        <v>Kenya</v>
      </c>
      <c r="G2480" t="str">
        <f>VLOOKUP(E2480,country_continent!A:C,3,FALSE)</f>
        <v>Africa</v>
      </c>
      <c r="H2480" t="s">
        <v>10226</v>
      </c>
      <c r="I2480" s="1">
        <v>41373</v>
      </c>
      <c r="J2480" s="3">
        <f t="shared" si="114"/>
        <v>41373</v>
      </c>
      <c r="K2480" s="1">
        <v>42369</v>
      </c>
      <c r="L2480" s="3">
        <f t="shared" si="115"/>
        <v>42369</v>
      </c>
      <c r="M2480" t="s">
        <v>49</v>
      </c>
      <c r="N2480" t="s">
        <v>173</v>
      </c>
      <c r="O2480" t="s">
        <v>173</v>
      </c>
      <c r="P2480">
        <v>0</v>
      </c>
      <c r="Q2480" t="s">
        <v>174</v>
      </c>
      <c r="R2480" t="s">
        <v>51</v>
      </c>
      <c r="S2480">
        <v>1961</v>
      </c>
      <c r="T2480">
        <v>-777</v>
      </c>
      <c r="U2480" s="1">
        <v>22580</v>
      </c>
      <c r="V2480" s="2">
        <v>22580</v>
      </c>
      <c r="Z2480">
        <v>0</v>
      </c>
      <c r="AA2480">
        <v>-888</v>
      </c>
      <c r="AB2480">
        <v>-888</v>
      </c>
      <c r="AC2480">
        <v>-888</v>
      </c>
      <c r="AF2480">
        <v>2013</v>
      </c>
      <c r="AG2480">
        <v>2015</v>
      </c>
      <c r="AH2480">
        <v>2.1704627840162098</v>
      </c>
      <c r="AI2480">
        <v>1233.3333333333301</v>
      </c>
      <c r="AJ2480">
        <v>8.0704162730190898</v>
      </c>
      <c r="AK2480">
        <v>48.733333333333299</v>
      </c>
      <c r="AL2480">
        <v>2.3460507964753399</v>
      </c>
      <c r="AM2480">
        <v>2.67406051973841</v>
      </c>
      <c r="AN2480">
        <v>9</v>
      </c>
      <c r="AO2480" t="b">
        <v>0</v>
      </c>
      <c r="AT2480">
        <v>996</v>
      </c>
      <c r="AU2480">
        <f t="shared" si="116"/>
        <v>2.7290000000000001</v>
      </c>
    </row>
    <row r="2481" spans="1:47" x14ac:dyDescent="0.3">
      <c r="A2481">
        <v>2479</v>
      </c>
      <c r="B2481" t="s">
        <v>10227</v>
      </c>
      <c r="C2481" t="s">
        <v>10228</v>
      </c>
      <c r="D2481">
        <v>510</v>
      </c>
      <c r="E2481" t="s">
        <v>10229</v>
      </c>
      <c r="F2481" t="str">
        <f>VLOOKUP(E2481,country_continent!A:C,2,FALSE)</f>
        <v>Tanzania</v>
      </c>
      <c r="G2481" t="str">
        <f>VLOOKUP(E2481,country_continent!A:C,3,FALSE)</f>
        <v>Africa</v>
      </c>
      <c r="H2481" t="s">
        <v>10230</v>
      </c>
      <c r="I2481" s="1">
        <v>22594</v>
      </c>
      <c r="J2481" s="3">
        <f t="shared" si="114"/>
        <v>22594</v>
      </c>
      <c r="K2481" s="1">
        <v>31356</v>
      </c>
      <c r="L2481" s="3">
        <f t="shared" si="115"/>
        <v>31356</v>
      </c>
      <c r="M2481" t="s">
        <v>49</v>
      </c>
      <c r="N2481" t="s">
        <v>49</v>
      </c>
      <c r="O2481" t="s">
        <v>49</v>
      </c>
      <c r="P2481">
        <v>0</v>
      </c>
      <c r="Q2481" t="s">
        <v>50</v>
      </c>
      <c r="R2481" t="s">
        <v>51</v>
      </c>
      <c r="S2481">
        <v>1922</v>
      </c>
      <c r="T2481">
        <v>1999</v>
      </c>
      <c r="U2481" s="1">
        <v>8139</v>
      </c>
      <c r="V2481" s="2">
        <v>8139</v>
      </c>
      <c r="W2481" s="1">
        <v>36447</v>
      </c>
      <c r="X2481" s="2">
        <v>36447</v>
      </c>
      <c r="Y2481" t="s">
        <v>10231</v>
      </c>
      <c r="Z2481">
        <v>0</v>
      </c>
      <c r="AA2481">
        <v>1</v>
      </c>
      <c r="AB2481">
        <v>0</v>
      </c>
      <c r="AC2481">
        <v>0</v>
      </c>
      <c r="AF2481">
        <v>1961</v>
      </c>
      <c r="AG2481">
        <v>1985</v>
      </c>
      <c r="AO2481" t="b">
        <v>1</v>
      </c>
      <c r="AP2481" t="s">
        <v>4986</v>
      </c>
      <c r="AQ2481">
        <v>1974</v>
      </c>
      <c r="AR2481">
        <v>2016</v>
      </c>
      <c r="AS2481" t="s">
        <v>10232</v>
      </c>
      <c r="AT2481">
        <v>23.989048596851401</v>
      </c>
      <c r="AU2481">
        <f t="shared" si="116"/>
        <v>6.6000000000000003E-2</v>
      </c>
    </row>
    <row r="2482" spans="1:47" x14ac:dyDescent="0.3">
      <c r="A2482">
        <v>2480</v>
      </c>
      <c r="B2482" t="s">
        <v>10233</v>
      </c>
      <c r="C2482" t="s">
        <v>10234</v>
      </c>
      <c r="D2482">
        <v>510</v>
      </c>
      <c r="E2482" t="s">
        <v>10229</v>
      </c>
      <c r="F2482" t="str">
        <f>VLOOKUP(E2482,country_continent!A:C,2,FALSE)</f>
        <v>Tanzania</v>
      </c>
      <c r="G2482" t="str">
        <f>VLOOKUP(E2482,country_continent!A:C,3,FALSE)</f>
        <v>Africa</v>
      </c>
      <c r="H2482" t="s">
        <v>10235</v>
      </c>
      <c r="I2482" s="1">
        <v>31356</v>
      </c>
      <c r="J2482" s="3">
        <f t="shared" si="114"/>
        <v>31356</v>
      </c>
      <c r="K2482" s="1">
        <v>35008</v>
      </c>
      <c r="L2482" s="3">
        <f t="shared" si="115"/>
        <v>35008</v>
      </c>
      <c r="M2482" t="s">
        <v>49</v>
      </c>
      <c r="N2482" t="s">
        <v>49</v>
      </c>
      <c r="O2482" t="s">
        <v>49</v>
      </c>
      <c r="P2482">
        <v>0</v>
      </c>
      <c r="Q2482" t="s">
        <v>50</v>
      </c>
      <c r="R2482" t="s">
        <v>51</v>
      </c>
      <c r="S2482">
        <v>1925</v>
      </c>
      <c r="T2482">
        <v>-777</v>
      </c>
      <c r="U2482" s="1">
        <v>9260</v>
      </c>
      <c r="V2482" s="2">
        <v>9260</v>
      </c>
      <c r="Y2482" t="s">
        <v>10236</v>
      </c>
      <c r="Z2482">
        <v>0</v>
      </c>
      <c r="AA2482">
        <v>1</v>
      </c>
      <c r="AB2482">
        <v>0</v>
      </c>
      <c r="AC2482">
        <v>0</v>
      </c>
      <c r="AF2482">
        <v>1985</v>
      </c>
      <c r="AG2482">
        <v>1995</v>
      </c>
      <c r="AO2482" t="b">
        <v>1</v>
      </c>
      <c r="AP2482" t="s">
        <v>4986</v>
      </c>
      <c r="AQ2482">
        <v>1974</v>
      </c>
      <c r="AR2482">
        <v>2016</v>
      </c>
      <c r="AS2482" t="s">
        <v>10237</v>
      </c>
      <c r="AT2482">
        <v>9.9986310746064309</v>
      </c>
      <c r="AU2482">
        <f t="shared" si="116"/>
        <v>2.7E-2</v>
      </c>
    </row>
    <row r="2483" spans="1:47" x14ac:dyDescent="0.3">
      <c r="A2483">
        <v>2481</v>
      </c>
      <c r="B2483" t="s">
        <v>10238</v>
      </c>
      <c r="C2483" t="s">
        <v>10239</v>
      </c>
      <c r="D2483">
        <v>510</v>
      </c>
      <c r="E2483" t="s">
        <v>10229</v>
      </c>
      <c r="F2483" t="str">
        <f>VLOOKUP(E2483,country_continent!A:C,2,FALSE)</f>
        <v>Tanzania</v>
      </c>
      <c r="G2483" t="str">
        <f>VLOOKUP(E2483,country_continent!A:C,3,FALSE)</f>
        <v>Africa</v>
      </c>
      <c r="H2483" t="s">
        <v>10240</v>
      </c>
      <c r="I2483" s="1">
        <v>35008</v>
      </c>
      <c r="J2483" s="3">
        <f t="shared" si="114"/>
        <v>35008</v>
      </c>
      <c r="K2483" s="1">
        <v>38707</v>
      </c>
      <c r="L2483" s="3">
        <f t="shared" si="115"/>
        <v>38707</v>
      </c>
      <c r="M2483" t="s">
        <v>49</v>
      </c>
      <c r="N2483" t="s">
        <v>49</v>
      </c>
      <c r="O2483" t="s">
        <v>49</v>
      </c>
      <c r="P2483">
        <v>0</v>
      </c>
      <c r="Q2483" t="s">
        <v>50</v>
      </c>
      <c r="R2483" t="s">
        <v>51</v>
      </c>
      <c r="S2483">
        <v>1938</v>
      </c>
      <c r="T2483">
        <v>-777</v>
      </c>
      <c r="Z2483">
        <v>0</v>
      </c>
      <c r="AA2483">
        <v>1</v>
      </c>
      <c r="AB2483">
        <v>0</v>
      </c>
      <c r="AC2483">
        <v>0</v>
      </c>
      <c r="AF2483">
        <v>1995</v>
      </c>
      <c r="AG2483">
        <v>2005</v>
      </c>
      <c r="AO2483" t="b">
        <v>1</v>
      </c>
      <c r="AP2483" t="s">
        <v>4986</v>
      </c>
      <c r="AQ2483">
        <v>1974</v>
      </c>
      <c r="AR2483">
        <v>2016</v>
      </c>
      <c r="AS2483" t="s">
        <v>10241</v>
      </c>
      <c r="AT2483">
        <v>10.1273100616016</v>
      </c>
      <c r="AU2483">
        <f t="shared" si="116"/>
        <v>2.8000000000000001E-2</v>
      </c>
    </row>
    <row r="2484" spans="1:47" x14ac:dyDescent="0.3">
      <c r="A2484">
        <v>2482</v>
      </c>
      <c r="B2484" t="s">
        <v>10242</v>
      </c>
      <c r="C2484" t="s">
        <v>10243</v>
      </c>
      <c r="D2484">
        <v>510</v>
      </c>
      <c r="E2484" t="s">
        <v>10229</v>
      </c>
      <c r="F2484" t="str">
        <f>VLOOKUP(E2484,country_continent!A:C,2,FALSE)</f>
        <v>Tanzania</v>
      </c>
      <c r="G2484" t="str">
        <f>VLOOKUP(E2484,country_continent!A:C,3,FALSE)</f>
        <v>Africa</v>
      </c>
      <c r="H2484" t="s">
        <v>10244</v>
      </c>
      <c r="I2484" s="1">
        <v>38707</v>
      </c>
      <c r="J2484" s="3">
        <f t="shared" si="114"/>
        <v>38707</v>
      </c>
      <c r="K2484" s="1">
        <v>42313</v>
      </c>
      <c r="L2484" s="3">
        <f t="shared" si="115"/>
        <v>42313</v>
      </c>
      <c r="M2484" t="s">
        <v>49</v>
      </c>
      <c r="N2484" t="s">
        <v>49</v>
      </c>
      <c r="O2484" t="s">
        <v>49</v>
      </c>
      <c r="P2484">
        <v>0</v>
      </c>
      <c r="Q2484" t="s">
        <v>312</v>
      </c>
      <c r="R2484" t="s">
        <v>51</v>
      </c>
      <c r="S2484">
        <v>1950</v>
      </c>
      <c r="T2484">
        <v>-777</v>
      </c>
      <c r="U2484" s="1">
        <v>18543</v>
      </c>
      <c r="V2484" s="2">
        <v>18543</v>
      </c>
      <c r="Z2484">
        <v>0</v>
      </c>
      <c r="AA2484">
        <v>1</v>
      </c>
      <c r="AB2484">
        <v>0</v>
      </c>
      <c r="AC2484">
        <v>-999</v>
      </c>
      <c r="AF2484">
        <v>2005</v>
      </c>
      <c r="AG2484">
        <v>2015</v>
      </c>
      <c r="AO2484" t="b">
        <v>1</v>
      </c>
      <c r="AP2484" t="s">
        <v>4986</v>
      </c>
      <c r="AQ2484">
        <v>1974</v>
      </c>
      <c r="AR2484">
        <v>2016</v>
      </c>
      <c r="AS2484" t="s">
        <v>10245</v>
      </c>
      <c r="AT2484">
        <v>9.8726899383983504</v>
      </c>
      <c r="AU2484">
        <f t="shared" si="116"/>
        <v>2.7E-2</v>
      </c>
    </row>
    <row r="2485" spans="1:47" x14ac:dyDescent="0.3">
      <c r="A2485">
        <v>2483</v>
      </c>
      <c r="B2485" t="s">
        <v>10246</v>
      </c>
      <c r="C2485" t="s">
        <v>10247</v>
      </c>
      <c r="D2485">
        <v>510</v>
      </c>
      <c r="E2485" t="s">
        <v>10229</v>
      </c>
      <c r="F2485" t="str">
        <f>VLOOKUP(E2485,country_continent!A:C,2,FALSE)</f>
        <v>Tanzania</v>
      </c>
      <c r="G2485" t="str">
        <f>VLOOKUP(E2485,country_continent!A:C,3,FALSE)</f>
        <v>Africa</v>
      </c>
      <c r="H2485" t="s">
        <v>10248</v>
      </c>
      <c r="I2485" s="1">
        <v>42313</v>
      </c>
      <c r="J2485" s="3">
        <f t="shared" si="114"/>
        <v>42313</v>
      </c>
      <c r="K2485" s="1">
        <v>42369</v>
      </c>
      <c r="L2485" s="3">
        <f t="shared" si="115"/>
        <v>42369</v>
      </c>
      <c r="M2485" t="s">
        <v>49</v>
      </c>
      <c r="N2485" t="s">
        <v>173</v>
      </c>
      <c r="O2485" t="s">
        <v>173</v>
      </c>
      <c r="P2485">
        <v>0</v>
      </c>
      <c r="Q2485" t="s">
        <v>174</v>
      </c>
      <c r="R2485" t="s">
        <v>51</v>
      </c>
      <c r="S2485">
        <v>1959</v>
      </c>
      <c r="T2485">
        <v>-777</v>
      </c>
      <c r="U2485" s="1">
        <v>21852</v>
      </c>
      <c r="V2485" s="2">
        <v>21852</v>
      </c>
      <c r="Z2485">
        <v>0</v>
      </c>
      <c r="AA2485">
        <v>-888</v>
      </c>
      <c r="AB2485">
        <v>-888</v>
      </c>
      <c r="AC2485">
        <v>-888</v>
      </c>
      <c r="AF2485">
        <v>2015</v>
      </c>
      <c r="AG2485">
        <v>2015</v>
      </c>
      <c r="AO2485" t="b">
        <v>1</v>
      </c>
      <c r="AP2485" t="s">
        <v>4986</v>
      </c>
      <c r="AQ2485">
        <v>1974</v>
      </c>
      <c r="AR2485">
        <v>2016</v>
      </c>
      <c r="AS2485" t="s">
        <v>10249</v>
      </c>
      <c r="AT2485">
        <v>0.15331964407939699</v>
      </c>
      <c r="AU2485">
        <f t="shared" si="116"/>
        <v>0</v>
      </c>
    </row>
    <row r="2486" spans="1:47" x14ac:dyDescent="0.3">
      <c r="A2486">
        <v>2484</v>
      </c>
      <c r="B2486" t="s">
        <v>10250</v>
      </c>
      <c r="C2486" t="s">
        <v>10251</v>
      </c>
      <c r="D2486">
        <v>511</v>
      </c>
      <c r="E2486" t="s">
        <v>10252</v>
      </c>
      <c r="F2486" t="str">
        <f>VLOOKUP(E2486,country_continent!A:C,2,FALSE)</f>
        <v>Zanzibar</v>
      </c>
      <c r="G2486" t="str">
        <f>VLOOKUP(E2486,country_continent!A:C,3,FALSE)</f>
        <v>Africa</v>
      </c>
      <c r="H2486" t="s">
        <v>10253</v>
      </c>
      <c r="I2486" s="1">
        <v>22437</v>
      </c>
      <c r="J2486" s="3">
        <f t="shared" si="114"/>
        <v>22437</v>
      </c>
      <c r="K2486" s="1">
        <v>23388</v>
      </c>
      <c r="L2486" s="3">
        <f t="shared" si="115"/>
        <v>23388</v>
      </c>
      <c r="M2486" t="s">
        <v>49</v>
      </c>
      <c r="N2486" t="s">
        <v>67</v>
      </c>
      <c r="O2486" t="s">
        <v>433</v>
      </c>
      <c r="P2486">
        <v>0</v>
      </c>
      <c r="Q2486" t="s">
        <v>463</v>
      </c>
      <c r="R2486" t="s">
        <v>51</v>
      </c>
      <c r="S2486">
        <v>-999</v>
      </c>
      <c r="T2486">
        <v>-999</v>
      </c>
      <c r="Z2486">
        <v>0</v>
      </c>
      <c r="AA2486">
        <v>3</v>
      </c>
      <c r="AB2486">
        <v>4</v>
      </c>
      <c r="AC2486">
        <v>2</v>
      </c>
      <c r="AF2486">
        <v>1961</v>
      </c>
      <c r="AG2486">
        <v>1964</v>
      </c>
      <c r="AO2486" t="b">
        <v>0</v>
      </c>
      <c r="AT2486">
        <v>951</v>
      </c>
      <c r="AU2486">
        <f t="shared" si="116"/>
        <v>2.605</v>
      </c>
    </row>
    <row r="2487" spans="1:47" x14ac:dyDescent="0.3">
      <c r="A2487">
        <v>2485</v>
      </c>
      <c r="B2487" t="s">
        <v>10254</v>
      </c>
      <c r="C2487" t="s">
        <v>10255</v>
      </c>
      <c r="D2487">
        <v>511</v>
      </c>
      <c r="E2487" t="s">
        <v>10252</v>
      </c>
      <c r="F2487" t="str">
        <f>VLOOKUP(E2487,country_continent!A:C,2,FALSE)</f>
        <v>Zanzibar</v>
      </c>
      <c r="G2487" t="str">
        <f>VLOOKUP(E2487,country_continent!A:C,3,FALSE)</f>
        <v>Africa</v>
      </c>
      <c r="H2487" t="s">
        <v>10256</v>
      </c>
      <c r="I2487" s="1">
        <v>23388</v>
      </c>
      <c r="J2487" s="3">
        <f t="shared" si="114"/>
        <v>23388</v>
      </c>
      <c r="K2487" s="1">
        <v>23494</v>
      </c>
      <c r="L2487" s="3">
        <f t="shared" si="115"/>
        <v>23494</v>
      </c>
      <c r="M2487" t="s">
        <v>67</v>
      </c>
      <c r="N2487" t="s">
        <v>49</v>
      </c>
      <c r="O2487" t="s">
        <v>49</v>
      </c>
      <c r="P2487">
        <v>0</v>
      </c>
      <c r="Q2487" t="s">
        <v>50</v>
      </c>
      <c r="R2487" t="s">
        <v>51</v>
      </c>
      <c r="S2487">
        <v>1932</v>
      </c>
      <c r="T2487">
        <v>1969</v>
      </c>
      <c r="Z2487">
        <v>1</v>
      </c>
      <c r="AA2487">
        <v>1</v>
      </c>
      <c r="AB2487">
        <v>0</v>
      </c>
      <c r="AC2487">
        <v>0</v>
      </c>
      <c r="AF2487">
        <v>1964</v>
      </c>
      <c r="AG2487">
        <v>1964</v>
      </c>
      <c r="AO2487" t="b">
        <v>0</v>
      </c>
      <c r="AT2487">
        <v>106</v>
      </c>
      <c r="AU2487">
        <f t="shared" si="116"/>
        <v>0.28999999999999998</v>
      </c>
    </row>
    <row r="2488" spans="1:47" x14ac:dyDescent="0.3">
      <c r="A2488">
        <v>2486</v>
      </c>
      <c r="B2488" t="s">
        <v>10257</v>
      </c>
      <c r="C2488" t="s">
        <v>10258</v>
      </c>
      <c r="D2488">
        <v>516</v>
      </c>
      <c r="E2488" t="s">
        <v>10259</v>
      </c>
      <c r="F2488" t="str">
        <f>VLOOKUP(E2488,country_continent!A:C,2,FALSE)</f>
        <v>Burundi</v>
      </c>
      <c r="G2488" t="str">
        <f>VLOOKUP(E2488,country_continent!A:C,3,FALSE)</f>
        <v>Africa</v>
      </c>
      <c r="H2488" t="s">
        <v>10260</v>
      </c>
      <c r="I2488" s="1">
        <v>22828</v>
      </c>
      <c r="J2488" s="3">
        <f t="shared" si="114"/>
        <v>22828</v>
      </c>
      <c r="K2488" s="1">
        <v>24296</v>
      </c>
      <c r="L2488" s="3">
        <f t="shared" si="115"/>
        <v>24296</v>
      </c>
      <c r="M2488" t="s">
        <v>49</v>
      </c>
      <c r="N2488" t="s">
        <v>67</v>
      </c>
      <c r="O2488" t="s">
        <v>2001</v>
      </c>
      <c r="P2488">
        <v>0</v>
      </c>
      <c r="Q2488" t="s">
        <v>362</v>
      </c>
      <c r="R2488" t="s">
        <v>51</v>
      </c>
      <c r="S2488">
        <v>1912</v>
      </c>
      <c r="T2488">
        <v>1977</v>
      </c>
      <c r="Z2488">
        <v>0</v>
      </c>
      <c r="AA2488">
        <v>3</v>
      </c>
      <c r="AB2488">
        <v>8</v>
      </c>
      <c r="AC2488">
        <v>1</v>
      </c>
      <c r="AF2488">
        <v>1962</v>
      </c>
      <c r="AG2488">
        <v>1966</v>
      </c>
      <c r="AO2488" t="b">
        <v>0</v>
      </c>
      <c r="AT2488">
        <v>1468</v>
      </c>
      <c r="AU2488">
        <f t="shared" si="116"/>
        <v>4.0220000000000002</v>
      </c>
    </row>
    <row r="2489" spans="1:47" x14ac:dyDescent="0.3">
      <c r="A2489">
        <v>2487</v>
      </c>
      <c r="B2489" t="s">
        <v>10261</v>
      </c>
      <c r="C2489" t="s">
        <v>10262</v>
      </c>
      <c r="D2489">
        <v>516</v>
      </c>
      <c r="E2489" t="s">
        <v>10259</v>
      </c>
      <c r="F2489" t="str">
        <f>VLOOKUP(E2489,country_continent!A:C,2,FALSE)</f>
        <v>Burundi</v>
      </c>
      <c r="G2489" t="str">
        <f>VLOOKUP(E2489,country_continent!A:C,3,FALSE)</f>
        <v>Africa</v>
      </c>
      <c r="H2489" t="s">
        <v>10263</v>
      </c>
      <c r="I2489" s="1">
        <v>24296</v>
      </c>
      <c r="J2489" s="3">
        <f t="shared" si="114"/>
        <v>24296</v>
      </c>
      <c r="K2489" s="1">
        <v>24439</v>
      </c>
      <c r="L2489" s="3">
        <f t="shared" si="115"/>
        <v>24439</v>
      </c>
      <c r="M2489" t="s">
        <v>67</v>
      </c>
      <c r="N2489" t="s">
        <v>67</v>
      </c>
      <c r="O2489" t="s">
        <v>376</v>
      </c>
      <c r="P2489">
        <v>0</v>
      </c>
      <c r="Q2489" t="s">
        <v>362</v>
      </c>
      <c r="R2489" t="s">
        <v>51</v>
      </c>
      <c r="S2489">
        <v>1947</v>
      </c>
      <c r="T2489">
        <v>1972</v>
      </c>
      <c r="U2489" s="1">
        <v>17503</v>
      </c>
      <c r="V2489" s="2">
        <v>17503</v>
      </c>
      <c r="Z2489">
        <v>1</v>
      </c>
      <c r="AA2489">
        <v>3</v>
      </c>
      <c r="AB2489">
        <v>6</v>
      </c>
      <c r="AC2489">
        <v>1</v>
      </c>
      <c r="AF2489">
        <v>1966</v>
      </c>
      <c r="AG2489">
        <v>1966</v>
      </c>
      <c r="AO2489" t="b">
        <v>0</v>
      </c>
      <c r="AT2489">
        <v>143</v>
      </c>
      <c r="AU2489">
        <f t="shared" si="116"/>
        <v>0.39200000000000002</v>
      </c>
    </row>
    <row r="2490" spans="1:47" x14ac:dyDescent="0.3">
      <c r="A2490">
        <v>2488</v>
      </c>
      <c r="B2490" t="s">
        <v>10264</v>
      </c>
      <c r="C2490" t="s">
        <v>10265</v>
      </c>
      <c r="D2490">
        <v>516</v>
      </c>
      <c r="E2490" t="s">
        <v>10259</v>
      </c>
      <c r="F2490" t="str">
        <f>VLOOKUP(E2490,country_continent!A:C,2,FALSE)</f>
        <v>Burundi</v>
      </c>
      <c r="G2490" t="str">
        <f>VLOOKUP(E2490,country_continent!A:C,3,FALSE)</f>
        <v>Africa</v>
      </c>
      <c r="H2490" t="s">
        <v>10266</v>
      </c>
      <c r="I2490" s="1">
        <v>24439</v>
      </c>
      <c r="J2490" s="3">
        <f t="shared" si="114"/>
        <v>24439</v>
      </c>
      <c r="K2490" s="1">
        <v>28065</v>
      </c>
      <c r="L2490" s="3">
        <f t="shared" si="115"/>
        <v>28065</v>
      </c>
      <c r="M2490" t="s">
        <v>67</v>
      </c>
      <c r="N2490" t="s">
        <v>67</v>
      </c>
      <c r="O2490" t="s">
        <v>376</v>
      </c>
      <c r="P2490">
        <v>0</v>
      </c>
      <c r="Q2490" t="s">
        <v>362</v>
      </c>
      <c r="R2490" t="s">
        <v>51</v>
      </c>
      <c r="S2490">
        <v>1940</v>
      </c>
      <c r="T2490">
        <v>1983</v>
      </c>
      <c r="Y2490" t="s">
        <v>10267</v>
      </c>
      <c r="Z2490">
        <v>1</v>
      </c>
      <c r="AA2490">
        <v>3</v>
      </c>
      <c r="AB2490">
        <v>6</v>
      </c>
      <c r="AC2490">
        <v>1</v>
      </c>
      <c r="AF2490">
        <v>1966</v>
      </c>
      <c r="AG2490">
        <v>1976</v>
      </c>
      <c r="AO2490" t="b">
        <v>0</v>
      </c>
      <c r="AT2490">
        <v>3626</v>
      </c>
      <c r="AU2490">
        <f t="shared" si="116"/>
        <v>9.9339999999999993</v>
      </c>
    </row>
    <row r="2491" spans="1:47" x14ac:dyDescent="0.3">
      <c r="A2491">
        <v>2489</v>
      </c>
      <c r="B2491" t="s">
        <v>10268</v>
      </c>
      <c r="C2491" t="s">
        <v>10269</v>
      </c>
      <c r="D2491">
        <v>516</v>
      </c>
      <c r="E2491" t="s">
        <v>10259</v>
      </c>
      <c r="F2491" t="str">
        <f>VLOOKUP(E2491,country_continent!A:C,2,FALSE)</f>
        <v>Burundi</v>
      </c>
      <c r="G2491" t="str">
        <f>VLOOKUP(E2491,country_continent!A:C,3,FALSE)</f>
        <v>Africa</v>
      </c>
      <c r="H2491" t="s">
        <v>10270</v>
      </c>
      <c r="I2491" s="1">
        <v>28073</v>
      </c>
      <c r="J2491" s="3">
        <f t="shared" si="114"/>
        <v>28073</v>
      </c>
      <c r="K2491" s="1">
        <v>32023</v>
      </c>
      <c r="L2491" s="3">
        <f t="shared" si="115"/>
        <v>32023</v>
      </c>
      <c r="M2491" t="s">
        <v>67</v>
      </c>
      <c r="N2491" t="s">
        <v>67</v>
      </c>
      <c r="O2491" t="s">
        <v>376</v>
      </c>
      <c r="P2491">
        <v>0</v>
      </c>
      <c r="Q2491" t="s">
        <v>362</v>
      </c>
      <c r="R2491" t="s">
        <v>51</v>
      </c>
      <c r="S2491">
        <v>1946</v>
      </c>
      <c r="T2491">
        <v>-777</v>
      </c>
      <c r="U2491" s="1">
        <v>17043</v>
      </c>
      <c r="V2491" s="2">
        <v>17043</v>
      </c>
      <c r="Z2491">
        <v>1</v>
      </c>
      <c r="AA2491">
        <v>3</v>
      </c>
      <c r="AB2491">
        <v>6</v>
      </c>
      <c r="AC2491">
        <v>1</v>
      </c>
      <c r="AF2491">
        <v>1976</v>
      </c>
      <c r="AG2491">
        <v>1987</v>
      </c>
      <c r="AO2491" t="b">
        <v>0</v>
      </c>
      <c r="AT2491">
        <v>3950</v>
      </c>
      <c r="AU2491">
        <f t="shared" si="116"/>
        <v>10.821999999999999</v>
      </c>
    </row>
    <row r="2492" spans="1:47" x14ac:dyDescent="0.3">
      <c r="A2492">
        <v>2490</v>
      </c>
      <c r="B2492" t="s">
        <v>10271</v>
      </c>
      <c r="C2492" t="s">
        <v>10272</v>
      </c>
      <c r="D2492">
        <v>516</v>
      </c>
      <c r="E2492" t="s">
        <v>10259</v>
      </c>
      <c r="F2492" t="str">
        <f>VLOOKUP(E2492,country_continent!A:C,2,FALSE)</f>
        <v>Burundi</v>
      </c>
      <c r="G2492" t="str">
        <f>VLOOKUP(E2492,country_continent!A:C,3,FALSE)</f>
        <v>Africa</v>
      </c>
      <c r="H2492" t="s">
        <v>10273</v>
      </c>
      <c r="I2492" s="1">
        <v>32023</v>
      </c>
      <c r="J2492" s="3">
        <f t="shared" si="114"/>
        <v>32023</v>
      </c>
      <c r="K2492" s="1">
        <v>34160</v>
      </c>
      <c r="L2492" s="3">
        <f t="shared" si="115"/>
        <v>34160</v>
      </c>
      <c r="M2492" t="s">
        <v>67</v>
      </c>
      <c r="N2492" t="s">
        <v>49</v>
      </c>
      <c r="O2492" t="s">
        <v>49</v>
      </c>
      <c r="P2492">
        <v>0</v>
      </c>
      <c r="Q2492" t="s">
        <v>50</v>
      </c>
      <c r="R2492" t="s">
        <v>51</v>
      </c>
      <c r="S2492">
        <v>1949</v>
      </c>
      <c r="T2492">
        <v>-777</v>
      </c>
      <c r="U2492" s="1">
        <v>18226</v>
      </c>
      <c r="V2492" s="2">
        <v>18226</v>
      </c>
      <c r="Z2492">
        <v>1</v>
      </c>
      <c r="AA2492">
        <v>1</v>
      </c>
      <c r="AB2492">
        <v>0</v>
      </c>
      <c r="AC2492">
        <v>0</v>
      </c>
      <c r="AF2492">
        <v>1987</v>
      </c>
      <c r="AG2492">
        <v>1993</v>
      </c>
      <c r="AO2492" t="b">
        <v>0</v>
      </c>
      <c r="AT2492">
        <v>2137</v>
      </c>
      <c r="AU2492">
        <f t="shared" si="116"/>
        <v>5.8550000000000004</v>
      </c>
    </row>
    <row r="2493" spans="1:47" x14ac:dyDescent="0.3">
      <c r="A2493">
        <v>2491</v>
      </c>
      <c r="B2493" t="s">
        <v>10274</v>
      </c>
      <c r="C2493" t="s">
        <v>10275</v>
      </c>
      <c r="D2493">
        <v>516</v>
      </c>
      <c r="E2493" t="s">
        <v>10259</v>
      </c>
      <c r="F2493" t="str">
        <f>VLOOKUP(E2493,country_continent!A:C,2,FALSE)</f>
        <v>Burundi</v>
      </c>
      <c r="G2493" t="str">
        <f>VLOOKUP(E2493,country_continent!A:C,3,FALSE)</f>
        <v>Africa</v>
      </c>
      <c r="H2493" t="s">
        <v>10276</v>
      </c>
      <c r="I2493" s="1">
        <v>34160</v>
      </c>
      <c r="J2493" s="3">
        <f t="shared" si="114"/>
        <v>34160</v>
      </c>
      <c r="K2493" s="1">
        <v>34263</v>
      </c>
      <c r="L2493" s="3">
        <f t="shared" si="115"/>
        <v>34263</v>
      </c>
      <c r="M2493" t="s">
        <v>49</v>
      </c>
      <c r="N2493" t="s">
        <v>67</v>
      </c>
      <c r="O2493" t="s">
        <v>376</v>
      </c>
      <c r="P2493">
        <v>0</v>
      </c>
      <c r="Q2493" t="s">
        <v>69</v>
      </c>
      <c r="R2493" t="s">
        <v>51</v>
      </c>
      <c r="S2493">
        <v>1953</v>
      </c>
      <c r="T2493">
        <v>1993</v>
      </c>
      <c r="Y2493" t="s">
        <v>10277</v>
      </c>
      <c r="Z2493">
        <v>0</v>
      </c>
      <c r="AA2493">
        <v>3</v>
      </c>
      <c r="AB2493">
        <v>6</v>
      </c>
      <c r="AC2493">
        <v>3</v>
      </c>
      <c r="AF2493">
        <v>1993</v>
      </c>
      <c r="AG2493">
        <v>1993</v>
      </c>
      <c r="AO2493" t="b">
        <v>0</v>
      </c>
      <c r="AT2493">
        <v>103</v>
      </c>
      <c r="AU2493">
        <f t="shared" si="116"/>
        <v>0.28199999999999997</v>
      </c>
    </row>
    <row r="2494" spans="1:47" x14ac:dyDescent="0.3">
      <c r="A2494">
        <v>2492</v>
      </c>
      <c r="B2494" t="s">
        <v>10278</v>
      </c>
      <c r="C2494" t="s">
        <v>10279</v>
      </c>
      <c r="D2494">
        <v>516</v>
      </c>
      <c r="E2494" t="s">
        <v>10259</v>
      </c>
      <c r="F2494" t="str">
        <f>VLOOKUP(E2494,country_continent!A:C,2,FALSE)</f>
        <v>Burundi</v>
      </c>
      <c r="G2494" t="str">
        <f>VLOOKUP(E2494,country_continent!A:C,3,FALSE)</f>
        <v>Africa</v>
      </c>
      <c r="H2494" t="s">
        <v>10280</v>
      </c>
      <c r="I2494" s="1">
        <v>34263</v>
      </c>
      <c r="J2494" s="3">
        <f t="shared" si="114"/>
        <v>34263</v>
      </c>
      <c r="K2494" s="1">
        <v>34269</v>
      </c>
      <c r="L2494" s="3">
        <f t="shared" si="115"/>
        <v>34269</v>
      </c>
      <c r="M2494" t="s">
        <v>67</v>
      </c>
      <c r="N2494" t="s">
        <v>49</v>
      </c>
      <c r="O2494" t="s">
        <v>49</v>
      </c>
      <c r="P2494">
        <v>0</v>
      </c>
      <c r="Q2494" t="s">
        <v>463</v>
      </c>
      <c r="R2494" t="s">
        <v>51</v>
      </c>
      <c r="S2494">
        <v>1953</v>
      </c>
      <c r="T2494">
        <v>-777</v>
      </c>
      <c r="Z2494">
        <v>1</v>
      </c>
      <c r="AA2494">
        <v>1</v>
      </c>
      <c r="AB2494">
        <v>0</v>
      </c>
      <c r="AC2494">
        <v>2</v>
      </c>
      <c r="AF2494">
        <v>1993</v>
      </c>
      <c r="AG2494">
        <v>1993</v>
      </c>
      <c r="AO2494" t="b">
        <v>0</v>
      </c>
      <c r="AT2494">
        <v>6</v>
      </c>
      <c r="AU2494">
        <f t="shared" si="116"/>
        <v>1.6E-2</v>
      </c>
    </row>
    <row r="2495" spans="1:47" x14ac:dyDescent="0.3">
      <c r="A2495">
        <v>2493</v>
      </c>
      <c r="B2495" t="s">
        <v>10281</v>
      </c>
      <c r="C2495" t="s">
        <v>10282</v>
      </c>
      <c r="D2495">
        <v>516</v>
      </c>
      <c r="E2495" t="s">
        <v>10259</v>
      </c>
      <c r="F2495" t="str">
        <f>VLOOKUP(E2495,country_continent!A:C,2,FALSE)</f>
        <v>Burundi</v>
      </c>
      <c r="G2495" t="str">
        <f>VLOOKUP(E2495,country_continent!A:C,3,FALSE)</f>
        <v>Africa</v>
      </c>
      <c r="H2495" t="s">
        <v>10283</v>
      </c>
      <c r="I2495" s="1">
        <v>34269</v>
      </c>
      <c r="J2495" s="3">
        <f t="shared" si="114"/>
        <v>34269</v>
      </c>
      <c r="K2495" s="1">
        <v>34370</v>
      </c>
      <c r="L2495" s="3">
        <f t="shared" si="115"/>
        <v>34370</v>
      </c>
      <c r="M2495" t="s">
        <v>49</v>
      </c>
      <c r="N2495" t="s">
        <v>49</v>
      </c>
      <c r="O2495" t="s">
        <v>49</v>
      </c>
      <c r="P2495">
        <v>0</v>
      </c>
      <c r="Q2495" t="s">
        <v>50</v>
      </c>
      <c r="R2495" t="s">
        <v>299</v>
      </c>
      <c r="S2495">
        <v>1953</v>
      </c>
      <c r="T2495">
        <v>-777</v>
      </c>
      <c r="Z2495">
        <v>0</v>
      </c>
      <c r="AA2495">
        <v>1</v>
      </c>
      <c r="AB2495">
        <v>0</v>
      </c>
      <c r="AC2495">
        <v>0</v>
      </c>
      <c r="AF2495">
        <v>1993</v>
      </c>
      <c r="AG2495">
        <v>1994</v>
      </c>
      <c r="AO2495" t="b">
        <v>0</v>
      </c>
      <c r="AT2495">
        <v>101</v>
      </c>
      <c r="AU2495">
        <f t="shared" si="116"/>
        <v>0.27700000000000002</v>
      </c>
    </row>
    <row r="2496" spans="1:47" x14ac:dyDescent="0.3">
      <c r="A2496">
        <v>2494</v>
      </c>
      <c r="B2496" t="s">
        <v>10284</v>
      </c>
      <c r="C2496" t="s">
        <v>10285</v>
      </c>
      <c r="D2496">
        <v>516</v>
      </c>
      <c r="E2496" t="s">
        <v>10259</v>
      </c>
      <c r="F2496" t="str">
        <f>VLOOKUP(E2496,country_continent!A:C,2,FALSE)</f>
        <v>Burundi</v>
      </c>
      <c r="G2496" t="str">
        <f>VLOOKUP(E2496,country_continent!A:C,3,FALSE)</f>
        <v>Africa</v>
      </c>
      <c r="H2496" t="s">
        <v>10286</v>
      </c>
      <c r="I2496" s="1">
        <v>34370</v>
      </c>
      <c r="J2496" s="3">
        <f t="shared" si="114"/>
        <v>34370</v>
      </c>
      <c r="K2496" s="1">
        <v>34430</v>
      </c>
      <c r="L2496" s="3">
        <f t="shared" si="115"/>
        <v>34430</v>
      </c>
      <c r="M2496" t="s">
        <v>49</v>
      </c>
      <c r="N2496" t="s">
        <v>67</v>
      </c>
      <c r="O2496" t="s">
        <v>6580</v>
      </c>
      <c r="P2496">
        <v>0</v>
      </c>
      <c r="Q2496" t="s">
        <v>69</v>
      </c>
      <c r="R2496" t="s">
        <v>51</v>
      </c>
      <c r="S2496">
        <v>1955</v>
      </c>
      <c r="T2496">
        <v>1994</v>
      </c>
      <c r="W2496" s="1">
        <v>34430</v>
      </c>
      <c r="X2496" s="2">
        <v>34430</v>
      </c>
      <c r="Z2496">
        <v>0</v>
      </c>
      <c r="AA2496">
        <v>3</v>
      </c>
      <c r="AB2496">
        <v>111</v>
      </c>
      <c r="AC2496">
        <v>3</v>
      </c>
      <c r="AF2496">
        <v>1994</v>
      </c>
      <c r="AG2496">
        <v>1994</v>
      </c>
      <c r="AO2496" t="b">
        <v>0</v>
      </c>
      <c r="AT2496">
        <v>60</v>
      </c>
      <c r="AU2496">
        <f t="shared" si="116"/>
        <v>0.16400000000000001</v>
      </c>
    </row>
    <row r="2497" spans="1:47" x14ac:dyDescent="0.3">
      <c r="A2497">
        <v>2495</v>
      </c>
      <c r="B2497" t="s">
        <v>10287</v>
      </c>
      <c r="C2497" t="s">
        <v>10288</v>
      </c>
      <c r="D2497">
        <v>516</v>
      </c>
      <c r="E2497" t="s">
        <v>10259</v>
      </c>
      <c r="F2497" t="str">
        <f>VLOOKUP(E2497,country_continent!A:C,2,FALSE)</f>
        <v>Burundi</v>
      </c>
      <c r="G2497" t="str">
        <f>VLOOKUP(E2497,country_continent!A:C,3,FALSE)</f>
        <v>Africa</v>
      </c>
      <c r="H2497" t="s">
        <v>10289</v>
      </c>
      <c r="I2497" s="1">
        <v>34430</v>
      </c>
      <c r="J2497" s="3">
        <f t="shared" si="114"/>
        <v>34430</v>
      </c>
      <c r="K2497" s="1">
        <v>35271</v>
      </c>
      <c r="L2497" s="3">
        <f t="shared" si="115"/>
        <v>35271</v>
      </c>
      <c r="M2497" t="s">
        <v>49</v>
      </c>
      <c r="N2497" t="s">
        <v>67</v>
      </c>
      <c r="O2497" t="s">
        <v>2001</v>
      </c>
      <c r="P2497">
        <v>0</v>
      </c>
      <c r="Q2497" t="s">
        <v>50</v>
      </c>
      <c r="R2497" t="s">
        <v>51</v>
      </c>
      <c r="S2497">
        <v>1956</v>
      </c>
      <c r="T2497">
        <v>-777</v>
      </c>
      <c r="U2497" s="1">
        <v>20583</v>
      </c>
      <c r="V2497" s="2">
        <v>20583</v>
      </c>
      <c r="Z2497">
        <v>0</v>
      </c>
      <c r="AA2497">
        <v>3</v>
      </c>
      <c r="AB2497">
        <v>8</v>
      </c>
      <c r="AC2497">
        <v>0</v>
      </c>
      <c r="AF2497">
        <v>1994</v>
      </c>
      <c r="AG2497">
        <v>1996</v>
      </c>
      <c r="AO2497" t="b">
        <v>0</v>
      </c>
      <c r="AT2497">
        <v>841</v>
      </c>
      <c r="AU2497">
        <f t="shared" si="116"/>
        <v>2.3039999999999998</v>
      </c>
    </row>
    <row r="2498" spans="1:47" x14ac:dyDescent="0.3">
      <c r="A2498">
        <v>2496</v>
      </c>
      <c r="B2498" t="s">
        <v>10290</v>
      </c>
      <c r="C2498" t="s">
        <v>10272</v>
      </c>
      <c r="D2498">
        <v>516</v>
      </c>
      <c r="E2498" t="s">
        <v>10259</v>
      </c>
      <c r="F2498" t="str">
        <f>VLOOKUP(E2498,country_continent!A:C,2,FALSE)</f>
        <v>Burundi</v>
      </c>
      <c r="G2498" t="str">
        <f>VLOOKUP(E2498,country_continent!A:C,3,FALSE)</f>
        <v>Africa</v>
      </c>
      <c r="H2498" t="s">
        <v>10273</v>
      </c>
      <c r="I2498" s="1">
        <v>35271</v>
      </c>
      <c r="J2498" s="3">
        <f t="shared" si="114"/>
        <v>35271</v>
      </c>
      <c r="K2498" s="1">
        <v>37741</v>
      </c>
      <c r="L2498" s="3">
        <f t="shared" si="115"/>
        <v>37741</v>
      </c>
      <c r="M2498" t="s">
        <v>67</v>
      </c>
      <c r="N2498" t="s">
        <v>49</v>
      </c>
      <c r="O2498" t="s">
        <v>49</v>
      </c>
      <c r="P2498">
        <v>1</v>
      </c>
      <c r="Q2498" t="s">
        <v>50</v>
      </c>
      <c r="R2498" t="s">
        <v>51</v>
      </c>
      <c r="S2498">
        <v>1949</v>
      </c>
      <c r="T2498">
        <v>-777</v>
      </c>
      <c r="U2498" s="1">
        <v>18226</v>
      </c>
      <c r="V2498" s="2">
        <v>18226</v>
      </c>
      <c r="Z2498">
        <v>1</v>
      </c>
      <c r="AA2498">
        <v>1</v>
      </c>
      <c r="AB2498">
        <v>0</v>
      </c>
      <c r="AC2498">
        <v>0</v>
      </c>
      <c r="AF2498">
        <v>1996</v>
      </c>
      <c r="AG2498">
        <v>2003</v>
      </c>
      <c r="AO2498" t="b">
        <v>0</v>
      </c>
      <c r="AT2498">
        <v>2470</v>
      </c>
      <c r="AU2498">
        <f t="shared" si="116"/>
        <v>6.7670000000000003</v>
      </c>
    </row>
    <row r="2499" spans="1:47" x14ac:dyDescent="0.3">
      <c r="A2499">
        <v>2497</v>
      </c>
      <c r="B2499" t="s">
        <v>10291</v>
      </c>
      <c r="C2499" t="s">
        <v>10292</v>
      </c>
      <c r="D2499">
        <v>516</v>
      </c>
      <c r="E2499" t="s">
        <v>10259</v>
      </c>
      <c r="F2499" t="str">
        <f>VLOOKUP(E2499,country_continent!A:C,2,FALSE)</f>
        <v>Burundi</v>
      </c>
      <c r="G2499" t="str">
        <f>VLOOKUP(E2499,country_continent!A:C,3,FALSE)</f>
        <v>Africa</v>
      </c>
      <c r="H2499" t="s">
        <v>10293</v>
      </c>
      <c r="I2499" s="1">
        <v>37741</v>
      </c>
      <c r="J2499" s="3">
        <f t="shared" ref="J2499:J2562" si="117">IF(ISNUMBER(SEARCH("-", I2499)), SUBSTITUTE(I2499, "-", "/"), I2499)</f>
        <v>37741</v>
      </c>
      <c r="K2499" s="1">
        <v>38590</v>
      </c>
      <c r="L2499" s="3">
        <f t="shared" ref="L2499:L2562" si="118">IF(ISNUMBER(SEARCH("-", K2499)), SUBSTITUTE(K2499, "-", "/"), K2499)</f>
        <v>38590</v>
      </c>
      <c r="M2499" t="s">
        <v>49</v>
      </c>
      <c r="N2499" t="s">
        <v>49</v>
      </c>
      <c r="O2499" t="s">
        <v>49</v>
      </c>
      <c r="P2499">
        <v>0</v>
      </c>
      <c r="Q2499" t="s">
        <v>50</v>
      </c>
      <c r="R2499" t="s">
        <v>51</v>
      </c>
      <c r="S2499">
        <v>1953</v>
      </c>
      <c r="T2499">
        <v>-777</v>
      </c>
      <c r="Y2499" t="s">
        <v>10294</v>
      </c>
      <c r="Z2499">
        <v>0</v>
      </c>
      <c r="AA2499">
        <v>1</v>
      </c>
      <c r="AB2499">
        <v>0</v>
      </c>
      <c r="AC2499">
        <v>0</v>
      </c>
      <c r="AF2499">
        <v>2003</v>
      </c>
      <c r="AG2499">
        <v>2005</v>
      </c>
      <c r="AO2499" t="b">
        <v>0</v>
      </c>
      <c r="AT2499">
        <v>849</v>
      </c>
      <c r="AU2499">
        <f t="shared" si="116"/>
        <v>2.3260000000000001</v>
      </c>
    </row>
    <row r="2500" spans="1:47" x14ac:dyDescent="0.3">
      <c r="A2500">
        <v>2498</v>
      </c>
      <c r="B2500" t="s">
        <v>10295</v>
      </c>
      <c r="C2500" t="s">
        <v>10296</v>
      </c>
      <c r="D2500">
        <v>516</v>
      </c>
      <c r="E2500" t="s">
        <v>10259</v>
      </c>
      <c r="F2500" t="str">
        <f>VLOOKUP(E2500,country_continent!A:C,2,FALSE)</f>
        <v>Burundi</v>
      </c>
      <c r="G2500" t="str">
        <f>VLOOKUP(E2500,country_continent!A:C,3,FALSE)</f>
        <v>Africa</v>
      </c>
      <c r="H2500" t="s">
        <v>10297</v>
      </c>
      <c r="I2500" s="1">
        <v>38590</v>
      </c>
      <c r="J2500" s="3">
        <f t="shared" si="117"/>
        <v>38590</v>
      </c>
      <c r="K2500" s="1">
        <v>42369</v>
      </c>
      <c r="L2500" s="3">
        <f t="shared" si="118"/>
        <v>42369</v>
      </c>
      <c r="M2500" t="s">
        <v>49</v>
      </c>
      <c r="N2500" t="s">
        <v>173</v>
      </c>
      <c r="O2500" t="s">
        <v>173</v>
      </c>
      <c r="P2500">
        <v>0</v>
      </c>
      <c r="Q2500" t="s">
        <v>174</v>
      </c>
      <c r="R2500" t="s">
        <v>51</v>
      </c>
      <c r="S2500">
        <v>1963</v>
      </c>
      <c r="T2500">
        <v>-777</v>
      </c>
      <c r="U2500" s="1">
        <v>23363</v>
      </c>
      <c r="V2500" s="2">
        <v>23363</v>
      </c>
      <c r="Z2500">
        <v>0</v>
      </c>
      <c r="AA2500">
        <v>-888</v>
      </c>
      <c r="AB2500">
        <v>-888</v>
      </c>
      <c r="AC2500">
        <v>-888</v>
      </c>
      <c r="AF2500">
        <v>2005</v>
      </c>
      <c r="AG2500">
        <v>2015</v>
      </c>
      <c r="AO2500" t="b">
        <v>0</v>
      </c>
      <c r="AT2500">
        <v>3779</v>
      </c>
      <c r="AU2500">
        <f t="shared" ref="AU2500:AU2563" si="119">ROUND(AT2500/365,3)</f>
        <v>10.353</v>
      </c>
    </row>
    <row r="2501" spans="1:47" x14ac:dyDescent="0.3">
      <c r="A2501">
        <v>2499</v>
      </c>
      <c r="B2501" t="s">
        <v>10298</v>
      </c>
      <c r="C2501" t="s">
        <v>10299</v>
      </c>
      <c r="D2501">
        <v>517</v>
      </c>
      <c r="E2501" t="s">
        <v>10300</v>
      </c>
      <c r="F2501" t="str">
        <f>VLOOKUP(E2501,country_continent!A:C,2,FALSE)</f>
        <v>Rwanda</v>
      </c>
      <c r="G2501" t="str">
        <f>VLOOKUP(E2501,country_continent!A:C,3,FALSE)</f>
        <v>Africa</v>
      </c>
      <c r="H2501" t="s">
        <v>10301</v>
      </c>
      <c r="I2501" s="1">
        <v>22580</v>
      </c>
      <c r="J2501" s="3">
        <f t="shared" si="117"/>
        <v>22580</v>
      </c>
      <c r="K2501" s="1">
        <v>26850</v>
      </c>
      <c r="L2501" s="3">
        <f t="shared" si="118"/>
        <v>26850</v>
      </c>
      <c r="M2501" t="s">
        <v>49</v>
      </c>
      <c r="N2501" t="s">
        <v>67</v>
      </c>
      <c r="O2501" t="s">
        <v>376</v>
      </c>
      <c r="P2501">
        <v>0</v>
      </c>
      <c r="Q2501" t="s">
        <v>463</v>
      </c>
      <c r="R2501" t="s">
        <v>51</v>
      </c>
      <c r="S2501">
        <v>1924</v>
      </c>
      <c r="T2501">
        <v>1976</v>
      </c>
      <c r="U2501" s="1">
        <v>8888</v>
      </c>
      <c r="V2501" s="2">
        <v>8888</v>
      </c>
      <c r="Z2501">
        <v>0</v>
      </c>
      <c r="AA2501">
        <v>3</v>
      </c>
      <c r="AB2501">
        <v>6</v>
      </c>
      <c r="AC2501">
        <v>2</v>
      </c>
      <c r="AF2501">
        <v>1961</v>
      </c>
      <c r="AG2501">
        <v>1973</v>
      </c>
      <c r="AH2501">
        <v>-0.176426315864285</v>
      </c>
      <c r="AI2501">
        <v>46.6666666666666</v>
      </c>
      <c r="AJ2501">
        <v>9.5899007412207808</v>
      </c>
      <c r="AK2501">
        <v>218.738461538461</v>
      </c>
      <c r="AL2501">
        <v>2.7924648462016601</v>
      </c>
      <c r="AM2501">
        <v>8.5968639972754595</v>
      </c>
      <c r="AN2501">
        <v>-5.18</v>
      </c>
      <c r="AO2501" t="b">
        <v>0</v>
      </c>
      <c r="AT2501">
        <v>4270</v>
      </c>
      <c r="AU2501">
        <f t="shared" si="119"/>
        <v>11.699</v>
      </c>
    </row>
    <row r="2502" spans="1:47" x14ac:dyDescent="0.3">
      <c r="A2502">
        <v>2500</v>
      </c>
      <c r="B2502" t="s">
        <v>10302</v>
      </c>
      <c r="C2502" t="s">
        <v>10303</v>
      </c>
      <c r="D2502">
        <v>517</v>
      </c>
      <c r="E2502" t="s">
        <v>10300</v>
      </c>
      <c r="F2502" t="str">
        <f>VLOOKUP(E2502,country_continent!A:C,2,FALSE)</f>
        <v>Rwanda</v>
      </c>
      <c r="G2502" t="str">
        <f>VLOOKUP(E2502,country_continent!A:C,3,FALSE)</f>
        <v>Africa</v>
      </c>
      <c r="H2502" t="s">
        <v>10304</v>
      </c>
      <c r="I2502" s="1">
        <v>26850</v>
      </c>
      <c r="J2502" s="3">
        <f t="shared" si="117"/>
        <v>26850</v>
      </c>
      <c r="K2502" s="1">
        <v>34430</v>
      </c>
      <c r="L2502" s="3">
        <f t="shared" si="118"/>
        <v>34430</v>
      </c>
      <c r="M2502" t="s">
        <v>67</v>
      </c>
      <c r="N2502" t="s">
        <v>67</v>
      </c>
      <c r="O2502" t="s">
        <v>6580</v>
      </c>
      <c r="P2502">
        <v>0</v>
      </c>
      <c r="Q2502" t="s">
        <v>69</v>
      </c>
      <c r="R2502" t="s">
        <v>51</v>
      </c>
      <c r="S2502">
        <v>1937</v>
      </c>
      <c r="T2502">
        <v>1994</v>
      </c>
      <c r="U2502" s="1">
        <v>13730</v>
      </c>
      <c r="V2502" s="2">
        <v>13730</v>
      </c>
      <c r="W2502" s="1">
        <v>34430</v>
      </c>
      <c r="X2502" s="2">
        <v>34430</v>
      </c>
      <c r="Y2502" t="s">
        <v>10305</v>
      </c>
      <c r="Z2502">
        <v>1</v>
      </c>
      <c r="AA2502">
        <v>3</v>
      </c>
      <c r="AB2502">
        <v>111</v>
      </c>
      <c r="AC2502">
        <v>3</v>
      </c>
      <c r="AF2502">
        <v>1973</v>
      </c>
      <c r="AG2502">
        <v>1994</v>
      </c>
      <c r="AH2502">
        <v>-1.6355198315038899</v>
      </c>
      <c r="AI2502">
        <v>230.45454545454501</v>
      </c>
      <c r="AJ2502">
        <v>10.755586727723101</v>
      </c>
      <c r="AK2502">
        <v>203.70909090909001</v>
      </c>
      <c r="AL2502">
        <v>2.1631034752725702</v>
      </c>
      <c r="AM2502">
        <v>7.6775562983668104</v>
      </c>
      <c r="AN2502">
        <v>-6.95</v>
      </c>
      <c r="AO2502" t="b">
        <v>0</v>
      </c>
      <c r="AT2502">
        <v>7580</v>
      </c>
      <c r="AU2502">
        <f t="shared" si="119"/>
        <v>20.766999999999999</v>
      </c>
    </row>
    <row r="2503" spans="1:47" x14ac:dyDescent="0.3">
      <c r="A2503">
        <v>2501</v>
      </c>
      <c r="B2503" t="s">
        <v>10306</v>
      </c>
      <c r="C2503" t="s">
        <v>10307</v>
      </c>
      <c r="D2503">
        <v>517</v>
      </c>
      <c r="E2503" t="s">
        <v>10300</v>
      </c>
      <c r="F2503" t="str">
        <f>VLOOKUP(E2503,country_continent!A:C,2,FALSE)</f>
        <v>Rwanda</v>
      </c>
      <c r="G2503" t="str">
        <f>VLOOKUP(E2503,country_continent!A:C,3,FALSE)</f>
        <v>Africa</v>
      </c>
      <c r="H2503" t="s">
        <v>10308</v>
      </c>
      <c r="I2503" s="1">
        <v>34430</v>
      </c>
      <c r="J2503" s="3">
        <f t="shared" si="117"/>
        <v>34430</v>
      </c>
      <c r="K2503" s="1">
        <v>34534</v>
      </c>
      <c r="L2503" s="3">
        <f t="shared" si="118"/>
        <v>34534</v>
      </c>
      <c r="M2503" t="s">
        <v>67</v>
      </c>
      <c r="N2503" t="s">
        <v>49</v>
      </c>
      <c r="O2503" t="s">
        <v>49</v>
      </c>
      <c r="P2503">
        <v>0</v>
      </c>
      <c r="Q2503" t="s">
        <v>362</v>
      </c>
      <c r="R2503" t="s">
        <v>51</v>
      </c>
      <c r="S2503">
        <v>1928</v>
      </c>
      <c r="T2503">
        <v>1998</v>
      </c>
      <c r="Z2503">
        <v>1</v>
      </c>
      <c r="AA2503">
        <v>1</v>
      </c>
      <c r="AB2503">
        <v>0</v>
      </c>
      <c r="AC2503">
        <v>1</v>
      </c>
      <c r="AF2503">
        <v>1994</v>
      </c>
      <c r="AG2503">
        <v>1994</v>
      </c>
      <c r="AH2503">
        <v>-41.540611602737002</v>
      </c>
      <c r="AI2503">
        <v>130</v>
      </c>
      <c r="AJ2503">
        <v>17.1913029027337</v>
      </c>
      <c r="AK2503">
        <v>389</v>
      </c>
      <c r="AL2503">
        <v>-16.128298269448202</v>
      </c>
      <c r="AM2503">
        <v>16.235677104375402</v>
      </c>
      <c r="AN2503">
        <v>-6</v>
      </c>
      <c r="AO2503" t="b">
        <v>0</v>
      </c>
      <c r="AT2503">
        <v>104</v>
      </c>
      <c r="AU2503">
        <f t="shared" si="119"/>
        <v>0.28499999999999998</v>
      </c>
    </row>
    <row r="2504" spans="1:47" x14ac:dyDescent="0.3">
      <c r="A2504">
        <v>2502</v>
      </c>
      <c r="B2504" t="s">
        <v>10309</v>
      </c>
      <c r="C2504" t="s">
        <v>10310</v>
      </c>
      <c r="D2504">
        <v>517</v>
      </c>
      <c r="E2504" t="s">
        <v>10300</v>
      </c>
      <c r="F2504" t="str">
        <f>VLOOKUP(E2504,country_continent!A:C,2,FALSE)</f>
        <v>Rwanda</v>
      </c>
      <c r="G2504" t="str">
        <f>VLOOKUP(E2504,country_continent!A:C,3,FALSE)</f>
        <v>Africa</v>
      </c>
      <c r="H2504" t="s">
        <v>10311</v>
      </c>
      <c r="I2504" s="1">
        <v>34534</v>
      </c>
      <c r="J2504" s="3">
        <f t="shared" si="117"/>
        <v>34534</v>
      </c>
      <c r="K2504" s="1">
        <v>42369</v>
      </c>
      <c r="L2504" s="3">
        <f t="shared" si="118"/>
        <v>42369</v>
      </c>
      <c r="M2504" t="s">
        <v>49</v>
      </c>
      <c r="N2504" t="s">
        <v>173</v>
      </c>
      <c r="O2504" t="s">
        <v>173</v>
      </c>
      <c r="P2504">
        <v>0</v>
      </c>
      <c r="Q2504" t="s">
        <v>174</v>
      </c>
      <c r="R2504" t="s">
        <v>51</v>
      </c>
      <c r="S2504">
        <v>1957</v>
      </c>
      <c r="T2504">
        <v>-777</v>
      </c>
      <c r="U2504" s="1">
        <v>21116</v>
      </c>
      <c r="V2504" s="2">
        <v>21116</v>
      </c>
      <c r="Y2504" t="s">
        <v>10312</v>
      </c>
      <c r="Z2504">
        <v>0</v>
      </c>
      <c r="AA2504">
        <v>-888</v>
      </c>
      <c r="AB2504">
        <v>-888</v>
      </c>
      <c r="AC2504">
        <v>-888</v>
      </c>
      <c r="AF2504">
        <v>1994</v>
      </c>
      <c r="AG2504">
        <v>2015</v>
      </c>
      <c r="AH2504">
        <v>5.0533015283639999</v>
      </c>
      <c r="AI2504">
        <v>396.36363636363598</v>
      </c>
      <c r="AJ2504">
        <v>9.3857901185300694</v>
      </c>
      <c r="AK2504">
        <v>135.172727272727</v>
      </c>
      <c r="AL2504">
        <v>1.7153139831726201</v>
      </c>
      <c r="AM2504">
        <v>7.9152654047994204</v>
      </c>
      <c r="AN2504">
        <v>-4.09</v>
      </c>
      <c r="AO2504" t="b">
        <v>0</v>
      </c>
      <c r="AT2504">
        <v>7835</v>
      </c>
      <c r="AU2504">
        <f t="shared" si="119"/>
        <v>21.466000000000001</v>
      </c>
    </row>
    <row r="2505" spans="1:47" x14ac:dyDescent="0.3">
      <c r="A2505">
        <v>2503</v>
      </c>
      <c r="B2505" t="s">
        <v>10313</v>
      </c>
      <c r="C2505" t="s">
        <v>10314</v>
      </c>
      <c r="D2505">
        <v>520</v>
      </c>
      <c r="E2505" t="s">
        <v>10315</v>
      </c>
      <c r="F2505" t="str">
        <f>VLOOKUP(E2505,country_continent!A:C,2,FALSE)</f>
        <v>Somalia</v>
      </c>
      <c r="G2505" t="str">
        <f>VLOOKUP(E2505,country_continent!A:C,3,FALSE)</f>
        <v>Africa</v>
      </c>
      <c r="H2505" t="s">
        <v>10316</v>
      </c>
      <c r="I2505" s="1">
        <v>22098</v>
      </c>
      <c r="J2505" s="3">
        <f t="shared" si="117"/>
        <v>22098</v>
      </c>
      <c r="K2505" s="1">
        <v>24663</v>
      </c>
      <c r="L2505" s="3">
        <f t="shared" si="118"/>
        <v>24663</v>
      </c>
      <c r="M2505" t="s">
        <v>49</v>
      </c>
      <c r="N2505" t="s">
        <v>49</v>
      </c>
      <c r="O2505" t="s">
        <v>49</v>
      </c>
      <c r="P2505">
        <v>0</v>
      </c>
      <c r="Q2505" t="s">
        <v>50</v>
      </c>
      <c r="R2505" t="s">
        <v>51</v>
      </c>
      <c r="S2505">
        <v>1908</v>
      </c>
      <c r="T2505">
        <v>2007</v>
      </c>
      <c r="W2505" s="1">
        <v>39241</v>
      </c>
      <c r="X2505" s="2">
        <v>39241</v>
      </c>
      <c r="Y2505" t="s">
        <v>10317</v>
      </c>
      <c r="Z2505">
        <v>0</v>
      </c>
      <c r="AA2505">
        <v>1</v>
      </c>
      <c r="AB2505">
        <v>0</v>
      </c>
      <c r="AC2505">
        <v>0</v>
      </c>
      <c r="AF2505">
        <v>1960</v>
      </c>
      <c r="AG2505">
        <v>1967</v>
      </c>
      <c r="AH2505">
        <v>-1.2456601512826799</v>
      </c>
      <c r="AI2505">
        <v>73.3333333333333</v>
      </c>
      <c r="AJ2505">
        <v>4.9610450193181803</v>
      </c>
      <c r="AL2505">
        <v>2.61675594166933</v>
      </c>
      <c r="AN2505">
        <v>7</v>
      </c>
      <c r="AO2505" t="b">
        <v>1</v>
      </c>
      <c r="AP2505" t="s">
        <v>4986</v>
      </c>
      <c r="AQ2505">
        <v>1960</v>
      </c>
      <c r="AR2505">
        <v>1976</v>
      </c>
      <c r="AS2505" t="s">
        <v>10318</v>
      </c>
      <c r="AT2505">
        <v>7.0225872689938402</v>
      </c>
      <c r="AU2505">
        <f t="shared" si="119"/>
        <v>1.9E-2</v>
      </c>
    </row>
    <row r="2506" spans="1:47" x14ac:dyDescent="0.3">
      <c r="A2506">
        <v>2504</v>
      </c>
      <c r="B2506" t="s">
        <v>10319</v>
      </c>
      <c r="C2506" t="s">
        <v>10320</v>
      </c>
      <c r="D2506">
        <v>520</v>
      </c>
      <c r="E2506" t="s">
        <v>10315</v>
      </c>
      <c r="F2506" t="str">
        <f>VLOOKUP(E2506,country_continent!A:C,2,FALSE)</f>
        <v>Somalia</v>
      </c>
      <c r="G2506" t="str">
        <f>VLOOKUP(E2506,country_continent!A:C,3,FALSE)</f>
        <v>Africa</v>
      </c>
      <c r="H2506" t="s">
        <v>10321</v>
      </c>
      <c r="I2506" s="1">
        <v>24663</v>
      </c>
      <c r="J2506" s="3">
        <f t="shared" si="117"/>
        <v>24663</v>
      </c>
      <c r="K2506" s="1">
        <v>25491</v>
      </c>
      <c r="L2506" s="3">
        <f t="shared" si="118"/>
        <v>25491</v>
      </c>
      <c r="M2506" t="s">
        <v>49</v>
      </c>
      <c r="N2506" t="s">
        <v>67</v>
      </c>
      <c r="O2506" t="s">
        <v>68</v>
      </c>
      <c r="P2506">
        <v>0</v>
      </c>
      <c r="Q2506" t="s">
        <v>69</v>
      </c>
      <c r="R2506" t="s">
        <v>51</v>
      </c>
      <c r="S2506">
        <v>1919</v>
      </c>
      <c r="T2506">
        <v>1969</v>
      </c>
      <c r="U2506" s="1">
        <v>7229</v>
      </c>
      <c r="V2506" s="2">
        <v>7229</v>
      </c>
      <c r="Y2506" t="s">
        <v>10322</v>
      </c>
      <c r="Z2506">
        <v>0</v>
      </c>
      <c r="AA2506">
        <v>3</v>
      </c>
      <c r="AB2506">
        <v>11</v>
      </c>
      <c r="AC2506">
        <v>3</v>
      </c>
      <c r="AF2506">
        <v>1967</v>
      </c>
      <c r="AG2506">
        <v>1969</v>
      </c>
      <c r="AH2506">
        <v>-0.55625486762151299</v>
      </c>
      <c r="AI2506">
        <v>80</v>
      </c>
      <c r="AJ2506">
        <v>3.1984488059570202</v>
      </c>
      <c r="AL2506">
        <v>2.6267675196212301</v>
      </c>
      <c r="AN2506">
        <v>2.33</v>
      </c>
      <c r="AO2506" t="b">
        <v>1</v>
      </c>
      <c r="AP2506" t="s">
        <v>4986</v>
      </c>
      <c r="AQ2506">
        <v>1960</v>
      </c>
      <c r="AR2506">
        <v>1976</v>
      </c>
      <c r="AS2506" t="s">
        <v>10323</v>
      </c>
      <c r="AT2506">
        <v>2.26694045174537</v>
      </c>
      <c r="AU2506">
        <f t="shared" si="119"/>
        <v>6.0000000000000001E-3</v>
      </c>
    </row>
    <row r="2507" spans="1:47" x14ac:dyDescent="0.3">
      <c r="A2507">
        <v>2505</v>
      </c>
      <c r="B2507" t="s">
        <v>10324</v>
      </c>
      <c r="C2507" t="s">
        <v>10325</v>
      </c>
      <c r="D2507">
        <v>520</v>
      </c>
      <c r="E2507" t="s">
        <v>10315</v>
      </c>
      <c r="F2507" t="str">
        <f>VLOOKUP(E2507,country_continent!A:C,2,FALSE)</f>
        <v>Somalia</v>
      </c>
      <c r="G2507" t="str">
        <f>VLOOKUP(E2507,country_continent!A:C,3,FALSE)</f>
        <v>Africa</v>
      </c>
      <c r="H2507" t="s">
        <v>10326</v>
      </c>
      <c r="I2507" s="1">
        <v>25497</v>
      </c>
      <c r="J2507" s="3">
        <f t="shared" si="117"/>
        <v>25497</v>
      </c>
      <c r="K2507" s="1">
        <v>33264</v>
      </c>
      <c r="L2507" s="3">
        <f t="shared" si="118"/>
        <v>33264</v>
      </c>
      <c r="M2507" t="s">
        <v>67</v>
      </c>
      <c r="N2507" t="s">
        <v>67</v>
      </c>
      <c r="O2507" t="s">
        <v>433</v>
      </c>
      <c r="P2507">
        <v>0</v>
      </c>
      <c r="Q2507" t="s">
        <v>362</v>
      </c>
      <c r="R2507" t="s">
        <v>51</v>
      </c>
      <c r="S2507">
        <v>1912</v>
      </c>
      <c r="T2507">
        <v>1995</v>
      </c>
      <c r="W2507" s="1">
        <v>34701</v>
      </c>
      <c r="X2507" s="2">
        <v>34701</v>
      </c>
      <c r="Y2507" t="s">
        <v>10327</v>
      </c>
      <c r="Z2507">
        <v>1</v>
      </c>
      <c r="AA2507">
        <v>3</v>
      </c>
      <c r="AB2507">
        <v>4</v>
      </c>
      <c r="AC2507">
        <v>1</v>
      </c>
      <c r="AF2507">
        <v>1969</v>
      </c>
      <c r="AG2507">
        <v>1991</v>
      </c>
      <c r="AH2507">
        <v>0.171791705185661</v>
      </c>
      <c r="AI2507">
        <v>128.26086956521701</v>
      </c>
      <c r="AJ2507">
        <v>38.453241753553002</v>
      </c>
      <c r="AK2507">
        <v>215.73</v>
      </c>
      <c r="AL2507">
        <v>2.83894573280653</v>
      </c>
      <c r="AM2507">
        <v>9.3291923293646803</v>
      </c>
      <c r="AN2507">
        <v>-6.7</v>
      </c>
      <c r="AO2507" t="b">
        <v>1</v>
      </c>
      <c r="AP2507" t="s">
        <v>4986</v>
      </c>
      <c r="AQ2507">
        <v>1960</v>
      </c>
      <c r="AR2507">
        <v>1976</v>
      </c>
      <c r="AS2507" t="s">
        <v>10328</v>
      </c>
      <c r="AT2507">
        <v>21.264887063654999</v>
      </c>
      <c r="AU2507">
        <f t="shared" si="119"/>
        <v>5.8000000000000003E-2</v>
      </c>
    </row>
    <row r="2508" spans="1:47" x14ac:dyDescent="0.3">
      <c r="A2508">
        <v>2506</v>
      </c>
      <c r="B2508" t="s">
        <v>10329</v>
      </c>
      <c r="C2508" t="s">
        <v>10330</v>
      </c>
      <c r="D2508">
        <v>520</v>
      </c>
      <c r="E2508" t="s">
        <v>10315</v>
      </c>
      <c r="F2508" t="str">
        <f>VLOOKUP(E2508,country_continent!A:C,2,FALSE)</f>
        <v>Somalia</v>
      </c>
      <c r="G2508" t="str">
        <f>VLOOKUP(E2508,country_continent!A:C,3,FALSE)</f>
        <v>Africa</v>
      </c>
      <c r="H2508" t="s">
        <v>10331</v>
      </c>
      <c r="I2508" s="1">
        <v>41168</v>
      </c>
      <c r="J2508" s="3">
        <f t="shared" si="117"/>
        <v>41168</v>
      </c>
      <c r="K2508" s="1">
        <v>42369</v>
      </c>
      <c r="L2508" s="3">
        <f t="shared" si="118"/>
        <v>42369</v>
      </c>
      <c r="M2508" t="s">
        <v>49</v>
      </c>
      <c r="N2508" t="s">
        <v>173</v>
      </c>
      <c r="O2508" t="s">
        <v>173</v>
      </c>
      <c r="P2508">
        <v>0</v>
      </c>
      <c r="Q2508" t="s">
        <v>174</v>
      </c>
      <c r="R2508" t="s">
        <v>51</v>
      </c>
      <c r="S2508">
        <v>1955</v>
      </c>
      <c r="T2508">
        <v>-777</v>
      </c>
      <c r="U2508" s="1">
        <v>20402</v>
      </c>
      <c r="V2508" s="2">
        <v>20402</v>
      </c>
      <c r="Z2508">
        <v>0</v>
      </c>
      <c r="AA2508">
        <v>-888</v>
      </c>
      <c r="AB2508">
        <v>-888</v>
      </c>
      <c r="AC2508">
        <v>-888</v>
      </c>
      <c r="AF2508">
        <v>2012</v>
      </c>
      <c r="AG2508">
        <v>2015</v>
      </c>
      <c r="AH2508">
        <v>6.2579397042134604</v>
      </c>
      <c r="AI2508">
        <v>367.5</v>
      </c>
      <c r="AJ2508">
        <v>2.79776608773542</v>
      </c>
      <c r="AK2508">
        <v>149.52500000000001</v>
      </c>
      <c r="AL2508">
        <v>2.79029270965651</v>
      </c>
      <c r="AM2508">
        <v>18.327044188498601</v>
      </c>
      <c r="AN2508">
        <v>5</v>
      </c>
      <c r="AO2508" t="b">
        <v>1</v>
      </c>
      <c r="AP2508" t="s">
        <v>4986</v>
      </c>
      <c r="AQ2508">
        <v>1960</v>
      </c>
      <c r="AR2508">
        <v>1976</v>
      </c>
      <c r="AS2508" t="s">
        <v>10332</v>
      </c>
      <c r="AT2508">
        <v>3.2881587953456499</v>
      </c>
      <c r="AU2508">
        <f t="shared" si="119"/>
        <v>8.9999999999999993E-3</v>
      </c>
    </row>
    <row r="2509" spans="1:47" x14ac:dyDescent="0.3">
      <c r="A2509">
        <v>2507</v>
      </c>
      <c r="B2509" t="s">
        <v>10333</v>
      </c>
      <c r="C2509" t="s">
        <v>10334</v>
      </c>
      <c r="D2509">
        <v>522</v>
      </c>
      <c r="E2509" t="s">
        <v>10335</v>
      </c>
      <c r="F2509" t="str">
        <f>VLOOKUP(E2509,country_continent!A:C,2,FALSE)</f>
        <v>Djibouti</v>
      </c>
      <c r="G2509" t="str">
        <f>VLOOKUP(E2509,country_continent!A:C,3,FALSE)</f>
        <v>Africa</v>
      </c>
      <c r="H2509" t="s">
        <v>10336</v>
      </c>
      <c r="I2509" s="1">
        <v>28303</v>
      </c>
      <c r="J2509" s="3">
        <f t="shared" si="117"/>
        <v>28303</v>
      </c>
      <c r="K2509" s="1">
        <v>36288</v>
      </c>
      <c r="L2509" s="3">
        <f t="shared" si="118"/>
        <v>36288</v>
      </c>
      <c r="M2509" t="s">
        <v>49</v>
      </c>
      <c r="N2509" t="s">
        <v>49</v>
      </c>
      <c r="O2509" t="s">
        <v>49</v>
      </c>
      <c r="P2509">
        <v>0</v>
      </c>
      <c r="Q2509" t="s">
        <v>50</v>
      </c>
      <c r="R2509" t="s">
        <v>51</v>
      </c>
      <c r="S2509">
        <v>1916</v>
      </c>
      <c r="T2509">
        <v>2006</v>
      </c>
      <c r="Y2509" t="s">
        <v>10337</v>
      </c>
      <c r="Z2509">
        <v>0</v>
      </c>
      <c r="AA2509">
        <v>1</v>
      </c>
      <c r="AB2509">
        <v>0</v>
      </c>
      <c r="AC2509">
        <v>0</v>
      </c>
      <c r="AD2509" t="s">
        <v>10338</v>
      </c>
      <c r="AE2509">
        <v>0</v>
      </c>
      <c r="AF2509">
        <v>1977</v>
      </c>
      <c r="AG2509">
        <v>1999</v>
      </c>
      <c r="AK2509">
        <v>126.826086956521</v>
      </c>
      <c r="AL2509">
        <v>4.9731039924666902</v>
      </c>
      <c r="AM2509">
        <v>0.54555391544572995</v>
      </c>
      <c r="AN2509">
        <v>-7.17</v>
      </c>
      <c r="AO2509" t="b">
        <v>0</v>
      </c>
      <c r="AT2509">
        <v>7985</v>
      </c>
      <c r="AU2509">
        <f t="shared" si="119"/>
        <v>21.876999999999999</v>
      </c>
    </row>
    <row r="2510" spans="1:47" x14ac:dyDescent="0.3">
      <c r="A2510">
        <v>2508</v>
      </c>
      <c r="B2510" t="s">
        <v>10339</v>
      </c>
      <c r="C2510" t="s">
        <v>10340</v>
      </c>
      <c r="D2510">
        <v>522</v>
      </c>
      <c r="E2510" t="s">
        <v>10335</v>
      </c>
      <c r="F2510" t="str">
        <f>VLOOKUP(E2510,country_continent!A:C,2,FALSE)</f>
        <v>Djibouti</v>
      </c>
      <c r="G2510" t="str">
        <f>VLOOKUP(E2510,country_continent!A:C,3,FALSE)</f>
        <v>Africa</v>
      </c>
      <c r="H2510" t="s">
        <v>10341</v>
      </c>
      <c r="I2510" s="1">
        <v>36288</v>
      </c>
      <c r="J2510" s="3">
        <f t="shared" si="117"/>
        <v>36288</v>
      </c>
      <c r="K2510" s="1">
        <v>42369</v>
      </c>
      <c r="L2510" s="3">
        <f t="shared" si="118"/>
        <v>42369</v>
      </c>
      <c r="M2510" t="s">
        <v>49</v>
      </c>
      <c r="N2510" t="s">
        <v>173</v>
      </c>
      <c r="O2510" t="s">
        <v>173</v>
      </c>
      <c r="P2510">
        <v>0</v>
      </c>
      <c r="Q2510" t="s">
        <v>174</v>
      </c>
      <c r="R2510" t="s">
        <v>51</v>
      </c>
      <c r="S2510">
        <v>1947</v>
      </c>
      <c r="T2510">
        <v>-777</v>
      </c>
      <c r="U2510" s="1">
        <v>17498</v>
      </c>
      <c r="V2510" s="2">
        <v>17498</v>
      </c>
      <c r="Z2510">
        <v>0</v>
      </c>
      <c r="AA2510">
        <v>-888</v>
      </c>
      <c r="AB2510">
        <v>-888</v>
      </c>
      <c r="AC2510">
        <v>-888</v>
      </c>
      <c r="AD2510" t="s">
        <v>10342</v>
      </c>
      <c r="AF2510">
        <v>1999</v>
      </c>
      <c r="AG2510">
        <v>2015</v>
      </c>
      <c r="AH2510">
        <v>5.3692742863877996</v>
      </c>
      <c r="AI2510">
        <v>2280</v>
      </c>
      <c r="AJ2510">
        <v>1.5345437764233101</v>
      </c>
      <c r="AK2510">
        <v>83.064705882352897</v>
      </c>
      <c r="AL2510">
        <v>2.2218266466533101</v>
      </c>
      <c r="AM2510">
        <v>0.62960932544025705</v>
      </c>
      <c r="AN2510">
        <v>1.82</v>
      </c>
      <c r="AO2510" t="b">
        <v>0</v>
      </c>
      <c r="AT2510">
        <v>6081</v>
      </c>
      <c r="AU2510">
        <f t="shared" si="119"/>
        <v>16.66</v>
      </c>
    </row>
    <row r="2511" spans="1:47" x14ac:dyDescent="0.3">
      <c r="A2511">
        <v>2509</v>
      </c>
      <c r="B2511" t="s">
        <v>10343</v>
      </c>
      <c r="C2511" t="s">
        <v>10344</v>
      </c>
      <c r="D2511">
        <v>530</v>
      </c>
      <c r="E2511" t="s">
        <v>10345</v>
      </c>
      <c r="F2511" t="str">
        <f>VLOOKUP(E2511,country_continent!A:C,2,FALSE)</f>
        <v>Ethiopia</v>
      </c>
      <c r="G2511" t="str">
        <f>VLOOKUP(E2511,country_continent!A:C,3,FALSE)</f>
        <v>Africa</v>
      </c>
      <c r="H2511" t="s">
        <v>10346</v>
      </c>
      <c r="I2511" t="s">
        <v>10347</v>
      </c>
      <c r="J2511" s="3" t="str">
        <f t="shared" si="117"/>
        <v>1871/07/11</v>
      </c>
      <c r="K2511" t="s">
        <v>10348</v>
      </c>
      <c r="L2511" s="3" t="str">
        <f t="shared" si="118"/>
        <v>1889/03/09</v>
      </c>
      <c r="M2511" t="s">
        <v>67</v>
      </c>
      <c r="N2511" t="s">
        <v>67</v>
      </c>
      <c r="O2511" t="s">
        <v>347</v>
      </c>
      <c r="P2511">
        <v>0</v>
      </c>
      <c r="Q2511" t="s">
        <v>69</v>
      </c>
      <c r="R2511" t="s">
        <v>51</v>
      </c>
      <c r="S2511">
        <v>1837</v>
      </c>
      <c r="T2511">
        <v>1889</v>
      </c>
      <c r="Z2511">
        <v>1</v>
      </c>
      <c r="AA2511">
        <v>3</v>
      </c>
      <c r="AB2511">
        <v>-999</v>
      </c>
      <c r="AC2511">
        <v>3</v>
      </c>
      <c r="AF2511">
        <v>1871</v>
      </c>
      <c r="AG2511">
        <v>1889</v>
      </c>
      <c r="AO2511" t="b">
        <v>1</v>
      </c>
      <c r="AP2511" t="s">
        <v>4986</v>
      </c>
      <c r="AQ2511">
        <v>1944</v>
      </c>
      <c r="AR2511">
        <v>1976</v>
      </c>
      <c r="AS2511" t="s">
        <v>10349</v>
      </c>
      <c r="AT2511">
        <v>17.661875427789099</v>
      </c>
      <c r="AU2511">
        <f t="shared" si="119"/>
        <v>4.8000000000000001E-2</v>
      </c>
    </row>
    <row r="2512" spans="1:47" x14ac:dyDescent="0.3">
      <c r="A2512">
        <v>2510</v>
      </c>
      <c r="B2512" t="s">
        <v>10350</v>
      </c>
      <c r="C2512" t="s">
        <v>10351</v>
      </c>
      <c r="D2512">
        <v>530</v>
      </c>
      <c r="E2512" t="s">
        <v>10345</v>
      </c>
      <c r="F2512" t="str">
        <f>VLOOKUP(E2512,country_continent!A:C,2,FALSE)</f>
        <v>Ethiopia</v>
      </c>
      <c r="G2512" t="str">
        <f>VLOOKUP(E2512,country_continent!A:C,3,FALSE)</f>
        <v>Africa</v>
      </c>
      <c r="H2512" t="s">
        <v>10352</v>
      </c>
      <c r="I2512" t="s">
        <v>10348</v>
      </c>
      <c r="J2512" s="3" t="str">
        <f t="shared" si="117"/>
        <v>1889/03/09</v>
      </c>
      <c r="K2512" s="1">
        <v>4153</v>
      </c>
      <c r="L2512" s="3">
        <f t="shared" si="118"/>
        <v>4153</v>
      </c>
      <c r="M2512" t="s">
        <v>67</v>
      </c>
      <c r="N2512" t="s">
        <v>110</v>
      </c>
      <c r="O2512" t="s">
        <v>49</v>
      </c>
      <c r="P2512">
        <v>0</v>
      </c>
      <c r="Q2512" t="s">
        <v>111</v>
      </c>
      <c r="R2512" t="s">
        <v>51</v>
      </c>
      <c r="S2512">
        <v>1844</v>
      </c>
      <c r="T2512">
        <v>1913</v>
      </c>
      <c r="U2512" t="s">
        <v>10353</v>
      </c>
      <c r="V2512" t="s">
        <v>10354</v>
      </c>
      <c r="W2512" s="1">
        <v>5095</v>
      </c>
      <c r="X2512" s="2">
        <v>5095</v>
      </c>
      <c r="Z2512">
        <v>1</v>
      </c>
      <c r="AA2512">
        <v>2</v>
      </c>
      <c r="AB2512">
        <v>0</v>
      </c>
      <c r="AC2512">
        <v>-777</v>
      </c>
      <c r="AF2512">
        <v>1889</v>
      </c>
      <c r="AG2512">
        <v>1911</v>
      </c>
      <c r="AO2512" t="b">
        <v>1</v>
      </c>
      <c r="AP2512" t="s">
        <v>4986</v>
      </c>
      <c r="AQ2512">
        <v>1944</v>
      </c>
      <c r="AR2512">
        <v>1976</v>
      </c>
      <c r="AS2512" t="s">
        <v>10355</v>
      </c>
      <c r="AT2512">
        <v>22.179329226557101</v>
      </c>
      <c r="AU2512">
        <f t="shared" si="119"/>
        <v>6.0999999999999999E-2</v>
      </c>
    </row>
    <row r="2513" spans="1:47" x14ac:dyDescent="0.3">
      <c r="A2513">
        <v>2511</v>
      </c>
      <c r="B2513" t="s">
        <v>10356</v>
      </c>
      <c r="C2513" t="s">
        <v>10357</v>
      </c>
      <c r="D2513">
        <v>530</v>
      </c>
      <c r="E2513" t="s">
        <v>10345</v>
      </c>
      <c r="F2513" t="str">
        <f>VLOOKUP(E2513,country_continent!A:C,2,FALSE)</f>
        <v>Ethiopia</v>
      </c>
      <c r="G2513" t="str">
        <f>VLOOKUP(E2513,country_continent!A:C,3,FALSE)</f>
        <v>Africa</v>
      </c>
      <c r="H2513" t="s">
        <v>10358</v>
      </c>
      <c r="I2513" s="1">
        <v>4153</v>
      </c>
      <c r="J2513" s="3">
        <f t="shared" si="117"/>
        <v>4153</v>
      </c>
      <c r="K2513" s="1">
        <v>6115</v>
      </c>
      <c r="L2513" s="3">
        <f t="shared" si="118"/>
        <v>6115</v>
      </c>
      <c r="M2513" t="s">
        <v>49</v>
      </c>
      <c r="N2513" t="s">
        <v>67</v>
      </c>
      <c r="O2513" t="s">
        <v>347</v>
      </c>
      <c r="P2513">
        <v>0</v>
      </c>
      <c r="Q2513" t="s">
        <v>463</v>
      </c>
      <c r="R2513" t="s">
        <v>51</v>
      </c>
      <c r="S2513">
        <v>1894</v>
      </c>
      <c r="T2513">
        <v>1935</v>
      </c>
      <c r="Z2513">
        <v>0</v>
      </c>
      <c r="AA2513">
        <v>3</v>
      </c>
      <c r="AB2513">
        <v>-999</v>
      </c>
      <c r="AC2513">
        <v>2</v>
      </c>
      <c r="AF2513">
        <v>1911</v>
      </c>
      <c r="AG2513">
        <v>1916</v>
      </c>
      <c r="AO2513" t="b">
        <v>1</v>
      </c>
      <c r="AP2513" t="s">
        <v>4986</v>
      </c>
      <c r="AQ2513">
        <v>1944</v>
      </c>
      <c r="AR2513">
        <v>1976</v>
      </c>
      <c r="AS2513" t="s">
        <v>10359</v>
      </c>
      <c r="AT2513">
        <v>5.3716632443531802</v>
      </c>
      <c r="AU2513">
        <f t="shared" si="119"/>
        <v>1.4999999999999999E-2</v>
      </c>
    </row>
    <row r="2514" spans="1:47" x14ac:dyDescent="0.3">
      <c r="A2514">
        <v>2512</v>
      </c>
      <c r="B2514" t="s">
        <v>10360</v>
      </c>
      <c r="C2514" t="s">
        <v>10361</v>
      </c>
      <c r="D2514">
        <v>530</v>
      </c>
      <c r="E2514" t="s">
        <v>10345</v>
      </c>
      <c r="F2514" t="str">
        <f>VLOOKUP(E2514,country_continent!A:C,2,FALSE)</f>
        <v>Ethiopia</v>
      </c>
      <c r="G2514" t="str">
        <f>VLOOKUP(E2514,country_continent!A:C,3,FALSE)</f>
        <v>Africa</v>
      </c>
      <c r="H2514" t="s">
        <v>10362</v>
      </c>
      <c r="I2514" s="1">
        <v>6115</v>
      </c>
      <c r="J2514" s="3">
        <f t="shared" si="117"/>
        <v>6115</v>
      </c>
      <c r="K2514" s="1">
        <v>11051</v>
      </c>
      <c r="L2514" s="3">
        <f t="shared" si="118"/>
        <v>11051</v>
      </c>
      <c r="M2514" t="s">
        <v>67</v>
      </c>
      <c r="N2514" t="s">
        <v>110</v>
      </c>
      <c r="O2514" t="s">
        <v>49</v>
      </c>
      <c r="P2514">
        <v>0</v>
      </c>
      <c r="Q2514" t="s">
        <v>111</v>
      </c>
      <c r="R2514" t="s">
        <v>51</v>
      </c>
      <c r="S2514">
        <v>1876</v>
      </c>
      <c r="T2514">
        <v>1930</v>
      </c>
      <c r="Z2514">
        <v>1</v>
      </c>
      <c r="AA2514">
        <v>2</v>
      </c>
      <c r="AB2514">
        <v>0</v>
      </c>
      <c r="AC2514">
        <v>-777</v>
      </c>
      <c r="AF2514">
        <v>1916</v>
      </c>
      <c r="AG2514">
        <v>1930</v>
      </c>
      <c r="AO2514" t="b">
        <v>1</v>
      </c>
      <c r="AP2514" t="s">
        <v>4986</v>
      </c>
      <c r="AQ2514">
        <v>1944</v>
      </c>
      <c r="AR2514">
        <v>1976</v>
      </c>
      <c r="AS2514" t="s">
        <v>10363</v>
      </c>
      <c r="AT2514">
        <v>13.514031485284001</v>
      </c>
      <c r="AU2514">
        <f t="shared" si="119"/>
        <v>3.6999999999999998E-2</v>
      </c>
    </row>
    <row r="2515" spans="1:47" x14ac:dyDescent="0.3">
      <c r="A2515">
        <v>2513</v>
      </c>
      <c r="B2515" t="s">
        <v>10364</v>
      </c>
      <c r="C2515" t="s">
        <v>10365</v>
      </c>
      <c r="D2515">
        <v>530</v>
      </c>
      <c r="E2515" t="s">
        <v>10345</v>
      </c>
      <c r="F2515" t="str">
        <f>VLOOKUP(E2515,country_continent!A:C,2,FALSE)</f>
        <v>Ethiopia</v>
      </c>
      <c r="G2515" t="str">
        <f>VLOOKUP(E2515,country_continent!A:C,3,FALSE)</f>
        <v>Africa</v>
      </c>
      <c r="H2515" t="s">
        <v>10366</v>
      </c>
      <c r="I2515" s="1">
        <v>11051</v>
      </c>
      <c r="J2515" s="3">
        <f t="shared" si="117"/>
        <v>11051</v>
      </c>
      <c r="K2515" s="1">
        <v>13285</v>
      </c>
      <c r="L2515" s="3">
        <f t="shared" si="118"/>
        <v>13285</v>
      </c>
      <c r="M2515" t="s">
        <v>49</v>
      </c>
      <c r="N2515" t="s">
        <v>633</v>
      </c>
      <c r="O2515" t="s">
        <v>634</v>
      </c>
      <c r="P2515">
        <v>0</v>
      </c>
      <c r="Q2515" t="s">
        <v>362</v>
      </c>
      <c r="R2515" t="s">
        <v>51</v>
      </c>
      <c r="S2515">
        <v>1892</v>
      </c>
      <c r="T2515">
        <v>1975</v>
      </c>
      <c r="U2515" t="s">
        <v>10367</v>
      </c>
      <c r="V2515" t="s">
        <v>10368</v>
      </c>
      <c r="W2515" s="1">
        <v>27633</v>
      </c>
      <c r="X2515" s="2">
        <v>27633</v>
      </c>
      <c r="Y2515" t="s">
        <v>10369</v>
      </c>
      <c r="Z2515">
        <v>0</v>
      </c>
      <c r="AA2515">
        <v>4</v>
      </c>
      <c r="AB2515">
        <v>9</v>
      </c>
      <c r="AC2515">
        <v>1</v>
      </c>
      <c r="AF2515">
        <v>1930</v>
      </c>
      <c r="AG2515">
        <v>1936</v>
      </c>
      <c r="AO2515" t="b">
        <v>1</v>
      </c>
      <c r="AP2515" t="s">
        <v>4986</v>
      </c>
      <c r="AQ2515">
        <v>1944</v>
      </c>
      <c r="AR2515">
        <v>1976</v>
      </c>
      <c r="AS2515" t="s">
        <v>10370</v>
      </c>
      <c r="AT2515">
        <v>6.1163586584531098</v>
      </c>
      <c r="AU2515">
        <f t="shared" si="119"/>
        <v>1.7000000000000001E-2</v>
      </c>
    </row>
    <row r="2516" spans="1:47" x14ac:dyDescent="0.3">
      <c r="A2516">
        <v>2514</v>
      </c>
      <c r="B2516" t="s">
        <v>10371</v>
      </c>
      <c r="C2516" t="s">
        <v>10372</v>
      </c>
      <c r="D2516">
        <v>530</v>
      </c>
      <c r="E2516" t="s">
        <v>10345</v>
      </c>
      <c r="F2516" t="str">
        <f>VLOOKUP(E2516,country_continent!A:C,2,FALSE)</f>
        <v>Ethiopia</v>
      </c>
      <c r="G2516" t="str">
        <f>VLOOKUP(E2516,country_continent!A:C,3,FALSE)</f>
        <v>Africa</v>
      </c>
      <c r="H2516" t="s">
        <v>10373</v>
      </c>
      <c r="I2516" s="1">
        <v>13285</v>
      </c>
      <c r="J2516" s="3">
        <f t="shared" si="117"/>
        <v>13285</v>
      </c>
      <c r="K2516" s="1">
        <v>15073</v>
      </c>
      <c r="L2516" s="3">
        <f t="shared" si="118"/>
        <v>15073</v>
      </c>
      <c r="M2516" t="s">
        <v>637</v>
      </c>
      <c r="N2516" t="s">
        <v>633</v>
      </c>
      <c r="O2516" t="s">
        <v>634</v>
      </c>
      <c r="P2516">
        <v>0</v>
      </c>
      <c r="Q2516" t="s">
        <v>50</v>
      </c>
      <c r="R2516" t="s">
        <v>51</v>
      </c>
      <c r="S2516">
        <v>-999</v>
      </c>
      <c r="T2516">
        <v>-999</v>
      </c>
      <c r="Z2516">
        <v>2</v>
      </c>
      <c r="AA2516">
        <v>4</v>
      </c>
      <c r="AB2516">
        <v>9</v>
      </c>
      <c r="AC2516">
        <v>0</v>
      </c>
      <c r="AF2516">
        <v>1936</v>
      </c>
      <c r="AG2516">
        <v>1941</v>
      </c>
      <c r="AO2516" t="b">
        <v>1</v>
      </c>
      <c r="AP2516" t="s">
        <v>4986</v>
      </c>
      <c r="AQ2516">
        <v>1944</v>
      </c>
      <c r="AR2516">
        <v>1976</v>
      </c>
      <c r="AS2516" t="s">
        <v>10374</v>
      </c>
      <c r="AT2516">
        <v>4.8952772073921897</v>
      </c>
      <c r="AU2516">
        <f t="shared" si="119"/>
        <v>1.2999999999999999E-2</v>
      </c>
    </row>
    <row r="2517" spans="1:47" x14ac:dyDescent="0.3">
      <c r="A2517">
        <v>2515</v>
      </c>
      <c r="B2517" t="s">
        <v>10375</v>
      </c>
      <c r="C2517" t="s">
        <v>10365</v>
      </c>
      <c r="D2517">
        <v>530</v>
      </c>
      <c r="E2517" t="s">
        <v>10345</v>
      </c>
      <c r="F2517" t="str">
        <f>VLOOKUP(E2517,country_continent!A:C,2,FALSE)</f>
        <v>Ethiopia</v>
      </c>
      <c r="G2517" t="str">
        <f>VLOOKUP(E2517,country_continent!A:C,3,FALSE)</f>
        <v>Africa</v>
      </c>
      <c r="H2517" t="s">
        <v>10366</v>
      </c>
      <c r="I2517" s="1">
        <v>15101</v>
      </c>
      <c r="J2517" s="3">
        <f t="shared" si="117"/>
        <v>15101</v>
      </c>
      <c r="K2517" s="1">
        <v>27284</v>
      </c>
      <c r="L2517" s="3">
        <f t="shared" si="118"/>
        <v>27284</v>
      </c>
      <c r="M2517" t="s">
        <v>637</v>
      </c>
      <c r="N2517" t="s">
        <v>67</v>
      </c>
      <c r="O2517" t="s">
        <v>376</v>
      </c>
      <c r="P2517">
        <v>1</v>
      </c>
      <c r="Q2517" t="s">
        <v>463</v>
      </c>
      <c r="R2517" t="s">
        <v>51</v>
      </c>
      <c r="S2517">
        <v>1892</v>
      </c>
      <c r="T2517">
        <v>1975</v>
      </c>
      <c r="U2517" t="s">
        <v>10367</v>
      </c>
      <c r="V2517" t="s">
        <v>10368</v>
      </c>
      <c r="W2517" s="1">
        <v>27633</v>
      </c>
      <c r="X2517" s="2">
        <v>27633</v>
      </c>
      <c r="Y2517" t="s">
        <v>10369</v>
      </c>
      <c r="Z2517">
        <v>2</v>
      </c>
      <c r="AA2517">
        <v>3</v>
      </c>
      <c r="AB2517">
        <v>6</v>
      </c>
      <c r="AC2517">
        <v>2</v>
      </c>
      <c r="AF2517">
        <v>1941</v>
      </c>
      <c r="AG2517">
        <v>1974</v>
      </c>
      <c r="AH2517">
        <v>1.7325644363971699</v>
      </c>
      <c r="AI2517">
        <v>107.5</v>
      </c>
      <c r="AJ2517">
        <v>1.99576359569129</v>
      </c>
      <c r="AK2517">
        <v>254.81111111111099</v>
      </c>
      <c r="AL2517">
        <v>2.6450481934437202</v>
      </c>
      <c r="AN2517">
        <v>-8.69</v>
      </c>
      <c r="AO2517" t="b">
        <v>1</v>
      </c>
      <c r="AP2517" t="s">
        <v>4986</v>
      </c>
      <c r="AQ2517">
        <v>1944</v>
      </c>
      <c r="AR2517">
        <v>1976</v>
      </c>
      <c r="AS2517" t="s">
        <v>10376</v>
      </c>
      <c r="AT2517">
        <v>33.3552361396303</v>
      </c>
      <c r="AU2517">
        <f t="shared" si="119"/>
        <v>9.0999999999999998E-2</v>
      </c>
    </row>
    <row r="2518" spans="1:47" x14ac:dyDescent="0.3">
      <c r="A2518">
        <v>2516</v>
      </c>
      <c r="B2518" t="s">
        <v>10377</v>
      </c>
      <c r="C2518" t="s">
        <v>10378</v>
      </c>
      <c r="D2518">
        <v>530</v>
      </c>
      <c r="E2518" t="s">
        <v>10345</v>
      </c>
      <c r="F2518" t="str">
        <f>VLOOKUP(E2518,country_continent!A:C,2,FALSE)</f>
        <v>Ethiopia</v>
      </c>
      <c r="G2518" t="str">
        <f>VLOOKUP(E2518,country_continent!A:C,3,FALSE)</f>
        <v>Africa</v>
      </c>
      <c r="H2518" t="s">
        <v>10379</v>
      </c>
      <c r="I2518" s="1">
        <v>27284</v>
      </c>
      <c r="J2518" s="3">
        <f t="shared" si="117"/>
        <v>27284</v>
      </c>
      <c r="K2518" s="1">
        <v>27356</v>
      </c>
      <c r="L2518" s="3">
        <f t="shared" si="118"/>
        <v>27356</v>
      </c>
      <c r="M2518" t="s">
        <v>67</v>
      </c>
      <c r="N2518" t="s">
        <v>67</v>
      </c>
      <c r="O2518" t="s">
        <v>389</v>
      </c>
      <c r="P2518">
        <v>0</v>
      </c>
      <c r="Q2518" t="s">
        <v>69</v>
      </c>
      <c r="R2518" t="s">
        <v>51</v>
      </c>
      <c r="S2518">
        <v>1924</v>
      </c>
      <c r="T2518">
        <v>1974</v>
      </c>
      <c r="Z2518">
        <v>1</v>
      </c>
      <c r="AA2518">
        <v>3</v>
      </c>
      <c r="AB2518">
        <v>16</v>
      </c>
      <c r="AC2518">
        <v>3</v>
      </c>
      <c r="AF2518">
        <v>1974</v>
      </c>
      <c r="AG2518">
        <v>1974</v>
      </c>
      <c r="AH2518">
        <v>0.63658536181065895</v>
      </c>
      <c r="AI2518">
        <v>160</v>
      </c>
      <c r="AJ2518">
        <v>7.3929989072960298</v>
      </c>
      <c r="AK2518">
        <v>283.10000000000002</v>
      </c>
      <c r="AL2518">
        <v>2.58664787647727</v>
      </c>
      <c r="AN2518">
        <v>0</v>
      </c>
      <c r="AO2518" t="b">
        <v>1</v>
      </c>
      <c r="AP2518" t="s">
        <v>4986</v>
      </c>
      <c r="AQ2518">
        <v>1944</v>
      </c>
      <c r="AR2518">
        <v>1976</v>
      </c>
      <c r="AS2518" t="s">
        <v>10380</v>
      </c>
      <c r="AT2518">
        <v>0.197125256673511</v>
      </c>
      <c r="AU2518">
        <f t="shared" si="119"/>
        <v>1E-3</v>
      </c>
    </row>
    <row r="2519" spans="1:47" x14ac:dyDescent="0.3">
      <c r="A2519">
        <v>2517</v>
      </c>
      <c r="B2519" t="s">
        <v>10381</v>
      </c>
      <c r="C2519" t="s">
        <v>10382</v>
      </c>
      <c r="D2519">
        <v>530</v>
      </c>
      <c r="E2519" t="s">
        <v>10345</v>
      </c>
      <c r="F2519" t="str">
        <f>VLOOKUP(E2519,country_continent!A:C,2,FALSE)</f>
        <v>Ethiopia</v>
      </c>
      <c r="G2519" t="str">
        <f>VLOOKUP(E2519,country_continent!A:C,3,FALSE)</f>
        <v>Africa</v>
      </c>
      <c r="H2519" t="s">
        <v>10383</v>
      </c>
      <c r="I2519" s="1">
        <v>27361</v>
      </c>
      <c r="J2519" s="3">
        <f t="shared" si="117"/>
        <v>27361</v>
      </c>
      <c r="K2519" s="1">
        <v>28159</v>
      </c>
      <c r="L2519" s="3">
        <f t="shared" si="118"/>
        <v>28159</v>
      </c>
      <c r="M2519" t="s">
        <v>49</v>
      </c>
      <c r="N2519" t="s">
        <v>67</v>
      </c>
      <c r="O2519" t="s">
        <v>376</v>
      </c>
      <c r="P2519">
        <v>0</v>
      </c>
      <c r="Q2519" t="s">
        <v>69</v>
      </c>
      <c r="R2519" t="s">
        <v>51</v>
      </c>
      <c r="S2519">
        <v>1921</v>
      </c>
      <c r="T2519">
        <v>1977</v>
      </c>
      <c r="Z2519">
        <v>0</v>
      </c>
      <c r="AA2519">
        <v>3</v>
      </c>
      <c r="AB2519">
        <v>6</v>
      </c>
      <c r="AC2519">
        <v>3</v>
      </c>
      <c r="AF2519">
        <v>1974</v>
      </c>
      <c r="AG2519">
        <v>1977</v>
      </c>
      <c r="AH2519">
        <v>-0.53612171476288795</v>
      </c>
      <c r="AI2519">
        <v>165</v>
      </c>
      <c r="AJ2519">
        <v>6.32487023026217</v>
      </c>
      <c r="AK2519">
        <v>263.64999999999998</v>
      </c>
      <c r="AL2519">
        <v>2.3705530476038899</v>
      </c>
      <c r="AN2519">
        <v>-5.25</v>
      </c>
      <c r="AO2519" t="b">
        <v>1</v>
      </c>
      <c r="AP2519" t="s">
        <v>4986</v>
      </c>
      <c r="AQ2519">
        <v>1944</v>
      </c>
      <c r="AR2519">
        <v>1976</v>
      </c>
      <c r="AS2519" t="s">
        <v>10384</v>
      </c>
      <c r="AT2519">
        <v>2.1848049281314101</v>
      </c>
      <c r="AU2519">
        <f t="shared" si="119"/>
        <v>6.0000000000000001E-3</v>
      </c>
    </row>
    <row r="2520" spans="1:47" x14ac:dyDescent="0.3">
      <c r="A2520">
        <v>2518</v>
      </c>
      <c r="B2520" t="s">
        <v>10385</v>
      </c>
      <c r="C2520" t="s">
        <v>10386</v>
      </c>
      <c r="D2520">
        <v>530</v>
      </c>
      <c r="E2520" t="s">
        <v>10345</v>
      </c>
      <c r="F2520" t="str">
        <f>VLOOKUP(E2520,country_continent!A:C,2,FALSE)</f>
        <v>Ethiopia</v>
      </c>
      <c r="G2520" t="str">
        <f>VLOOKUP(E2520,country_continent!A:C,3,FALSE)</f>
        <v>Africa</v>
      </c>
      <c r="H2520" t="s">
        <v>10387</v>
      </c>
      <c r="I2520" s="1">
        <v>28167</v>
      </c>
      <c r="J2520" s="3">
        <f t="shared" si="117"/>
        <v>28167</v>
      </c>
      <c r="K2520" s="1">
        <v>33379</v>
      </c>
      <c r="L2520" s="3">
        <f t="shared" si="118"/>
        <v>33379</v>
      </c>
      <c r="M2520" t="s">
        <v>49</v>
      </c>
      <c r="N2520" t="s">
        <v>67</v>
      </c>
      <c r="O2520" t="s">
        <v>433</v>
      </c>
      <c r="P2520">
        <v>0</v>
      </c>
      <c r="Q2520" t="s">
        <v>362</v>
      </c>
      <c r="R2520" t="s">
        <v>51</v>
      </c>
      <c r="S2520">
        <v>1937</v>
      </c>
      <c r="T2520">
        <v>-777</v>
      </c>
      <c r="Z2520">
        <v>0</v>
      </c>
      <c r="AA2520">
        <v>3</v>
      </c>
      <c r="AB2520">
        <v>4</v>
      </c>
      <c r="AC2520">
        <v>1</v>
      </c>
      <c r="AF2520">
        <v>1977</v>
      </c>
      <c r="AG2520">
        <v>1991</v>
      </c>
      <c r="AH2520">
        <v>-0.85367783741801695</v>
      </c>
      <c r="AI2520">
        <v>229.333333333333</v>
      </c>
      <c r="AJ2520">
        <v>5.5922227085260996</v>
      </c>
      <c r="AK2520">
        <v>247.159999999999</v>
      </c>
      <c r="AL2520">
        <v>2.8270157673604102</v>
      </c>
      <c r="AM2520">
        <v>11.2270860881823</v>
      </c>
      <c r="AN2520">
        <v>-7</v>
      </c>
      <c r="AO2520" t="b">
        <v>1</v>
      </c>
      <c r="AP2520" t="s">
        <v>4986</v>
      </c>
      <c r="AQ2520">
        <v>1944</v>
      </c>
      <c r="AR2520">
        <v>1976</v>
      </c>
      <c r="AS2520" t="s">
        <v>10388</v>
      </c>
      <c r="AT2520">
        <v>14.269678302532499</v>
      </c>
      <c r="AU2520">
        <f t="shared" si="119"/>
        <v>3.9E-2</v>
      </c>
    </row>
    <row r="2521" spans="1:47" x14ac:dyDescent="0.3">
      <c r="A2521">
        <v>2519</v>
      </c>
      <c r="B2521" t="s">
        <v>10389</v>
      </c>
      <c r="C2521" t="s">
        <v>10390</v>
      </c>
      <c r="D2521">
        <v>530</v>
      </c>
      <c r="E2521" t="s">
        <v>10345</v>
      </c>
      <c r="F2521" t="str">
        <f>VLOOKUP(E2521,country_continent!A:C,2,FALSE)</f>
        <v>Ethiopia</v>
      </c>
      <c r="G2521" t="str">
        <f>VLOOKUP(E2521,country_continent!A:C,3,FALSE)</f>
        <v>Africa</v>
      </c>
      <c r="H2521" t="s">
        <v>10391</v>
      </c>
      <c r="I2521" s="1">
        <v>33379</v>
      </c>
      <c r="J2521" s="3">
        <f t="shared" si="117"/>
        <v>33379</v>
      </c>
      <c r="K2521" s="1">
        <v>33385</v>
      </c>
      <c r="L2521" s="3">
        <f t="shared" si="118"/>
        <v>33385</v>
      </c>
      <c r="M2521" t="s">
        <v>49</v>
      </c>
      <c r="N2521" t="s">
        <v>67</v>
      </c>
      <c r="O2521" t="s">
        <v>433</v>
      </c>
      <c r="P2521">
        <v>0</v>
      </c>
      <c r="Q2521" t="s">
        <v>362</v>
      </c>
      <c r="R2521" t="s">
        <v>51</v>
      </c>
      <c r="S2521">
        <v>1935</v>
      </c>
      <c r="T2521">
        <v>2004</v>
      </c>
      <c r="Z2521">
        <v>0</v>
      </c>
      <c r="AA2521">
        <v>3</v>
      </c>
      <c r="AB2521">
        <v>4</v>
      </c>
      <c r="AC2521">
        <v>1</v>
      </c>
      <c r="AF2521">
        <v>1991</v>
      </c>
      <c r="AG2521">
        <v>1991</v>
      </c>
      <c r="AH2521">
        <v>-11.073793013184901</v>
      </c>
      <c r="AI2521">
        <v>250</v>
      </c>
      <c r="AJ2521">
        <v>19.084290228341199</v>
      </c>
      <c r="AK2521">
        <v>196.7</v>
      </c>
      <c r="AL2521">
        <v>4.3313232247711904</v>
      </c>
      <c r="AM2521">
        <v>11.232102264326899</v>
      </c>
      <c r="AN2521">
        <v>0</v>
      </c>
      <c r="AO2521" t="b">
        <v>1</v>
      </c>
      <c r="AP2521" t="s">
        <v>4986</v>
      </c>
      <c r="AQ2521">
        <v>1944</v>
      </c>
      <c r="AR2521">
        <v>1976</v>
      </c>
      <c r="AS2521" t="s">
        <v>10392</v>
      </c>
      <c r="AT2521">
        <v>1.6427104722792601E-2</v>
      </c>
      <c r="AU2521">
        <f t="shared" si="119"/>
        <v>0</v>
      </c>
    </row>
    <row r="2522" spans="1:47" x14ac:dyDescent="0.3">
      <c r="A2522">
        <v>2520</v>
      </c>
      <c r="B2522" t="s">
        <v>10393</v>
      </c>
      <c r="C2522" t="s">
        <v>10394</v>
      </c>
      <c r="D2522">
        <v>530</v>
      </c>
      <c r="E2522" t="s">
        <v>10345</v>
      </c>
      <c r="F2522" t="str">
        <f>VLOOKUP(E2522,country_continent!A:C,2,FALSE)</f>
        <v>Ethiopia</v>
      </c>
      <c r="G2522" t="str">
        <f>VLOOKUP(E2522,country_continent!A:C,3,FALSE)</f>
        <v>Africa</v>
      </c>
      <c r="H2522" t="s">
        <v>10395</v>
      </c>
      <c r="I2522" s="1">
        <v>33385</v>
      </c>
      <c r="J2522" s="3">
        <f t="shared" si="117"/>
        <v>33385</v>
      </c>
      <c r="K2522" s="1">
        <v>41141</v>
      </c>
      <c r="L2522" s="3">
        <f t="shared" si="118"/>
        <v>41141</v>
      </c>
      <c r="M2522" t="s">
        <v>67</v>
      </c>
      <c r="N2522" t="s">
        <v>110</v>
      </c>
      <c r="O2522" t="s">
        <v>49</v>
      </c>
      <c r="P2522">
        <v>0</v>
      </c>
      <c r="Q2522" t="s">
        <v>111</v>
      </c>
      <c r="R2522" t="s">
        <v>51</v>
      </c>
      <c r="S2522">
        <v>1955</v>
      </c>
      <c r="T2522">
        <v>2012</v>
      </c>
      <c r="U2522" s="1">
        <v>20324</v>
      </c>
      <c r="V2522" s="2">
        <v>20324</v>
      </c>
      <c r="W2522" s="1">
        <v>41141</v>
      </c>
      <c r="X2522" s="2">
        <v>41141</v>
      </c>
      <c r="Z2522">
        <v>1</v>
      </c>
      <c r="AA2522">
        <v>2</v>
      </c>
      <c r="AB2522">
        <v>0</v>
      </c>
      <c r="AC2522">
        <v>-777</v>
      </c>
      <c r="AF2522">
        <v>1991</v>
      </c>
      <c r="AG2522">
        <v>2012</v>
      </c>
      <c r="AH2522">
        <v>2.9347553549658598</v>
      </c>
      <c r="AI2522">
        <v>203.636363636363</v>
      </c>
      <c r="AJ2522">
        <v>10.3820979079095</v>
      </c>
      <c r="AK2522">
        <v>132.481818181818</v>
      </c>
      <c r="AL2522">
        <v>3.1782369868857301</v>
      </c>
      <c r="AM2522">
        <v>21.524253405399399</v>
      </c>
      <c r="AN2522">
        <v>-0.55000000000000004</v>
      </c>
      <c r="AO2522" t="b">
        <v>1</v>
      </c>
      <c r="AP2522" t="s">
        <v>4986</v>
      </c>
      <c r="AQ2522">
        <v>1944</v>
      </c>
      <c r="AR2522">
        <v>1976</v>
      </c>
      <c r="AS2522" t="s">
        <v>10396</v>
      </c>
      <c r="AT2522">
        <v>21.2347707049965</v>
      </c>
      <c r="AU2522">
        <f t="shared" si="119"/>
        <v>5.8000000000000003E-2</v>
      </c>
    </row>
    <row r="2523" spans="1:47" x14ac:dyDescent="0.3">
      <c r="A2523">
        <v>2521</v>
      </c>
      <c r="B2523" t="s">
        <v>10397</v>
      </c>
      <c r="C2523" t="s">
        <v>10398</v>
      </c>
      <c r="D2523">
        <v>530</v>
      </c>
      <c r="E2523" t="s">
        <v>10345</v>
      </c>
      <c r="F2523" t="str">
        <f>VLOOKUP(E2523,country_continent!A:C,2,FALSE)</f>
        <v>Ethiopia</v>
      </c>
      <c r="G2523" t="str">
        <f>VLOOKUP(E2523,country_continent!A:C,3,FALSE)</f>
        <v>Africa</v>
      </c>
      <c r="H2523" t="s">
        <v>10399</v>
      </c>
      <c r="I2523" s="1">
        <v>41141</v>
      </c>
      <c r="J2523" s="3">
        <f t="shared" si="117"/>
        <v>41141</v>
      </c>
      <c r="K2523" s="1">
        <v>42369</v>
      </c>
      <c r="L2523" s="3">
        <f t="shared" si="118"/>
        <v>42369</v>
      </c>
      <c r="M2523" t="s">
        <v>49</v>
      </c>
      <c r="N2523" t="s">
        <v>173</v>
      </c>
      <c r="O2523" t="s">
        <v>173</v>
      </c>
      <c r="P2523">
        <v>0</v>
      </c>
      <c r="Q2523" t="s">
        <v>174</v>
      </c>
      <c r="R2523" t="s">
        <v>51</v>
      </c>
      <c r="S2523">
        <v>1965</v>
      </c>
      <c r="T2523">
        <v>-777</v>
      </c>
      <c r="U2523" s="1">
        <v>23941</v>
      </c>
      <c r="V2523" s="2">
        <v>23941</v>
      </c>
      <c r="Z2523">
        <v>0</v>
      </c>
      <c r="AA2523">
        <v>-888</v>
      </c>
      <c r="AB2523">
        <v>-888</v>
      </c>
      <c r="AC2523">
        <v>-888</v>
      </c>
      <c r="AF2523">
        <v>2012</v>
      </c>
      <c r="AG2523">
        <v>2015</v>
      </c>
      <c r="AH2523">
        <v>7.0167634178367599</v>
      </c>
      <c r="AI2523">
        <v>490</v>
      </c>
      <c r="AJ2523">
        <v>15.0654288467295</v>
      </c>
      <c r="AK2523">
        <v>70</v>
      </c>
      <c r="AL2523">
        <v>2.72254398294608</v>
      </c>
      <c r="AM2523">
        <v>13.6290716743122</v>
      </c>
      <c r="AN2523">
        <v>-3</v>
      </c>
      <c r="AO2523" t="b">
        <v>1</v>
      </c>
      <c r="AP2523" t="s">
        <v>4986</v>
      </c>
      <c r="AQ2523">
        <v>1944</v>
      </c>
      <c r="AR2523">
        <v>1976</v>
      </c>
      <c r="AS2523" t="s">
        <v>10400</v>
      </c>
      <c r="AT2523">
        <v>3.3620807665982202</v>
      </c>
      <c r="AU2523">
        <f t="shared" si="119"/>
        <v>8.9999999999999993E-3</v>
      </c>
    </row>
    <row r="2524" spans="1:47" x14ac:dyDescent="0.3">
      <c r="A2524">
        <v>2522</v>
      </c>
      <c r="B2524" t="s">
        <v>10401</v>
      </c>
      <c r="C2524" t="s">
        <v>10402</v>
      </c>
      <c r="D2524">
        <v>531</v>
      </c>
      <c r="E2524" t="s">
        <v>10403</v>
      </c>
      <c r="F2524" t="str">
        <f>VLOOKUP(E2524,country_continent!A:C,2,FALSE)</f>
        <v>Eritrea</v>
      </c>
      <c r="G2524" t="str">
        <f>VLOOKUP(E2524,country_continent!A:C,3,FALSE)</f>
        <v>Africa</v>
      </c>
      <c r="H2524" t="s">
        <v>10404</v>
      </c>
      <c r="I2524" s="1">
        <v>34113</v>
      </c>
      <c r="J2524" s="3">
        <f t="shared" si="117"/>
        <v>34113</v>
      </c>
      <c r="K2524" s="1">
        <v>42369</v>
      </c>
      <c r="L2524" s="3">
        <f t="shared" si="118"/>
        <v>42369</v>
      </c>
      <c r="M2524" t="s">
        <v>49</v>
      </c>
      <c r="N2524" t="s">
        <v>173</v>
      </c>
      <c r="O2524" t="s">
        <v>173</v>
      </c>
      <c r="P2524">
        <v>0</v>
      </c>
      <c r="Q2524" t="s">
        <v>174</v>
      </c>
      <c r="R2524" t="s">
        <v>51</v>
      </c>
      <c r="S2524">
        <v>1946</v>
      </c>
      <c r="T2524">
        <v>-777</v>
      </c>
      <c r="U2524" s="1">
        <v>16835</v>
      </c>
      <c r="V2524" s="2">
        <v>16835</v>
      </c>
      <c r="Z2524">
        <v>0</v>
      </c>
      <c r="AA2524">
        <v>-888</v>
      </c>
      <c r="AB2524">
        <v>-888</v>
      </c>
      <c r="AC2524">
        <v>-888</v>
      </c>
      <c r="AF2524">
        <v>1993</v>
      </c>
      <c r="AG2524">
        <v>2015</v>
      </c>
      <c r="AH2524">
        <v>1.02632035167827</v>
      </c>
      <c r="AI2524">
        <v>386.666666666666</v>
      </c>
      <c r="AJ2524">
        <v>11.6490028901926</v>
      </c>
      <c r="AK2524">
        <v>77.447826086956496</v>
      </c>
      <c r="AL2524">
        <v>2.3743420782674201</v>
      </c>
      <c r="AM2524">
        <v>6.0469310869294004</v>
      </c>
      <c r="AN2524">
        <v>-6.65</v>
      </c>
      <c r="AO2524" t="b">
        <v>0</v>
      </c>
      <c r="AT2524">
        <v>8256</v>
      </c>
      <c r="AU2524">
        <f t="shared" si="119"/>
        <v>22.619</v>
      </c>
    </row>
    <row r="2525" spans="1:47" x14ac:dyDescent="0.3">
      <c r="A2525">
        <v>2523</v>
      </c>
      <c r="B2525" t="s">
        <v>10405</v>
      </c>
      <c r="C2525" t="s">
        <v>10406</v>
      </c>
      <c r="D2525">
        <v>540</v>
      </c>
      <c r="E2525" t="s">
        <v>10407</v>
      </c>
      <c r="F2525" t="str">
        <f>VLOOKUP(E2525,country_continent!A:C,2,FALSE)</f>
        <v>Angola</v>
      </c>
      <c r="G2525" t="str">
        <f>VLOOKUP(E2525,country_continent!A:C,3,FALSE)</f>
        <v>Africa</v>
      </c>
      <c r="H2525" t="s">
        <v>10408</v>
      </c>
      <c r="I2525" s="1">
        <v>27709</v>
      </c>
      <c r="J2525" s="3">
        <f t="shared" si="117"/>
        <v>27709</v>
      </c>
      <c r="K2525" s="1">
        <v>29108</v>
      </c>
      <c r="L2525" s="3">
        <f t="shared" si="118"/>
        <v>29108</v>
      </c>
      <c r="M2525" t="s">
        <v>67</v>
      </c>
      <c r="N2525" t="s">
        <v>110</v>
      </c>
      <c r="O2525" t="s">
        <v>49</v>
      </c>
      <c r="P2525">
        <v>0</v>
      </c>
      <c r="Q2525" t="s">
        <v>111</v>
      </c>
      <c r="R2525" t="s">
        <v>51</v>
      </c>
      <c r="S2525">
        <v>1922</v>
      </c>
      <c r="T2525">
        <v>1979</v>
      </c>
      <c r="U2525" s="1">
        <v>8296</v>
      </c>
      <c r="V2525" s="2">
        <v>8296</v>
      </c>
      <c r="W2525" s="1">
        <v>29108</v>
      </c>
      <c r="X2525" s="2">
        <v>29108</v>
      </c>
      <c r="Y2525" t="s">
        <v>10409</v>
      </c>
      <c r="Z2525">
        <v>1</v>
      </c>
      <c r="AA2525">
        <v>2</v>
      </c>
      <c r="AB2525">
        <v>0</v>
      </c>
      <c r="AC2525">
        <v>-777</v>
      </c>
      <c r="AF2525">
        <v>1975</v>
      </c>
      <c r="AG2525">
        <v>1979</v>
      </c>
      <c r="AO2525" t="b">
        <v>0</v>
      </c>
      <c r="AT2525">
        <v>1399</v>
      </c>
      <c r="AU2525">
        <f t="shared" si="119"/>
        <v>3.8330000000000002</v>
      </c>
    </row>
    <row r="2526" spans="1:47" x14ac:dyDescent="0.3">
      <c r="A2526">
        <v>2524</v>
      </c>
      <c r="B2526" t="s">
        <v>10410</v>
      </c>
      <c r="C2526" t="s">
        <v>10411</v>
      </c>
      <c r="D2526">
        <v>540</v>
      </c>
      <c r="E2526" t="s">
        <v>10407</v>
      </c>
      <c r="F2526" t="str">
        <f>VLOOKUP(E2526,country_continent!A:C,2,FALSE)</f>
        <v>Angola</v>
      </c>
      <c r="G2526" t="str">
        <f>VLOOKUP(E2526,country_continent!A:C,3,FALSE)</f>
        <v>Africa</v>
      </c>
      <c r="H2526" t="s">
        <v>10412</v>
      </c>
      <c r="I2526" s="1">
        <v>29108</v>
      </c>
      <c r="J2526" s="3">
        <f t="shared" si="117"/>
        <v>29108</v>
      </c>
      <c r="K2526" s="1">
        <v>42369</v>
      </c>
      <c r="L2526" s="3">
        <f t="shared" si="118"/>
        <v>42369</v>
      </c>
      <c r="M2526" t="s">
        <v>49</v>
      </c>
      <c r="N2526" t="s">
        <v>173</v>
      </c>
      <c r="O2526" t="s">
        <v>173</v>
      </c>
      <c r="P2526">
        <v>0</v>
      </c>
      <c r="Q2526" t="s">
        <v>174</v>
      </c>
      <c r="R2526" t="s">
        <v>51</v>
      </c>
      <c r="S2526">
        <v>1942</v>
      </c>
      <c r="T2526">
        <v>-777</v>
      </c>
      <c r="U2526" s="1">
        <v>15581</v>
      </c>
      <c r="V2526" s="2">
        <v>15581</v>
      </c>
      <c r="Y2526" t="s">
        <v>10413</v>
      </c>
      <c r="Z2526">
        <v>0</v>
      </c>
      <c r="AA2526">
        <v>-888</v>
      </c>
      <c r="AB2526">
        <v>-888</v>
      </c>
      <c r="AC2526">
        <v>-888</v>
      </c>
      <c r="AF2526">
        <v>1979</v>
      </c>
      <c r="AG2526">
        <v>2015</v>
      </c>
      <c r="AO2526" t="b">
        <v>0</v>
      </c>
      <c r="AT2526">
        <v>13261</v>
      </c>
      <c r="AU2526">
        <f t="shared" si="119"/>
        <v>36.332000000000001</v>
      </c>
    </row>
    <row r="2527" spans="1:47" x14ac:dyDescent="0.3">
      <c r="A2527">
        <v>2525</v>
      </c>
      <c r="B2527" t="s">
        <v>10414</v>
      </c>
      <c r="C2527" t="s">
        <v>10415</v>
      </c>
      <c r="D2527">
        <v>541</v>
      </c>
      <c r="E2527" t="s">
        <v>10416</v>
      </c>
      <c r="F2527" t="str">
        <f>VLOOKUP(E2527,country_continent!A:C,2,FALSE)</f>
        <v>Mozambique</v>
      </c>
      <c r="G2527" t="str">
        <f>VLOOKUP(E2527,country_continent!A:C,3,FALSE)</f>
        <v>Africa</v>
      </c>
      <c r="H2527" t="s">
        <v>10417</v>
      </c>
      <c r="I2527" s="1">
        <v>27570</v>
      </c>
      <c r="J2527" s="3">
        <f t="shared" si="117"/>
        <v>27570</v>
      </c>
      <c r="K2527" s="1">
        <v>31704</v>
      </c>
      <c r="L2527" s="3">
        <f t="shared" si="118"/>
        <v>31704</v>
      </c>
      <c r="M2527" t="s">
        <v>67</v>
      </c>
      <c r="N2527" t="s">
        <v>110</v>
      </c>
      <c r="O2527" t="s">
        <v>49</v>
      </c>
      <c r="P2527">
        <v>0</v>
      </c>
      <c r="Q2527" t="s">
        <v>111</v>
      </c>
      <c r="R2527" t="s">
        <v>51</v>
      </c>
      <c r="S2527">
        <v>1933</v>
      </c>
      <c r="T2527">
        <v>1986</v>
      </c>
      <c r="U2527" s="1">
        <v>12326</v>
      </c>
      <c r="V2527" s="2">
        <v>12326</v>
      </c>
      <c r="W2527" s="1">
        <v>31704</v>
      </c>
      <c r="X2527" s="2">
        <v>31704</v>
      </c>
      <c r="Y2527" t="s">
        <v>10418</v>
      </c>
      <c r="Z2527">
        <v>1</v>
      </c>
      <c r="AA2527">
        <v>2</v>
      </c>
      <c r="AB2527">
        <v>0</v>
      </c>
      <c r="AC2527">
        <v>-777</v>
      </c>
      <c r="AF2527">
        <v>1975</v>
      </c>
      <c r="AG2527">
        <v>1986</v>
      </c>
      <c r="AO2527" t="b">
        <v>1</v>
      </c>
      <c r="AP2527" t="s">
        <v>4986</v>
      </c>
      <c r="AQ2527">
        <v>1975</v>
      </c>
      <c r="AR2527">
        <v>2016</v>
      </c>
      <c r="AS2527" t="s">
        <v>10419</v>
      </c>
      <c r="AT2527">
        <v>11.3182751540041</v>
      </c>
      <c r="AU2527">
        <f t="shared" si="119"/>
        <v>3.1E-2</v>
      </c>
    </row>
    <row r="2528" spans="1:47" x14ac:dyDescent="0.3">
      <c r="A2528">
        <v>2526</v>
      </c>
      <c r="B2528" t="s">
        <v>10420</v>
      </c>
      <c r="C2528" t="s">
        <v>10421</v>
      </c>
      <c r="D2528">
        <v>541</v>
      </c>
      <c r="E2528" t="s">
        <v>10416</v>
      </c>
      <c r="F2528" t="str">
        <f>VLOOKUP(E2528,country_continent!A:C,2,FALSE)</f>
        <v>Mozambique</v>
      </c>
      <c r="G2528" t="str">
        <f>VLOOKUP(E2528,country_continent!A:C,3,FALSE)</f>
        <v>Africa</v>
      </c>
      <c r="H2528" t="s">
        <v>10422</v>
      </c>
      <c r="I2528" s="1">
        <v>31722</v>
      </c>
      <c r="J2528" s="3">
        <f t="shared" si="117"/>
        <v>31722</v>
      </c>
      <c r="K2528" s="1">
        <v>38385</v>
      </c>
      <c r="L2528" s="3">
        <f t="shared" si="118"/>
        <v>38385</v>
      </c>
      <c r="M2528" t="s">
        <v>49</v>
      </c>
      <c r="N2528" t="s">
        <v>49</v>
      </c>
      <c r="O2528" t="s">
        <v>49</v>
      </c>
      <c r="P2528">
        <v>0</v>
      </c>
      <c r="Q2528" t="s">
        <v>50</v>
      </c>
      <c r="R2528" t="s">
        <v>51</v>
      </c>
      <c r="S2528">
        <v>1939</v>
      </c>
      <c r="T2528">
        <v>-777</v>
      </c>
      <c r="U2528" s="1">
        <v>14520</v>
      </c>
      <c r="V2528" s="2">
        <v>14520</v>
      </c>
      <c r="Z2528">
        <v>0</v>
      </c>
      <c r="AA2528">
        <v>1</v>
      </c>
      <c r="AB2528">
        <v>0</v>
      </c>
      <c r="AC2528">
        <v>0</v>
      </c>
      <c r="AF2528">
        <v>1986</v>
      </c>
      <c r="AG2528">
        <v>2005</v>
      </c>
      <c r="AO2528" t="b">
        <v>1</v>
      </c>
      <c r="AP2528" t="s">
        <v>4986</v>
      </c>
      <c r="AQ2528">
        <v>1975</v>
      </c>
      <c r="AR2528">
        <v>2016</v>
      </c>
      <c r="AS2528" t="s">
        <v>10423</v>
      </c>
      <c r="AT2528">
        <v>18.242299794661101</v>
      </c>
      <c r="AU2528">
        <f t="shared" si="119"/>
        <v>0.05</v>
      </c>
    </row>
    <row r="2529" spans="1:47" x14ac:dyDescent="0.3">
      <c r="A2529">
        <v>2527</v>
      </c>
      <c r="B2529" t="s">
        <v>10424</v>
      </c>
      <c r="C2529" t="s">
        <v>10425</v>
      </c>
      <c r="D2529">
        <v>541</v>
      </c>
      <c r="E2529" t="s">
        <v>10416</v>
      </c>
      <c r="F2529" t="str">
        <f>VLOOKUP(E2529,country_continent!A:C,2,FALSE)</f>
        <v>Mozambique</v>
      </c>
      <c r="G2529" t="str">
        <f>VLOOKUP(E2529,country_continent!A:C,3,FALSE)</f>
        <v>Africa</v>
      </c>
      <c r="H2529" t="s">
        <v>10426</v>
      </c>
      <c r="I2529" s="1">
        <v>38385</v>
      </c>
      <c r="J2529" s="3">
        <f t="shared" si="117"/>
        <v>38385</v>
      </c>
      <c r="K2529" s="1">
        <v>42019</v>
      </c>
      <c r="L2529" s="3">
        <f t="shared" si="118"/>
        <v>42019</v>
      </c>
      <c r="M2529" t="s">
        <v>49</v>
      </c>
      <c r="N2529" t="s">
        <v>49</v>
      </c>
      <c r="O2529" t="s">
        <v>49</v>
      </c>
      <c r="P2529">
        <v>0</v>
      </c>
      <c r="Q2529" t="s">
        <v>312</v>
      </c>
      <c r="R2529" t="s">
        <v>51</v>
      </c>
      <c r="S2529">
        <v>1942</v>
      </c>
      <c r="T2529">
        <v>-777</v>
      </c>
      <c r="U2529" s="1">
        <v>15361</v>
      </c>
      <c r="V2529" s="2">
        <v>15361</v>
      </c>
      <c r="Z2529">
        <v>0</v>
      </c>
      <c r="AA2529">
        <v>1</v>
      </c>
      <c r="AB2529">
        <v>0</v>
      </c>
      <c r="AC2529">
        <v>-999</v>
      </c>
      <c r="AF2529">
        <v>2005</v>
      </c>
      <c r="AG2529">
        <v>2015</v>
      </c>
      <c r="AO2529" t="b">
        <v>1</v>
      </c>
      <c r="AP2529" t="s">
        <v>4986</v>
      </c>
      <c r="AQ2529">
        <v>1975</v>
      </c>
      <c r="AR2529">
        <v>2016</v>
      </c>
      <c r="AS2529" t="s">
        <v>10427</v>
      </c>
      <c r="AT2529">
        <v>9.9493497604380501</v>
      </c>
      <c r="AU2529">
        <f t="shared" si="119"/>
        <v>2.7E-2</v>
      </c>
    </row>
    <row r="2530" spans="1:47" x14ac:dyDescent="0.3">
      <c r="A2530">
        <v>2528</v>
      </c>
      <c r="B2530" t="s">
        <v>10428</v>
      </c>
      <c r="C2530" t="s">
        <v>10429</v>
      </c>
      <c r="D2530">
        <v>541</v>
      </c>
      <c r="E2530" t="s">
        <v>10416</v>
      </c>
      <c r="F2530" t="str">
        <f>VLOOKUP(E2530,country_continent!A:C,2,FALSE)</f>
        <v>Mozambique</v>
      </c>
      <c r="G2530" t="str">
        <f>VLOOKUP(E2530,country_continent!A:C,3,FALSE)</f>
        <v>Africa</v>
      </c>
      <c r="H2530" t="s">
        <v>10430</v>
      </c>
      <c r="I2530" s="1">
        <v>42019</v>
      </c>
      <c r="J2530" s="3">
        <f t="shared" si="117"/>
        <v>42019</v>
      </c>
      <c r="K2530" s="1">
        <v>42369</v>
      </c>
      <c r="L2530" s="3">
        <f t="shared" si="118"/>
        <v>42369</v>
      </c>
      <c r="M2530" t="s">
        <v>49</v>
      </c>
      <c r="N2530" t="s">
        <v>173</v>
      </c>
      <c r="O2530" t="s">
        <v>173</v>
      </c>
      <c r="P2530">
        <v>0</v>
      </c>
      <c r="Q2530" t="s">
        <v>174</v>
      </c>
      <c r="R2530" t="s">
        <v>51</v>
      </c>
      <c r="S2530">
        <v>1959</v>
      </c>
      <c r="T2530">
        <v>-777</v>
      </c>
      <c r="U2530" s="1">
        <v>21590</v>
      </c>
      <c r="V2530" s="2">
        <v>21590</v>
      </c>
      <c r="Z2530">
        <v>0</v>
      </c>
      <c r="AA2530">
        <v>-888</v>
      </c>
      <c r="AB2530">
        <v>-888</v>
      </c>
      <c r="AC2530">
        <v>-888</v>
      </c>
      <c r="AF2530">
        <v>2015</v>
      </c>
      <c r="AG2530">
        <v>2015</v>
      </c>
      <c r="AO2530" t="b">
        <v>1</v>
      </c>
      <c r="AP2530" t="s">
        <v>4986</v>
      </c>
      <c r="AQ2530">
        <v>1975</v>
      </c>
      <c r="AR2530">
        <v>2016</v>
      </c>
      <c r="AS2530" t="s">
        <v>10431</v>
      </c>
      <c r="AT2530">
        <v>0.95824777549623497</v>
      </c>
      <c r="AU2530">
        <f t="shared" si="119"/>
        <v>3.0000000000000001E-3</v>
      </c>
    </row>
    <row r="2531" spans="1:47" x14ac:dyDescent="0.3">
      <c r="A2531">
        <v>2529</v>
      </c>
      <c r="B2531" t="s">
        <v>10432</v>
      </c>
      <c r="C2531" t="s">
        <v>10433</v>
      </c>
      <c r="D2531">
        <v>551</v>
      </c>
      <c r="E2531" t="s">
        <v>10434</v>
      </c>
      <c r="F2531" t="str">
        <f>VLOOKUP(E2531,country_continent!A:C,2,FALSE)</f>
        <v>Zambia</v>
      </c>
      <c r="G2531" t="str">
        <f>VLOOKUP(E2531,country_continent!A:C,3,FALSE)</f>
        <v>Africa</v>
      </c>
      <c r="H2531" t="s">
        <v>10435</v>
      </c>
      <c r="I2531" s="1">
        <v>23674</v>
      </c>
      <c r="J2531" s="3">
        <f t="shared" si="117"/>
        <v>23674</v>
      </c>
      <c r="K2531" s="1">
        <v>33544</v>
      </c>
      <c r="L2531" s="3">
        <f t="shared" si="118"/>
        <v>33544</v>
      </c>
      <c r="M2531" t="s">
        <v>49</v>
      </c>
      <c r="N2531" t="s">
        <v>49</v>
      </c>
      <c r="O2531" t="s">
        <v>49</v>
      </c>
      <c r="P2531">
        <v>0</v>
      </c>
      <c r="Q2531" t="s">
        <v>50</v>
      </c>
      <c r="R2531" t="s">
        <v>51</v>
      </c>
      <c r="S2531">
        <v>1924</v>
      </c>
      <c r="T2531">
        <v>-777</v>
      </c>
      <c r="U2531" s="1">
        <v>8885</v>
      </c>
      <c r="V2531" s="2">
        <v>8885</v>
      </c>
      <c r="Y2531" t="s">
        <v>10436</v>
      </c>
      <c r="Z2531">
        <v>0</v>
      </c>
      <c r="AA2531">
        <v>1</v>
      </c>
      <c r="AB2531">
        <v>0</v>
      </c>
      <c r="AC2531">
        <v>0</v>
      </c>
      <c r="AF2531">
        <v>1964</v>
      </c>
      <c r="AG2531">
        <v>1991</v>
      </c>
      <c r="AO2531" t="b">
        <v>1</v>
      </c>
      <c r="AP2531" t="s">
        <v>6291</v>
      </c>
      <c r="AQ2531">
        <v>1964</v>
      </c>
      <c r="AR2531">
        <v>1974</v>
      </c>
      <c r="AS2531" t="s">
        <v>10437</v>
      </c>
      <c r="AT2531">
        <v>27.022587268993799</v>
      </c>
      <c r="AU2531">
        <f t="shared" si="119"/>
        <v>7.3999999999999996E-2</v>
      </c>
    </row>
    <row r="2532" spans="1:47" x14ac:dyDescent="0.3">
      <c r="A2532">
        <v>2530</v>
      </c>
      <c r="B2532" t="s">
        <v>10438</v>
      </c>
      <c r="C2532" t="s">
        <v>10439</v>
      </c>
      <c r="D2532">
        <v>551</v>
      </c>
      <c r="E2532" t="s">
        <v>10434</v>
      </c>
      <c r="F2532" t="str">
        <f>VLOOKUP(E2532,country_continent!A:C,2,FALSE)</f>
        <v>Zambia</v>
      </c>
      <c r="G2532" t="str">
        <f>VLOOKUP(E2532,country_continent!A:C,3,FALSE)</f>
        <v>Africa</v>
      </c>
      <c r="H2532" t="s">
        <v>10440</v>
      </c>
      <c r="I2532" s="1">
        <v>33544</v>
      </c>
      <c r="J2532" s="3">
        <f t="shared" si="117"/>
        <v>33544</v>
      </c>
      <c r="K2532" s="1">
        <v>37258</v>
      </c>
      <c r="L2532" s="3">
        <f t="shared" si="118"/>
        <v>37258</v>
      </c>
      <c r="M2532" t="s">
        <v>49</v>
      </c>
      <c r="N2532" t="s">
        <v>49</v>
      </c>
      <c r="O2532" t="s">
        <v>49</v>
      </c>
      <c r="P2532">
        <v>0</v>
      </c>
      <c r="Q2532" t="s">
        <v>50</v>
      </c>
      <c r="R2532" t="s">
        <v>51</v>
      </c>
      <c r="S2532">
        <v>1943</v>
      </c>
      <c r="T2532">
        <v>-777</v>
      </c>
      <c r="U2532" s="1">
        <v>15826</v>
      </c>
      <c r="V2532" s="2">
        <v>15826</v>
      </c>
      <c r="Y2532" t="s">
        <v>10441</v>
      </c>
      <c r="Z2532">
        <v>0</v>
      </c>
      <c r="AA2532">
        <v>1</v>
      </c>
      <c r="AB2532">
        <v>0</v>
      </c>
      <c r="AC2532">
        <v>0</v>
      </c>
      <c r="AF2532">
        <v>1991</v>
      </c>
      <c r="AG2532">
        <v>2002</v>
      </c>
      <c r="AO2532" t="b">
        <v>1</v>
      </c>
      <c r="AP2532" t="s">
        <v>6291</v>
      </c>
      <c r="AQ2532">
        <v>1964</v>
      </c>
      <c r="AR2532">
        <v>1974</v>
      </c>
      <c r="AS2532" t="s">
        <v>10442</v>
      </c>
      <c r="AT2532">
        <v>10.1683778234086</v>
      </c>
      <c r="AU2532">
        <f t="shared" si="119"/>
        <v>2.8000000000000001E-2</v>
      </c>
    </row>
    <row r="2533" spans="1:47" x14ac:dyDescent="0.3">
      <c r="A2533">
        <v>2531</v>
      </c>
      <c r="B2533" t="s">
        <v>10443</v>
      </c>
      <c r="C2533" t="s">
        <v>10444</v>
      </c>
      <c r="D2533">
        <v>551</v>
      </c>
      <c r="E2533" t="s">
        <v>10434</v>
      </c>
      <c r="F2533" t="str">
        <f>VLOOKUP(E2533,country_continent!A:C,2,FALSE)</f>
        <v>Zambia</v>
      </c>
      <c r="G2533" t="str">
        <f>VLOOKUP(E2533,country_continent!A:C,3,FALSE)</f>
        <v>Africa</v>
      </c>
      <c r="H2533" t="s">
        <v>10445</v>
      </c>
      <c r="I2533" s="1">
        <v>37259</v>
      </c>
      <c r="J2533" s="3">
        <f t="shared" si="117"/>
        <v>37259</v>
      </c>
      <c r="K2533" s="1">
        <v>39628</v>
      </c>
      <c r="L2533" s="3">
        <f t="shared" si="118"/>
        <v>39628</v>
      </c>
      <c r="M2533" t="s">
        <v>49</v>
      </c>
      <c r="N2533" t="s">
        <v>228</v>
      </c>
      <c r="O2533" t="s">
        <v>49</v>
      </c>
      <c r="P2533">
        <v>0</v>
      </c>
      <c r="Q2533" t="s">
        <v>111</v>
      </c>
      <c r="R2533" t="s">
        <v>51</v>
      </c>
      <c r="S2533">
        <v>1948</v>
      </c>
      <c r="T2533">
        <v>2008</v>
      </c>
      <c r="U2533" s="1">
        <v>17779</v>
      </c>
      <c r="V2533" s="2">
        <v>17779</v>
      </c>
      <c r="W2533" s="1">
        <v>39679</v>
      </c>
      <c r="X2533" s="2">
        <v>39679</v>
      </c>
      <c r="Y2533" t="s">
        <v>10446</v>
      </c>
      <c r="Z2533">
        <v>0</v>
      </c>
      <c r="AA2533">
        <v>2.0999998999999998</v>
      </c>
      <c r="AB2533">
        <v>0</v>
      </c>
      <c r="AC2533">
        <v>-777</v>
      </c>
      <c r="AF2533">
        <v>2002</v>
      </c>
      <c r="AG2533">
        <v>2008</v>
      </c>
      <c r="AO2533" t="b">
        <v>1</v>
      </c>
      <c r="AP2533" t="s">
        <v>6291</v>
      </c>
      <c r="AQ2533">
        <v>1964</v>
      </c>
      <c r="AR2533">
        <v>1974</v>
      </c>
      <c r="AS2533" t="s">
        <v>10447</v>
      </c>
      <c r="AT2533">
        <v>6.4859685147159398</v>
      </c>
      <c r="AU2533">
        <f t="shared" si="119"/>
        <v>1.7999999999999999E-2</v>
      </c>
    </row>
    <row r="2534" spans="1:47" x14ac:dyDescent="0.3">
      <c r="A2534">
        <v>2532</v>
      </c>
      <c r="B2534" t="s">
        <v>10448</v>
      </c>
      <c r="C2534" t="s">
        <v>10449</v>
      </c>
      <c r="D2534">
        <v>551</v>
      </c>
      <c r="E2534" t="s">
        <v>10434</v>
      </c>
      <c r="F2534" t="str">
        <f>VLOOKUP(E2534,country_continent!A:C,2,FALSE)</f>
        <v>Zambia</v>
      </c>
      <c r="G2534" t="str">
        <f>VLOOKUP(E2534,country_continent!A:C,3,FALSE)</f>
        <v>Africa</v>
      </c>
      <c r="H2534" t="s">
        <v>10450</v>
      </c>
      <c r="I2534" s="1">
        <v>39628</v>
      </c>
      <c r="J2534" s="3">
        <f t="shared" si="117"/>
        <v>39628</v>
      </c>
      <c r="K2534" s="1">
        <v>40809</v>
      </c>
      <c r="L2534" s="3">
        <f t="shared" si="118"/>
        <v>40809</v>
      </c>
      <c r="M2534" t="s">
        <v>49</v>
      </c>
      <c r="N2534" t="s">
        <v>49</v>
      </c>
      <c r="O2534" t="s">
        <v>49</v>
      </c>
      <c r="P2534">
        <v>0</v>
      </c>
      <c r="Q2534" t="s">
        <v>50</v>
      </c>
      <c r="R2534" t="s">
        <v>51</v>
      </c>
      <c r="S2534">
        <v>1937</v>
      </c>
      <c r="T2534">
        <v>-777</v>
      </c>
      <c r="Z2534">
        <v>0</v>
      </c>
      <c r="AA2534">
        <v>1</v>
      </c>
      <c r="AB2534">
        <v>0</v>
      </c>
      <c r="AC2534">
        <v>0</v>
      </c>
      <c r="AF2534">
        <v>2008</v>
      </c>
      <c r="AG2534">
        <v>2011</v>
      </c>
      <c r="AO2534" t="b">
        <v>1</v>
      </c>
      <c r="AP2534" t="s">
        <v>6291</v>
      </c>
      <c r="AQ2534">
        <v>1964</v>
      </c>
      <c r="AR2534">
        <v>1974</v>
      </c>
      <c r="AS2534" t="s">
        <v>10451</v>
      </c>
      <c r="AT2534">
        <v>3.2334017796030099</v>
      </c>
      <c r="AU2534">
        <f t="shared" si="119"/>
        <v>8.9999999999999993E-3</v>
      </c>
    </row>
    <row r="2535" spans="1:47" x14ac:dyDescent="0.3">
      <c r="A2535">
        <v>2533</v>
      </c>
      <c r="B2535" t="s">
        <v>10452</v>
      </c>
      <c r="C2535" t="s">
        <v>10453</v>
      </c>
      <c r="D2535">
        <v>551</v>
      </c>
      <c r="E2535" t="s">
        <v>10434</v>
      </c>
      <c r="F2535" t="str">
        <f>VLOOKUP(E2535,country_continent!A:C,2,FALSE)</f>
        <v>Zambia</v>
      </c>
      <c r="G2535" t="str">
        <f>VLOOKUP(E2535,country_continent!A:C,3,FALSE)</f>
        <v>Africa</v>
      </c>
      <c r="H2535" t="s">
        <v>10454</v>
      </c>
      <c r="I2535" s="1">
        <v>40809</v>
      </c>
      <c r="J2535" s="3">
        <f t="shared" si="117"/>
        <v>40809</v>
      </c>
      <c r="K2535" s="1">
        <v>41940</v>
      </c>
      <c r="L2535" s="3">
        <f t="shared" si="118"/>
        <v>41940</v>
      </c>
      <c r="M2535" t="s">
        <v>49</v>
      </c>
      <c r="N2535" t="s">
        <v>110</v>
      </c>
      <c r="O2535" t="s">
        <v>49</v>
      </c>
      <c r="P2535">
        <v>0</v>
      </c>
      <c r="Q2535" t="s">
        <v>111</v>
      </c>
      <c r="R2535" t="s">
        <v>51</v>
      </c>
      <c r="S2535">
        <v>1937</v>
      </c>
      <c r="T2535">
        <v>2014</v>
      </c>
      <c r="U2535" s="1">
        <v>13702</v>
      </c>
      <c r="V2535" s="2">
        <v>13702</v>
      </c>
      <c r="W2535" s="1">
        <v>41940</v>
      </c>
      <c r="X2535" s="2">
        <v>41940</v>
      </c>
      <c r="Z2535">
        <v>0</v>
      </c>
      <c r="AA2535">
        <v>2</v>
      </c>
      <c r="AB2535">
        <v>0</v>
      </c>
      <c r="AC2535">
        <v>-777</v>
      </c>
      <c r="AF2535">
        <v>2011</v>
      </c>
      <c r="AG2535">
        <v>2014</v>
      </c>
      <c r="AO2535" t="b">
        <v>1</v>
      </c>
      <c r="AP2535" t="s">
        <v>6291</v>
      </c>
      <c r="AQ2535">
        <v>1964</v>
      </c>
      <c r="AR2535">
        <v>1974</v>
      </c>
      <c r="AS2535" t="s">
        <v>10455</v>
      </c>
      <c r="AT2535">
        <v>3.0965092402463998</v>
      </c>
      <c r="AU2535">
        <f t="shared" si="119"/>
        <v>8.0000000000000002E-3</v>
      </c>
    </row>
    <row r="2536" spans="1:47" x14ac:dyDescent="0.3">
      <c r="A2536">
        <v>2534</v>
      </c>
      <c r="B2536" t="s">
        <v>10456</v>
      </c>
      <c r="C2536" t="s">
        <v>10457</v>
      </c>
      <c r="D2536">
        <v>551</v>
      </c>
      <c r="E2536" t="s">
        <v>10434</v>
      </c>
      <c r="F2536" t="str">
        <f>VLOOKUP(E2536,country_continent!A:C,2,FALSE)</f>
        <v>Zambia</v>
      </c>
      <c r="G2536" t="str">
        <f>VLOOKUP(E2536,country_continent!A:C,3,FALSE)</f>
        <v>Africa</v>
      </c>
      <c r="H2536" t="s">
        <v>10458</v>
      </c>
      <c r="I2536" s="1">
        <v>41941</v>
      </c>
      <c r="J2536" s="3">
        <f t="shared" si="117"/>
        <v>41941</v>
      </c>
      <c r="K2536" s="1">
        <v>42029</v>
      </c>
      <c r="L2536" s="3">
        <f t="shared" si="118"/>
        <v>42029</v>
      </c>
      <c r="M2536" t="s">
        <v>49</v>
      </c>
      <c r="N2536" t="s">
        <v>49</v>
      </c>
      <c r="O2536" t="s">
        <v>49</v>
      </c>
      <c r="P2536">
        <v>0</v>
      </c>
      <c r="Q2536" t="s">
        <v>312</v>
      </c>
      <c r="R2536" t="s">
        <v>51</v>
      </c>
      <c r="S2536">
        <v>1944</v>
      </c>
      <c r="T2536">
        <v>-777</v>
      </c>
      <c r="U2536" s="1">
        <v>16224</v>
      </c>
      <c r="V2536" s="2">
        <v>16224</v>
      </c>
      <c r="Z2536">
        <v>0</v>
      </c>
      <c r="AA2536">
        <v>1</v>
      </c>
      <c r="AB2536">
        <v>0</v>
      </c>
      <c r="AC2536">
        <v>-999</v>
      </c>
      <c r="AF2536">
        <v>2014</v>
      </c>
      <c r="AG2536">
        <v>2015</v>
      </c>
      <c r="AO2536" t="b">
        <v>1</v>
      </c>
      <c r="AP2536" t="s">
        <v>6291</v>
      </c>
      <c r="AQ2536">
        <v>1964</v>
      </c>
      <c r="AR2536">
        <v>1974</v>
      </c>
      <c r="AS2536" t="s">
        <v>10459</v>
      </c>
      <c r="AT2536">
        <v>0.240930869267624</v>
      </c>
      <c r="AU2536">
        <f t="shared" si="119"/>
        <v>1E-3</v>
      </c>
    </row>
    <row r="2537" spans="1:47" x14ac:dyDescent="0.3">
      <c r="A2537">
        <v>2535</v>
      </c>
      <c r="B2537" t="s">
        <v>10460</v>
      </c>
      <c r="C2537" t="s">
        <v>10461</v>
      </c>
      <c r="D2537">
        <v>551</v>
      </c>
      <c r="E2537" t="s">
        <v>10434</v>
      </c>
      <c r="F2537" t="str">
        <f>VLOOKUP(E2537,country_continent!A:C,2,FALSE)</f>
        <v>Zambia</v>
      </c>
      <c r="G2537" t="str">
        <f>VLOOKUP(E2537,country_continent!A:C,3,FALSE)</f>
        <v>Africa</v>
      </c>
      <c r="H2537" t="s">
        <v>10462</v>
      </c>
      <c r="I2537" s="1">
        <v>42029</v>
      </c>
      <c r="J2537" s="3">
        <f t="shared" si="117"/>
        <v>42029</v>
      </c>
      <c r="K2537" s="1">
        <v>42369</v>
      </c>
      <c r="L2537" s="3">
        <f t="shared" si="118"/>
        <v>42369</v>
      </c>
      <c r="M2537" t="s">
        <v>49</v>
      </c>
      <c r="N2537" t="s">
        <v>173</v>
      </c>
      <c r="O2537" t="s">
        <v>173</v>
      </c>
      <c r="P2537">
        <v>0</v>
      </c>
      <c r="Q2537" t="s">
        <v>174</v>
      </c>
      <c r="R2537" t="s">
        <v>51</v>
      </c>
      <c r="S2537">
        <v>1956</v>
      </c>
      <c r="T2537">
        <v>-777</v>
      </c>
      <c r="U2537" s="1">
        <v>20739</v>
      </c>
      <c r="V2537" s="2">
        <v>20739</v>
      </c>
      <c r="Z2537">
        <v>0</v>
      </c>
      <c r="AA2537">
        <v>-888</v>
      </c>
      <c r="AB2537">
        <v>-888</v>
      </c>
      <c r="AC2537">
        <v>-888</v>
      </c>
      <c r="AF2537">
        <v>2015</v>
      </c>
      <c r="AG2537">
        <v>2015</v>
      </c>
      <c r="AO2537" t="b">
        <v>1</v>
      </c>
      <c r="AP2537" t="s">
        <v>6291</v>
      </c>
      <c r="AQ2537">
        <v>1964</v>
      </c>
      <c r="AR2537">
        <v>1974</v>
      </c>
      <c r="AS2537" t="s">
        <v>10463</v>
      </c>
      <c r="AT2537">
        <v>0.93086926762491395</v>
      </c>
      <c r="AU2537">
        <f t="shared" si="119"/>
        <v>3.0000000000000001E-3</v>
      </c>
    </row>
    <row r="2538" spans="1:47" x14ac:dyDescent="0.3">
      <c r="A2538">
        <v>2536</v>
      </c>
      <c r="B2538" t="s">
        <v>10464</v>
      </c>
      <c r="C2538" t="s">
        <v>10465</v>
      </c>
      <c r="D2538">
        <v>552</v>
      </c>
      <c r="E2538" t="s">
        <v>10466</v>
      </c>
      <c r="F2538" t="str">
        <f>VLOOKUP(E2538,country_continent!A:C,2,FALSE)</f>
        <v>Zimbabwe</v>
      </c>
      <c r="G2538" t="str">
        <f>VLOOKUP(E2538,country_continent!A:C,3,FALSE)</f>
        <v>Africa</v>
      </c>
      <c r="H2538" t="s">
        <v>10467</v>
      </c>
      <c r="I2538" s="1">
        <v>24057</v>
      </c>
      <c r="J2538" s="3">
        <f t="shared" si="117"/>
        <v>24057</v>
      </c>
      <c r="K2538" s="1">
        <v>28998</v>
      </c>
      <c r="L2538" s="3">
        <f t="shared" si="118"/>
        <v>28998</v>
      </c>
      <c r="M2538" t="s">
        <v>49</v>
      </c>
      <c r="N2538" t="s">
        <v>49</v>
      </c>
      <c r="O2538" t="s">
        <v>49</v>
      </c>
      <c r="P2538">
        <v>0</v>
      </c>
      <c r="Q2538" t="s">
        <v>50</v>
      </c>
      <c r="R2538" t="s">
        <v>51</v>
      </c>
      <c r="S2538">
        <v>1919</v>
      </c>
      <c r="T2538">
        <v>2007</v>
      </c>
      <c r="U2538" s="1">
        <v>7038</v>
      </c>
      <c r="V2538" s="2">
        <v>7038</v>
      </c>
      <c r="Y2538" t="s">
        <v>10468</v>
      </c>
      <c r="Z2538">
        <v>0</v>
      </c>
      <c r="AA2538">
        <v>1</v>
      </c>
      <c r="AB2538">
        <v>0</v>
      </c>
      <c r="AC2538">
        <v>0</v>
      </c>
      <c r="AF2538">
        <v>1965</v>
      </c>
      <c r="AG2538">
        <v>1979</v>
      </c>
      <c r="AO2538" t="b">
        <v>0</v>
      </c>
      <c r="AT2538">
        <v>4941</v>
      </c>
      <c r="AU2538">
        <f t="shared" si="119"/>
        <v>13.537000000000001</v>
      </c>
    </row>
    <row r="2539" spans="1:47" x14ac:dyDescent="0.3">
      <c r="A2539">
        <v>2537</v>
      </c>
      <c r="B2539" t="s">
        <v>10469</v>
      </c>
      <c r="C2539" t="s">
        <v>10470</v>
      </c>
      <c r="D2539">
        <v>552</v>
      </c>
      <c r="E2539" t="s">
        <v>10466</v>
      </c>
      <c r="F2539" t="str">
        <f>VLOOKUP(E2539,country_continent!A:C,2,FALSE)</f>
        <v>Zimbabwe</v>
      </c>
      <c r="G2539" t="str">
        <f>VLOOKUP(E2539,country_continent!A:C,3,FALSE)</f>
        <v>Africa</v>
      </c>
      <c r="H2539" t="s">
        <v>10471</v>
      </c>
      <c r="I2539" s="1">
        <v>29004</v>
      </c>
      <c r="J2539" s="3">
        <f t="shared" si="117"/>
        <v>29004</v>
      </c>
      <c r="K2539" s="1">
        <v>29200</v>
      </c>
      <c r="L2539" s="3">
        <f t="shared" si="118"/>
        <v>29200</v>
      </c>
      <c r="M2539" t="s">
        <v>49</v>
      </c>
      <c r="N2539" t="s">
        <v>49</v>
      </c>
      <c r="O2539" t="s">
        <v>49</v>
      </c>
      <c r="P2539">
        <v>0</v>
      </c>
      <c r="Q2539" t="s">
        <v>50</v>
      </c>
      <c r="R2539" t="s">
        <v>51</v>
      </c>
      <c r="S2539">
        <v>1925</v>
      </c>
      <c r="T2539">
        <v>2010</v>
      </c>
      <c r="U2539" s="1">
        <v>9236</v>
      </c>
      <c r="V2539" s="2">
        <v>9236</v>
      </c>
      <c r="Z2539">
        <v>0</v>
      </c>
      <c r="AA2539">
        <v>1</v>
      </c>
      <c r="AB2539">
        <v>0</v>
      </c>
      <c r="AC2539">
        <v>0</v>
      </c>
      <c r="AF2539">
        <v>1979</v>
      </c>
      <c r="AG2539">
        <v>1979</v>
      </c>
      <c r="AO2539" t="b">
        <v>0</v>
      </c>
      <c r="AT2539">
        <v>196</v>
      </c>
      <c r="AU2539">
        <f t="shared" si="119"/>
        <v>0.53700000000000003</v>
      </c>
    </row>
    <row r="2540" spans="1:47" x14ac:dyDescent="0.3">
      <c r="A2540">
        <v>2538</v>
      </c>
      <c r="B2540" t="s">
        <v>10472</v>
      </c>
      <c r="C2540" t="s">
        <v>10473</v>
      </c>
      <c r="D2540">
        <v>552</v>
      </c>
      <c r="E2540" t="s">
        <v>10466</v>
      </c>
      <c r="F2540" t="str">
        <f>VLOOKUP(E2540,country_continent!A:C,2,FALSE)</f>
        <v>Zimbabwe</v>
      </c>
      <c r="G2540" t="str">
        <f>VLOOKUP(E2540,country_continent!A:C,3,FALSE)</f>
        <v>Africa</v>
      </c>
      <c r="H2540" t="s">
        <v>10474</v>
      </c>
      <c r="I2540" s="1">
        <v>29284</v>
      </c>
      <c r="J2540" s="3">
        <f t="shared" si="117"/>
        <v>29284</v>
      </c>
      <c r="K2540" s="1">
        <v>42369</v>
      </c>
      <c r="L2540" s="3">
        <f t="shared" si="118"/>
        <v>42369</v>
      </c>
      <c r="M2540" t="s">
        <v>49</v>
      </c>
      <c r="N2540" t="s">
        <v>173</v>
      </c>
      <c r="O2540" t="s">
        <v>173</v>
      </c>
      <c r="P2540">
        <v>0</v>
      </c>
      <c r="Q2540" t="s">
        <v>174</v>
      </c>
      <c r="R2540" t="s">
        <v>51</v>
      </c>
      <c r="S2540">
        <v>1924</v>
      </c>
      <c r="T2540">
        <v>-777</v>
      </c>
      <c r="U2540" s="1">
        <v>8818</v>
      </c>
      <c r="V2540" s="2">
        <v>8818</v>
      </c>
      <c r="Y2540" t="s">
        <v>10475</v>
      </c>
      <c r="Z2540">
        <v>0</v>
      </c>
      <c r="AA2540">
        <v>-888</v>
      </c>
      <c r="AB2540">
        <v>-888</v>
      </c>
      <c r="AC2540">
        <v>-888</v>
      </c>
      <c r="AF2540">
        <v>1980</v>
      </c>
      <c r="AG2540">
        <v>2015</v>
      </c>
      <c r="AO2540" t="b">
        <v>0</v>
      </c>
      <c r="AT2540">
        <v>13085</v>
      </c>
      <c r="AU2540">
        <f t="shared" si="119"/>
        <v>35.848999999999997</v>
      </c>
    </row>
    <row r="2541" spans="1:47" x14ac:dyDescent="0.3">
      <c r="A2541">
        <v>2539</v>
      </c>
      <c r="B2541" t="s">
        <v>10476</v>
      </c>
      <c r="C2541" t="s">
        <v>10477</v>
      </c>
      <c r="D2541">
        <v>553</v>
      </c>
      <c r="E2541" t="s">
        <v>10478</v>
      </c>
      <c r="F2541" t="str">
        <f>VLOOKUP(E2541,country_continent!A:C,2,FALSE)</f>
        <v>Malawi</v>
      </c>
      <c r="G2541" t="str">
        <f>VLOOKUP(E2541,country_continent!A:C,3,FALSE)</f>
        <v>Africa</v>
      </c>
      <c r="H2541" t="s">
        <v>10450</v>
      </c>
      <c r="I2541" s="1">
        <v>23564</v>
      </c>
      <c r="J2541" s="3">
        <f t="shared" si="117"/>
        <v>23564</v>
      </c>
      <c r="K2541" s="1">
        <v>34475</v>
      </c>
      <c r="L2541" s="3">
        <f t="shared" si="118"/>
        <v>34475</v>
      </c>
      <c r="M2541" t="s">
        <v>49</v>
      </c>
      <c r="N2541" t="s">
        <v>49</v>
      </c>
      <c r="O2541" t="s">
        <v>49</v>
      </c>
      <c r="P2541">
        <v>0</v>
      </c>
      <c r="Q2541" t="s">
        <v>463</v>
      </c>
      <c r="R2541" t="s">
        <v>51</v>
      </c>
      <c r="S2541">
        <v>1906</v>
      </c>
      <c r="T2541">
        <v>1997</v>
      </c>
      <c r="U2541" s="1">
        <v>2330</v>
      </c>
      <c r="V2541" s="2">
        <v>2330</v>
      </c>
      <c r="W2541" s="1">
        <v>35759</v>
      </c>
      <c r="X2541" s="2">
        <v>35759</v>
      </c>
      <c r="Y2541" t="s">
        <v>10479</v>
      </c>
      <c r="Z2541">
        <v>0</v>
      </c>
      <c r="AA2541">
        <v>1</v>
      </c>
      <c r="AB2541">
        <v>0</v>
      </c>
      <c r="AC2541">
        <v>2</v>
      </c>
      <c r="AF2541">
        <v>1964</v>
      </c>
      <c r="AG2541">
        <v>1994</v>
      </c>
      <c r="AO2541" t="b">
        <v>1</v>
      </c>
      <c r="AP2541" t="s">
        <v>6291</v>
      </c>
      <c r="AQ2541">
        <v>1964</v>
      </c>
      <c r="AR2541">
        <v>1974</v>
      </c>
      <c r="AS2541" t="s">
        <v>10480</v>
      </c>
      <c r="AT2541">
        <v>29.872689938398299</v>
      </c>
      <c r="AU2541">
        <f t="shared" si="119"/>
        <v>8.2000000000000003E-2</v>
      </c>
    </row>
    <row r="2542" spans="1:47" x14ac:dyDescent="0.3">
      <c r="A2542">
        <v>2540</v>
      </c>
      <c r="B2542" t="s">
        <v>10481</v>
      </c>
      <c r="C2542" t="s">
        <v>10482</v>
      </c>
      <c r="D2542">
        <v>553</v>
      </c>
      <c r="E2542" t="s">
        <v>10478</v>
      </c>
      <c r="F2542" t="str">
        <f>VLOOKUP(E2542,country_continent!A:C,2,FALSE)</f>
        <v>Malawi</v>
      </c>
      <c r="G2542" t="str">
        <f>VLOOKUP(E2542,country_continent!A:C,3,FALSE)</f>
        <v>Africa</v>
      </c>
      <c r="H2542" t="s">
        <v>10483</v>
      </c>
      <c r="I2542" s="1">
        <v>34475</v>
      </c>
      <c r="J2542" s="3">
        <f t="shared" si="117"/>
        <v>34475</v>
      </c>
      <c r="K2542" s="1">
        <v>38131</v>
      </c>
      <c r="L2542" s="3">
        <f t="shared" si="118"/>
        <v>38131</v>
      </c>
      <c r="M2542" t="s">
        <v>49</v>
      </c>
      <c r="N2542" t="s">
        <v>49</v>
      </c>
      <c r="O2542" t="s">
        <v>49</v>
      </c>
      <c r="P2542">
        <v>0</v>
      </c>
      <c r="Q2542" t="s">
        <v>50</v>
      </c>
      <c r="R2542" t="s">
        <v>51</v>
      </c>
      <c r="S2542">
        <v>1943</v>
      </c>
      <c r="T2542">
        <v>-777</v>
      </c>
      <c r="Z2542">
        <v>0</v>
      </c>
      <c r="AA2542">
        <v>1</v>
      </c>
      <c r="AB2542">
        <v>0</v>
      </c>
      <c r="AC2542">
        <v>0</v>
      </c>
      <c r="AF2542">
        <v>1994</v>
      </c>
      <c r="AG2542">
        <v>2004</v>
      </c>
      <c r="AO2542" t="b">
        <v>1</v>
      </c>
      <c r="AP2542" t="s">
        <v>6291</v>
      </c>
      <c r="AQ2542">
        <v>1964</v>
      </c>
      <c r="AR2542">
        <v>1974</v>
      </c>
      <c r="AS2542" t="s">
        <v>10484</v>
      </c>
      <c r="AT2542">
        <v>10.009582477754901</v>
      </c>
      <c r="AU2542">
        <f t="shared" si="119"/>
        <v>2.7E-2</v>
      </c>
    </row>
    <row r="2543" spans="1:47" x14ac:dyDescent="0.3">
      <c r="A2543">
        <v>2541</v>
      </c>
      <c r="B2543" t="s">
        <v>10485</v>
      </c>
      <c r="C2543" t="s">
        <v>10486</v>
      </c>
      <c r="D2543">
        <v>553</v>
      </c>
      <c r="E2543" t="s">
        <v>10478</v>
      </c>
      <c r="F2543" t="str">
        <f>VLOOKUP(E2543,country_continent!A:C,2,FALSE)</f>
        <v>Malawi</v>
      </c>
      <c r="G2543" t="str">
        <f>VLOOKUP(E2543,country_continent!A:C,3,FALSE)</f>
        <v>Africa</v>
      </c>
      <c r="H2543" t="s">
        <v>10487</v>
      </c>
      <c r="I2543" s="1">
        <v>38131</v>
      </c>
      <c r="J2543" s="3">
        <f t="shared" si="117"/>
        <v>38131</v>
      </c>
      <c r="K2543" s="1">
        <v>41006</v>
      </c>
      <c r="L2543" s="3">
        <f t="shared" si="118"/>
        <v>41006</v>
      </c>
      <c r="M2543" t="s">
        <v>49</v>
      </c>
      <c r="N2543" t="s">
        <v>110</v>
      </c>
      <c r="O2543" t="s">
        <v>49</v>
      </c>
      <c r="P2543">
        <v>0</v>
      </c>
      <c r="Q2543" t="s">
        <v>111</v>
      </c>
      <c r="R2543" t="s">
        <v>51</v>
      </c>
      <c r="S2543">
        <v>1934</v>
      </c>
      <c r="T2543">
        <v>-777</v>
      </c>
      <c r="Z2543">
        <v>0</v>
      </c>
      <c r="AA2543">
        <v>2</v>
      </c>
      <c r="AB2543">
        <v>0</v>
      </c>
      <c r="AC2543">
        <v>-777</v>
      </c>
      <c r="AF2543">
        <v>2004</v>
      </c>
      <c r="AG2543">
        <v>2012</v>
      </c>
      <c r="AO2543" t="b">
        <v>1</v>
      </c>
      <c r="AP2543" t="s">
        <v>6291</v>
      </c>
      <c r="AQ2543">
        <v>1964</v>
      </c>
      <c r="AR2543">
        <v>1974</v>
      </c>
      <c r="AS2543" t="s">
        <v>10488</v>
      </c>
      <c r="AT2543">
        <v>7.8713210130047901</v>
      </c>
      <c r="AU2543">
        <f t="shared" si="119"/>
        <v>2.1999999999999999E-2</v>
      </c>
    </row>
    <row r="2544" spans="1:47" x14ac:dyDescent="0.3">
      <c r="A2544">
        <v>2542</v>
      </c>
      <c r="B2544" t="s">
        <v>10489</v>
      </c>
      <c r="C2544" t="s">
        <v>10490</v>
      </c>
      <c r="D2544">
        <v>553</v>
      </c>
      <c r="E2544" t="s">
        <v>10478</v>
      </c>
      <c r="F2544" t="str">
        <f>VLOOKUP(E2544,country_continent!A:C,2,FALSE)</f>
        <v>Malawi</v>
      </c>
      <c r="G2544" t="str">
        <f>VLOOKUP(E2544,country_continent!A:C,3,FALSE)</f>
        <v>Africa</v>
      </c>
      <c r="H2544" t="s">
        <v>10491</v>
      </c>
      <c r="I2544" s="1">
        <v>41006</v>
      </c>
      <c r="J2544" s="3">
        <f t="shared" si="117"/>
        <v>41006</v>
      </c>
      <c r="K2544" s="1">
        <v>41790</v>
      </c>
      <c r="L2544" s="3">
        <f t="shared" si="118"/>
        <v>41790</v>
      </c>
      <c r="M2544" t="s">
        <v>49</v>
      </c>
      <c r="N2544" t="s">
        <v>49</v>
      </c>
      <c r="O2544" t="s">
        <v>49</v>
      </c>
      <c r="P2544">
        <v>0</v>
      </c>
      <c r="Q2544" t="s">
        <v>50</v>
      </c>
      <c r="R2544" t="s">
        <v>299</v>
      </c>
      <c r="S2544">
        <v>1950</v>
      </c>
      <c r="T2544">
        <v>-777</v>
      </c>
      <c r="U2544" s="1">
        <v>18365</v>
      </c>
      <c r="V2544" s="2">
        <v>18365</v>
      </c>
      <c r="Z2544">
        <v>0</v>
      </c>
      <c r="AA2544">
        <v>1</v>
      </c>
      <c r="AB2544">
        <v>0</v>
      </c>
      <c r="AC2544">
        <v>0</v>
      </c>
      <c r="AF2544">
        <v>2012</v>
      </c>
      <c r="AG2544">
        <v>2014</v>
      </c>
      <c r="AO2544" t="b">
        <v>1</v>
      </c>
      <c r="AP2544" t="s">
        <v>6291</v>
      </c>
      <c r="AQ2544">
        <v>1964</v>
      </c>
      <c r="AR2544">
        <v>1974</v>
      </c>
      <c r="AS2544" t="s">
        <v>10492</v>
      </c>
      <c r="AT2544">
        <v>2.1464750171115599</v>
      </c>
      <c r="AU2544">
        <f t="shared" si="119"/>
        <v>6.0000000000000001E-3</v>
      </c>
    </row>
    <row r="2545" spans="1:47" x14ac:dyDescent="0.3">
      <c r="A2545">
        <v>2543</v>
      </c>
      <c r="B2545" t="s">
        <v>10493</v>
      </c>
      <c r="C2545" t="s">
        <v>10494</v>
      </c>
      <c r="D2545">
        <v>553</v>
      </c>
      <c r="E2545" t="s">
        <v>10478</v>
      </c>
      <c r="F2545" t="str">
        <f>VLOOKUP(E2545,country_continent!A:C,2,FALSE)</f>
        <v>Malawi</v>
      </c>
      <c r="G2545" t="str">
        <f>VLOOKUP(E2545,country_continent!A:C,3,FALSE)</f>
        <v>Africa</v>
      </c>
      <c r="H2545" t="s">
        <v>10495</v>
      </c>
      <c r="I2545" s="1">
        <v>41790</v>
      </c>
      <c r="J2545" s="3">
        <f t="shared" si="117"/>
        <v>41790</v>
      </c>
      <c r="K2545" s="1">
        <v>42369</v>
      </c>
      <c r="L2545" s="3">
        <f t="shared" si="118"/>
        <v>42369</v>
      </c>
      <c r="M2545" t="s">
        <v>49</v>
      </c>
      <c r="N2545" t="s">
        <v>173</v>
      </c>
      <c r="O2545" t="s">
        <v>173</v>
      </c>
      <c r="P2545">
        <v>0</v>
      </c>
      <c r="Q2545" t="s">
        <v>174</v>
      </c>
      <c r="R2545" t="s">
        <v>51</v>
      </c>
      <c r="S2545">
        <v>1940</v>
      </c>
      <c r="T2545">
        <v>-777</v>
      </c>
      <c r="Z2545">
        <v>0</v>
      </c>
      <c r="AA2545">
        <v>-888</v>
      </c>
      <c r="AB2545">
        <v>-888</v>
      </c>
      <c r="AC2545">
        <v>-888</v>
      </c>
      <c r="AF2545">
        <v>2014</v>
      </c>
      <c r="AG2545">
        <v>2015</v>
      </c>
      <c r="AO2545" t="b">
        <v>1</v>
      </c>
      <c r="AP2545" t="s">
        <v>6291</v>
      </c>
      <c r="AQ2545">
        <v>1964</v>
      </c>
      <c r="AR2545">
        <v>1974</v>
      </c>
      <c r="AS2545" t="s">
        <v>10496</v>
      </c>
      <c r="AT2545">
        <v>1.58521560574948</v>
      </c>
      <c r="AU2545">
        <f t="shared" si="119"/>
        <v>4.0000000000000001E-3</v>
      </c>
    </row>
    <row r="2546" spans="1:47" x14ac:dyDescent="0.3">
      <c r="A2546">
        <v>2544</v>
      </c>
      <c r="B2546" t="s">
        <v>10497</v>
      </c>
      <c r="C2546" t="s">
        <v>10498</v>
      </c>
      <c r="D2546">
        <v>560</v>
      </c>
      <c r="E2546" t="s">
        <v>10499</v>
      </c>
      <c r="F2546" t="str">
        <f>VLOOKUP(E2546,country_continent!A:C,2,FALSE)</f>
        <v>South Africa</v>
      </c>
      <c r="G2546" t="str">
        <f>VLOOKUP(E2546,country_continent!A:C,3,FALSE)</f>
        <v>Africa</v>
      </c>
      <c r="H2546" t="s">
        <v>10500</v>
      </c>
      <c r="I2546" s="1">
        <v>3804</v>
      </c>
      <c r="J2546" s="3">
        <f t="shared" si="117"/>
        <v>3804</v>
      </c>
      <c r="K2546" s="1">
        <v>7179</v>
      </c>
      <c r="L2546" s="3">
        <f t="shared" si="118"/>
        <v>7179</v>
      </c>
      <c r="M2546" t="s">
        <v>49</v>
      </c>
      <c r="N2546" t="s">
        <v>110</v>
      </c>
      <c r="O2546" t="s">
        <v>49</v>
      </c>
      <c r="P2546">
        <v>1</v>
      </c>
      <c r="Q2546" t="s">
        <v>111</v>
      </c>
      <c r="R2546" t="s">
        <v>51</v>
      </c>
      <c r="S2546">
        <v>1862</v>
      </c>
      <c r="T2546">
        <v>1919</v>
      </c>
      <c r="U2546" t="s">
        <v>10501</v>
      </c>
      <c r="V2546" t="s">
        <v>10502</v>
      </c>
      <c r="W2546" s="1">
        <v>7179</v>
      </c>
      <c r="X2546" s="2">
        <v>7179</v>
      </c>
      <c r="Y2546" t="s">
        <v>10503</v>
      </c>
      <c r="Z2546">
        <v>0</v>
      </c>
      <c r="AA2546">
        <v>2</v>
      </c>
      <c r="AB2546">
        <v>0</v>
      </c>
      <c r="AC2546">
        <v>-777</v>
      </c>
      <c r="AF2546">
        <v>1910</v>
      </c>
      <c r="AG2546">
        <v>1919</v>
      </c>
      <c r="AO2546" t="b">
        <v>1</v>
      </c>
      <c r="AP2546" t="s">
        <v>10407</v>
      </c>
      <c r="AQ2546">
        <v>1975</v>
      </c>
      <c r="AR2546">
        <v>1989</v>
      </c>
      <c r="AS2546" t="s">
        <v>10504</v>
      </c>
      <c r="AT2546">
        <v>9.2402464065708401</v>
      </c>
      <c r="AU2546">
        <f t="shared" si="119"/>
        <v>2.5000000000000001E-2</v>
      </c>
    </row>
    <row r="2547" spans="1:47" x14ac:dyDescent="0.3">
      <c r="A2547">
        <v>2545</v>
      </c>
      <c r="B2547" t="s">
        <v>10505</v>
      </c>
      <c r="C2547" t="s">
        <v>10506</v>
      </c>
      <c r="D2547">
        <v>560</v>
      </c>
      <c r="E2547" t="s">
        <v>10499</v>
      </c>
      <c r="F2547" t="str">
        <f>VLOOKUP(E2547,country_continent!A:C,2,FALSE)</f>
        <v>South Africa</v>
      </c>
      <c r="G2547" t="str">
        <f>VLOOKUP(E2547,country_continent!A:C,3,FALSE)</f>
        <v>Africa</v>
      </c>
      <c r="H2547" t="s">
        <v>10507</v>
      </c>
      <c r="I2547" s="1">
        <v>7186</v>
      </c>
      <c r="J2547" s="3">
        <f t="shared" si="117"/>
        <v>7186</v>
      </c>
      <c r="K2547" s="1">
        <v>8947</v>
      </c>
      <c r="L2547" s="3">
        <f t="shared" si="118"/>
        <v>8947</v>
      </c>
      <c r="M2547" t="s">
        <v>49</v>
      </c>
      <c r="N2547" t="s">
        <v>49</v>
      </c>
      <c r="O2547" t="s">
        <v>49</v>
      </c>
      <c r="P2547">
        <v>0</v>
      </c>
      <c r="Q2547" t="s">
        <v>50</v>
      </c>
      <c r="R2547" t="s">
        <v>51</v>
      </c>
      <c r="S2547">
        <v>1870</v>
      </c>
      <c r="T2547">
        <v>1950</v>
      </c>
      <c r="U2547" t="s">
        <v>10508</v>
      </c>
      <c r="V2547" t="s">
        <v>10509</v>
      </c>
      <c r="Y2547" t="s">
        <v>10510</v>
      </c>
      <c r="Z2547">
        <v>0</v>
      </c>
      <c r="AA2547">
        <v>1</v>
      </c>
      <c r="AB2547">
        <v>0</v>
      </c>
      <c r="AC2547">
        <v>0</v>
      </c>
      <c r="AF2547">
        <v>1919</v>
      </c>
      <c r="AG2547">
        <v>1924</v>
      </c>
      <c r="AO2547" t="b">
        <v>1</v>
      </c>
      <c r="AP2547" t="s">
        <v>10407</v>
      </c>
      <c r="AQ2547">
        <v>1975</v>
      </c>
      <c r="AR2547">
        <v>1989</v>
      </c>
      <c r="AS2547" t="s">
        <v>10511</v>
      </c>
      <c r="AT2547">
        <v>4.8213552361396301</v>
      </c>
      <c r="AU2547">
        <f t="shared" si="119"/>
        <v>1.2999999999999999E-2</v>
      </c>
    </row>
    <row r="2548" spans="1:47" x14ac:dyDescent="0.3">
      <c r="A2548">
        <v>2546</v>
      </c>
      <c r="B2548" t="s">
        <v>10512</v>
      </c>
      <c r="C2548" t="s">
        <v>10513</v>
      </c>
      <c r="D2548">
        <v>560</v>
      </c>
      <c r="E2548" t="s">
        <v>10499</v>
      </c>
      <c r="F2548" t="str">
        <f>VLOOKUP(E2548,country_continent!A:C,2,FALSE)</f>
        <v>South Africa</v>
      </c>
      <c r="G2548" t="str">
        <f>VLOOKUP(E2548,country_continent!A:C,3,FALSE)</f>
        <v>Africa</v>
      </c>
      <c r="H2548" t="s">
        <v>10514</v>
      </c>
      <c r="I2548" s="1">
        <v>8948</v>
      </c>
      <c r="J2548" s="3">
        <f t="shared" si="117"/>
        <v>8948</v>
      </c>
      <c r="K2548" s="1">
        <v>14493</v>
      </c>
      <c r="L2548" s="3">
        <f t="shared" si="118"/>
        <v>14493</v>
      </c>
      <c r="M2548" t="s">
        <v>49</v>
      </c>
      <c r="N2548" t="s">
        <v>49</v>
      </c>
      <c r="O2548" t="s">
        <v>49</v>
      </c>
      <c r="P2548">
        <v>0</v>
      </c>
      <c r="Q2548" t="s">
        <v>50</v>
      </c>
      <c r="R2548" t="s">
        <v>51</v>
      </c>
      <c r="S2548">
        <v>1866</v>
      </c>
      <c r="T2548">
        <v>1942</v>
      </c>
      <c r="U2548" t="s">
        <v>10515</v>
      </c>
      <c r="V2548" t="s">
        <v>10516</v>
      </c>
      <c r="Z2548">
        <v>0</v>
      </c>
      <c r="AA2548">
        <v>1</v>
      </c>
      <c r="AB2548">
        <v>0</v>
      </c>
      <c r="AC2548">
        <v>0</v>
      </c>
      <c r="AF2548">
        <v>1924</v>
      </c>
      <c r="AG2548">
        <v>1939</v>
      </c>
      <c r="AO2548" t="b">
        <v>1</v>
      </c>
      <c r="AP2548" t="s">
        <v>10407</v>
      </c>
      <c r="AQ2548">
        <v>1975</v>
      </c>
      <c r="AR2548">
        <v>1989</v>
      </c>
      <c r="AS2548" t="s">
        <v>10517</v>
      </c>
      <c r="AT2548">
        <v>15.1813826146475</v>
      </c>
      <c r="AU2548">
        <f t="shared" si="119"/>
        <v>4.2000000000000003E-2</v>
      </c>
    </row>
    <row r="2549" spans="1:47" x14ac:dyDescent="0.3">
      <c r="A2549">
        <v>2547</v>
      </c>
      <c r="B2549" t="s">
        <v>10518</v>
      </c>
      <c r="C2549" t="s">
        <v>10506</v>
      </c>
      <c r="D2549">
        <v>560</v>
      </c>
      <c r="E2549" t="s">
        <v>10499</v>
      </c>
      <c r="F2549" t="str">
        <f>VLOOKUP(E2549,country_continent!A:C,2,FALSE)</f>
        <v>South Africa</v>
      </c>
      <c r="G2549" t="str">
        <f>VLOOKUP(E2549,country_continent!A:C,3,FALSE)</f>
        <v>Africa</v>
      </c>
      <c r="H2549" t="s">
        <v>10507</v>
      </c>
      <c r="I2549" s="1">
        <v>14494</v>
      </c>
      <c r="J2549" s="3">
        <f t="shared" si="117"/>
        <v>14494</v>
      </c>
      <c r="K2549" s="1">
        <v>17687</v>
      </c>
      <c r="L2549" s="3">
        <f t="shared" si="118"/>
        <v>17687</v>
      </c>
      <c r="M2549" t="s">
        <v>49</v>
      </c>
      <c r="N2549" t="s">
        <v>49</v>
      </c>
      <c r="O2549" t="s">
        <v>49</v>
      </c>
      <c r="P2549">
        <v>1</v>
      </c>
      <c r="Q2549" t="s">
        <v>50</v>
      </c>
      <c r="R2549" t="s">
        <v>51</v>
      </c>
      <c r="S2549">
        <v>1870</v>
      </c>
      <c r="T2549">
        <v>1950</v>
      </c>
      <c r="U2549" t="s">
        <v>10508</v>
      </c>
      <c r="V2549" t="s">
        <v>10509</v>
      </c>
      <c r="Y2549" t="s">
        <v>10510</v>
      </c>
      <c r="Z2549">
        <v>0</v>
      </c>
      <c r="AA2549">
        <v>1</v>
      </c>
      <c r="AB2549">
        <v>0</v>
      </c>
      <c r="AC2549">
        <v>0</v>
      </c>
      <c r="AF2549">
        <v>1939</v>
      </c>
      <c r="AG2549">
        <v>1948</v>
      </c>
      <c r="AO2549" t="b">
        <v>1</v>
      </c>
      <c r="AP2549" t="s">
        <v>10407</v>
      </c>
      <c r="AQ2549">
        <v>1975</v>
      </c>
      <c r="AR2549">
        <v>1989</v>
      </c>
      <c r="AS2549" t="s">
        <v>10519</v>
      </c>
      <c r="AT2549">
        <v>8.7419575633128002</v>
      </c>
      <c r="AU2549">
        <f t="shared" si="119"/>
        <v>2.4E-2</v>
      </c>
    </row>
    <row r="2550" spans="1:47" x14ac:dyDescent="0.3">
      <c r="A2550">
        <v>2548</v>
      </c>
      <c r="B2550" t="s">
        <v>10520</v>
      </c>
      <c r="C2550" t="s">
        <v>10521</v>
      </c>
      <c r="D2550">
        <v>560</v>
      </c>
      <c r="E2550" t="s">
        <v>10499</v>
      </c>
      <c r="F2550" t="str">
        <f>VLOOKUP(E2550,country_continent!A:C,2,FALSE)</f>
        <v>South Africa</v>
      </c>
      <c r="G2550" t="str">
        <f>VLOOKUP(E2550,country_continent!A:C,3,FALSE)</f>
        <v>Africa</v>
      </c>
      <c r="H2550" t="s">
        <v>10522</v>
      </c>
      <c r="I2550" s="1">
        <v>17687</v>
      </c>
      <c r="J2550" s="3">
        <f t="shared" si="117"/>
        <v>17687</v>
      </c>
      <c r="K2550" s="1">
        <v>20058</v>
      </c>
      <c r="L2550" s="3">
        <f t="shared" si="118"/>
        <v>20058</v>
      </c>
      <c r="M2550" t="s">
        <v>49</v>
      </c>
      <c r="N2550" t="s">
        <v>49</v>
      </c>
      <c r="O2550" t="s">
        <v>49</v>
      </c>
      <c r="P2550">
        <v>0</v>
      </c>
      <c r="Q2550" t="s">
        <v>50</v>
      </c>
      <c r="R2550" t="s">
        <v>51</v>
      </c>
      <c r="S2550">
        <v>1874</v>
      </c>
      <c r="T2550">
        <v>1959</v>
      </c>
      <c r="U2550" t="s">
        <v>4988</v>
      </c>
      <c r="V2550" t="s">
        <v>4989</v>
      </c>
      <c r="W2550" s="1">
        <v>21588</v>
      </c>
      <c r="X2550" s="2">
        <v>21588</v>
      </c>
      <c r="Z2550">
        <v>0</v>
      </c>
      <c r="AA2550">
        <v>1</v>
      </c>
      <c r="AB2550">
        <v>0</v>
      </c>
      <c r="AC2550">
        <v>0</v>
      </c>
      <c r="AF2550">
        <v>1948</v>
      </c>
      <c r="AG2550">
        <v>1954</v>
      </c>
      <c r="AO2550" t="b">
        <v>1</v>
      </c>
      <c r="AP2550" t="s">
        <v>10407</v>
      </c>
      <c r="AQ2550">
        <v>1975</v>
      </c>
      <c r="AR2550">
        <v>1989</v>
      </c>
      <c r="AS2550" t="s">
        <v>10523</v>
      </c>
      <c r="AT2550">
        <v>6.4914442162902102</v>
      </c>
      <c r="AU2550">
        <f t="shared" si="119"/>
        <v>1.7999999999999999E-2</v>
      </c>
    </row>
    <row r="2551" spans="1:47" x14ac:dyDescent="0.3">
      <c r="A2551">
        <v>2549</v>
      </c>
      <c r="B2551" t="s">
        <v>10524</v>
      </c>
      <c r="C2551" t="s">
        <v>10525</v>
      </c>
      <c r="D2551">
        <v>560</v>
      </c>
      <c r="E2551" t="s">
        <v>10499</v>
      </c>
      <c r="F2551" t="str">
        <f>VLOOKUP(E2551,country_continent!A:C,2,FALSE)</f>
        <v>South Africa</v>
      </c>
      <c r="G2551" t="str">
        <f>VLOOKUP(E2551,country_continent!A:C,3,FALSE)</f>
        <v>Africa</v>
      </c>
      <c r="H2551" t="s">
        <v>10526</v>
      </c>
      <c r="I2551" s="1">
        <v>20060</v>
      </c>
      <c r="J2551" s="3">
        <f t="shared" si="117"/>
        <v>20060</v>
      </c>
      <c r="K2551" s="1">
        <v>21420</v>
      </c>
      <c r="L2551" s="3">
        <f t="shared" si="118"/>
        <v>21420</v>
      </c>
      <c r="M2551" t="s">
        <v>49</v>
      </c>
      <c r="N2551" t="s">
        <v>110</v>
      </c>
      <c r="O2551" t="s">
        <v>49</v>
      </c>
      <c r="P2551">
        <v>0</v>
      </c>
      <c r="Q2551" t="s">
        <v>111</v>
      </c>
      <c r="R2551" t="s">
        <v>51</v>
      </c>
      <c r="S2551">
        <v>1873</v>
      </c>
      <c r="T2551">
        <v>1958</v>
      </c>
      <c r="U2551" t="s">
        <v>10527</v>
      </c>
      <c r="V2551" t="s">
        <v>10528</v>
      </c>
      <c r="Z2551">
        <v>0</v>
      </c>
      <c r="AA2551">
        <v>2</v>
      </c>
      <c r="AB2551">
        <v>0</v>
      </c>
      <c r="AC2551">
        <v>-777</v>
      </c>
      <c r="AF2551">
        <v>1954</v>
      </c>
      <c r="AG2551">
        <v>1958</v>
      </c>
      <c r="AO2551" t="b">
        <v>1</v>
      </c>
      <c r="AP2551" t="s">
        <v>10407</v>
      </c>
      <c r="AQ2551">
        <v>1975</v>
      </c>
      <c r="AR2551">
        <v>1989</v>
      </c>
      <c r="AS2551" t="s">
        <v>10529</v>
      </c>
      <c r="AT2551">
        <v>3.72347707049965</v>
      </c>
      <c r="AU2551">
        <f t="shared" si="119"/>
        <v>0.01</v>
      </c>
    </row>
    <row r="2552" spans="1:47" x14ac:dyDescent="0.3">
      <c r="A2552">
        <v>2550</v>
      </c>
      <c r="B2552" t="s">
        <v>10530</v>
      </c>
      <c r="C2552" t="s">
        <v>10531</v>
      </c>
      <c r="D2552">
        <v>560</v>
      </c>
      <c r="E2552" t="s">
        <v>10499</v>
      </c>
      <c r="F2552" t="str">
        <f>VLOOKUP(E2552,country_continent!A:C,2,FALSE)</f>
        <v>South Africa</v>
      </c>
      <c r="G2552" t="str">
        <f>VLOOKUP(E2552,country_continent!A:C,3,FALSE)</f>
        <v>Africa</v>
      </c>
      <c r="H2552" t="s">
        <v>10532</v>
      </c>
      <c r="I2552" s="1">
        <v>21420</v>
      </c>
      <c r="J2552" s="3">
        <f t="shared" si="117"/>
        <v>21420</v>
      </c>
      <c r="K2552" s="1">
        <v>21431</v>
      </c>
      <c r="L2552" s="3">
        <f t="shared" si="118"/>
        <v>21431</v>
      </c>
      <c r="M2552" t="s">
        <v>49</v>
      </c>
      <c r="N2552" t="s">
        <v>49</v>
      </c>
      <c r="O2552" t="s">
        <v>49</v>
      </c>
      <c r="P2552">
        <v>0</v>
      </c>
      <c r="Q2552" t="s">
        <v>50</v>
      </c>
      <c r="R2552" t="s">
        <v>51</v>
      </c>
      <c r="S2552">
        <v>1894</v>
      </c>
      <c r="T2552">
        <v>1982</v>
      </c>
      <c r="U2552" t="s">
        <v>10533</v>
      </c>
      <c r="V2552" t="s">
        <v>10534</v>
      </c>
      <c r="Y2552" t="s">
        <v>10535</v>
      </c>
      <c r="Z2552">
        <v>0</v>
      </c>
      <c r="AA2552">
        <v>1</v>
      </c>
      <c r="AB2552">
        <v>0</v>
      </c>
      <c r="AC2552">
        <v>0</v>
      </c>
      <c r="AF2552">
        <v>1958</v>
      </c>
      <c r="AG2552">
        <v>1958</v>
      </c>
      <c r="AO2552" t="b">
        <v>1</v>
      </c>
      <c r="AP2552" t="s">
        <v>10407</v>
      </c>
      <c r="AQ2552">
        <v>1975</v>
      </c>
      <c r="AR2552">
        <v>1989</v>
      </c>
      <c r="AS2552" t="s">
        <v>10536</v>
      </c>
      <c r="AT2552">
        <v>3.01163586584531E-2</v>
      </c>
      <c r="AU2552">
        <f t="shared" si="119"/>
        <v>0</v>
      </c>
    </row>
    <row r="2553" spans="1:47" x14ac:dyDescent="0.3">
      <c r="A2553">
        <v>2551</v>
      </c>
      <c r="B2553" t="s">
        <v>10537</v>
      </c>
      <c r="C2553" t="s">
        <v>10538</v>
      </c>
      <c r="D2553">
        <v>560</v>
      </c>
      <c r="E2553" t="s">
        <v>10499</v>
      </c>
      <c r="F2553" t="str">
        <f>VLOOKUP(E2553,country_continent!A:C,2,FALSE)</f>
        <v>South Africa</v>
      </c>
      <c r="G2553" t="str">
        <f>VLOOKUP(E2553,country_continent!A:C,3,FALSE)</f>
        <v>Africa</v>
      </c>
      <c r="H2553" t="s">
        <v>10539</v>
      </c>
      <c r="I2553" s="1">
        <v>21431</v>
      </c>
      <c r="J2553" s="3">
        <f t="shared" si="117"/>
        <v>21431</v>
      </c>
      <c r="K2553" s="1">
        <v>24356</v>
      </c>
      <c r="L2553" s="3">
        <f t="shared" si="118"/>
        <v>24356</v>
      </c>
      <c r="M2553" t="s">
        <v>49</v>
      </c>
      <c r="N2553" t="s">
        <v>67</v>
      </c>
      <c r="O2553" t="s">
        <v>68</v>
      </c>
      <c r="P2553">
        <v>0</v>
      </c>
      <c r="Q2553" t="s">
        <v>69</v>
      </c>
      <c r="R2553" t="s">
        <v>51</v>
      </c>
      <c r="S2553">
        <v>1901</v>
      </c>
      <c r="T2553">
        <v>1966</v>
      </c>
      <c r="U2553" s="1">
        <v>617</v>
      </c>
      <c r="V2553" s="2">
        <v>617</v>
      </c>
      <c r="W2553" s="1">
        <v>24356</v>
      </c>
      <c r="X2553" s="2">
        <v>24356</v>
      </c>
      <c r="Z2553">
        <v>0</v>
      </c>
      <c r="AA2553">
        <v>3</v>
      </c>
      <c r="AB2553">
        <v>11</v>
      </c>
      <c r="AC2553">
        <v>3</v>
      </c>
      <c r="AF2553">
        <v>1958</v>
      </c>
      <c r="AG2553">
        <v>1966</v>
      </c>
      <c r="AO2553" t="b">
        <v>1</v>
      </c>
      <c r="AP2553" t="s">
        <v>10407</v>
      </c>
      <c r="AQ2553">
        <v>1975</v>
      </c>
      <c r="AR2553">
        <v>1989</v>
      </c>
      <c r="AS2553" t="s">
        <v>10540</v>
      </c>
      <c r="AT2553">
        <v>8.00821355236139</v>
      </c>
      <c r="AU2553">
        <f t="shared" si="119"/>
        <v>2.1999999999999999E-2</v>
      </c>
    </row>
    <row r="2554" spans="1:47" x14ac:dyDescent="0.3">
      <c r="A2554">
        <v>2552</v>
      </c>
      <c r="B2554" t="s">
        <v>10541</v>
      </c>
      <c r="C2554" t="s">
        <v>10542</v>
      </c>
      <c r="D2554">
        <v>560</v>
      </c>
      <c r="E2554" t="s">
        <v>10499</v>
      </c>
      <c r="F2554" t="str">
        <f>VLOOKUP(E2554,country_continent!A:C,2,FALSE)</f>
        <v>South Africa</v>
      </c>
      <c r="G2554" t="str">
        <f>VLOOKUP(E2554,country_continent!A:C,3,FALSE)</f>
        <v>Africa</v>
      </c>
      <c r="H2554" t="s">
        <v>10543</v>
      </c>
      <c r="I2554" s="1">
        <v>24356</v>
      </c>
      <c r="J2554" s="3">
        <f t="shared" si="117"/>
        <v>24356</v>
      </c>
      <c r="K2554" s="1">
        <v>24363</v>
      </c>
      <c r="L2554" s="3">
        <f t="shared" si="118"/>
        <v>24363</v>
      </c>
      <c r="M2554" t="s">
        <v>49</v>
      </c>
      <c r="N2554" t="s">
        <v>49</v>
      </c>
      <c r="O2554" t="s">
        <v>49</v>
      </c>
      <c r="P2554">
        <v>0</v>
      </c>
      <c r="Q2554" t="s">
        <v>50</v>
      </c>
      <c r="R2554" t="s">
        <v>51</v>
      </c>
      <c r="S2554">
        <v>1898</v>
      </c>
      <c r="T2554">
        <v>1968</v>
      </c>
      <c r="U2554" t="s">
        <v>10544</v>
      </c>
      <c r="V2554" t="s">
        <v>10545</v>
      </c>
      <c r="Z2554">
        <v>0</v>
      </c>
      <c r="AA2554">
        <v>1</v>
      </c>
      <c r="AB2554">
        <v>0</v>
      </c>
      <c r="AC2554">
        <v>0</v>
      </c>
      <c r="AF2554">
        <v>1966</v>
      </c>
      <c r="AG2554">
        <v>1966</v>
      </c>
      <c r="AO2554" t="b">
        <v>1</v>
      </c>
      <c r="AP2554" t="s">
        <v>10407</v>
      </c>
      <c r="AQ2554">
        <v>1975</v>
      </c>
      <c r="AR2554">
        <v>1989</v>
      </c>
      <c r="AS2554" t="s">
        <v>10546</v>
      </c>
      <c r="AT2554">
        <v>1.9164955509924701E-2</v>
      </c>
      <c r="AU2554">
        <f t="shared" si="119"/>
        <v>0</v>
      </c>
    </row>
    <row r="2555" spans="1:47" x14ac:dyDescent="0.3">
      <c r="A2555">
        <v>2553</v>
      </c>
      <c r="B2555" t="s">
        <v>10547</v>
      </c>
      <c r="C2555" t="s">
        <v>10548</v>
      </c>
      <c r="D2555">
        <v>560</v>
      </c>
      <c r="E2555" t="s">
        <v>10499</v>
      </c>
      <c r="F2555" t="str">
        <f>VLOOKUP(E2555,country_continent!A:C,2,FALSE)</f>
        <v>South Africa</v>
      </c>
      <c r="G2555" t="str">
        <f>VLOOKUP(E2555,country_continent!A:C,3,FALSE)</f>
        <v>Africa</v>
      </c>
      <c r="H2555" t="s">
        <v>10549</v>
      </c>
      <c r="I2555" s="1">
        <v>24363</v>
      </c>
      <c r="J2555" s="3">
        <f t="shared" si="117"/>
        <v>24363</v>
      </c>
      <c r="K2555" s="1">
        <v>28761</v>
      </c>
      <c r="L2555" s="3">
        <f t="shared" si="118"/>
        <v>28761</v>
      </c>
      <c r="M2555" t="s">
        <v>49</v>
      </c>
      <c r="N2555" t="s">
        <v>49</v>
      </c>
      <c r="O2555" t="s">
        <v>49</v>
      </c>
      <c r="P2555">
        <v>0</v>
      </c>
      <c r="Q2555" t="s">
        <v>50</v>
      </c>
      <c r="R2555" t="s">
        <v>51</v>
      </c>
      <c r="S2555">
        <v>1915</v>
      </c>
      <c r="T2555">
        <v>1983</v>
      </c>
      <c r="U2555" s="1">
        <v>5826</v>
      </c>
      <c r="V2555" s="2">
        <v>5826</v>
      </c>
      <c r="Y2555" t="s">
        <v>10550</v>
      </c>
      <c r="Z2555">
        <v>0</v>
      </c>
      <c r="AA2555">
        <v>1</v>
      </c>
      <c r="AB2555">
        <v>0</v>
      </c>
      <c r="AC2555">
        <v>0</v>
      </c>
      <c r="AF2555">
        <v>1966</v>
      </c>
      <c r="AG2555">
        <v>1978</v>
      </c>
      <c r="AO2555" t="b">
        <v>1</v>
      </c>
      <c r="AP2555" t="s">
        <v>10407</v>
      </c>
      <c r="AQ2555">
        <v>1975</v>
      </c>
      <c r="AR2555">
        <v>1989</v>
      </c>
      <c r="AS2555" t="s">
        <v>10551</v>
      </c>
      <c r="AT2555">
        <v>12.0410677618069</v>
      </c>
      <c r="AU2555">
        <f t="shared" si="119"/>
        <v>3.3000000000000002E-2</v>
      </c>
    </row>
    <row r="2556" spans="1:47" x14ac:dyDescent="0.3">
      <c r="A2556">
        <v>2554</v>
      </c>
      <c r="B2556" t="s">
        <v>10552</v>
      </c>
      <c r="C2556" t="s">
        <v>10553</v>
      </c>
      <c r="D2556">
        <v>560</v>
      </c>
      <c r="E2556" t="s">
        <v>10499</v>
      </c>
      <c r="F2556" t="str">
        <f>VLOOKUP(E2556,country_continent!A:C,2,FALSE)</f>
        <v>South Africa</v>
      </c>
      <c r="G2556" t="str">
        <f>VLOOKUP(E2556,country_continent!A:C,3,FALSE)</f>
        <v>Africa</v>
      </c>
      <c r="H2556" t="s">
        <v>10554</v>
      </c>
      <c r="I2556" s="1">
        <v>28761</v>
      </c>
      <c r="J2556" s="3">
        <f t="shared" si="117"/>
        <v>28761</v>
      </c>
      <c r="K2556" s="1">
        <v>32526</v>
      </c>
      <c r="L2556" s="3">
        <f t="shared" si="118"/>
        <v>32526</v>
      </c>
      <c r="M2556" t="s">
        <v>49</v>
      </c>
      <c r="N2556" t="s">
        <v>49</v>
      </c>
      <c r="O2556" t="s">
        <v>49</v>
      </c>
      <c r="P2556">
        <v>0</v>
      </c>
      <c r="Q2556" t="s">
        <v>50</v>
      </c>
      <c r="R2556" t="s">
        <v>51</v>
      </c>
      <c r="S2556">
        <v>1916</v>
      </c>
      <c r="T2556">
        <v>2006</v>
      </c>
      <c r="U2556" s="1">
        <v>5856</v>
      </c>
      <c r="V2556" s="2">
        <v>5856</v>
      </c>
      <c r="Y2556" t="s">
        <v>10555</v>
      </c>
      <c r="Z2556">
        <v>0</v>
      </c>
      <c r="AA2556">
        <v>1</v>
      </c>
      <c r="AB2556">
        <v>0</v>
      </c>
      <c r="AC2556">
        <v>0</v>
      </c>
      <c r="AF2556">
        <v>1978</v>
      </c>
      <c r="AG2556">
        <v>1989</v>
      </c>
      <c r="AO2556" t="b">
        <v>1</v>
      </c>
      <c r="AP2556" t="s">
        <v>10407</v>
      </c>
      <c r="AQ2556">
        <v>1975</v>
      </c>
      <c r="AR2556">
        <v>1989</v>
      </c>
      <c r="AS2556" t="s">
        <v>10556</v>
      </c>
      <c r="AT2556">
        <v>10.3080082135523</v>
      </c>
      <c r="AU2556">
        <f t="shared" si="119"/>
        <v>2.8000000000000001E-2</v>
      </c>
    </row>
    <row r="2557" spans="1:47" x14ac:dyDescent="0.3">
      <c r="A2557">
        <v>2555</v>
      </c>
      <c r="B2557" t="s">
        <v>10557</v>
      </c>
      <c r="C2557" t="s">
        <v>10558</v>
      </c>
      <c r="D2557">
        <v>560</v>
      </c>
      <c r="E2557" t="s">
        <v>10499</v>
      </c>
      <c r="F2557" t="str">
        <f>VLOOKUP(E2557,country_continent!A:C,2,FALSE)</f>
        <v>South Africa</v>
      </c>
      <c r="G2557" t="str">
        <f>VLOOKUP(E2557,country_continent!A:C,3,FALSE)</f>
        <v>Africa</v>
      </c>
      <c r="H2557" t="s">
        <v>10559</v>
      </c>
      <c r="I2557" s="1">
        <v>32527</v>
      </c>
      <c r="J2557" s="3">
        <f t="shared" si="117"/>
        <v>32527</v>
      </c>
      <c r="K2557" s="1">
        <v>32582</v>
      </c>
      <c r="L2557" s="3">
        <f t="shared" si="118"/>
        <v>32582</v>
      </c>
      <c r="M2557" t="s">
        <v>49</v>
      </c>
      <c r="N2557" t="s">
        <v>49</v>
      </c>
      <c r="O2557" t="s">
        <v>49</v>
      </c>
      <c r="P2557">
        <v>0</v>
      </c>
      <c r="Q2557" t="s">
        <v>50</v>
      </c>
      <c r="R2557" t="s">
        <v>51</v>
      </c>
      <c r="S2557">
        <v>1927</v>
      </c>
      <c r="T2557">
        <v>2006</v>
      </c>
      <c r="U2557" s="1">
        <v>9981</v>
      </c>
      <c r="V2557" s="2">
        <v>9981</v>
      </c>
      <c r="Y2557" t="s">
        <v>10560</v>
      </c>
      <c r="Z2557">
        <v>0</v>
      </c>
      <c r="AA2557">
        <v>1</v>
      </c>
      <c r="AB2557">
        <v>0</v>
      </c>
      <c r="AC2557">
        <v>0</v>
      </c>
      <c r="AF2557">
        <v>1989</v>
      </c>
      <c r="AG2557">
        <v>1989</v>
      </c>
      <c r="AO2557" t="b">
        <v>1</v>
      </c>
      <c r="AP2557" t="s">
        <v>10407</v>
      </c>
      <c r="AQ2557">
        <v>1975</v>
      </c>
      <c r="AR2557">
        <v>1989</v>
      </c>
      <c r="AS2557" t="s">
        <v>10561</v>
      </c>
      <c r="AT2557">
        <v>0.15058179329226501</v>
      </c>
      <c r="AU2557">
        <f t="shared" si="119"/>
        <v>0</v>
      </c>
    </row>
    <row r="2558" spans="1:47" x14ac:dyDescent="0.3">
      <c r="A2558">
        <v>2556</v>
      </c>
      <c r="B2558" t="s">
        <v>10562</v>
      </c>
      <c r="C2558" t="s">
        <v>10553</v>
      </c>
      <c r="D2558">
        <v>560</v>
      </c>
      <c r="E2558" t="s">
        <v>10499</v>
      </c>
      <c r="F2558" t="str">
        <f>VLOOKUP(E2558,country_continent!A:C,2,FALSE)</f>
        <v>South Africa</v>
      </c>
      <c r="G2558" t="str">
        <f>VLOOKUP(E2558,country_continent!A:C,3,FALSE)</f>
        <v>Africa</v>
      </c>
      <c r="H2558" t="s">
        <v>10554</v>
      </c>
      <c r="I2558" s="1">
        <v>32582</v>
      </c>
      <c r="J2558" s="3">
        <f t="shared" si="117"/>
        <v>32582</v>
      </c>
      <c r="K2558" s="1">
        <v>32734</v>
      </c>
      <c r="L2558" s="3">
        <f t="shared" si="118"/>
        <v>32734</v>
      </c>
      <c r="M2558" t="s">
        <v>49</v>
      </c>
      <c r="N2558" t="s">
        <v>49</v>
      </c>
      <c r="O2558" t="s">
        <v>49</v>
      </c>
      <c r="P2558">
        <v>1</v>
      </c>
      <c r="Q2558" t="s">
        <v>50</v>
      </c>
      <c r="R2558" t="s">
        <v>51</v>
      </c>
      <c r="S2558">
        <v>1916</v>
      </c>
      <c r="T2558">
        <v>2006</v>
      </c>
      <c r="U2558" s="1">
        <v>5856</v>
      </c>
      <c r="V2558" s="2">
        <v>5856</v>
      </c>
      <c r="Y2558" t="s">
        <v>10555</v>
      </c>
      <c r="Z2558">
        <v>0</v>
      </c>
      <c r="AA2558">
        <v>1</v>
      </c>
      <c r="AB2558">
        <v>0</v>
      </c>
      <c r="AC2558">
        <v>0</v>
      </c>
      <c r="AF2558">
        <v>1989</v>
      </c>
      <c r="AG2558">
        <v>1989</v>
      </c>
      <c r="AO2558" t="b">
        <v>1</v>
      </c>
      <c r="AP2558" t="s">
        <v>10407</v>
      </c>
      <c r="AQ2558">
        <v>1975</v>
      </c>
      <c r="AR2558">
        <v>1989</v>
      </c>
      <c r="AS2558" t="s">
        <v>10563</v>
      </c>
      <c r="AT2558">
        <v>0.41615331964407898</v>
      </c>
      <c r="AU2558">
        <f t="shared" si="119"/>
        <v>1E-3</v>
      </c>
    </row>
    <row r="2559" spans="1:47" x14ac:dyDescent="0.3">
      <c r="A2559">
        <v>2557</v>
      </c>
      <c r="B2559" t="s">
        <v>10564</v>
      </c>
      <c r="C2559" t="s">
        <v>10565</v>
      </c>
      <c r="D2559">
        <v>560</v>
      </c>
      <c r="E2559" t="s">
        <v>10499</v>
      </c>
      <c r="F2559" t="str">
        <f>VLOOKUP(E2559,country_continent!A:C,2,FALSE)</f>
        <v>South Africa</v>
      </c>
      <c r="G2559" t="str">
        <f>VLOOKUP(E2559,country_continent!A:C,3,FALSE)</f>
        <v>Africa</v>
      </c>
      <c r="H2559" t="s">
        <v>10566</v>
      </c>
      <c r="I2559" s="1">
        <v>32735</v>
      </c>
      <c r="J2559" s="3">
        <f t="shared" si="117"/>
        <v>32735</v>
      </c>
      <c r="K2559" s="1">
        <v>34464</v>
      </c>
      <c r="L2559" s="3">
        <f t="shared" si="118"/>
        <v>34464</v>
      </c>
      <c r="M2559" t="s">
        <v>49</v>
      </c>
      <c r="N2559" t="s">
        <v>49</v>
      </c>
      <c r="O2559" t="s">
        <v>49</v>
      </c>
      <c r="P2559">
        <v>0</v>
      </c>
      <c r="Q2559" t="s">
        <v>50</v>
      </c>
      <c r="R2559" t="s">
        <v>51</v>
      </c>
      <c r="S2559">
        <v>1936</v>
      </c>
      <c r="T2559">
        <v>-777</v>
      </c>
      <c r="U2559" s="1">
        <v>13227</v>
      </c>
      <c r="V2559" s="2">
        <v>13227</v>
      </c>
      <c r="Y2559" t="s">
        <v>10567</v>
      </c>
      <c r="Z2559">
        <v>0</v>
      </c>
      <c r="AA2559">
        <v>1</v>
      </c>
      <c r="AB2559">
        <v>0</v>
      </c>
      <c r="AC2559">
        <v>0</v>
      </c>
      <c r="AF2559">
        <v>1989</v>
      </c>
      <c r="AG2559">
        <v>1994</v>
      </c>
      <c r="AO2559" t="b">
        <v>1</v>
      </c>
      <c r="AP2559" t="s">
        <v>10407</v>
      </c>
      <c r="AQ2559">
        <v>1975</v>
      </c>
      <c r="AR2559">
        <v>1989</v>
      </c>
      <c r="AS2559" t="s">
        <v>10568</v>
      </c>
      <c r="AT2559">
        <v>4.7337440109514004</v>
      </c>
      <c r="AU2559">
        <f t="shared" si="119"/>
        <v>1.2999999999999999E-2</v>
      </c>
    </row>
    <row r="2560" spans="1:47" x14ac:dyDescent="0.3">
      <c r="A2560">
        <v>2558</v>
      </c>
      <c r="B2560" t="s">
        <v>10569</v>
      </c>
      <c r="C2560" t="s">
        <v>10570</v>
      </c>
      <c r="D2560">
        <v>560</v>
      </c>
      <c r="E2560" t="s">
        <v>10499</v>
      </c>
      <c r="F2560" t="str">
        <f>VLOOKUP(E2560,country_continent!A:C,2,FALSE)</f>
        <v>South Africa</v>
      </c>
      <c r="G2560" t="str">
        <f>VLOOKUP(E2560,country_continent!A:C,3,FALSE)</f>
        <v>Africa</v>
      </c>
      <c r="H2560" t="s">
        <v>10571</v>
      </c>
      <c r="I2560" s="1">
        <v>34464</v>
      </c>
      <c r="J2560" s="3">
        <f t="shared" si="117"/>
        <v>34464</v>
      </c>
      <c r="K2560" s="1">
        <v>36327</v>
      </c>
      <c r="L2560" s="3">
        <f t="shared" si="118"/>
        <v>36327</v>
      </c>
      <c r="M2560" t="s">
        <v>49</v>
      </c>
      <c r="N2560" t="s">
        <v>49</v>
      </c>
      <c r="O2560" t="s">
        <v>49</v>
      </c>
      <c r="P2560">
        <v>0</v>
      </c>
      <c r="Q2560" t="s">
        <v>50</v>
      </c>
      <c r="R2560" t="s">
        <v>51</v>
      </c>
      <c r="S2560">
        <v>1918</v>
      </c>
      <c r="T2560">
        <v>-777</v>
      </c>
      <c r="U2560" s="1">
        <v>6774</v>
      </c>
      <c r="V2560" s="2">
        <v>6774</v>
      </c>
      <c r="W2560" s="1">
        <v>41613</v>
      </c>
      <c r="X2560" s="2">
        <v>41613</v>
      </c>
      <c r="Y2560" t="s">
        <v>10572</v>
      </c>
      <c r="Z2560">
        <v>0</v>
      </c>
      <c r="AA2560">
        <v>1</v>
      </c>
      <c r="AB2560">
        <v>0</v>
      </c>
      <c r="AC2560">
        <v>0</v>
      </c>
      <c r="AF2560">
        <v>1994</v>
      </c>
      <c r="AG2560">
        <v>1999</v>
      </c>
      <c r="AO2560" t="b">
        <v>1</v>
      </c>
      <c r="AP2560" t="s">
        <v>10407</v>
      </c>
      <c r="AQ2560">
        <v>1975</v>
      </c>
      <c r="AR2560">
        <v>1989</v>
      </c>
      <c r="AS2560" t="s">
        <v>10573</v>
      </c>
      <c r="AT2560">
        <v>5.1006160164271002</v>
      </c>
      <c r="AU2560">
        <f t="shared" si="119"/>
        <v>1.4E-2</v>
      </c>
    </row>
    <row r="2561" spans="1:47" x14ac:dyDescent="0.3">
      <c r="A2561">
        <v>2559</v>
      </c>
      <c r="B2561" t="s">
        <v>10574</v>
      </c>
      <c r="C2561" t="s">
        <v>10575</v>
      </c>
      <c r="D2561">
        <v>560</v>
      </c>
      <c r="E2561" t="s">
        <v>10499</v>
      </c>
      <c r="F2561" t="str">
        <f>VLOOKUP(E2561,country_continent!A:C,2,FALSE)</f>
        <v>South Africa</v>
      </c>
      <c r="G2561" t="str">
        <f>VLOOKUP(E2561,country_continent!A:C,3,FALSE)</f>
        <v>Africa</v>
      </c>
      <c r="H2561" t="s">
        <v>10576</v>
      </c>
      <c r="I2561" s="1">
        <v>36327</v>
      </c>
      <c r="J2561" s="3">
        <f t="shared" si="117"/>
        <v>36327</v>
      </c>
      <c r="K2561" s="1">
        <v>39716</v>
      </c>
      <c r="L2561" s="3">
        <f t="shared" si="118"/>
        <v>39716</v>
      </c>
      <c r="M2561" t="s">
        <v>49</v>
      </c>
      <c r="N2561" t="s">
        <v>49</v>
      </c>
      <c r="O2561" t="s">
        <v>49</v>
      </c>
      <c r="P2561">
        <v>0</v>
      </c>
      <c r="Q2561" t="s">
        <v>50</v>
      </c>
      <c r="R2561" t="s">
        <v>51</v>
      </c>
      <c r="S2561">
        <v>1942</v>
      </c>
      <c r="T2561">
        <v>-777</v>
      </c>
      <c r="U2561" s="1">
        <v>15510</v>
      </c>
      <c r="V2561" s="2">
        <v>15510</v>
      </c>
      <c r="Y2561" t="s">
        <v>10577</v>
      </c>
      <c r="Z2561">
        <v>0</v>
      </c>
      <c r="AA2561">
        <v>1</v>
      </c>
      <c r="AB2561">
        <v>0</v>
      </c>
      <c r="AC2561">
        <v>0</v>
      </c>
      <c r="AF2561">
        <v>1999</v>
      </c>
      <c r="AG2561">
        <v>2008</v>
      </c>
      <c r="AO2561" t="b">
        <v>1</v>
      </c>
      <c r="AP2561" t="s">
        <v>10407</v>
      </c>
      <c r="AQ2561">
        <v>1975</v>
      </c>
      <c r="AR2561">
        <v>1989</v>
      </c>
      <c r="AS2561" t="s">
        <v>10578</v>
      </c>
      <c r="AT2561">
        <v>9.2785763175906908</v>
      </c>
      <c r="AU2561">
        <f t="shared" si="119"/>
        <v>2.5000000000000001E-2</v>
      </c>
    </row>
    <row r="2562" spans="1:47" x14ac:dyDescent="0.3">
      <c r="A2562">
        <v>2560</v>
      </c>
      <c r="B2562" t="s">
        <v>10579</v>
      </c>
      <c r="C2562" t="s">
        <v>10580</v>
      </c>
      <c r="D2562">
        <v>560</v>
      </c>
      <c r="E2562" t="s">
        <v>10499</v>
      </c>
      <c r="F2562" t="str">
        <f>VLOOKUP(E2562,country_continent!A:C,2,FALSE)</f>
        <v>South Africa</v>
      </c>
      <c r="G2562" t="str">
        <f>VLOOKUP(E2562,country_continent!A:C,3,FALSE)</f>
        <v>Africa</v>
      </c>
      <c r="H2562" t="s">
        <v>10581</v>
      </c>
      <c r="I2562" s="1">
        <v>39716</v>
      </c>
      <c r="J2562" s="3">
        <f t="shared" si="117"/>
        <v>39716</v>
      </c>
      <c r="K2562" s="1">
        <v>39942</v>
      </c>
      <c r="L2562" s="3">
        <f t="shared" si="118"/>
        <v>39942</v>
      </c>
      <c r="M2562" t="s">
        <v>49</v>
      </c>
      <c r="N2562" t="s">
        <v>49</v>
      </c>
      <c r="O2562" t="s">
        <v>49</v>
      </c>
      <c r="P2562">
        <v>0</v>
      </c>
      <c r="Q2562" t="s">
        <v>50</v>
      </c>
      <c r="R2562" t="s">
        <v>51</v>
      </c>
      <c r="S2562">
        <v>1949</v>
      </c>
      <c r="T2562">
        <v>-777</v>
      </c>
      <c r="U2562" s="1">
        <v>18098</v>
      </c>
      <c r="V2562" s="2">
        <v>18098</v>
      </c>
      <c r="Z2562">
        <v>0</v>
      </c>
      <c r="AA2562">
        <v>1</v>
      </c>
      <c r="AB2562">
        <v>0</v>
      </c>
      <c r="AC2562">
        <v>0</v>
      </c>
      <c r="AF2562">
        <v>2008</v>
      </c>
      <c r="AG2562">
        <v>2009</v>
      </c>
      <c r="AO2562" t="b">
        <v>1</v>
      </c>
      <c r="AP2562" t="s">
        <v>10407</v>
      </c>
      <c r="AQ2562">
        <v>1975</v>
      </c>
      <c r="AR2562">
        <v>1989</v>
      </c>
      <c r="AS2562" t="s">
        <v>10582</v>
      </c>
      <c r="AT2562">
        <v>0.618754277891854</v>
      </c>
      <c r="AU2562">
        <f t="shared" si="119"/>
        <v>2E-3</v>
      </c>
    </row>
    <row r="2563" spans="1:47" x14ac:dyDescent="0.3">
      <c r="A2563">
        <v>2561</v>
      </c>
      <c r="B2563" t="s">
        <v>10583</v>
      </c>
      <c r="C2563" t="s">
        <v>10584</v>
      </c>
      <c r="D2563">
        <v>560</v>
      </c>
      <c r="E2563" t="s">
        <v>10499</v>
      </c>
      <c r="F2563" t="str">
        <f>VLOOKUP(E2563,country_continent!A:C,2,FALSE)</f>
        <v>South Africa</v>
      </c>
      <c r="G2563" t="str">
        <f>VLOOKUP(E2563,country_continent!A:C,3,FALSE)</f>
        <v>Africa</v>
      </c>
      <c r="H2563" t="s">
        <v>10585</v>
      </c>
      <c r="I2563" s="1">
        <v>39942</v>
      </c>
      <c r="J2563" s="3">
        <f t="shared" ref="J2563:J2626" si="120">IF(ISNUMBER(SEARCH("-", I2563)), SUBSTITUTE(I2563, "-", "/"), I2563)</f>
        <v>39942</v>
      </c>
      <c r="K2563" s="1">
        <v>42369</v>
      </c>
      <c r="L2563" s="3">
        <f t="shared" ref="L2563:L2626" si="121">IF(ISNUMBER(SEARCH("-", K2563)), SUBSTITUTE(K2563, "-", "/"), K2563)</f>
        <v>42369</v>
      </c>
      <c r="M2563" t="s">
        <v>49</v>
      </c>
      <c r="N2563" t="s">
        <v>173</v>
      </c>
      <c r="O2563" t="s">
        <v>173</v>
      </c>
      <c r="P2563">
        <v>0</v>
      </c>
      <c r="Q2563" t="s">
        <v>174</v>
      </c>
      <c r="R2563" t="s">
        <v>51</v>
      </c>
      <c r="S2563">
        <v>1942</v>
      </c>
      <c r="T2563">
        <v>-777</v>
      </c>
      <c r="U2563" s="1">
        <v>15443</v>
      </c>
      <c r="V2563" s="2">
        <v>15443</v>
      </c>
      <c r="Z2563">
        <v>0</v>
      </c>
      <c r="AA2563">
        <v>-888</v>
      </c>
      <c r="AB2563">
        <v>-888</v>
      </c>
      <c r="AC2563">
        <v>-888</v>
      </c>
      <c r="AF2563">
        <v>2009</v>
      </c>
      <c r="AG2563">
        <v>2015</v>
      </c>
      <c r="AO2563" t="b">
        <v>1</v>
      </c>
      <c r="AP2563" t="s">
        <v>10407</v>
      </c>
      <c r="AQ2563">
        <v>1975</v>
      </c>
      <c r="AR2563">
        <v>1989</v>
      </c>
      <c r="AS2563" t="s">
        <v>10586</v>
      </c>
      <c r="AT2563">
        <v>6.6447638603695998</v>
      </c>
      <c r="AU2563">
        <f t="shared" si="119"/>
        <v>1.7999999999999999E-2</v>
      </c>
    </row>
    <row r="2564" spans="1:47" x14ac:dyDescent="0.3">
      <c r="A2564">
        <v>2562</v>
      </c>
      <c r="B2564" t="s">
        <v>10587</v>
      </c>
      <c r="C2564" t="s">
        <v>10588</v>
      </c>
      <c r="D2564">
        <v>563</v>
      </c>
      <c r="E2564" t="s">
        <v>10589</v>
      </c>
      <c r="F2564" t="str">
        <f>VLOOKUP(E2564,country_continent!A:C,2,FALSE)</f>
        <v>Transvaal</v>
      </c>
      <c r="G2564" t="str">
        <f>VLOOKUP(E2564,country_continent!A:C,3,FALSE)</f>
        <v>Africa</v>
      </c>
      <c r="H2564" t="s">
        <v>10590</v>
      </c>
      <c r="I2564" t="s">
        <v>10591</v>
      </c>
      <c r="J2564" s="3" t="str">
        <f t="shared" si="120"/>
        <v>1872/07/01</v>
      </c>
      <c r="K2564" t="s">
        <v>3404</v>
      </c>
      <c r="L2564" s="3" t="str">
        <f t="shared" si="121"/>
        <v>1877/04/12</v>
      </c>
      <c r="M2564" t="s">
        <v>49</v>
      </c>
      <c r="N2564" t="s">
        <v>633</v>
      </c>
      <c r="O2564" t="s">
        <v>347</v>
      </c>
      <c r="P2564">
        <v>0</v>
      </c>
      <c r="Q2564" t="s">
        <v>362</v>
      </c>
      <c r="R2564" t="s">
        <v>51</v>
      </c>
      <c r="S2564">
        <v>1834</v>
      </c>
      <c r="T2564">
        <v>1881</v>
      </c>
      <c r="Y2564" t="s">
        <v>10592</v>
      </c>
      <c r="Z2564">
        <v>0</v>
      </c>
      <c r="AA2564">
        <v>4</v>
      </c>
      <c r="AB2564">
        <v>-999</v>
      </c>
      <c r="AC2564">
        <v>1</v>
      </c>
      <c r="AF2564">
        <v>1872</v>
      </c>
      <c r="AG2564">
        <v>1877</v>
      </c>
      <c r="AO2564" t="b">
        <v>0</v>
      </c>
      <c r="AT2564">
        <v>1746</v>
      </c>
      <c r="AU2564">
        <f t="shared" ref="AU2564:AU2627" si="122">ROUND(AT2564/365,3)</f>
        <v>4.7839999999999998</v>
      </c>
    </row>
    <row r="2565" spans="1:47" x14ac:dyDescent="0.3">
      <c r="A2565">
        <v>2563</v>
      </c>
      <c r="B2565" t="s">
        <v>10593</v>
      </c>
      <c r="C2565" t="s">
        <v>10594</v>
      </c>
      <c r="D2565">
        <v>563</v>
      </c>
      <c r="E2565" t="s">
        <v>10589</v>
      </c>
      <c r="F2565" t="str">
        <f>VLOOKUP(E2565,country_continent!A:C,2,FALSE)</f>
        <v>Transvaal</v>
      </c>
      <c r="G2565" t="str">
        <f>VLOOKUP(E2565,country_continent!A:C,3,FALSE)</f>
        <v>Africa</v>
      </c>
      <c r="H2565" t="s">
        <v>10595</v>
      </c>
      <c r="I2565" t="s">
        <v>3404</v>
      </c>
      <c r="J2565" s="3" t="str">
        <f t="shared" si="120"/>
        <v>1877/04/12</v>
      </c>
      <c r="K2565" t="s">
        <v>10596</v>
      </c>
      <c r="L2565" s="3" t="str">
        <f t="shared" si="121"/>
        <v>1879/03/04</v>
      </c>
      <c r="M2565" t="s">
        <v>637</v>
      </c>
      <c r="N2565" t="s">
        <v>49</v>
      </c>
      <c r="O2565" t="s">
        <v>49</v>
      </c>
      <c r="P2565">
        <v>0</v>
      </c>
      <c r="Q2565" t="s">
        <v>50</v>
      </c>
      <c r="R2565" t="s">
        <v>51</v>
      </c>
      <c r="S2565">
        <v>1817</v>
      </c>
      <c r="T2565">
        <v>1893</v>
      </c>
      <c r="Z2565">
        <v>2</v>
      </c>
      <c r="AA2565">
        <v>1</v>
      </c>
      <c r="AB2565">
        <v>0</v>
      </c>
      <c r="AC2565">
        <v>0</v>
      </c>
      <c r="AF2565">
        <v>1877</v>
      </c>
      <c r="AG2565">
        <v>1879</v>
      </c>
      <c r="AO2565" t="b">
        <v>0</v>
      </c>
      <c r="AT2565">
        <v>691</v>
      </c>
      <c r="AU2565">
        <f t="shared" si="122"/>
        <v>1.893</v>
      </c>
    </row>
    <row r="2566" spans="1:47" x14ac:dyDescent="0.3">
      <c r="A2566">
        <v>2564</v>
      </c>
      <c r="B2566" t="s">
        <v>10597</v>
      </c>
      <c r="C2566" t="s">
        <v>10598</v>
      </c>
      <c r="D2566">
        <v>563</v>
      </c>
      <c r="E2566" t="s">
        <v>10589</v>
      </c>
      <c r="F2566" t="str">
        <f>VLOOKUP(E2566,country_continent!A:C,2,FALSE)</f>
        <v>Transvaal</v>
      </c>
      <c r="G2566" t="str">
        <f>VLOOKUP(E2566,country_continent!A:C,3,FALSE)</f>
        <v>Africa</v>
      </c>
      <c r="H2566" t="s">
        <v>10599</v>
      </c>
      <c r="I2566" t="s">
        <v>10596</v>
      </c>
      <c r="J2566" s="3" t="str">
        <f t="shared" si="120"/>
        <v>1879/03/04</v>
      </c>
      <c r="K2566" t="s">
        <v>10600</v>
      </c>
      <c r="L2566" s="3" t="str">
        <f t="shared" si="121"/>
        <v>1881/08/08</v>
      </c>
      <c r="M2566" t="s">
        <v>49</v>
      </c>
      <c r="N2566" t="s">
        <v>67</v>
      </c>
      <c r="O2566" t="s">
        <v>347</v>
      </c>
      <c r="P2566">
        <v>0</v>
      </c>
      <c r="Q2566" t="s">
        <v>50</v>
      </c>
      <c r="R2566" t="s">
        <v>51</v>
      </c>
      <c r="S2566">
        <v>1842</v>
      </c>
      <c r="T2566">
        <v>1887</v>
      </c>
      <c r="Z2566">
        <v>0</v>
      </c>
      <c r="AA2566">
        <v>3</v>
      </c>
      <c r="AB2566">
        <v>-999</v>
      </c>
      <c r="AC2566">
        <v>0</v>
      </c>
      <c r="AF2566">
        <v>1879</v>
      </c>
      <c r="AG2566">
        <v>1881</v>
      </c>
      <c r="AO2566" t="b">
        <v>0</v>
      </c>
      <c r="AT2566">
        <v>888</v>
      </c>
      <c r="AU2566">
        <f t="shared" si="122"/>
        <v>2.4329999999999998</v>
      </c>
    </row>
    <row r="2567" spans="1:47" x14ac:dyDescent="0.3">
      <c r="A2567">
        <v>2565</v>
      </c>
      <c r="B2567" t="s">
        <v>10601</v>
      </c>
      <c r="C2567" t="s">
        <v>10602</v>
      </c>
      <c r="D2567">
        <v>563</v>
      </c>
      <c r="E2567" t="s">
        <v>10589</v>
      </c>
      <c r="F2567" t="str">
        <f>VLOOKUP(E2567,country_continent!A:C,2,FALSE)</f>
        <v>Transvaal</v>
      </c>
      <c r="G2567" t="str">
        <f>VLOOKUP(E2567,country_continent!A:C,3,FALSE)</f>
        <v>Africa</v>
      </c>
      <c r="H2567" t="s">
        <v>10603</v>
      </c>
      <c r="I2567" t="s">
        <v>10600</v>
      </c>
      <c r="J2567" s="3" t="str">
        <f t="shared" si="120"/>
        <v>1881/08/08</v>
      </c>
      <c r="K2567" t="s">
        <v>10604</v>
      </c>
      <c r="L2567" s="3" t="str">
        <f t="shared" si="121"/>
        <v>1883/05/09</v>
      </c>
      <c r="M2567" t="s">
        <v>67</v>
      </c>
      <c r="N2567" t="s">
        <v>49</v>
      </c>
      <c r="O2567" t="s">
        <v>49</v>
      </c>
      <c r="P2567">
        <v>0</v>
      </c>
      <c r="Q2567" t="s">
        <v>50</v>
      </c>
      <c r="R2567" t="s">
        <v>51</v>
      </c>
      <c r="S2567">
        <v>-999</v>
      </c>
      <c r="T2567">
        <v>-999</v>
      </c>
      <c r="Z2567">
        <v>1</v>
      </c>
      <c r="AA2567">
        <v>1</v>
      </c>
      <c r="AB2567">
        <v>0</v>
      </c>
      <c r="AC2567">
        <v>0</v>
      </c>
      <c r="AF2567">
        <v>1881</v>
      </c>
      <c r="AG2567">
        <v>1883</v>
      </c>
      <c r="AO2567" t="b">
        <v>0</v>
      </c>
      <c r="AT2567">
        <v>639</v>
      </c>
      <c r="AU2567">
        <f t="shared" si="122"/>
        <v>1.7509999999999999</v>
      </c>
    </row>
    <row r="2568" spans="1:47" x14ac:dyDescent="0.3">
      <c r="A2568">
        <v>2566</v>
      </c>
      <c r="B2568" t="s">
        <v>10605</v>
      </c>
      <c r="C2568" t="s">
        <v>10606</v>
      </c>
      <c r="D2568">
        <v>563</v>
      </c>
      <c r="E2568" t="s">
        <v>10589</v>
      </c>
      <c r="F2568" t="str">
        <f>VLOOKUP(E2568,country_continent!A:C,2,FALSE)</f>
        <v>Transvaal</v>
      </c>
      <c r="G2568" t="str">
        <f>VLOOKUP(E2568,country_continent!A:C,3,FALSE)</f>
        <v>Africa</v>
      </c>
      <c r="H2568" t="s">
        <v>10607</v>
      </c>
      <c r="I2568" t="s">
        <v>10604</v>
      </c>
      <c r="J2568" s="3" t="str">
        <f t="shared" si="120"/>
        <v>1883/05/09</v>
      </c>
      <c r="K2568" s="1">
        <v>254</v>
      </c>
      <c r="L2568" s="3">
        <f t="shared" si="121"/>
        <v>254</v>
      </c>
      <c r="M2568" t="s">
        <v>49</v>
      </c>
      <c r="N2568" t="s">
        <v>49</v>
      </c>
      <c r="O2568" t="s">
        <v>49</v>
      </c>
      <c r="P2568">
        <v>0</v>
      </c>
      <c r="Q2568" t="s">
        <v>362</v>
      </c>
      <c r="R2568" t="s">
        <v>51</v>
      </c>
      <c r="S2568">
        <v>1825</v>
      </c>
      <c r="T2568">
        <v>1904</v>
      </c>
      <c r="Y2568" t="s">
        <v>10608</v>
      </c>
      <c r="Z2568">
        <v>0</v>
      </c>
      <c r="AA2568">
        <v>1</v>
      </c>
      <c r="AB2568">
        <v>0</v>
      </c>
      <c r="AC2568">
        <v>1</v>
      </c>
      <c r="AF2568">
        <v>1883</v>
      </c>
      <c r="AG2568">
        <v>1900</v>
      </c>
      <c r="AO2568" t="b">
        <v>0</v>
      </c>
      <c r="AT2568">
        <v>6333</v>
      </c>
      <c r="AU2568">
        <f t="shared" si="122"/>
        <v>17.350999999999999</v>
      </c>
    </row>
    <row r="2569" spans="1:47" x14ac:dyDescent="0.3">
      <c r="A2569">
        <v>2567</v>
      </c>
      <c r="B2569" t="s">
        <v>10609</v>
      </c>
      <c r="C2569" t="s">
        <v>10610</v>
      </c>
      <c r="D2569">
        <v>563</v>
      </c>
      <c r="E2569" t="s">
        <v>10589</v>
      </c>
      <c r="F2569" t="str">
        <f>VLOOKUP(E2569,country_continent!A:C,2,FALSE)</f>
        <v>Transvaal</v>
      </c>
      <c r="G2569" t="str">
        <f>VLOOKUP(E2569,country_continent!A:C,3,FALSE)</f>
        <v>Africa</v>
      </c>
      <c r="H2569" t="s">
        <v>10611</v>
      </c>
      <c r="I2569" s="1">
        <v>254</v>
      </c>
      <c r="J2569" s="3">
        <f t="shared" si="120"/>
        <v>254</v>
      </c>
      <c r="K2569" s="1">
        <v>882</v>
      </c>
      <c r="L2569" s="3">
        <f t="shared" si="121"/>
        <v>882</v>
      </c>
      <c r="M2569" t="s">
        <v>49</v>
      </c>
      <c r="N2569" t="s">
        <v>633</v>
      </c>
      <c r="O2569" t="s">
        <v>347</v>
      </c>
      <c r="P2569">
        <v>0</v>
      </c>
      <c r="Q2569" t="s">
        <v>50</v>
      </c>
      <c r="R2569" t="s">
        <v>51</v>
      </c>
      <c r="S2569">
        <v>1852</v>
      </c>
      <c r="T2569">
        <v>1918</v>
      </c>
      <c r="Z2569">
        <v>0</v>
      </c>
      <c r="AA2569">
        <v>4</v>
      </c>
      <c r="AB2569">
        <v>-999</v>
      </c>
      <c r="AC2569">
        <v>0</v>
      </c>
      <c r="AF2569">
        <v>1900</v>
      </c>
      <c r="AG2569">
        <v>1902</v>
      </c>
      <c r="AO2569" t="b">
        <v>0</v>
      </c>
      <c r="AT2569">
        <v>628</v>
      </c>
      <c r="AU2569">
        <f t="shared" si="122"/>
        <v>1.7210000000000001</v>
      </c>
    </row>
    <row r="2570" spans="1:47" x14ac:dyDescent="0.3">
      <c r="A2570">
        <v>2568</v>
      </c>
      <c r="B2570" t="s">
        <v>10612</v>
      </c>
      <c r="C2570" t="s">
        <v>10613</v>
      </c>
      <c r="D2570">
        <v>563</v>
      </c>
      <c r="E2570" t="s">
        <v>10589</v>
      </c>
      <c r="F2570" t="str">
        <f>VLOOKUP(E2570,country_continent!A:C,2,FALSE)</f>
        <v>Transvaal</v>
      </c>
      <c r="G2570" t="str">
        <f>VLOOKUP(E2570,country_continent!A:C,3,FALSE)</f>
        <v>Africa</v>
      </c>
      <c r="H2570" t="s">
        <v>10614</v>
      </c>
      <c r="I2570" s="1">
        <v>903</v>
      </c>
      <c r="J2570" s="3">
        <f t="shared" si="120"/>
        <v>903</v>
      </c>
      <c r="K2570" s="1">
        <v>1918</v>
      </c>
      <c r="L2570" s="3">
        <f t="shared" si="121"/>
        <v>1918</v>
      </c>
      <c r="M2570" t="s">
        <v>637</v>
      </c>
      <c r="N2570" t="s">
        <v>49</v>
      </c>
      <c r="O2570" t="s">
        <v>49</v>
      </c>
      <c r="P2570">
        <v>0</v>
      </c>
      <c r="Q2570" t="s">
        <v>50</v>
      </c>
      <c r="R2570" t="s">
        <v>51</v>
      </c>
      <c r="S2570">
        <v>1854</v>
      </c>
      <c r="T2570">
        <v>1925</v>
      </c>
      <c r="Z2570">
        <v>2</v>
      </c>
      <c r="AA2570">
        <v>1</v>
      </c>
      <c r="AB2570">
        <v>0</v>
      </c>
      <c r="AC2570">
        <v>0</v>
      </c>
      <c r="AF2570">
        <v>1902</v>
      </c>
      <c r="AG2570">
        <v>1905</v>
      </c>
      <c r="AO2570" t="b">
        <v>0</v>
      </c>
      <c r="AT2570">
        <v>1015</v>
      </c>
      <c r="AU2570">
        <f t="shared" si="122"/>
        <v>2.7810000000000001</v>
      </c>
    </row>
    <row r="2571" spans="1:47" x14ac:dyDescent="0.3">
      <c r="A2571">
        <v>2569</v>
      </c>
      <c r="B2571" t="s">
        <v>10615</v>
      </c>
      <c r="C2571" t="s">
        <v>10616</v>
      </c>
      <c r="D2571">
        <v>563</v>
      </c>
      <c r="E2571" t="s">
        <v>10589</v>
      </c>
      <c r="F2571" t="str">
        <f>VLOOKUP(E2571,country_continent!A:C,2,FALSE)</f>
        <v>Transvaal</v>
      </c>
      <c r="G2571" t="str">
        <f>VLOOKUP(E2571,country_continent!A:C,3,FALSE)</f>
        <v>Africa</v>
      </c>
      <c r="H2571" t="s">
        <v>10617</v>
      </c>
      <c r="I2571" s="1">
        <v>1919</v>
      </c>
      <c r="J2571" s="3">
        <f t="shared" si="120"/>
        <v>1919</v>
      </c>
      <c r="K2571" s="1">
        <v>2592</v>
      </c>
      <c r="L2571" s="3">
        <f t="shared" si="121"/>
        <v>2592</v>
      </c>
      <c r="M2571" t="s">
        <v>49</v>
      </c>
      <c r="N2571" t="s">
        <v>49</v>
      </c>
      <c r="O2571" t="s">
        <v>49</v>
      </c>
      <c r="P2571">
        <v>0</v>
      </c>
      <c r="Q2571" t="s">
        <v>50</v>
      </c>
      <c r="R2571" t="s">
        <v>51</v>
      </c>
      <c r="S2571">
        <v>1859</v>
      </c>
      <c r="T2571">
        <v>1942</v>
      </c>
      <c r="Z2571">
        <v>0</v>
      </c>
      <c r="AA2571">
        <v>1</v>
      </c>
      <c r="AB2571">
        <v>0</v>
      </c>
      <c r="AC2571">
        <v>0</v>
      </c>
      <c r="AF2571">
        <v>1905</v>
      </c>
      <c r="AG2571">
        <v>1907</v>
      </c>
      <c r="AO2571" t="b">
        <v>0</v>
      </c>
      <c r="AT2571">
        <v>673</v>
      </c>
      <c r="AU2571">
        <f t="shared" si="122"/>
        <v>1.8440000000000001</v>
      </c>
    </row>
    <row r="2572" spans="1:47" x14ac:dyDescent="0.3">
      <c r="A2572">
        <v>2570</v>
      </c>
      <c r="B2572" t="s">
        <v>10618</v>
      </c>
      <c r="C2572" t="s">
        <v>10619</v>
      </c>
      <c r="D2572">
        <v>563</v>
      </c>
      <c r="E2572" t="s">
        <v>10589</v>
      </c>
      <c r="F2572" t="str">
        <f>VLOOKUP(E2572,country_continent!A:C,2,FALSE)</f>
        <v>Transvaal</v>
      </c>
      <c r="G2572" t="str">
        <f>VLOOKUP(E2572,country_continent!A:C,3,FALSE)</f>
        <v>Africa</v>
      </c>
      <c r="H2572" t="s">
        <v>10500</v>
      </c>
      <c r="I2572" s="1">
        <v>2592</v>
      </c>
      <c r="J2572" s="3">
        <f t="shared" si="120"/>
        <v>2592</v>
      </c>
      <c r="K2572" s="1">
        <v>3804</v>
      </c>
      <c r="L2572" s="3">
        <f t="shared" si="121"/>
        <v>3804</v>
      </c>
      <c r="M2572" t="s">
        <v>49</v>
      </c>
      <c r="N2572" t="s">
        <v>49</v>
      </c>
      <c r="O2572" t="s">
        <v>49</v>
      </c>
      <c r="P2572">
        <v>0</v>
      </c>
      <c r="Q2572" t="s">
        <v>50</v>
      </c>
      <c r="R2572" t="s">
        <v>51</v>
      </c>
      <c r="S2572">
        <v>1862</v>
      </c>
      <c r="T2572">
        <v>1919</v>
      </c>
      <c r="U2572" t="s">
        <v>10501</v>
      </c>
      <c r="V2572" t="s">
        <v>10502</v>
      </c>
      <c r="W2572" s="1">
        <v>7179</v>
      </c>
      <c r="X2572" s="2">
        <v>7179</v>
      </c>
      <c r="Y2572" t="s">
        <v>10503</v>
      </c>
      <c r="Z2572">
        <v>0</v>
      </c>
      <c r="AA2572">
        <v>1</v>
      </c>
      <c r="AB2572">
        <v>0</v>
      </c>
      <c r="AC2572">
        <v>0</v>
      </c>
      <c r="AF2572">
        <v>1907</v>
      </c>
      <c r="AG2572">
        <v>1910</v>
      </c>
      <c r="AO2572" t="b">
        <v>0</v>
      </c>
      <c r="AT2572">
        <v>1212</v>
      </c>
      <c r="AU2572">
        <f t="shared" si="122"/>
        <v>3.3210000000000002</v>
      </c>
    </row>
    <row r="2573" spans="1:47" x14ac:dyDescent="0.3">
      <c r="A2573">
        <v>2571</v>
      </c>
      <c r="B2573" t="s">
        <v>10620</v>
      </c>
      <c r="C2573" t="s">
        <v>10621</v>
      </c>
      <c r="D2573">
        <v>564</v>
      </c>
      <c r="E2573" t="s">
        <v>10622</v>
      </c>
      <c r="F2573" t="str">
        <f>VLOOKUP(E2573,country_continent!A:C,2,FALSE)</f>
        <v>Orange Free State</v>
      </c>
      <c r="G2573" t="str">
        <f>VLOOKUP(E2573,country_continent!A:C,3,FALSE)</f>
        <v>Africa</v>
      </c>
      <c r="H2573" t="s">
        <v>10623</v>
      </c>
      <c r="I2573" t="s">
        <v>10624</v>
      </c>
      <c r="J2573" s="3" t="str">
        <f t="shared" si="120"/>
        <v>1873/06/16</v>
      </c>
      <c r="K2573" t="s">
        <v>10625</v>
      </c>
      <c r="L2573" s="3" t="str">
        <f t="shared" si="121"/>
        <v>1888/07/14</v>
      </c>
      <c r="M2573" t="s">
        <v>49</v>
      </c>
      <c r="N2573" t="s">
        <v>110</v>
      </c>
      <c r="O2573" t="s">
        <v>49</v>
      </c>
      <c r="P2573">
        <v>0</v>
      </c>
      <c r="Q2573" t="s">
        <v>111</v>
      </c>
      <c r="R2573" t="s">
        <v>51</v>
      </c>
      <c r="S2573">
        <v>1823</v>
      </c>
      <c r="T2573">
        <v>1888</v>
      </c>
      <c r="W2573" t="s">
        <v>10625</v>
      </c>
      <c r="X2573" t="s">
        <v>10626</v>
      </c>
      <c r="Y2573" t="s">
        <v>10627</v>
      </c>
      <c r="Z2573">
        <v>0</v>
      </c>
      <c r="AA2573">
        <v>2</v>
      </c>
      <c r="AB2573">
        <v>0</v>
      </c>
      <c r="AC2573">
        <v>-777</v>
      </c>
      <c r="AF2573">
        <v>1873</v>
      </c>
      <c r="AG2573">
        <v>1888</v>
      </c>
      <c r="AO2573" t="b">
        <v>0</v>
      </c>
      <c r="AT2573">
        <v>5507</v>
      </c>
      <c r="AU2573">
        <f t="shared" si="122"/>
        <v>15.087999999999999</v>
      </c>
    </row>
    <row r="2574" spans="1:47" x14ac:dyDescent="0.3">
      <c r="A2574">
        <v>2572</v>
      </c>
      <c r="B2574" t="s">
        <v>10628</v>
      </c>
      <c r="C2574" t="s">
        <v>10629</v>
      </c>
      <c r="D2574">
        <v>564</v>
      </c>
      <c r="E2574" t="s">
        <v>10622</v>
      </c>
      <c r="F2574" t="str">
        <f>VLOOKUP(E2574,country_continent!A:C,2,FALSE)</f>
        <v>Orange Free State</v>
      </c>
      <c r="G2574" t="str">
        <f>VLOOKUP(E2574,country_continent!A:C,3,FALSE)</f>
        <v>Africa</v>
      </c>
      <c r="H2574" t="s">
        <v>10630</v>
      </c>
      <c r="I2574" t="s">
        <v>10625</v>
      </c>
      <c r="J2574" s="3" t="str">
        <f t="shared" si="120"/>
        <v>1888/07/14</v>
      </c>
      <c r="K2574" t="s">
        <v>10631</v>
      </c>
      <c r="L2574" s="3" t="str">
        <f t="shared" si="121"/>
        <v>1889/01/10</v>
      </c>
      <c r="M2574" t="s">
        <v>49</v>
      </c>
      <c r="N2574" t="s">
        <v>49</v>
      </c>
      <c r="O2574" t="s">
        <v>49</v>
      </c>
      <c r="P2574">
        <v>0</v>
      </c>
      <c r="Q2574" t="s">
        <v>50</v>
      </c>
      <c r="R2574" t="s">
        <v>51</v>
      </c>
      <c r="S2574">
        <v>1841</v>
      </c>
      <c r="T2574">
        <v>1909</v>
      </c>
      <c r="Z2574">
        <v>0</v>
      </c>
      <c r="AA2574">
        <v>1</v>
      </c>
      <c r="AB2574">
        <v>0</v>
      </c>
      <c r="AC2574">
        <v>0</v>
      </c>
      <c r="AF2574">
        <v>1888</v>
      </c>
      <c r="AG2574">
        <v>1889</v>
      </c>
      <c r="AO2574" t="b">
        <v>0</v>
      </c>
      <c r="AT2574">
        <v>180</v>
      </c>
      <c r="AU2574">
        <f t="shared" si="122"/>
        <v>0.49299999999999999</v>
      </c>
    </row>
    <row r="2575" spans="1:47" x14ac:dyDescent="0.3">
      <c r="A2575">
        <v>2573</v>
      </c>
      <c r="B2575" t="s">
        <v>10632</v>
      </c>
      <c r="C2575" t="s">
        <v>10633</v>
      </c>
      <c r="D2575">
        <v>564</v>
      </c>
      <c r="E2575" t="s">
        <v>10622</v>
      </c>
      <c r="F2575" t="str">
        <f>VLOOKUP(E2575,country_continent!A:C,2,FALSE)</f>
        <v>Orange Free State</v>
      </c>
      <c r="G2575" t="str">
        <f>VLOOKUP(E2575,country_continent!A:C,3,FALSE)</f>
        <v>Africa</v>
      </c>
      <c r="H2575" t="s">
        <v>10634</v>
      </c>
      <c r="I2575" t="s">
        <v>10631</v>
      </c>
      <c r="J2575" s="3" t="str">
        <f t="shared" si="120"/>
        <v>1889/01/10</v>
      </c>
      <c r="K2575" t="s">
        <v>10635</v>
      </c>
      <c r="L2575" s="3" t="str">
        <f t="shared" si="121"/>
        <v>1895/12/11</v>
      </c>
      <c r="M2575" t="s">
        <v>49</v>
      </c>
      <c r="N2575" t="s">
        <v>228</v>
      </c>
      <c r="O2575" t="s">
        <v>49</v>
      </c>
      <c r="P2575">
        <v>0</v>
      </c>
      <c r="Q2575" t="s">
        <v>50</v>
      </c>
      <c r="R2575" t="s">
        <v>51</v>
      </c>
      <c r="S2575">
        <v>1844</v>
      </c>
      <c r="T2575">
        <v>1934</v>
      </c>
      <c r="Y2575" t="s">
        <v>10636</v>
      </c>
      <c r="Z2575">
        <v>0</v>
      </c>
      <c r="AA2575">
        <v>2.0999998999999998</v>
      </c>
      <c r="AB2575">
        <v>0</v>
      </c>
      <c r="AC2575">
        <v>0</v>
      </c>
      <c r="AF2575">
        <v>1889</v>
      </c>
      <c r="AG2575">
        <v>1895</v>
      </c>
      <c r="AO2575" t="b">
        <v>0</v>
      </c>
      <c r="AT2575">
        <v>2526</v>
      </c>
      <c r="AU2575">
        <f t="shared" si="122"/>
        <v>6.9210000000000003</v>
      </c>
    </row>
    <row r="2576" spans="1:47" x14ac:dyDescent="0.3">
      <c r="A2576">
        <v>2574</v>
      </c>
      <c r="B2576" t="s">
        <v>10637</v>
      </c>
      <c r="C2576" t="s">
        <v>10629</v>
      </c>
      <c r="D2576">
        <v>564</v>
      </c>
      <c r="E2576" t="s">
        <v>10622</v>
      </c>
      <c r="F2576" t="str">
        <f>VLOOKUP(E2576,country_continent!A:C,2,FALSE)</f>
        <v>Orange Free State</v>
      </c>
      <c r="G2576" t="str">
        <f>VLOOKUP(E2576,country_continent!A:C,3,FALSE)</f>
        <v>Africa</v>
      </c>
      <c r="H2576" t="s">
        <v>10630</v>
      </c>
      <c r="I2576" t="s">
        <v>10635</v>
      </c>
      <c r="J2576" s="3" t="str">
        <f t="shared" si="120"/>
        <v>1895/12/11</v>
      </c>
      <c r="K2576" t="s">
        <v>10638</v>
      </c>
      <c r="L2576" s="3" t="str">
        <f t="shared" si="121"/>
        <v>1896/03/04</v>
      </c>
      <c r="M2576" t="s">
        <v>49</v>
      </c>
      <c r="N2576" t="s">
        <v>49</v>
      </c>
      <c r="O2576" t="s">
        <v>49</v>
      </c>
      <c r="P2576">
        <v>1</v>
      </c>
      <c r="Q2576" t="s">
        <v>50</v>
      </c>
      <c r="R2576" t="s">
        <v>51</v>
      </c>
      <c r="S2576">
        <v>1841</v>
      </c>
      <c r="T2576">
        <v>1909</v>
      </c>
      <c r="Z2576">
        <v>0</v>
      </c>
      <c r="AA2576">
        <v>1</v>
      </c>
      <c r="AB2576">
        <v>0</v>
      </c>
      <c r="AC2576">
        <v>0</v>
      </c>
      <c r="AF2576">
        <v>1895</v>
      </c>
      <c r="AG2576">
        <v>1896</v>
      </c>
      <c r="AO2576" t="b">
        <v>0</v>
      </c>
      <c r="AT2576">
        <v>84</v>
      </c>
      <c r="AU2576">
        <f t="shared" si="122"/>
        <v>0.23</v>
      </c>
    </row>
    <row r="2577" spans="1:47" x14ac:dyDescent="0.3">
      <c r="A2577">
        <v>2575</v>
      </c>
      <c r="B2577" t="s">
        <v>10639</v>
      </c>
      <c r="C2577" t="s">
        <v>10640</v>
      </c>
      <c r="D2577">
        <v>564</v>
      </c>
      <c r="E2577" t="s">
        <v>10622</v>
      </c>
      <c r="F2577" t="str">
        <f>VLOOKUP(E2577,country_continent!A:C,2,FALSE)</f>
        <v>Orange Free State</v>
      </c>
      <c r="G2577" t="str">
        <f>VLOOKUP(E2577,country_continent!A:C,3,FALSE)</f>
        <v>Africa</v>
      </c>
      <c r="H2577" t="s">
        <v>10641</v>
      </c>
      <c r="I2577" t="s">
        <v>10638</v>
      </c>
      <c r="J2577" s="3" t="str">
        <f t="shared" si="120"/>
        <v>1896/03/04</v>
      </c>
      <c r="K2577" s="1">
        <v>882</v>
      </c>
      <c r="L2577" s="3">
        <f t="shared" si="121"/>
        <v>882</v>
      </c>
      <c r="M2577" t="s">
        <v>49</v>
      </c>
      <c r="N2577" t="s">
        <v>633</v>
      </c>
      <c r="O2577" t="s">
        <v>347</v>
      </c>
      <c r="P2577">
        <v>0</v>
      </c>
      <c r="Q2577" t="s">
        <v>362</v>
      </c>
      <c r="R2577" t="s">
        <v>51</v>
      </c>
      <c r="S2577">
        <v>1857</v>
      </c>
      <c r="T2577">
        <v>1916</v>
      </c>
      <c r="Y2577" t="s">
        <v>10642</v>
      </c>
      <c r="Z2577">
        <v>0</v>
      </c>
      <c r="AA2577">
        <v>4</v>
      </c>
      <c r="AB2577">
        <v>-999</v>
      </c>
      <c r="AC2577">
        <v>1</v>
      </c>
      <c r="AF2577">
        <v>1896</v>
      </c>
      <c r="AG2577">
        <v>1902</v>
      </c>
      <c r="AO2577" t="b">
        <v>0</v>
      </c>
      <c r="AT2577">
        <v>2278</v>
      </c>
      <c r="AU2577">
        <f t="shared" si="122"/>
        <v>6.2409999999999997</v>
      </c>
    </row>
    <row r="2578" spans="1:47" x14ac:dyDescent="0.3">
      <c r="A2578">
        <v>2576</v>
      </c>
      <c r="B2578" t="s">
        <v>10643</v>
      </c>
      <c r="C2578" t="s">
        <v>10644</v>
      </c>
      <c r="D2578">
        <v>564</v>
      </c>
      <c r="E2578" t="s">
        <v>10622</v>
      </c>
      <c r="F2578" t="str">
        <f>VLOOKUP(E2578,country_continent!A:C,2,FALSE)</f>
        <v>Orange Free State</v>
      </c>
      <c r="G2578" t="str">
        <f>VLOOKUP(E2578,country_continent!A:C,3,FALSE)</f>
        <v>Africa</v>
      </c>
      <c r="H2578" t="s">
        <v>10614</v>
      </c>
      <c r="I2578" s="1">
        <v>905</v>
      </c>
      <c r="J2578" s="3">
        <f t="shared" si="120"/>
        <v>905</v>
      </c>
      <c r="K2578" s="1">
        <v>1918</v>
      </c>
      <c r="L2578" s="3">
        <f t="shared" si="121"/>
        <v>1918</v>
      </c>
      <c r="M2578" t="s">
        <v>637</v>
      </c>
      <c r="N2578" t="s">
        <v>49</v>
      </c>
      <c r="O2578" t="s">
        <v>49</v>
      </c>
      <c r="P2578">
        <v>0</v>
      </c>
      <c r="Q2578" t="s">
        <v>50</v>
      </c>
      <c r="R2578" t="s">
        <v>51</v>
      </c>
      <c r="S2578">
        <v>1854</v>
      </c>
      <c r="T2578">
        <v>1925</v>
      </c>
      <c r="Z2578">
        <v>2</v>
      </c>
      <c r="AA2578">
        <v>1</v>
      </c>
      <c r="AB2578">
        <v>0</v>
      </c>
      <c r="AC2578">
        <v>0</v>
      </c>
      <c r="AF2578">
        <v>1902</v>
      </c>
      <c r="AG2578">
        <v>1905</v>
      </c>
      <c r="AO2578" t="b">
        <v>0</v>
      </c>
      <c r="AT2578">
        <v>1013</v>
      </c>
      <c r="AU2578">
        <f t="shared" si="122"/>
        <v>2.7749999999999999</v>
      </c>
    </row>
    <row r="2579" spans="1:47" x14ac:dyDescent="0.3">
      <c r="A2579">
        <v>2577</v>
      </c>
      <c r="B2579" t="s">
        <v>10645</v>
      </c>
      <c r="C2579" t="s">
        <v>10646</v>
      </c>
      <c r="D2579">
        <v>564</v>
      </c>
      <c r="E2579" t="s">
        <v>10622</v>
      </c>
      <c r="F2579" t="str">
        <f>VLOOKUP(E2579,country_continent!A:C,2,FALSE)</f>
        <v>Orange Free State</v>
      </c>
      <c r="G2579" t="str">
        <f>VLOOKUP(E2579,country_continent!A:C,3,FALSE)</f>
        <v>Africa</v>
      </c>
      <c r="H2579" t="s">
        <v>10617</v>
      </c>
      <c r="I2579" s="1">
        <v>1919</v>
      </c>
      <c r="J2579" s="3">
        <f t="shared" si="120"/>
        <v>1919</v>
      </c>
      <c r="K2579" s="1">
        <v>2715</v>
      </c>
      <c r="L2579" s="3">
        <f t="shared" si="121"/>
        <v>2715</v>
      </c>
      <c r="M2579" t="s">
        <v>49</v>
      </c>
      <c r="N2579" t="s">
        <v>49</v>
      </c>
      <c r="O2579" t="s">
        <v>49</v>
      </c>
      <c r="P2579">
        <v>0</v>
      </c>
      <c r="Q2579" t="s">
        <v>50</v>
      </c>
      <c r="R2579" t="s">
        <v>51</v>
      </c>
      <c r="S2579">
        <v>1859</v>
      </c>
      <c r="T2579">
        <v>1942</v>
      </c>
      <c r="Z2579">
        <v>0</v>
      </c>
      <c r="AA2579">
        <v>1</v>
      </c>
      <c r="AB2579">
        <v>0</v>
      </c>
      <c r="AC2579">
        <v>0</v>
      </c>
      <c r="AF2579">
        <v>1905</v>
      </c>
      <c r="AG2579">
        <v>1907</v>
      </c>
      <c r="AO2579" t="b">
        <v>0</v>
      </c>
      <c r="AT2579">
        <v>796</v>
      </c>
      <c r="AU2579">
        <f t="shared" si="122"/>
        <v>2.181</v>
      </c>
    </row>
    <row r="2580" spans="1:47" x14ac:dyDescent="0.3">
      <c r="A2580">
        <v>2578</v>
      </c>
      <c r="B2580" t="s">
        <v>10647</v>
      </c>
      <c r="C2580" t="s">
        <v>10648</v>
      </c>
      <c r="D2580">
        <v>564</v>
      </c>
      <c r="E2580" t="s">
        <v>10622</v>
      </c>
      <c r="F2580" t="str">
        <f>VLOOKUP(E2580,country_continent!A:C,2,FALSE)</f>
        <v>Orange Free State</v>
      </c>
      <c r="G2580" t="str">
        <f>VLOOKUP(E2580,country_continent!A:C,3,FALSE)</f>
        <v>Africa</v>
      </c>
      <c r="H2580" t="s">
        <v>10649</v>
      </c>
      <c r="I2580" s="1">
        <v>2715</v>
      </c>
      <c r="J2580" s="3">
        <f t="shared" si="120"/>
        <v>2715</v>
      </c>
      <c r="K2580" s="1">
        <v>2888</v>
      </c>
      <c r="L2580" s="3">
        <f t="shared" si="121"/>
        <v>2888</v>
      </c>
      <c r="M2580" t="s">
        <v>49</v>
      </c>
      <c r="N2580" t="s">
        <v>49</v>
      </c>
      <c r="O2580" t="s">
        <v>49</v>
      </c>
      <c r="P2580">
        <v>0</v>
      </c>
      <c r="Q2580" t="s">
        <v>50</v>
      </c>
      <c r="R2580" t="s">
        <v>51</v>
      </c>
      <c r="S2580">
        <v>1858</v>
      </c>
      <c r="T2580">
        <v>1920</v>
      </c>
      <c r="Z2580">
        <v>0</v>
      </c>
      <c r="AA2580">
        <v>1</v>
      </c>
      <c r="AB2580">
        <v>0</v>
      </c>
      <c r="AC2580">
        <v>0</v>
      </c>
      <c r="AF2580">
        <v>1907</v>
      </c>
      <c r="AG2580">
        <v>1907</v>
      </c>
      <c r="AO2580" t="b">
        <v>0</v>
      </c>
      <c r="AT2580">
        <v>173</v>
      </c>
      <c r="AU2580">
        <f t="shared" si="122"/>
        <v>0.47399999999999998</v>
      </c>
    </row>
    <row r="2581" spans="1:47" x14ac:dyDescent="0.3">
      <c r="A2581">
        <v>2579</v>
      </c>
      <c r="B2581" t="s">
        <v>10650</v>
      </c>
      <c r="C2581" t="s">
        <v>10651</v>
      </c>
      <c r="D2581">
        <v>564</v>
      </c>
      <c r="E2581" t="s">
        <v>10622</v>
      </c>
      <c r="F2581" t="str">
        <f>VLOOKUP(E2581,country_continent!A:C,2,FALSE)</f>
        <v>Orange Free State</v>
      </c>
      <c r="G2581" t="str">
        <f>VLOOKUP(E2581,country_continent!A:C,3,FALSE)</f>
        <v>Africa</v>
      </c>
      <c r="H2581" t="s">
        <v>6942</v>
      </c>
      <c r="I2581" s="1">
        <v>2888</v>
      </c>
      <c r="J2581" s="3">
        <f t="shared" si="120"/>
        <v>2888</v>
      </c>
      <c r="K2581" s="1">
        <v>3804</v>
      </c>
      <c r="L2581" s="3">
        <f t="shared" si="121"/>
        <v>3804</v>
      </c>
      <c r="M2581" t="s">
        <v>49</v>
      </c>
      <c r="N2581" t="s">
        <v>49</v>
      </c>
      <c r="O2581" t="s">
        <v>49</v>
      </c>
      <c r="P2581">
        <v>0</v>
      </c>
      <c r="Q2581" t="s">
        <v>50</v>
      </c>
      <c r="R2581" t="s">
        <v>51</v>
      </c>
      <c r="S2581">
        <v>1850</v>
      </c>
      <c r="T2581">
        <v>1913</v>
      </c>
      <c r="Z2581">
        <v>0</v>
      </c>
      <c r="AA2581">
        <v>1</v>
      </c>
      <c r="AB2581">
        <v>0</v>
      </c>
      <c r="AC2581">
        <v>0</v>
      </c>
      <c r="AF2581">
        <v>1907</v>
      </c>
      <c r="AG2581">
        <v>1910</v>
      </c>
      <c r="AO2581" t="b">
        <v>0</v>
      </c>
      <c r="AT2581">
        <v>916</v>
      </c>
      <c r="AU2581">
        <f t="shared" si="122"/>
        <v>2.5099999999999998</v>
      </c>
    </row>
    <row r="2582" spans="1:47" x14ac:dyDescent="0.3">
      <c r="A2582">
        <v>2580</v>
      </c>
      <c r="B2582" t="s">
        <v>10652</v>
      </c>
      <c r="C2582" t="s">
        <v>10653</v>
      </c>
      <c r="D2582">
        <v>565</v>
      </c>
      <c r="E2582" t="s">
        <v>10654</v>
      </c>
      <c r="F2582" t="str">
        <f>VLOOKUP(E2582,country_continent!A:C,2,FALSE)</f>
        <v>Namibia</v>
      </c>
      <c r="G2582" t="str">
        <f>VLOOKUP(E2582,country_continent!A:C,3,FALSE)</f>
        <v>Africa</v>
      </c>
      <c r="H2582" t="s">
        <v>10655</v>
      </c>
      <c r="I2582" s="1">
        <v>32953</v>
      </c>
      <c r="J2582" s="3">
        <f t="shared" si="120"/>
        <v>32953</v>
      </c>
      <c r="K2582" s="1">
        <v>38432</v>
      </c>
      <c r="L2582" s="3">
        <f t="shared" si="121"/>
        <v>38432</v>
      </c>
      <c r="M2582" t="s">
        <v>49</v>
      </c>
      <c r="N2582" t="s">
        <v>49</v>
      </c>
      <c r="O2582" t="s">
        <v>49</v>
      </c>
      <c r="P2582">
        <v>0</v>
      </c>
      <c r="Q2582" t="s">
        <v>50</v>
      </c>
      <c r="R2582" t="s">
        <v>51</v>
      </c>
      <c r="S2582">
        <v>1929</v>
      </c>
      <c r="T2582">
        <v>-777</v>
      </c>
      <c r="U2582" s="1">
        <v>10725</v>
      </c>
      <c r="V2582" s="2">
        <v>10725</v>
      </c>
      <c r="Y2582" t="s">
        <v>10656</v>
      </c>
      <c r="Z2582">
        <v>0</v>
      </c>
      <c r="AA2582">
        <v>1</v>
      </c>
      <c r="AB2582">
        <v>0</v>
      </c>
      <c r="AC2582">
        <v>0</v>
      </c>
      <c r="AF2582">
        <v>1990</v>
      </c>
      <c r="AG2582">
        <v>2005</v>
      </c>
      <c r="AH2582">
        <v>1.3061746028233501</v>
      </c>
      <c r="AI2582">
        <v>2391.25</v>
      </c>
      <c r="AJ2582">
        <v>8.6804996171805104</v>
      </c>
      <c r="AK2582">
        <v>74.224999999999994</v>
      </c>
      <c r="AL2582">
        <v>2.64044627814217</v>
      </c>
      <c r="AM2582">
        <v>1.37758734241504</v>
      </c>
      <c r="AN2582">
        <v>6</v>
      </c>
      <c r="AO2582" t="b">
        <v>0</v>
      </c>
      <c r="AT2582">
        <v>5479</v>
      </c>
      <c r="AU2582">
        <f t="shared" si="122"/>
        <v>15.010999999999999</v>
      </c>
    </row>
    <row r="2583" spans="1:47" x14ac:dyDescent="0.3">
      <c r="A2583">
        <v>2581</v>
      </c>
      <c r="B2583" t="s">
        <v>10657</v>
      </c>
      <c r="C2583" t="s">
        <v>10658</v>
      </c>
      <c r="D2583">
        <v>565</v>
      </c>
      <c r="E2583" t="s">
        <v>10654</v>
      </c>
      <c r="F2583" t="str">
        <f>VLOOKUP(E2583,country_continent!A:C,2,FALSE)</f>
        <v>Namibia</v>
      </c>
      <c r="G2583" t="str">
        <f>VLOOKUP(E2583,country_continent!A:C,3,FALSE)</f>
        <v>Africa</v>
      </c>
      <c r="H2583" t="s">
        <v>10659</v>
      </c>
      <c r="I2583" s="1">
        <v>38432</v>
      </c>
      <c r="J2583" s="3">
        <f t="shared" si="120"/>
        <v>38432</v>
      </c>
      <c r="K2583" s="1">
        <v>42084</v>
      </c>
      <c r="L2583" s="3">
        <f t="shared" si="121"/>
        <v>42084</v>
      </c>
      <c r="M2583" t="s">
        <v>49</v>
      </c>
      <c r="N2583" t="s">
        <v>49</v>
      </c>
      <c r="O2583" t="s">
        <v>49</v>
      </c>
      <c r="P2583">
        <v>0</v>
      </c>
      <c r="Q2583" t="s">
        <v>312</v>
      </c>
      <c r="R2583" t="s">
        <v>51</v>
      </c>
      <c r="S2583">
        <v>1935</v>
      </c>
      <c r="T2583">
        <v>-777</v>
      </c>
      <c r="U2583" s="1">
        <v>13014</v>
      </c>
      <c r="V2583" s="2">
        <v>13014</v>
      </c>
      <c r="Z2583">
        <v>0</v>
      </c>
      <c r="AA2583">
        <v>1</v>
      </c>
      <c r="AB2583">
        <v>0</v>
      </c>
      <c r="AC2583">
        <v>-999</v>
      </c>
      <c r="AF2583">
        <v>2005</v>
      </c>
      <c r="AG2583">
        <v>2015</v>
      </c>
      <c r="AH2583">
        <v>2.6593656341887</v>
      </c>
      <c r="AI2583">
        <v>4765.4545454545396</v>
      </c>
      <c r="AJ2583">
        <v>7.0125689787292798</v>
      </c>
      <c r="AK2583">
        <v>56.809090909090898</v>
      </c>
      <c r="AL2583">
        <v>1.82674603375038</v>
      </c>
      <c r="AM2583">
        <v>2.2509964043575601</v>
      </c>
      <c r="AN2583">
        <v>6</v>
      </c>
      <c r="AO2583" t="b">
        <v>0</v>
      </c>
      <c r="AT2583">
        <v>3652</v>
      </c>
      <c r="AU2583">
        <f t="shared" si="122"/>
        <v>10.005000000000001</v>
      </c>
    </row>
    <row r="2584" spans="1:47" x14ac:dyDescent="0.3">
      <c r="A2584">
        <v>2582</v>
      </c>
      <c r="B2584" t="s">
        <v>10660</v>
      </c>
      <c r="C2584" t="s">
        <v>10661</v>
      </c>
      <c r="D2584">
        <v>565</v>
      </c>
      <c r="E2584" t="s">
        <v>10654</v>
      </c>
      <c r="F2584" t="str">
        <f>VLOOKUP(E2584,country_continent!A:C,2,FALSE)</f>
        <v>Namibia</v>
      </c>
      <c r="G2584" t="str">
        <f>VLOOKUP(E2584,country_continent!A:C,3,FALSE)</f>
        <v>Africa</v>
      </c>
      <c r="H2584" t="s">
        <v>10662</v>
      </c>
      <c r="I2584" s="1">
        <v>42084</v>
      </c>
      <c r="J2584" s="3">
        <f t="shared" si="120"/>
        <v>42084</v>
      </c>
      <c r="K2584" s="1">
        <v>42369</v>
      </c>
      <c r="L2584" s="3">
        <f t="shared" si="121"/>
        <v>42369</v>
      </c>
      <c r="M2584" t="s">
        <v>49</v>
      </c>
      <c r="N2584" t="s">
        <v>173</v>
      </c>
      <c r="O2584" t="s">
        <v>173</v>
      </c>
      <c r="P2584">
        <v>0</v>
      </c>
      <c r="Q2584" t="s">
        <v>174</v>
      </c>
      <c r="R2584" t="s">
        <v>51</v>
      </c>
      <c r="S2584">
        <v>1941</v>
      </c>
      <c r="T2584">
        <v>-777</v>
      </c>
      <c r="U2584" s="1">
        <v>15191</v>
      </c>
      <c r="V2584" s="2">
        <v>15191</v>
      </c>
      <c r="Z2584">
        <v>0</v>
      </c>
      <c r="AA2584">
        <v>-888</v>
      </c>
      <c r="AB2584">
        <v>-888</v>
      </c>
      <c r="AC2584">
        <v>-888</v>
      </c>
      <c r="AF2584">
        <v>2015</v>
      </c>
      <c r="AG2584">
        <v>2015</v>
      </c>
      <c r="AH2584">
        <v>1.5344582619200899</v>
      </c>
      <c r="AI2584">
        <v>5180</v>
      </c>
      <c r="AJ2584">
        <v>3.8645743507765999</v>
      </c>
      <c r="AK2584">
        <v>55</v>
      </c>
      <c r="AL2584">
        <v>2.6529587090863598</v>
      </c>
      <c r="AM2584">
        <v>1.8752743624842001</v>
      </c>
      <c r="AN2584">
        <v>6</v>
      </c>
      <c r="AO2584" t="b">
        <v>0</v>
      </c>
      <c r="AT2584">
        <v>285</v>
      </c>
      <c r="AU2584">
        <f t="shared" si="122"/>
        <v>0.78100000000000003</v>
      </c>
    </row>
    <row r="2585" spans="1:47" x14ac:dyDescent="0.3">
      <c r="A2585">
        <v>2583</v>
      </c>
      <c r="B2585" t="s">
        <v>10663</v>
      </c>
      <c r="C2585" t="s">
        <v>10664</v>
      </c>
      <c r="D2585">
        <v>570</v>
      </c>
      <c r="E2585" t="s">
        <v>10665</v>
      </c>
      <c r="F2585" t="str">
        <f>VLOOKUP(E2585,country_continent!A:C,2,FALSE)</f>
        <v>Lesotho</v>
      </c>
      <c r="G2585" t="str">
        <f>VLOOKUP(E2585,country_continent!A:C,3,FALSE)</f>
        <v>Africa</v>
      </c>
      <c r="H2585" t="s">
        <v>10666</v>
      </c>
      <c r="I2585" s="1">
        <v>24384</v>
      </c>
      <c r="J2585" s="3">
        <f t="shared" si="120"/>
        <v>24384</v>
      </c>
      <c r="K2585" s="1">
        <v>31432</v>
      </c>
      <c r="L2585" s="3">
        <f t="shared" si="121"/>
        <v>31432</v>
      </c>
      <c r="M2585" t="s">
        <v>49</v>
      </c>
      <c r="N2585" t="s">
        <v>67</v>
      </c>
      <c r="O2585" t="s">
        <v>376</v>
      </c>
      <c r="P2585">
        <v>0</v>
      </c>
      <c r="Q2585" t="s">
        <v>362</v>
      </c>
      <c r="R2585" t="s">
        <v>51</v>
      </c>
      <c r="S2585">
        <v>1914</v>
      </c>
      <c r="T2585">
        <v>1987</v>
      </c>
      <c r="U2585" s="1">
        <v>5417</v>
      </c>
      <c r="V2585" s="2">
        <v>5417</v>
      </c>
      <c r="W2585" s="1">
        <v>31872</v>
      </c>
      <c r="X2585" s="2">
        <v>31872</v>
      </c>
      <c r="Y2585" t="s">
        <v>10667</v>
      </c>
      <c r="Z2585">
        <v>0</v>
      </c>
      <c r="AA2585">
        <v>3</v>
      </c>
      <c r="AB2585">
        <v>6</v>
      </c>
      <c r="AC2585">
        <v>1</v>
      </c>
      <c r="AF2585">
        <v>1966</v>
      </c>
      <c r="AG2585">
        <v>1986</v>
      </c>
      <c r="AO2585" t="b">
        <v>0</v>
      </c>
      <c r="AT2585">
        <v>7048</v>
      </c>
      <c r="AU2585">
        <f t="shared" si="122"/>
        <v>19.309999999999999</v>
      </c>
    </row>
    <row r="2586" spans="1:47" x14ac:dyDescent="0.3">
      <c r="A2586">
        <v>2584</v>
      </c>
      <c r="B2586" t="s">
        <v>10668</v>
      </c>
      <c r="C2586" t="s">
        <v>10669</v>
      </c>
      <c r="D2586">
        <v>570</v>
      </c>
      <c r="E2586" t="s">
        <v>10665</v>
      </c>
      <c r="F2586" t="str">
        <f>VLOOKUP(E2586,country_continent!A:C,2,FALSE)</f>
        <v>Lesotho</v>
      </c>
      <c r="G2586" t="str">
        <f>VLOOKUP(E2586,country_continent!A:C,3,FALSE)</f>
        <v>Africa</v>
      </c>
      <c r="H2586" t="s">
        <v>10670</v>
      </c>
      <c r="I2586" s="1">
        <v>31436</v>
      </c>
      <c r="J2586" s="3">
        <f t="shared" si="120"/>
        <v>31436</v>
      </c>
      <c r="K2586" s="1">
        <v>33360</v>
      </c>
      <c r="L2586" s="3">
        <f t="shared" si="121"/>
        <v>33360</v>
      </c>
      <c r="M2586" t="s">
        <v>67</v>
      </c>
      <c r="N2586" t="s">
        <v>67</v>
      </c>
      <c r="O2586" t="s">
        <v>376</v>
      </c>
      <c r="P2586">
        <v>0</v>
      </c>
      <c r="Q2586" t="s">
        <v>463</v>
      </c>
      <c r="R2586" t="s">
        <v>51</v>
      </c>
      <c r="S2586">
        <v>1938</v>
      </c>
      <c r="T2586">
        <v>-777</v>
      </c>
      <c r="U2586" s="1">
        <v>13977</v>
      </c>
      <c r="V2586" s="2">
        <v>13977</v>
      </c>
      <c r="Z2586">
        <v>1</v>
      </c>
      <c r="AA2586">
        <v>3</v>
      </c>
      <c r="AB2586">
        <v>6</v>
      </c>
      <c r="AC2586">
        <v>2</v>
      </c>
      <c r="AF2586">
        <v>1986</v>
      </c>
      <c r="AG2586">
        <v>1991</v>
      </c>
      <c r="AO2586" t="b">
        <v>0</v>
      </c>
      <c r="AT2586">
        <v>1924</v>
      </c>
      <c r="AU2586">
        <f t="shared" si="122"/>
        <v>5.2709999999999999</v>
      </c>
    </row>
    <row r="2587" spans="1:47" x14ac:dyDescent="0.3">
      <c r="A2587">
        <v>2585</v>
      </c>
      <c r="B2587" t="s">
        <v>10671</v>
      </c>
      <c r="C2587" t="s">
        <v>10672</v>
      </c>
      <c r="D2587">
        <v>570</v>
      </c>
      <c r="E2587" t="s">
        <v>10665</v>
      </c>
      <c r="F2587" t="str">
        <f>VLOOKUP(E2587,country_continent!A:C,2,FALSE)</f>
        <v>Lesotho</v>
      </c>
      <c r="G2587" t="str">
        <f>VLOOKUP(E2587,country_continent!A:C,3,FALSE)</f>
        <v>Africa</v>
      </c>
      <c r="H2587" t="s">
        <v>10673</v>
      </c>
      <c r="I2587" s="1">
        <v>33360</v>
      </c>
      <c r="J2587" s="3">
        <f t="shared" si="120"/>
        <v>33360</v>
      </c>
      <c r="K2587" s="1">
        <v>34061</v>
      </c>
      <c r="L2587" s="3">
        <f t="shared" si="121"/>
        <v>34061</v>
      </c>
      <c r="M2587" t="s">
        <v>67</v>
      </c>
      <c r="N2587" t="s">
        <v>49</v>
      </c>
      <c r="O2587" t="s">
        <v>49</v>
      </c>
      <c r="P2587">
        <v>0</v>
      </c>
      <c r="Q2587" t="s">
        <v>50</v>
      </c>
      <c r="R2587" t="s">
        <v>51</v>
      </c>
      <c r="S2587">
        <v>1933</v>
      </c>
      <c r="T2587">
        <v>-777</v>
      </c>
      <c r="U2587" s="1">
        <v>12368</v>
      </c>
      <c r="V2587" s="2">
        <v>12368</v>
      </c>
      <c r="Z2587">
        <v>1</v>
      </c>
      <c r="AA2587">
        <v>1</v>
      </c>
      <c r="AB2587">
        <v>0</v>
      </c>
      <c r="AC2587">
        <v>0</v>
      </c>
      <c r="AF2587">
        <v>1991</v>
      </c>
      <c r="AG2587">
        <v>1993</v>
      </c>
      <c r="AO2587" t="b">
        <v>0</v>
      </c>
      <c r="AT2587">
        <v>701</v>
      </c>
      <c r="AU2587">
        <f t="shared" si="122"/>
        <v>1.921</v>
      </c>
    </row>
    <row r="2588" spans="1:47" x14ac:dyDescent="0.3">
      <c r="A2588">
        <v>2586</v>
      </c>
      <c r="B2588" t="s">
        <v>10674</v>
      </c>
      <c r="C2588" t="s">
        <v>10675</v>
      </c>
      <c r="D2588">
        <v>570</v>
      </c>
      <c r="E2588" t="s">
        <v>10665</v>
      </c>
      <c r="F2588" t="str">
        <f>VLOOKUP(E2588,country_continent!A:C,2,FALSE)</f>
        <v>Lesotho</v>
      </c>
      <c r="G2588" t="str">
        <f>VLOOKUP(E2588,country_continent!A:C,3,FALSE)</f>
        <v>Africa</v>
      </c>
      <c r="H2588" t="s">
        <v>10676</v>
      </c>
      <c r="I2588" s="1">
        <v>34061</v>
      </c>
      <c r="J2588" s="3">
        <f t="shared" si="120"/>
        <v>34061</v>
      </c>
      <c r="K2588" s="1">
        <v>34563</v>
      </c>
      <c r="L2588" s="3">
        <f t="shared" si="121"/>
        <v>34563</v>
      </c>
      <c r="M2588" t="s">
        <v>49</v>
      </c>
      <c r="N2588" t="s">
        <v>67</v>
      </c>
      <c r="O2588" t="s">
        <v>2001</v>
      </c>
      <c r="P2588">
        <v>0</v>
      </c>
      <c r="Q2588" t="s">
        <v>50</v>
      </c>
      <c r="R2588" t="s">
        <v>51</v>
      </c>
      <c r="S2588">
        <v>1918</v>
      </c>
      <c r="T2588">
        <v>1999</v>
      </c>
      <c r="U2588" s="1">
        <v>6935</v>
      </c>
      <c r="V2588" s="2">
        <v>6935</v>
      </c>
      <c r="W2588" s="1">
        <v>36166</v>
      </c>
      <c r="X2588" s="2">
        <v>36166</v>
      </c>
      <c r="Z2588">
        <v>0</v>
      </c>
      <c r="AA2588">
        <v>3</v>
      </c>
      <c r="AB2588">
        <v>8</v>
      </c>
      <c r="AC2588">
        <v>0</v>
      </c>
      <c r="AF2588">
        <v>1993</v>
      </c>
      <c r="AG2588">
        <v>1994</v>
      </c>
      <c r="AO2588" t="b">
        <v>0</v>
      </c>
      <c r="AT2588">
        <v>502</v>
      </c>
      <c r="AU2588">
        <f t="shared" si="122"/>
        <v>1.375</v>
      </c>
    </row>
    <row r="2589" spans="1:47" x14ac:dyDescent="0.3">
      <c r="A2589">
        <v>2587</v>
      </c>
      <c r="B2589" t="s">
        <v>10677</v>
      </c>
      <c r="C2589" t="s">
        <v>10678</v>
      </c>
      <c r="D2589">
        <v>570</v>
      </c>
      <c r="E2589" t="s">
        <v>10665</v>
      </c>
      <c r="F2589" t="str">
        <f>VLOOKUP(E2589,country_continent!A:C,2,FALSE)</f>
        <v>Lesotho</v>
      </c>
      <c r="G2589" t="str">
        <f>VLOOKUP(E2589,country_continent!A:C,3,FALSE)</f>
        <v>Africa</v>
      </c>
      <c r="H2589" t="s">
        <v>10679</v>
      </c>
      <c r="I2589" s="1">
        <v>34563</v>
      </c>
      <c r="J2589" s="3">
        <f t="shared" si="120"/>
        <v>34563</v>
      </c>
      <c r="K2589" s="1">
        <v>34591</v>
      </c>
      <c r="L2589" s="3">
        <f t="shared" si="121"/>
        <v>34591</v>
      </c>
      <c r="M2589" t="s">
        <v>67</v>
      </c>
      <c r="N2589" t="s">
        <v>49</v>
      </c>
      <c r="O2589" t="s">
        <v>49</v>
      </c>
      <c r="P2589">
        <v>0</v>
      </c>
      <c r="Q2589" t="s">
        <v>50</v>
      </c>
      <c r="R2589" t="s">
        <v>51</v>
      </c>
      <c r="S2589">
        <v>1963</v>
      </c>
      <c r="T2589">
        <v>-777</v>
      </c>
      <c r="Z2589">
        <v>1</v>
      </c>
      <c r="AA2589">
        <v>1</v>
      </c>
      <c r="AB2589">
        <v>0</v>
      </c>
      <c r="AC2589">
        <v>0</v>
      </c>
      <c r="AF2589">
        <v>1994</v>
      </c>
      <c r="AG2589">
        <v>1994</v>
      </c>
      <c r="AO2589" t="b">
        <v>0</v>
      </c>
      <c r="AT2589">
        <v>28</v>
      </c>
      <c r="AU2589">
        <f t="shared" si="122"/>
        <v>7.6999999999999999E-2</v>
      </c>
    </row>
    <row r="2590" spans="1:47" x14ac:dyDescent="0.3">
      <c r="A2590">
        <v>2588</v>
      </c>
      <c r="B2590" t="s">
        <v>10680</v>
      </c>
      <c r="C2590" t="s">
        <v>10675</v>
      </c>
      <c r="D2590">
        <v>570</v>
      </c>
      <c r="E2590" t="s">
        <v>10665</v>
      </c>
      <c r="F2590" t="str">
        <f>VLOOKUP(E2590,country_continent!A:C,2,FALSE)</f>
        <v>Lesotho</v>
      </c>
      <c r="G2590" t="str">
        <f>VLOOKUP(E2590,country_continent!A:C,3,FALSE)</f>
        <v>Africa</v>
      </c>
      <c r="H2590" t="s">
        <v>10676</v>
      </c>
      <c r="I2590" s="1">
        <v>34591</v>
      </c>
      <c r="J2590" s="3">
        <f t="shared" si="120"/>
        <v>34591</v>
      </c>
      <c r="K2590" s="1">
        <v>35944</v>
      </c>
      <c r="L2590" s="3">
        <f t="shared" si="121"/>
        <v>35944</v>
      </c>
      <c r="M2590" t="s">
        <v>67</v>
      </c>
      <c r="N2590" t="s">
        <v>49</v>
      </c>
      <c r="O2590" t="s">
        <v>49</v>
      </c>
      <c r="P2590">
        <v>1</v>
      </c>
      <c r="Q2590" t="s">
        <v>50</v>
      </c>
      <c r="R2590" t="s">
        <v>51</v>
      </c>
      <c r="S2590">
        <v>1918</v>
      </c>
      <c r="T2590">
        <v>1999</v>
      </c>
      <c r="U2590" s="1">
        <v>6935</v>
      </c>
      <c r="V2590" s="2">
        <v>6935</v>
      </c>
      <c r="W2590" s="1">
        <v>36166</v>
      </c>
      <c r="X2590" s="2">
        <v>36166</v>
      </c>
      <c r="Z2590">
        <v>1</v>
      </c>
      <c r="AA2590">
        <v>1</v>
      </c>
      <c r="AB2590">
        <v>0</v>
      </c>
      <c r="AC2590">
        <v>0</v>
      </c>
      <c r="AF2590">
        <v>1994</v>
      </c>
      <c r="AG2590">
        <v>1998</v>
      </c>
      <c r="AO2590" t="b">
        <v>0</v>
      </c>
      <c r="AT2590">
        <v>1353</v>
      </c>
      <c r="AU2590">
        <f t="shared" si="122"/>
        <v>3.7069999999999999</v>
      </c>
    </row>
    <row r="2591" spans="1:47" x14ac:dyDescent="0.3">
      <c r="A2591">
        <v>2589</v>
      </c>
      <c r="B2591" t="s">
        <v>10681</v>
      </c>
      <c r="C2591" t="s">
        <v>10682</v>
      </c>
      <c r="D2591">
        <v>570</v>
      </c>
      <c r="E2591" t="s">
        <v>10665</v>
      </c>
      <c r="F2591" t="str">
        <f>VLOOKUP(E2591,country_continent!A:C,2,FALSE)</f>
        <v>Lesotho</v>
      </c>
      <c r="G2591" t="str">
        <f>VLOOKUP(E2591,country_continent!A:C,3,FALSE)</f>
        <v>Africa</v>
      </c>
      <c r="H2591" t="s">
        <v>10683</v>
      </c>
      <c r="I2591" s="1">
        <v>35944</v>
      </c>
      <c r="J2591" s="3">
        <f t="shared" si="120"/>
        <v>35944</v>
      </c>
      <c r="K2591" s="1">
        <v>41068</v>
      </c>
      <c r="L2591" s="3">
        <f t="shared" si="121"/>
        <v>41068</v>
      </c>
      <c r="M2591" t="s">
        <v>49</v>
      </c>
      <c r="N2591" t="s">
        <v>49</v>
      </c>
      <c r="O2591" t="s">
        <v>49</v>
      </c>
      <c r="P2591">
        <v>0</v>
      </c>
      <c r="Q2591" t="s">
        <v>50</v>
      </c>
      <c r="R2591" t="s">
        <v>51</v>
      </c>
      <c r="S2591">
        <v>1945</v>
      </c>
      <c r="T2591">
        <v>-777</v>
      </c>
      <c r="U2591" s="1">
        <v>16511</v>
      </c>
      <c r="V2591" s="2">
        <v>16511</v>
      </c>
      <c r="Y2591" t="s">
        <v>10684</v>
      </c>
      <c r="Z2591">
        <v>0</v>
      </c>
      <c r="AA2591">
        <v>1</v>
      </c>
      <c r="AB2591">
        <v>0</v>
      </c>
      <c r="AC2591">
        <v>0</v>
      </c>
      <c r="AF2591">
        <v>1998</v>
      </c>
      <c r="AG2591">
        <v>2012</v>
      </c>
      <c r="AO2591" t="b">
        <v>0</v>
      </c>
      <c r="AT2591">
        <v>5124</v>
      </c>
      <c r="AU2591">
        <f t="shared" si="122"/>
        <v>14.038</v>
      </c>
    </row>
    <row r="2592" spans="1:47" x14ac:dyDescent="0.3">
      <c r="A2592">
        <v>2590</v>
      </c>
      <c r="B2592" t="s">
        <v>10685</v>
      </c>
      <c r="C2592" t="s">
        <v>10686</v>
      </c>
      <c r="D2592">
        <v>570</v>
      </c>
      <c r="E2592" t="s">
        <v>10665</v>
      </c>
      <c r="F2592" t="str">
        <f>VLOOKUP(E2592,country_continent!A:C,2,FALSE)</f>
        <v>Lesotho</v>
      </c>
      <c r="G2592" t="str">
        <f>VLOOKUP(E2592,country_continent!A:C,3,FALSE)</f>
        <v>Africa</v>
      </c>
      <c r="H2592" t="s">
        <v>10687</v>
      </c>
      <c r="I2592" s="1">
        <v>41068</v>
      </c>
      <c r="J2592" s="3">
        <f t="shared" si="120"/>
        <v>41068</v>
      </c>
      <c r="K2592" s="1">
        <v>42080</v>
      </c>
      <c r="L2592" s="3">
        <f t="shared" si="121"/>
        <v>42080</v>
      </c>
      <c r="M2592" t="s">
        <v>49</v>
      </c>
      <c r="N2592" t="s">
        <v>49</v>
      </c>
      <c r="O2592" t="s">
        <v>49</v>
      </c>
      <c r="P2592">
        <v>0</v>
      </c>
      <c r="Q2592" t="s">
        <v>312</v>
      </c>
      <c r="R2592" t="s">
        <v>51</v>
      </c>
      <c r="S2592">
        <v>1939</v>
      </c>
      <c r="T2592">
        <v>-777</v>
      </c>
      <c r="U2592" s="1">
        <v>14393</v>
      </c>
      <c r="V2592" s="2">
        <v>14393</v>
      </c>
      <c r="Z2592">
        <v>0</v>
      </c>
      <c r="AA2592">
        <v>1</v>
      </c>
      <c r="AB2592">
        <v>0</v>
      </c>
      <c r="AC2592">
        <v>-999</v>
      </c>
      <c r="AF2592">
        <v>2012</v>
      </c>
      <c r="AG2592">
        <v>2015</v>
      </c>
      <c r="AO2592" t="b">
        <v>0</v>
      </c>
      <c r="AT2592">
        <v>1012</v>
      </c>
      <c r="AU2592">
        <f t="shared" si="122"/>
        <v>2.7730000000000001</v>
      </c>
    </row>
    <row r="2593" spans="1:47" x14ac:dyDescent="0.3">
      <c r="A2593">
        <v>2591</v>
      </c>
      <c r="B2593" t="s">
        <v>10688</v>
      </c>
      <c r="C2593" t="s">
        <v>10689</v>
      </c>
      <c r="D2593">
        <v>570</v>
      </c>
      <c r="E2593" t="s">
        <v>10665</v>
      </c>
      <c r="F2593" t="str">
        <f>VLOOKUP(E2593,country_continent!A:C,2,FALSE)</f>
        <v>Lesotho</v>
      </c>
      <c r="G2593" t="str">
        <f>VLOOKUP(E2593,country_continent!A:C,3,FALSE)</f>
        <v>Africa</v>
      </c>
      <c r="H2593" t="s">
        <v>10690</v>
      </c>
      <c r="I2593" s="1">
        <v>42080</v>
      </c>
      <c r="J2593" s="3">
        <f t="shared" si="120"/>
        <v>42080</v>
      </c>
      <c r="K2593" s="1">
        <v>42369</v>
      </c>
      <c r="L2593" s="3">
        <f t="shared" si="121"/>
        <v>42369</v>
      </c>
      <c r="M2593" t="s">
        <v>49</v>
      </c>
      <c r="N2593" t="s">
        <v>173</v>
      </c>
      <c r="O2593" t="s">
        <v>173</v>
      </c>
      <c r="P2593">
        <v>0</v>
      </c>
      <c r="Q2593" t="s">
        <v>174</v>
      </c>
      <c r="R2593" t="s">
        <v>51</v>
      </c>
      <c r="S2593">
        <v>1945</v>
      </c>
      <c r="T2593">
        <v>-777</v>
      </c>
      <c r="U2593" s="1">
        <v>16510</v>
      </c>
      <c r="V2593" s="2">
        <v>16510</v>
      </c>
      <c r="Z2593">
        <v>0</v>
      </c>
      <c r="AA2593">
        <v>-888</v>
      </c>
      <c r="AB2593">
        <v>-888</v>
      </c>
      <c r="AC2593">
        <v>-888</v>
      </c>
      <c r="AF2593">
        <v>2015</v>
      </c>
      <c r="AG2593">
        <v>2015</v>
      </c>
      <c r="AO2593" t="b">
        <v>0</v>
      </c>
      <c r="AT2593">
        <v>289</v>
      </c>
      <c r="AU2593">
        <f t="shared" si="122"/>
        <v>0.79200000000000004</v>
      </c>
    </row>
    <row r="2594" spans="1:47" x14ac:dyDescent="0.3">
      <c r="A2594">
        <v>2592</v>
      </c>
      <c r="B2594" t="s">
        <v>10691</v>
      </c>
      <c r="C2594" t="s">
        <v>10692</v>
      </c>
      <c r="D2594">
        <v>571</v>
      </c>
      <c r="E2594" t="s">
        <v>10693</v>
      </c>
      <c r="F2594" t="str">
        <f>VLOOKUP(E2594,country_continent!A:C,2,FALSE)</f>
        <v>Botswana</v>
      </c>
      <c r="G2594" t="str">
        <f>VLOOKUP(E2594,country_continent!A:C,3,FALSE)</f>
        <v>Africa</v>
      </c>
      <c r="H2594" t="s">
        <v>10694</v>
      </c>
      <c r="I2594" s="1">
        <v>24380</v>
      </c>
      <c r="J2594" s="3">
        <f t="shared" si="120"/>
        <v>24380</v>
      </c>
      <c r="K2594" s="1">
        <v>29415</v>
      </c>
      <c r="L2594" s="3">
        <f t="shared" si="121"/>
        <v>29415</v>
      </c>
      <c r="M2594" t="s">
        <v>49</v>
      </c>
      <c r="N2594" t="s">
        <v>110</v>
      </c>
      <c r="O2594" t="s">
        <v>49</v>
      </c>
      <c r="P2594">
        <v>0</v>
      </c>
      <c r="Q2594" t="s">
        <v>111</v>
      </c>
      <c r="R2594" t="s">
        <v>51</v>
      </c>
      <c r="S2594">
        <v>1921</v>
      </c>
      <c r="T2594">
        <v>1980</v>
      </c>
      <c r="U2594" s="1">
        <v>7853</v>
      </c>
      <c r="V2594" s="2">
        <v>7853</v>
      </c>
      <c r="W2594" s="1">
        <v>29415</v>
      </c>
      <c r="X2594" s="2">
        <v>29415</v>
      </c>
      <c r="Y2594" t="s">
        <v>10695</v>
      </c>
      <c r="Z2594">
        <v>0</v>
      </c>
      <c r="AA2594">
        <v>2</v>
      </c>
      <c r="AB2594">
        <v>0</v>
      </c>
      <c r="AC2594">
        <v>-777</v>
      </c>
      <c r="AD2594" t="s">
        <v>10696</v>
      </c>
      <c r="AE2594">
        <v>0</v>
      </c>
      <c r="AF2594">
        <v>1966</v>
      </c>
      <c r="AG2594">
        <v>1980</v>
      </c>
      <c r="AO2594" t="b">
        <v>1</v>
      </c>
      <c r="AP2594" t="s">
        <v>10499</v>
      </c>
      <c r="AQ2594">
        <v>1966</v>
      </c>
      <c r="AR2594">
        <v>1989</v>
      </c>
      <c r="AS2594" t="s">
        <v>10697</v>
      </c>
      <c r="AT2594">
        <v>13.785078713210099</v>
      </c>
      <c r="AU2594">
        <f t="shared" si="122"/>
        <v>3.7999999999999999E-2</v>
      </c>
    </row>
    <row r="2595" spans="1:47" x14ac:dyDescent="0.3">
      <c r="A2595">
        <v>2593</v>
      </c>
      <c r="B2595" t="s">
        <v>10698</v>
      </c>
      <c r="C2595" t="s">
        <v>10699</v>
      </c>
      <c r="D2595">
        <v>571</v>
      </c>
      <c r="E2595" t="s">
        <v>10693</v>
      </c>
      <c r="F2595" t="str">
        <f>VLOOKUP(E2595,country_continent!A:C,2,FALSE)</f>
        <v>Botswana</v>
      </c>
      <c r="G2595" t="str">
        <f>VLOOKUP(E2595,country_continent!A:C,3,FALSE)</f>
        <v>Africa</v>
      </c>
      <c r="H2595" t="s">
        <v>10700</v>
      </c>
      <c r="I2595" s="1">
        <v>29415</v>
      </c>
      <c r="J2595" s="3">
        <f t="shared" si="120"/>
        <v>29415</v>
      </c>
      <c r="K2595" s="1">
        <v>35885</v>
      </c>
      <c r="L2595" s="3">
        <f t="shared" si="121"/>
        <v>35885</v>
      </c>
      <c r="M2595" t="s">
        <v>49</v>
      </c>
      <c r="N2595" t="s">
        <v>49</v>
      </c>
      <c r="O2595" t="s">
        <v>49</v>
      </c>
      <c r="P2595">
        <v>0</v>
      </c>
      <c r="Q2595" t="s">
        <v>50</v>
      </c>
      <c r="R2595" t="s">
        <v>51</v>
      </c>
      <c r="S2595">
        <v>1925</v>
      </c>
      <c r="T2595">
        <v>-777</v>
      </c>
      <c r="U2595" s="1">
        <v>9336</v>
      </c>
      <c r="V2595" s="2">
        <v>9336</v>
      </c>
      <c r="Y2595" t="s">
        <v>10701</v>
      </c>
      <c r="Z2595">
        <v>0</v>
      </c>
      <c r="AA2595">
        <v>1</v>
      </c>
      <c r="AB2595">
        <v>0</v>
      </c>
      <c r="AC2595">
        <v>0</v>
      </c>
      <c r="AF2595">
        <v>1980</v>
      </c>
      <c r="AG2595">
        <v>1998</v>
      </c>
      <c r="AO2595" t="b">
        <v>1</v>
      </c>
      <c r="AP2595" t="s">
        <v>10499</v>
      </c>
      <c r="AQ2595">
        <v>1966</v>
      </c>
      <c r="AR2595">
        <v>1989</v>
      </c>
      <c r="AS2595" t="s">
        <v>10702</v>
      </c>
      <c r="AT2595">
        <v>17.713894592744602</v>
      </c>
      <c r="AU2595">
        <f t="shared" si="122"/>
        <v>4.9000000000000002E-2</v>
      </c>
    </row>
    <row r="2596" spans="1:47" x14ac:dyDescent="0.3">
      <c r="A2596">
        <v>2594</v>
      </c>
      <c r="B2596" t="s">
        <v>10703</v>
      </c>
      <c r="C2596" t="s">
        <v>10704</v>
      </c>
      <c r="D2596">
        <v>571</v>
      </c>
      <c r="E2596" t="s">
        <v>10693</v>
      </c>
      <c r="F2596" t="str">
        <f>VLOOKUP(E2596,country_continent!A:C,2,FALSE)</f>
        <v>Botswana</v>
      </c>
      <c r="G2596" t="str">
        <f>VLOOKUP(E2596,country_continent!A:C,3,FALSE)</f>
        <v>Africa</v>
      </c>
      <c r="H2596" t="s">
        <v>10705</v>
      </c>
      <c r="I2596" s="1">
        <v>35885</v>
      </c>
      <c r="J2596" s="3">
        <f t="shared" si="120"/>
        <v>35885</v>
      </c>
      <c r="K2596" s="1">
        <v>39539</v>
      </c>
      <c r="L2596" s="3">
        <f t="shared" si="121"/>
        <v>39539</v>
      </c>
      <c r="M2596" t="s">
        <v>49</v>
      </c>
      <c r="N2596" t="s">
        <v>49</v>
      </c>
      <c r="O2596" t="s">
        <v>49</v>
      </c>
      <c r="P2596">
        <v>0</v>
      </c>
      <c r="Q2596" t="s">
        <v>50</v>
      </c>
      <c r="R2596" t="s">
        <v>51</v>
      </c>
      <c r="S2596">
        <v>1939</v>
      </c>
      <c r="T2596">
        <v>-777</v>
      </c>
      <c r="Y2596" t="s">
        <v>10706</v>
      </c>
      <c r="Z2596">
        <v>0</v>
      </c>
      <c r="AA2596">
        <v>1</v>
      </c>
      <c r="AB2596">
        <v>0</v>
      </c>
      <c r="AC2596">
        <v>0</v>
      </c>
      <c r="AF2596">
        <v>1998</v>
      </c>
      <c r="AG2596">
        <v>2008</v>
      </c>
      <c r="AO2596" t="b">
        <v>1</v>
      </c>
      <c r="AP2596" t="s">
        <v>10499</v>
      </c>
      <c r="AQ2596">
        <v>1966</v>
      </c>
      <c r="AR2596">
        <v>1989</v>
      </c>
      <c r="AS2596" t="s">
        <v>10707</v>
      </c>
      <c r="AT2596">
        <v>10.004106776180601</v>
      </c>
      <c r="AU2596">
        <f t="shared" si="122"/>
        <v>2.7E-2</v>
      </c>
    </row>
    <row r="2597" spans="1:47" x14ac:dyDescent="0.3">
      <c r="A2597">
        <v>2595</v>
      </c>
      <c r="B2597" t="s">
        <v>10708</v>
      </c>
      <c r="C2597" t="s">
        <v>10709</v>
      </c>
      <c r="D2597">
        <v>571</v>
      </c>
      <c r="E2597" t="s">
        <v>10693</v>
      </c>
      <c r="F2597" t="str">
        <f>VLOOKUP(E2597,country_continent!A:C,2,FALSE)</f>
        <v>Botswana</v>
      </c>
      <c r="G2597" t="str">
        <f>VLOOKUP(E2597,country_continent!A:C,3,FALSE)</f>
        <v>Africa</v>
      </c>
      <c r="H2597" t="s">
        <v>10710</v>
      </c>
      <c r="I2597" s="1">
        <v>39539</v>
      </c>
      <c r="J2597" s="3">
        <f t="shared" si="120"/>
        <v>39539</v>
      </c>
      <c r="K2597" s="1">
        <v>42369</v>
      </c>
      <c r="L2597" s="3">
        <f t="shared" si="121"/>
        <v>42369</v>
      </c>
      <c r="M2597" t="s">
        <v>49</v>
      </c>
      <c r="N2597" t="s">
        <v>173</v>
      </c>
      <c r="O2597" t="s">
        <v>173</v>
      </c>
      <c r="P2597">
        <v>0</v>
      </c>
      <c r="Q2597" t="s">
        <v>174</v>
      </c>
      <c r="R2597" t="s">
        <v>51</v>
      </c>
      <c r="S2597">
        <v>1953</v>
      </c>
      <c r="T2597">
        <v>-777</v>
      </c>
      <c r="U2597" s="1">
        <v>19417</v>
      </c>
      <c r="V2597" s="2">
        <v>19417</v>
      </c>
      <c r="Z2597">
        <v>0</v>
      </c>
      <c r="AA2597">
        <v>-888</v>
      </c>
      <c r="AB2597">
        <v>-888</v>
      </c>
      <c r="AC2597">
        <v>-888</v>
      </c>
      <c r="AD2597" t="s">
        <v>10711</v>
      </c>
      <c r="AE2597">
        <v>1</v>
      </c>
      <c r="AF2597">
        <v>2008</v>
      </c>
      <c r="AG2597">
        <v>2015</v>
      </c>
      <c r="AO2597" t="b">
        <v>1</v>
      </c>
      <c r="AP2597" t="s">
        <v>10499</v>
      </c>
      <c r="AQ2597">
        <v>1966</v>
      </c>
      <c r="AR2597">
        <v>1989</v>
      </c>
      <c r="AS2597" t="s">
        <v>10712</v>
      </c>
      <c r="AT2597">
        <v>7.74811772758384</v>
      </c>
      <c r="AU2597">
        <f t="shared" si="122"/>
        <v>2.1000000000000001E-2</v>
      </c>
    </row>
    <row r="2598" spans="1:47" x14ac:dyDescent="0.3">
      <c r="A2598">
        <v>2596</v>
      </c>
      <c r="B2598" t="s">
        <v>10713</v>
      </c>
      <c r="C2598" t="s">
        <v>10714</v>
      </c>
      <c r="D2598">
        <v>572</v>
      </c>
      <c r="E2598" t="s">
        <v>10715</v>
      </c>
      <c r="F2598" t="str">
        <f>VLOOKUP(E2598,country_continent!A:C,2,FALSE)</f>
        <v>Swaziland</v>
      </c>
      <c r="G2598" t="str">
        <f>VLOOKUP(E2598,country_continent!A:C,3,FALSE)</f>
        <v>Africa</v>
      </c>
      <c r="H2598" t="s">
        <v>10716</v>
      </c>
      <c r="I2598" s="1">
        <v>25087</v>
      </c>
      <c r="J2598" s="3">
        <f t="shared" si="120"/>
        <v>25087</v>
      </c>
      <c r="K2598" s="1">
        <v>30184</v>
      </c>
      <c r="L2598" s="3">
        <f t="shared" si="121"/>
        <v>30184</v>
      </c>
      <c r="M2598" t="s">
        <v>49</v>
      </c>
      <c r="N2598" t="s">
        <v>110</v>
      </c>
      <c r="O2598" t="s">
        <v>49</v>
      </c>
      <c r="P2598">
        <v>0</v>
      </c>
      <c r="Q2598" t="s">
        <v>111</v>
      </c>
      <c r="R2598" t="s">
        <v>51</v>
      </c>
      <c r="S2598">
        <v>1899</v>
      </c>
      <c r="T2598">
        <v>1982</v>
      </c>
      <c r="U2598" t="s">
        <v>10717</v>
      </c>
      <c r="V2598" t="s">
        <v>10718</v>
      </c>
      <c r="Z2598">
        <v>0</v>
      </c>
      <c r="AA2598">
        <v>2</v>
      </c>
      <c r="AB2598">
        <v>0</v>
      </c>
      <c r="AC2598">
        <v>-777</v>
      </c>
      <c r="AF2598">
        <v>1968</v>
      </c>
      <c r="AG2598">
        <v>1982</v>
      </c>
      <c r="AO2598" t="b">
        <v>0</v>
      </c>
      <c r="AT2598">
        <v>5097</v>
      </c>
      <c r="AU2598">
        <f t="shared" si="122"/>
        <v>13.964</v>
      </c>
    </row>
    <row r="2599" spans="1:47" x14ac:dyDescent="0.3">
      <c r="A2599">
        <v>2597</v>
      </c>
      <c r="B2599" t="s">
        <v>10719</v>
      </c>
      <c r="C2599" t="s">
        <v>10720</v>
      </c>
      <c r="D2599">
        <v>572</v>
      </c>
      <c r="E2599" t="s">
        <v>10715</v>
      </c>
      <c r="F2599" t="str">
        <f>VLOOKUP(E2599,country_continent!A:C,2,FALSE)</f>
        <v>Swaziland</v>
      </c>
      <c r="G2599" t="str">
        <f>VLOOKUP(E2599,country_continent!A:C,3,FALSE)</f>
        <v>Africa</v>
      </c>
      <c r="H2599" t="s">
        <v>10721</v>
      </c>
      <c r="I2599" s="1">
        <v>30184</v>
      </c>
      <c r="J2599" s="3">
        <f t="shared" si="120"/>
        <v>30184</v>
      </c>
      <c r="K2599" s="1">
        <v>30538</v>
      </c>
      <c r="L2599" s="3">
        <f t="shared" si="121"/>
        <v>30538</v>
      </c>
      <c r="M2599" t="s">
        <v>49</v>
      </c>
      <c r="N2599" t="s">
        <v>67</v>
      </c>
      <c r="O2599" t="s">
        <v>2001</v>
      </c>
      <c r="P2599">
        <v>0</v>
      </c>
      <c r="Q2599" t="s">
        <v>50</v>
      </c>
      <c r="R2599" t="s">
        <v>51</v>
      </c>
      <c r="S2599">
        <v>1927</v>
      </c>
      <c r="T2599">
        <v>-777</v>
      </c>
      <c r="Z2599">
        <v>0</v>
      </c>
      <c r="AA2599">
        <v>3</v>
      </c>
      <c r="AB2599">
        <v>8</v>
      </c>
      <c r="AC2599">
        <v>0</v>
      </c>
      <c r="AF2599">
        <v>1982</v>
      </c>
      <c r="AG2599">
        <v>1983</v>
      </c>
      <c r="AO2599" t="b">
        <v>0</v>
      </c>
      <c r="AT2599">
        <v>354</v>
      </c>
      <c r="AU2599">
        <f t="shared" si="122"/>
        <v>0.97</v>
      </c>
    </row>
    <row r="2600" spans="1:47" x14ac:dyDescent="0.3">
      <c r="A2600">
        <v>2598</v>
      </c>
      <c r="B2600" t="s">
        <v>10722</v>
      </c>
      <c r="C2600" t="s">
        <v>10723</v>
      </c>
      <c r="D2600">
        <v>572</v>
      </c>
      <c r="E2600" t="s">
        <v>10715</v>
      </c>
      <c r="F2600" t="str">
        <f>VLOOKUP(E2600,country_continent!A:C,2,FALSE)</f>
        <v>Swaziland</v>
      </c>
      <c r="G2600" t="str">
        <f>VLOOKUP(E2600,country_continent!A:C,3,FALSE)</f>
        <v>Africa</v>
      </c>
      <c r="H2600" t="s">
        <v>10724</v>
      </c>
      <c r="I2600" s="1">
        <v>30538</v>
      </c>
      <c r="J2600" s="3">
        <f t="shared" si="120"/>
        <v>30538</v>
      </c>
      <c r="K2600" s="1">
        <v>31527</v>
      </c>
      <c r="L2600" s="3">
        <f t="shared" si="121"/>
        <v>31527</v>
      </c>
      <c r="M2600" t="s">
        <v>49</v>
      </c>
      <c r="N2600" t="s">
        <v>49</v>
      </c>
      <c r="O2600" t="s">
        <v>49</v>
      </c>
      <c r="P2600">
        <v>0</v>
      </c>
      <c r="Q2600" t="s">
        <v>50</v>
      </c>
      <c r="R2600" t="s">
        <v>51</v>
      </c>
      <c r="S2600">
        <v>1950</v>
      </c>
      <c r="T2600">
        <v>-777</v>
      </c>
      <c r="Z2600">
        <v>0</v>
      </c>
      <c r="AA2600">
        <v>1</v>
      </c>
      <c r="AB2600">
        <v>0</v>
      </c>
      <c r="AC2600">
        <v>0</v>
      </c>
      <c r="AF2600">
        <v>1983</v>
      </c>
      <c r="AG2600">
        <v>1986</v>
      </c>
      <c r="AO2600" t="b">
        <v>0</v>
      </c>
      <c r="AT2600">
        <v>989</v>
      </c>
      <c r="AU2600">
        <f t="shared" si="122"/>
        <v>2.71</v>
      </c>
    </row>
    <row r="2601" spans="1:47" x14ac:dyDescent="0.3">
      <c r="A2601">
        <v>2599</v>
      </c>
      <c r="B2601" t="s">
        <v>10725</v>
      </c>
      <c r="C2601" t="s">
        <v>10726</v>
      </c>
      <c r="D2601">
        <v>572</v>
      </c>
      <c r="E2601" t="s">
        <v>10715</v>
      </c>
      <c r="F2601" t="str">
        <f>VLOOKUP(E2601,country_continent!A:C,2,FALSE)</f>
        <v>Swaziland</v>
      </c>
      <c r="G2601" t="str">
        <f>VLOOKUP(E2601,country_continent!A:C,3,FALSE)</f>
        <v>Africa</v>
      </c>
      <c r="H2601" t="s">
        <v>10727</v>
      </c>
      <c r="I2601" s="1">
        <v>31527</v>
      </c>
      <c r="J2601" s="3">
        <f t="shared" si="120"/>
        <v>31527</v>
      </c>
      <c r="K2601" s="1">
        <v>42369</v>
      </c>
      <c r="L2601" s="3">
        <f t="shared" si="121"/>
        <v>42369</v>
      </c>
      <c r="M2601" t="s">
        <v>49</v>
      </c>
      <c r="N2601" t="s">
        <v>173</v>
      </c>
      <c r="O2601" t="s">
        <v>173</v>
      </c>
      <c r="P2601">
        <v>0</v>
      </c>
      <c r="Q2601" t="s">
        <v>174</v>
      </c>
      <c r="R2601" t="s">
        <v>51</v>
      </c>
      <c r="S2601">
        <v>1968</v>
      </c>
      <c r="T2601">
        <v>-777</v>
      </c>
      <c r="U2601" s="1">
        <v>24946</v>
      </c>
      <c r="V2601" s="2">
        <v>24946</v>
      </c>
      <c r="Z2601">
        <v>0</v>
      </c>
      <c r="AA2601">
        <v>-888</v>
      </c>
      <c r="AB2601">
        <v>-888</v>
      </c>
      <c r="AC2601">
        <v>-888</v>
      </c>
      <c r="AF2601">
        <v>1986</v>
      </c>
      <c r="AG2601">
        <v>2015</v>
      </c>
      <c r="AO2601" t="b">
        <v>0</v>
      </c>
      <c r="AT2601">
        <v>10842</v>
      </c>
      <c r="AU2601">
        <f t="shared" si="122"/>
        <v>29.704000000000001</v>
      </c>
    </row>
    <row r="2602" spans="1:47" x14ac:dyDescent="0.3">
      <c r="A2602">
        <v>2600</v>
      </c>
      <c r="B2602" t="s">
        <v>10728</v>
      </c>
      <c r="C2602" t="s">
        <v>10729</v>
      </c>
      <c r="D2602">
        <v>580</v>
      </c>
      <c r="E2602" t="s">
        <v>10730</v>
      </c>
      <c r="F2602" t="str">
        <f>VLOOKUP(E2602,country_continent!A:C,2,FALSE)</f>
        <v>Madagascar</v>
      </c>
      <c r="G2602" t="str">
        <f>VLOOKUP(E2602,country_continent!A:C,3,FALSE)</f>
        <v>Africa</v>
      </c>
      <c r="H2602" t="s">
        <v>10731</v>
      </c>
      <c r="I2602" t="s">
        <v>10732</v>
      </c>
      <c r="J2602" s="3" t="str">
        <f t="shared" si="120"/>
        <v>1864/07/15</v>
      </c>
      <c r="K2602" t="s">
        <v>10733</v>
      </c>
      <c r="L2602" s="3" t="str">
        <f t="shared" si="121"/>
        <v>1895/09/30</v>
      </c>
      <c r="M2602" t="s">
        <v>49</v>
      </c>
      <c r="N2602" t="s">
        <v>633</v>
      </c>
      <c r="O2602" t="s">
        <v>347</v>
      </c>
      <c r="P2602">
        <v>0</v>
      </c>
      <c r="Q2602" t="s">
        <v>362</v>
      </c>
      <c r="R2602" t="s">
        <v>51</v>
      </c>
      <c r="S2602">
        <v>1828</v>
      </c>
      <c r="T2602">
        <v>1896</v>
      </c>
      <c r="Z2602">
        <v>0</v>
      </c>
      <c r="AA2602">
        <v>4</v>
      </c>
      <c r="AB2602">
        <v>-999</v>
      </c>
      <c r="AC2602">
        <v>1</v>
      </c>
      <c r="AF2602">
        <v>1864</v>
      </c>
      <c r="AG2602">
        <v>1895</v>
      </c>
      <c r="AO2602" t="b">
        <v>1</v>
      </c>
      <c r="AP2602" t="s">
        <v>4986</v>
      </c>
      <c r="AQ2602">
        <v>1960</v>
      </c>
      <c r="AR2602">
        <v>2016</v>
      </c>
      <c r="AS2602" t="s">
        <v>10734</v>
      </c>
      <c r="AT2602">
        <v>31.208761122518801</v>
      </c>
      <c r="AU2602">
        <f t="shared" si="122"/>
        <v>8.5999999999999993E-2</v>
      </c>
    </row>
    <row r="2603" spans="1:47" x14ac:dyDescent="0.3">
      <c r="A2603">
        <v>2601</v>
      </c>
      <c r="B2603" t="s">
        <v>10735</v>
      </c>
      <c r="C2603" t="s">
        <v>10736</v>
      </c>
      <c r="D2603">
        <v>580</v>
      </c>
      <c r="E2603" t="s">
        <v>10730</v>
      </c>
      <c r="F2603" t="str">
        <f>VLOOKUP(E2603,country_continent!A:C,2,FALSE)</f>
        <v>Madagascar</v>
      </c>
      <c r="G2603" t="str">
        <f>VLOOKUP(E2603,country_continent!A:C,3,FALSE)</f>
        <v>Africa</v>
      </c>
      <c r="H2603" t="s">
        <v>10737</v>
      </c>
      <c r="I2603" s="1">
        <v>22093</v>
      </c>
      <c r="J2603" s="3">
        <f t="shared" si="120"/>
        <v>22093</v>
      </c>
      <c r="K2603" s="1">
        <v>26580</v>
      </c>
      <c r="L2603" s="3">
        <f t="shared" si="121"/>
        <v>26580</v>
      </c>
      <c r="M2603" t="s">
        <v>49</v>
      </c>
      <c r="N2603" t="s">
        <v>67</v>
      </c>
      <c r="O2603" t="s">
        <v>613</v>
      </c>
      <c r="P2603">
        <v>0</v>
      </c>
      <c r="Q2603" t="s">
        <v>50</v>
      </c>
      <c r="R2603" t="s">
        <v>51</v>
      </c>
      <c r="S2603">
        <v>1910</v>
      </c>
      <c r="T2603">
        <v>1978</v>
      </c>
      <c r="U2603" s="1">
        <v>3934</v>
      </c>
      <c r="V2603" s="2">
        <v>3934</v>
      </c>
      <c r="Z2603">
        <v>0</v>
      </c>
      <c r="AA2603">
        <v>3</v>
      </c>
      <c r="AB2603">
        <v>2</v>
      </c>
      <c r="AC2603">
        <v>0</v>
      </c>
      <c r="AF2603">
        <v>1960</v>
      </c>
      <c r="AG2603">
        <v>1972</v>
      </c>
      <c r="AO2603" t="b">
        <v>1</v>
      </c>
      <c r="AP2603" t="s">
        <v>4986</v>
      </c>
      <c r="AQ2603">
        <v>1960</v>
      </c>
      <c r="AR2603">
        <v>2016</v>
      </c>
      <c r="AS2603" t="s">
        <v>10738</v>
      </c>
      <c r="AT2603">
        <v>12.2847364818617</v>
      </c>
      <c r="AU2603">
        <f t="shared" si="122"/>
        <v>3.4000000000000002E-2</v>
      </c>
    </row>
    <row r="2604" spans="1:47" x14ac:dyDescent="0.3">
      <c r="A2604">
        <v>2602</v>
      </c>
      <c r="B2604" t="s">
        <v>10739</v>
      </c>
      <c r="C2604" t="s">
        <v>10740</v>
      </c>
      <c r="D2604">
        <v>580</v>
      </c>
      <c r="E2604" t="s">
        <v>10730</v>
      </c>
      <c r="F2604" t="str">
        <f>VLOOKUP(E2604,country_continent!A:C,2,FALSE)</f>
        <v>Madagascar</v>
      </c>
      <c r="G2604" t="str">
        <f>VLOOKUP(E2604,country_continent!A:C,3,FALSE)</f>
        <v>Africa</v>
      </c>
      <c r="H2604" t="s">
        <v>10741</v>
      </c>
      <c r="I2604" s="1">
        <v>26584</v>
      </c>
      <c r="J2604" s="3">
        <f t="shared" si="120"/>
        <v>26584</v>
      </c>
      <c r="K2604" s="1">
        <v>27430</v>
      </c>
      <c r="L2604" s="3">
        <f t="shared" si="121"/>
        <v>27430</v>
      </c>
      <c r="M2604" t="s">
        <v>67</v>
      </c>
      <c r="N2604" t="s">
        <v>67</v>
      </c>
      <c r="O2604" t="s">
        <v>389</v>
      </c>
      <c r="P2604">
        <v>0</v>
      </c>
      <c r="Q2604" t="s">
        <v>50</v>
      </c>
      <c r="R2604" t="s">
        <v>51</v>
      </c>
      <c r="S2604">
        <v>1906</v>
      </c>
      <c r="T2604">
        <v>1979</v>
      </c>
      <c r="U2604" s="1">
        <v>2295</v>
      </c>
      <c r="V2604" s="2">
        <v>2295</v>
      </c>
      <c r="Z2604">
        <v>1</v>
      </c>
      <c r="AA2604">
        <v>3</v>
      </c>
      <c r="AB2604">
        <v>16</v>
      </c>
      <c r="AC2604">
        <v>0</v>
      </c>
      <c r="AF2604">
        <v>1972</v>
      </c>
      <c r="AG2604">
        <v>1975</v>
      </c>
      <c r="AO2604" t="b">
        <v>1</v>
      </c>
      <c r="AP2604" t="s">
        <v>4986</v>
      </c>
      <c r="AQ2604">
        <v>1960</v>
      </c>
      <c r="AR2604">
        <v>2016</v>
      </c>
      <c r="AS2604" t="s">
        <v>10742</v>
      </c>
      <c r="AT2604">
        <v>2.3162217659137498</v>
      </c>
      <c r="AU2604">
        <f t="shared" si="122"/>
        <v>6.0000000000000001E-3</v>
      </c>
    </row>
    <row r="2605" spans="1:47" x14ac:dyDescent="0.3">
      <c r="A2605">
        <v>2603</v>
      </c>
      <c r="B2605" t="s">
        <v>10743</v>
      </c>
      <c r="C2605" t="s">
        <v>10744</v>
      </c>
      <c r="D2605">
        <v>580</v>
      </c>
      <c r="E2605" t="s">
        <v>10730</v>
      </c>
      <c r="F2605" t="str">
        <f>VLOOKUP(E2605,country_continent!A:C,2,FALSE)</f>
        <v>Madagascar</v>
      </c>
      <c r="G2605" t="str">
        <f>VLOOKUP(E2605,country_continent!A:C,3,FALSE)</f>
        <v>Africa</v>
      </c>
      <c r="H2605" t="s">
        <v>10745</v>
      </c>
      <c r="I2605" s="1">
        <v>27430</v>
      </c>
      <c r="J2605" s="3">
        <f t="shared" si="120"/>
        <v>27430</v>
      </c>
      <c r="K2605" s="1">
        <v>27436</v>
      </c>
      <c r="L2605" s="3">
        <f t="shared" si="121"/>
        <v>27436</v>
      </c>
      <c r="M2605" t="s">
        <v>67</v>
      </c>
      <c r="N2605" t="s">
        <v>67</v>
      </c>
      <c r="O2605" t="s">
        <v>376</v>
      </c>
      <c r="P2605">
        <v>0</v>
      </c>
      <c r="Q2605" t="s">
        <v>69</v>
      </c>
      <c r="R2605" t="s">
        <v>51</v>
      </c>
      <c r="S2605">
        <v>1931</v>
      </c>
      <c r="T2605">
        <v>1975</v>
      </c>
      <c r="U2605" s="1">
        <v>11403</v>
      </c>
      <c r="V2605" s="2">
        <v>11403</v>
      </c>
      <c r="Z2605">
        <v>1</v>
      </c>
      <c r="AA2605">
        <v>3</v>
      </c>
      <c r="AB2605">
        <v>6</v>
      </c>
      <c r="AC2605">
        <v>3</v>
      </c>
      <c r="AF2605">
        <v>1975</v>
      </c>
      <c r="AG2605">
        <v>1975</v>
      </c>
      <c r="AO2605" t="b">
        <v>1</v>
      </c>
      <c r="AP2605" t="s">
        <v>4986</v>
      </c>
      <c r="AQ2605">
        <v>1960</v>
      </c>
      <c r="AR2605">
        <v>2016</v>
      </c>
      <c r="AS2605" t="s">
        <v>10746</v>
      </c>
      <c r="AT2605">
        <v>1.6427104722792601E-2</v>
      </c>
      <c r="AU2605">
        <f t="shared" si="122"/>
        <v>0</v>
      </c>
    </row>
    <row r="2606" spans="1:47" x14ac:dyDescent="0.3">
      <c r="A2606">
        <v>2604</v>
      </c>
      <c r="B2606" t="s">
        <v>10747</v>
      </c>
      <c r="C2606" t="s">
        <v>10748</v>
      </c>
      <c r="D2606">
        <v>580</v>
      </c>
      <c r="E2606" t="s">
        <v>10730</v>
      </c>
      <c r="F2606" t="str">
        <f>VLOOKUP(E2606,country_continent!A:C,2,FALSE)</f>
        <v>Madagascar</v>
      </c>
      <c r="G2606" t="str">
        <f>VLOOKUP(E2606,country_continent!A:C,3,FALSE)</f>
        <v>Africa</v>
      </c>
      <c r="H2606" t="s">
        <v>10749</v>
      </c>
      <c r="I2606" s="1">
        <v>27436</v>
      </c>
      <c r="J2606" s="3">
        <f t="shared" si="120"/>
        <v>27436</v>
      </c>
      <c r="K2606" s="1">
        <v>27560</v>
      </c>
      <c r="L2606" s="3">
        <f t="shared" si="121"/>
        <v>27560</v>
      </c>
      <c r="M2606" t="s">
        <v>67</v>
      </c>
      <c r="N2606" t="s">
        <v>49</v>
      </c>
      <c r="O2606" t="s">
        <v>49</v>
      </c>
      <c r="P2606">
        <v>0</v>
      </c>
      <c r="Q2606" t="s">
        <v>50</v>
      </c>
      <c r="R2606" t="s">
        <v>51</v>
      </c>
      <c r="S2606">
        <v>1919</v>
      </c>
      <c r="T2606">
        <v>1989</v>
      </c>
      <c r="U2606" s="1">
        <v>7065</v>
      </c>
      <c r="V2606" s="2">
        <v>7065</v>
      </c>
      <c r="Z2606">
        <v>1</v>
      </c>
      <c r="AA2606">
        <v>1</v>
      </c>
      <c r="AB2606">
        <v>0</v>
      </c>
      <c r="AC2606">
        <v>0</v>
      </c>
      <c r="AF2606">
        <v>1975</v>
      </c>
      <c r="AG2606">
        <v>1975</v>
      </c>
      <c r="AO2606" t="b">
        <v>1</v>
      </c>
      <c r="AP2606" t="s">
        <v>4986</v>
      </c>
      <c r="AQ2606">
        <v>1960</v>
      </c>
      <c r="AR2606">
        <v>2016</v>
      </c>
      <c r="AS2606" t="s">
        <v>10750</v>
      </c>
      <c r="AT2606">
        <v>0.33949349760438002</v>
      </c>
      <c r="AU2606">
        <f t="shared" si="122"/>
        <v>1E-3</v>
      </c>
    </row>
    <row r="2607" spans="1:47" x14ac:dyDescent="0.3">
      <c r="A2607">
        <v>2605</v>
      </c>
      <c r="B2607" t="s">
        <v>10751</v>
      </c>
      <c r="C2607" t="s">
        <v>10752</v>
      </c>
      <c r="D2607">
        <v>580</v>
      </c>
      <c r="E2607" t="s">
        <v>10730</v>
      </c>
      <c r="F2607" t="str">
        <f>VLOOKUP(E2607,country_continent!A:C,2,FALSE)</f>
        <v>Madagascar</v>
      </c>
      <c r="G2607" t="str">
        <f>VLOOKUP(E2607,country_continent!A:C,3,FALSE)</f>
        <v>Africa</v>
      </c>
      <c r="H2607" t="s">
        <v>10753</v>
      </c>
      <c r="I2607" s="1">
        <v>27560</v>
      </c>
      <c r="J2607" s="3">
        <f t="shared" si="120"/>
        <v>27560</v>
      </c>
      <c r="K2607" s="1">
        <v>34055</v>
      </c>
      <c r="L2607" s="3">
        <f t="shared" si="121"/>
        <v>34055</v>
      </c>
      <c r="M2607" t="s">
        <v>49</v>
      </c>
      <c r="N2607" t="s">
        <v>49</v>
      </c>
      <c r="O2607" t="s">
        <v>49</v>
      </c>
      <c r="P2607">
        <v>0</v>
      </c>
      <c r="Q2607" t="s">
        <v>50</v>
      </c>
      <c r="R2607" t="s">
        <v>51</v>
      </c>
      <c r="S2607">
        <v>1936</v>
      </c>
      <c r="T2607">
        <v>-777</v>
      </c>
      <c r="U2607" s="1">
        <v>13458</v>
      </c>
      <c r="V2607" s="2">
        <v>13458</v>
      </c>
      <c r="Z2607">
        <v>0</v>
      </c>
      <c r="AA2607">
        <v>1</v>
      </c>
      <c r="AB2607">
        <v>0</v>
      </c>
      <c r="AC2607">
        <v>0</v>
      </c>
      <c r="AF2607">
        <v>1975</v>
      </c>
      <c r="AG2607">
        <v>1993</v>
      </c>
      <c r="AO2607" t="b">
        <v>1</v>
      </c>
      <c r="AP2607" t="s">
        <v>4986</v>
      </c>
      <c r="AQ2607">
        <v>1960</v>
      </c>
      <c r="AR2607">
        <v>2016</v>
      </c>
      <c r="AS2607" t="s">
        <v>10754</v>
      </c>
      <c r="AT2607">
        <v>17.782340862422998</v>
      </c>
      <c r="AU2607">
        <f t="shared" si="122"/>
        <v>4.9000000000000002E-2</v>
      </c>
    </row>
    <row r="2608" spans="1:47" x14ac:dyDescent="0.3">
      <c r="A2608">
        <v>2606</v>
      </c>
      <c r="B2608" t="s">
        <v>10755</v>
      </c>
      <c r="C2608" t="s">
        <v>10756</v>
      </c>
      <c r="D2608">
        <v>580</v>
      </c>
      <c r="E2608" t="s">
        <v>10730</v>
      </c>
      <c r="F2608" t="str">
        <f>VLOOKUP(E2608,country_continent!A:C,2,FALSE)</f>
        <v>Madagascar</v>
      </c>
      <c r="G2608" t="str">
        <f>VLOOKUP(E2608,country_continent!A:C,3,FALSE)</f>
        <v>Africa</v>
      </c>
      <c r="H2608" t="s">
        <v>10757</v>
      </c>
      <c r="I2608" s="1">
        <v>34055</v>
      </c>
      <c r="J2608" s="3">
        <f t="shared" si="120"/>
        <v>34055</v>
      </c>
      <c r="K2608" s="1">
        <v>35313</v>
      </c>
      <c r="L2608" s="3">
        <f t="shared" si="121"/>
        <v>35313</v>
      </c>
      <c r="M2608" t="s">
        <v>49</v>
      </c>
      <c r="N2608" t="s">
        <v>49</v>
      </c>
      <c r="O2608" t="s">
        <v>49</v>
      </c>
      <c r="P2608">
        <v>0</v>
      </c>
      <c r="Q2608" t="s">
        <v>50</v>
      </c>
      <c r="R2608" t="s">
        <v>51</v>
      </c>
      <c r="S2608">
        <v>1927</v>
      </c>
      <c r="T2608">
        <v>-777</v>
      </c>
      <c r="Z2608">
        <v>0</v>
      </c>
      <c r="AA2608">
        <v>1</v>
      </c>
      <c r="AB2608">
        <v>0</v>
      </c>
      <c r="AC2608">
        <v>0</v>
      </c>
      <c r="AF2608">
        <v>1993</v>
      </c>
      <c r="AG2608">
        <v>1996</v>
      </c>
      <c r="AO2608" t="b">
        <v>1</v>
      </c>
      <c r="AP2608" t="s">
        <v>4986</v>
      </c>
      <c r="AQ2608">
        <v>1960</v>
      </c>
      <c r="AR2608">
        <v>2016</v>
      </c>
      <c r="AS2608" t="s">
        <v>10758</v>
      </c>
      <c r="AT2608">
        <v>3.44421629021218</v>
      </c>
      <c r="AU2608">
        <f t="shared" si="122"/>
        <v>8.9999999999999993E-3</v>
      </c>
    </row>
    <row r="2609" spans="1:47" x14ac:dyDescent="0.3">
      <c r="A2609">
        <v>2607</v>
      </c>
      <c r="B2609" t="s">
        <v>10759</v>
      </c>
      <c r="C2609" t="s">
        <v>10760</v>
      </c>
      <c r="D2609">
        <v>580</v>
      </c>
      <c r="E2609" t="s">
        <v>10730</v>
      </c>
      <c r="F2609" t="str">
        <f>VLOOKUP(E2609,country_continent!A:C,2,FALSE)</f>
        <v>Madagascar</v>
      </c>
      <c r="G2609" t="str">
        <f>VLOOKUP(E2609,country_continent!A:C,3,FALSE)</f>
        <v>Africa</v>
      </c>
      <c r="H2609" t="s">
        <v>10761</v>
      </c>
      <c r="I2609" s="1">
        <v>35313</v>
      </c>
      <c r="J2609" s="3">
        <f t="shared" si="120"/>
        <v>35313</v>
      </c>
      <c r="K2609" s="1">
        <v>35470</v>
      </c>
      <c r="L2609" s="3">
        <f t="shared" si="121"/>
        <v>35470</v>
      </c>
      <c r="M2609" t="s">
        <v>49</v>
      </c>
      <c r="N2609" t="s">
        <v>49</v>
      </c>
      <c r="O2609" t="s">
        <v>49</v>
      </c>
      <c r="P2609">
        <v>0</v>
      </c>
      <c r="Q2609" t="s">
        <v>50</v>
      </c>
      <c r="R2609" t="s">
        <v>51</v>
      </c>
      <c r="S2609">
        <v>1938</v>
      </c>
      <c r="T2609">
        <v>-777</v>
      </c>
      <c r="Z2609">
        <v>0</v>
      </c>
      <c r="AA2609">
        <v>1</v>
      </c>
      <c r="AB2609">
        <v>0</v>
      </c>
      <c r="AC2609">
        <v>0</v>
      </c>
      <c r="AF2609">
        <v>1996</v>
      </c>
      <c r="AG2609">
        <v>1997</v>
      </c>
      <c r="AO2609" t="b">
        <v>1</v>
      </c>
      <c r="AP2609" t="s">
        <v>4986</v>
      </c>
      <c r="AQ2609">
        <v>1960</v>
      </c>
      <c r="AR2609">
        <v>2016</v>
      </c>
      <c r="AS2609" t="s">
        <v>10762</v>
      </c>
      <c r="AT2609">
        <v>0.42984257357973898</v>
      </c>
      <c r="AU2609">
        <f t="shared" si="122"/>
        <v>1E-3</v>
      </c>
    </row>
    <row r="2610" spans="1:47" x14ac:dyDescent="0.3">
      <c r="A2610">
        <v>2608</v>
      </c>
      <c r="B2610" t="s">
        <v>10763</v>
      </c>
      <c r="C2610" t="s">
        <v>10752</v>
      </c>
      <c r="D2610">
        <v>580</v>
      </c>
      <c r="E2610" t="s">
        <v>10730</v>
      </c>
      <c r="F2610" t="str">
        <f>VLOOKUP(E2610,country_continent!A:C,2,FALSE)</f>
        <v>Madagascar</v>
      </c>
      <c r="G2610" t="str">
        <f>VLOOKUP(E2610,country_continent!A:C,3,FALSE)</f>
        <v>Africa</v>
      </c>
      <c r="H2610" t="s">
        <v>10753</v>
      </c>
      <c r="I2610" s="1">
        <v>35470</v>
      </c>
      <c r="J2610" s="3">
        <f t="shared" si="120"/>
        <v>35470</v>
      </c>
      <c r="K2610" s="1">
        <v>37443</v>
      </c>
      <c r="L2610" s="3">
        <f t="shared" si="121"/>
        <v>37443</v>
      </c>
      <c r="M2610" t="s">
        <v>49</v>
      </c>
      <c r="N2610" t="s">
        <v>67</v>
      </c>
      <c r="O2610" t="s">
        <v>2001</v>
      </c>
      <c r="P2610">
        <v>1</v>
      </c>
      <c r="Q2610" t="s">
        <v>362</v>
      </c>
      <c r="R2610" t="s">
        <v>51</v>
      </c>
      <c r="S2610">
        <v>1936</v>
      </c>
      <c r="T2610">
        <v>-777</v>
      </c>
      <c r="U2610" s="1">
        <v>13458</v>
      </c>
      <c r="V2610" s="2">
        <v>13458</v>
      </c>
      <c r="Z2610">
        <v>0</v>
      </c>
      <c r="AA2610">
        <v>3</v>
      </c>
      <c r="AB2610">
        <v>8</v>
      </c>
      <c r="AC2610">
        <v>1</v>
      </c>
      <c r="AF2610">
        <v>1997</v>
      </c>
      <c r="AG2610">
        <v>2002</v>
      </c>
      <c r="AO2610" t="b">
        <v>1</v>
      </c>
      <c r="AP2610" t="s">
        <v>4986</v>
      </c>
      <c r="AQ2610">
        <v>1960</v>
      </c>
      <c r="AR2610">
        <v>2016</v>
      </c>
      <c r="AS2610" t="s">
        <v>10764</v>
      </c>
      <c r="AT2610">
        <v>5.4017796030116303</v>
      </c>
      <c r="AU2610">
        <f t="shared" si="122"/>
        <v>1.4999999999999999E-2</v>
      </c>
    </row>
    <row r="2611" spans="1:47" x14ac:dyDescent="0.3">
      <c r="A2611">
        <v>2609</v>
      </c>
      <c r="B2611" t="s">
        <v>10765</v>
      </c>
      <c r="C2611" t="s">
        <v>10766</v>
      </c>
      <c r="D2611">
        <v>580</v>
      </c>
      <c r="E2611" t="s">
        <v>10730</v>
      </c>
      <c r="F2611" t="str">
        <f>VLOOKUP(E2611,country_continent!A:C,2,FALSE)</f>
        <v>Madagascar</v>
      </c>
      <c r="G2611" t="str">
        <f>VLOOKUP(E2611,country_continent!A:C,3,FALSE)</f>
        <v>Africa</v>
      </c>
      <c r="H2611" t="s">
        <v>10767</v>
      </c>
      <c r="I2611" s="1">
        <v>37443</v>
      </c>
      <c r="J2611" s="3">
        <f t="shared" si="120"/>
        <v>37443</v>
      </c>
      <c r="K2611" s="1">
        <v>39889</v>
      </c>
      <c r="L2611" s="3">
        <f t="shared" si="121"/>
        <v>39889</v>
      </c>
      <c r="M2611" t="s">
        <v>67</v>
      </c>
      <c r="N2611" t="s">
        <v>67</v>
      </c>
      <c r="O2611" t="s">
        <v>376</v>
      </c>
      <c r="P2611">
        <v>0</v>
      </c>
      <c r="Q2611" t="s">
        <v>362</v>
      </c>
      <c r="R2611" t="s">
        <v>51</v>
      </c>
      <c r="S2611">
        <v>1949</v>
      </c>
      <c r="T2611">
        <v>-777</v>
      </c>
      <c r="U2611" s="1">
        <v>18244</v>
      </c>
      <c r="V2611" s="2">
        <v>18244</v>
      </c>
      <c r="Y2611" t="s">
        <v>10768</v>
      </c>
      <c r="Z2611">
        <v>1</v>
      </c>
      <c r="AA2611">
        <v>3</v>
      </c>
      <c r="AB2611">
        <v>6</v>
      </c>
      <c r="AC2611">
        <v>1</v>
      </c>
      <c r="AF2611">
        <v>2002</v>
      </c>
      <c r="AG2611">
        <v>2009</v>
      </c>
      <c r="AO2611" t="b">
        <v>1</v>
      </c>
      <c r="AP2611" t="s">
        <v>4986</v>
      </c>
      <c r="AQ2611">
        <v>1960</v>
      </c>
      <c r="AR2611">
        <v>2016</v>
      </c>
      <c r="AS2611" t="s">
        <v>10769</v>
      </c>
      <c r="AT2611">
        <v>6.6967830253251197</v>
      </c>
      <c r="AU2611">
        <f t="shared" si="122"/>
        <v>1.7999999999999999E-2</v>
      </c>
    </row>
    <row r="2612" spans="1:47" x14ac:dyDescent="0.3">
      <c r="A2612">
        <v>2610</v>
      </c>
      <c r="B2612" t="s">
        <v>10770</v>
      </c>
      <c r="C2612" t="s">
        <v>10771</v>
      </c>
      <c r="D2612">
        <v>580</v>
      </c>
      <c r="E2612" t="s">
        <v>10730</v>
      </c>
      <c r="F2612" t="str">
        <f>VLOOKUP(E2612,country_continent!A:C,2,FALSE)</f>
        <v>Madagascar</v>
      </c>
      <c r="G2612" t="str">
        <f>VLOOKUP(E2612,country_continent!A:C,3,FALSE)</f>
        <v>Africa</v>
      </c>
      <c r="H2612" t="s">
        <v>10772</v>
      </c>
      <c r="I2612" s="1">
        <v>39889</v>
      </c>
      <c r="J2612" s="3">
        <f t="shared" si="120"/>
        <v>39889</v>
      </c>
      <c r="K2612" s="1">
        <v>41664</v>
      </c>
      <c r="L2612" s="3">
        <f t="shared" si="121"/>
        <v>41664</v>
      </c>
      <c r="M2612" t="s">
        <v>67</v>
      </c>
      <c r="N2612" t="s">
        <v>49</v>
      </c>
      <c r="O2612" t="s">
        <v>49</v>
      </c>
      <c r="P2612">
        <v>0</v>
      </c>
      <c r="Q2612" t="s">
        <v>50</v>
      </c>
      <c r="R2612" t="s">
        <v>51</v>
      </c>
      <c r="S2612">
        <v>1974</v>
      </c>
      <c r="T2612">
        <v>-777</v>
      </c>
      <c r="U2612" s="1">
        <v>27179</v>
      </c>
      <c r="V2612" s="2">
        <v>27179</v>
      </c>
      <c r="Z2612">
        <v>1</v>
      </c>
      <c r="AA2612">
        <v>1</v>
      </c>
      <c r="AB2612">
        <v>0</v>
      </c>
      <c r="AC2612">
        <v>0</v>
      </c>
      <c r="AF2612">
        <v>2009</v>
      </c>
      <c r="AG2612">
        <v>2014</v>
      </c>
      <c r="AO2612" t="b">
        <v>1</v>
      </c>
      <c r="AP2612" t="s">
        <v>4986</v>
      </c>
      <c r="AQ2612">
        <v>1960</v>
      </c>
      <c r="AR2612">
        <v>2016</v>
      </c>
      <c r="AS2612" t="s">
        <v>10773</v>
      </c>
      <c r="AT2612">
        <v>4.85968514715948</v>
      </c>
      <c r="AU2612">
        <f t="shared" si="122"/>
        <v>1.2999999999999999E-2</v>
      </c>
    </row>
    <row r="2613" spans="1:47" x14ac:dyDescent="0.3">
      <c r="A2613">
        <v>2611</v>
      </c>
      <c r="B2613" t="s">
        <v>10774</v>
      </c>
      <c r="C2613" t="s">
        <v>10775</v>
      </c>
      <c r="D2613">
        <v>580</v>
      </c>
      <c r="E2613" t="s">
        <v>10730</v>
      </c>
      <c r="F2613" t="str">
        <f>VLOOKUP(E2613,country_continent!A:C,2,FALSE)</f>
        <v>Madagascar</v>
      </c>
      <c r="G2613" t="str">
        <f>VLOOKUP(E2613,country_continent!A:C,3,FALSE)</f>
        <v>Africa</v>
      </c>
      <c r="H2613" t="s">
        <v>10776</v>
      </c>
      <c r="I2613" s="1">
        <v>41664</v>
      </c>
      <c r="J2613" s="3">
        <f t="shared" si="120"/>
        <v>41664</v>
      </c>
      <c r="K2613" s="1">
        <v>42369</v>
      </c>
      <c r="L2613" s="3">
        <f t="shared" si="121"/>
        <v>42369</v>
      </c>
      <c r="M2613" t="s">
        <v>49</v>
      </c>
      <c r="N2613" t="s">
        <v>173</v>
      </c>
      <c r="O2613" t="s">
        <v>173</v>
      </c>
      <c r="P2613">
        <v>0</v>
      </c>
      <c r="Q2613" t="s">
        <v>174</v>
      </c>
      <c r="R2613" t="s">
        <v>51</v>
      </c>
      <c r="S2613">
        <v>1958</v>
      </c>
      <c r="T2613">
        <v>-777</v>
      </c>
      <c r="U2613" s="1">
        <v>21495</v>
      </c>
      <c r="V2613" s="2">
        <v>21495</v>
      </c>
      <c r="Z2613">
        <v>0</v>
      </c>
      <c r="AA2613">
        <v>-888</v>
      </c>
      <c r="AB2613">
        <v>-888</v>
      </c>
      <c r="AC2613">
        <v>-888</v>
      </c>
      <c r="AF2613">
        <v>2014</v>
      </c>
      <c r="AG2613">
        <v>2015</v>
      </c>
      <c r="AO2613" t="b">
        <v>1</v>
      </c>
      <c r="AP2613" t="s">
        <v>4986</v>
      </c>
      <c r="AQ2613">
        <v>1960</v>
      </c>
      <c r="AR2613">
        <v>2016</v>
      </c>
      <c r="AS2613" t="s">
        <v>10777</v>
      </c>
      <c r="AT2613">
        <v>1.93018480492813</v>
      </c>
      <c r="AU2613">
        <f t="shared" si="122"/>
        <v>5.0000000000000001E-3</v>
      </c>
    </row>
    <row r="2614" spans="1:47" x14ac:dyDescent="0.3">
      <c r="A2614">
        <v>2612</v>
      </c>
      <c r="B2614" t="s">
        <v>10778</v>
      </c>
      <c r="C2614" t="s">
        <v>10779</v>
      </c>
      <c r="D2614">
        <v>581</v>
      </c>
      <c r="E2614" t="s">
        <v>10780</v>
      </c>
      <c r="F2614" t="str">
        <f>VLOOKUP(E2614,country_continent!A:C,2,FALSE)</f>
        <v>Comoros</v>
      </c>
      <c r="G2614" t="str">
        <f>VLOOKUP(E2614,country_continent!A:C,3,FALSE)</f>
        <v>Africa</v>
      </c>
      <c r="H2614" t="s">
        <v>10781</v>
      </c>
      <c r="I2614" s="1">
        <v>27581</v>
      </c>
      <c r="J2614" s="3">
        <f t="shared" si="120"/>
        <v>27581</v>
      </c>
      <c r="K2614" s="1">
        <v>27609</v>
      </c>
      <c r="L2614" s="3">
        <f t="shared" si="121"/>
        <v>27609</v>
      </c>
      <c r="M2614" t="s">
        <v>67</v>
      </c>
      <c r="N2614" t="s">
        <v>67</v>
      </c>
      <c r="O2614" t="s">
        <v>433</v>
      </c>
      <c r="P2614">
        <v>0</v>
      </c>
      <c r="Q2614" t="s">
        <v>362</v>
      </c>
      <c r="R2614" t="s">
        <v>51</v>
      </c>
      <c r="S2614">
        <v>1919</v>
      </c>
      <c r="T2614">
        <v>1989</v>
      </c>
      <c r="W2614" s="1">
        <v>32838</v>
      </c>
      <c r="X2614" s="2">
        <v>32838</v>
      </c>
      <c r="Y2614" t="s">
        <v>10782</v>
      </c>
      <c r="Z2614">
        <v>1</v>
      </c>
      <c r="AA2614">
        <v>3</v>
      </c>
      <c r="AB2614">
        <v>4</v>
      </c>
      <c r="AC2614">
        <v>1</v>
      </c>
      <c r="AD2614" t="s">
        <v>10783</v>
      </c>
      <c r="AE2614">
        <v>0</v>
      </c>
      <c r="AF2614">
        <v>1975</v>
      </c>
      <c r="AG2614">
        <v>1975</v>
      </c>
      <c r="AK2614">
        <v>202.6</v>
      </c>
      <c r="AL2614">
        <v>3.3999601949659302</v>
      </c>
      <c r="AO2614" t="b">
        <v>1</v>
      </c>
      <c r="AP2614" t="s">
        <v>4986</v>
      </c>
      <c r="AQ2614">
        <v>1975</v>
      </c>
      <c r="AR2614">
        <v>2016</v>
      </c>
      <c r="AS2614" t="s">
        <v>10784</v>
      </c>
      <c r="AT2614">
        <v>7.6659822039698802E-2</v>
      </c>
      <c r="AU2614">
        <f t="shared" si="122"/>
        <v>0</v>
      </c>
    </row>
    <row r="2615" spans="1:47" x14ac:dyDescent="0.3">
      <c r="A2615">
        <v>2613</v>
      </c>
      <c r="B2615" t="s">
        <v>10785</v>
      </c>
      <c r="C2615" t="s">
        <v>10786</v>
      </c>
      <c r="D2615">
        <v>581</v>
      </c>
      <c r="E2615" t="s">
        <v>10780</v>
      </c>
      <c r="F2615" t="str">
        <f>VLOOKUP(E2615,country_continent!A:C,2,FALSE)</f>
        <v>Comoros</v>
      </c>
      <c r="G2615" t="str">
        <f>VLOOKUP(E2615,country_continent!A:C,3,FALSE)</f>
        <v>Africa</v>
      </c>
      <c r="H2615" t="s">
        <v>10787</v>
      </c>
      <c r="I2615" s="1">
        <v>27609</v>
      </c>
      <c r="J2615" s="3">
        <f t="shared" si="120"/>
        <v>27609</v>
      </c>
      <c r="K2615" s="1">
        <v>28623</v>
      </c>
      <c r="L2615" s="3">
        <f t="shared" si="121"/>
        <v>28623</v>
      </c>
      <c r="M2615" t="s">
        <v>67</v>
      </c>
      <c r="N2615" t="s">
        <v>67</v>
      </c>
      <c r="O2615" t="s">
        <v>376</v>
      </c>
      <c r="P2615">
        <v>0</v>
      </c>
      <c r="Q2615" t="s">
        <v>69</v>
      </c>
      <c r="R2615" t="s">
        <v>51</v>
      </c>
      <c r="S2615">
        <v>1937</v>
      </c>
      <c r="T2615">
        <v>1978</v>
      </c>
      <c r="Z2615">
        <v>1</v>
      </c>
      <c r="AA2615">
        <v>3</v>
      </c>
      <c r="AB2615">
        <v>6</v>
      </c>
      <c r="AC2615">
        <v>3</v>
      </c>
      <c r="AF2615">
        <v>1975</v>
      </c>
      <c r="AG2615">
        <v>1978</v>
      </c>
      <c r="AK2615">
        <v>194.05</v>
      </c>
      <c r="AL2615">
        <v>3.3294726900371501</v>
      </c>
      <c r="AN2615">
        <v>-3.33</v>
      </c>
      <c r="AO2615" t="b">
        <v>1</v>
      </c>
      <c r="AP2615" t="s">
        <v>4986</v>
      </c>
      <c r="AQ2615">
        <v>1975</v>
      </c>
      <c r="AR2615">
        <v>2016</v>
      </c>
      <c r="AS2615" t="s">
        <v>10788</v>
      </c>
      <c r="AT2615">
        <v>2.7761806981519501</v>
      </c>
      <c r="AU2615">
        <f t="shared" si="122"/>
        <v>8.0000000000000002E-3</v>
      </c>
    </row>
    <row r="2616" spans="1:47" x14ac:dyDescent="0.3">
      <c r="A2616">
        <v>2614</v>
      </c>
      <c r="B2616" t="s">
        <v>10789</v>
      </c>
      <c r="C2616" t="s">
        <v>10790</v>
      </c>
      <c r="D2616">
        <v>581</v>
      </c>
      <c r="E2616" t="s">
        <v>10780</v>
      </c>
      <c r="F2616" t="str">
        <f>VLOOKUP(E2616,country_continent!A:C,2,FALSE)</f>
        <v>Comoros</v>
      </c>
      <c r="G2616" t="str">
        <f>VLOOKUP(E2616,country_continent!A:C,3,FALSE)</f>
        <v>Africa</v>
      </c>
      <c r="H2616" t="s">
        <v>10791</v>
      </c>
      <c r="I2616" s="1">
        <v>28623</v>
      </c>
      <c r="J2616" s="3">
        <f t="shared" si="120"/>
        <v>28623</v>
      </c>
      <c r="K2616" s="1">
        <v>32860</v>
      </c>
      <c r="L2616" s="3">
        <f t="shared" si="121"/>
        <v>32860</v>
      </c>
      <c r="M2616" t="s">
        <v>67</v>
      </c>
      <c r="N2616" t="s">
        <v>67</v>
      </c>
      <c r="O2616" t="s">
        <v>3362</v>
      </c>
      <c r="P2616">
        <v>0</v>
      </c>
      <c r="Q2616" t="s">
        <v>362</v>
      </c>
      <c r="R2616" t="s">
        <v>51</v>
      </c>
      <c r="S2616">
        <v>1929</v>
      </c>
      <c r="T2616">
        <v>2007</v>
      </c>
      <c r="U2616" s="1">
        <v>10690</v>
      </c>
      <c r="V2616" s="2">
        <v>10690</v>
      </c>
      <c r="W2616" s="1">
        <v>39368</v>
      </c>
      <c r="X2616" s="2">
        <v>39368</v>
      </c>
      <c r="Z2616">
        <v>1</v>
      </c>
      <c r="AA2616">
        <v>3</v>
      </c>
      <c r="AB2616">
        <v>7</v>
      </c>
      <c r="AC2616">
        <v>1</v>
      </c>
      <c r="AF2616">
        <v>1978</v>
      </c>
      <c r="AG2616">
        <v>1989</v>
      </c>
      <c r="AH2616">
        <v>-8.1829752087909602E-2</v>
      </c>
      <c r="AI2616">
        <v>647.5</v>
      </c>
      <c r="AJ2616">
        <v>7.5610186619990296</v>
      </c>
      <c r="AK2616">
        <v>154.5</v>
      </c>
      <c r="AL2616">
        <v>2.8520300848626898</v>
      </c>
      <c r="AM2616">
        <v>0.72642489341626904</v>
      </c>
      <c r="AN2616">
        <v>-5</v>
      </c>
      <c r="AO2616" t="b">
        <v>1</v>
      </c>
      <c r="AP2616" t="s">
        <v>4986</v>
      </c>
      <c r="AQ2616">
        <v>1975</v>
      </c>
      <c r="AR2616">
        <v>2016</v>
      </c>
      <c r="AS2616" t="s">
        <v>10792</v>
      </c>
      <c r="AT2616">
        <v>11.6002737850787</v>
      </c>
      <c r="AU2616">
        <f t="shared" si="122"/>
        <v>3.2000000000000001E-2</v>
      </c>
    </row>
    <row r="2617" spans="1:47" x14ac:dyDescent="0.3">
      <c r="A2617">
        <v>2615</v>
      </c>
      <c r="B2617" t="s">
        <v>10793</v>
      </c>
      <c r="C2617" t="s">
        <v>10794</v>
      </c>
      <c r="D2617">
        <v>581</v>
      </c>
      <c r="E2617" t="s">
        <v>10780</v>
      </c>
      <c r="F2617" t="str">
        <f>VLOOKUP(E2617,country_continent!A:C,2,FALSE)</f>
        <v>Comoros</v>
      </c>
      <c r="G2617" t="str">
        <f>VLOOKUP(E2617,country_continent!A:C,3,FALSE)</f>
        <v>Africa</v>
      </c>
      <c r="H2617" t="s">
        <v>10795</v>
      </c>
      <c r="I2617" s="1">
        <v>32860</v>
      </c>
      <c r="J2617" s="3">
        <f t="shared" si="120"/>
        <v>32860</v>
      </c>
      <c r="K2617" s="1">
        <v>34971</v>
      </c>
      <c r="L2617" s="3">
        <f t="shared" si="121"/>
        <v>34971</v>
      </c>
      <c r="M2617" t="s">
        <v>49</v>
      </c>
      <c r="N2617" t="s">
        <v>67</v>
      </c>
      <c r="O2617" t="s">
        <v>1215</v>
      </c>
      <c r="P2617">
        <v>0</v>
      </c>
      <c r="Q2617" t="s">
        <v>463</v>
      </c>
      <c r="R2617" t="s">
        <v>51</v>
      </c>
      <c r="S2617">
        <v>1918</v>
      </c>
      <c r="T2617">
        <v>2006</v>
      </c>
      <c r="Z2617">
        <v>0</v>
      </c>
      <c r="AA2617">
        <v>3</v>
      </c>
      <c r="AB2617">
        <v>5</v>
      </c>
      <c r="AC2617">
        <v>2</v>
      </c>
      <c r="AD2617" t="s">
        <v>10796</v>
      </c>
      <c r="AE2617">
        <v>1</v>
      </c>
      <c r="AF2617">
        <v>1989</v>
      </c>
      <c r="AG2617">
        <v>1995</v>
      </c>
      <c r="AH2617">
        <v>-1.24254393883543</v>
      </c>
      <c r="AI2617">
        <v>911.42857142857099</v>
      </c>
      <c r="AJ2617">
        <v>4.2945229791280601</v>
      </c>
      <c r="AK2617">
        <v>111.5</v>
      </c>
      <c r="AL2617">
        <v>2.1619608893786699</v>
      </c>
      <c r="AM2617">
        <v>0.89028254394092998</v>
      </c>
      <c r="AN2617">
        <v>1.57</v>
      </c>
      <c r="AO2617" t="b">
        <v>1</v>
      </c>
      <c r="AP2617" t="s">
        <v>4986</v>
      </c>
      <c r="AQ2617">
        <v>1975</v>
      </c>
      <c r="AR2617">
        <v>2016</v>
      </c>
      <c r="AS2617" t="s">
        <v>10797</v>
      </c>
      <c r="AT2617">
        <v>5.7796030116358601</v>
      </c>
      <c r="AU2617">
        <f t="shared" si="122"/>
        <v>1.6E-2</v>
      </c>
    </row>
    <row r="2618" spans="1:47" x14ac:dyDescent="0.3">
      <c r="A2618">
        <v>2616</v>
      </c>
      <c r="B2618" t="s">
        <v>10798</v>
      </c>
      <c r="C2618" t="s">
        <v>10790</v>
      </c>
      <c r="D2618">
        <v>581</v>
      </c>
      <c r="E2618" t="s">
        <v>10780</v>
      </c>
      <c r="F2618" t="str">
        <f>VLOOKUP(E2618,country_continent!A:C,2,FALSE)</f>
        <v>Comoros</v>
      </c>
      <c r="G2618" t="str">
        <f>VLOOKUP(E2618,country_continent!A:C,3,FALSE)</f>
        <v>Africa</v>
      </c>
      <c r="H2618" t="s">
        <v>10791</v>
      </c>
      <c r="I2618" s="1">
        <v>34971</v>
      </c>
      <c r="J2618" s="3">
        <f t="shared" si="120"/>
        <v>34971</v>
      </c>
      <c r="K2618" s="1">
        <v>34977</v>
      </c>
      <c r="L2618" s="3">
        <f t="shared" si="121"/>
        <v>34977</v>
      </c>
      <c r="M2618" t="s">
        <v>67</v>
      </c>
      <c r="N2618" t="s">
        <v>633</v>
      </c>
      <c r="O2618" t="s">
        <v>634</v>
      </c>
      <c r="P2618">
        <v>1</v>
      </c>
      <c r="Q2618" t="s">
        <v>362</v>
      </c>
      <c r="R2618" t="s">
        <v>51</v>
      </c>
      <c r="S2618">
        <v>1929</v>
      </c>
      <c r="T2618">
        <v>2007</v>
      </c>
      <c r="U2618" s="1">
        <v>10690</v>
      </c>
      <c r="V2618" s="2">
        <v>10690</v>
      </c>
      <c r="W2618" s="1">
        <v>39368</v>
      </c>
      <c r="X2618" s="2">
        <v>39368</v>
      </c>
      <c r="Z2618">
        <v>1</v>
      </c>
      <c r="AA2618">
        <v>4</v>
      </c>
      <c r="AB2618">
        <v>9</v>
      </c>
      <c r="AC2618">
        <v>1</v>
      </c>
      <c r="AF2618">
        <v>1995</v>
      </c>
      <c r="AG2618">
        <v>1995</v>
      </c>
      <c r="AH2618">
        <v>1.82686042685713</v>
      </c>
      <c r="AI2618">
        <v>820</v>
      </c>
      <c r="AJ2618">
        <v>8.3209744952185698</v>
      </c>
      <c r="AK2618">
        <v>97.8</v>
      </c>
      <c r="AL2618">
        <v>1.7361918459321199</v>
      </c>
      <c r="AM2618">
        <v>1.68993932810546</v>
      </c>
      <c r="AN2618">
        <v>0</v>
      </c>
      <c r="AO2618" t="b">
        <v>1</v>
      </c>
      <c r="AP2618" t="s">
        <v>4986</v>
      </c>
      <c r="AQ2618">
        <v>1975</v>
      </c>
      <c r="AR2618">
        <v>2016</v>
      </c>
      <c r="AS2618" t="s">
        <v>10799</v>
      </c>
      <c r="AT2618">
        <v>1.6427104722792601E-2</v>
      </c>
      <c r="AU2618">
        <f t="shared" si="122"/>
        <v>0</v>
      </c>
    </row>
    <row r="2619" spans="1:47" x14ac:dyDescent="0.3">
      <c r="A2619">
        <v>2617</v>
      </c>
      <c r="B2619" t="s">
        <v>10800</v>
      </c>
      <c r="C2619" t="s">
        <v>10801</v>
      </c>
      <c r="D2619">
        <v>581</v>
      </c>
      <c r="E2619" t="s">
        <v>10780</v>
      </c>
      <c r="F2619" t="str">
        <f>VLOOKUP(E2619,country_continent!A:C,2,FALSE)</f>
        <v>Comoros</v>
      </c>
      <c r="G2619" t="str">
        <f>VLOOKUP(E2619,country_continent!A:C,3,FALSE)</f>
        <v>Africa</v>
      </c>
      <c r="H2619" t="s">
        <v>10802</v>
      </c>
      <c r="I2619" s="1">
        <v>34977</v>
      </c>
      <c r="J2619" s="3">
        <f t="shared" si="120"/>
        <v>34977</v>
      </c>
      <c r="K2619" s="1">
        <v>35090</v>
      </c>
      <c r="L2619" s="3">
        <f t="shared" si="121"/>
        <v>35090</v>
      </c>
      <c r="M2619" t="s">
        <v>49</v>
      </c>
      <c r="N2619" t="s">
        <v>49</v>
      </c>
      <c r="O2619" t="s">
        <v>49</v>
      </c>
      <c r="P2619">
        <v>0</v>
      </c>
      <c r="Q2619" t="s">
        <v>50</v>
      </c>
      <c r="R2619" t="s">
        <v>51</v>
      </c>
      <c r="S2619">
        <v>1948</v>
      </c>
      <c r="T2619">
        <v>-777</v>
      </c>
      <c r="Z2619">
        <v>0</v>
      </c>
      <c r="AA2619">
        <v>1</v>
      </c>
      <c r="AB2619">
        <v>0</v>
      </c>
      <c r="AC2619">
        <v>0</v>
      </c>
      <c r="AF2619">
        <v>1995</v>
      </c>
      <c r="AG2619">
        <v>1996</v>
      </c>
      <c r="AH2619">
        <v>-0.57501264907266803</v>
      </c>
      <c r="AI2619">
        <v>795</v>
      </c>
      <c r="AJ2619">
        <v>5.7598374171775104</v>
      </c>
      <c r="AK2619">
        <v>95.75</v>
      </c>
      <c r="AL2619">
        <v>1.72909125753468</v>
      </c>
      <c r="AM2619">
        <v>1.7076677298574101</v>
      </c>
      <c r="AN2619">
        <v>2</v>
      </c>
      <c r="AO2619" t="b">
        <v>1</v>
      </c>
      <c r="AP2619" t="s">
        <v>4986</v>
      </c>
      <c r="AQ2619">
        <v>1975</v>
      </c>
      <c r="AR2619">
        <v>2016</v>
      </c>
      <c r="AS2619" t="s">
        <v>10803</v>
      </c>
      <c r="AT2619">
        <v>0.309377138945927</v>
      </c>
      <c r="AU2619">
        <f t="shared" si="122"/>
        <v>1E-3</v>
      </c>
    </row>
    <row r="2620" spans="1:47" x14ac:dyDescent="0.3">
      <c r="A2620">
        <v>2618</v>
      </c>
      <c r="B2620" t="s">
        <v>10804</v>
      </c>
      <c r="C2620" t="s">
        <v>10794</v>
      </c>
      <c r="D2620">
        <v>581</v>
      </c>
      <c r="E2620" t="s">
        <v>10780</v>
      </c>
      <c r="F2620" t="str">
        <f>VLOOKUP(E2620,country_continent!A:C,2,FALSE)</f>
        <v>Comoros</v>
      </c>
      <c r="G2620" t="str">
        <f>VLOOKUP(E2620,country_continent!A:C,3,FALSE)</f>
        <v>Africa</v>
      </c>
      <c r="H2620" t="s">
        <v>10795</v>
      </c>
      <c r="I2620" s="1">
        <v>35090</v>
      </c>
      <c r="J2620" s="3">
        <f t="shared" si="120"/>
        <v>35090</v>
      </c>
      <c r="K2620" s="1">
        <v>35149</v>
      </c>
      <c r="L2620" s="3">
        <f t="shared" si="121"/>
        <v>35149</v>
      </c>
      <c r="M2620" t="s">
        <v>49</v>
      </c>
      <c r="N2620" t="s">
        <v>49</v>
      </c>
      <c r="O2620" t="s">
        <v>49</v>
      </c>
      <c r="P2620">
        <v>1</v>
      </c>
      <c r="Q2620" t="s">
        <v>463</v>
      </c>
      <c r="R2620" t="s">
        <v>51</v>
      </c>
      <c r="S2620">
        <v>1918</v>
      </c>
      <c r="T2620">
        <v>2006</v>
      </c>
      <c r="Z2620">
        <v>0</v>
      </c>
      <c r="AA2620">
        <v>1</v>
      </c>
      <c r="AB2620">
        <v>0</v>
      </c>
      <c r="AC2620">
        <v>2</v>
      </c>
      <c r="AD2620" t="s">
        <v>10796</v>
      </c>
      <c r="AE2620">
        <v>1</v>
      </c>
      <c r="AF2620">
        <v>1996</v>
      </c>
      <c r="AG2620">
        <v>1996</v>
      </c>
      <c r="AH2620">
        <v>-2.9768857250024698</v>
      </c>
      <c r="AI2620">
        <v>770</v>
      </c>
      <c r="AJ2620">
        <v>3.1987003391364501</v>
      </c>
      <c r="AK2620">
        <v>93.7</v>
      </c>
      <c r="AL2620">
        <v>1.72199066913724</v>
      </c>
      <c r="AM2620">
        <v>1.72539613160936</v>
      </c>
      <c r="AN2620">
        <v>4</v>
      </c>
      <c r="AO2620" t="b">
        <v>1</v>
      </c>
      <c r="AP2620" t="s">
        <v>4986</v>
      </c>
      <c r="AQ2620">
        <v>1975</v>
      </c>
      <c r="AR2620">
        <v>2016</v>
      </c>
      <c r="AS2620" t="s">
        <v>10805</v>
      </c>
      <c r="AT2620">
        <v>0.161533196440793</v>
      </c>
      <c r="AU2620">
        <f t="shared" si="122"/>
        <v>0</v>
      </c>
    </row>
    <row r="2621" spans="1:47" x14ac:dyDescent="0.3">
      <c r="A2621">
        <v>2619</v>
      </c>
      <c r="B2621" t="s">
        <v>10806</v>
      </c>
      <c r="C2621" t="s">
        <v>10807</v>
      </c>
      <c r="D2621">
        <v>581</v>
      </c>
      <c r="E2621" t="s">
        <v>10780</v>
      </c>
      <c r="F2621" t="str">
        <f>VLOOKUP(E2621,country_continent!A:C,2,FALSE)</f>
        <v>Comoros</v>
      </c>
      <c r="G2621" t="str">
        <f>VLOOKUP(E2621,country_continent!A:C,3,FALSE)</f>
        <v>Africa</v>
      </c>
      <c r="H2621" t="s">
        <v>10808</v>
      </c>
      <c r="I2621" s="1">
        <v>35149</v>
      </c>
      <c r="J2621" s="3">
        <f t="shared" si="120"/>
        <v>35149</v>
      </c>
      <c r="K2621" s="1">
        <v>36105</v>
      </c>
      <c r="L2621" s="3">
        <f t="shared" si="121"/>
        <v>36105</v>
      </c>
      <c r="M2621" t="s">
        <v>49</v>
      </c>
      <c r="N2621" t="s">
        <v>110</v>
      </c>
      <c r="O2621" t="s">
        <v>49</v>
      </c>
      <c r="P2621">
        <v>1</v>
      </c>
      <c r="Q2621" t="s">
        <v>111</v>
      </c>
      <c r="R2621" t="s">
        <v>51</v>
      </c>
      <c r="S2621">
        <v>1936</v>
      </c>
      <c r="T2621">
        <v>1998</v>
      </c>
      <c r="Z2621">
        <v>0</v>
      </c>
      <c r="AA2621">
        <v>2</v>
      </c>
      <c r="AB2621">
        <v>0</v>
      </c>
      <c r="AC2621">
        <v>-777</v>
      </c>
      <c r="AF2621">
        <v>1996</v>
      </c>
      <c r="AG2621">
        <v>1998</v>
      </c>
      <c r="AH2621">
        <v>-0.38989832817652798</v>
      </c>
      <c r="AI2621">
        <v>760</v>
      </c>
      <c r="AJ2621">
        <v>1.8232404200528101</v>
      </c>
      <c r="AK2621">
        <v>90</v>
      </c>
      <c r="AL2621">
        <v>1.72208261708897</v>
      </c>
      <c r="AM2621">
        <v>1.77285152000152</v>
      </c>
      <c r="AN2621">
        <v>4</v>
      </c>
      <c r="AO2621" t="b">
        <v>1</v>
      </c>
      <c r="AP2621" t="s">
        <v>4986</v>
      </c>
      <c r="AQ2621">
        <v>1975</v>
      </c>
      <c r="AR2621">
        <v>2016</v>
      </c>
      <c r="AS2621" t="s">
        <v>10809</v>
      </c>
      <c r="AT2621">
        <v>2.61738535249828</v>
      </c>
      <c r="AU2621">
        <f t="shared" si="122"/>
        <v>7.0000000000000001E-3</v>
      </c>
    </row>
    <row r="2622" spans="1:47" x14ac:dyDescent="0.3">
      <c r="A2622">
        <v>2620</v>
      </c>
      <c r="B2622" t="s">
        <v>10810</v>
      </c>
      <c r="C2622" t="s">
        <v>10811</v>
      </c>
      <c r="D2622">
        <v>581</v>
      </c>
      <c r="E2622" t="s">
        <v>10780</v>
      </c>
      <c r="F2622" t="str">
        <f>VLOOKUP(E2622,country_continent!A:C,2,FALSE)</f>
        <v>Comoros</v>
      </c>
      <c r="G2622" t="str">
        <f>VLOOKUP(E2622,country_continent!A:C,3,FALSE)</f>
        <v>Africa</v>
      </c>
      <c r="H2622" t="s">
        <v>10812</v>
      </c>
      <c r="I2622" s="1">
        <v>36105</v>
      </c>
      <c r="J2622" s="3">
        <f t="shared" si="120"/>
        <v>36105</v>
      </c>
      <c r="K2622" s="1">
        <v>36280</v>
      </c>
      <c r="L2622" s="3">
        <f t="shared" si="121"/>
        <v>36280</v>
      </c>
      <c r="M2622" t="s">
        <v>49</v>
      </c>
      <c r="N2622" t="s">
        <v>67</v>
      </c>
      <c r="O2622" t="s">
        <v>376</v>
      </c>
      <c r="P2622">
        <v>0</v>
      </c>
      <c r="Q2622" t="s">
        <v>463</v>
      </c>
      <c r="R2622" t="s">
        <v>51</v>
      </c>
      <c r="S2622">
        <v>1933</v>
      </c>
      <c r="T2622">
        <v>2004</v>
      </c>
      <c r="Z2622">
        <v>0</v>
      </c>
      <c r="AA2622">
        <v>3</v>
      </c>
      <c r="AB2622">
        <v>6</v>
      </c>
      <c r="AC2622">
        <v>2</v>
      </c>
      <c r="AF2622">
        <v>1998</v>
      </c>
      <c r="AG2622">
        <v>1999</v>
      </c>
      <c r="AH2622">
        <v>-0.16132173181425399</v>
      </c>
      <c r="AI2622">
        <v>720</v>
      </c>
      <c r="AJ2622">
        <v>3.57900739712362</v>
      </c>
      <c r="AK2622">
        <v>84.55</v>
      </c>
      <c r="AL2622">
        <v>1.75210421940729</v>
      </c>
      <c r="AM2622">
        <v>1.5517725580392701</v>
      </c>
      <c r="AN2622">
        <v>1</v>
      </c>
      <c r="AO2622" t="b">
        <v>1</v>
      </c>
      <c r="AP2622" t="s">
        <v>4986</v>
      </c>
      <c r="AQ2622">
        <v>1975</v>
      </c>
      <c r="AR2622">
        <v>2016</v>
      </c>
      <c r="AS2622" t="s">
        <v>10813</v>
      </c>
      <c r="AT2622">
        <v>0.47912388774811698</v>
      </c>
      <c r="AU2622">
        <f t="shared" si="122"/>
        <v>1E-3</v>
      </c>
    </row>
    <row r="2623" spans="1:47" x14ac:dyDescent="0.3">
      <c r="A2623">
        <v>2621</v>
      </c>
      <c r="B2623" t="s">
        <v>10814</v>
      </c>
      <c r="C2623" t="s">
        <v>10815</v>
      </c>
      <c r="D2623">
        <v>581</v>
      </c>
      <c r="E2623" t="s">
        <v>10780</v>
      </c>
      <c r="F2623" t="str">
        <f>VLOOKUP(E2623,country_continent!A:C,2,FALSE)</f>
        <v>Comoros</v>
      </c>
      <c r="G2623" t="str">
        <f>VLOOKUP(E2623,country_continent!A:C,3,FALSE)</f>
        <v>Africa</v>
      </c>
      <c r="H2623" t="s">
        <v>10816</v>
      </c>
      <c r="I2623" s="1">
        <v>36280</v>
      </c>
      <c r="J2623" s="3">
        <f t="shared" si="120"/>
        <v>36280</v>
      </c>
      <c r="K2623" s="1">
        <v>37277</v>
      </c>
      <c r="L2623" s="3">
        <f t="shared" si="121"/>
        <v>37277</v>
      </c>
      <c r="M2623" t="s">
        <v>67</v>
      </c>
      <c r="N2623" t="s">
        <v>49</v>
      </c>
      <c r="O2623" t="s">
        <v>49</v>
      </c>
      <c r="P2623">
        <v>0</v>
      </c>
      <c r="Q2623" t="s">
        <v>50</v>
      </c>
      <c r="R2623" t="s">
        <v>51</v>
      </c>
      <c r="S2623">
        <v>1959</v>
      </c>
      <c r="T2623">
        <v>-777</v>
      </c>
      <c r="Z2623">
        <v>1</v>
      </c>
      <c r="AA2623">
        <v>1</v>
      </c>
      <c r="AB2623">
        <v>0</v>
      </c>
      <c r="AC2623">
        <v>0</v>
      </c>
      <c r="AF2623">
        <v>1999</v>
      </c>
      <c r="AG2623">
        <v>2002</v>
      </c>
      <c r="AH2623">
        <v>2.3240416013759</v>
      </c>
      <c r="AI2623">
        <v>710</v>
      </c>
      <c r="AJ2623">
        <v>3.5379939538851799</v>
      </c>
      <c r="AK2623">
        <v>78.125</v>
      </c>
      <c r="AL2623">
        <v>1.96871610620866</v>
      </c>
      <c r="AM2623">
        <v>1.3297860972468101</v>
      </c>
      <c r="AN2623">
        <v>0.25</v>
      </c>
      <c r="AO2623" t="b">
        <v>1</v>
      </c>
      <c r="AP2623" t="s">
        <v>4986</v>
      </c>
      <c r="AQ2623">
        <v>1975</v>
      </c>
      <c r="AR2623">
        <v>2016</v>
      </c>
      <c r="AS2623" t="s">
        <v>10817</v>
      </c>
      <c r="AT2623">
        <v>2.7296372347707001</v>
      </c>
      <c r="AU2623">
        <f t="shared" si="122"/>
        <v>7.0000000000000001E-3</v>
      </c>
    </row>
    <row r="2624" spans="1:47" x14ac:dyDescent="0.3">
      <c r="A2624">
        <v>2622</v>
      </c>
      <c r="B2624" t="s">
        <v>10818</v>
      </c>
      <c r="C2624" t="s">
        <v>10819</v>
      </c>
      <c r="D2624">
        <v>581</v>
      </c>
      <c r="E2624" t="s">
        <v>10780</v>
      </c>
      <c r="F2624" t="str">
        <f>VLOOKUP(E2624,country_continent!A:C,2,FALSE)</f>
        <v>Comoros</v>
      </c>
      <c r="G2624" t="str">
        <f>VLOOKUP(E2624,country_continent!A:C,3,FALSE)</f>
        <v>Africa</v>
      </c>
      <c r="H2624" t="s">
        <v>10820</v>
      </c>
      <c r="I2624" s="1">
        <v>37278</v>
      </c>
      <c r="J2624" s="3">
        <f t="shared" si="120"/>
        <v>37278</v>
      </c>
      <c r="K2624" s="1">
        <v>37402</v>
      </c>
      <c r="L2624" s="3">
        <f t="shared" si="121"/>
        <v>37402</v>
      </c>
      <c r="M2624" t="s">
        <v>49</v>
      </c>
      <c r="N2624" t="s">
        <v>49</v>
      </c>
      <c r="O2624" t="s">
        <v>49</v>
      </c>
      <c r="P2624">
        <v>0</v>
      </c>
      <c r="Q2624" t="s">
        <v>50</v>
      </c>
      <c r="R2624" t="s">
        <v>51</v>
      </c>
      <c r="S2624">
        <v>1965</v>
      </c>
      <c r="T2624">
        <v>-777</v>
      </c>
      <c r="Z2624">
        <v>0</v>
      </c>
      <c r="AA2624">
        <v>1</v>
      </c>
      <c r="AB2624">
        <v>0</v>
      </c>
      <c r="AC2624">
        <v>0</v>
      </c>
      <c r="AF2624">
        <v>2002</v>
      </c>
      <c r="AG2624">
        <v>2002</v>
      </c>
      <c r="AH2624">
        <v>0.18241569421047599</v>
      </c>
      <c r="AI2624">
        <v>690</v>
      </c>
      <c r="AJ2624">
        <v>4.1706559168441402</v>
      </c>
      <c r="AK2624">
        <v>73.599999999999994</v>
      </c>
      <c r="AL2624">
        <v>2.1160802344277099</v>
      </c>
      <c r="AM2624">
        <v>1.3751467319059401</v>
      </c>
      <c r="AN2624">
        <v>4</v>
      </c>
      <c r="AO2624" t="b">
        <v>1</v>
      </c>
      <c r="AP2624" t="s">
        <v>4986</v>
      </c>
      <c r="AQ2624">
        <v>1975</v>
      </c>
      <c r="AR2624">
        <v>2016</v>
      </c>
      <c r="AS2624" t="s">
        <v>10821</v>
      </c>
      <c r="AT2624">
        <v>0.33949349760438002</v>
      </c>
      <c r="AU2624">
        <f t="shared" si="122"/>
        <v>1E-3</v>
      </c>
    </row>
    <row r="2625" spans="1:47" x14ac:dyDescent="0.3">
      <c r="A2625">
        <v>2623</v>
      </c>
      <c r="B2625" t="s">
        <v>10822</v>
      </c>
      <c r="C2625" t="s">
        <v>10815</v>
      </c>
      <c r="D2625">
        <v>581</v>
      </c>
      <c r="E2625" t="s">
        <v>10780</v>
      </c>
      <c r="F2625" t="str">
        <f>VLOOKUP(E2625,country_continent!A:C,2,FALSE)</f>
        <v>Comoros</v>
      </c>
      <c r="G2625" t="str">
        <f>VLOOKUP(E2625,country_continent!A:C,3,FALSE)</f>
        <v>Africa</v>
      </c>
      <c r="H2625" t="s">
        <v>10816</v>
      </c>
      <c r="I2625" s="1">
        <v>37403</v>
      </c>
      <c r="J2625" s="3">
        <f t="shared" si="120"/>
        <v>37403</v>
      </c>
      <c r="K2625" s="1">
        <v>38863</v>
      </c>
      <c r="L2625" s="3">
        <f t="shared" si="121"/>
        <v>38863</v>
      </c>
      <c r="M2625" t="s">
        <v>49</v>
      </c>
      <c r="N2625" t="s">
        <v>49</v>
      </c>
      <c r="O2625" t="s">
        <v>49</v>
      </c>
      <c r="P2625">
        <v>1</v>
      </c>
      <c r="Q2625" t="s">
        <v>50</v>
      </c>
      <c r="R2625" t="s">
        <v>51</v>
      </c>
      <c r="S2625">
        <v>1959</v>
      </c>
      <c r="T2625">
        <v>-777</v>
      </c>
      <c r="Z2625">
        <v>0</v>
      </c>
      <c r="AA2625">
        <v>1</v>
      </c>
      <c r="AB2625">
        <v>0</v>
      </c>
      <c r="AC2625">
        <v>0</v>
      </c>
      <c r="AF2625">
        <v>2002</v>
      </c>
      <c r="AG2625">
        <v>2006</v>
      </c>
      <c r="AH2625">
        <v>0.34008497941757698</v>
      </c>
      <c r="AI2625">
        <v>950</v>
      </c>
      <c r="AJ2625">
        <v>3.2194984386263901</v>
      </c>
      <c r="AK2625">
        <v>68.180000000000007</v>
      </c>
      <c r="AL2625">
        <v>1.99938389714774</v>
      </c>
      <c r="AM2625">
        <v>1.3651451284855101</v>
      </c>
      <c r="AN2625">
        <v>5.8</v>
      </c>
      <c r="AO2625" t="b">
        <v>1</v>
      </c>
      <c r="AP2625" t="s">
        <v>4986</v>
      </c>
      <c r="AQ2625">
        <v>1975</v>
      </c>
      <c r="AR2625">
        <v>2016</v>
      </c>
      <c r="AS2625" t="s">
        <v>10823</v>
      </c>
      <c r="AT2625">
        <v>3.9972621492128599</v>
      </c>
      <c r="AU2625">
        <f t="shared" si="122"/>
        <v>1.0999999999999999E-2</v>
      </c>
    </row>
    <row r="2626" spans="1:47" x14ac:dyDescent="0.3">
      <c r="A2626">
        <v>2624</v>
      </c>
      <c r="B2626" t="s">
        <v>10824</v>
      </c>
      <c r="C2626" t="s">
        <v>10825</v>
      </c>
      <c r="D2626">
        <v>581</v>
      </c>
      <c r="E2626" t="s">
        <v>10780</v>
      </c>
      <c r="F2626" t="str">
        <f>VLOOKUP(E2626,country_continent!A:C,2,FALSE)</f>
        <v>Comoros</v>
      </c>
      <c r="G2626" t="str">
        <f>VLOOKUP(E2626,country_continent!A:C,3,FALSE)</f>
        <v>Africa</v>
      </c>
      <c r="H2626" t="s">
        <v>10826</v>
      </c>
      <c r="I2626" s="1">
        <v>38863</v>
      </c>
      <c r="J2626" s="3">
        <f t="shared" si="120"/>
        <v>38863</v>
      </c>
      <c r="K2626" s="1">
        <v>40689</v>
      </c>
      <c r="L2626" s="3">
        <f t="shared" si="121"/>
        <v>40689</v>
      </c>
      <c r="M2626" t="s">
        <v>49</v>
      </c>
      <c r="N2626" t="s">
        <v>49</v>
      </c>
      <c r="O2626" t="s">
        <v>49</v>
      </c>
      <c r="P2626">
        <v>0</v>
      </c>
      <c r="Q2626" t="s">
        <v>50</v>
      </c>
      <c r="R2626" t="s">
        <v>51</v>
      </c>
      <c r="S2626">
        <v>1958</v>
      </c>
      <c r="T2626">
        <v>-777</v>
      </c>
      <c r="U2626" s="1">
        <v>21341</v>
      </c>
      <c r="V2626" s="2">
        <v>21341</v>
      </c>
      <c r="Z2626">
        <v>0</v>
      </c>
      <c r="AA2626">
        <v>1</v>
      </c>
      <c r="AB2626">
        <v>0</v>
      </c>
      <c r="AC2626">
        <v>0</v>
      </c>
      <c r="AF2626">
        <v>2006</v>
      </c>
      <c r="AG2626">
        <v>2011</v>
      </c>
      <c r="AH2626">
        <v>2.0414634162764198</v>
      </c>
      <c r="AI2626">
        <v>1365</v>
      </c>
      <c r="AJ2626">
        <v>1.6229829816152599</v>
      </c>
      <c r="AK2626">
        <v>58.05</v>
      </c>
      <c r="AL2626">
        <v>1.99537399639849</v>
      </c>
      <c r="AM2626">
        <v>1.59024852670552</v>
      </c>
      <c r="AN2626">
        <v>9</v>
      </c>
      <c r="AO2626" t="b">
        <v>1</v>
      </c>
      <c r="AP2626" t="s">
        <v>4986</v>
      </c>
      <c r="AQ2626">
        <v>1975</v>
      </c>
      <c r="AR2626">
        <v>2016</v>
      </c>
      <c r="AS2626" t="s">
        <v>10827</v>
      </c>
      <c r="AT2626">
        <v>4.9993155373032101</v>
      </c>
      <c r="AU2626">
        <f t="shared" si="122"/>
        <v>1.4E-2</v>
      </c>
    </row>
    <row r="2627" spans="1:47" x14ac:dyDescent="0.3">
      <c r="A2627">
        <v>2625</v>
      </c>
      <c r="B2627" t="s">
        <v>10828</v>
      </c>
      <c r="C2627" t="s">
        <v>10829</v>
      </c>
      <c r="D2627">
        <v>581</v>
      </c>
      <c r="E2627" t="s">
        <v>10780</v>
      </c>
      <c r="F2627" t="str">
        <f>VLOOKUP(E2627,country_continent!A:C,2,FALSE)</f>
        <v>Comoros</v>
      </c>
      <c r="G2627" t="str">
        <f>VLOOKUP(E2627,country_continent!A:C,3,FALSE)</f>
        <v>Africa</v>
      </c>
      <c r="H2627" t="s">
        <v>10830</v>
      </c>
      <c r="I2627" s="1">
        <v>40689</v>
      </c>
      <c r="J2627" s="3">
        <f t="shared" ref="J2627:J2690" si="123">IF(ISNUMBER(SEARCH("-", I2627)), SUBSTITUTE(I2627, "-", "/"), I2627)</f>
        <v>40689</v>
      </c>
      <c r="K2627" s="1">
        <v>42369</v>
      </c>
      <c r="L2627" s="3">
        <f t="shared" ref="L2627:L2690" si="124">IF(ISNUMBER(SEARCH("-", K2627)), SUBSTITUTE(K2627, "-", "/"), K2627)</f>
        <v>42369</v>
      </c>
      <c r="M2627" t="s">
        <v>49</v>
      </c>
      <c r="N2627" t="s">
        <v>173</v>
      </c>
      <c r="O2627" t="s">
        <v>173</v>
      </c>
      <c r="P2627">
        <v>0</v>
      </c>
      <c r="Q2627" t="s">
        <v>174</v>
      </c>
      <c r="R2627" t="s">
        <v>51</v>
      </c>
      <c r="S2627">
        <v>1962</v>
      </c>
      <c r="T2627">
        <v>-777</v>
      </c>
      <c r="U2627" s="1">
        <v>22872</v>
      </c>
      <c r="V2627" s="2">
        <v>22872</v>
      </c>
      <c r="Z2627">
        <v>0</v>
      </c>
      <c r="AA2627">
        <v>-888</v>
      </c>
      <c r="AB2627">
        <v>-888</v>
      </c>
      <c r="AC2627">
        <v>-888</v>
      </c>
      <c r="AF2627">
        <v>2011</v>
      </c>
      <c r="AG2627">
        <v>2015</v>
      </c>
      <c r="AH2627">
        <v>3.2313566355481802</v>
      </c>
      <c r="AI2627">
        <v>1566</v>
      </c>
      <c r="AJ2627">
        <v>-0.42533958413086997</v>
      </c>
      <c r="AK2627">
        <v>50.98</v>
      </c>
      <c r="AL2627">
        <v>2.0820829040939599</v>
      </c>
      <c r="AM2627">
        <v>1.96677269346149</v>
      </c>
      <c r="AN2627">
        <v>9</v>
      </c>
      <c r="AO2627" t="b">
        <v>1</v>
      </c>
      <c r="AP2627" t="s">
        <v>4986</v>
      </c>
      <c r="AQ2627">
        <v>1975</v>
      </c>
      <c r="AR2627">
        <v>2016</v>
      </c>
      <c r="AS2627" t="s">
        <v>10831</v>
      </c>
      <c r="AT2627">
        <v>4.59958932238193</v>
      </c>
      <c r="AU2627">
        <f t="shared" si="122"/>
        <v>1.2999999999999999E-2</v>
      </c>
    </row>
    <row r="2628" spans="1:47" x14ac:dyDescent="0.3">
      <c r="A2628">
        <v>2626</v>
      </c>
      <c r="B2628" t="s">
        <v>10832</v>
      </c>
      <c r="C2628" t="s">
        <v>10833</v>
      </c>
      <c r="D2628">
        <v>590</v>
      </c>
      <c r="E2628" t="s">
        <v>10834</v>
      </c>
      <c r="F2628" t="str">
        <f>VLOOKUP(E2628,country_continent!A:C,2,FALSE)</f>
        <v>Mauritius</v>
      </c>
      <c r="G2628" t="str">
        <f>VLOOKUP(E2628,country_continent!A:C,3,FALSE)</f>
        <v>Africa</v>
      </c>
      <c r="H2628" t="s">
        <v>10835</v>
      </c>
      <c r="I2628" s="1">
        <v>24909</v>
      </c>
      <c r="J2628" s="3">
        <f t="shared" si="123"/>
        <v>24909</v>
      </c>
      <c r="K2628" s="1">
        <v>30118</v>
      </c>
      <c r="L2628" s="3">
        <f t="shared" si="124"/>
        <v>30118</v>
      </c>
      <c r="M2628" t="s">
        <v>49</v>
      </c>
      <c r="N2628" t="s">
        <v>49</v>
      </c>
      <c r="O2628" t="s">
        <v>49</v>
      </c>
      <c r="P2628">
        <v>0</v>
      </c>
      <c r="Q2628" t="s">
        <v>50</v>
      </c>
      <c r="R2628" t="s">
        <v>51</v>
      </c>
      <c r="S2628">
        <v>1900</v>
      </c>
      <c r="T2628">
        <v>1985</v>
      </c>
      <c r="U2628" s="1">
        <v>262</v>
      </c>
      <c r="V2628" s="2">
        <v>262</v>
      </c>
      <c r="W2628" s="1">
        <v>31396</v>
      </c>
      <c r="X2628" s="2">
        <v>31396</v>
      </c>
      <c r="Y2628" t="s">
        <v>10836</v>
      </c>
      <c r="Z2628">
        <v>0</v>
      </c>
      <c r="AA2628">
        <v>1</v>
      </c>
      <c r="AB2628">
        <v>0</v>
      </c>
      <c r="AC2628">
        <v>0</v>
      </c>
      <c r="AD2628" t="s">
        <v>10837</v>
      </c>
      <c r="AE2628">
        <v>0</v>
      </c>
      <c r="AF2628">
        <v>1968</v>
      </c>
      <c r="AG2628">
        <v>1982</v>
      </c>
      <c r="AO2628" t="b">
        <v>1</v>
      </c>
      <c r="AP2628" t="s">
        <v>4986</v>
      </c>
      <c r="AQ2628">
        <v>1968</v>
      </c>
      <c r="AR2628">
        <v>2016</v>
      </c>
      <c r="AS2628" t="s">
        <v>10838</v>
      </c>
      <c r="AT2628">
        <v>14.2614647501711</v>
      </c>
      <c r="AU2628">
        <f t="shared" ref="AU2628:AU2691" si="125">ROUND(AT2628/365,3)</f>
        <v>3.9E-2</v>
      </c>
    </row>
    <row r="2629" spans="1:47" x14ac:dyDescent="0.3">
      <c r="A2629">
        <v>2627</v>
      </c>
      <c r="B2629" t="s">
        <v>10839</v>
      </c>
      <c r="C2629" t="s">
        <v>10840</v>
      </c>
      <c r="D2629">
        <v>590</v>
      </c>
      <c r="E2629" t="s">
        <v>10834</v>
      </c>
      <c r="F2629" t="str">
        <f>VLOOKUP(E2629,country_continent!A:C,2,FALSE)</f>
        <v>Mauritius</v>
      </c>
      <c r="G2629" t="str">
        <f>VLOOKUP(E2629,country_continent!A:C,3,FALSE)</f>
        <v>Africa</v>
      </c>
      <c r="H2629" t="s">
        <v>10841</v>
      </c>
      <c r="I2629" s="1">
        <v>30118</v>
      </c>
      <c r="J2629" s="3">
        <f t="shared" si="123"/>
        <v>30118</v>
      </c>
      <c r="K2629" s="1">
        <v>35055</v>
      </c>
      <c r="L2629" s="3">
        <f t="shared" si="124"/>
        <v>35055</v>
      </c>
      <c r="M2629" t="s">
        <v>49</v>
      </c>
      <c r="N2629" t="s">
        <v>49</v>
      </c>
      <c r="O2629" t="s">
        <v>49</v>
      </c>
      <c r="P2629">
        <v>0</v>
      </c>
      <c r="Q2629" t="s">
        <v>50</v>
      </c>
      <c r="R2629" t="s">
        <v>51</v>
      </c>
      <c r="S2629">
        <v>1930</v>
      </c>
      <c r="T2629">
        <v>-777</v>
      </c>
      <c r="U2629" s="1">
        <v>11046</v>
      </c>
      <c r="V2629" s="2">
        <v>11046</v>
      </c>
      <c r="Y2629" t="s">
        <v>10842</v>
      </c>
      <c r="Z2629">
        <v>0</v>
      </c>
      <c r="AA2629">
        <v>1</v>
      </c>
      <c r="AB2629">
        <v>0</v>
      </c>
      <c r="AC2629">
        <v>0</v>
      </c>
      <c r="AF2629">
        <v>1982</v>
      </c>
      <c r="AG2629">
        <v>1995</v>
      </c>
      <c r="AO2629" t="b">
        <v>1</v>
      </c>
      <c r="AP2629" t="s">
        <v>4986</v>
      </c>
      <c r="AQ2629">
        <v>1968</v>
      </c>
      <c r="AR2629">
        <v>2016</v>
      </c>
      <c r="AS2629" t="s">
        <v>10843</v>
      </c>
      <c r="AT2629">
        <v>13.5167693360711</v>
      </c>
      <c r="AU2629">
        <f t="shared" si="125"/>
        <v>3.6999999999999998E-2</v>
      </c>
    </row>
    <row r="2630" spans="1:47" x14ac:dyDescent="0.3">
      <c r="A2630">
        <v>2628</v>
      </c>
      <c r="B2630" t="s">
        <v>10844</v>
      </c>
      <c r="C2630" t="s">
        <v>10845</v>
      </c>
      <c r="D2630">
        <v>590</v>
      </c>
      <c r="E2630" t="s">
        <v>10834</v>
      </c>
      <c r="F2630" t="str">
        <f>VLOOKUP(E2630,country_continent!A:C,2,FALSE)</f>
        <v>Mauritius</v>
      </c>
      <c r="G2630" t="str">
        <f>VLOOKUP(E2630,country_continent!A:C,3,FALSE)</f>
        <v>Africa</v>
      </c>
      <c r="H2630" t="s">
        <v>10846</v>
      </c>
      <c r="I2630" s="1">
        <v>35055</v>
      </c>
      <c r="J2630" s="3">
        <f t="shared" si="123"/>
        <v>35055</v>
      </c>
      <c r="K2630" s="1">
        <v>36786</v>
      </c>
      <c r="L2630" s="3">
        <f t="shared" si="124"/>
        <v>36786</v>
      </c>
      <c r="M2630" t="s">
        <v>49</v>
      </c>
      <c r="N2630" t="s">
        <v>49</v>
      </c>
      <c r="O2630" t="s">
        <v>49</v>
      </c>
      <c r="P2630">
        <v>0</v>
      </c>
      <c r="Q2630" t="s">
        <v>50</v>
      </c>
      <c r="R2630" t="s">
        <v>51</v>
      </c>
      <c r="S2630">
        <v>1947</v>
      </c>
      <c r="T2630">
        <v>-777</v>
      </c>
      <c r="Z2630">
        <v>0</v>
      </c>
      <c r="AA2630">
        <v>1</v>
      </c>
      <c r="AB2630">
        <v>0</v>
      </c>
      <c r="AC2630">
        <v>0</v>
      </c>
      <c r="AD2630" t="s">
        <v>10847</v>
      </c>
      <c r="AE2630">
        <v>1</v>
      </c>
      <c r="AF2630">
        <v>1995</v>
      </c>
      <c r="AG2630">
        <v>2000</v>
      </c>
      <c r="AO2630" t="b">
        <v>1</v>
      </c>
      <c r="AP2630" t="s">
        <v>4986</v>
      </c>
      <c r="AQ2630">
        <v>1968</v>
      </c>
      <c r="AR2630">
        <v>2016</v>
      </c>
      <c r="AS2630" t="s">
        <v>10848</v>
      </c>
      <c r="AT2630">
        <v>4.7392197125256601</v>
      </c>
      <c r="AU2630">
        <f t="shared" si="125"/>
        <v>1.2999999999999999E-2</v>
      </c>
    </row>
    <row r="2631" spans="1:47" x14ac:dyDescent="0.3">
      <c r="A2631">
        <v>2629</v>
      </c>
      <c r="B2631" t="s">
        <v>10849</v>
      </c>
      <c r="C2631" t="s">
        <v>10840</v>
      </c>
      <c r="D2631">
        <v>590</v>
      </c>
      <c r="E2631" t="s">
        <v>10834</v>
      </c>
      <c r="F2631" t="str">
        <f>VLOOKUP(E2631,country_continent!A:C,2,FALSE)</f>
        <v>Mauritius</v>
      </c>
      <c r="G2631" t="str">
        <f>VLOOKUP(E2631,country_continent!A:C,3,FALSE)</f>
        <v>Africa</v>
      </c>
      <c r="H2631" t="s">
        <v>10841</v>
      </c>
      <c r="I2631" s="1">
        <v>36787</v>
      </c>
      <c r="J2631" s="3">
        <f t="shared" si="123"/>
        <v>36787</v>
      </c>
      <c r="K2631" s="1">
        <v>37894</v>
      </c>
      <c r="L2631" s="3">
        <f t="shared" si="124"/>
        <v>37894</v>
      </c>
      <c r="M2631" t="s">
        <v>49</v>
      </c>
      <c r="N2631" t="s">
        <v>49</v>
      </c>
      <c r="O2631" t="s">
        <v>49</v>
      </c>
      <c r="P2631">
        <v>1</v>
      </c>
      <c r="Q2631" t="s">
        <v>50</v>
      </c>
      <c r="R2631" t="s">
        <v>51</v>
      </c>
      <c r="S2631">
        <v>1930</v>
      </c>
      <c r="T2631">
        <v>-777</v>
      </c>
      <c r="U2631" s="1">
        <v>11046</v>
      </c>
      <c r="V2631" s="2">
        <v>11046</v>
      </c>
      <c r="Y2631" t="s">
        <v>10842</v>
      </c>
      <c r="Z2631">
        <v>0</v>
      </c>
      <c r="AA2631">
        <v>1</v>
      </c>
      <c r="AB2631">
        <v>0</v>
      </c>
      <c r="AC2631">
        <v>0</v>
      </c>
      <c r="AF2631">
        <v>2000</v>
      </c>
      <c r="AG2631">
        <v>2003</v>
      </c>
      <c r="AO2631" t="b">
        <v>1</v>
      </c>
      <c r="AP2631" t="s">
        <v>4986</v>
      </c>
      <c r="AQ2631">
        <v>1968</v>
      </c>
      <c r="AR2631">
        <v>2016</v>
      </c>
      <c r="AS2631" t="s">
        <v>10850</v>
      </c>
      <c r="AT2631">
        <v>3.0308008213552302</v>
      </c>
      <c r="AU2631">
        <f t="shared" si="125"/>
        <v>8.0000000000000002E-3</v>
      </c>
    </row>
    <row r="2632" spans="1:47" x14ac:dyDescent="0.3">
      <c r="A2632">
        <v>2630</v>
      </c>
      <c r="B2632" t="s">
        <v>10851</v>
      </c>
      <c r="C2632" t="s">
        <v>10852</v>
      </c>
      <c r="D2632">
        <v>590</v>
      </c>
      <c r="E2632" t="s">
        <v>10834</v>
      </c>
      <c r="F2632" t="str">
        <f>VLOOKUP(E2632,country_continent!A:C,2,FALSE)</f>
        <v>Mauritius</v>
      </c>
      <c r="G2632" t="str">
        <f>VLOOKUP(E2632,country_continent!A:C,3,FALSE)</f>
        <v>Africa</v>
      </c>
      <c r="H2632" t="s">
        <v>10853</v>
      </c>
      <c r="I2632" s="1">
        <v>37894</v>
      </c>
      <c r="J2632" s="3">
        <f t="shared" si="123"/>
        <v>37894</v>
      </c>
      <c r="K2632" s="1">
        <v>38538</v>
      </c>
      <c r="L2632" s="3">
        <f t="shared" si="124"/>
        <v>38538</v>
      </c>
      <c r="M2632" t="s">
        <v>49</v>
      </c>
      <c r="N2632" t="s">
        <v>49</v>
      </c>
      <c r="O2632" t="s">
        <v>49</v>
      </c>
      <c r="P2632">
        <v>0</v>
      </c>
      <c r="Q2632" t="s">
        <v>50</v>
      </c>
      <c r="R2632" t="s">
        <v>51</v>
      </c>
      <c r="S2632">
        <v>1945</v>
      </c>
      <c r="T2632">
        <v>-777</v>
      </c>
      <c r="U2632" s="1">
        <v>16522</v>
      </c>
      <c r="V2632" s="2">
        <v>16522</v>
      </c>
      <c r="Y2632" t="s">
        <v>10854</v>
      </c>
      <c r="Z2632">
        <v>0</v>
      </c>
      <c r="AA2632">
        <v>1</v>
      </c>
      <c r="AB2632">
        <v>0</v>
      </c>
      <c r="AC2632">
        <v>0</v>
      </c>
      <c r="AF2632">
        <v>2003</v>
      </c>
      <c r="AG2632">
        <v>2005</v>
      </c>
      <c r="AO2632" t="b">
        <v>1</v>
      </c>
      <c r="AP2632" t="s">
        <v>4986</v>
      </c>
      <c r="AQ2632">
        <v>1968</v>
      </c>
      <c r="AR2632">
        <v>2016</v>
      </c>
      <c r="AS2632" t="s">
        <v>10855</v>
      </c>
      <c r="AT2632">
        <v>1.7631759069130699</v>
      </c>
      <c r="AU2632">
        <f t="shared" si="125"/>
        <v>5.0000000000000001E-3</v>
      </c>
    </row>
    <row r="2633" spans="1:47" x14ac:dyDescent="0.3">
      <c r="A2633">
        <v>2631</v>
      </c>
      <c r="B2633" t="s">
        <v>10856</v>
      </c>
      <c r="C2633" t="s">
        <v>10845</v>
      </c>
      <c r="D2633">
        <v>590</v>
      </c>
      <c r="E2633" t="s">
        <v>10834</v>
      </c>
      <c r="F2633" t="str">
        <f>VLOOKUP(E2633,country_continent!A:C,2,FALSE)</f>
        <v>Mauritius</v>
      </c>
      <c r="G2633" t="str">
        <f>VLOOKUP(E2633,country_continent!A:C,3,FALSE)</f>
        <v>Africa</v>
      </c>
      <c r="H2633" t="s">
        <v>10857</v>
      </c>
      <c r="I2633" s="1">
        <v>38538</v>
      </c>
      <c r="J2633" s="3">
        <f t="shared" si="123"/>
        <v>38538</v>
      </c>
      <c r="K2633" s="1">
        <v>41990</v>
      </c>
      <c r="L2633" s="3">
        <f t="shared" si="124"/>
        <v>41990</v>
      </c>
      <c r="M2633" t="s">
        <v>49</v>
      </c>
      <c r="N2633" t="s">
        <v>49</v>
      </c>
      <c r="O2633" t="s">
        <v>49</v>
      </c>
      <c r="P2633">
        <v>1</v>
      </c>
      <c r="Q2633" t="s">
        <v>50</v>
      </c>
      <c r="R2633" t="s">
        <v>51</v>
      </c>
      <c r="S2633">
        <v>1947</v>
      </c>
      <c r="T2633">
        <v>-777</v>
      </c>
      <c r="U2633" s="1">
        <v>17362</v>
      </c>
      <c r="V2633" s="2">
        <v>17362</v>
      </c>
      <c r="Z2633">
        <v>0</v>
      </c>
      <c r="AA2633">
        <v>1</v>
      </c>
      <c r="AB2633">
        <v>0</v>
      </c>
      <c r="AC2633">
        <v>0</v>
      </c>
      <c r="AD2633" t="s">
        <v>10847</v>
      </c>
      <c r="AE2633">
        <v>1</v>
      </c>
      <c r="AF2633">
        <v>2005</v>
      </c>
      <c r="AG2633">
        <v>2014</v>
      </c>
      <c r="AO2633" t="b">
        <v>1</v>
      </c>
      <c r="AP2633" t="s">
        <v>4986</v>
      </c>
      <c r="AQ2633">
        <v>1968</v>
      </c>
      <c r="AR2633">
        <v>2016</v>
      </c>
      <c r="AS2633" t="s">
        <v>10858</v>
      </c>
      <c r="AT2633">
        <v>9.4510609171800102</v>
      </c>
      <c r="AU2633">
        <f t="shared" si="125"/>
        <v>2.5999999999999999E-2</v>
      </c>
    </row>
    <row r="2634" spans="1:47" x14ac:dyDescent="0.3">
      <c r="A2634">
        <v>2632</v>
      </c>
      <c r="B2634" t="s">
        <v>10859</v>
      </c>
      <c r="C2634" t="s">
        <v>10840</v>
      </c>
      <c r="D2634">
        <v>590</v>
      </c>
      <c r="E2634" t="s">
        <v>10834</v>
      </c>
      <c r="F2634" t="str">
        <f>VLOOKUP(E2634,country_continent!A:C,2,FALSE)</f>
        <v>Mauritius</v>
      </c>
      <c r="G2634" t="str">
        <f>VLOOKUP(E2634,country_continent!A:C,3,FALSE)</f>
        <v>Africa</v>
      </c>
      <c r="H2634" t="s">
        <v>10841</v>
      </c>
      <c r="I2634" s="1">
        <v>41990</v>
      </c>
      <c r="J2634" s="3">
        <f t="shared" si="123"/>
        <v>41990</v>
      </c>
      <c r="K2634" s="1">
        <v>42369</v>
      </c>
      <c r="L2634" s="3">
        <f t="shared" si="124"/>
        <v>42369</v>
      </c>
      <c r="M2634" t="s">
        <v>49</v>
      </c>
      <c r="N2634" t="s">
        <v>173</v>
      </c>
      <c r="O2634" t="s">
        <v>173</v>
      </c>
      <c r="P2634">
        <v>2</v>
      </c>
      <c r="Q2634" t="s">
        <v>174</v>
      </c>
      <c r="R2634" t="s">
        <v>51</v>
      </c>
      <c r="S2634">
        <v>1930</v>
      </c>
      <c r="T2634">
        <v>-777</v>
      </c>
      <c r="U2634" s="1">
        <v>11046</v>
      </c>
      <c r="V2634" s="2">
        <v>11046</v>
      </c>
      <c r="Z2634">
        <v>0</v>
      </c>
      <c r="AA2634">
        <v>-888</v>
      </c>
      <c r="AB2634">
        <v>-888</v>
      </c>
      <c r="AC2634">
        <v>-888</v>
      </c>
      <c r="AF2634">
        <v>2014</v>
      </c>
      <c r="AG2634">
        <v>2015</v>
      </c>
      <c r="AO2634" t="b">
        <v>1</v>
      </c>
      <c r="AP2634" t="s">
        <v>4986</v>
      </c>
      <c r="AQ2634">
        <v>1968</v>
      </c>
      <c r="AR2634">
        <v>2016</v>
      </c>
      <c r="AS2634" t="s">
        <v>10860</v>
      </c>
      <c r="AT2634">
        <v>1.0376454483230599</v>
      </c>
      <c r="AU2634">
        <f t="shared" si="125"/>
        <v>3.0000000000000001E-3</v>
      </c>
    </row>
    <row r="2635" spans="1:47" x14ac:dyDescent="0.3">
      <c r="A2635">
        <v>2633</v>
      </c>
      <c r="B2635" t="s">
        <v>10861</v>
      </c>
      <c r="C2635" t="s">
        <v>10862</v>
      </c>
      <c r="D2635">
        <v>600</v>
      </c>
      <c r="E2635" t="s">
        <v>10863</v>
      </c>
      <c r="F2635" t="str">
        <f>VLOOKUP(E2635,country_continent!A:C,2,FALSE)</f>
        <v>Morocco</v>
      </c>
      <c r="G2635" t="str">
        <f>VLOOKUP(E2635,country_continent!A:C,3,FALSE)</f>
        <v>Africa</v>
      </c>
      <c r="H2635" t="s">
        <v>10864</v>
      </c>
      <c r="I2635" t="s">
        <v>10865</v>
      </c>
      <c r="J2635" s="3" t="str">
        <f t="shared" si="123"/>
        <v>1873/09/25</v>
      </c>
      <c r="K2635" t="s">
        <v>10866</v>
      </c>
      <c r="L2635" s="3" t="str">
        <f t="shared" si="124"/>
        <v>1894/06/07</v>
      </c>
      <c r="M2635" t="s">
        <v>49</v>
      </c>
      <c r="N2635" t="s">
        <v>110</v>
      </c>
      <c r="O2635" t="s">
        <v>49</v>
      </c>
      <c r="P2635">
        <v>0</v>
      </c>
      <c r="Q2635" t="s">
        <v>111</v>
      </c>
      <c r="R2635" t="s">
        <v>51</v>
      </c>
      <c r="S2635">
        <v>1827</v>
      </c>
      <c r="T2635">
        <v>1894</v>
      </c>
      <c r="Z2635">
        <v>0</v>
      </c>
      <c r="AA2635">
        <v>2</v>
      </c>
      <c r="AB2635">
        <v>0</v>
      </c>
      <c r="AC2635">
        <v>-777</v>
      </c>
      <c r="AF2635">
        <v>1873</v>
      </c>
      <c r="AG2635">
        <v>1894</v>
      </c>
      <c r="AO2635" t="b">
        <v>1</v>
      </c>
      <c r="AP2635" t="s">
        <v>4202</v>
      </c>
      <c r="AQ2635">
        <v>1956</v>
      </c>
      <c r="AR2635">
        <v>2016</v>
      </c>
      <c r="AS2635" t="s">
        <v>10867</v>
      </c>
      <c r="AT2635">
        <v>20.6981519507186</v>
      </c>
      <c r="AU2635">
        <f t="shared" si="125"/>
        <v>5.7000000000000002E-2</v>
      </c>
    </row>
    <row r="2636" spans="1:47" x14ac:dyDescent="0.3">
      <c r="A2636">
        <v>2634</v>
      </c>
      <c r="B2636" t="s">
        <v>10868</v>
      </c>
      <c r="C2636" t="s">
        <v>10869</v>
      </c>
      <c r="D2636">
        <v>600</v>
      </c>
      <c r="E2636" t="s">
        <v>10863</v>
      </c>
      <c r="F2636" t="str">
        <f>VLOOKUP(E2636,country_continent!A:C,2,FALSE)</f>
        <v>Morocco</v>
      </c>
      <c r="G2636" t="str">
        <f>VLOOKUP(E2636,country_continent!A:C,3,FALSE)</f>
        <v>Africa</v>
      </c>
      <c r="H2636" t="s">
        <v>10870</v>
      </c>
      <c r="I2636" t="s">
        <v>10866</v>
      </c>
      <c r="J2636" s="3" t="str">
        <f t="shared" si="123"/>
        <v>1894/06/07</v>
      </c>
      <c r="K2636" s="1">
        <v>2927</v>
      </c>
      <c r="L2636" s="3">
        <f t="shared" si="124"/>
        <v>2927</v>
      </c>
      <c r="M2636" t="s">
        <v>49</v>
      </c>
      <c r="N2636" t="s">
        <v>67</v>
      </c>
      <c r="O2636" t="s">
        <v>347</v>
      </c>
      <c r="P2636">
        <v>0</v>
      </c>
      <c r="Q2636" t="s">
        <v>50</v>
      </c>
      <c r="R2636" t="s">
        <v>51</v>
      </c>
      <c r="S2636">
        <v>1881</v>
      </c>
      <c r="T2636">
        <v>1943</v>
      </c>
      <c r="U2636" t="s">
        <v>10871</v>
      </c>
      <c r="V2636" t="s">
        <v>10872</v>
      </c>
      <c r="Z2636">
        <v>0</v>
      </c>
      <c r="AA2636">
        <v>3</v>
      </c>
      <c r="AB2636">
        <v>-999</v>
      </c>
      <c r="AC2636">
        <v>0</v>
      </c>
      <c r="AF2636">
        <v>1894</v>
      </c>
      <c r="AG2636">
        <v>1908</v>
      </c>
      <c r="AO2636" t="b">
        <v>1</v>
      </c>
      <c r="AP2636" t="s">
        <v>4202</v>
      </c>
      <c r="AQ2636">
        <v>1956</v>
      </c>
      <c r="AR2636">
        <v>2016</v>
      </c>
      <c r="AS2636" t="s">
        <v>10873</v>
      </c>
      <c r="AT2636">
        <v>13.577002053388</v>
      </c>
      <c r="AU2636">
        <f t="shared" si="125"/>
        <v>3.6999999999999998E-2</v>
      </c>
    </row>
    <row r="2637" spans="1:47" x14ac:dyDescent="0.3">
      <c r="A2637">
        <v>2635</v>
      </c>
      <c r="B2637" t="s">
        <v>10874</v>
      </c>
      <c r="C2637" t="s">
        <v>10875</v>
      </c>
      <c r="D2637">
        <v>600</v>
      </c>
      <c r="E2637" t="s">
        <v>10863</v>
      </c>
      <c r="F2637" t="str">
        <f>VLOOKUP(E2637,country_continent!A:C,2,FALSE)</f>
        <v>Morocco</v>
      </c>
      <c r="G2637" t="str">
        <f>VLOOKUP(E2637,country_continent!A:C,3,FALSE)</f>
        <v>Africa</v>
      </c>
      <c r="H2637" t="s">
        <v>10876</v>
      </c>
      <c r="I2637" s="1">
        <v>20516</v>
      </c>
      <c r="J2637" s="3">
        <f t="shared" si="123"/>
        <v>20516</v>
      </c>
      <c r="K2637" s="1">
        <v>22338</v>
      </c>
      <c r="L2637" s="3">
        <f t="shared" si="124"/>
        <v>22338</v>
      </c>
      <c r="M2637" t="s">
        <v>67</v>
      </c>
      <c r="N2637" t="s">
        <v>110</v>
      </c>
      <c r="O2637" t="s">
        <v>49</v>
      </c>
      <c r="P2637">
        <v>0</v>
      </c>
      <c r="Q2637" t="s">
        <v>111</v>
      </c>
      <c r="R2637" t="s">
        <v>51</v>
      </c>
      <c r="S2637">
        <v>1909</v>
      </c>
      <c r="T2637">
        <v>1961</v>
      </c>
      <c r="U2637" s="1">
        <v>3510</v>
      </c>
      <c r="V2637" s="2">
        <v>3510</v>
      </c>
      <c r="W2637" s="1">
        <v>22338</v>
      </c>
      <c r="X2637" s="2">
        <v>22338</v>
      </c>
      <c r="Y2637" t="s">
        <v>10877</v>
      </c>
      <c r="Z2637">
        <v>1</v>
      </c>
      <c r="AA2637">
        <v>2</v>
      </c>
      <c r="AB2637">
        <v>0</v>
      </c>
      <c r="AC2637">
        <v>-777</v>
      </c>
      <c r="AF2637">
        <v>1956</v>
      </c>
      <c r="AG2637">
        <v>1961</v>
      </c>
      <c r="AO2637" t="b">
        <v>1</v>
      </c>
      <c r="AP2637" t="s">
        <v>4202</v>
      </c>
      <c r="AQ2637">
        <v>1956</v>
      </c>
      <c r="AR2637">
        <v>2016</v>
      </c>
      <c r="AS2637" t="s">
        <v>10878</v>
      </c>
      <c r="AT2637">
        <v>4.9883641341546801</v>
      </c>
      <c r="AU2637">
        <f t="shared" si="125"/>
        <v>1.4E-2</v>
      </c>
    </row>
    <row r="2638" spans="1:47" x14ac:dyDescent="0.3">
      <c r="A2638">
        <v>2636</v>
      </c>
      <c r="B2638" t="s">
        <v>10879</v>
      </c>
      <c r="C2638" t="s">
        <v>10880</v>
      </c>
      <c r="D2638">
        <v>600</v>
      </c>
      <c r="E2638" t="s">
        <v>10863</v>
      </c>
      <c r="F2638" t="str">
        <f>VLOOKUP(E2638,country_continent!A:C,2,FALSE)</f>
        <v>Morocco</v>
      </c>
      <c r="G2638" t="str">
        <f>VLOOKUP(E2638,country_continent!A:C,3,FALSE)</f>
        <v>Africa</v>
      </c>
      <c r="H2638" t="s">
        <v>10881</v>
      </c>
      <c r="I2638" s="1">
        <v>22338</v>
      </c>
      <c r="J2638" s="3">
        <f t="shared" si="123"/>
        <v>22338</v>
      </c>
      <c r="K2638" s="1">
        <v>36364</v>
      </c>
      <c r="L2638" s="3">
        <f t="shared" si="124"/>
        <v>36364</v>
      </c>
      <c r="M2638" t="s">
        <v>49</v>
      </c>
      <c r="N2638" t="s">
        <v>110</v>
      </c>
      <c r="O2638" t="s">
        <v>49</v>
      </c>
      <c r="P2638">
        <v>0</v>
      </c>
      <c r="Q2638" t="s">
        <v>111</v>
      </c>
      <c r="R2638" t="s">
        <v>51</v>
      </c>
      <c r="S2638">
        <v>1929</v>
      </c>
      <c r="T2638">
        <v>1999</v>
      </c>
      <c r="U2638" s="1">
        <v>10783</v>
      </c>
      <c r="V2638" s="2">
        <v>10783</v>
      </c>
      <c r="W2638" s="1">
        <v>36364</v>
      </c>
      <c r="X2638" s="2">
        <v>36364</v>
      </c>
      <c r="Y2638" t="s">
        <v>10882</v>
      </c>
      <c r="Z2638">
        <v>0</v>
      </c>
      <c r="AA2638">
        <v>2</v>
      </c>
      <c r="AB2638">
        <v>0</v>
      </c>
      <c r="AC2638">
        <v>-777</v>
      </c>
      <c r="AF2638">
        <v>1961</v>
      </c>
      <c r="AG2638">
        <v>1999</v>
      </c>
      <c r="AO2638" t="b">
        <v>1</v>
      </c>
      <c r="AP2638" t="s">
        <v>4202</v>
      </c>
      <c r="AQ2638">
        <v>1956</v>
      </c>
      <c r="AR2638">
        <v>2016</v>
      </c>
      <c r="AS2638" t="s">
        <v>10883</v>
      </c>
      <c r="AT2638">
        <v>38.401095140314801</v>
      </c>
      <c r="AU2638">
        <f t="shared" si="125"/>
        <v>0.105</v>
      </c>
    </row>
    <row r="2639" spans="1:47" x14ac:dyDescent="0.3">
      <c r="A2639">
        <v>2637</v>
      </c>
      <c r="B2639" t="s">
        <v>10884</v>
      </c>
      <c r="C2639" t="s">
        <v>10885</v>
      </c>
      <c r="D2639">
        <v>600</v>
      </c>
      <c r="E2639" t="s">
        <v>10863</v>
      </c>
      <c r="F2639" t="str">
        <f>VLOOKUP(E2639,country_continent!A:C,2,FALSE)</f>
        <v>Morocco</v>
      </c>
      <c r="G2639" t="str">
        <f>VLOOKUP(E2639,country_continent!A:C,3,FALSE)</f>
        <v>Africa</v>
      </c>
      <c r="H2639" t="s">
        <v>10886</v>
      </c>
      <c r="I2639" s="1">
        <v>36364</v>
      </c>
      <c r="J2639" s="3">
        <f t="shared" si="123"/>
        <v>36364</v>
      </c>
      <c r="K2639" s="1">
        <v>42369</v>
      </c>
      <c r="L2639" s="3">
        <f t="shared" si="124"/>
        <v>42369</v>
      </c>
      <c r="M2639" t="s">
        <v>49</v>
      </c>
      <c r="N2639" t="s">
        <v>173</v>
      </c>
      <c r="O2639" t="s">
        <v>173</v>
      </c>
      <c r="P2639">
        <v>0</v>
      </c>
      <c r="Q2639" t="s">
        <v>174</v>
      </c>
      <c r="R2639" t="s">
        <v>51</v>
      </c>
      <c r="S2639">
        <v>1963</v>
      </c>
      <c r="T2639">
        <v>-777</v>
      </c>
      <c r="U2639" s="1">
        <v>23244</v>
      </c>
      <c r="V2639" s="2">
        <v>23244</v>
      </c>
      <c r="Z2639">
        <v>0</v>
      </c>
      <c r="AA2639">
        <v>-888</v>
      </c>
      <c r="AB2639">
        <v>-888</v>
      </c>
      <c r="AC2639">
        <v>-888</v>
      </c>
      <c r="AF2639">
        <v>1999</v>
      </c>
      <c r="AG2639">
        <v>2015</v>
      </c>
      <c r="AO2639" t="b">
        <v>1</v>
      </c>
      <c r="AP2639" t="s">
        <v>4202</v>
      </c>
      <c r="AQ2639">
        <v>1956</v>
      </c>
      <c r="AR2639">
        <v>2016</v>
      </c>
      <c r="AS2639" t="s">
        <v>10887</v>
      </c>
      <c r="AT2639">
        <v>16.440793976728202</v>
      </c>
      <c r="AU2639">
        <f t="shared" si="125"/>
        <v>4.4999999999999998E-2</v>
      </c>
    </row>
    <row r="2640" spans="1:47" x14ac:dyDescent="0.3">
      <c r="A2640">
        <v>2638</v>
      </c>
      <c r="B2640" t="s">
        <v>10888</v>
      </c>
      <c r="C2640" t="s">
        <v>10889</v>
      </c>
      <c r="D2640">
        <v>615</v>
      </c>
      <c r="E2640" t="s">
        <v>10890</v>
      </c>
      <c r="F2640" t="str">
        <f>VLOOKUP(E2640,country_continent!A:C,2,FALSE)</f>
        <v>Algeria</v>
      </c>
      <c r="G2640" t="str">
        <f>VLOOKUP(E2640,country_continent!A:C,3,FALSE)</f>
        <v>Africa</v>
      </c>
      <c r="H2640" t="s">
        <v>10891</v>
      </c>
      <c r="I2640" s="1">
        <v>22830</v>
      </c>
      <c r="J2640" s="3">
        <f t="shared" si="123"/>
        <v>22830</v>
      </c>
      <c r="K2640" s="1">
        <v>22914</v>
      </c>
      <c r="L2640" s="3">
        <f t="shared" si="124"/>
        <v>22914</v>
      </c>
      <c r="M2640" t="s">
        <v>49</v>
      </c>
      <c r="N2640" t="s">
        <v>49</v>
      </c>
      <c r="O2640" t="s">
        <v>49</v>
      </c>
      <c r="P2640">
        <v>0</v>
      </c>
      <c r="Q2640" t="s">
        <v>50</v>
      </c>
      <c r="R2640" t="s">
        <v>51</v>
      </c>
      <c r="S2640">
        <v>1920</v>
      </c>
      <c r="T2640">
        <v>2003</v>
      </c>
      <c r="Y2640" t="s">
        <v>10892</v>
      </c>
      <c r="Z2640">
        <v>0</v>
      </c>
      <c r="AA2640">
        <v>1</v>
      </c>
      <c r="AB2640">
        <v>0</v>
      </c>
      <c r="AC2640">
        <v>0</v>
      </c>
      <c r="AF2640">
        <v>1962</v>
      </c>
      <c r="AG2640">
        <v>1962</v>
      </c>
      <c r="AO2640" t="b">
        <v>1</v>
      </c>
      <c r="AP2640" t="s">
        <v>4202</v>
      </c>
      <c r="AQ2640">
        <v>1962</v>
      </c>
      <c r="AR2640">
        <v>2016</v>
      </c>
      <c r="AS2640" t="s">
        <v>10893</v>
      </c>
      <c r="AT2640">
        <v>0.229979466119096</v>
      </c>
      <c r="AU2640">
        <f t="shared" si="125"/>
        <v>1E-3</v>
      </c>
    </row>
    <row r="2641" spans="1:47" x14ac:dyDescent="0.3">
      <c r="A2641">
        <v>2639</v>
      </c>
      <c r="B2641" t="s">
        <v>10894</v>
      </c>
      <c r="C2641" t="s">
        <v>10895</v>
      </c>
      <c r="D2641">
        <v>615</v>
      </c>
      <c r="E2641" t="s">
        <v>10890</v>
      </c>
      <c r="F2641" t="str">
        <f>VLOOKUP(E2641,country_continent!A:C,2,FALSE)</f>
        <v>Algeria</v>
      </c>
      <c r="G2641" t="str">
        <f>VLOOKUP(E2641,country_continent!A:C,3,FALSE)</f>
        <v>Africa</v>
      </c>
      <c r="H2641" t="s">
        <v>10896</v>
      </c>
      <c r="I2641" s="1">
        <v>22915</v>
      </c>
      <c r="J2641" s="3">
        <f t="shared" si="123"/>
        <v>22915</v>
      </c>
      <c r="K2641" s="1">
        <v>23912</v>
      </c>
      <c r="L2641" s="3">
        <f t="shared" si="124"/>
        <v>23912</v>
      </c>
      <c r="M2641" t="s">
        <v>49</v>
      </c>
      <c r="N2641" t="s">
        <v>67</v>
      </c>
      <c r="O2641" t="s">
        <v>376</v>
      </c>
      <c r="P2641">
        <v>0</v>
      </c>
      <c r="Q2641" t="s">
        <v>463</v>
      </c>
      <c r="R2641" t="s">
        <v>51</v>
      </c>
      <c r="S2641">
        <v>1916</v>
      </c>
      <c r="T2641">
        <v>2012</v>
      </c>
      <c r="U2641" s="1">
        <v>6204</v>
      </c>
      <c r="V2641" s="2">
        <v>6204</v>
      </c>
      <c r="Z2641">
        <v>0</v>
      </c>
      <c r="AA2641">
        <v>3</v>
      </c>
      <c r="AB2641">
        <v>6</v>
      </c>
      <c r="AC2641">
        <v>2</v>
      </c>
      <c r="AF2641">
        <v>1962</v>
      </c>
      <c r="AG2641">
        <v>1965</v>
      </c>
      <c r="AO2641" t="b">
        <v>1</v>
      </c>
      <c r="AP2641" t="s">
        <v>4202</v>
      </c>
      <c r="AQ2641">
        <v>1962</v>
      </c>
      <c r="AR2641">
        <v>2016</v>
      </c>
      <c r="AS2641" t="s">
        <v>10897</v>
      </c>
      <c r="AT2641">
        <v>2.7296372347707001</v>
      </c>
      <c r="AU2641">
        <f t="shared" si="125"/>
        <v>7.0000000000000001E-3</v>
      </c>
    </row>
    <row r="2642" spans="1:47" x14ac:dyDescent="0.3">
      <c r="A2642">
        <v>2640</v>
      </c>
      <c r="B2642" t="s">
        <v>10898</v>
      </c>
      <c r="C2642" t="s">
        <v>10899</v>
      </c>
      <c r="D2642">
        <v>615</v>
      </c>
      <c r="E2642" t="s">
        <v>10890</v>
      </c>
      <c r="F2642" t="str">
        <f>VLOOKUP(E2642,country_continent!A:C,2,FALSE)</f>
        <v>Algeria</v>
      </c>
      <c r="G2642" t="str">
        <f>VLOOKUP(E2642,country_continent!A:C,3,FALSE)</f>
        <v>Africa</v>
      </c>
      <c r="H2642" t="s">
        <v>10900</v>
      </c>
      <c r="I2642" s="1">
        <v>23912</v>
      </c>
      <c r="J2642" s="3">
        <f t="shared" si="123"/>
        <v>23912</v>
      </c>
      <c r="K2642" s="1">
        <v>28851</v>
      </c>
      <c r="L2642" s="3">
        <f t="shared" si="124"/>
        <v>28851</v>
      </c>
      <c r="M2642" t="s">
        <v>67</v>
      </c>
      <c r="N2642" t="s">
        <v>110</v>
      </c>
      <c r="O2642" t="s">
        <v>49</v>
      </c>
      <c r="P2642">
        <v>0</v>
      </c>
      <c r="Q2642" t="s">
        <v>111</v>
      </c>
      <c r="R2642" t="s">
        <v>51</v>
      </c>
      <c r="S2642">
        <v>1927</v>
      </c>
      <c r="T2642">
        <v>1978</v>
      </c>
      <c r="U2642" s="1">
        <v>10096</v>
      </c>
      <c r="V2642" s="2">
        <v>10096</v>
      </c>
      <c r="W2642" s="1">
        <v>28851</v>
      </c>
      <c r="X2642" s="2">
        <v>28851</v>
      </c>
      <c r="Z2642">
        <v>1</v>
      </c>
      <c r="AA2642">
        <v>2</v>
      </c>
      <c r="AB2642">
        <v>0</v>
      </c>
      <c r="AC2642">
        <v>-777</v>
      </c>
      <c r="AF2642">
        <v>1965</v>
      </c>
      <c r="AG2642">
        <v>1978</v>
      </c>
      <c r="AO2642" t="b">
        <v>1</v>
      </c>
      <c r="AP2642" t="s">
        <v>4202</v>
      </c>
      <c r="AQ2642">
        <v>1962</v>
      </c>
      <c r="AR2642">
        <v>2016</v>
      </c>
      <c r="AS2642" t="s">
        <v>10901</v>
      </c>
      <c r="AT2642">
        <v>13.5222450376454</v>
      </c>
      <c r="AU2642">
        <f t="shared" si="125"/>
        <v>3.6999999999999998E-2</v>
      </c>
    </row>
    <row r="2643" spans="1:47" x14ac:dyDescent="0.3">
      <c r="A2643">
        <v>2641</v>
      </c>
      <c r="B2643" t="s">
        <v>10902</v>
      </c>
      <c r="C2643" t="s">
        <v>10903</v>
      </c>
      <c r="D2643">
        <v>615</v>
      </c>
      <c r="E2643" t="s">
        <v>10890</v>
      </c>
      <c r="F2643" t="str">
        <f>VLOOKUP(E2643,country_continent!A:C,2,FALSE)</f>
        <v>Algeria</v>
      </c>
      <c r="G2643" t="str">
        <f>VLOOKUP(E2643,country_continent!A:C,3,FALSE)</f>
        <v>Africa</v>
      </c>
      <c r="H2643" t="s">
        <v>10904</v>
      </c>
      <c r="I2643" s="1">
        <v>28851</v>
      </c>
      <c r="J2643" s="3">
        <f t="shared" si="123"/>
        <v>28851</v>
      </c>
      <c r="K2643" s="1">
        <v>28893</v>
      </c>
      <c r="L2643" s="3">
        <f t="shared" si="124"/>
        <v>28893</v>
      </c>
      <c r="M2643" t="s">
        <v>49</v>
      </c>
      <c r="N2643" t="s">
        <v>49</v>
      </c>
      <c r="O2643" t="s">
        <v>49</v>
      </c>
      <c r="P2643">
        <v>0</v>
      </c>
      <c r="Q2643" t="s">
        <v>50</v>
      </c>
      <c r="R2643" t="s">
        <v>51</v>
      </c>
      <c r="S2643">
        <v>1925</v>
      </c>
      <c r="T2643">
        <v>2000</v>
      </c>
      <c r="U2643" s="1">
        <v>9485</v>
      </c>
      <c r="V2643" s="2">
        <v>9485</v>
      </c>
      <c r="Y2643" t="s">
        <v>10905</v>
      </c>
      <c r="Z2643">
        <v>0</v>
      </c>
      <c r="AA2643">
        <v>1</v>
      </c>
      <c r="AB2643">
        <v>0</v>
      </c>
      <c r="AC2643">
        <v>0</v>
      </c>
      <c r="AF2643">
        <v>1978</v>
      </c>
      <c r="AG2643">
        <v>1979</v>
      </c>
      <c r="AO2643" t="b">
        <v>1</v>
      </c>
      <c r="AP2643" t="s">
        <v>4202</v>
      </c>
      <c r="AQ2643">
        <v>1962</v>
      </c>
      <c r="AR2643">
        <v>2016</v>
      </c>
      <c r="AS2643" t="s">
        <v>10906</v>
      </c>
      <c r="AT2643">
        <v>0.114989733059548</v>
      </c>
      <c r="AU2643">
        <f t="shared" si="125"/>
        <v>0</v>
      </c>
    </row>
    <row r="2644" spans="1:47" x14ac:dyDescent="0.3">
      <c r="A2644">
        <v>2642</v>
      </c>
      <c r="B2644" t="s">
        <v>10907</v>
      </c>
      <c r="C2644" t="s">
        <v>10908</v>
      </c>
      <c r="D2644">
        <v>615</v>
      </c>
      <c r="E2644" t="s">
        <v>10890</v>
      </c>
      <c r="F2644" t="str">
        <f>VLOOKUP(E2644,country_continent!A:C,2,FALSE)</f>
        <v>Algeria</v>
      </c>
      <c r="G2644" t="str">
        <f>VLOOKUP(E2644,country_continent!A:C,3,FALSE)</f>
        <v>Africa</v>
      </c>
      <c r="H2644" t="s">
        <v>10909</v>
      </c>
      <c r="I2644" s="1">
        <v>28893</v>
      </c>
      <c r="J2644" s="3">
        <f t="shared" si="123"/>
        <v>28893</v>
      </c>
      <c r="K2644" s="1">
        <v>33614</v>
      </c>
      <c r="L2644" s="3">
        <f t="shared" si="124"/>
        <v>33614</v>
      </c>
      <c r="M2644" t="s">
        <v>49</v>
      </c>
      <c r="N2644" t="s">
        <v>67</v>
      </c>
      <c r="O2644" t="s">
        <v>376</v>
      </c>
      <c r="P2644">
        <v>0</v>
      </c>
      <c r="Q2644" t="s">
        <v>50</v>
      </c>
      <c r="R2644" t="s">
        <v>51</v>
      </c>
      <c r="S2644">
        <v>1929</v>
      </c>
      <c r="T2644">
        <v>2012</v>
      </c>
      <c r="U2644" s="1">
        <v>10697</v>
      </c>
      <c r="V2644" s="2">
        <v>10697</v>
      </c>
      <c r="Y2644" t="s">
        <v>10910</v>
      </c>
      <c r="Z2644">
        <v>0</v>
      </c>
      <c r="AA2644">
        <v>3</v>
      </c>
      <c r="AB2644">
        <v>6</v>
      </c>
      <c r="AC2644">
        <v>0</v>
      </c>
      <c r="AF2644">
        <v>1979</v>
      </c>
      <c r="AG2644">
        <v>1992</v>
      </c>
      <c r="AO2644" t="b">
        <v>1</v>
      </c>
      <c r="AP2644" t="s">
        <v>4202</v>
      </c>
      <c r="AQ2644">
        <v>1962</v>
      </c>
      <c r="AR2644">
        <v>2016</v>
      </c>
      <c r="AS2644" t="s">
        <v>10911</v>
      </c>
      <c r="AT2644">
        <v>12.9253935660506</v>
      </c>
      <c r="AU2644">
        <f t="shared" si="125"/>
        <v>3.5000000000000003E-2</v>
      </c>
    </row>
    <row r="2645" spans="1:47" x14ac:dyDescent="0.3">
      <c r="A2645">
        <v>2643</v>
      </c>
      <c r="B2645" t="s">
        <v>10912</v>
      </c>
      <c r="C2645" t="s">
        <v>10913</v>
      </c>
      <c r="D2645">
        <v>615</v>
      </c>
      <c r="E2645" t="s">
        <v>10890</v>
      </c>
      <c r="F2645" t="str">
        <f>VLOOKUP(E2645,country_continent!A:C,2,FALSE)</f>
        <v>Algeria</v>
      </c>
      <c r="G2645" t="str">
        <f>VLOOKUP(E2645,country_continent!A:C,3,FALSE)</f>
        <v>Africa</v>
      </c>
      <c r="H2645" t="s">
        <v>10914</v>
      </c>
      <c r="I2645" s="1">
        <v>33617</v>
      </c>
      <c r="J2645" s="3">
        <f t="shared" si="123"/>
        <v>33617</v>
      </c>
      <c r="K2645" s="1">
        <v>33784</v>
      </c>
      <c r="L2645" s="3">
        <f t="shared" si="124"/>
        <v>33784</v>
      </c>
      <c r="M2645" t="s">
        <v>67</v>
      </c>
      <c r="N2645" t="s">
        <v>67</v>
      </c>
      <c r="O2645" t="s">
        <v>433</v>
      </c>
      <c r="P2645">
        <v>0</v>
      </c>
      <c r="Q2645" t="s">
        <v>69</v>
      </c>
      <c r="R2645" t="s">
        <v>51</v>
      </c>
      <c r="S2645">
        <v>1919</v>
      </c>
      <c r="T2645">
        <v>1992</v>
      </c>
      <c r="U2645" s="1">
        <v>7114</v>
      </c>
      <c r="V2645" s="2">
        <v>7114</v>
      </c>
      <c r="W2645" s="1">
        <v>33784</v>
      </c>
      <c r="X2645" s="2">
        <v>33784</v>
      </c>
      <c r="Z2645">
        <v>1</v>
      </c>
      <c r="AA2645">
        <v>3</v>
      </c>
      <c r="AB2645">
        <v>4</v>
      </c>
      <c r="AC2645">
        <v>3</v>
      </c>
      <c r="AF2645">
        <v>1992</v>
      </c>
      <c r="AG2645">
        <v>1992</v>
      </c>
      <c r="AO2645" t="b">
        <v>1</v>
      </c>
      <c r="AP2645" t="s">
        <v>4202</v>
      </c>
      <c r="AQ2645">
        <v>1962</v>
      </c>
      <c r="AR2645">
        <v>2016</v>
      </c>
      <c r="AS2645" t="s">
        <v>10915</v>
      </c>
      <c r="AT2645">
        <v>0.45722108145106</v>
      </c>
      <c r="AU2645">
        <f t="shared" si="125"/>
        <v>1E-3</v>
      </c>
    </row>
    <row r="2646" spans="1:47" x14ac:dyDescent="0.3">
      <c r="A2646">
        <v>2644</v>
      </c>
      <c r="B2646" t="s">
        <v>10916</v>
      </c>
      <c r="C2646" t="s">
        <v>10917</v>
      </c>
      <c r="D2646">
        <v>615</v>
      </c>
      <c r="E2646" t="s">
        <v>10890</v>
      </c>
      <c r="F2646" t="str">
        <f>VLOOKUP(E2646,country_continent!A:C,2,FALSE)</f>
        <v>Algeria</v>
      </c>
      <c r="G2646" t="str">
        <f>VLOOKUP(E2646,country_continent!A:C,3,FALSE)</f>
        <v>Africa</v>
      </c>
      <c r="H2646" t="s">
        <v>10918</v>
      </c>
      <c r="I2646" s="1">
        <v>33787</v>
      </c>
      <c r="J2646" s="3">
        <f t="shared" si="123"/>
        <v>33787</v>
      </c>
      <c r="K2646" s="1">
        <v>34365</v>
      </c>
      <c r="L2646" s="3">
        <f t="shared" si="124"/>
        <v>34365</v>
      </c>
      <c r="M2646" t="s">
        <v>49</v>
      </c>
      <c r="N2646" t="s">
        <v>49</v>
      </c>
      <c r="O2646" t="s">
        <v>49</v>
      </c>
      <c r="P2646">
        <v>0</v>
      </c>
      <c r="Q2646" t="s">
        <v>50</v>
      </c>
      <c r="R2646" t="s">
        <v>51</v>
      </c>
      <c r="S2646">
        <v>1928</v>
      </c>
      <c r="T2646">
        <v>-777</v>
      </c>
      <c r="Z2646">
        <v>0</v>
      </c>
      <c r="AA2646">
        <v>1</v>
      </c>
      <c r="AB2646">
        <v>0</v>
      </c>
      <c r="AC2646">
        <v>0</v>
      </c>
      <c r="AF2646">
        <v>1992</v>
      </c>
      <c r="AG2646">
        <v>1994</v>
      </c>
      <c r="AO2646" t="b">
        <v>1</v>
      </c>
      <c r="AP2646" t="s">
        <v>4202</v>
      </c>
      <c r="AQ2646">
        <v>1962</v>
      </c>
      <c r="AR2646">
        <v>2016</v>
      </c>
      <c r="AS2646" t="s">
        <v>10919</v>
      </c>
      <c r="AT2646">
        <v>1.5824777549623501</v>
      </c>
      <c r="AU2646">
        <f t="shared" si="125"/>
        <v>4.0000000000000001E-3</v>
      </c>
    </row>
    <row r="2647" spans="1:47" x14ac:dyDescent="0.3">
      <c r="A2647">
        <v>2645</v>
      </c>
      <c r="B2647" t="s">
        <v>10920</v>
      </c>
      <c r="C2647" t="s">
        <v>10921</v>
      </c>
      <c r="D2647">
        <v>615</v>
      </c>
      <c r="E2647" t="s">
        <v>10890</v>
      </c>
      <c r="F2647" t="str">
        <f>VLOOKUP(E2647,country_continent!A:C,2,FALSE)</f>
        <v>Algeria</v>
      </c>
      <c r="G2647" t="str">
        <f>VLOOKUP(E2647,country_continent!A:C,3,FALSE)</f>
        <v>Africa</v>
      </c>
      <c r="H2647" t="s">
        <v>10922</v>
      </c>
      <c r="I2647" s="1">
        <v>34365</v>
      </c>
      <c r="J2647" s="3">
        <f t="shared" si="123"/>
        <v>34365</v>
      </c>
      <c r="K2647" s="1">
        <v>36277</v>
      </c>
      <c r="L2647" s="3">
        <f t="shared" si="124"/>
        <v>36277</v>
      </c>
      <c r="M2647" t="s">
        <v>49</v>
      </c>
      <c r="N2647" t="s">
        <v>49</v>
      </c>
      <c r="O2647" t="s">
        <v>49</v>
      </c>
      <c r="P2647">
        <v>0</v>
      </c>
      <c r="Q2647" t="s">
        <v>50</v>
      </c>
      <c r="R2647" t="s">
        <v>51</v>
      </c>
      <c r="S2647">
        <v>1941</v>
      </c>
      <c r="T2647">
        <v>-777</v>
      </c>
      <c r="Z2647">
        <v>0</v>
      </c>
      <c r="AA2647">
        <v>1</v>
      </c>
      <c r="AB2647">
        <v>0</v>
      </c>
      <c r="AC2647">
        <v>0</v>
      </c>
      <c r="AF2647">
        <v>1994</v>
      </c>
      <c r="AG2647">
        <v>1999</v>
      </c>
      <c r="AO2647" t="b">
        <v>1</v>
      </c>
      <c r="AP2647" t="s">
        <v>4202</v>
      </c>
      <c r="AQ2647">
        <v>1962</v>
      </c>
      <c r="AR2647">
        <v>2016</v>
      </c>
      <c r="AS2647" t="s">
        <v>10923</v>
      </c>
      <c r="AT2647">
        <v>5.2347707049965697</v>
      </c>
      <c r="AU2647">
        <f t="shared" si="125"/>
        <v>1.4E-2</v>
      </c>
    </row>
    <row r="2648" spans="1:47" x14ac:dyDescent="0.3">
      <c r="A2648">
        <v>2646</v>
      </c>
      <c r="B2648" t="s">
        <v>10924</v>
      </c>
      <c r="C2648" t="s">
        <v>10925</v>
      </c>
      <c r="D2648">
        <v>615</v>
      </c>
      <c r="E2648" t="s">
        <v>10890</v>
      </c>
      <c r="F2648" t="str">
        <f>VLOOKUP(E2648,country_continent!A:C,2,FALSE)</f>
        <v>Algeria</v>
      </c>
      <c r="G2648" t="str">
        <f>VLOOKUP(E2648,country_continent!A:C,3,FALSE)</f>
        <v>Africa</v>
      </c>
      <c r="H2648" t="s">
        <v>10926</v>
      </c>
      <c r="I2648" s="1">
        <v>36277</v>
      </c>
      <c r="J2648" s="3">
        <f t="shared" si="123"/>
        <v>36277</v>
      </c>
      <c r="K2648" s="1">
        <v>42369</v>
      </c>
      <c r="L2648" s="3">
        <f t="shared" si="124"/>
        <v>42369</v>
      </c>
      <c r="M2648" t="s">
        <v>49</v>
      </c>
      <c r="N2648" t="s">
        <v>173</v>
      </c>
      <c r="O2648" t="s">
        <v>173</v>
      </c>
      <c r="P2648">
        <v>0</v>
      </c>
      <c r="Q2648" t="s">
        <v>174</v>
      </c>
      <c r="R2648" t="s">
        <v>51</v>
      </c>
      <c r="S2648">
        <v>1937</v>
      </c>
      <c r="T2648">
        <v>-777</v>
      </c>
      <c r="U2648" s="1">
        <v>13576</v>
      </c>
      <c r="V2648" s="2">
        <v>13576</v>
      </c>
      <c r="Y2648" t="s">
        <v>10927</v>
      </c>
      <c r="Z2648">
        <v>0</v>
      </c>
      <c r="AA2648">
        <v>-888</v>
      </c>
      <c r="AB2648">
        <v>-888</v>
      </c>
      <c r="AC2648">
        <v>-888</v>
      </c>
      <c r="AF2648">
        <v>1999</v>
      </c>
      <c r="AG2648">
        <v>2015</v>
      </c>
      <c r="AO2648" t="b">
        <v>1</v>
      </c>
      <c r="AP2648" t="s">
        <v>4202</v>
      </c>
      <c r="AQ2648">
        <v>1962</v>
      </c>
      <c r="AR2648">
        <v>2016</v>
      </c>
      <c r="AS2648" t="s">
        <v>10928</v>
      </c>
      <c r="AT2648">
        <v>16.6789869952087</v>
      </c>
      <c r="AU2648">
        <f t="shared" si="125"/>
        <v>4.5999999999999999E-2</v>
      </c>
    </row>
    <row r="2649" spans="1:47" x14ac:dyDescent="0.3">
      <c r="A2649">
        <v>2647</v>
      </c>
      <c r="B2649" t="s">
        <v>10929</v>
      </c>
      <c r="C2649" t="s">
        <v>10930</v>
      </c>
      <c r="D2649">
        <v>616</v>
      </c>
      <c r="E2649" t="s">
        <v>10931</v>
      </c>
      <c r="F2649" t="str">
        <f>VLOOKUP(E2649,country_continent!A:C,2,FALSE)</f>
        <v>Tunisia</v>
      </c>
      <c r="G2649" t="str">
        <f>VLOOKUP(E2649,country_continent!A:C,3,FALSE)</f>
        <v>Africa</v>
      </c>
      <c r="H2649" t="s">
        <v>10932</v>
      </c>
      <c r="I2649" t="s">
        <v>10933</v>
      </c>
      <c r="J2649" s="3" t="str">
        <f t="shared" si="123"/>
        <v>1859/09/23</v>
      </c>
      <c r="K2649" t="s">
        <v>10934</v>
      </c>
      <c r="L2649" s="3" t="str">
        <f t="shared" si="124"/>
        <v>1882/10/28</v>
      </c>
      <c r="M2649" t="s">
        <v>49</v>
      </c>
      <c r="N2649" t="s">
        <v>110</v>
      </c>
      <c r="O2649" t="s">
        <v>49</v>
      </c>
      <c r="P2649">
        <v>0</v>
      </c>
      <c r="Q2649" t="s">
        <v>111</v>
      </c>
      <c r="R2649" t="s">
        <v>51</v>
      </c>
      <c r="S2649">
        <v>1813</v>
      </c>
      <c r="T2649">
        <v>1882</v>
      </c>
      <c r="W2649" t="s">
        <v>10934</v>
      </c>
      <c r="X2649" t="s">
        <v>10935</v>
      </c>
      <c r="Z2649">
        <v>0</v>
      </c>
      <c r="AA2649">
        <v>2</v>
      </c>
      <c r="AB2649">
        <v>0</v>
      </c>
      <c r="AC2649">
        <v>-777</v>
      </c>
      <c r="AF2649">
        <v>1859</v>
      </c>
      <c r="AG2649">
        <v>1882</v>
      </c>
      <c r="AO2649" t="b">
        <v>1</v>
      </c>
      <c r="AP2649" t="s">
        <v>4986</v>
      </c>
      <c r="AQ2649">
        <v>1831</v>
      </c>
      <c r="AR2649">
        <v>1880</v>
      </c>
      <c r="AS2649" t="s">
        <v>10936</v>
      </c>
      <c r="AT2649">
        <v>23.096509240246402</v>
      </c>
      <c r="AU2649">
        <f t="shared" si="125"/>
        <v>6.3E-2</v>
      </c>
    </row>
    <row r="2650" spans="1:47" x14ac:dyDescent="0.3">
      <c r="A2650">
        <v>2648</v>
      </c>
      <c r="B2650" t="s">
        <v>10937</v>
      </c>
      <c r="C2650" t="s">
        <v>10938</v>
      </c>
      <c r="D2650">
        <v>616</v>
      </c>
      <c r="E2650" t="s">
        <v>10931</v>
      </c>
      <c r="F2650" t="str">
        <f>VLOOKUP(E2650,country_continent!A:C,2,FALSE)</f>
        <v>Tunisia</v>
      </c>
      <c r="G2650" t="str">
        <f>VLOOKUP(E2650,country_continent!A:C,3,FALSE)</f>
        <v>Africa</v>
      </c>
      <c r="H2650" t="s">
        <v>10939</v>
      </c>
      <c r="I2650" s="1">
        <v>15841</v>
      </c>
      <c r="J2650" s="3">
        <f t="shared" si="123"/>
        <v>15841</v>
      </c>
      <c r="K2650" s="1">
        <v>21026</v>
      </c>
      <c r="L2650" s="3">
        <f t="shared" si="124"/>
        <v>21026</v>
      </c>
      <c r="M2650" t="s">
        <v>49</v>
      </c>
      <c r="N2650" t="s">
        <v>67</v>
      </c>
      <c r="O2650" t="s">
        <v>2001</v>
      </c>
      <c r="P2650">
        <v>0</v>
      </c>
      <c r="Q2650" t="s">
        <v>463</v>
      </c>
      <c r="R2650" t="s">
        <v>51</v>
      </c>
      <c r="S2650">
        <v>1881</v>
      </c>
      <c r="T2650">
        <v>1962</v>
      </c>
      <c r="U2650" t="s">
        <v>10940</v>
      </c>
      <c r="V2650" t="s">
        <v>10941</v>
      </c>
      <c r="Z2650">
        <v>0</v>
      </c>
      <c r="AA2650">
        <v>3</v>
      </c>
      <c r="AB2650">
        <v>8</v>
      </c>
      <c r="AC2650">
        <v>2</v>
      </c>
      <c r="AF2650">
        <v>1943</v>
      </c>
      <c r="AG2650">
        <v>1957</v>
      </c>
      <c r="AN2650">
        <v>-6.5</v>
      </c>
      <c r="AO2650" t="b">
        <v>1</v>
      </c>
      <c r="AP2650" t="s">
        <v>4986</v>
      </c>
      <c r="AQ2650">
        <v>1831</v>
      </c>
      <c r="AR2650">
        <v>1880</v>
      </c>
      <c r="AS2650" t="s">
        <v>10942</v>
      </c>
      <c r="AT2650">
        <v>14.195756331279901</v>
      </c>
      <c r="AU2650">
        <f t="shared" si="125"/>
        <v>3.9E-2</v>
      </c>
    </row>
    <row r="2651" spans="1:47" x14ac:dyDescent="0.3">
      <c r="A2651">
        <v>2649</v>
      </c>
      <c r="B2651" t="s">
        <v>10943</v>
      </c>
      <c r="C2651" t="s">
        <v>10944</v>
      </c>
      <c r="D2651">
        <v>616</v>
      </c>
      <c r="E2651" t="s">
        <v>10931</v>
      </c>
      <c r="F2651" t="str">
        <f>VLOOKUP(E2651,country_continent!A:C,2,FALSE)</f>
        <v>Tunisia</v>
      </c>
      <c r="G2651" t="str">
        <f>VLOOKUP(E2651,country_continent!A:C,3,FALSE)</f>
        <v>Africa</v>
      </c>
      <c r="H2651" t="s">
        <v>10945</v>
      </c>
      <c r="I2651" s="1">
        <v>21026</v>
      </c>
      <c r="J2651" s="3">
        <f t="shared" si="123"/>
        <v>21026</v>
      </c>
      <c r="K2651" s="1">
        <v>32088</v>
      </c>
      <c r="L2651" s="3">
        <f t="shared" si="124"/>
        <v>32088</v>
      </c>
      <c r="M2651" t="s">
        <v>67</v>
      </c>
      <c r="N2651" t="s">
        <v>67</v>
      </c>
      <c r="O2651" t="s">
        <v>2001</v>
      </c>
      <c r="P2651">
        <v>0</v>
      </c>
      <c r="Q2651" t="s">
        <v>463</v>
      </c>
      <c r="R2651" t="s">
        <v>51</v>
      </c>
      <c r="S2651">
        <v>1903</v>
      </c>
      <c r="T2651">
        <v>2000</v>
      </c>
      <c r="U2651" s="1">
        <v>1311</v>
      </c>
      <c r="V2651" s="2">
        <v>1311</v>
      </c>
      <c r="W2651" s="1">
        <v>36622</v>
      </c>
      <c r="X2651" s="2">
        <v>36622</v>
      </c>
      <c r="Y2651" t="s">
        <v>10946</v>
      </c>
      <c r="Z2651">
        <v>1</v>
      </c>
      <c r="AA2651">
        <v>3</v>
      </c>
      <c r="AB2651">
        <v>8</v>
      </c>
      <c r="AC2651">
        <v>2</v>
      </c>
      <c r="AF2651">
        <v>1957</v>
      </c>
      <c r="AG2651">
        <v>1987</v>
      </c>
      <c r="AH2651">
        <v>1.56809477702665</v>
      </c>
      <c r="AI2651">
        <v>706</v>
      </c>
      <c r="AJ2651">
        <v>8.7712025697040108</v>
      </c>
      <c r="AK2651">
        <v>148.59615384615299</v>
      </c>
      <c r="AL2651">
        <v>2.2291136830367799</v>
      </c>
      <c r="AM2651">
        <v>9.3980804688125499</v>
      </c>
      <c r="AN2651">
        <v>-8.58</v>
      </c>
      <c r="AO2651" t="b">
        <v>1</v>
      </c>
      <c r="AP2651" t="s">
        <v>4986</v>
      </c>
      <c r="AQ2651">
        <v>1831</v>
      </c>
      <c r="AR2651">
        <v>1880</v>
      </c>
      <c r="AS2651" t="s">
        <v>10947</v>
      </c>
      <c r="AT2651">
        <v>30.286105407255299</v>
      </c>
      <c r="AU2651">
        <f t="shared" si="125"/>
        <v>8.3000000000000004E-2</v>
      </c>
    </row>
    <row r="2652" spans="1:47" x14ac:dyDescent="0.3">
      <c r="A2652">
        <v>2650</v>
      </c>
      <c r="B2652" t="s">
        <v>10948</v>
      </c>
      <c r="C2652" t="s">
        <v>10949</v>
      </c>
      <c r="D2652">
        <v>616</v>
      </c>
      <c r="E2652" t="s">
        <v>10931</v>
      </c>
      <c r="F2652" t="str">
        <f>VLOOKUP(E2652,country_continent!A:C,2,FALSE)</f>
        <v>Tunisia</v>
      </c>
      <c r="G2652" t="str">
        <f>VLOOKUP(E2652,country_continent!A:C,3,FALSE)</f>
        <v>Africa</v>
      </c>
      <c r="H2652" t="s">
        <v>10950</v>
      </c>
      <c r="I2652" s="1">
        <v>32088</v>
      </c>
      <c r="J2652" s="3">
        <f t="shared" si="123"/>
        <v>32088</v>
      </c>
      <c r="K2652" s="1">
        <v>40557</v>
      </c>
      <c r="L2652" s="3">
        <f t="shared" si="124"/>
        <v>40557</v>
      </c>
      <c r="M2652" t="s">
        <v>67</v>
      </c>
      <c r="N2652" t="s">
        <v>67</v>
      </c>
      <c r="O2652" t="s">
        <v>613</v>
      </c>
      <c r="P2652">
        <v>0</v>
      </c>
      <c r="Q2652" t="s">
        <v>362</v>
      </c>
      <c r="R2652" t="s">
        <v>51</v>
      </c>
      <c r="S2652">
        <v>1936</v>
      </c>
      <c r="T2652">
        <v>-777</v>
      </c>
      <c r="U2652" s="1">
        <v>13396</v>
      </c>
      <c r="V2652" s="2">
        <v>13396</v>
      </c>
      <c r="Y2652" t="s">
        <v>10951</v>
      </c>
      <c r="Z2652">
        <v>1</v>
      </c>
      <c r="AA2652">
        <v>3</v>
      </c>
      <c r="AB2652">
        <v>2</v>
      </c>
      <c r="AC2652">
        <v>1</v>
      </c>
      <c r="AF2652">
        <v>1987</v>
      </c>
      <c r="AG2652">
        <v>2011</v>
      </c>
      <c r="AH2652">
        <v>2.6645518042997902</v>
      </c>
      <c r="AI2652">
        <v>2392</v>
      </c>
      <c r="AJ2652">
        <v>5.10586143416129</v>
      </c>
      <c r="AK2652">
        <v>35.216000000000001</v>
      </c>
      <c r="AL2652">
        <v>1.4371716934974901</v>
      </c>
      <c r="AM2652">
        <v>4.5009691895857804</v>
      </c>
      <c r="AN2652">
        <v>-3.8</v>
      </c>
      <c r="AO2652" t="b">
        <v>1</v>
      </c>
      <c r="AP2652" t="s">
        <v>4986</v>
      </c>
      <c r="AQ2652">
        <v>1831</v>
      </c>
      <c r="AR2652">
        <v>1880</v>
      </c>
      <c r="AS2652" t="s">
        <v>10952</v>
      </c>
      <c r="AT2652">
        <v>23.186858316221699</v>
      </c>
      <c r="AU2652">
        <f t="shared" si="125"/>
        <v>6.4000000000000001E-2</v>
      </c>
    </row>
    <row r="2653" spans="1:47" x14ac:dyDescent="0.3">
      <c r="A2653">
        <v>2651</v>
      </c>
      <c r="B2653" t="s">
        <v>10953</v>
      </c>
      <c r="C2653" t="s">
        <v>10954</v>
      </c>
      <c r="D2653">
        <v>616</v>
      </c>
      <c r="E2653" t="s">
        <v>10931</v>
      </c>
      <c r="F2653" t="str">
        <f>VLOOKUP(E2653,country_continent!A:C,2,FALSE)</f>
        <v>Tunisia</v>
      </c>
      <c r="G2653" t="str">
        <f>VLOOKUP(E2653,country_continent!A:C,3,FALSE)</f>
        <v>Africa</v>
      </c>
      <c r="H2653" t="s">
        <v>10955</v>
      </c>
      <c r="I2653" s="1">
        <v>40557</v>
      </c>
      <c r="J2653" s="3">
        <f t="shared" si="123"/>
        <v>40557</v>
      </c>
      <c r="K2653" s="1">
        <v>40558</v>
      </c>
      <c r="L2653" s="3">
        <f t="shared" si="124"/>
        <v>40558</v>
      </c>
      <c r="M2653" t="s">
        <v>49</v>
      </c>
      <c r="N2653" t="s">
        <v>49</v>
      </c>
      <c r="O2653" t="s">
        <v>49</v>
      </c>
      <c r="P2653">
        <v>0</v>
      </c>
      <c r="Q2653" t="s">
        <v>50</v>
      </c>
      <c r="R2653" t="s">
        <v>51</v>
      </c>
      <c r="S2653">
        <v>1941</v>
      </c>
      <c r="T2653">
        <v>-777</v>
      </c>
      <c r="Z2653">
        <v>0</v>
      </c>
      <c r="AA2653">
        <v>1</v>
      </c>
      <c r="AB2653">
        <v>0</v>
      </c>
      <c r="AC2653">
        <v>0</v>
      </c>
      <c r="AF2653">
        <v>2011</v>
      </c>
      <c r="AG2653">
        <v>2011</v>
      </c>
      <c r="AH2653">
        <v>-3.1268978636142002</v>
      </c>
      <c r="AI2653">
        <v>4060</v>
      </c>
      <c r="AJ2653">
        <v>4.57111406039028</v>
      </c>
      <c r="AK2653">
        <v>18.5</v>
      </c>
      <c r="AL2653">
        <v>1.1089612708677099</v>
      </c>
      <c r="AM2653">
        <v>6.2600237260550902</v>
      </c>
      <c r="AN2653">
        <v>4</v>
      </c>
      <c r="AO2653" t="b">
        <v>1</v>
      </c>
      <c r="AP2653" t="s">
        <v>4986</v>
      </c>
      <c r="AQ2653">
        <v>1831</v>
      </c>
      <c r="AR2653">
        <v>1880</v>
      </c>
      <c r="AS2653" t="s">
        <v>10956</v>
      </c>
      <c r="AT2653">
        <v>2.7378507871321E-3</v>
      </c>
      <c r="AU2653">
        <f t="shared" si="125"/>
        <v>0</v>
      </c>
    </row>
    <row r="2654" spans="1:47" x14ac:dyDescent="0.3">
      <c r="A2654">
        <v>2652</v>
      </c>
      <c r="B2654" t="s">
        <v>10957</v>
      </c>
      <c r="C2654" t="s">
        <v>10958</v>
      </c>
      <c r="D2654">
        <v>616</v>
      </c>
      <c r="E2654" t="s">
        <v>10931</v>
      </c>
      <c r="F2654" t="str">
        <f>VLOOKUP(E2654,country_continent!A:C,2,FALSE)</f>
        <v>Tunisia</v>
      </c>
      <c r="G2654" t="str">
        <f>VLOOKUP(E2654,country_continent!A:C,3,FALSE)</f>
        <v>Africa</v>
      </c>
      <c r="H2654" t="s">
        <v>10959</v>
      </c>
      <c r="I2654" s="1">
        <v>40558</v>
      </c>
      <c r="J2654" s="3">
        <f t="shared" si="123"/>
        <v>40558</v>
      </c>
      <c r="K2654" s="1">
        <v>40890</v>
      </c>
      <c r="L2654" s="3">
        <f t="shared" si="124"/>
        <v>40890</v>
      </c>
      <c r="M2654" t="s">
        <v>49</v>
      </c>
      <c r="N2654" t="s">
        <v>49</v>
      </c>
      <c r="O2654" t="s">
        <v>49</v>
      </c>
      <c r="P2654">
        <v>0</v>
      </c>
      <c r="Q2654" t="s">
        <v>50</v>
      </c>
      <c r="R2654" t="s">
        <v>51</v>
      </c>
      <c r="S2654">
        <v>1933</v>
      </c>
      <c r="T2654">
        <v>-777</v>
      </c>
      <c r="Z2654">
        <v>0</v>
      </c>
      <c r="AA2654">
        <v>1</v>
      </c>
      <c r="AB2654">
        <v>0</v>
      </c>
      <c r="AC2654">
        <v>0</v>
      </c>
      <c r="AF2654">
        <v>2011</v>
      </c>
      <c r="AG2654">
        <v>2011</v>
      </c>
      <c r="AH2654">
        <v>-3.1268978636142002</v>
      </c>
      <c r="AI2654">
        <v>4060</v>
      </c>
      <c r="AJ2654">
        <v>4.57111406039028</v>
      </c>
      <c r="AK2654">
        <v>18.5</v>
      </c>
      <c r="AL2654">
        <v>1.1089612708677099</v>
      </c>
      <c r="AM2654">
        <v>6.2600237260550902</v>
      </c>
      <c r="AN2654">
        <v>4</v>
      </c>
      <c r="AO2654" t="b">
        <v>1</v>
      </c>
      <c r="AP2654" t="s">
        <v>4986</v>
      </c>
      <c r="AQ2654">
        <v>1831</v>
      </c>
      <c r="AR2654">
        <v>1880</v>
      </c>
      <c r="AS2654" t="s">
        <v>10960</v>
      </c>
      <c r="AT2654">
        <v>0.90896646132785697</v>
      </c>
      <c r="AU2654">
        <f t="shared" si="125"/>
        <v>2E-3</v>
      </c>
    </row>
    <row r="2655" spans="1:47" x14ac:dyDescent="0.3">
      <c r="A2655">
        <v>2653</v>
      </c>
      <c r="B2655" t="s">
        <v>10961</v>
      </c>
      <c r="C2655" t="s">
        <v>10962</v>
      </c>
      <c r="D2655">
        <v>616</v>
      </c>
      <c r="E2655" t="s">
        <v>10931</v>
      </c>
      <c r="F2655" t="str">
        <f>VLOOKUP(E2655,country_continent!A:C,2,FALSE)</f>
        <v>Tunisia</v>
      </c>
      <c r="G2655" t="str">
        <f>VLOOKUP(E2655,country_continent!A:C,3,FALSE)</f>
        <v>Africa</v>
      </c>
      <c r="H2655" t="s">
        <v>10963</v>
      </c>
      <c r="I2655" s="1">
        <v>40890</v>
      </c>
      <c r="J2655" s="3">
        <f t="shared" si="123"/>
        <v>40890</v>
      </c>
      <c r="K2655" s="1">
        <v>42004</v>
      </c>
      <c r="L2655" s="3">
        <f t="shared" si="124"/>
        <v>42004</v>
      </c>
      <c r="M2655" t="s">
        <v>49</v>
      </c>
      <c r="N2655" t="s">
        <v>49</v>
      </c>
      <c r="O2655" t="s">
        <v>49</v>
      </c>
      <c r="P2655">
        <v>0</v>
      </c>
      <c r="Q2655" t="s">
        <v>312</v>
      </c>
      <c r="R2655" t="s">
        <v>51</v>
      </c>
      <c r="S2655">
        <v>1945</v>
      </c>
      <c r="T2655">
        <v>-777</v>
      </c>
      <c r="U2655" s="1">
        <v>16625</v>
      </c>
      <c r="V2655" s="2">
        <v>16625</v>
      </c>
      <c r="Z2655">
        <v>0</v>
      </c>
      <c r="AA2655">
        <v>1</v>
      </c>
      <c r="AB2655">
        <v>0</v>
      </c>
      <c r="AC2655">
        <v>-999</v>
      </c>
      <c r="AF2655">
        <v>2011</v>
      </c>
      <c r="AG2655">
        <v>2014</v>
      </c>
      <c r="AH2655">
        <v>0.75338406476523101</v>
      </c>
      <c r="AI2655">
        <v>4230</v>
      </c>
      <c r="AJ2655">
        <v>4.5994638764273299</v>
      </c>
      <c r="AK2655">
        <v>18.375</v>
      </c>
      <c r="AL2655">
        <v>1.15333930997891</v>
      </c>
      <c r="AM2655">
        <v>5.7320558215328496</v>
      </c>
      <c r="AN2655">
        <v>5.5</v>
      </c>
      <c r="AO2655" t="b">
        <v>1</v>
      </c>
      <c r="AP2655" t="s">
        <v>4986</v>
      </c>
      <c r="AQ2655">
        <v>1831</v>
      </c>
      <c r="AR2655">
        <v>1880</v>
      </c>
      <c r="AS2655" t="s">
        <v>10964</v>
      </c>
      <c r="AT2655">
        <v>3.04996577686516</v>
      </c>
      <c r="AU2655">
        <f t="shared" si="125"/>
        <v>8.0000000000000002E-3</v>
      </c>
    </row>
    <row r="2656" spans="1:47" x14ac:dyDescent="0.3">
      <c r="A2656">
        <v>2654</v>
      </c>
      <c r="B2656" t="s">
        <v>10965</v>
      </c>
      <c r="C2656" t="s">
        <v>10966</v>
      </c>
      <c r="D2656">
        <v>616</v>
      </c>
      <c r="E2656" t="s">
        <v>10931</v>
      </c>
      <c r="F2656" t="str">
        <f>VLOOKUP(E2656,country_continent!A:C,2,FALSE)</f>
        <v>Tunisia</v>
      </c>
      <c r="G2656" t="str">
        <f>VLOOKUP(E2656,country_continent!A:C,3,FALSE)</f>
        <v>Africa</v>
      </c>
      <c r="H2656" t="s">
        <v>10967</v>
      </c>
      <c r="I2656" s="1">
        <v>42004</v>
      </c>
      <c r="J2656" s="3">
        <f t="shared" si="123"/>
        <v>42004</v>
      </c>
      <c r="K2656" s="1">
        <v>42369</v>
      </c>
      <c r="L2656" s="3">
        <f t="shared" si="124"/>
        <v>42369</v>
      </c>
      <c r="M2656" t="s">
        <v>49</v>
      </c>
      <c r="N2656" t="s">
        <v>173</v>
      </c>
      <c r="O2656" t="s">
        <v>173</v>
      </c>
      <c r="P2656">
        <v>0</v>
      </c>
      <c r="Q2656" t="s">
        <v>174</v>
      </c>
      <c r="R2656" t="s">
        <v>51</v>
      </c>
      <c r="S2656">
        <v>1926</v>
      </c>
      <c r="T2656">
        <v>-777</v>
      </c>
      <c r="U2656" s="1">
        <v>9799</v>
      </c>
      <c r="V2656" s="2">
        <v>9799</v>
      </c>
      <c r="Z2656">
        <v>0</v>
      </c>
      <c r="AA2656">
        <v>-888</v>
      </c>
      <c r="AB2656">
        <v>-888</v>
      </c>
      <c r="AC2656">
        <v>-888</v>
      </c>
      <c r="AF2656">
        <v>2014</v>
      </c>
      <c r="AG2656">
        <v>2015</v>
      </c>
      <c r="AH2656">
        <v>0.854666291453831</v>
      </c>
      <c r="AI2656">
        <v>4220</v>
      </c>
      <c r="AJ2656">
        <v>4.4392502754591003</v>
      </c>
      <c r="AK2656">
        <v>18.25</v>
      </c>
      <c r="AL2656">
        <v>1.1573766392708</v>
      </c>
      <c r="AM2656">
        <v>3.6412121729351101</v>
      </c>
      <c r="AN2656">
        <v>7</v>
      </c>
      <c r="AO2656" t="b">
        <v>1</v>
      </c>
      <c r="AP2656" t="s">
        <v>4986</v>
      </c>
      <c r="AQ2656">
        <v>1831</v>
      </c>
      <c r="AR2656">
        <v>1880</v>
      </c>
      <c r="AS2656" t="s">
        <v>10968</v>
      </c>
      <c r="AT2656">
        <v>0.99931553730321698</v>
      </c>
      <c r="AU2656">
        <f t="shared" si="125"/>
        <v>3.0000000000000001E-3</v>
      </c>
    </row>
    <row r="2657" spans="1:47" x14ac:dyDescent="0.3">
      <c r="A2657">
        <v>2655</v>
      </c>
      <c r="B2657" t="s">
        <v>10969</v>
      </c>
      <c r="C2657" t="s">
        <v>10970</v>
      </c>
      <c r="D2657">
        <v>620</v>
      </c>
      <c r="E2657" t="s">
        <v>10971</v>
      </c>
      <c r="F2657" t="str">
        <f>VLOOKUP(E2657,country_continent!A:C,2,FALSE)</f>
        <v>Libya</v>
      </c>
      <c r="G2657" t="str">
        <f>VLOOKUP(E2657,country_continent!A:C,3,FALSE)</f>
        <v>Africa</v>
      </c>
      <c r="H2657" t="s">
        <v>10972</v>
      </c>
      <c r="I2657" s="1">
        <v>18986</v>
      </c>
      <c r="J2657" s="3">
        <f t="shared" si="123"/>
        <v>18986</v>
      </c>
      <c r="K2657" s="1">
        <v>25447</v>
      </c>
      <c r="L2657" s="3">
        <f t="shared" si="124"/>
        <v>25447</v>
      </c>
      <c r="M2657" t="s">
        <v>49</v>
      </c>
      <c r="N2657" t="s">
        <v>67</v>
      </c>
      <c r="O2657" t="s">
        <v>376</v>
      </c>
      <c r="P2657">
        <v>0</v>
      </c>
      <c r="Q2657" t="s">
        <v>362</v>
      </c>
      <c r="R2657" t="s">
        <v>51</v>
      </c>
      <c r="S2657">
        <v>1890</v>
      </c>
      <c r="T2657">
        <v>1983</v>
      </c>
      <c r="U2657" t="s">
        <v>10973</v>
      </c>
      <c r="V2657" t="s">
        <v>10974</v>
      </c>
      <c r="W2657" s="1">
        <v>30461</v>
      </c>
      <c r="X2657" s="2">
        <v>30461</v>
      </c>
      <c r="Y2657" t="s">
        <v>10975</v>
      </c>
      <c r="Z2657">
        <v>0</v>
      </c>
      <c r="AA2657">
        <v>3</v>
      </c>
      <c r="AB2657">
        <v>6</v>
      </c>
      <c r="AC2657">
        <v>1</v>
      </c>
      <c r="AF2657">
        <v>1951</v>
      </c>
      <c r="AG2657">
        <v>1969</v>
      </c>
      <c r="AO2657" t="b">
        <v>1</v>
      </c>
      <c r="AP2657" t="s">
        <v>4202</v>
      </c>
      <c r="AQ2657">
        <v>1952</v>
      </c>
      <c r="AR2657">
        <v>1963</v>
      </c>
      <c r="AS2657" t="s">
        <v>10976</v>
      </c>
      <c r="AT2657">
        <v>17.689253935660499</v>
      </c>
      <c r="AU2657">
        <f t="shared" si="125"/>
        <v>4.8000000000000001E-2</v>
      </c>
    </row>
    <row r="2658" spans="1:47" x14ac:dyDescent="0.3">
      <c r="A2658">
        <v>2656</v>
      </c>
      <c r="B2658" t="s">
        <v>10977</v>
      </c>
      <c r="C2658" t="s">
        <v>10978</v>
      </c>
      <c r="D2658">
        <v>620</v>
      </c>
      <c r="E2658" t="s">
        <v>10971</v>
      </c>
      <c r="F2658" t="str">
        <f>VLOOKUP(E2658,country_continent!A:C,2,FALSE)</f>
        <v>Libya</v>
      </c>
      <c r="G2658" t="str">
        <f>VLOOKUP(E2658,country_continent!A:C,3,FALSE)</f>
        <v>Africa</v>
      </c>
      <c r="H2658" t="s">
        <v>10979</v>
      </c>
      <c r="I2658" s="1">
        <v>25447</v>
      </c>
      <c r="J2658" s="3">
        <f t="shared" si="123"/>
        <v>25447</v>
      </c>
      <c r="K2658" s="1">
        <v>40778</v>
      </c>
      <c r="L2658" s="3">
        <f t="shared" si="124"/>
        <v>40778</v>
      </c>
      <c r="M2658" t="s">
        <v>67</v>
      </c>
      <c r="N2658" t="s">
        <v>67</v>
      </c>
      <c r="O2658" t="s">
        <v>645</v>
      </c>
      <c r="P2658">
        <v>0</v>
      </c>
      <c r="Q2658" t="s">
        <v>69</v>
      </c>
      <c r="R2658" t="s">
        <v>51</v>
      </c>
      <c r="S2658">
        <v>1942</v>
      </c>
      <c r="T2658">
        <v>-777</v>
      </c>
      <c r="Z2658">
        <v>1</v>
      </c>
      <c r="AA2658">
        <v>3</v>
      </c>
      <c r="AB2658">
        <v>3</v>
      </c>
      <c r="AC2658">
        <v>3</v>
      </c>
      <c r="AF2658">
        <v>1969</v>
      </c>
      <c r="AG2658">
        <v>2011</v>
      </c>
      <c r="AO2658" t="b">
        <v>1</v>
      </c>
      <c r="AP2658" t="s">
        <v>4202</v>
      </c>
      <c r="AQ2658">
        <v>1952</v>
      </c>
      <c r="AR2658">
        <v>1963</v>
      </c>
      <c r="AS2658" t="s">
        <v>10980</v>
      </c>
      <c r="AT2658">
        <v>41.973990417522202</v>
      </c>
      <c r="AU2658">
        <f t="shared" si="125"/>
        <v>0.115</v>
      </c>
    </row>
    <row r="2659" spans="1:47" x14ac:dyDescent="0.3">
      <c r="A2659">
        <v>2657</v>
      </c>
      <c r="B2659" t="s">
        <v>10981</v>
      </c>
      <c r="C2659" t="s">
        <v>10982</v>
      </c>
      <c r="D2659">
        <v>620</v>
      </c>
      <c r="E2659" t="s">
        <v>10971</v>
      </c>
      <c r="F2659" t="str">
        <f>VLOOKUP(E2659,country_continent!A:C,2,FALSE)</f>
        <v>Libya</v>
      </c>
      <c r="G2659" t="str">
        <f>VLOOKUP(E2659,country_continent!A:C,3,FALSE)</f>
        <v>Africa</v>
      </c>
      <c r="H2659" t="s">
        <v>10983</v>
      </c>
      <c r="I2659" s="1">
        <v>40778</v>
      </c>
      <c r="J2659" s="3">
        <f t="shared" si="123"/>
        <v>40778</v>
      </c>
      <c r="K2659" s="1">
        <v>41129</v>
      </c>
      <c r="L2659" s="3">
        <f t="shared" si="124"/>
        <v>41129</v>
      </c>
      <c r="M2659" t="s">
        <v>67</v>
      </c>
      <c r="N2659" t="s">
        <v>49</v>
      </c>
      <c r="O2659" t="s">
        <v>49</v>
      </c>
      <c r="P2659">
        <v>0</v>
      </c>
      <c r="Q2659" t="s">
        <v>50</v>
      </c>
      <c r="R2659" t="s">
        <v>51</v>
      </c>
      <c r="S2659">
        <v>1952</v>
      </c>
      <c r="T2659">
        <v>-777</v>
      </c>
      <c r="Z2659">
        <v>1</v>
      </c>
      <c r="AA2659">
        <v>1</v>
      </c>
      <c r="AB2659">
        <v>0</v>
      </c>
      <c r="AC2659">
        <v>0</v>
      </c>
      <c r="AF2659">
        <v>2011</v>
      </c>
      <c r="AG2659">
        <v>2012</v>
      </c>
      <c r="AO2659" t="b">
        <v>1</v>
      </c>
      <c r="AP2659" t="s">
        <v>4202</v>
      </c>
      <c r="AQ2659">
        <v>1952</v>
      </c>
      <c r="AR2659">
        <v>1963</v>
      </c>
      <c r="AS2659" t="s">
        <v>10984</v>
      </c>
      <c r="AT2659">
        <v>0.96098562628336703</v>
      </c>
      <c r="AU2659">
        <f t="shared" si="125"/>
        <v>3.0000000000000001E-3</v>
      </c>
    </row>
    <row r="2660" spans="1:47" x14ac:dyDescent="0.3">
      <c r="A2660">
        <v>2658</v>
      </c>
      <c r="B2660" t="s">
        <v>10985</v>
      </c>
      <c r="C2660" t="s">
        <v>10986</v>
      </c>
      <c r="D2660">
        <v>620</v>
      </c>
      <c r="E2660" t="s">
        <v>10971</v>
      </c>
      <c r="F2660" t="str">
        <f>VLOOKUP(E2660,country_continent!A:C,2,FALSE)</f>
        <v>Libya</v>
      </c>
      <c r="G2660" t="str">
        <f>VLOOKUP(E2660,country_continent!A:C,3,FALSE)</f>
        <v>Africa</v>
      </c>
      <c r="H2660" t="s">
        <v>10987</v>
      </c>
      <c r="I2660" s="1">
        <v>41129</v>
      </c>
      <c r="J2660" s="3">
        <f t="shared" si="123"/>
        <v>41129</v>
      </c>
      <c r="K2660" s="1">
        <v>41130</v>
      </c>
      <c r="L2660" s="3">
        <f t="shared" si="124"/>
        <v>41130</v>
      </c>
      <c r="M2660" t="s">
        <v>49</v>
      </c>
      <c r="N2660" t="s">
        <v>49</v>
      </c>
      <c r="O2660" t="s">
        <v>49</v>
      </c>
      <c r="P2660">
        <v>0</v>
      </c>
      <c r="Q2660" t="s">
        <v>50</v>
      </c>
      <c r="R2660" t="s">
        <v>51</v>
      </c>
      <c r="S2660">
        <v>1953</v>
      </c>
      <c r="T2660">
        <v>-777</v>
      </c>
      <c r="Z2660">
        <v>0</v>
      </c>
      <c r="AA2660">
        <v>1</v>
      </c>
      <c r="AB2660">
        <v>0</v>
      </c>
      <c r="AC2660">
        <v>0</v>
      </c>
      <c r="AF2660">
        <v>2012</v>
      </c>
      <c r="AG2660">
        <v>2012</v>
      </c>
      <c r="AO2660" t="b">
        <v>1</v>
      </c>
      <c r="AP2660" t="s">
        <v>4202</v>
      </c>
      <c r="AQ2660">
        <v>1952</v>
      </c>
      <c r="AR2660">
        <v>1963</v>
      </c>
      <c r="AS2660" t="s">
        <v>10988</v>
      </c>
      <c r="AT2660">
        <v>2.7378507871321E-3</v>
      </c>
      <c r="AU2660">
        <f t="shared" si="125"/>
        <v>0</v>
      </c>
    </row>
    <row r="2661" spans="1:47" x14ac:dyDescent="0.3">
      <c r="A2661">
        <v>2659</v>
      </c>
      <c r="B2661" t="s">
        <v>10989</v>
      </c>
      <c r="C2661" t="s">
        <v>10990</v>
      </c>
      <c r="D2661">
        <v>620</v>
      </c>
      <c r="E2661" t="s">
        <v>10971</v>
      </c>
      <c r="F2661" t="str">
        <f>VLOOKUP(E2661,country_continent!A:C,2,FALSE)</f>
        <v>Libya</v>
      </c>
      <c r="G2661" t="str">
        <f>VLOOKUP(E2661,country_continent!A:C,3,FALSE)</f>
        <v>Africa</v>
      </c>
      <c r="H2661" t="s">
        <v>10991</v>
      </c>
      <c r="I2661" s="1">
        <v>41130</v>
      </c>
      <c r="J2661" s="3">
        <f t="shared" si="123"/>
        <v>41130</v>
      </c>
      <c r="K2661" s="1">
        <v>41422</v>
      </c>
      <c r="L2661" s="3">
        <f t="shared" si="124"/>
        <v>41422</v>
      </c>
      <c r="M2661" t="s">
        <v>49</v>
      </c>
      <c r="N2661" t="s">
        <v>49</v>
      </c>
      <c r="O2661" t="s">
        <v>49</v>
      </c>
      <c r="P2661">
        <v>0</v>
      </c>
      <c r="Q2661" t="s">
        <v>50</v>
      </c>
      <c r="R2661" t="s">
        <v>51</v>
      </c>
      <c r="S2661">
        <v>1940</v>
      </c>
      <c r="T2661">
        <v>-777</v>
      </c>
      <c r="Z2661">
        <v>0</v>
      </c>
      <c r="AA2661">
        <v>1</v>
      </c>
      <c r="AB2661">
        <v>0</v>
      </c>
      <c r="AC2661">
        <v>0</v>
      </c>
      <c r="AF2661">
        <v>2012</v>
      </c>
      <c r="AG2661">
        <v>2013</v>
      </c>
      <c r="AO2661" t="b">
        <v>1</v>
      </c>
      <c r="AP2661" t="s">
        <v>4202</v>
      </c>
      <c r="AQ2661">
        <v>1952</v>
      </c>
      <c r="AR2661">
        <v>1963</v>
      </c>
      <c r="AS2661" t="s">
        <v>10992</v>
      </c>
      <c r="AT2661">
        <v>0.79945242984257303</v>
      </c>
      <c r="AU2661">
        <f t="shared" si="125"/>
        <v>2E-3</v>
      </c>
    </row>
    <row r="2662" spans="1:47" x14ac:dyDescent="0.3">
      <c r="A2662">
        <v>2660</v>
      </c>
      <c r="B2662" t="s">
        <v>10993</v>
      </c>
      <c r="C2662" t="s">
        <v>10994</v>
      </c>
      <c r="D2662">
        <v>620</v>
      </c>
      <c r="E2662" t="s">
        <v>10971</v>
      </c>
      <c r="F2662" t="str">
        <f>VLOOKUP(E2662,country_continent!A:C,2,FALSE)</f>
        <v>Libya</v>
      </c>
      <c r="G2662" t="str">
        <f>VLOOKUP(E2662,country_continent!A:C,3,FALSE)</f>
        <v>Africa</v>
      </c>
      <c r="H2662" t="s">
        <v>10995</v>
      </c>
      <c r="I2662" s="1">
        <v>41422</v>
      </c>
      <c r="J2662" s="3">
        <f t="shared" si="123"/>
        <v>41422</v>
      </c>
      <c r="K2662" s="1">
        <v>41450</v>
      </c>
      <c r="L2662" s="3">
        <f t="shared" si="124"/>
        <v>41450</v>
      </c>
      <c r="M2662" t="s">
        <v>49</v>
      </c>
      <c r="N2662" t="s">
        <v>49</v>
      </c>
      <c r="O2662" t="s">
        <v>49</v>
      </c>
      <c r="P2662">
        <v>0</v>
      </c>
      <c r="Q2662" t="s">
        <v>50</v>
      </c>
      <c r="R2662" t="s">
        <v>51</v>
      </c>
      <c r="S2662">
        <v>1950</v>
      </c>
      <c r="T2662">
        <v>-777</v>
      </c>
      <c r="Z2662">
        <v>0</v>
      </c>
      <c r="AA2662">
        <v>1</v>
      </c>
      <c r="AB2662">
        <v>0</v>
      </c>
      <c r="AC2662">
        <v>0</v>
      </c>
      <c r="AF2662">
        <v>2013</v>
      </c>
      <c r="AG2662">
        <v>2013</v>
      </c>
      <c r="AO2662" t="b">
        <v>1</v>
      </c>
      <c r="AP2662" t="s">
        <v>4202</v>
      </c>
      <c r="AQ2662">
        <v>1952</v>
      </c>
      <c r="AR2662">
        <v>1963</v>
      </c>
      <c r="AS2662" t="s">
        <v>10996</v>
      </c>
      <c r="AT2662">
        <v>7.6659822039698802E-2</v>
      </c>
      <c r="AU2662">
        <f t="shared" si="125"/>
        <v>0</v>
      </c>
    </row>
    <row r="2663" spans="1:47" x14ac:dyDescent="0.3">
      <c r="A2663">
        <v>2661</v>
      </c>
      <c r="B2663" t="s">
        <v>10997</v>
      </c>
      <c r="C2663" t="s">
        <v>10998</v>
      </c>
      <c r="D2663">
        <v>620</v>
      </c>
      <c r="E2663" t="s">
        <v>10971</v>
      </c>
      <c r="F2663" t="str">
        <f>VLOOKUP(E2663,country_continent!A:C,2,FALSE)</f>
        <v>Libya</v>
      </c>
      <c r="G2663" t="str">
        <f>VLOOKUP(E2663,country_continent!A:C,3,FALSE)</f>
        <v>Africa</v>
      </c>
      <c r="H2663" t="s">
        <v>10999</v>
      </c>
      <c r="I2663" s="1">
        <v>41450</v>
      </c>
      <c r="J2663" s="3">
        <f t="shared" si="123"/>
        <v>41450</v>
      </c>
      <c r="K2663" s="1">
        <v>41855</v>
      </c>
      <c r="L2663" s="3">
        <f t="shared" si="124"/>
        <v>41855</v>
      </c>
      <c r="M2663" t="s">
        <v>49</v>
      </c>
      <c r="N2663" t="s">
        <v>49</v>
      </c>
      <c r="O2663" t="s">
        <v>49</v>
      </c>
      <c r="P2663">
        <v>0</v>
      </c>
      <c r="Q2663" t="s">
        <v>50</v>
      </c>
      <c r="R2663" t="s">
        <v>51</v>
      </c>
      <c r="S2663">
        <v>-999</v>
      </c>
      <c r="T2663">
        <v>-777</v>
      </c>
      <c r="Z2663">
        <v>0</v>
      </c>
      <c r="AA2663">
        <v>1</v>
      </c>
      <c r="AB2663">
        <v>0</v>
      </c>
      <c r="AC2663">
        <v>0</v>
      </c>
      <c r="AF2663">
        <v>2013</v>
      </c>
      <c r="AG2663">
        <v>2014</v>
      </c>
      <c r="AO2663" t="b">
        <v>1</v>
      </c>
      <c r="AP2663" t="s">
        <v>4202</v>
      </c>
      <c r="AQ2663">
        <v>1952</v>
      </c>
      <c r="AR2663">
        <v>1963</v>
      </c>
      <c r="AS2663" t="s">
        <v>11000</v>
      </c>
      <c r="AT2663">
        <v>1.1088295687884999</v>
      </c>
      <c r="AU2663">
        <f t="shared" si="125"/>
        <v>3.0000000000000001E-3</v>
      </c>
    </row>
    <row r="2664" spans="1:47" x14ac:dyDescent="0.3">
      <c r="A2664">
        <v>2662</v>
      </c>
      <c r="B2664" t="s">
        <v>11001</v>
      </c>
      <c r="C2664" t="s">
        <v>11002</v>
      </c>
      <c r="D2664">
        <v>620</v>
      </c>
      <c r="E2664" t="s">
        <v>10971</v>
      </c>
      <c r="F2664" t="str">
        <f>VLOOKUP(E2664,country_continent!A:C,2,FALSE)</f>
        <v>Libya</v>
      </c>
      <c r="G2664" t="str">
        <f>VLOOKUP(E2664,country_continent!A:C,3,FALSE)</f>
        <v>Africa</v>
      </c>
      <c r="H2664" t="s">
        <v>11003</v>
      </c>
      <c r="I2664" s="1">
        <v>41856</v>
      </c>
      <c r="J2664" s="3">
        <f t="shared" si="123"/>
        <v>41856</v>
      </c>
      <c r="K2664" s="1">
        <v>42369</v>
      </c>
      <c r="L2664" s="3">
        <f t="shared" si="124"/>
        <v>42369</v>
      </c>
      <c r="M2664" t="s">
        <v>49</v>
      </c>
      <c r="N2664" t="s">
        <v>173</v>
      </c>
      <c r="O2664" t="s">
        <v>173</v>
      </c>
      <c r="P2664">
        <v>0</v>
      </c>
      <c r="Q2664" t="s">
        <v>174</v>
      </c>
      <c r="R2664" t="s">
        <v>51</v>
      </c>
      <c r="S2664">
        <v>1944</v>
      </c>
      <c r="T2664">
        <v>-777</v>
      </c>
      <c r="Z2664">
        <v>0</v>
      </c>
      <c r="AA2664">
        <v>-888</v>
      </c>
      <c r="AB2664">
        <v>-888</v>
      </c>
      <c r="AC2664">
        <v>-888</v>
      </c>
      <c r="AF2664">
        <v>2014</v>
      </c>
      <c r="AG2664">
        <v>2015</v>
      </c>
      <c r="AO2664" t="b">
        <v>1</v>
      </c>
      <c r="AP2664" t="s">
        <v>4202</v>
      </c>
      <c r="AQ2664">
        <v>1952</v>
      </c>
      <c r="AR2664">
        <v>1963</v>
      </c>
      <c r="AS2664" t="s">
        <v>11004</v>
      </c>
      <c r="AT2664">
        <v>1.4045174537987599</v>
      </c>
      <c r="AU2664">
        <f t="shared" si="125"/>
        <v>4.0000000000000001E-3</v>
      </c>
    </row>
    <row r="2665" spans="1:47" x14ac:dyDescent="0.3">
      <c r="A2665">
        <v>2663</v>
      </c>
      <c r="B2665" t="s">
        <v>11005</v>
      </c>
      <c r="C2665" t="s">
        <v>11006</v>
      </c>
      <c r="D2665">
        <v>625</v>
      </c>
      <c r="E2665" t="s">
        <v>11007</v>
      </c>
      <c r="F2665" t="str">
        <f>VLOOKUP(E2665,country_continent!A:C,2,FALSE)</f>
        <v>Sudan</v>
      </c>
      <c r="G2665" t="str">
        <f>VLOOKUP(E2665,country_continent!A:C,3,FALSE)</f>
        <v>Africa</v>
      </c>
      <c r="H2665" t="s">
        <v>11008</v>
      </c>
      <c r="I2665" s="1">
        <v>20455</v>
      </c>
      <c r="J2665" s="3">
        <f t="shared" si="123"/>
        <v>20455</v>
      </c>
      <c r="K2665" s="1">
        <v>20640</v>
      </c>
      <c r="L2665" s="3">
        <f t="shared" si="124"/>
        <v>20640</v>
      </c>
      <c r="M2665" t="s">
        <v>49</v>
      </c>
      <c r="N2665" t="s">
        <v>49</v>
      </c>
      <c r="O2665" t="s">
        <v>49</v>
      </c>
      <c r="P2665">
        <v>0</v>
      </c>
      <c r="Q2665" t="s">
        <v>50</v>
      </c>
      <c r="R2665" t="s">
        <v>51</v>
      </c>
      <c r="S2665">
        <v>1900</v>
      </c>
      <c r="T2665">
        <v>1969</v>
      </c>
      <c r="Y2665" t="s">
        <v>11009</v>
      </c>
      <c r="Z2665">
        <v>0</v>
      </c>
      <c r="AA2665">
        <v>1</v>
      </c>
      <c r="AB2665">
        <v>0</v>
      </c>
      <c r="AC2665">
        <v>0</v>
      </c>
      <c r="AF2665">
        <v>1956</v>
      </c>
      <c r="AG2665">
        <v>1956</v>
      </c>
      <c r="AO2665" t="b">
        <v>1</v>
      </c>
      <c r="AP2665" t="s">
        <v>4202</v>
      </c>
      <c r="AQ2665">
        <v>1956</v>
      </c>
      <c r="AR2665">
        <v>1966</v>
      </c>
      <c r="AS2665" t="s">
        <v>11010</v>
      </c>
      <c r="AT2665">
        <v>0.506502395619438</v>
      </c>
      <c r="AU2665">
        <f t="shared" si="125"/>
        <v>1E-3</v>
      </c>
    </row>
    <row r="2666" spans="1:47" x14ac:dyDescent="0.3">
      <c r="A2666">
        <v>2664</v>
      </c>
      <c r="B2666" t="s">
        <v>11011</v>
      </c>
      <c r="C2666" t="s">
        <v>11012</v>
      </c>
      <c r="D2666">
        <v>625</v>
      </c>
      <c r="E2666" t="s">
        <v>11007</v>
      </c>
      <c r="F2666" t="str">
        <f>VLOOKUP(E2666,country_continent!A:C,2,FALSE)</f>
        <v>Sudan</v>
      </c>
      <c r="G2666" t="str">
        <f>VLOOKUP(E2666,country_continent!A:C,3,FALSE)</f>
        <v>Africa</v>
      </c>
      <c r="H2666" t="s">
        <v>11013</v>
      </c>
      <c r="I2666" s="1">
        <v>20641</v>
      </c>
      <c r="J2666" s="3">
        <f t="shared" si="123"/>
        <v>20641</v>
      </c>
      <c r="K2666" s="1">
        <v>21506</v>
      </c>
      <c r="L2666" s="3">
        <f t="shared" si="124"/>
        <v>21506</v>
      </c>
      <c r="M2666" t="s">
        <v>49</v>
      </c>
      <c r="N2666" t="s">
        <v>67</v>
      </c>
      <c r="O2666" t="s">
        <v>376</v>
      </c>
      <c r="P2666">
        <v>0</v>
      </c>
      <c r="Q2666" t="s">
        <v>50</v>
      </c>
      <c r="R2666" t="s">
        <v>51</v>
      </c>
      <c r="S2666">
        <v>1892</v>
      </c>
      <c r="T2666">
        <v>1970</v>
      </c>
      <c r="Z2666">
        <v>0</v>
      </c>
      <c r="AA2666">
        <v>3</v>
      </c>
      <c r="AB2666">
        <v>6</v>
      </c>
      <c r="AC2666">
        <v>0</v>
      </c>
      <c r="AF2666">
        <v>1956</v>
      </c>
      <c r="AG2666">
        <v>1958</v>
      </c>
      <c r="AO2666" t="b">
        <v>1</v>
      </c>
      <c r="AP2666" t="s">
        <v>4202</v>
      </c>
      <c r="AQ2666">
        <v>1956</v>
      </c>
      <c r="AR2666">
        <v>1966</v>
      </c>
      <c r="AS2666" t="s">
        <v>11014</v>
      </c>
      <c r="AT2666">
        <v>2.36824093086926</v>
      </c>
      <c r="AU2666">
        <f t="shared" si="125"/>
        <v>6.0000000000000001E-3</v>
      </c>
    </row>
    <row r="2667" spans="1:47" x14ac:dyDescent="0.3">
      <c r="A2667">
        <v>2665</v>
      </c>
      <c r="B2667" t="s">
        <v>11015</v>
      </c>
      <c r="C2667" t="s">
        <v>11016</v>
      </c>
      <c r="D2667">
        <v>625</v>
      </c>
      <c r="E2667" t="s">
        <v>11007</v>
      </c>
      <c r="F2667" t="str">
        <f>VLOOKUP(E2667,country_continent!A:C,2,FALSE)</f>
        <v>Sudan</v>
      </c>
      <c r="G2667" t="str">
        <f>VLOOKUP(E2667,country_continent!A:C,3,FALSE)</f>
        <v>Africa</v>
      </c>
      <c r="H2667" t="s">
        <v>11017</v>
      </c>
      <c r="I2667" s="1">
        <v>21507</v>
      </c>
      <c r="J2667" s="3">
        <f t="shared" si="123"/>
        <v>21507</v>
      </c>
      <c r="K2667" s="1">
        <v>23682</v>
      </c>
      <c r="L2667" s="3">
        <f t="shared" si="124"/>
        <v>23682</v>
      </c>
      <c r="M2667" t="s">
        <v>67</v>
      </c>
      <c r="N2667" t="s">
        <v>67</v>
      </c>
      <c r="O2667" t="s">
        <v>613</v>
      </c>
      <c r="P2667">
        <v>0</v>
      </c>
      <c r="Q2667" t="s">
        <v>50</v>
      </c>
      <c r="R2667" t="s">
        <v>51</v>
      </c>
      <c r="S2667">
        <v>1900</v>
      </c>
      <c r="T2667">
        <v>1983</v>
      </c>
      <c r="U2667" s="1">
        <v>300</v>
      </c>
      <c r="V2667" s="2">
        <v>300</v>
      </c>
      <c r="Y2667" t="s">
        <v>11018</v>
      </c>
      <c r="Z2667">
        <v>1</v>
      </c>
      <c r="AA2667">
        <v>3</v>
      </c>
      <c r="AB2667">
        <v>2</v>
      </c>
      <c r="AC2667">
        <v>0</v>
      </c>
      <c r="AF2667">
        <v>1958</v>
      </c>
      <c r="AG2667">
        <v>1964</v>
      </c>
      <c r="AO2667" t="b">
        <v>1</v>
      </c>
      <c r="AP2667" t="s">
        <v>4202</v>
      </c>
      <c r="AQ2667">
        <v>1956</v>
      </c>
      <c r="AR2667">
        <v>1966</v>
      </c>
      <c r="AS2667" t="s">
        <v>11019</v>
      </c>
      <c r="AT2667">
        <v>5.9548254620123204</v>
      </c>
      <c r="AU2667">
        <f t="shared" si="125"/>
        <v>1.6E-2</v>
      </c>
    </row>
    <row r="2668" spans="1:47" x14ac:dyDescent="0.3">
      <c r="A2668">
        <v>2666</v>
      </c>
      <c r="B2668" t="s">
        <v>11020</v>
      </c>
      <c r="C2668" t="s">
        <v>11021</v>
      </c>
      <c r="D2668">
        <v>625</v>
      </c>
      <c r="E2668" t="s">
        <v>11007</v>
      </c>
      <c r="F2668" t="str">
        <f>VLOOKUP(E2668,country_continent!A:C,2,FALSE)</f>
        <v>Sudan</v>
      </c>
      <c r="G2668" t="str">
        <f>VLOOKUP(E2668,country_continent!A:C,3,FALSE)</f>
        <v>Africa</v>
      </c>
      <c r="H2668" t="s">
        <v>11022</v>
      </c>
      <c r="I2668" s="1">
        <v>23682</v>
      </c>
      <c r="J2668" s="3">
        <f t="shared" si="123"/>
        <v>23682</v>
      </c>
      <c r="K2668" s="1">
        <v>23907</v>
      </c>
      <c r="L2668" s="3">
        <f t="shared" si="124"/>
        <v>23907</v>
      </c>
      <c r="M2668" t="s">
        <v>67</v>
      </c>
      <c r="N2668" t="s">
        <v>49</v>
      </c>
      <c r="O2668" t="s">
        <v>49</v>
      </c>
      <c r="P2668">
        <v>0</v>
      </c>
      <c r="Q2668" t="s">
        <v>50</v>
      </c>
      <c r="R2668" t="s">
        <v>51</v>
      </c>
      <c r="S2668">
        <v>1917</v>
      </c>
      <c r="T2668">
        <v>2006</v>
      </c>
      <c r="Z2668">
        <v>1</v>
      </c>
      <c r="AA2668">
        <v>1</v>
      </c>
      <c r="AB2668">
        <v>0</v>
      </c>
      <c r="AC2668">
        <v>0</v>
      </c>
      <c r="AF2668">
        <v>1964</v>
      </c>
      <c r="AG2668">
        <v>1965</v>
      </c>
      <c r="AO2668" t="b">
        <v>1</v>
      </c>
      <c r="AP2668" t="s">
        <v>4202</v>
      </c>
      <c r="AQ2668">
        <v>1956</v>
      </c>
      <c r="AR2668">
        <v>1966</v>
      </c>
      <c r="AS2668" t="s">
        <v>11023</v>
      </c>
      <c r="AT2668">
        <v>0.61601642710472204</v>
      </c>
      <c r="AU2668">
        <f t="shared" si="125"/>
        <v>2E-3</v>
      </c>
    </row>
    <row r="2669" spans="1:47" x14ac:dyDescent="0.3">
      <c r="A2669">
        <v>2667</v>
      </c>
      <c r="B2669" t="s">
        <v>11024</v>
      </c>
      <c r="C2669" t="s">
        <v>11025</v>
      </c>
      <c r="D2669">
        <v>625</v>
      </c>
      <c r="E2669" t="s">
        <v>11007</v>
      </c>
      <c r="F2669" t="str">
        <f>VLOOKUP(E2669,country_continent!A:C,2,FALSE)</f>
        <v>Sudan</v>
      </c>
      <c r="G2669" t="str">
        <f>VLOOKUP(E2669,country_continent!A:C,3,FALSE)</f>
        <v>Africa</v>
      </c>
      <c r="H2669" t="s">
        <v>11026</v>
      </c>
      <c r="I2669" s="1">
        <v>23907</v>
      </c>
      <c r="J2669" s="3">
        <f t="shared" si="123"/>
        <v>23907</v>
      </c>
      <c r="K2669" s="1">
        <v>24313</v>
      </c>
      <c r="L2669" s="3">
        <f t="shared" si="124"/>
        <v>24313</v>
      </c>
      <c r="M2669" t="s">
        <v>49</v>
      </c>
      <c r="N2669" t="s">
        <v>49</v>
      </c>
      <c r="O2669" t="s">
        <v>49</v>
      </c>
      <c r="P2669">
        <v>0</v>
      </c>
      <c r="Q2669" t="s">
        <v>50</v>
      </c>
      <c r="R2669" t="s">
        <v>51</v>
      </c>
      <c r="S2669">
        <v>1908</v>
      </c>
      <c r="T2669">
        <v>1976</v>
      </c>
      <c r="Z2669">
        <v>0</v>
      </c>
      <c r="AA2669">
        <v>1</v>
      </c>
      <c r="AB2669">
        <v>0</v>
      </c>
      <c r="AC2669">
        <v>0</v>
      </c>
      <c r="AF2669">
        <v>1965</v>
      </c>
      <c r="AG2669">
        <v>1966</v>
      </c>
      <c r="AO2669" t="b">
        <v>1</v>
      </c>
      <c r="AP2669" t="s">
        <v>4202</v>
      </c>
      <c r="AQ2669">
        <v>1956</v>
      </c>
      <c r="AR2669">
        <v>1966</v>
      </c>
      <c r="AS2669" t="s">
        <v>11027</v>
      </c>
      <c r="AT2669">
        <v>1.11156741957563</v>
      </c>
      <c r="AU2669">
        <f t="shared" si="125"/>
        <v>3.0000000000000001E-3</v>
      </c>
    </row>
    <row r="2670" spans="1:47" x14ac:dyDescent="0.3">
      <c r="A2670">
        <v>2668</v>
      </c>
      <c r="B2670" t="s">
        <v>11028</v>
      </c>
      <c r="C2670" t="s">
        <v>11029</v>
      </c>
      <c r="D2670">
        <v>625</v>
      </c>
      <c r="E2670" t="s">
        <v>11007</v>
      </c>
      <c r="F2670" t="str">
        <f>VLOOKUP(E2670,country_continent!A:C,2,FALSE)</f>
        <v>Sudan</v>
      </c>
      <c r="G2670" t="str">
        <f>VLOOKUP(E2670,country_continent!A:C,3,FALSE)</f>
        <v>Africa</v>
      </c>
      <c r="H2670" t="s">
        <v>11030</v>
      </c>
      <c r="I2670" s="1">
        <v>24314</v>
      </c>
      <c r="J2670" s="3">
        <f t="shared" si="123"/>
        <v>24314</v>
      </c>
      <c r="K2670" s="1">
        <v>24607</v>
      </c>
      <c r="L2670" s="3">
        <f t="shared" si="124"/>
        <v>24607</v>
      </c>
      <c r="M2670" t="s">
        <v>49</v>
      </c>
      <c r="N2670" t="s">
        <v>49</v>
      </c>
      <c r="O2670" t="s">
        <v>49</v>
      </c>
      <c r="P2670">
        <v>0</v>
      </c>
      <c r="Q2670" t="s">
        <v>50</v>
      </c>
      <c r="R2670" t="s">
        <v>51</v>
      </c>
      <c r="S2670">
        <v>1935</v>
      </c>
      <c r="T2670">
        <v>-777</v>
      </c>
      <c r="U2670" s="1">
        <v>13143</v>
      </c>
      <c r="V2670" s="2">
        <v>13143</v>
      </c>
      <c r="Z2670">
        <v>0</v>
      </c>
      <c r="AA2670">
        <v>1</v>
      </c>
      <c r="AB2670">
        <v>0</v>
      </c>
      <c r="AC2670">
        <v>0</v>
      </c>
      <c r="AF2670">
        <v>1966</v>
      </c>
      <c r="AG2670">
        <v>1967</v>
      </c>
      <c r="AO2670" t="b">
        <v>1</v>
      </c>
      <c r="AP2670" t="s">
        <v>4202</v>
      </c>
      <c r="AQ2670">
        <v>1956</v>
      </c>
      <c r="AR2670">
        <v>1966</v>
      </c>
      <c r="AS2670" t="s">
        <v>11031</v>
      </c>
      <c r="AT2670">
        <v>0.80219028062970499</v>
      </c>
      <c r="AU2670">
        <f t="shared" si="125"/>
        <v>2E-3</v>
      </c>
    </row>
    <row r="2671" spans="1:47" x14ac:dyDescent="0.3">
      <c r="A2671">
        <v>2669</v>
      </c>
      <c r="B2671" t="s">
        <v>11032</v>
      </c>
      <c r="C2671" t="s">
        <v>11025</v>
      </c>
      <c r="D2671">
        <v>625</v>
      </c>
      <c r="E2671" t="s">
        <v>11007</v>
      </c>
      <c r="F2671" t="str">
        <f>VLOOKUP(E2671,country_continent!A:C,2,FALSE)</f>
        <v>Sudan</v>
      </c>
      <c r="G2671" t="str">
        <f>VLOOKUP(E2671,country_continent!A:C,3,FALSE)</f>
        <v>Africa</v>
      </c>
      <c r="H2671" t="s">
        <v>11026</v>
      </c>
      <c r="I2671" s="1">
        <v>24610</v>
      </c>
      <c r="J2671" s="3">
        <f t="shared" si="123"/>
        <v>24610</v>
      </c>
      <c r="K2671" s="1">
        <v>25346</v>
      </c>
      <c r="L2671" s="3">
        <f t="shared" si="124"/>
        <v>25346</v>
      </c>
      <c r="M2671" t="s">
        <v>49</v>
      </c>
      <c r="N2671" t="s">
        <v>67</v>
      </c>
      <c r="O2671" t="s">
        <v>376</v>
      </c>
      <c r="P2671">
        <v>1</v>
      </c>
      <c r="Q2671" t="s">
        <v>362</v>
      </c>
      <c r="R2671" t="s">
        <v>51</v>
      </c>
      <c r="S2671">
        <v>1908</v>
      </c>
      <c r="T2671">
        <v>1976</v>
      </c>
      <c r="Z2671">
        <v>0</v>
      </c>
      <c r="AA2671">
        <v>3</v>
      </c>
      <c r="AB2671">
        <v>6</v>
      </c>
      <c r="AC2671">
        <v>1</v>
      </c>
      <c r="AF2671">
        <v>1967</v>
      </c>
      <c r="AG2671">
        <v>1969</v>
      </c>
      <c r="AO2671" t="b">
        <v>1</v>
      </c>
      <c r="AP2671" t="s">
        <v>4202</v>
      </c>
      <c r="AQ2671">
        <v>1956</v>
      </c>
      <c r="AR2671">
        <v>1966</v>
      </c>
      <c r="AS2671" t="s">
        <v>11033</v>
      </c>
      <c r="AT2671">
        <v>2.0150581793292202</v>
      </c>
      <c r="AU2671">
        <f t="shared" si="125"/>
        <v>6.0000000000000001E-3</v>
      </c>
    </row>
    <row r="2672" spans="1:47" x14ac:dyDescent="0.3">
      <c r="A2672">
        <v>2670</v>
      </c>
      <c r="B2672" t="s">
        <v>11034</v>
      </c>
      <c r="C2672" t="s">
        <v>11035</v>
      </c>
      <c r="D2672">
        <v>625</v>
      </c>
      <c r="E2672" t="s">
        <v>11007</v>
      </c>
      <c r="F2672" t="str">
        <f>VLOOKUP(E2672,country_continent!A:C,2,FALSE)</f>
        <v>Sudan</v>
      </c>
      <c r="G2672" t="str">
        <f>VLOOKUP(E2672,country_continent!A:C,3,FALSE)</f>
        <v>Africa</v>
      </c>
      <c r="H2672" t="s">
        <v>11036</v>
      </c>
      <c r="I2672" s="1">
        <v>25348</v>
      </c>
      <c r="J2672" s="3">
        <f t="shared" si="123"/>
        <v>25348</v>
      </c>
      <c r="K2672" s="1">
        <v>26133</v>
      </c>
      <c r="L2672" s="3">
        <f t="shared" si="124"/>
        <v>26133</v>
      </c>
      <c r="M2672" t="s">
        <v>67</v>
      </c>
      <c r="N2672" t="s">
        <v>67</v>
      </c>
      <c r="O2672" t="s">
        <v>376</v>
      </c>
      <c r="P2672">
        <v>0</v>
      </c>
      <c r="Q2672" t="s">
        <v>463</v>
      </c>
      <c r="R2672" t="s">
        <v>51</v>
      </c>
      <c r="S2672">
        <v>1930</v>
      </c>
      <c r="T2672">
        <v>2009</v>
      </c>
      <c r="U2672" s="1">
        <v>10959</v>
      </c>
      <c r="V2672" s="2">
        <v>10959</v>
      </c>
      <c r="Y2672" t="s">
        <v>11037</v>
      </c>
      <c r="Z2672">
        <v>1</v>
      </c>
      <c r="AA2672">
        <v>3</v>
      </c>
      <c r="AB2672">
        <v>6</v>
      </c>
      <c r="AC2672">
        <v>2</v>
      </c>
      <c r="AF2672">
        <v>1969</v>
      </c>
      <c r="AG2672">
        <v>1971</v>
      </c>
      <c r="AO2672" t="b">
        <v>1</v>
      </c>
      <c r="AP2672" t="s">
        <v>4202</v>
      </c>
      <c r="AQ2672">
        <v>1956</v>
      </c>
      <c r="AR2672">
        <v>1966</v>
      </c>
      <c r="AS2672" t="s">
        <v>11038</v>
      </c>
      <c r="AT2672">
        <v>2.1492128678986901</v>
      </c>
      <c r="AU2672">
        <f t="shared" si="125"/>
        <v>6.0000000000000001E-3</v>
      </c>
    </row>
    <row r="2673" spans="1:47" x14ac:dyDescent="0.3">
      <c r="A2673">
        <v>2671</v>
      </c>
      <c r="B2673" t="s">
        <v>11039</v>
      </c>
      <c r="C2673" t="s">
        <v>11040</v>
      </c>
      <c r="D2673">
        <v>625</v>
      </c>
      <c r="E2673" t="s">
        <v>11007</v>
      </c>
      <c r="F2673" t="str">
        <f>VLOOKUP(E2673,country_continent!A:C,2,FALSE)</f>
        <v>Sudan</v>
      </c>
      <c r="G2673" t="str">
        <f>VLOOKUP(E2673,country_continent!A:C,3,FALSE)</f>
        <v>Africa</v>
      </c>
      <c r="H2673" t="s">
        <v>11041</v>
      </c>
      <c r="I2673" s="1">
        <v>26133</v>
      </c>
      <c r="J2673" s="3">
        <f t="shared" si="123"/>
        <v>26133</v>
      </c>
      <c r="K2673" s="1">
        <v>26136</v>
      </c>
      <c r="L2673" s="3">
        <f t="shared" si="124"/>
        <v>26136</v>
      </c>
      <c r="M2673" t="s">
        <v>67</v>
      </c>
      <c r="N2673" t="s">
        <v>67</v>
      </c>
      <c r="O2673" t="s">
        <v>376</v>
      </c>
      <c r="P2673">
        <v>0</v>
      </c>
      <c r="Q2673" t="s">
        <v>69</v>
      </c>
      <c r="R2673" t="s">
        <v>51</v>
      </c>
      <c r="S2673">
        <v>-999</v>
      </c>
      <c r="T2673">
        <v>1971</v>
      </c>
      <c r="Z2673">
        <v>1</v>
      </c>
      <c r="AA2673">
        <v>3</v>
      </c>
      <c r="AB2673">
        <v>6</v>
      </c>
      <c r="AC2673">
        <v>3</v>
      </c>
      <c r="AF2673">
        <v>1971</v>
      </c>
      <c r="AG2673">
        <v>1971</v>
      </c>
      <c r="AO2673" t="b">
        <v>1</v>
      </c>
      <c r="AP2673" t="s">
        <v>4202</v>
      </c>
      <c r="AQ2673">
        <v>1956</v>
      </c>
      <c r="AR2673">
        <v>1966</v>
      </c>
      <c r="AS2673" t="s">
        <v>11042</v>
      </c>
      <c r="AT2673">
        <v>8.2135523613963007E-3</v>
      </c>
      <c r="AU2673">
        <f t="shared" si="125"/>
        <v>0</v>
      </c>
    </row>
    <row r="2674" spans="1:47" x14ac:dyDescent="0.3">
      <c r="A2674">
        <v>2672</v>
      </c>
      <c r="B2674" t="s">
        <v>11043</v>
      </c>
      <c r="C2674" t="s">
        <v>11035</v>
      </c>
      <c r="D2674">
        <v>625</v>
      </c>
      <c r="E2674" t="s">
        <v>11007</v>
      </c>
      <c r="F2674" t="str">
        <f>VLOOKUP(E2674,country_continent!A:C,2,FALSE)</f>
        <v>Sudan</v>
      </c>
      <c r="G2674" t="str">
        <f>VLOOKUP(E2674,country_continent!A:C,3,FALSE)</f>
        <v>Africa</v>
      </c>
      <c r="H2674" t="s">
        <v>11036</v>
      </c>
      <c r="I2674" s="1">
        <v>26136</v>
      </c>
      <c r="J2674" s="3">
        <f t="shared" si="123"/>
        <v>26136</v>
      </c>
      <c r="K2674" s="1">
        <v>31143</v>
      </c>
      <c r="L2674" s="3">
        <f t="shared" si="124"/>
        <v>31143</v>
      </c>
      <c r="M2674" t="s">
        <v>67</v>
      </c>
      <c r="N2674" t="s">
        <v>67</v>
      </c>
      <c r="O2674" t="s">
        <v>376</v>
      </c>
      <c r="P2674">
        <v>1</v>
      </c>
      <c r="Q2674" t="s">
        <v>362</v>
      </c>
      <c r="R2674" t="s">
        <v>51</v>
      </c>
      <c r="S2674">
        <v>1930</v>
      </c>
      <c r="T2674">
        <v>2009</v>
      </c>
      <c r="U2674" s="1">
        <v>10959</v>
      </c>
      <c r="V2674" s="2">
        <v>10959</v>
      </c>
      <c r="Y2674" t="s">
        <v>11037</v>
      </c>
      <c r="Z2674">
        <v>1</v>
      </c>
      <c r="AA2674">
        <v>3</v>
      </c>
      <c r="AB2674">
        <v>6</v>
      </c>
      <c r="AC2674">
        <v>1</v>
      </c>
      <c r="AF2674">
        <v>1971</v>
      </c>
      <c r="AG2674">
        <v>1985</v>
      </c>
      <c r="AO2674" t="b">
        <v>1</v>
      </c>
      <c r="AP2674" t="s">
        <v>4202</v>
      </c>
      <c r="AQ2674">
        <v>1956</v>
      </c>
      <c r="AR2674">
        <v>1966</v>
      </c>
      <c r="AS2674" t="s">
        <v>11044</v>
      </c>
      <c r="AT2674">
        <v>13.7084188911704</v>
      </c>
      <c r="AU2674">
        <f t="shared" si="125"/>
        <v>3.7999999999999999E-2</v>
      </c>
    </row>
    <row r="2675" spans="1:47" x14ac:dyDescent="0.3">
      <c r="A2675">
        <v>2673</v>
      </c>
      <c r="B2675" t="s">
        <v>11045</v>
      </c>
      <c r="C2675" t="s">
        <v>11046</v>
      </c>
      <c r="D2675">
        <v>625</v>
      </c>
      <c r="E2675" t="s">
        <v>11007</v>
      </c>
      <c r="F2675" t="str">
        <f>VLOOKUP(E2675,country_continent!A:C,2,FALSE)</f>
        <v>Sudan</v>
      </c>
      <c r="G2675" t="str">
        <f>VLOOKUP(E2675,country_continent!A:C,3,FALSE)</f>
        <v>Africa</v>
      </c>
      <c r="H2675" t="s">
        <v>11047</v>
      </c>
      <c r="I2675" s="1">
        <v>31143</v>
      </c>
      <c r="J2675" s="3">
        <f t="shared" si="123"/>
        <v>31143</v>
      </c>
      <c r="K2675" s="1">
        <v>31538</v>
      </c>
      <c r="L2675" s="3">
        <f t="shared" si="124"/>
        <v>31538</v>
      </c>
      <c r="M2675" t="s">
        <v>67</v>
      </c>
      <c r="N2675" t="s">
        <v>49</v>
      </c>
      <c r="O2675" t="s">
        <v>49</v>
      </c>
      <c r="P2675">
        <v>0</v>
      </c>
      <c r="Q2675" t="s">
        <v>50</v>
      </c>
      <c r="R2675" t="s">
        <v>51</v>
      </c>
      <c r="S2675">
        <v>1934</v>
      </c>
      <c r="T2675">
        <v>-777</v>
      </c>
      <c r="Z2675">
        <v>1</v>
      </c>
      <c r="AA2675">
        <v>1</v>
      </c>
      <c r="AB2675">
        <v>0</v>
      </c>
      <c r="AC2675">
        <v>0</v>
      </c>
      <c r="AF2675">
        <v>1985</v>
      </c>
      <c r="AG2675">
        <v>1986</v>
      </c>
      <c r="AO2675" t="b">
        <v>1</v>
      </c>
      <c r="AP2675" t="s">
        <v>4202</v>
      </c>
      <c r="AQ2675">
        <v>1956</v>
      </c>
      <c r="AR2675">
        <v>1966</v>
      </c>
      <c r="AS2675" t="s">
        <v>11048</v>
      </c>
      <c r="AT2675">
        <v>1.0814510609171799</v>
      </c>
      <c r="AU2675">
        <f t="shared" si="125"/>
        <v>3.0000000000000001E-3</v>
      </c>
    </row>
    <row r="2676" spans="1:47" x14ac:dyDescent="0.3">
      <c r="A2676">
        <v>2674</v>
      </c>
      <c r="B2676" t="s">
        <v>11049</v>
      </c>
      <c r="C2676" t="s">
        <v>11029</v>
      </c>
      <c r="D2676">
        <v>625</v>
      </c>
      <c r="E2676" t="s">
        <v>11007</v>
      </c>
      <c r="F2676" t="str">
        <f>VLOOKUP(E2676,country_continent!A:C,2,FALSE)</f>
        <v>Sudan</v>
      </c>
      <c r="G2676" t="str">
        <f>VLOOKUP(E2676,country_continent!A:C,3,FALSE)</f>
        <v>Africa</v>
      </c>
      <c r="H2676" t="s">
        <v>11030</v>
      </c>
      <c r="I2676" s="1">
        <v>31538</v>
      </c>
      <c r="J2676" s="3">
        <f t="shared" si="123"/>
        <v>31538</v>
      </c>
      <c r="K2676" s="1">
        <v>32689</v>
      </c>
      <c r="L2676" s="3">
        <f t="shared" si="124"/>
        <v>32689</v>
      </c>
      <c r="M2676" t="s">
        <v>49</v>
      </c>
      <c r="N2676" t="s">
        <v>67</v>
      </c>
      <c r="O2676" t="s">
        <v>376</v>
      </c>
      <c r="P2676">
        <v>1</v>
      </c>
      <c r="Q2676" t="s">
        <v>362</v>
      </c>
      <c r="R2676" t="s">
        <v>51</v>
      </c>
      <c r="S2676">
        <v>1935</v>
      </c>
      <c r="T2676">
        <v>-777</v>
      </c>
      <c r="U2676" s="1">
        <v>13143</v>
      </c>
      <c r="V2676" s="2">
        <v>13143</v>
      </c>
      <c r="Z2676">
        <v>0</v>
      </c>
      <c r="AA2676">
        <v>3</v>
      </c>
      <c r="AB2676">
        <v>6</v>
      </c>
      <c r="AC2676">
        <v>1</v>
      </c>
      <c r="AF2676">
        <v>1986</v>
      </c>
      <c r="AG2676">
        <v>1989</v>
      </c>
      <c r="AO2676" t="b">
        <v>1</v>
      </c>
      <c r="AP2676" t="s">
        <v>4202</v>
      </c>
      <c r="AQ2676">
        <v>1956</v>
      </c>
      <c r="AR2676">
        <v>1966</v>
      </c>
      <c r="AS2676" t="s">
        <v>11050</v>
      </c>
      <c r="AT2676">
        <v>3.1512662559890399</v>
      </c>
      <c r="AU2676">
        <f t="shared" si="125"/>
        <v>8.9999999999999993E-3</v>
      </c>
    </row>
    <row r="2677" spans="1:47" x14ac:dyDescent="0.3">
      <c r="A2677">
        <v>2675</v>
      </c>
      <c r="B2677" t="s">
        <v>11051</v>
      </c>
      <c r="C2677" t="s">
        <v>11052</v>
      </c>
      <c r="D2677">
        <v>625</v>
      </c>
      <c r="E2677" t="s">
        <v>11007</v>
      </c>
      <c r="F2677" t="str">
        <f>VLOOKUP(E2677,country_continent!A:C,2,FALSE)</f>
        <v>Sudan</v>
      </c>
      <c r="G2677" t="str">
        <f>VLOOKUP(E2677,country_continent!A:C,3,FALSE)</f>
        <v>Africa</v>
      </c>
      <c r="H2677" t="s">
        <v>11053</v>
      </c>
      <c r="I2677" s="1">
        <v>32689</v>
      </c>
      <c r="J2677" s="3">
        <f t="shared" si="123"/>
        <v>32689</v>
      </c>
      <c r="K2677" s="1">
        <v>42369</v>
      </c>
      <c r="L2677" s="3">
        <f t="shared" si="124"/>
        <v>42369</v>
      </c>
      <c r="M2677" t="s">
        <v>67</v>
      </c>
      <c r="N2677" t="s">
        <v>173</v>
      </c>
      <c r="O2677" t="s">
        <v>173</v>
      </c>
      <c r="P2677">
        <v>0</v>
      </c>
      <c r="Q2677" t="s">
        <v>174</v>
      </c>
      <c r="R2677" t="s">
        <v>51</v>
      </c>
      <c r="S2677">
        <v>1944</v>
      </c>
      <c r="T2677">
        <v>-777</v>
      </c>
      <c r="U2677" s="1">
        <v>16072</v>
      </c>
      <c r="V2677" s="2">
        <v>16072</v>
      </c>
      <c r="Y2677" t="s">
        <v>11054</v>
      </c>
      <c r="Z2677">
        <v>1</v>
      </c>
      <c r="AA2677">
        <v>-888</v>
      </c>
      <c r="AB2677">
        <v>-888</v>
      </c>
      <c r="AC2677">
        <v>-888</v>
      </c>
      <c r="AF2677">
        <v>1989</v>
      </c>
      <c r="AG2677">
        <v>2015</v>
      </c>
      <c r="AO2677" t="b">
        <v>1</v>
      </c>
      <c r="AP2677" t="s">
        <v>4202</v>
      </c>
      <c r="AQ2677">
        <v>1956</v>
      </c>
      <c r="AR2677">
        <v>1966</v>
      </c>
      <c r="AS2677" t="s">
        <v>11055</v>
      </c>
      <c r="AT2677">
        <v>26.502395619438701</v>
      </c>
      <c r="AU2677">
        <f t="shared" si="125"/>
        <v>7.2999999999999995E-2</v>
      </c>
    </row>
    <row r="2678" spans="1:47" x14ac:dyDescent="0.3">
      <c r="A2678">
        <v>2676</v>
      </c>
      <c r="B2678" t="s">
        <v>11056</v>
      </c>
      <c r="C2678" t="s">
        <v>11057</v>
      </c>
      <c r="D2678">
        <v>626</v>
      </c>
      <c r="E2678" t="s">
        <v>11058</v>
      </c>
      <c r="F2678" t="str">
        <f>VLOOKUP(E2678,country_continent!A:C,2,FALSE)</f>
        <v>Salva Kiir Mayardit</v>
      </c>
      <c r="G2678" t="str">
        <f>VLOOKUP(E2678,country_continent!A:C,3,FALSE)</f>
        <v>Asia</v>
      </c>
      <c r="H2678" t="s">
        <v>11059</v>
      </c>
      <c r="I2678" s="1">
        <v>40733</v>
      </c>
      <c r="J2678" s="3">
        <f t="shared" si="123"/>
        <v>40733</v>
      </c>
      <c r="K2678" s="1">
        <v>42369</v>
      </c>
      <c r="L2678" s="3">
        <f t="shared" si="124"/>
        <v>42369</v>
      </c>
      <c r="M2678" t="s">
        <v>49</v>
      </c>
      <c r="N2678" t="s">
        <v>173</v>
      </c>
      <c r="O2678" t="s">
        <v>173</v>
      </c>
      <c r="P2678">
        <v>0</v>
      </c>
      <c r="Q2678" t="s">
        <v>174</v>
      </c>
      <c r="R2678" t="s">
        <v>51</v>
      </c>
      <c r="S2678">
        <v>1951</v>
      </c>
      <c r="T2678">
        <v>-777</v>
      </c>
      <c r="U2678" s="1">
        <v>18884</v>
      </c>
      <c r="V2678" s="2">
        <v>18884</v>
      </c>
      <c r="Z2678">
        <v>0</v>
      </c>
      <c r="AA2678">
        <v>-888</v>
      </c>
      <c r="AB2678">
        <v>-888</v>
      </c>
      <c r="AC2678">
        <v>-888</v>
      </c>
      <c r="AF2678">
        <v>2011</v>
      </c>
      <c r="AG2678">
        <v>2015</v>
      </c>
      <c r="AH2678">
        <v>-11.2294774690079</v>
      </c>
      <c r="AI2678">
        <v>974</v>
      </c>
      <c r="AJ2678">
        <v>22.5682907568434</v>
      </c>
      <c r="AK2678">
        <v>144.69999999999999</v>
      </c>
      <c r="AL2678">
        <v>2.61547851358538</v>
      </c>
      <c r="AM2678">
        <v>22.722029824331301</v>
      </c>
      <c r="AN2678">
        <v>0</v>
      </c>
      <c r="AO2678" t="b">
        <v>0</v>
      </c>
      <c r="AT2678">
        <v>1636</v>
      </c>
      <c r="AU2678">
        <f t="shared" si="125"/>
        <v>4.4820000000000002</v>
      </c>
    </row>
    <row r="2679" spans="1:47" x14ac:dyDescent="0.3">
      <c r="A2679">
        <v>2677</v>
      </c>
      <c r="B2679" t="s">
        <v>11060</v>
      </c>
      <c r="C2679" t="s">
        <v>11061</v>
      </c>
      <c r="D2679">
        <v>630</v>
      </c>
      <c r="E2679" t="s">
        <v>11062</v>
      </c>
      <c r="F2679" t="str">
        <f>VLOOKUP(E2679,country_continent!A:C,2,FALSE)</f>
        <v>Iran</v>
      </c>
      <c r="G2679" t="str">
        <f>VLOOKUP(E2679,country_continent!A:C,3,FALSE)</f>
        <v>Asia</v>
      </c>
      <c r="H2679" t="s">
        <v>11063</v>
      </c>
      <c r="I2679" t="s">
        <v>11064</v>
      </c>
      <c r="J2679" s="3" t="str">
        <f t="shared" si="123"/>
        <v>1848/09/13</v>
      </c>
      <c r="K2679" t="s">
        <v>210</v>
      </c>
      <c r="L2679" s="3" t="str">
        <f t="shared" si="124"/>
        <v>1896/05/01</v>
      </c>
      <c r="M2679" t="s">
        <v>49</v>
      </c>
      <c r="N2679" t="s">
        <v>67</v>
      </c>
      <c r="O2679" t="s">
        <v>347</v>
      </c>
      <c r="P2679">
        <v>0</v>
      </c>
      <c r="Q2679" t="s">
        <v>69</v>
      </c>
      <c r="R2679" t="s">
        <v>51</v>
      </c>
      <c r="S2679">
        <v>1831</v>
      </c>
      <c r="T2679">
        <v>1896</v>
      </c>
      <c r="U2679" t="s">
        <v>11065</v>
      </c>
      <c r="V2679" t="s">
        <v>11066</v>
      </c>
      <c r="W2679" t="s">
        <v>210</v>
      </c>
      <c r="X2679" t="s">
        <v>211</v>
      </c>
      <c r="Z2679">
        <v>0</v>
      </c>
      <c r="AA2679">
        <v>3</v>
      </c>
      <c r="AB2679">
        <v>-999</v>
      </c>
      <c r="AC2679">
        <v>3</v>
      </c>
      <c r="AF2679">
        <v>1848</v>
      </c>
      <c r="AG2679">
        <v>1896</v>
      </c>
      <c r="AO2679" t="b">
        <v>1</v>
      </c>
      <c r="AP2679" t="s">
        <v>4202</v>
      </c>
      <c r="AQ2679">
        <v>1916</v>
      </c>
      <c r="AR2679">
        <v>1970</v>
      </c>
      <c r="AS2679" t="s">
        <v>11067</v>
      </c>
      <c r="AT2679">
        <v>47.630390143737102</v>
      </c>
      <c r="AU2679">
        <f t="shared" si="125"/>
        <v>0.13</v>
      </c>
    </row>
    <row r="2680" spans="1:47" x14ac:dyDescent="0.3">
      <c r="A2680">
        <v>2678</v>
      </c>
      <c r="B2680" t="s">
        <v>11068</v>
      </c>
      <c r="C2680" t="s">
        <v>11069</v>
      </c>
      <c r="D2680">
        <v>630</v>
      </c>
      <c r="E2680" t="s">
        <v>11062</v>
      </c>
      <c r="F2680" t="str">
        <f>VLOOKUP(E2680,country_continent!A:C,2,FALSE)</f>
        <v>Iran</v>
      </c>
      <c r="G2680" t="str">
        <f>VLOOKUP(E2680,country_continent!A:C,3,FALSE)</f>
        <v>Asia</v>
      </c>
      <c r="H2680" t="s">
        <v>11070</v>
      </c>
      <c r="I2680" t="s">
        <v>11071</v>
      </c>
      <c r="J2680" s="3" t="str">
        <f t="shared" si="123"/>
        <v>1896/05/02</v>
      </c>
      <c r="K2680" s="1">
        <v>2565</v>
      </c>
      <c r="L2680" s="3">
        <f t="shared" si="124"/>
        <v>2565</v>
      </c>
      <c r="M2680" t="s">
        <v>49</v>
      </c>
      <c r="N2680" t="s">
        <v>110</v>
      </c>
      <c r="O2680" t="s">
        <v>49</v>
      </c>
      <c r="P2680">
        <v>0</v>
      </c>
      <c r="Q2680" t="s">
        <v>111</v>
      </c>
      <c r="R2680" t="s">
        <v>51</v>
      </c>
      <c r="S2680">
        <v>1853</v>
      </c>
      <c r="T2680">
        <v>1907</v>
      </c>
      <c r="U2680" t="s">
        <v>11072</v>
      </c>
      <c r="V2680" t="s">
        <v>11073</v>
      </c>
      <c r="W2680" s="1">
        <v>2565</v>
      </c>
      <c r="X2680" s="2">
        <v>2565</v>
      </c>
      <c r="Z2680">
        <v>0</v>
      </c>
      <c r="AA2680">
        <v>2</v>
      </c>
      <c r="AB2680">
        <v>0</v>
      </c>
      <c r="AC2680">
        <v>-777</v>
      </c>
      <c r="AF2680">
        <v>1896</v>
      </c>
      <c r="AG2680">
        <v>1907</v>
      </c>
      <c r="AO2680" t="b">
        <v>1</v>
      </c>
      <c r="AP2680" t="s">
        <v>4202</v>
      </c>
      <c r="AQ2680">
        <v>1916</v>
      </c>
      <c r="AR2680">
        <v>1970</v>
      </c>
      <c r="AS2680" t="s">
        <v>11074</v>
      </c>
      <c r="AT2680">
        <v>10.6830937713894</v>
      </c>
      <c r="AU2680">
        <f t="shared" si="125"/>
        <v>2.9000000000000001E-2</v>
      </c>
    </row>
    <row r="2681" spans="1:47" x14ac:dyDescent="0.3">
      <c r="A2681">
        <v>2679</v>
      </c>
      <c r="B2681" t="s">
        <v>11075</v>
      </c>
      <c r="C2681" t="s">
        <v>11076</v>
      </c>
      <c r="D2681">
        <v>630</v>
      </c>
      <c r="E2681" t="s">
        <v>11062</v>
      </c>
      <c r="F2681" t="str">
        <f>VLOOKUP(E2681,country_continent!A:C,2,FALSE)</f>
        <v>Iran</v>
      </c>
      <c r="G2681" t="str">
        <f>VLOOKUP(E2681,country_continent!A:C,3,FALSE)</f>
        <v>Asia</v>
      </c>
      <c r="H2681" t="s">
        <v>11077</v>
      </c>
      <c r="I2681" s="1">
        <v>2565</v>
      </c>
      <c r="J2681" s="3">
        <f t="shared" si="123"/>
        <v>2565</v>
      </c>
      <c r="K2681" s="1">
        <v>3485</v>
      </c>
      <c r="L2681" s="3">
        <f t="shared" si="124"/>
        <v>3485</v>
      </c>
      <c r="M2681" t="s">
        <v>49</v>
      </c>
      <c r="N2681" t="s">
        <v>49</v>
      </c>
      <c r="O2681" t="s">
        <v>49</v>
      </c>
      <c r="P2681">
        <v>0</v>
      </c>
      <c r="Q2681" t="s">
        <v>362</v>
      </c>
      <c r="R2681" t="s">
        <v>51</v>
      </c>
      <c r="S2681">
        <v>1872</v>
      </c>
      <c r="T2681">
        <v>1924</v>
      </c>
      <c r="U2681" t="s">
        <v>11078</v>
      </c>
      <c r="V2681" t="s">
        <v>11079</v>
      </c>
      <c r="Z2681">
        <v>0</v>
      </c>
      <c r="AA2681">
        <v>1</v>
      </c>
      <c r="AB2681">
        <v>0</v>
      </c>
      <c r="AC2681">
        <v>1</v>
      </c>
      <c r="AF2681">
        <v>1907</v>
      </c>
      <c r="AG2681">
        <v>1909</v>
      </c>
      <c r="AO2681" t="b">
        <v>1</v>
      </c>
      <c r="AP2681" t="s">
        <v>4202</v>
      </c>
      <c r="AQ2681">
        <v>1916</v>
      </c>
      <c r="AR2681">
        <v>1970</v>
      </c>
      <c r="AS2681" t="s">
        <v>11080</v>
      </c>
      <c r="AT2681">
        <v>2.51882272416153</v>
      </c>
      <c r="AU2681">
        <f t="shared" si="125"/>
        <v>7.0000000000000001E-3</v>
      </c>
    </row>
    <row r="2682" spans="1:47" x14ac:dyDescent="0.3">
      <c r="A2682">
        <v>2680</v>
      </c>
      <c r="B2682" t="s">
        <v>11081</v>
      </c>
      <c r="C2682" t="s">
        <v>11082</v>
      </c>
      <c r="D2682">
        <v>630</v>
      </c>
      <c r="E2682" t="s">
        <v>11062</v>
      </c>
      <c r="F2682" t="str">
        <f>VLOOKUP(E2682,country_continent!A:C,2,FALSE)</f>
        <v>Iran</v>
      </c>
      <c r="G2682" t="str">
        <f>VLOOKUP(E2682,country_continent!A:C,3,FALSE)</f>
        <v>Asia</v>
      </c>
      <c r="H2682" t="s">
        <v>11083</v>
      </c>
      <c r="I2682" s="1">
        <v>3485</v>
      </c>
      <c r="J2682" s="3">
        <f t="shared" si="123"/>
        <v>3485</v>
      </c>
      <c r="K2682" s="1">
        <v>7723</v>
      </c>
      <c r="L2682" s="3">
        <f t="shared" si="124"/>
        <v>7723</v>
      </c>
      <c r="M2682" t="s">
        <v>49</v>
      </c>
      <c r="N2682" t="s">
        <v>67</v>
      </c>
      <c r="O2682" t="s">
        <v>376</v>
      </c>
      <c r="P2682">
        <v>0</v>
      </c>
      <c r="Q2682" t="s">
        <v>50</v>
      </c>
      <c r="R2682" t="s">
        <v>51</v>
      </c>
      <c r="S2682">
        <v>1898</v>
      </c>
      <c r="T2682">
        <v>1930</v>
      </c>
      <c r="U2682" t="s">
        <v>11084</v>
      </c>
      <c r="V2682" t="s">
        <v>11085</v>
      </c>
      <c r="Z2682">
        <v>0</v>
      </c>
      <c r="AA2682">
        <v>3</v>
      </c>
      <c r="AB2682">
        <v>6</v>
      </c>
      <c r="AC2682">
        <v>0</v>
      </c>
      <c r="AF2682">
        <v>1909</v>
      </c>
      <c r="AG2682">
        <v>1921</v>
      </c>
      <c r="AO2682" t="b">
        <v>1</v>
      </c>
      <c r="AP2682" t="s">
        <v>4202</v>
      </c>
      <c r="AQ2682">
        <v>1916</v>
      </c>
      <c r="AR2682">
        <v>1970</v>
      </c>
      <c r="AS2682" t="s">
        <v>11086</v>
      </c>
      <c r="AT2682">
        <v>11.6030116358658</v>
      </c>
      <c r="AU2682">
        <f t="shared" si="125"/>
        <v>3.2000000000000001E-2</v>
      </c>
    </row>
    <row r="2683" spans="1:47" x14ac:dyDescent="0.3">
      <c r="A2683">
        <v>2681</v>
      </c>
      <c r="B2683" t="s">
        <v>11087</v>
      </c>
      <c r="C2683" t="s">
        <v>11088</v>
      </c>
      <c r="D2683">
        <v>630</v>
      </c>
      <c r="E2683" t="s">
        <v>11062</v>
      </c>
      <c r="F2683" t="str">
        <f>VLOOKUP(E2683,country_continent!A:C,2,FALSE)</f>
        <v>Iran</v>
      </c>
      <c r="G2683" t="str">
        <f>VLOOKUP(E2683,country_continent!A:C,3,FALSE)</f>
        <v>Asia</v>
      </c>
      <c r="H2683" t="s">
        <v>11089</v>
      </c>
      <c r="I2683" s="1">
        <v>7723</v>
      </c>
      <c r="J2683" s="3">
        <f t="shared" si="123"/>
        <v>7723</v>
      </c>
      <c r="K2683" s="1">
        <v>15235</v>
      </c>
      <c r="L2683" s="3">
        <f t="shared" si="124"/>
        <v>15235</v>
      </c>
      <c r="M2683" t="s">
        <v>67</v>
      </c>
      <c r="N2683" t="s">
        <v>49</v>
      </c>
      <c r="O2683" t="s">
        <v>49</v>
      </c>
      <c r="P2683">
        <v>0</v>
      </c>
      <c r="Q2683" t="s">
        <v>362</v>
      </c>
      <c r="R2683" t="s">
        <v>51</v>
      </c>
      <c r="S2683">
        <v>1878</v>
      </c>
      <c r="T2683">
        <v>1944</v>
      </c>
      <c r="U2683" t="s">
        <v>11090</v>
      </c>
      <c r="V2683" t="s">
        <v>11091</v>
      </c>
      <c r="W2683" s="1">
        <v>16279</v>
      </c>
      <c r="X2683" s="2">
        <v>16279</v>
      </c>
      <c r="Z2683">
        <v>1</v>
      </c>
      <c r="AA2683">
        <v>1</v>
      </c>
      <c r="AB2683">
        <v>0</v>
      </c>
      <c r="AC2683">
        <v>1</v>
      </c>
      <c r="AD2683" t="s">
        <v>11092</v>
      </c>
      <c r="AE2683">
        <v>0</v>
      </c>
      <c r="AF2683">
        <v>1921</v>
      </c>
      <c r="AG2683">
        <v>1941</v>
      </c>
      <c r="AO2683" t="b">
        <v>1</v>
      </c>
      <c r="AP2683" t="s">
        <v>4202</v>
      </c>
      <c r="AQ2683">
        <v>1916</v>
      </c>
      <c r="AR2683">
        <v>1970</v>
      </c>
      <c r="AS2683" t="s">
        <v>11093</v>
      </c>
      <c r="AT2683">
        <v>20.5667351129363</v>
      </c>
      <c r="AU2683">
        <f t="shared" si="125"/>
        <v>5.6000000000000001E-2</v>
      </c>
    </row>
    <row r="2684" spans="1:47" x14ac:dyDescent="0.3">
      <c r="A2684">
        <v>2682</v>
      </c>
      <c r="B2684" t="s">
        <v>11094</v>
      </c>
      <c r="C2684" t="s">
        <v>11095</v>
      </c>
      <c r="D2684">
        <v>630</v>
      </c>
      <c r="E2684" t="s">
        <v>11062</v>
      </c>
      <c r="F2684" t="str">
        <f>VLOOKUP(E2684,country_continent!A:C,2,FALSE)</f>
        <v>Iran</v>
      </c>
      <c r="G2684" t="str">
        <f>VLOOKUP(E2684,country_continent!A:C,3,FALSE)</f>
        <v>Asia</v>
      </c>
      <c r="H2684" t="s">
        <v>11096</v>
      </c>
      <c r="I2684" s="1">
        <v>15235</v>
      </c>
      <c r="J2684" s="3">
        <f t="shared" si="123"/>
        <v>15235</v>
      </c>
      <c r="K2684" s="1">
        <v>18748</v>
      </c>
      <c r="L2684" s="3">
        <f t="shared" si="124"/>
        <v>18748</v>
      </c>
      <c r="M2684" t="s">
        <v>49</v>
      </c>
      <c r="N2684" t="s">
        <v>67</v>
      </c>
      <c r="O2684" t="s">
        <v>2001</v>
      </c>
      <c r="P2684">
        <v>0</v>
      </c>
      <c r="Q2684" t="s">
        <v>362</v>
      </c>
      <c r="R2684" t="s">
        <v>51</v>
      </c>
      <c r="S2684">
        <v>1919</v>
      </c>
      <c r="T2684">
        <v>1980</v>
      </c>
      <c r="U2684" s="1">
        <v>7239</v>
      </c>
      <c r="V2684" s="2">
        <v>7239</v>
      </c>
      <c r="W2684" s="1">
        <v>29429</v>
      </c>
      <c r="X2684" s="2">
        <v>29429</v>
      </c>
      <c r="Y2684" t="s">
        <v>11097</v>
      </c>
      <c r="Z2684">
        <v>0</v>
      </c>
      <c r="AA2684">
        <v>3</v>
      </c>
      <c r="AB2684">
        <v>8</v>
      </c>
      <c r="AC2684">
        <v>1</v>
      </c>
      <c r="AD2684" t="s">
        <v>11098</v>
      </c>
      <c r="AF2684">
        <v>1941</v>
      </c>
      <c r="AG2684">
        <v>1951</v>
      </c>
      <c r="AN2684">
        <v>4</v>
      </c>
      <c r="AO2684" t="b">
        <v>1</v>
      </c>
      <c r="AP2684" t="s">
        <v>4202</v>
      </c>
      <c r="AQ2684">
        <v>1916</v>
      </c>
      <c r="AR2684">
        <v>1970</v>
      </c>
      <c r="AS2684" t="s">
        <v>11099</v>
      </c>
      <c r="AT2684">
        <v>9.6180698151950708</v>
      </c>
      <c r="AU2684">
        <f t="shared" si="125"/>
        <v>2.5999999999999999E-2</v>
      </c>
    </row>
    <row r="2685" spans="1:47" x14ac:dyDescent="0.3">
      <c r="A2685">
        <v>2683</v>
      </c>
      <c r="B2685" t="s">
        <v>11100</v>
      </c>
      <c r="C2685" t="s">
        <v>11101</v>
      </c>
      <c r="D2685">
        <v>630</v>
      </c>
      <c r="E2685" t="s">
        <v>11062</v>
      </c>
      <c r="F2685" t="str">
        <f>VLOOKUP(E2685,country_continent!A:C,2,FALSE)</f>
        <v>Iran</v>
      </c>
      <c r="G2685" t="str">
        <f>VLOOKUP(E2685,country_continent!A:C,3,FALSE)</f>
        <v>Asia</v>
      </c>
      <c r="H2685" t="s">
        <v>11102</v>
      </c>
      <c r="I2685" s="1">
        <v>18748</v>
      </c>
      <c r="J2685" s="3">
        <f t="shared" si="123"/>
        <v>18748</v>
      </c>
      <c r="K2685" s="1">
        <v>19590</v>
      </c>
      <c r="L2685" s="3">
        <f t="shared" si="124"/>
        <v>19590</v>
      </c>
      <c r="M2685" t="s">
        <v>67</v>
      </c>
      <c r="N2685" t="s">
        <v>67</v>
      </c>
      <c r="O2685" t="s">
        <v>2001</v>
      </c>
      <c r="P2685">
        <v>0</v>
      </c>
      <c r="Q2685" t="s">
        <v>463</v>
      </c>
      <c r="R2685" t="s">
        <v>51</v>
      </c>
      <c r="S2685">
        <v>1882</v>
      </c>
      <c r="T2685">
        <v>1967</v>
      </c>
      <c r="U2685" t="s">
        <v>11103</v>
      </c>
      <c r="V2685" t="s">
        <v>11104</v>
      </c>
      <c r="W2685" s="1">
        <v>24536</v>
      </c>
      <c r="X2685" s="2">
        <v>24536</v>
      </c>
      <c r="Z2685">
        <v>1</v>
      </c>
      <c r="AA2685">
        <v>3</v>
      </c>
      <c r="AB2685">
        <v>8</v>
      </c>
      <c r="AC2685">
        <v>2</v>
      </c>
      <c r="AF2685">
        <v>1951</v>
      </c>
      <c r="AG2685">
        <v>1953</v>
      </c>
      <c r="AN2685">
        <v>-0.67</v>
      </c>
      <c r="AO2685" t="b">
        <v>1</v>
      </c>
      <c r="AP2685" t="s">
        <v>4202</v>
      </c>
      <c r="AQ2685">
        <v>1916</v>
      </c>
      <c r="AR2685">
        <v>1970</v>
      </c>
      <c r="AS2685" t="s">
        <v>11105</v>
      </c>
      <c r="AT2685">
        <v>2.3052703627652198</v>
      </c>
      <c r="AU2685">
        <f t="shared" si="125"/>
        <v>6.0000000000000001E-3</v>
      </c>
    </row>
    <row r="2686" spans="1:47" x14ac:dyDescent="0.3">
      <c r="A2686">
        <v>2684</v>
      </c>
      <c r="B2686" t="s">
        <v>11106</v>
      </c>
      <c r="C2686" t="s">
        <v>11095</v>
      </c>
      <c r="D2686">
        <v>630</v>
      </c>
      <c r="E2686" t="s">
        <v>11062</v>
      </c>
      <c r="F2686" t="str">
        <f>VLOOKUP(E2686,country_continent!A:C,2,FALSE)</f>
        <v>Iran</v>
      </c>
      <c r="G2686" t="str">
        <f>VLOOKUP(E2686,country_continent!A:C,3,FALSE)</f>
        <v>Asia</v>
      </c>
      <c r="H2686" t="s">
        <v>11096</v>
      </c>
      <c r="I2686" s="1">
        <v>19590</v>
      </c>
      <c r="J2686" s="3">
        <f t="shared" si="123"/>
        <v>19590</v>
      </c>
      <c r="K2686" s="1">
        <v>28871</v>
      </c>
      <c r="L2686" s="3">
        <f t="shared" si="124"/>
        <v>28871</v>
      </c>
      <c r="M2686" t="s">
        <v>67</v>
      </c>
      <c r="N2686" t="s">
        <v>67</v>
      </c>
      <c r="O2686" t="s">
        <v>613</v>
      </c>
      <c r="P2686">
        <v>1</v>
      </c>
      <c r="Q2686" t="s">
        <v>362</v>
      </c>
      <c r="R2686" t="s">
        <v>51</v>
      </c>
      <c r="S2686">
        <v>1919</v>
      </c>
      <c r="T2686">
        <v>1980</v>
      </c>
      <c r="U2686" s="1">
        <v>7239</v>
      </c>
      <c r="V2686" s="2">
        <v>7239</v>
      </c>
      <c r="W2686" s="1">
        <v>29429</v>
      </c>
      <c r="X2686" s="2">
        <v>29429</v>
      </c>
      <c r="Y2686" t="s">
        <v>11097</v>
      </c>
      <c r="Z2686">
        <v>1</v>
      </c>
      <c r="AA2686">
        <v>3</v>
      </c>
      <c r="AB2686">
        <v>2</v>
      </c>
      <c r="AC2686">
        <v>1</v>
      </c>
      <c r="AD2686" t="s">
        <v>11098</v>
      </c>
      <c r="AE2686">
        <v>1</v>
      </c>
      <c r="AF2686">
        <v>1953</v>
      </c>
      <c r="AG2686">
        <v>1979</v>
      </c>
      <c r="AH2686">
        <v>4.4526718718813196</v>
      </c>
      <c r="AI2686">
        <v>816.11111111111097</v>
      </c>
      <c r="AJ2686">
        <v>10.115639782619301</v>
      </c>
      <c r="AK2686">
        <v>153.12222222222201</v>
      </c>
      <c r="AL2686">
        <v>3.06331691735959</v>
      </c>
      <c r="AM2686">
        <v>28.5655871807935</v>
      </c>
      <c r="AN2686">
        <v>-9.85</v>
      </c>
      <c r="AO2686" t="b">
        <v>1</v>
      </c>
      <c r="AP2686" t="s">
        <v>4202</v>
      </c>
      <c r="AQ2686">
        <v>1916</v>
      </c>
      <c r="AR2686">
        <v>1970</v>
      </c>
      <c r="AS2686" t="s">
        <v>11107</v>
      </c>
      <c r="AT2686">
        <v>25.409993155373002</v>
      </c>
      <c r="AU2686">
        <f t="shared" si="125"/>
        <v>7.0000000000000007E-2</v>
      </c>
    </row>
    <row r="2687" spans="1:47" x14ac:dyDescent="0.3">
      <c r="A2687">
        <v>2685</v>
      </c>
      <c r="B2687" t="s">
        <v>11108</v>
      </c>
      <c r="C2687" t="s">
        <v>11109</v>
      </c>
      <c r="D2687">
        <v>630</v>
      </c>
      <c r="E2687" t="s">
        <v>11062</v>
      </c>
      <c r="F2687" t="str">
        <f>VLOOKUP(E2687,country_continent!A:C,2,FALSE)</f>
        <v>Iran</v>
      </c>
      <c r="G2687" t="str">
        <f>VLOOKUP(E2687,country_continent!A:C,3,FALSE)</f>
        <v>Asia</v>
      </c>
      <c r="H2687" t="s">
        <v>11110</v>
      </c>
      <c r="I2687" s="1">
        <v>28887</v>
      </c>
      <c r="J2687" s="3">
        <f t="shared" si="123"/>
        <v>28887</v>
      </c>
      <c r="K2687" s="1">
        <v>32662</v>
      </c>
      <c r="L2687" s="3">
        <f t="shared" si="124"/>
        <v>32662</v>
      </c>
      <c r="M2687" t="s">
        <v>67</v>
      </c>
      <c r="N2687" t="s">
        <v>110</v>
      </c>
      <c r="O2687" t="s">
        <v>49</v>
      </c>
      <c r="P2687">
        <v>0</v>
      </c>
      <c r="Q2687" t="s">
        <v>111</v>
      </c>
      <c r="R2687" t="s">
        <v>51</v>
      </c>
      <c r="S2687">
        <v>1902</v>
      </c>
      <c r="T2687">
        <v>1989</v>
      </c>
      <c r="U2687" s="1">
        <v>998</v>
      </c>
      <c r="V2687" s="2">
        <v>998</v>
      </c>
      <c r="W2687" s="1">
        <v>32662</v>
      </c>
      <c r="X2687" s="2">
        <v>32662</v>
      </c>
      <c r="Y2687" t="s">
        <v>11111</v>
      </c>
      <c r="Z2687">
        <v>1</v>
      </c>
      <c r="AA2687">
        <v>2</v>
      </c>
      <c r="AB2687">
        <v>0</v>
      </c>
      <c r="AC2687">
        <v>-777</v>
      </c>
      <c r="AF2687">
        <v>1979</v>
      </c>
      <c r="AG2687">
        <v>1989</v>
      </c>
      <c r="AH2687">
        <v>-5.5761717945563403</v>
      </c>
      <c r="AI2687">
        <v>2797.2727272727202</v>
      </c>
      <c r="AJ2687">
        <v>18.986723745869099</v>
      </c>
      <c r="AK2687">
        <v>84.372727272727204</v>
      </c>
      <c r="AL2687">
        <v>3.85026300523253</v>
      </c>
      <c r="AM2687">
        <v>19.214549861544999</v>
      </c>
      <c r="AN2687">
        <v>-6</v>
      </c>
      <c r="AO2687" t="b">
        <v>1</v>
      </c>
      <c r="AP2687" t="s">
        <v>4202</v>
      </c>
      <c r="AQ2687">
        <v>1916</v>
      </c>
      <c r="AR2687">
        <v>1970</v>
      </c>
      <c r="AS2687" t="s">
        <v>11112</v>
      </c>
      <c r="AT2687">
        <v>10.3353867214236</v>
      </c>
      <c r="AU2687">
        <f t="shared" si="125"/>
        <v>2.8000000000000001E-2</v>
      </c>
    </row>
    <row r="2688" spans="1:47" x14ac:dyDescent="0.3">
      <c r="A2688">
        <v>2686</v>
      </c>
      <c r="B2688" t="s">
        <v>11113</v>
      </c>
      <c r="C2688" t="s">
        <v>11114</v>
      </c>
      <c r="D2688">
        <v>630</v>
      </c>
      <c r="E2688" t="s">
        <v>11062</v>
      </c>
      <c r="F2688" t="str">
        <f>VLOOKUP(E2688,country_continent!A:C,2,FALSE)</f>
        <v>Iran</v>
      </c>
      <c r="G2688" t="str">
        <f>VLOOKUP(E2688,country_continent!A:C,3,FALSE)</f>
        <v>Asia</v>
      </c>
      <c r="H2688" t="s">
        <v>11115</v>
      </c>
      <c r="I2688" s="1">
        <v>32663</v>
      </c>
      <c r="J2688" s="3">
        <f t="shared" si="123"/>
        <v>32663</v>
      </c>
      <c r="K2688" s="1">
        <v>32723</v>
      </c>
      <c r="L2688" s="3">
        <f t="shared" si="124"/>
        <v>32723</v>
      </c>
      <c r="M2688" t="s">
        <v>49</v>
      </c>
      <c r="N2688" t="s">
        <v>49</v>
      </c>
      <c r="O2688" t="s">
        <v>49</v>
      </c>
      <c r="P2688">
        <v>0</v>
      </c>
      <c r="Q2688" t="s">
        <v>50</v>
      </c>
      <c r="R2688" t="s">
        <v>51</v>
      </c>
      <c r="S2688">
        <v>1939</v>
      </c>
      <c r="T2688">
        <v>-777</v>
      </c>
      <c r="U2688" s="1">
        <v>14441</v>
      </c>
      <c r="V2688" s="2">
        <v>14441</v>
      </c>
      <c r="Z2688">
        <v>0</v>
      </c>
      <c r="AA2688">
        <v>1</v>
      </c>
      <c r="AB2688">
        <v>0</v>
      </c>
      <c r="AC2688">
        <v>0</v>
      </c>
      <c r="AF2688">
        <v>1989</v>
      </c>
      <c r="AG2688">
        <v>1989</v>
      </c>
      <c r="AH2688">
        <v>3.0771606542238001</v>
      </c>
      <c r="AI2688">
        <v>2440</v>
      </c>
      <c r="AJ2688">
        <v>17.160007882480102</v>
      </c>
      <c r="AK2688">
        <v>60.7</v>
      </c>
      <c r="AL2688">
        <v>2.9206852010239199</v>
      </c>
      <c r="AM2688">
        <v>18.395217188224802</v>
      </c>
      <c r="AN2688">
        <v>-6</v>
      </c>
      <c r="AO2688" t="b">
        <v>1</v>
      </c>
      <c r="AP2688" t="s">
        <v>4202</v>
      </c>
      <c r="AQ2688">
        <v>1916</v>
      </c>
      <c r="AR2688">
        <v>1970</v>
      </c>
      <c r="AS2688" t="s">
        <v>11116</v>
      </c>
      <c r="AT2688">
        <v>0.16427104722792599</v>
      </c>
      <c r="AU2688">
        <f t="shared" si="125"/>
        <v>0</v>
      </c>
    </row>
    <row r="2689" spans="1:47" x14ac:dyDescent="0.3">
      <c r="A2689">
        <v>2687</v>
      </c>
      <c r="B2689" t="s">
        <v>11117</v>
      </c>
      <c r="C2689" t="s">
        <v>11118</v>
      </c>
      <c r="D2689">
        <v>630</v>
      </c>
      <c r="E2689" t="s">
        <v>11062</v>
      </c>
      <c r="F2689" t="str">
        <f>VLOOKUP(E2689,country_continent!A:C,2,FALSE)</f>
        <v>Iran</v>
      </c>
      <c r="G2689" t="str">
        <f>VLOOKUP(E2689,country_continent!A:C,3,FALSE)</f>
        <v>Asia</v>
      </c>
      <c r="H2689" t="s">
        <v>11119</v>
      </c>
      <c r="I2689" s="1">
        <v>32737</v>
      </c>
      <c r="J2689" s="3">
        <f t="shared" si="123"/>
        <v>32737</v>
      </c>
      <c r="K2689" s="1">
        <v>35645</v>
      </c>
      <c r="L2689" s="3">
        <f t="shared" si="124"/>
        <v>35645</v>
      </c>
      <c r="M2689" t="s">
        <v>49</v>
      </c>
      <c r="N2689" t="s">
        <v>49</v>
      </c>
      <c r="O2689" t="s">
        <v>49</v>
      </c>
      <c r="P2689">
        <v>0</v>
      </c>
      <c r="Q2689" t="s">
        <v>50</v>
      </c>
      <c r="R2689" t="s">
        <v>51</v>
      </c>
      <c r="S2689">
        <v>1943</v>
      </c>
      <c r="T2689">
        <v>-777</v>
      </c>
      <c r="U2689" s="1">
        <v>15978</v>
      </c>
      <c r="V2689" s="2">
        <v>15978</v>
      </c>
      <c r="Z2689">
        <v>0</v>
      </c>
      <c r="AA2689">
        <v>1</v>
      </c>
      <c r="AB2689">
        <v>0</v>
      </c>
      <c r="AC2689">
        <v>0</v>
      </c>
      <c r="AF2689">
        <v>1989</v>
      </c>
      <c r="AG2689">
        <v>1997</v>
      </c>
      <c r="AH2689">
        <v>3.0335051344601802</v>
      </c>
      <c r="AI2689">
        <v>1907.7777777777701</v>
      </c>
      <c r="AJ2689">
        <v>29.0048198666973</v>
      </c>
      <c r="AK2689">
        <v>50.577777777777698</v>
      </c>
      <c r="AL2689">
        <v>1.6064721508025199</v>
      </c>
      <c r="AM2689">
        <v>22.935858125499099</v>
      </c>
      <c r="AN2689">
        <v>-5</v>
      </c>
      <c r="AO2689" t="b">
        <v>1</v>
      </c>
      <c r="AP2689" t="s">
        <v>4202</v>
      </c>
      <c r="AQ2689">
        <v>1916</v>
      </c>
      <c r="AR2689">
        <v>1970</v>
      </c>
      <c r="AS2689" t="s">
        <v>11120</v>
      </c>
      <c r="AT2689">
        <v>7.9616700889801502</v>
      </c>
      <c r="AU2689">
        <f t="shared" si="125"/>
        <v>2.1999999999999999E-2</v>
      </c>
    </row>
    <row r="2690" spans="1:47" x14ac:dyDescent="0.3">
      <c r="A2690">
        <v>2688</v>
      </c>
      <c r="B2690" t="s">
        <v>11121</v>
      </c>
      <c r="C2690" t="s">
        <v>11122</v>
      </c>
      <c r="D2690">
        <v>630</v>
      </c>
      <c r="E2690" t="s">
        <v>11062</v>
      </c>
      <c r="F2690" t="str">
        <f>VLOOKUP(E2690,country_continent!A:C,2,FALSE)</f>
        <v>Iran</v>
      </c>
      <c r="G2690" t="str">
        <f>VLOOKUP(E2690,country_continent!A:C,3,FALSE)</f>
        <v>Asia</v>
      </c>
      <c r="H2690" t="s">
        <v>11123</v>
      </c>
      <c r="I2690" s="1">
        <v>35645</v>
      </c>
      <c r="J2690" s="3">
        <f t="shared" si="123"/>
        <v>35645</v>
      </c>
      <c r="K2690" s="1">
        <v>38567</v>
      </c>
      <c r="L2690" s="3">
        <f t="shared" si="124"/>
        <v>38567</v>
      </c>
      <c r="M2690" t="s">
        <v>49</v>
      </c>
      <c r="N2690" t="s">
        <v>49</v>
      </c>
      <c r="O2690" t="s">
        <v>49</v>
      </c>
      <c r="P2690">
        <v>0</v>
      </c>
      <c r="Q2690" t="s">
        <v>50</v>
      </c>
      <c r="R2690" t="s">
        <v>51</v>
      </c>
      <c r="S2690">
        <v>1946</v>
      </c>
      <c r="T2690">
        <v>-777</v>
      </c>
      <c r="U2690" s="1">
        <v>16835</v>
      </c>
      <c r="V2690" s="2">
        <v>16835</v>
      </c>
      <c r="Z2690">
        <v>0</v>
      </c>
      <c r="AA2690">
        <v>1</v>
      </c>
      <c r="AB2690">
        <v>0</v>
      </c>
      <c r="AC2690">
        <v>0</v>
      </c>
      <c r="AF2690">
        <v>1997</v>
      </c>
      <c r="AG2690">
        <v>2005</v>
      </c>
      <c r="AH2690">
        <v>2.68886012261355</v>
      </c>
      <c r="AI2690">
        <v>2020</v>
      </c>
      <c r="AJ2690">
        <v>20.293628108006001</v>
      </c>
      <c r="AK2690">
        <v>34.255555555555503</v>
      </c>
      <c r="AL2690">
        <v>1.4781320503237501</v>
      </c>
      <c r="AM2690">
        <v>24.191734528883899</v>
      </c>
      <c r="AN2690">
        <v>0.89</v>
      </c>
      <c r="AO2690" t="b">
        <v>1</v>
      </c>
      <c r="AP2690" t="s">
        <v>4202</v>
      </c>
      <c r="AQ2690">
        <v>1916</v>
      </c>
      <c r="AR2690">
        <v>1970</v>
      </c>
      <c r="AS2690" t="s">
        <v>11124</v>
      </c>
      <c r="AT2690">
        <v>8</v>
      </c>
      <c r="AU2690">
        <f t="shared" si="125"/>
        <v>2.1999999999999999E-2</v>
      </c>
    </row>
    <row r="2691" spans="1:47" x14ac:dyDescent="0.3">
      <c r="A2691">
        <v>2689</v>
      </c>
      <c r="B2691" t="s">
        <v>11125</v>
      </c>
      <c r="C2691" t="s">
        <v>11126</v>
      </c>
      <c r="D2691">
        <v>630</v>
      </c>
      <c r="E2691" t="s">
        <v>11062</v>
      </c>
      <c r="F2691" t="str">
        <f>VLOOKUP(E2691,country_continent!A:C,2,FALSE)</f>
        <v>Iran</v>
      </c>
      <c r="G2691" t="str">
        <f>VLOOKUP(E2691,country_continent!A:C,3,FALSE)</f>
        <v>Asia</v>
      </c>
      <c r="H2691" t="s">
        <v>11127</v>
      </c>
      <c r="I2691" s="1">
        <v>38567</v>
      </c>
      <c r="J2691" s="3">
        <f t="shared" ref="J2691:J2754" si="126">IF(ISNUMBER(SEARCH("-", I2691)), SUBSTITUTE(I2691, "-", "/"), I2691)</f>
        <v>38567</v>
      </c>
      <c r="K2691" s="1">
        <v>41489</v>
      </c>
      <c r="L2691" s="3">
        <f t="shared" ref="L2691:L2754" si="127">IF(ISNUMBER(SEARCH("-", K2691)), SUBSTITUTE(K2691, "-", "/"), K2691)</f>
        <v>41489</v>
      </c>
      <c r="M2691" t="s">
        <v>49</v>
      </c>
      <c r="N2691" t="s">
        <v>49</v>
      </c>
      <c r="O2691" t="s">
        <v>49</v>
      </c>
      <c r="P2691">
        <v>0</v>
      </c>
      <c r="Q2691" t="s">
        <v>50</v>
      </c>
      <c r="R2691" t="s">
        <v>51</v>
      </c>
      <c r="S2691">
        <v>1956</v>
      </c>
      <c r="T2691">
        <v>-777</v>
      </c>
      <c r="U2691" s="1">
        <v>20756</v>
      </c>
      <c r="V2691" s="2">
        <v>20756</v>
      </c>
      <c r="Z2691">
        <v>0</v>
      </c>
      <c r="AA2691">
        <v>1</v>
      </c>
      <c r="AB2691">
        <v>0</v>
      </c>
      <c r="AC2691">
        <v>0</v>
      </c>
      <c r="AF2691">
        <v>2005</v>
      </c>
      <c r="AG2691">
        <v>2013</v>
      </c>
      <c r="AH2691">
        <v>0.77982938320673401</v>
      </c>
      <c r="AI2691">
        <v>5261.1111111111104</v>
      </c>
      <c r="AJ2691">
        <v>20.747779881446601</v>
      </c>
      <c r="AK2691">
        <v>20.955555555555499</v>
      </c>
      <c r="AL2691">
        <v>1.50051788389019</v>
      </c>
      <c r="AM2691">
        <v>27.420291630487799</v>
      </c>
      <c r="AN2691">
        <v>-6.56</v>
      </c>
      <c r="AO2691" t="b">
        <v>1</v>
      </c>
      <c r="AP2691" t="s">
        <v>4202</v>
      </c>
      <c r="AQ2691">
        <v>1916</v>
      </c>
      <c r="AR2691">
        <v>1970</v>
      </c>
      <c r="AS2691" t="s">
        <v>11124</v>
      </c>
      <c r="AT2691">
        <v>8</v>
      </c>
      <c r="AU2691">
        <f t="shared" si="125"/>
        <v>2.1999999999999999E-2</v>
      </c>
    </row>
    <row r="2692" spans="1:47" x14ac:dyDescent="0.3">
      <c r="A2692">
        <v>2690</v>
      </c>
      <c r="B2692" t="s">
        <v>11128</v>
      </c>
      <c r="C2692" t="s">
        <v>11129</v>
      </c>
      <c r="D2692">
        <v>630</v>
      </c>
      <c r="E2692" t="s">
        <v>11062</v>
      </c>
      <c r="F2692" t="str">
        <f>VLOOKUP(E2692,country_continent!A:C,2,FALSE)</f>
        <v>Iran</v>
      </c>
      <c r="G2692" t="str">
        <f>VLOOKUP(E2692,country_continent!A:C,3,FALSE)</f>
        <v>Asia</v>
      </c>
      <c r="H2692" t="s">
        <v>11130</v>
      </c>
      <c r="I2692" s="1">
        <v>41489</v>
      </c>
      <c r="J2692" s="3">
        <f t="shared" si="126"/>
        <v>41489</v>
      </c>
      <c r="K2692" s="1">
        <v>42369</v>
      </c>
      <c r="L2692" s="3">
        <f t="shared" si="127"/>
        <v>42369</v>
      </c>
      <c r="M2692" t="s">
        <v>49</v>
      </c>
      <c r="N2692" t="s">
        <v>173</v>
      </c>
      <c r="O2692" t="s">
        <v>173</v>
      </c>
      <c r="P2692">
        <v>0</v>
      </c>
      <c r="Q2692" t="s">
        <v>174</v>
      </c>
      <c r="R2692" t="s">
        <v>51</v>
      </c>
      <c r="S2692">
        <v>1948</v>
      </c>
      <c r="T2692">
        <v>-777</v>
      </c>
      <c r="U2692" s="1">
        <v>17849</v>
      </c>
      <c r="V2692" s="2">
        <v>17849</v>
      </c>
      <c r="Z2692">
        <v>0</v>
      </c>
      <c r="AA2692">
        <v>-888</v>
      </c>
      <c r="AB2692">
        <v>-888</v>
      </c>
      <c r="AC2692">
        <v>-888</v>
      </c>
      <c r="AF2692">
        <v>2013</v>
      </c>
      <c r="AG2692">
        <v>2015</v>
      </c>
      <c r="AH2692">
        <v>-0.65816027761354601</v>
      </c>
      <c r="AI2692">
        <v>6446.6666666666597</v>
      </c>
      <c r="AJ2692">
        <v>15.577134099169299</v>
      </c>
      <c r="AK2692">
        <v>16.133333333333301</v>
      </c>
      <c r="AL2692">
        <v>1.33720964048668</v>
      </c>
      <c r="AM2692">
        <v>21.679273215633501</v>
      </c>
      <c r="AN2692">
        <v>-7</v>
      </c>
      <c r="AO2692" t="b">
        <v>1</v>
      </c>
      <c r="AP2692" t="s">
        <v>4202</v>
      </c>
      <c r="AQ2692">
        <v>1916</v>
      </c>
      <c r="AR2692">
        <v>1970</v>
      </c>
      <c r="AS2692" t="s">
        <v>11131</v>
      </c>
      <c r="AT2692">
        <v>2.4093086926762401</v>
      </c>
      <c r="AU2692">
        <f t="shared" ref="AU2692:AU2755" si="128">ROUND(AT2692/365,3)</f>
        <v>7.0000000000000001E-3</v>
      </c>
    </row>
    <row r="2693" spans="1:47" x14ac:dyDescent="0.3">
      <c r="A2693">
        <v>2691</v>
      </c>
      <c r="B2693" t="s">
        <v>11132</v>
      </c>
      <c r="C2693" t="s">
        <v>11133</v>
      </c>
      <c r="D2693">
        <v>640</v>
      </c>
      <c r="E2693" t="s">
        <v>11134</v>
      </c>
      <c r="F2693" t="str">
        <f>VLOOKUP(E2693,country_continent!A:C,2,FALSE)</f>
        <v>Turkey</v>
      </c>
      <c r="G2693" t="str">
        <f>VLOOKUP(E2693,country_continent!A:C,3,FALSE)</f>
        <v>Asia</v>
      </c>
      <c r="H2693" t="s">
        <v>11135</v>
      </c>
      <c r="I2693" t="s">
        <v>11136</v>
      </c>
      <c r="J2693" s="3" t="str">
        <f t="shared" si="126"/>
        <v>1861/06/25</v>
      </c>
      <c r="K2693" t="s">
        <v>11137</v>
      </c>
      <c r="L2693" s="3" t="str">
        <f t="shared" si="127"/>
        <v>1876/05/30</v>
      </c>
      <c r="M2693" t="s">
        <v>49</v>
      </c>
      <c r="N2693" t="s">
        <v>67</v>
      </c>
      <c r="O2693" t="s">
        <v>347</v>
      </c>
      <c r="P2693">
        <v>0</v>
      </c>
      <c r="Q2693" t="s">
        <v>69</v>
      </c>
      <c r="R2693" t="s">
        <v>51</v>
      </c>
      <c r="S2693">
        <v>1830</v>
      </c>
      <c r="T2693">
        <v>1876</v>
      </c>
      <c r="W2693" t="s">
        <v>11138</v>
      </c>
      <c r="X2693" t="s">
        <v>11139</v>
      </c>
      <c r="Z2693">
        <v>0</v>
      </c>
      <c r="AA2693">
        <v>3</v>
      </c>
      <c r="AB2693">
        <v>-999</v>
      </c>
      <c r="AC2693">
        <v>3</v>
      </c>
      <c r="AF2693">
        <v>1861</v>
      </c>
      <c r="AG2693">
        <v>1876</v>
      </c>
      <c r="AO2693" t="b">
        <v>1</v>
      </c>
      <c r="AP2693" t="s">
        <v>4202</v>
      </c>
      <c r="AQ2693">
        <v>1878</v>
      </c>
      <c r="AR2693">
        <v>1959</v>
      </c>
      <c r="AS2693" t="s">
        <v>11140</v>
      </c>
      <c r="AT2693">
        <v>14.9295003422313</v>
      </c>
      <c r="AU2693">
        <f t="shared" si="128"/>
        <v>4.1000000000000002E-2</v>
      </c>
    </row>
    <row r="2694" spans="1:47" x14ac:dyDescent="0.3">
      <c r="A2694">
        <v>2692</v>
      </c>
      <c r="B2694" t="s">
        <v>11141</v>
      </c>
      <c r="C2694" t="s">
        <v>11142</v>
      </c>
      <c r="D2694">
        <v>640</v>
      </c>
      <c r="E2694" t="s">
        <v>11134</v>
      </c>
      <c r="F2694" t="str">
        <f>VLOOKUP(E2694,country_continent!A:C,2,FALSE)</f>
        <v>Turkey</v>
      </c>
      <c r="G2694" t="str">
        <f>VLOOKUP(E2694,country_continent!A:C,3,FALSE)</f>
        <v>Asia</v>
      </c>
      <c r="H2694" t="s">
        <v>11143</v>
      </c>
      <c r="I2694" t="s">
        <v>11137</v>
      </c>
      <c r="J2694" s="3" t="str">
        <f t="shared" si="126"/>
        <v>1876/05/30</v>
      </c>
      <c r="K2694" t="s">
        <v>11144</v>
      </c>
      <c r="L2694" s="3" t="str">
        <f t="shared" si="127"/>
        <v>1876/08/30</v>
      </c>
      <c r="M2694" t="s">
        <v>67</v>
      </c>
      <c r="N2694" t="s">
        <v>49</v>
      </c>
      <c r="O2694" t="s">
        <v>49</v>
      </c>
      <c r="P2694">
        <v>0</v>
      </c>
      <c r="Q2694" t="s">
        <v>463</v>
      </c>
      <c r="R2694" t="s">
        <v>51</v>
      </c>
      <c r="S2694">
        <v>1840</v>
      </c>
      <c r="T2694">
        <v>1904</v>
      </c>
      <c r="Z2694">
        <v>1</v>
      </c>
      <c r="AA2694">
        <v>1</v>
      </c>
      <c r="AB2694">
        <v>0</v>
      </c>
      <c r="AC2694">
        <v>2</v>
      </c>
      <c r="AF2694">
        <v>1876</v>
      </c>
      <c r="AG2694">
        <v>1876</v>
      </c>
      <c r="AO2694" t="b">
        <v>1</v>
      </c>
      <c r="AP2694" t="s">
        <v>4202</v>
      </c>
      <c r="AQ2694">
        <v>1878</v>
      </c>
      <c r="AR2694">
        <v>1959</v>
      </c>
      <c r="AS2694" t="s">
        <v>11145</v>
      </c>
      <c r="AT2694">
        <v>0.25188227241615302</v>
      </c>
      <c r="AU2694">
        <f t="shared" si="128"/>
        <v>1E-3</v>
      </c>
    </row>
    <row r="2695" spans="1:47" x14ac:dyDescent="0.3">
      <c r="A2695">
        <v>2693</v>
      </c>
      <c r="B2695" t="s">
        <v>11146</v>
      </c>
      <c r="C2695" t="s">
        <v>11147</v>
      </c>
      <c r="D2695">
        <v>640</v>
      </c>
      <c r="E2695" t="s">
        <v>11134</v>
      </c>
      <c r="F2695" t="str">
        <f>VLOOKUP(E2695,country_continent!A:C,2,FALSE)</f>
        <v>Turkey</v>
      </c>
      <c r="G2695" t="str">
        <f>VLOOKUP(E2695,country_continent!A:C,3,FALSE)</f>
        <v>Asia</v>
      </c>
      <c r="H2695" t="s">
        <v>11148</v>
      </c>
      <c r="I2695" t="s">
        <v>11144</v>
      </c>
      <c r="J2695" s="3" t="str">
        <f t="shared" si="126"/>
        <v>1876/08/30</v>
      </c>
      <c r="K2695" s="1">
        <v>3405</v>
      </c>
      <c r="L2695" s="3">
        <f t="shared" si="127"/>
        <v>3405</v>
      </c>
      <c r="M2695" t="s">
        <v>49</v>
      </c>
      <c r="N2695" t="s">
        <v>67</v>
      </c>
      <c r="O2695" t="s">
        <v>347</v>
      </c>
      <c r="P2695">
        <v>0</v>
      </c>
      <c r="Q2695" t="s">
        <v>463</v>
      </c>
      <c r="R2695" t="s">
        <v>51</v>
      </c>
      <c r="S2695">
        <v>1842</v>
      </c>
      <c r="T2695">
        <v>1918</v>
      </c>
      <c r="U2695" t="s">
        <v>11149</v>
      </c>
      <c r="V2695" t="s">
        <v>11150</v>
      </c>
      <c r="Z2695">
        <v>0</v>
      </c>
      <c r="AA2695">
        <v>3</v>
      </c>
      <c r="AB2695">
        <v>-999</v>
      </c>
      <c r="AC2695">
        <v>2</v>
      </c>
      <c r="AF2695">
        <v>1876</v>
      </c>
      <c r="AG2695">
        <v>1909</v>
      </c>
      <c r="AO2695" t="b">
        <v>1</v>
      </c>
      <c r="AP2695" t="s">
        <v>4202</v>
      </c>
      <c r="AQ2695">
        <v>1878</v>
      </c>
      <c r="AR2695">
        <v>1959</v>
      </c>
      <c r="AS2695" t="s">
        <v>11151</v>
      </c>
      <c r="AT2695">
        <v>32.654346338124498</v>
      </c>
      <c r="AU2695">
        <f t="shared" si="128"/>
        <v>8.8999999999999996E-2</v>
      </c>
    </row>
    <row r="2696" spans="1:47" x14ac:dyDescent="0.3">
      <c r="A2696">
        <v>2694</v>
      </c>
      <c r="B2696" t="s">
        <v>11152</v>
      </c>
      <c r="C2696" t="s">
        <v>11153</v>
      </c>
      <c r="D2696">
        <v>640</v>
      </c>
      <c r="E2696" t="s">
        <v>11134</v>
      </c>
      <c r="F2696" t="str">
        <f>VLOOKUP(E2696,country_continent!A:C,2,FALSE)</f>
        <v>Turkey</v>
      </c>
      <c r="G2696" t="str">
        <f>VLOOKUP(E2696,country_continent!A:C,3,FALSE)</f>
        <v>Asia</v>
      </c>
      <c r="H2696" t="s">
        <v>11154</v>
      </c>
      <c r="I2696" s="1">
        <v>3405</v>
      </c>
      <c r="J2696" s="3">
        <f t="shared" si="126"/>
        <v>3405</v>
      </c>
      <c r="K2696" s="1">
        <v>4772</v>
      </c>
      <c r="L2696" s="3">
        <f t="shared" si="127"/>
        <v>4772</v>
      </c>
      <c r="M2696" t="s">
        <v>67</v>
      </c>
      <c r="N2696" t="s">
        <v>67</v>
      </c>
      <c r="O2696" t="s">
        <v>347</v>
      </c>
      <c r="P2696">
        <v>0</v>
      </c>
      <c r="Q2696" t="s">
        <v>69</v>
      </c>
      <c r="R2696" t="s">
        <v>51</v>
      </c>
      <c r="S2696">
        <v>1844</v>
      </c>
      <c r="T2696">
        <v>1913</v>
      </c>
      <c r="U2696" t="s">
        <v>11155</v>
      </c>
      <c r="V2696" t="s">
        <v>11156</v>
      </c>
      <c r="W2696" s="1">
        <v>4911</v>
      </c>
      <c r="X2696" s="2">
        <v>4911</v>
      </c>
      <c r="Z2696">
        <v>1</v>
      </c>
      <c r="AA2696">
        <v>3</v>
      </c>
      <c r="AB2696">
        <v>-999</v>
      </c>
      <c r="AC2696">
        <v>3</v>
      </c>
      <c r="AF2696">
        <v>1909</v>
      </c>
      <c r="AG2696">
        <v>1913</v>
      </c>
      <c r="AO2696" t="b">
        <v>1</v>
      </c>
      <c r="AP2696" t="s">
        <v>4202</v>
      </c>
      <c r="AQ2696">
        <v>1878</v>
      </c>
      <c r="AR2696">
        <v>1959</v>
      </c>
      <c r="AS2696" t="s">
        <v>11157</v>
      </c>
      <c r="AT2696">
        <v>3.7426420260095798</v>
      </c>
      <c r="AU2696">
        <f t="shared" si="128"/>
        <v>0.01</v>
      </c>
    </row>
    <row r="2697" spans="1:47" x14ac:dyDescent="0.3">
      <c r="A2697">
        <v>2695</v>
      </c>
      <c r="B2697" t="s">
        <v>11158</v>
      </c>
      <c r="C2697" t="s">
        <v>11159</v>
      </c>
      <c r="D2697">
        <v>640</v>
      </c>
      <c r="E2697" t="s">
        <v>11134</v>
      </c>
      <c r="F2697" t="str">
        <f>VLOOKUP(E2697,country_continent!A:C,2,FALSE)</f>
        <v>Turkey</v>
      </c>
      <c r="G2697" t="str">
        <f>VLOOKUP(E2697,country_continent!A:C,3,FALSE)</f>
        <v>Asia</v>
      </c>
      <c r="H2697" t="s">
        <v>11160</v>
      </c>
      <c r="I2697" s="1">
        <v>4772</v>
      </c>
      <c r="J2697" s="3">
        <f t="shared" si="126"/>
        <v>4772</v>
      </c>
      <c r="K2697" s="1">
        <v>6856</v>
      </c>
      <c r="L2697" s="3">
        <f t="shared" si="127"/>
        <v>6856</v>
      </c>
      <c r="M2697" t="s">
        <v>67</v>
      </c>
      <c r="N2697" t="s">
        <v>67</v>
      </c>
      <c r="O2697" t="s">
        <v>347</v>
      </c>
      <c r="P2697">
        <v>0</v>
      </c>
      <c r="Q2697" t="s">
        <v>362</v>
      </c>
      <c r="R2697" t="s">
        <v>51</v>
      </c>
      <c r="S2697">
        <v>1881</v>
      </c>
      <c r="T2697">
        <v>1922</v>
      </c>
      <c r="U2697" t="s">
        <v>11161</v>
      </c>
      <c r="V2697" t="s">
        <v>11162</v>
      </c>
      <c r="W2697" s="1">
        <v>8252</v>
      </c>
      <c r="X2697" s="2">
        <v>8252</v>
      </c>
      <c r="Z2697">
        <v>1</v>
      </c>
      <c r="AA2697">
        <v>3</v>
      </c>
      <c r="AB2697">
        <v>-999</v>
      </c>
      <c r="AC2697">
        <v>1</v>
      </c>
      <c r="AF2697">
        <v>1913</v>
      </c>
      <c r="AG2697">
        <v>1918</v>
      </c>
      <c r="AO2697" t="b">
        <v>1</v>
      </c>
      <c r="AP2697" t="s">
        <v>4202</v>
      </c>
      <c r="AQ2697">
        <v>1878</v>
      </c>
      <c r="AR2697">
        <v>1959</v>
      </c>
      <c r="AS2697" t="s">
        <v>11163</v>
      </c>
      <c r="AT2697">
        <v>5.7056810403832898</v>
      </c>
      <c r="AU2697">
        <f t="shared" si="128"/>
        <v>1.6E-2</v>
      </c>
    </row>
    <row r="2698" spans="1:47" x14ac:dyDescent="0.3">
      <c r="A2698">
        <v>2696</v>
      </c>
      <c r="B2698" t="s">
        <v>11164</v>
      </c>
      <c r="C2698" t="s">
        <v>11165</v>
      </c>
      <c r="D2698">
        <v>640</v>
      </c>
      <c r="E2698" t="s">
        <v>11134</v>
      </c>
      <c r="F2698" t="str">
        <f>VLOOKUP(E2698,country_continent!A:C,2,FALSE)</f>
        <v>Turkey</v>
      </c>
      <c r="G2698" t="str">
        <f>VLOOKUP(E2698,country_continent!A:C,3,FALSE)</f>
        <v>Asia</v>
      </c>
      <c r="H2698" t="s">
        <v>11166</v>
      </c>
      <c r="I2698" s="1">
        <v>6856</v>
      </c>
      <c r="J2698" s="3">
        <f t="shared" si="126"/>
        <v>6856</v>
      </c>
      <c r="K2698" s="1">
        <v>8341</v>
      </c>
      <c r="L2698" s="3">
        <f t="shared" si="127"/>
        <v>8341</v>
      </c>
      <c r="M2698" t="s">
        <v>67</v>
      </c>
      <c r="N2698" t="s">
        <v>67</v>
      </c>
      <c r="O2698" t="s">
        <v>2001</v>
      </c>
      <c r="P2698">
        <v>0</v>
      </c>
      <c r="Q2698" t="s">
        <v>362</v>
      </c>
      <c r="R2698" t="s">
        <v>51</v>
      </c>
      <c r="S2698">
        <v>1861</v>
      </c>
      <c r="T2698">
        <v>1926</v>
      </c>
      <c r="U2698" t="s">
        <v>11167</v>
      </c>
      <c r="V2698" t="s">
        <v>11168</v>
      </c>
      <c r="Y2698" t="s">
        <v>11169</v>
      </c>
      <c r="Z2698">
        <v>1</v>
      </c>
      <c r="AA2698">
        <v>3</v>
      </c>
      <c r="AB2698">
        <v>8</v>
      </c>
      <c r="AC2698">
        <v>1</v>
      </c>
      <c r="AF2698">
        <v>1918</v>
      </c>
      <c r="AG2698">
        <v>1922</v>
      </c>
      <c r="AO2698" t="b">
        <v>1</v>
      </c>
      <c r="AP2698" t="s">
        <v>4202</v>
      </c>
      <c r="AQ2698">
        <v>1878</v>
      </c>
      <c r="AR2698">
        <v>1959</v>
      </c>
      <c r="AS2698" t="s">
        <v>11170</v>
      </c>
      <c r="AT2698">
        <v>4.0657084188911696</v>
      </c>
      <c r="AU2698">
        <f t="shared" si="128"/>
        <v>1.0999999999999999E-2</v>
      </c>
    </row>
    <row r="2699" spans="1:47" x14ac:dyDescent="0.3">
      <c r="A2699">
        <v>2697</v>
      </c>
      <c r="B2699" t="s">
        <v>11171</v>
      </c>
      <c r="C2699" t="s">
        <v>11172</v>
      </c>
      <c r="D2699">
        <v>640</v>
      </c>
      <c r="E2699" t="s">
        <v>11134</v>
      </c>
      <c r="F2699" t="str">
        <f>VLOOKUP(E2699,country_continent!A:C,2,FALSE)</f>
        <v>Turkey</v>
      </c>
      <c r="G2699" t="str">
        <f>VLOOKUP(E2699,country_continent!A:C,3,FALSE)</f>
        <v>Asia</v>
      </c>
      <c r="H2699" t="s">
        <v>11173</v>
      </c>
      <c r="I2699" s="1">
        <v>8341</v>
      </c>
      <c r="J2699" s="3">
        <f t="shared" si="126"/>
        <v>8341</v>
      </c>
      <c r="K2699" s="1">
        <v>14194</v>
      </c>
      <c r="L2699" s="3">
        <f t="shared" si="127"/>
        <v>14194</v>
      </c>
      <c r="M2699" t="s">
        <v>67</v>
      </c>
      <c r="N2699" t="s">
        <v>110</v>
      </c>
      <c r="O2699" t="s">
        <v>49</v>
      </c>
      <c r="P2699">
        <v>0</v>
      </c>
      <c r="Q2699" t="s">
        <v>111</v>
      </c>
      <c r="R2699" t="s">
        <v>51</v>
      </c>
      <c r="S2699">
        <v>1881</v>
      </c>
      <c r="T2699">
        <v>1938</v>
      </c>
      <c r="W2699" s="1">
        <v>14194</v>
      </c>
      <c r="X2699" s="2">
        <v>14194</v>
      </c>
      <c r="Y2699" t="s">
        <v>11174</v>
      </c>
      <c r="Z2699">
        <v>1</v>
      </c>
      <c r="AA2699">
        <v>2</v>
      </c>
      <c r="AB2699">
        <v>0</v>
      </c>
      <c r="AC2699">
        <v>-777</v>
      </c>
      <c r="AF2699">
        <v>1922</v>
      </c>
      <c r="AG2699">
        <v>1938</v>
      </c>
      <c r="AO2699" t="b">
        <v>1</v>
      </c>
      <c r="AP2699" t="s">
        <v>4202</v>
      </c>
      <c r="AQ2699">
        <v>1878</v>
      </c>
      <c r="AR2699">
        <v>1959</v>
      </c>
      <c r="AS2699" t="s">
        <v>11175</v>
      </c>
      <c r="AT2699">
        <v>16.024640657084099</v>
      </c>
      <c r="AU2699">
        <f t="shared" si="128"/>
        <v>4.3999999999999997E-2</v>
      </c>
    </row>
    <row r="2700" spans="1:47" x14ac:dyDescent="0.3">
      <c r="A2700">
        <v>2698</v>
      </c>
      <c r="B2700" t="s">
        <v>11176</v>
      </c>
      <c r="C2700" t="s">
        <v>11177</v>
      </c>
      <c r="D2700">
        <v>640</v>
      </c>
      <c r="E2700" t="s">
        <v>11134</v>
      </c>
      <c r="F2700" t="str">
        <f>VLOOKUP(E2700,country_continent!A:C,2,FALSE)</f>
        <v>Turkey</v>
      </c>
      <c r="G2700" t="str">
        <f>VLOOKUP(E2700,country_continent!A:C,3,FALSE)</f>
        <v>Asia</v>
      </c>
      <c r="H2700" t="s">
        <v>11178</v>
      </c>
      <c r="I2700" s="1">
        <v>14195</v>
      </c>
      <c r="J2700" s="3">
        <f t="shared" si="126"/>
        <v>14195</v>
      </c>
      <c r="K2700" s="1">
        <v>18405</v>
      </c>
      <c r="L2700" s="3">
        <f t="shared" si="127"/>
        <v>18405</v>
      </c>
      <c r="M2700" t="s">
        <v>49</v>
      </c>
      <c r="N2700" t="s">
        <v>49</v>
      </c>
      <c r="O2700" t="s">
        <v>49</v>
      </c>
      <c r="P2700">
        <v>0</v>
      </c>
      <c r="Q2700" t="s">
        <v>50</v>
      </c>
      <c r="R2700" t="s">
        <v>51</v>
      </c>
      <c r="S2700">
        <v>1884</v>
      </c>
      <c r="T2700">
        <v>1973</v>
      </c>
      <c r="U2700" t="s">
        <v>11179</v>
      </c>
      <c r="V2700" t="s">
        <v>11180</v>
      </c>
      <c r="W2700" s="1">
        <v>27023</v>
      </c>
      <c r="X2700" s="2">
        <v>27023</v>
      </c>
      <c r="Z2700">
        <v>0</v>
      </c>
      <c r="AA2700">
        <v>1</v>
      </c>
      <c r="AB2700">
        <v>0</v>
      </c>
      <c r="AC2700">
        <v>0</v>
      </c>
      <c r="AD2700" t="s">
        <v>11181</v>
      </c>
      <c r="AE2700">
        <v>0</v>
      </c>
      <c r="AF2700">
        <v>1938</v>
      </c>
      <c r="AG2700">
        <v>1950</v>
      </c>
      <c r="AN2700">
        <v>7</v>
      </c>
      <c r="AO2700" t="b">
        <v>1</v>
      </c>
      <c r="AP2700" t="s">
        <v>4202</v>
      </c>
      <c r="AQ2700">
        <v>1878</v>
      </c>
      <c r="AR2700">
        <v>1959</v>
      </c>
      <c r="AS2700" t="s">
        <v>11182</v>
      </c>
      <c r="AT2700">
        <v>11.5263518138261</v>
      </c>
      <c r="AU2700">
        <f t="shared" si="128"/>
        <v>3.2000000000000001E-2</v>
      </c>
    </row>
    <row r="2701" spans="1:47" x14ac:dyDescent="0.3">
      <c r="A2701">
        <v>2699</v>
      </c>
      <c r="B2701" t="s">
        <v>11183</v>
      </c>
      <c r="C2701" t="s">
        <v>11184</v>
      </c>
      <c r="D2701">
        <v>640</v>
      </c>
      <c r="E2701" t="s">
        <v>11134</v>
      </c>
      <c r="F2701" t="str">
        <f>VLOOKUP(E2701,country_continent!A:C,2,FALSE)</f>
        <v>Turkey</v>
      </c>
      <c r="G2701" t="str">
        <f>VLOOKUP(E2701,country_continent!A:C,3,FALSE)</f>
        <v>Asia</v>
      </c>
      <c r="H2701" t="s">
        <v>11185</v>
      </c>
      <c r="I2701" s="1">
        <v>18405</v>
      </c>
      <c r="J2701" s="3">
        <f t="shared" si="126"/>
        <v>18405</v>
      </c>
      <c r="K2701" s="1">
        <v>22063</v>
      </c>
      <c r="L2701" s="3">
        <f t="shared" si="127"/>
        <v>22063</v>
      </c>
      <c r="M2701" t="s">
        <v>49</v>
      </c>
      <c r="N2701" t="s">
        <v>67</v>
      </c>
      <c r="O2701" t="s">
        <v>376</v>
      </c>
      <c r="P2701">
        <v>0</v>
      </c>
      <c r="Q2701" t="s">
        <v>69</v>
      </c>
      <c r="R2701" t="s">
        <v>51</v>
      </c>
      <c r="S2701">
        <v>1899</v>
      </c>
      <c r="T2701">
        <v>1961</v>
      </c>
      <c r="W2701" s="1">
        <v>22541</v>
      </c>
      <c r="X2701" s="2">
        <v>22541</v>
      </c>
      <c r="Y2701" t="s">
        <v>11186</v>
      </c>
      <c r="Z2701">
        <v>0</v>
      </c>
      <c r="AA2701">
        <v>3</v>
      </c>
      <c r="AB2701">
        <v>6</v>
      </c>
      <c r="AC2701">
        <v>3</v>
      </c>
      <c r="AF2701">
        <v>1950</v>
      </c>
      <c r="AG2701">
        <v>1960</v>
      </c>
      <c r="AK2701">
        <v>258</v>
      </c>
      <c r="AN2701">
        <v>5.36</v>
      </c>
      <c r="AO2701" t="b">
        <v>1</v>
      </c>
      <c r="AP2701" t="s">
        <v>4202</v>
      </c>
      <c r="AQ2701">
        <v>1878</v>
      </c>
      <c r="AR2701">
        <v>1959</v>
      </c>
      <c r="AS2701" t="s">
        <v>11187</v>
      </c>
      <c r="AT2701">
        <v>10.0150581793292</v>
      </c>
      <c r="AU2701">
        <f t="shared" si="128"/>
        <v>2.7E-2</v>
      </c>
    </row>
    <row r="2702" spans="1:47" x14ac:dyDescent="0.3">
      <c r="A2702">
        <v>2700</v>
      </c>
      <c r="B2702" t="s">
        <v>11188</v>
      </c>
      <c r="C2702" t="s">
        <v>11189</v>
      </c>
      <c r="D2702">
        <v>640</v>
      </c>
      <c r="E2702" t="s">
        <v>11134</v>
      </c>
      <c r="F2702" t="str">
        <f>VLOOKUP(E2702,country_continent!A:C,2,FALSE)</f>
        <v>Turkey</v>
      </c>
      <c r="G2702" t="str">
        <f>VLOOKUP(E2702,country_continent!A:C,3,FALSE)</f>
        <v>Asia</v>
      </c>
      <c r="H2702" t="s">
        <v>11190</v>
      </c>
      <c r="I2702" s="1">
        <v>22063</v>
      </c>
      <c r="J2702" s="3">
        <f t="shared" si="126"/>
        <v>22063</v>
      </c>
      <c r="K2702" s="1">
        <v>22595</v>
      </c>
      <c r="L2702" s="3">
        <f t="shared" si="127"/>
        <v>22595</v>
      </c>
      <c r="M2702" t="s">
        <v>67</v>
      </c>
      <c r="N2702" t="s">
        <v>49</v>
      </c>
      <c r="O2702" t="s">
        <v>49</v>
      </c>
      <c r="P2702">
        <v>0</v>
      </c>
      <c r="Q2702" t="s">
        <v>50</v>
      </c>
      <c r="R2702" t="s">
        <v>51</v>
      </c>
      <c r="S2702">
        <v>1895</v>
      </c>
      <c r="T2702">
        <v>1966</v>
      </c>
      <c r="Y2702" t="s">
        <v>11191</v>
      </c>
      <c r="Z2702">
        <v>1</v>
      </c>
      <c r="AA2702">
        <v>1</v>
      </c>
      <c r="AB2702">
        <v>0</v>
      </c>
      <c r="AC2702">
        <v>0</v>
      </c>
      <c r="AF2702">
        <v>1960</v>
      </c>
      <c r="AG2702">
        <v>1961</v>
      </c>
      <c r="AH2702">
        <v>-1.58598491590956</v>
      </c>
      <c r="AJ2702">
        <v>4.3734004395956703</v>
      </c>
      <c r="AK2702">
        <v>253.95</v>
      </c>
      <c r="AL2702">
        <v>2.7481341991326</v>
      </c>
      <c r="AN2702">
        <v>8</v>
      </c>
      <c r="AO2702" t="b">
        <v>1</v>
      </c>
      <c r="AP2702" t="s">
        <v>4202</v>
      </c>
      <c r="AQ2702">
        <v>1878</v>
      </c>
      <c r="AR2702">
        <v>1959</v>
      </c>
      <c r="AS2702" t="s">
        <v>11192</v>
      </c>
      <c r="AT2702">
        <v>1.4565366187542701</v>
      </c>
      <c r="AU2702">
        <f t="shared" si="128"/>
        <v>4.0000000000000001E-3</v>
      </c>
    </row>
    <row r="2703" spans="1:47" x14ac:dyDescent="0.3">
      <c r="A2703">
        <v>2701</v>
      </c>
      <c r="B2703" t="s">
        <v>11193</v>
      </c>
      <c r="C2703" t="s">
        <v>11177</v>
      </c>
      <c r="D2703">
        <v>640</v>
      </c>
      <c r="E2703" t="s">
        <v>11134</v>
      </c>
      <c r="F2703" t="str">
        <f>VLOOKUP(E2703,country_continent!A:C,2,FALSE)</f>
        <v>Turkey</v>
      </c>
      <c r="G2703" t="str">
        <f>VLOOKUP(E2703,country_continent!A:C,3,FALSE)</f>
        <v>Asia</v>
      </c>
      <c r="H2703" t="s">
        <v>11178</v>
      </c>
      <c r="I2703" s="1">
        <v>22595</v>
      </c>
      <c r="J2703" s="3">
        <f t="shared" si="126"/>
        <v>22595</v>
      </c>
      <c r="K2703" s="1">
        <v>23786</v>
      </c>
      <c r="L2703" s="3">
        <f t="shared" si="127"/>
        <v>23786</v>
      </c>
      <c r="M2703" t="s">
        <v>49</v>
      </c>
      <c r="N2703" t="s">
        <v>49</v>
      </c>
      <c r="O2703" t="s">
        <v>49</v>
      </c>
      <c r="P2703">
        <v>1</v>
      </c>
      <c r="Q2703" t="s">
        <v>50</v>
      </c>
      <c r="R2703" t="s">
        <v>51</v>
      </c>
      <c r="S2703">
        <v>1884</v>
      </c>
      <c r="T2703">
        <v>1973</v>
      </c>
      <c r="U2703" t="s">
        <v>11179</v>
      </c>
      <c r="V2703" t="s">
        <v>11180</v>
      </c>
      <c r="W2703" s="1">
        <v>27023</v>
      </c>
      <c r="X2703" s="2">
        <v>27023</v>
      </c>
      <c r="Z2703">
        <v>0</v>
      </c>
      <c r="AA2703">
        <v>1</v>
      </c>
      <c r="AB2703">
        <v>0</v>
      </c>
      <c r="AC2703">
        <v>0</v>
      </c>
      <c r="AD2703" t="s">
        <v>11181</v>
      </c>
      <c r="AE2703">
        <v>0</v>
      </c>
      <c r="AF2703">
        <v>1961</v>
      </c>
      <c r="AG2703">
        <v>1965</v>
      </c>
      <c r="AH2703">
        <v>2.0731210233241599</v>
      </c>
      <c r="AJ2703">
        <v>4.6098649780435004</v>
      </c>
      <c r="AK2703">
        <v>233.3</v>
      </c>
      <c r="AL2703">
        <v>2.6509707545990699</v>
      </c>
      <c r="AN2703">
        <v>8.8000000000000007</v>
      </c>
      <c r="AO2703" t="b">
        <v>1</v>
      </c>
      <c r="AP2703" t="s">
        <v>4202</v>
      </c>
      <c r="AQ2703">
        <v>1878</v>
      </c>
      <c r="AR2703">
        <v>1959</v>
      </c>
      <c r="AS2703" t="s">
        <v>11194</v>
      </c>
      <c r="AT2703">
        <v>3.2607802874743301</v>
      </c>
      <c r="AU2703">
        <f t="shared" si="128"/>
        <v>8.9999999999999993E-3</v>
      </c>
    </row>
    <row r="2704" spans="1:47" x14ac:dyDescent="0.3">
      <c r="A2704">
        <v>2702</v>
      </c>
      <c r="B2704" t="s">
        <v>11195</v>
      </c>
      <c r="C2704" t="s">
        <v>11196</v>
      </c>
      <c r="D2704">
        <v>640</v>
      </c>
      <c r="E2704" t="s">
        <v>11134</v>
      </c>
      <c r="F2704" t="str">
        <f>VLOOKUP(E2704,country_continent!A:C,2,FALSE)</f>
        <v>Turkey</v>
      </c>
      <c r="G2704" t="str">
        <f>VLOOKUP(E2704,country_continent!A:C,3,FALSE)</f>
        <v>Asia</v>
      </c>
      <c r="H2704" t="s">
        <v>11197</v>
      </c>
      <c r="I2704" s="1">
        <v>23786</v>
      </c>
      <c r="J2704" s="3">
        <f t="shared" si="126"/>
        <v>23786</v>
      </c>
      <c r="K2704" s="1">
        <v>24042</v>
      </c>
      <c r="L2704" s="3">
        <f t="shared" si="127"/>
        <v>24042</v>
      </c>
      <c r="M2704" t="s">
        <v>49</v>
      </c>
      <c r="N2704" t="s">
        <v>49</v>
      </c>
      <c r="O2704" t="s">
        <v>49</v>
      </c>
      <c r="P2704">
        <v>0</v>
      </c>
      <c r="Q2704" t="s">
        <v>50</v>
      </c>
      <c r="R2704" t="s">
        <v>51</v>
      </c>
      <c r="S2704">
        <v>1902</v>
      </c>
      <c r="T2704">
        <v>1981</v>
      </c>
      <c r="Z2704">
        <v>0</v>
      </c>
      <c r="AA2704">
        <v>1</v>
      </c>
      <c r="AB2704">
        <v>0</v>
      </c>
      <c r="AC2704">
        <v>0</v>
      </c>
      <c r="AF2704">
        <v>1965</v>
      </c>
      <c r="AG2704">
        <v>1965</v>
      </c>
      <c r="AH2704">
        <v>0.27354878658431397</v>
      </c>
      <c r="AJ2704">
        <v>4.11785566096487</v>
      </c>
      <c r="AK2704">
        <v>217.3</v>
      </c>
      <c r="AL2704">
        <v>2.5112274223687301</v>
      </c>
      <c r="AN2704">
        <v>8</v>
      </c>
      <c r="AO2704" t="b">
        <v>1</v>
      </c>
      <c r="AP2704" t="s">
        <v>4202</v>
      </c>
      <c r="AQ2704">
        <v>1878</v>
      </c>
      <c r="AR2704">
        <v>1959</v>
      </c>
      <c r="AS2704" t="s">
        <v>11198</v>
      </c>
      <c r="AT2704">
        <v>0.70088980150581703</v>
      </c>
      <c r="AU2704">
        <f t="shared" si="128"/>
        <v>2E-3</v>
      </c>
    </row>
    <row r="2705" spans="1:47" x14ac:dyDescent="0.3">
      <c r="A2705">
        <v>2703</v>
      </c>
      <c r="B2705" t="s">
        <v>11199</v>
      </c>
      <c r="C2705" t="s">
        <v>11200</v>
      </c>
      <c r="D2705">
        <v>640</v>
      </c>
      <c r="E2705" t="s">
        <v>11134</v>
      </c>
      <c r="F2705" t="str">
        <f>VLOOKUP(E2705,country_continent!A:C,2,FALSE)</f>
        <v>Turkey</v>
      </c>
      <c r="G2705" t="str">
        <f>VLOOKUP(E2705,country_continent!A:C,3,FALSE)</f>
        <v>Asia</v>
      </c>
      <c r="H2705" t="s">
        <v>11201</v>
      </c>
      <c r="I2705" s="1">
        <v>24042</v>
      </c>
      <c r="J2705" s="3">
        <f t="shared" si="126"/>
        <v>24042</v>
      </c>
      <c r="K2705" s="1">
        <v>26004</v>
      </c>
      <c r="L2705" s="3">
        <f t="shared" si="127"/>
        <v>26004</v>
      </c>
      <c r="M2705" t="s">
        <v>49</v>
      </c>
      <c r="N2705" t="s">
        <v>67</v>
      </c>
      <c r="O2705" t="s">
        <v>376</v>
      </c>
      <c r="P2705">
        <v>0</v>
      </c>
      <c r="Q2705" t="s">
        <v>50</v>
      </c>
      <c r="R2705" t="s">
        <v>51</v>
      </c>
      <c r="S2705">
        <v>1924</v>
      </c>
      <c r="T2705">
        <v>-777</v>
      </c>
      <c r="U2705" s="1">
        <v>9046</v>
      </c>
      <c r="V2705" s="2">
        <v>9046</v>
      </c>
      <c r="Z2705">
        <v>0</v>
      </c>
      <c r="AA2705">
        <v>3</v>
      </c>
      <c r="AB2705">
        <v>6</v>
      </c>
      <c r="AC2705">
        <v>0</v>
      </c>
      <c r="AF2705">
        <v>1965</v>
      </c>
      <c r="AG2705">
        <v>1971</v>
      </c>
      <c r="AH2705">
        <v>2.9067346387906499</v>
      </c>
      <c r="AI2705">
        <v>508</v>
      </c>
      <c r="AJ2705">
        <v>7.5983431155721304</v>
      </c>
      <c r="AK2705">
        <v>197.97142857142799</v>
      </c>
      <c r="AL2705">
        <v>2.47833037540375</v>
      </c>
      <c r="AM2705">
        <v>0.67589813995349202</v>
      </c>
      <c r="AN2705">
        <v>6.57</v>
      </c>
      <c r="AO2705" t="b">
        <v>1</v>
      </c>
      <c r="AP2705" t="s">
        <v>4202</v>
      </c>
      <c r="AQ2705">
        <v>1878</v>
      </c>
      <c r="AR2705">
        <v>1959</v>
      </c>
      <c r="AS2705" t="s">
        <v>11202</v>
      </c>
      <c r="AT2705">
        <v>5.3716632443531802</v>
      </c>
      <c r="AU2705">
        <f t="shared" si="128"/>
        <v>1.4999999999999999E-2</v>
      </c>
    </row>
    <row r="2706" spans="1:47" x14ac:dyDescent="0.3">
      <c r="A2706">
        <v>2704</v>
      </c>
      <c r="B2706" t="s">
        <v>11203</v>
      </c>
      <c r="C2706" t="s">
        <v>11204</v>
      </c>
      <c r="D2706">
        <v>640</v>
      </c>
      <c r="E2706" t="s">
        <v>11134</v>
      </c>
      <c r="F2706" t="str">
        <f>VLOOKUP(E2706,country_continent!A:C,2,FALSE)</f>
        <v>Turkey</v>
      </c>
      <c r="G2706" t="str">
        <f>VLOOKUP(E2706,country_continent!A:C,3,FALSE)</f>
        <v>Asia</v>
      </c>
      <c r="H2706" t="s">
        <v>11205</v>
      </c>
      <c r="I2706" s="1">
        <v>26011</v>
      </c>
      <c r="J2706" s="3">
        <f t="shared" si="126"/>
        <v>26011</v>
      </c>
      <c r="K2706" s="1">
        <v>26406</v>
      </c>
      <c r="L2706" s="3">
        <f t="shared" si="127"/>
        <v>26406</v>
      </c>
      <c r="M2706" t="s">
        <v>67</v>
      </c>
      <c r="N2706" t="s">
        <v>49</v>
      </c>
      <c r="O2706" t="s">
        <v>49</v>
      </c>
      <c r="P2706">
        <v>0</v>
      </c>
      <c r="Q2706" t="s">
        <v>50</v>
      </c>
      <c r="R2706" t="s">
        <v>51</v>
      </c>
      <c r="S2706">
        <v>1912</v>
      </c>
      <c r="T2706">
        <v>1980</v>
      </c>
      <c r="W2706" s="1">
        <v>29421</v>
      </c>
      <c r="X2706" s="2">
        <v>29421</v>
      </c>
      <c r="Z2706">
        <v>1</v>
      </c>
      <c r="AA2706">
        <v>1</v>
      </c>
      <c r="AB2706">
        <v>0</v>
      </c>
      <c r="AC2706">
        <v>0</v>
      </c>
      <c r="AF2706">
        <v>1971</v>
      </c>
      <c r="AG2706">
        <v>1972</v>
      </c>
      <c r="AH2706">
        <v>3.9838682593210901</v>
      </c>
      <c r="AI2706">
        <v>530</v>
      </c>
      <c r="AJ2706">
        <v>13.938881601752399</v>
      </c>
      <c r="AK2706">
        <v>177.5</v>
      </c>
      <c r="AL2706">
        <v>2.3872755226130402</v>
      </c>
      <c r="AM2706">
        <v>0.62039486776021802</v>
      </c>
      <c r="AN2706">
        <v>-2</v>
      </c>
      <c r="AO2706" t="b">
        <v>1</v>
      </c>
      <c r="AP2706" t="s">
        <v>4202</v>
      </c>
      <c r="AQ2706">
        <v>1878</v>
      </c>
      <c r="AR2706">
        <v>1959</v>
      </c>
      <c r="AS2706" t="s">
        <v>11206</v>
      </c>
      <c r="AT2706">
        <v>1.0814510609171799</v>
      </c>
      <c r="AU2706">
        <f t="shared" si="128"/>
        <v>3.0000000000000001E-3</v>
      </c>
    </row>
    <row r="2707" spans="1:47" x14ac:dyDescent="0.3">
      <c r="A2707">
        <v>2705</v>
      </c>
      <c r="B2707" t="s">
        <v>11207</v>
      </c>
      <c r="C2707" t="s">
        <v>11208</v>
      </c>
      <c r="D2707">
        <v>640</v>
      </c>
      <c r="E2707" t="s">
        <v>11134</v>
      </c>
      <c r="F2707" t="str">
        <f>VLOOKUP(E2707,country_continent!A:C,2,FALSE)</f>
        <v>Turkey</v>
      </c>
      <c r="G2707" t="str">
        <f>VLOOKUP(E2707,country_continent!A:C,3,FALSE)</f>
        <v>Asia</v>
      </c>
      <c r="H2707" t="s">
        <v>11209</v>
      </c>
      <c r="I2707" s="1">
        <v>26441</v>
      </c>
      <c r="J2707" s="3">
        <f t="shared" si="126"/>
        <v>26441</v>
      </c>
      <c r="K2707" s="1">
        <v>26769</v>
      </c>
      <c r="L2707" s="3">
        <f t="shared" si="127"/>
        <v>26769</v>
      </c>
      <c r="M2707" t="s">
        <v>49</v>
      </c>
      <c r="N2707" t="s">
        <v>49</v>
      </c>
      <c r="O2707" t="s">
        <v>49</v>
      </c>
      <c r="P2707">
        <v>0</v>
      </c>
      <c r="Q2707" t="s">
        <v>50</v>
      </c>
      <c r="R2707" t="s">
        <v>51</v>
      </c>
      <c r="S2707">
        <v>1906</v>
      </c>
      <c r="T2707">
        <v>1988</v>
      </c>
      <c r="W2707" s="1">
        <v>32389</v>
      </c>
      <c r="X2707" s="2">
        <v>32389</v>
      </c>
      <c r="Z2707">
        <v>0</v>
      </c>
      <c r="AA2707">
        <v>1</v>
      </c>
      <c r="AB2707">
        <v>0</v>
      </c>
      <c r="AC2707">
        <v>0</v>
      </c>
      <c r="AF2707">
        <v>1972</v>
      </c>
      <c r="AG2707">
        <v>1973</v>
      </c>
      <c r="AH2707">
        <v>2.88932638096817</v>
      </c>
      <c r="AI2707">
        <v>580</v>
      </c>
      <c r="AJ2707">
        <v>16.4529473753541</v>
      </c>
      <c r="AK2707">
        <v>171.85</v>
      </c>
      <c r="AL2707">
        <v>2.3569304644355999</v>
      </c>
      <c r="AM2707">
        <v>0.68159651434563195</v>
      </c>
      <c r="AN2707">
        <v>3.5</v>
      </c>
      <c r="AO2707" t="b">
        <v>1</v>
      </c>
      <c r="AP2707" t="s">
        <v>4202</v>
      </c>
      <c r="AQ2707">
        <v>1878</v>
      </c>
      <c r="AR2707">
        <v>1959</v>
      </c>
      <c r="AS2707" t="s">
        <v>11210</v>
      </c>
      <c r="AT2707">
        <v>0.89801505817932903</v>
      </c>
      <c r="AU2707">
        <f t="shared" si="128"/>
        <v>2E-3</v>
      </c>
    </row>
    <row r="2708" spans="1:47" x14ac:dyDescent="0.3">
      <c r="A2708">
        <v>2706</v>
      </c>
      <c r="B2708" t="s">
        <v>11211</v>
      </c>
      <c r="C2708" t="s">
        <v>11212</v>
      </c>
      <c r="D2708">
        <v>640</v>
      </c>
      <c r="E2708" t="s">
        <v>11134</v>
      </c>
      <c r="F2708" t="str">
        <f>VLOOKUP(E2708,country_continent!A:C,2,FALSE)</f>
        <v>Turkey</v>
      </c>
      <c r="G2708" t="str">
        <f>VLOOKUP(E2708,country_continent!A:C,3,FALSE)</f>
        <v>Asia</v>
      </c>
      <c r="H2708" t="s">
        <v>11213</v>
      </c>
      <c r="I2708" s="1">
        <v>26769</v>
      </c>
      <c r="J2708" s="3">
        <f t="shared" si="126"/>
        <v>26769</v>
      </c>
      <c r="K2708" s="1">
        <v>27054</v>
      </c>
      <c r="L2708" s="3">
        <f t="shared" si="127"/>
        <v>27054</v>
      </c>
      <c r="M2708" t="s">
        <v>49</v>
      </c>
      <c r="N2708" t="s">
        <v>49</v>
      </c>
      <c r="O2708" t="s">
        <v>49</v>
      </c>
      <c r="P2708">
        <v>0</v>
      </c>
      <c r="Q2708" t="s">
        <v>50</v>
      </c>
      <c r="R2708" t="s">
        <v>51</v>
      </c>
      <c r="S2708">
        <v>1919</v>
      </c>
      <c r="T2708">
        <v>1998</v>
      </c>
      <c r="U2708" s="1">
        <v>7143</v>
      </c>
      <c r="V2708" s="2">
        <v>7143</v>
      </c>
      <c r="Z2708">
        <v>0</v>
      </c>
      <c r="AA2708">
        <v>1</v>
      </c>
      <c r="AB2708">
        <v>0</v>
      </c>
      <c r="AC2708">
        <v>0</v>
      </c>
      <c r="AF2708">
        <v>1973</v>
      </c>
      <c r="AG2708">
        <v>1974</v>
      </c>
      <c r="AH2708">
        <v>2.0914156899986902</v>
      </c>
      <c r="AI2708">
        <v>720</v>
      </c>
      <c r="AJ2708">
        <v>25.461283028151001</v>
      </c>
      <c r="AK2708">
        <v>166.1</v>
      </c>
      <c r="AL2708">
        <v>2.26386925321721</v>
      </c>
      <c r="AM2708">
        <v>0.98202419843084299</v>
      </c>
      <c r="AN2708">
        <v>9</v>
      </c>
      <c r="AO2708" t="b">
        <v>1</v>
      </c>
      <c r="AP2708" t="s">
        <v>4202</v>
      </c>
      <c r="AQ2708">
        <v>1878</v>
      </c>
      <c r="AR2708">
        <v>1959</v>
      </c>
      <c r="AS2708" t="s">
        <v>11214</v>
      </c>
      <c r="AT2708">
        <v>0.780287474332648</v>
      </c>
      <c r="AU2708">
        <f t="shared" si="128"/>
        <v>2E-3</v>
      </c>
    </row>
    <row r="2709" spans="1:47" x14ac:dyDescent="0.3">
      <c r="A2709">
        <v>2707</v>
      </c>
      <c r="B2709" t="s">
        <v>11215</v>
      </c>
      <c r="C2709" t="s">
        <v>11216</v>
      </c>
      <c r="D2709">
        <v>640</v>
      </c>
      <c r="E2709" t="s">
        <v>11134</v>
      </c>
      <c r="F2709" t="str">
        <f>VLOOKUP(E2709,country_continent!A:C,2,FALSE)</f>
        <v>Turkey</v>
      </c>
      <c r="G2709" t="str">
        <f>VLOOKUP(E2709,country_continent!A:C,3,FALSE)</f>
        <v>Asia</v>
      </c>
      <c r="H2709" t="s">
        <v>11217</v>
      </c>
      <c r="I2709" s="1">
        <v>27054</v>
      </c>
      <c r="J2709" s="3">
        <f t="shared" si="126"/>
        <v>27054</v>
      </c>
      <c r="K2709" s="1">
        <v>27340</v>
      </c>
      <c r="L2709" s="3">
        <f t="shared" si="127"/>
        <v>27340</v>
      </c>
      <c r="M2709" t="s">
        <v>49</v>
      </c>
      <c r="N2709" t="s">
        <v>49</v>
      </c>
      <c r="O2709" t="s">
        <v>49</v>
      </c>
      <c r="P2709">
        <v>0</v>
      </c>
      <c r="Q2709" t="s">
        <v>463</v>
      </c>
      <c r="R2709" t="s">
        <v>51</v>
      </c>
      <c r="S2709">
        <v>1925</v>
      </c>
      <c r="T2709">
        <v>2006</v>
      </c>
      <c r="U2709" s="1">
        <v>9280</v>
      </c>
      <c r="V2709" s="2">
        <v>9280</v>
      </c>
      <c r="W2709" s="1">
        <v>39026</v>
      </c>
      <c r="X2709" s="2">
        <v>39026</v>
      </c>
      <c r="Y2709" t="s">
        <v>11218</v>
      </c>
      <c r="Z2709">
        <v>0</v>
      </c>
      <c r="AA2709">
        <v>1</v>
      </c>
      <c r="AB2709">
        <v>0</v>
      </c>
      <c r="AC2709">
        <v>2</v>
      </c>
      <c r="AF2709">
        <v>1974</v>
      </c>
      <c r="AG2709">
        <v>1974</v>
      </c>
      <c r="AH2709">
        <v>3.2817010126920501</v>
      </c>
      <c r="AI2709">
        <v>820</v>
      </c>
      <c r="AJ2709">
        <v>28.992347354604501</v>
      </c>
      <c r="AK2709">
        <v>163.19999999999999</v>
      </c>
      <c r="AL2709">
        <v>2.2145827854542701</v>
      </c>
      <c r="AM2709">
        <v>1.1813573206541099</v>
      </c>
      <c r="AN2709">
        <v>9</v>
      </c>
      <c r="AO2709" t="b">
        <v>1</v>
      </c>
      <c r="AP2709" t="s">
        <v>4202</v>
      </c>
      <c r="AQ2709">
        <v>1878</v>
      </c>
      <c r="AR2709">
        <v>1959</v>
      </c>
      <c r="AS2709" t="s">
        <v>11219</v>
      </c>
      <c r="AT2709">
        <v>0.78302532511978096</v>
      </c>
      <c r="AU2709">
        <f t="shared" si="128"/>
        <v>2E-3</v>
      </c>
    </row>
    <row r="2710" spans="1:47" x14ac:dyDescent="0.3">
      <c r="A2710">
        <v>2708</v>
      </c>
      <c r="B2710" t="s">
        <v>11220</v>
      </c>
      <c r="C2710" t="s">
        <v>11221</v>
      </c>
      <c r="D2710">
        <v>640</v>
      </c>
      <c r="E2710" t="s">
        <v>11134</v>
      </c>
      <c r="F2710" t="str">
        <f>VLOOKUP(E2710,country_continent!A:C,2,FALSE)</f>
        <v>Turkey</v>
      </c>
      <c r="G2710" t="str">
        <f>VLOOKUP(E2710,country_continent!A:C,3,FALSE)</f>
        <v>Asia</v>
      </c>
      <c r="H2710" t="s">
        <v>11222</v>
      </c>
      <c r="I2710" s="1">
        <v>27350</v>
      </c>
      <c r="J2710" s="3">
        <f t="shared" si="126"/>
        <v>27350</v>
      </c>
      <c r="K2710" s="1">
        <v>27484</v>
      </c>
      <c r="L2710" s="3">
        <f t="shared" si="127"/>
        <v>27484</v>
      </c>
      <c r="M2710" t="s">
        <v>49</v>
      </c>
      <c r="N2710" t="s">
        <v>49</v>
      </c>
      <c r="O2710" t="s">
        <v>49</v>
      </c>
      <c r="P2710">
        <v>0</v>
      </c>
      <c r="Q2710" t="s">
        <v>50</v>
      </c>
      <c r="R2710" t="s">
        <v>51</v>
      </c>
      <c r="S2710">
        <v>1901</v>
      </c>
      <c r="T2710">
        <v>1990</v>
      </c>
      <c r="U2710" s="1">
        <v>501</v>
      </c>
      <c r="V2710" s="2">
        <v>501</v>
      </c>
      <c r="Z2710">
        <v>0</v>
      </c>
      <c r="AA2710">
        <v>1</v>
      </c>
      <c r="AB2710">
        <v>0</v>
      </c>
      <c r="AC2710">
        <v>0</v>
      </c>
      <c r="AF2710">
        <v>1974</v>
      </c>
      <c r="AG2710">
        <v>1975</v>
      </c>
      <c r="AH2710">
        <v>4.1276714855579799</v>
      </c>
      <c r="AI2710">
        <v>950</v>
      </c>
      <c r="AJ2710">
        <v>25.1507937114466</v>
      </c>
      <c r="AK2710">
        <v>160.25</v>
      </c>
      <c r="AL2710">
        <v>2.1445635774405698</v>
      </c>
      <c r="AM2710">
        <v>1.04897416478267</v>
      </c>
      <c r="AN2710">
        <v>9</v>
      </c>
      <c r="AO2710" t="b">
        <v>1</v>
      </c>
      <c r="AP2710" t="s">
        <v>4202</v>
      </c>
      <c r="AQ2710">
        <v>1878</v>
      </c>
      <c r="AR2710">
        <v>1959</v>
      </c>
      <c r="AS2710" t="s">
        <v>11223</v>
      </c>
      <c r="AT2710">
        <v>0.36687200547570098</v>
      </c>
      <c r="AU2710">
        <f t="shared" si="128"/>
        <v>1E-3</v>
      </c>
    </row>
    <row r="2711" spans="1:47" x14ac:dyDescent="0.3">
      <c r="A2711">
        <v>2709</v>
      </c>
      <c r="B2711" t="s">
        <v>11224</v>
      </c>
      <c r="C2711" t="s">
        <v>11200</v>
      </c>
      <c r="D2711">
        <v>640</v>
      </c>
      <c r="E2711" t="s">
        <v>11134</v>
      </c>
      <c r="F2711" t="str">
        <f>VLOOKUP(E2711,country_continent!A:C,2,FALSE)</f>
        <v>Turkey</v>
      </c>
      <c r="G2711" t="str">
        <f>VLOOKUP(E2711,country_continent!A:C,3,FALSE)</f>
        <v>Asia</v>
      </c>
      <c r="H2711" t="s">
        <v>11201</v>
      </c>
      <c r="I2711" s="1">
        <v>27484</v>
      </c>
      <c r="J2711" s="3">
        <f t="shared" si="126"/>
        <v>27484</v>
      </c>
      <c r="K2711" s="1">
        <v>28297</v>
      </c>
      <c r="L2711" s="3">
        <f t="shared" si="127"/>
        <v>28297</v>
      </c>
      <c r="M2711" t="s">
        <v>49</v>
      </c>
      <c r="N2711" t="s">
        <v>49</v>
      </c>
      <c r="O2711" t="s">
        <v>49</v>
      </c>
      <c r="P2711">
        <v>1</v>
      </c>
      <c r="Q2711" t="s">
        <v>50</v>
      </c>
      <c r="R2711" t="s">
        <v>51</v>
      </c>
      <c r="S2711">
        <v>1924</v>
      </c>
      <c r="T2711">
        <v>-777</v>
      </c>
      <c r="U2711" s="1">
        <v>9046</v>
      </c>
      <c r="V2711" s="2">
        <v>9046</v>
      </c>
      <c r="Z2711">
        <v>0</v>
      </c>
      <c r="AA2711">
        <v>1</v>
      </c>
      <c r="AB2711">
        <v>0</v>
      </c>
      <c r="AC2711">
        <v>0</v>
      </c>
      <c r="AF2711">
        <v>1975</v>
      </c>
      <c r="AG2711">
        <v>1977</v>
      </c>
      <c r="AH2711">
        <v>4.8325441753188603</v>
      </c>
      <c r="AI2711">
        <v>1240</v>
      </c>
      <c r="AJ2711">
        <v>20.336973601603201</v>
      </c>
      <c r="AK2711">
        <v>151.266666666666</v>
      </c>
      <c r="AL2711">
        <v>2.0597496349918298</v>
      </c>
      <c r="AM2711">
        <v>0.89078295013275899</v>
      </c>
      <c r="AN2711">
        <v>9</v>
      </c>
      <c r="AO2711" t="b">
        <v>1</v>
      </c>
      <c r="AP2711" t="s">
        <v>4202</v>
      </c>
      <c r="AQ2711">
        <v>1878</v>
      </c>
      <c r="AR2711">
        <v>1959</v>
      </c>
      <c r="AS2711" t="s">
        <v>11225</v>
      </c>
      <c r="AT2711">
        <v>2.2258726899383898</v>
      </c>
      <c r="AU2711">
        <f t="shared" si="128"/>
        <v>6.0000000000000001E-3</v>
      </c>
    </row>
    <row r="2712" spans="1:47" x14ac:dyDescent="0.3">
      <c r="A2712">
        <v>2710</v>
      </c>
      <c r="B2712" t="s">
        <v>11226</v>
      </c>
      <c r="C2712" t="s">
        <v>11216</v>
      </c>
      <c r="D2712">
        <v>640</v>
      </c>
      <c r="E2712" t="s">
        <v>11134</v>
      </c>
      <c r="F2712" t="str">
        <f>VLOOKUP(E2712,country_continent!A:C,2,FALSE)</f>
        <v>Turkey</v>
      </c>
      <c r="G2712" t="str">
        <f>VLOOKUP(E2712,country_continent!A:C,3,FALSE)</f>
        <v>Asia</v>
      </c>
      <c r="H2712" t="s">
        <v>11217</v>
      </c>
      <c r="I2712" s="1">
        <v>28297</v>
      </c>
      <c r="J2712" s="3">
        <f t="shared" si="126"/>
        <v>28297</v>
      </c>
      <c r="K2712" s="1">
        <v>28327</v>
      </c>
      <c r="L2712" s="3">
        <f t="shared" si="127"/>
        <v>28327</v>
      </c>
      <c r="M2712" t="s">
        <v>49</v>
      </c>
      <c r="N2712" t="s">
        <v>49</v>
      </c>
      <c r="O2712" t="s">
        <v>49</v>
      </c>
      <c r="P2712">
        <v>1</v>
      </c>
      <c r="Q2712" t="s">
        <v>463</v>
      </c>
      <c r="R2712" t="s">
        <v>51</v>
      </c>
      <c r="S2712">
        <v>1925</v>
      </c>
      <c r="T2712">
        <v>2006</v>
      </c>
      <c r="U2712" s="1">
        <v>9280</v>
      </c>
      <c r="V2712" s="2">
        <v>9280</v>
      </c>
      <c r="W2712" s="1">
        <v>39026</v>
      </c>
      <c r="X2712" s="2">
        <v>39026</v>
      </c>
      <c r="Y2712" t="s">
        <v>11218</v>
      </c>
      <c r="Z2712">
        <v>0</v>
      </c>
      <c r="AA2712">
        <v>1</v>
      </c>
      <c r="AB2712">
        <v>0</v>
      </c>
      <c r="AC2712">
        <v>2</v>
      </c>
      <c r="AF2712">
        <v>1977</v>
      </c>
      <c r="AG2712">
        <v>1977</v>
      </c>
      <c r="AH2712">
        <v>1.29538784457254</v>
      </c>
      <c r="AI2712">
        <v>1370</v>
      </c>
      <c r="AJ2712">
        <v>24.089023245035101</v>
      </c>
      <c r="AK2712">
        <v>145.19999999999999</v>
      </c>
      <c r="AL2712">
        <v>2.0628584323459398</v>
      </c>
      <c r="AM2712">
        <v>0.81987700702289101</v>
      </c>
      <c r="AN2712">
        <v>9</v>
      </c>
      <c r="AO2712" t="b">
        <v>1</v>
      </c>
      <c r="AP2712" t="s">
        <v>4202</v>
      </c>
      <c r="AQ2712">
        <v>1878</v>
      </c>
      <c r="AR2712">
        <v>1959</v>
      </c>
      <c r="AS2712" t="s">
        <v>11227</v>
      </c>
      <c r="AT2712">
        <v>8.2135523613962994E-2</v>
      </c>
      <c r="AU2712">
        <f t="shared" si="128"/>
        <v>0</v>
      </c>
    </row>
    <row r="2713" spans="1:47" x14ac:dyDescent="0.3">
      <c r="A2713">
        <v>2711</v>
      </c>
      <c r="B2713" t="s">
        <v>11228</v>
      </c>
      <c r="C2713" t="s">
        <v>11200</v>
      </c>
      <c r="D2713">
        <v>640</v>
      </c>
      <c r="E2713" t="s">
        <v>11134</v>
      </c>
      <c r="F2713" t="str">
        <f>VLOOKUP(E2713,country_continent!A:C,2,FALSE)</f>
        <v>Turkey</v>
      </c>
      <c r="G2713" t="str">
        <f>VLOOKUP(E2713,country_continent!A:C,3,FALSE)</f>
        <v>Asia</v>
      </c>
      <c r="H2713" t="s">
        <v>11201</v>
      </c>
      <c r="I2713" s="1">
        <v>28327</v>
      </c>
      <c r="J2713" s="3">
        <f t="shared" si="126"/>
        <v>28327</v>
      </c>
      <c r="K2713" s="1">
        <v>28480</v>
      </c>
      <c r="L2713" s="3">
        <f t="shared" si="127"/>
        <v>28480</v>
      </c>
      <c r="M2713" t="s">
        <v>49</v>
      </c>
      <c r="N2713" t="s">
        <v>49</v>
      </c>
      <c r="O2713" t="s">
        <v>49</v>
      </c>
      <c r="P2713">
        <v>2</v>
      </c>
      <c r="Q2713" t="s">
        <v>50</v>
      </c>
      <c r="R2713" t="s">
        <v>51</v>
      </c>
      <c r="S2713">
        <v>1924</v>
      </c>
      <c r="T2713">
        <v>-777</v>
      </c>
      <c r="U2713" s="1">
        <v>9046</v>
      </c>
      <c r="V2713" s="2">
        <v>9046</v>
      </c>
      <c r="Z2713">
        <v>0</v>
      </c>
      <c r="AA2713">
        <v>1</v>
      </c>
      <c r="AB2713">
        <v>0</v>
      </c>
      <c r="AC2713">
        <v>0</v>
      </c>
      <c r="AF2713">
        <v>1977</v>
      </c>
      <c r="AG2713">
        <v>1977</v>
      </c>
      <c r="AH2713">
        <v>1.29538784457254</v>
      </c>
      <c r="AI2713">
        <v>1370</v>
      </c>
      <c r="AJ2713">
        <v>24.089023245035101</v>
      </c>
      <c r="AK2713">
        <v>145.19999999999999</v>
      </c>
      <c r="AL2713">
        <v>2.0628584323459398</v>
      </c>
      <c r="AM2713">
        <v>0.81987700702289101</v>
      </c>
      <c r="AN2713">
        <v>9</v>
      </c>
      <c r="AO2713" t="b">
        <v>1</v>
      </c>
      <c r="AP2713" t="s">
        <v>4202</v>
      </c>
      <c r="AQ2713">
        <v>1878</v>
      </c>
      <c r="AR2713">
        <v>1959</v>
      </c>
      <c r="AS2713" t="s">
        <v>11229</v>
      </c>
      <c r="AT2713">
        <v>0.41889117043121099</v>
      </c>
      <c r="AU2713">
        <f t="shared" si="128"/>
        <v>1E-3</v>
      </c>
    </row>
    <row r="2714" spans="1:47" x14ac:dyDescent="0.3">
      <c r="A2714">
        <v>2712</v>
      </c>
      <c r="B2714" t="s">
        <v>11230</v>
      </c>
      <c r="C2714" t="s">
        <v>11216</v>
      </c>
      <c r="D2714">
        <v>640</v>
      </c>
      <c r="E2714" t="s">
        <v>11134</v>
      </c>
      <c r="F2714" t="str">
        <f>VLOOKUP(E2714,country_continent!A:C,2,FALSE)</f>
        <v>Turkey</v>
      </c>
      <c r="G2714" t="str">
        <f>VLOOKUP(E2714,country_continent!A:C,3,FALSE)</f>
        <v>Asia</v>
      </c>
      <c r="H2714" t="s">
        <v>11217</v>
      </c>
      <c r="I2714" s="1">
        <v>28491</v>
      </c>
      <c r="J2714" s="3">
        <f t="shared" si="126"/>
        <v>28491</v>
      </c>
      <c r="K2714" s="1">
        <v>29171</v>
      </c>
      <c r="L2714" s="3">
        <f t="shared" si="127"/>
        <v>29171</v>
      </c>
      <c r="M2714" t="s">
        <v>49</v>
      </c>
      <c r="N2714" t="s">
        <v>49</v>
      </c>
      <c r="O2714" t="s">
        <v>49</v>
      </c>
      <c r="P2714">
        <v>2</v>
      </c>
      <c r="Q2714" t="s">
        <v>463</v>
      </c>
      <c r="R2714" t="s">
        <v>51</v>
      </c>
      <c r="S2714">
        <v>1925</v>
      </c>
      <c r="T2714">
        <v>2006</v>
      </c>
      <c r="U2714" s="1">
        <v>9280</v>
      </c>
      <c r="V2714" s="2">
        <v>9280</v>
      </c>
      <c r="W2714" s="1">
        <v>39026</v>
      </c>
      <c r="X2714" s="2">
        <v>39026</v>
      </c>
      <c r="Y2714" t="s">
        <v>11218</v>
      </c>
      <c r="Z2714">
        <v>0</v>
      </c>
      <c r="AA2714">
        <v>1</v>
      </c>
      <c r="AB2714">
        <v>0</v>
      </c>
      <c r="AC2714">
        <v>2</v>
      </c>
      <c r="AF2714">
        <v>1978</v>
      </c>
      <c r="AG2714">
        <v>1979</v>
      </c>
      <c r="AH2714">
        <v>-1.5403305563643801</v>
      </c>
      <c r="AI2714">
        <v>1625</v>
      </c>
      <c r="AJ2714">
        <v>62.131006714590796</v>
      </c>
      <c r="AK2714">
        <v>136.19999999999999</v>
      </c>
      <c r="AL2714">
        <v>1.99047459374717</v>
      </c>
      <c r="AM2714">
        <v>0.82765512251351003</v>
      </c>
      <c r="AN2714">
        <v>9</v>
      </c>
      <c r="AO2714" t="b">
        <v>1</v>
      </c>
      <c r="AP2714" t="s">
        <v>4202</v>
      </c>
      <c r="AQ2714">
        <v>1878</v>
      </c>
      <c r="AR2714">
        <v>1959</v>
      </c>
      <c r="AS2714" t="s">
        <v>11231</v>
      </c>
      <c r="AT2714">
        <v>1.8617385352498199</v>
      </c>
      <c r="AU2714">
        <f t="shared" si="128"/>
        <v>5.0000000000000001E-3</v>
      </c>
    </row>
    <row r="2715" spans="1:47" x14ac:dyDescent="0.3">
      <c r="A2715">
        <v>2713</v>
      </c>
      <c r="B2715" t="s">
        <v>11232</v>
      </c>
      <c r="C2715" t="s">
        <v>11200</v>
      </c>
      <c r="D2715">
        <v>640</v>
      </c>
      <c r="E2715" t="s">
        <v>11134</v>
      </c>
      <c r="F2715" t="str">
        <f>VLOOKUP(E2715,country_continent!A:C,2,FALSE)</f>
        <v>Turkey</v>
      </c>
      <c r="G2715" t="str">
        <f>VLOOKUP(E2715,country_continent!A:C,3,FALSE)</f>
        <v>Asia</v>
      </c>
      <c r="H2715" t="s">
        <v>11201</v>
      </c>
      <c r="I2715" s="1">
        <v>29171</v>
      </c>
      <c r="J2715" s="3">
        <f t="shared" si="126"/>
        <v>29171</v>
      </c>
      <c r="K2715" s="1">
        <v>29484</v>
      </c>
      <c r="L2715" s="3">
        <f t="shared" si="127"/>
        <v>29484</v>
      </c>
      <c r="M2715" t="s">
        <v>49</v>
      </c>
      <c r="N2715" t="s">
        <v>67</v>
      </c>
      <c r="O2715" t="s">
        <v>376</v>
      </c>
      <c r="P2715">
        <v>3</v>
      </c>
      <c r="Q2715" t="s">
        <v>463</v>
      </c>
      <c r="R2715" t="s">
        <v>51</v>
      </c>
      <c r="S2715">
        <v>1924</v>
      </c>
      <c r="T2715">
        <v>-777</v>
      </c>
      <c r="U2715" s="1">
        <v>9046</v>
      </c>
      <c r="V2715" s="2">
        <v>9046</v>
      </c>
      <c r="Z2715">
        <v>0</v>
      </c>
      <c r="AA2715">
        <v>3</v>
      </c>
      <c r="AB2715">
        <v>6</v>
      </c>
      <c r="AC2715">
        <v>2</v>
      </c>
      <c r="AF2715">
        <v>1979</v>
      </c>
      <c r="AG2715">
        <v>1980</v>
      </c>
      <c r="AH2715">
        <v>-3.4664974420058701</v>
      </c>
      <c r="AI2715">
        <v>1790</v>
      </c>
      <c r="AJ2715">
        <v>84.862045755290694</v>
      </c>
      <c r="AK2715">
        <v>130.19999999999999</v>
      </c>
      <c r="AL2715">
        <v>1.9805254960291401</v>
      </c>
      <c r="AM2715">
        <v>1.0770673481972299</v>
      </c>
      <c r="AN2715">
        <v>2</v>
      </c>
      <c r="AO2715" t="b">
        <v>1</v>
      </c>
      <c r="AP2715" t="s">
        <v>4202</v>
      </c>
      <c r="AQ2715">
        <v>1878</v>
      </c>
      <c r="AR2715">
        <v>1959</v>
      </c>
      <c r="AS2715" t="s">
        <v>11233</v>
      </c>
      <c r="AT2715">
        <v>0.85694729637234701</v>
      </c>
      <c r="AU2715">
        <f t="shared" si="128"/>
        <v>2E-3</v>
      </c>
    </row>
    <row r="2716" spans="1:47" x14ac:dyDescent="0.3">
      <c r="A2716">
        <v>2714</v>
      </c>
      <c r="B2716" t="s">
        <v>11234</v>
      </c>
      <c r="C2716" t="s">
        <v>11235</v>
      </c>
      <c r="D2716">
        <v>640</v>
      </c>
      <c r="E2716" t="s">
        <v>11134</v>
      </c>
      <c r="F2716" t="str">
        <f>VLOOKUP(E2716,country_continent!A:C,2,FALSE)</f>
        <v>Turkey</v>
      </c>
      <c r="G2716" t="str">
        <f>VLOOKUP(E2716,country_continent!A:C,3,FALSE)</f>
        <v>Asia</v>
      </c>
      <c r="H2716" t="s">
        <v>11236</v>
      </c>
      <c r="I2716" s="1">
        <v>29484</v>
      </c>
      <c r="J2716" s="3">
        <f t="shared" si="126"/>
        <v>29484</v>
      </c>
      <c r="K2716" s="1">
        <v>30643</v>
      </c>
      <c r="L2716" s="3">
        <f t="shared" si="127"/>
        <v>30643</v>
      </c>
      <c r="M2716" t="s">
        <v>67</v>
      </c>
      <c r="N2716" t="s">
        <v>49</v>
      </c>
      <c r="O2716" t="s">
        <v>49</v>
      </c>
      <c r="P2716">
        <v>0</v>
      </c>
      <c r="Q2716" t="s">
        <v>50</v>
      </c>
      <c r="R2716" t="s">
        <v>51</v>
      </c>
      <c r="S2716">
        <v>1917</v>
      </c>
      <c r="T2716">
        <v>-777</v>
      </c>
      <c r="W2716" s="1">
        <v>42133</v>
      </c>
      <c r="X2716" s="2">
        <v>42133</v>
      </c>
      <c r="Z2716">
        <v>1</v>
      </c>
      <c r="AA2716">
        <v>1</v>
      </c>
      <c r="AB2716">
        <v>0</v>
      </c>
      <c r="AC2716">
        <v>0</v>
      </c>
      <c r="AF2716">
        <v>1980</v>
      </c>
      <c r="AG2716">
        <v>1983</v>
      </c>
      <c r="AH2716">
        <v>0.57989456307916099</v>
      </c>
      <c r="AI2716">
        <v>1625</v>
      </c>
      <c r="AJ2716">
        <v>47.886343776297302</v>
      </c>
      <c r="AK2716">
        <v>118.125</v>
      </c>
      <c r="AL2716">
        <v>2.1188839617675099</v>
      </c>
      <c r="AM2716">
        <v>1.2745725440789299</v>
      </c>
      <c r="AN2716">
        <v>-2</v>
      </c>
      <c r="AO2716" t="b">
        <v>1</v>
      </c>
      <c r="AP2716" t="s">
        <v>4202</v>
      </c>
      <c r="AQ2716">
        <v>1878</v>
      </c>
      <c r="AR2716">
        <v>1959</v>
      </c>
      <c r="AS2716" t="s">
        <v>11237</v>
      </c>
      <c r="AT2716">
        <v>3.1731690622861</v>
      </c>
      <c r="AU2716">
        <f t="shared" si="128"/>
        <v>8.9999999999999993E-3</v>
      </c>
    </row>
    <row r="2717" spans="1:47" x14ac:dyDescent="0.3">
      <c r="A2717">
        <v>2715</v>
      </c>
      <c r="B2717" t="s">
        <v>11238</v>
      </c>
      <c r="C2717" t="s">
        <v>11239</v>
      </c>
      <c r="D2717">
        <v>640</v>
      </c>
      <c r="E2717" t="s">
        <v>11134</v>
      </c>
      <c r="F2717" t="str">
        <f>VLOOKUP(E2717,country_continent!A:C,2,FALSE)</f>
        <v>Turkey</v>
      </c>
      <c r="G2717" t="str">
        <f>VLOOKUP(E2717,country_continent!A:C,3,FALSE)</f>
        <v>Asia</v>
      </c>
      <c r="H2717" t="s">
        <v>11240</v>
      </c>
      <c r="I2717" s="1">
        <v>30663</v>
      </c>
      <c r="J2717" s="3">
        <f t="shared" si="126"/>
        <v>30663</v>
      </c>
      <c r="K2717" s="1">
        <v>32821</v>
      </c>
      <c r="L2717" s="3">
        <f t="shared" si="127"/>
        <v>32821</v>
      </c>
      <c r="M2717" t="s">
        <v>49</v>
      </c>
      <c r="N2717" t="s">
        <v>49</v>
      </c>
      <c r="O2717" t="s">
        <v>49</v>
      </c>
      <c r="P2717">
        <v>0</v>
      </c>
      <c r="Q2717" t="s">
        <v>50</v>
      </c>
      <c r="R2717" t="s">
        <v>51</v>
      </c>
      <c r="S2717">
        <v>1927</v>
      </c>
      <c r="T2717">
        <v>1993</v>
      </c>
      <c r="U2717" s="1">
        <v>10148</v>
      </c>
      <c r="V2717" s="2">
        <v>10148</v>
      </c>
      <c r="W2717" s="1">
        <v>34076</v>
      </c>
      <c r="X2717" s="2">
        <v>34076</v>
      </c>
      <c r="Y2717" t="s">
        <v>11241</v>
      </c>
      <c r="Z2717">
        <v>0</v>
      </c>
      <c r="AA2717">
        <v>1</v>
      </c>
      <c r="AB2717">
        <v>0</v>
      </c>
      <c r="AC2717">
        <v>0</v>
      </c>
      <c r="AF2717">
        <v>1983</v>
      </c>
      <c r="AG2717">
        <v>1989</v>
      </c>
      <c r="AH2717">
        <v>2.7783056593781201</v>
      </c>
      <c r="AI2717">
        <v>1518.57142857142</v>
      </c>
      <c r="AJ2717">
        <v>48.798804457693599</v>
      </c>
      <c r="AK2717">
        <v>93.142857142857096</v>
      </c>
      <c r="AL2717">
        <v>2.1418935024566101</v>
      </c>
      <c r="AM2717">
        <v>0.803622821412734</v>
      </c>
      <c r="AN2717">
        <v>7.29</v>
      </c>
      <c r="AO2717" t="b">
        <v>1</v>
      </c>
      <c r="AP2717" t="s">
        <v>4202</v>
      </c>
      <c r="AQ2717">
        <v>1878</v>
      </c>
      <c r="AR2717">
        <v>1959</v>
      </c>
      <c r="AS2717" t="s">
        <v>11242</v>
      </c>
      <c r="AT2717">
        <v>5.90828199863107</v>
      </c>
      <c r="AU2717">
        <f t="shared" si="128"/>
        <v>1.6E-2</v>
      </c>
    </row>
    <row r="2718" spans="1:47" x14ac:dyDescent="0.3">
      <c r="A2718">
        <v>2716</v>
      </c>
      <c r="B2718" t="s">
        <v>11243</v>
      </c>
      <c r="C2718" t="s">
        <v>11244</v>
      </c>
      <c r="D2718">
        <v>640</v>
      </c>
      <c r="E2718" t="s">
        <v>11134</v>
      </c>
      <c r="F2718" t="str">
        <f>VLOOKUP(E2718,country_continent!A:C,2,FALSE)</f>
        <v>Turkey</v>
      </c>
      <c r="G2718" t="str">
        <f>VLOOKUP(E2718,country_continent!A:C,3,FALSE)</f>
        <v>Asia</v>
      </c>
      <c r="H2718" t="s">
        <v>11245</v>
      </c>
      <c r="I2718" s="1">
        <v>32821</v>
      </c>
      <c r="J2718" s="3">
        <f t="shared" si="126"/>
        <v>32821</v>
      </c>
      <c r="K2718" s="1">
        <v>33413</v>
      </c>
      <c r="L2718" s="3">
        <f t="shared" si="127"/>
        <v>33413</v>
      </c>
      <c r="M2718" t="s">
        <v>49</v>
      </c>
      <c r="N2718" t="s">
        <v>49</v>
      </c>
      <c r="O2718" t="s">
        <v>49</v>
      </c>
      <c r="P2718">
        <v>0</v>
      </c>
      <c r="Q2718" t="s">
        <v>50</v>
      </c>
      <c r="R2718" t="s">
        <v>51</v>
      </c>
      <c r="S2718">
        <v>1935</v>
      </c>
      <c r="T2718">
        <v>-777</v>
      </c>
      <c r="Z2718">
        <v>0</v>
      </c>
      <c r="AA2718">
        <v>1</v>
      </c>
      <c r="AB2718">
        <v>0</v>
      </c>
      <c r="AC2718">
        <v>0</v>
      </c>
      <c r="AF2718">
        <v>1989</v>
      </c>
      <c r="AG2718">
        <v>1991</v>
      </c>
      <c r="AH2718">
        <v>1.5156462304816201</v>
      </c>
      <c r="AI2718">
        <v>2186.6666666666601</v>
      </c>
      <c r="AJ2718">
        <v>64.271111869959199</v>
      </c>
      <c r="AK2718">
        <v>73.866666666666603</v>
      </c>
      <c r="AL2718">
        <v>1.8638552327339299</v>
      </c>
      <c r="AM2718">
        <v>0.56779266900419501</v>
      </c>
      <c r="AN2718">
        <v>9</v>
      </c>
      <c r="AO2718" t="b">
        <v>1</v>
      </c>
      <c r="AP2718" t="s">
        <v>4202</v>
      </c>
      <c r="AQ2718">
        <v>1878</v>
      </c>
      <c r="AR2718">
        <v>1959</v>
      </c>
      <c r="AS2718" t="s">
        <v>11246</v>
      </c>
      <c r="AT2718">
        <v>1.6208076659821999</v>
      </c>
      <c r="AU2718">
        <f t="shared" si="128"/>
        <v>4.0000000000000001E-3</v>
      </c>
    </row>
    <row r="2719" spans="1:47" x14ac:dyDescent="0.3">
      <c r="A2719">
        <v>2717</v>
      </c>
      <c r="B2719" t="s">
        <v>11247</v>
      </c>
      <c r="C2719" t="s">
        <v>11248</v>
      </c>
      <c r="D2719">
        <v>640</v>
      </c>
      <c r="E2719" t="s">
        <v>11134</v>
      </c>
      <c r="F2719" t="str">
        <f>VLOOKUP(E2719,country_continent!A:C,2,FALSE)</f>
        <v>Turkey</v>
      </c>
      <c r="G2719" t="str">
        <f>VLOOKUP(E2719,country_continent!A:C,3,FALSE)</f>
        <v>Asia</v>
      </c>
      <c r="H2719" t="s">
        <v>11249</v>
      </c>
      <c r="I2719" s="1">
        <v>33413</v>
      </c>
      <c r="J2719" s="3">
        <f t="shared" si="126"/>
        <v>33413</v>
      </c>
      <c r="K2719" s="1">
        <v>33562</v>
      </c>
      <c r="L2719" s="3">
        <f t="shared" si="127"/>
        <v>33562</v>
      </c>
      <c r="M2719" t="s">
        <v>49</v>
      </c>
      <c r="N2719" t="s">
        <v>49</v>
      </c>
      <c r="O2719" t="s">
        <v>49</v>
      </c>
      <c r="P2719">
        <v>0</v>
      </c>
      <c r="Q2719" t="s">
        <v>50</v>
      </c>
      <c r="R2719" t="s">
        <v>51</v>
      </c>
      <c r="S2719">
        <v>1947</v>
      </c>
      <c r="T2719">
        <v>2011</v>
      </c>
      <c r="U2719" s="1">
        <v>17477</v>
      </c>
      <c r="V2719" s="2">
        <v>17477</v>
      </c>
      <c r="Y2719" t="s">
        <v>11250</v>
      </c>
      <c r="Z2719">
        <v>0</v>
      </c>
      <c r="AA2719">
        <v>1</v>
      </c>
      <c r="AB2719">
        <v>0</v>
      </c>
      <c r="AC2719">
        <v>0</v>
      </c>
      <c r="AF2719">
        <v>1991</v>
      </c>
      <c r="AG2719">
        <v>1991</v>
      </c>
      <c r="AH2719">
        <v>-1.03629423936709</v>
      </c>
      <c r="AI2719">
        <v>2490</v>
      </c>
      <c r="AJ2719">
        <v>59.164106890933503</v>
      </c>
      <c r="AK2719">
        <v>69.5</v>
      </c>
      <c r="AL2719">
        <v>1.7593985702591299</v>
      </c>
      <c r="AM2719">
        <v>0.422691780652098</v>
      </c>
      <c r="AN2719">
        <v>9</v>
      </c>
      <c r="AO2719" t="b">
        <v>1</v>
      </c>
      <c r="AP2719" t="s">
        <v>4202</v>
      </c>
      <c r="AQ2719">
        <v>1878</v>
      </c>
      <c r="AR2719">
        <v>1959</v>
      </c>
      <c r="AS2719" t="s">
        <v>11251</v>
      </c>
      <c r="AT2719">
        <v>0.407939767282683</v>
      </c>
      <c r="AU2719">
        <f t="shared" si="128"/>
        <v>1E-3</v>
      </c>
    </row>
    <row r="2720" spans="1:47" x14ac:dyDescent="0.3">
      <c r="A2720">
        <v>2718</v>
      </c>
      <c r="B2720" t="s">
        <v>11252</v>
      </c>
      <c r="C2720" t="s">
        <v>11200</v>
      </c>
      <c r="D2720">
        <v>640</v>
      </c>
      <c r="E2720" t="s">
        <v>11134</v>
      </c>
      <c r="F2720" t="str">
        <f>VLOOKUP(E2720,country_continent!A:C,2,FALSE)</f>
        <v>Turkey</v>
      </c>
      <c r="G2720" t="str">
        <f>VLOOKUP(E2720,country_continent!A:C,3,FALSE)</f>
        <v>Asia</v>
      </c>
      <c r="H2720" t="s">
        <v>11201</v>
      </c>
      <c r="I2720" s="1">
        <v>33562</v>
      </c>
      <c r="J2720" s="3">
        <f t="shared" si="126"/>
        <v>33562</v>
      </c>
      <c r="K2720" s="1">
        <v>34105</v>
      </c>
      <c r="L2720" s="3">
        <f t="shared" si="127"/>
        <v>34105</v>
      </c>
      <c r="M2720" t="s">
        <v>49</v>
      </c>
      <c r="N2720" t="s">
        <v>49</v>
      </c>
      <c r="O2720" t="s">
        <v>49</v>
      </c>
      <c r="P2720">
        <v>4</v>
      </c>
      <c r="Q2720" t="s">
        <v>50</v>
      </c>
      <c r="R2720" t="s">
        <v>51</v>
      </c>
      <c r="S2720">
        <v>1924</v>
      </c>
      <c r="T2720">
        <v>-777</v>
      </c>
      <c r="U2720" s="1">
        <v>9046</v>
      </c>
      <c r="V2720" s="2">
        <v>9046</v>
      </c>
      <c r="Z2720">
        <v>0</v>
      </c>
      <c r="AA2720">
        <v>1</v>
      </c>
      <c r="AB2720">
        <v>0</v>
      </c>
      <c r="AC2720">
        <v>0</v>
      </c>
      <c r="AF2720">
        <v>1991</v>
      </c>
      <c r="AG2720">
        <v>1993</v>
      </c>
      <c r="AH2720">
        <v>2.6780035120862999</v>
      </c>
      <c r="AI2720">
        <v>2783.3333333333298</v>
      </c>
      <c r="AJ2720">
        <v>64.247657841297993</v>
      </c>
      <c r="AK2720">
        <v>65.266666666666595</v>
      </c>
      <c r="AL2720">
        <v>1.7297533977149899</v>
      </c>
      <c r="AM2720">
        <v>0.41620852752433801</v>
      </c>
      <c r="AN2720">
        <v>8.67</v>
      </c>
      <c r="AO2720" t="b">
        <v>1</v>
      </c>
      <c r="AP2720" t="s">
        <v>4202</v>
      </c>
      <c r="AQ2720">
        <v>1878</v>
      </c>
      <c r="AR2720">
        <v>1959</v>
      </c>
      <c r="AS2720" t="s">
        <v>11253</v>
      </c>
      <c r="AT2720">
        <v>1.4866529774127299</v>
      </c>
      <c r="AU2720">
        <f t="shared" si="128"/>
        <v>4.0000000000000001E-3</v>
      </c>
    </row>
    <row r="2721" spans="1:47" x14ac:dyDescent="0.3">
      <c r="A2721">
        <v>2719</v>
      </c>
      <c r="B2721" t="s">
        <v>11254</v>
      </c>
      <c r="C2721" t="s">
        <v>11255</v>
      </c>
      <c r="D2721">
        <v>640</v>
      </c>
      <c r="E2721" t="s">
        <v>11134</v>
      </c>
      <c r="F2721" t="str">
        <f>VLOOKUP(E2721,country_continent!A:C,2,FALSE)</f>
        <v>Turkey</v>
      </c>
      <c r="G2721" t="str">
        <f>VLOOKUP(E2721,country_continent!A:C,3,FALSE)</f>
        <v>Asia</v>
      </c>
      <c r="H2721" t="s">
        <v>11256</v>
      </c>
      <c r="I2721" s="1">
        <v>34105</v>
      </c>
      <c r="J2721" s="3">
        <f t="shared" si="126"/>
        <v>34105</v>
      </c>
      <c r="K2721" s="1">
        <v>34145</v>
      </c>
      <c r="L2721" s="3">
        <f t="shared" si="127"/>
        <v>34145</v>
      </c>
      <c r="M2721" t="s">
        <v>49</v>
      </c>
      <c r="N2721" t="s">
        <v>49</v>
      </c>
      <c r="O2721" t="s">
        <v>49</v>
      </c>
      <c r="P2721">
        <v>0</v>
      </c>
      <c r="Q2721" t="s">
        <v>50</v>
      </c>
      <c r="R2721" t="s">
        <v>51</v>
      </c>
      <c r="S2721">
        <v>1926</v>
      </c>
      <c r="T2721">
        <v>2007</v>
      </c>
      <c r="Z2721">
        <v>0</v>
      </c>
      <c r="AA2721">
        <v>1</v>
      </c>
      <c r="AB2721">
        <v>0</v>
      </c>
      <c r="AC2721">
        <v>0</v>
      </c>
      <c r="AD2721" t="s">
        <v>11257</v>
      </c>
      <c r="AE2721">
        <v>1</v>
      </c>
      <c r="AF2721">
        <v>1993</v>
      </c>
      <c r="AG2721">
        <v>1993</v>
      </c>
      <c r="AH2721">
        <v>5.8101307086613403</v>
      </c>
      <c r="AI2721">
        <v>3030</v>
      </c>
      <c r="AJ2721">
        <v>68.379428355981204</v>
      </c>
      <c r="AK2721">
        <v>61.1</v>
      </c>
      <c r="AL2721">
        <v>1.72507084421117</v>
      </c>
      <c r="AM2721">
        <v>0.357725426982687</v>
      </c>
      <c r="AN2721">
        <v>8</v>
      </c>
      <c r="AO2721" t="b">
        <v>1</v>
      </c>
      <c r="AP2721" t="s">
        <v>4202</v>
      </c>
      <c r="AQ2721">
        <v>1878</v>
      </c>
      <c r="AR2721">
        <v>1959</v>
      </c>
      <c r="AS2721" t="s">
        <v>11258</v>
      </c>
      <c r="AT2721">
        <v>0.10951403148528401</v>
      </c>
      <c r="AU2721">
        <f t="shared" si="128"/>
        <v>0</v>
      </c>
    </row>
    <row r="2722" spans="1:47" x14ac:dyDescent="0.3">
      <c r="A2722">
        <v>2720</v>
      </c>
      <c r="B2722" t="s">
        <v>11259</v>
      </c>
      <c r="C2722" t="s">
        <v>11260</v>
      </c>
      <c r="D2722">
        <v>640</v>
      </c>
      <c r="E2722" t="s">
        <v>11134</v>
      </c>
      <c r="F2722" t="str">
        <f>VLOOKUP(E2722,country_continent!A:C,2,FALSE)</f>
        <v>Turkey</v>
      </c>
      <c r="G2722" t="str">
        <f>VLOOKUP(E2722,country_continent!A:C,3,FALSE)</f>
        <v>Asia</v>
      </c>
      <c r="H2722" t="s">
        <v>11261</v>
      </c>
      <c r="I2722" s="1">
        <v>34145</v>
      </c>
      <c r="J2722" s="3">
        <f t="shared" si="126"/>
        <v>34145</v>
      </c>
      <c r="K2722" s="1">
        <v>35130</v>
      </c>
      <c r="L2722" s="3">
        <f t="shared" si="127"/>
        <v>35130</v>
      </c>
      <c r="M2722" t="s">
        <v>49</v>
      </c>
      <c r="N2722" t="s">
        <v>49</v>
      </c>
      <c r="O2722" t="s">
        <v>49</v>
      </c>
      <c r="P2722">
        <v>0</v>
      </c>
      <c r="Q2722" t="s">
        <v>50</v>
      </c>
      <c r="R2722" t="s">
        <v>299</v>
      </c>
      <c r="S2722">
        <v>1946</v>
      </c>
      <c r="T2722">
        <v>-777</v>
      </c>
      <c r="U2722" s="1">
        <v>16946</v>
      </c>
      <c r="V2722" s="2">
        <v>16946</v>
      </c>
      <c r="Y2722" t="s">
        <v>11262</v>
      </c>
      <c r="Z2722">
        <v>0</v>
      </c>
      <c r="AA2722">
        <v>1</v>
      </c>
      <c r="AB2722">
        <v>0</v>
      </c>
      <c r="AC2722">
        <v>0</v>
      </c>
      <c r="AF2722">
        <v>1993</v>
      </c>
      <c r="AG2722">
        <v>1996</v>
      </c>
      <c r="AH2722">
        <v>2.84986984828697</v>
      </c>
      <c r="AI2722">
        <v>2782.5</v>
      </c>
      <c r="AJ2722">
        <v>84.089905057406597</v>
      </c>
      <c r="AK2722">
        <v>55.475000000000001</v>
      </c>
      <c r="AL2722">
        <v>1.6518324068122501</v>
      </c>
      <c r="AM2722">
        <v>0.37369126214617898</v>
      </c>
      <c r="AN2722">
        <v>8</v>
      </c>
      <c r="AO2722" t="b">
        <v>1</v>
      </c>
      <c r="AP2722" t="s">
        <v>4202</v>
      </c>
      <c r="AQ2722">
        <v>1878</v>
      </c>
      <c r="AR2722">
        <v>1959</v>
      </c>
      <c r="AS2722" t="s">
        <v>11263</v>
      </c>
      <c r="AT2722">
        <v>2.6967830253251099</v>
      </c>
      <c r="AU2722">
        <f t="shared" si="128"/>
        <v>7.0000000000000001E-3</v>
      </c>
    </row>
    <row r="2723" spans="1:47" x14ac:dyDescent="0.3">
      <c r="A2723">
        <v>2721</v>
      </c>
      <c r="B2723" t="s">
        <v>11264</v>
      </c>
      <c r="C2723" t="s">
        <v>11248</v>
      </c>
      <c r="D2723">
        <v>640</v>
      </c>
      <c r="E2723" t="s">
        <v>11134</v>
      </c>
      <c r="F2723" t="str">
        <f>VLOOKUP(E2723,country_continent!A:C,2,FALSE)</f>
        <v>Turkey</v>
      </c>
      <c r="G2723" t="str">
        <f>VLOOKUP(E2723,country_continent!A:C,3,FALSE)</f>
        <v>Asia</v>
      </c>
      <c r="H2723" t="s">
        <v>11249</v>
      </c>
      <c r="I2723" s="1">
        <v>35130</v>
      </c>
      <c r="J2723" s="3">
        <f t="shared" si="126"/>
        <v>35130</v>
      </c>
      <c r="K2723" s="1">
        <v>35244</v>
      </c>
      <c r="L2723" s="3">
        <f t="shared" si="127"/>
        <v>35244</v>
      </c>
      <c r="M2723" t="s">
        <v>49</v>
      </c>
      <c r="N2723" t="s">
        <v>49</v>
      </c>
      <c r="O2723" t="s">
        <v>49</v>
      </c>
      <c r="P2723">
        <v>1</v>
      </c>
      <c r="Q2723" t="s">
        <v>50</v>
      </c>
      <c r="R2723" t="s">
        <v>51</v>
      </c>
      <c r="S2723">
        <v>1947</v>
      </c>
      <c r="T2723">
        <v>2011</v>
      </c>
      <c r="U2723" s="1">
        <v>17477</v>
      </c>
      <c r="V2723" s="2">
        <v>17477</v>
      </c>
      <c r="Y2723" t="s">
        <v>11250</v>
      </c>
      <c r="Z2723">
        <v>0</v>
      </c>
      <c r="AA2723">
        <v>1</v>
      </c>
      <c r="AB2723">
        <v>0</v>
      </c>
      <c r="AC2723">
        <v>0</v>
      </c>
      <c r="AF2723">
        <v>1996</v>
      </c>
      <c r="AG2723">
        <v>1996</v>
      </c>
      <c r="AH2723">
        <v>5.7735384927379796</v>
      </c>
      <c r="AI2723">
        <v>2800</v>
      </c>
      <c r="AJ2723">
        <v>77.223512216705998</v>
      </c>
      <c r="AK2723">
        <v>50</v>
      </c>
      <c r="AL2723">
        <v>1.5070440949696999</v>
      </c>
      <c r="AM2723">
        <v>0.375047056554969</v>
      </c>
      <c r="AN2723">
        <v>8</v>
      </c>
      <c r="AO2723" t="b">
        <v>1</v>
      </c>
      <c r="AP2723" t="s">
        <v>4202</v>
      </c>
      <c r="AQ2723">
        <v>1878</v>
      </c>
      <c r="AR2723">
        <v>1959</v>
      </c>
      <c r="AS2723" t="s">
        <v>11265</v>
      </c>
      <c r="AT2723">
        <v>0.31211498973305901</v>
      </c>
      <c r="AU2723">
        <f t="shared" si="128"/>
        <v>1E-3</v>
      </c>
    </row>
    <row r="2724" spans="1:47" x14ac:dyDescent="0.3">
      <c r="A2724">
        <v>2722</v>
      </c>
      <c r="B2724" t="s">
        <v>11266</v>
      </c>
      <c r="C2724" t="s">
        <v>11267</v>
      </c>
      <c r="D2724">
        <v>640</v>
      </c>
      <c r="E2724" t="s">
        <v>11134</v>
      </c>
      <c r="F2724" t="str">
        <f>VLOOKUP(E2724,country_continent!A:C,2,FALSE)</f>
        <v>Turkey</v>
      </c>
      <c r="G2724" t="str">
        <f>VLOOKUP(E2724,country_continent!A:C,3,FALSE)</f>
        <v>Asia</v>
      </c>
      <c r="H2724" t="s">
        <v>11268</v>
      </c>
      <c r="I2724" s="1">
        <v>35244</v>
      </c>
      <c r="J2724" s="3">
        <f t="shared" si="126"/>
        <v>35244</v>
      </c>
      <c r="K2724" s="1">
        <v>35611</v>
      </c>
      <c r="L2724" s="3">
        <f t="shared" si="127"/>
        <v>35611</v>
      </c>
      <c r="M2724" t="s">
        <v>49</v>
      </c>
      <c r="N2724" t="s">
        <v>67</v>
      </c>
      <c r="O2724" t="s">
        <v>376</v>
      </c>
      <c r="P2724">
        <v>0</v>
      </c>
      <c r="Q2724" t="s">
        <v>50</v>
      </c>
      <c r="R2724" t="s">
        <v>51</v>
      </c>
      <c r="S2724">
        <v>1926</v>
      </c>
      <c r="T2724">
        <v>-777</v>
      </c>
      <c r="U2724" s="1">
        <v>9799</v>
      </c>
      <c r="V2724" s="2">
        <v>9799</v>
      </c>
      <c r="Y2724" t="s">
        <v>11269</v>
      </c>
      <c r="Z2724">
        <v>0</v>
      </c>
      <c r="AA2724">
        <v>3</v>
      </c>
      <c r="AB2724">
        <v>6</v>
      </c>
      <c r="AC2724">
        <v>0</v>
      </c>
      <c r="AF2724">
        <v>1996</v>
      </c>
      <c r="AG2724">
        <v>1997</v>
      </c>
      <c r="AH2724">
        <v>5.90382381003975</v>
      </c>
      <c r="AI2724">
        <v>2930</v>
      </c>
      <c r="AJ2724">
        <v>79.339187399383803</v>
      </c>
      <c r="AK2724">
        <v>48.3</v>
      </c>
      <c r="AL2724">
        <v>1.47613268032151</v>
      </c>
      <c r="AM2724">
        <v>0.33284377398729298</v>
      </c>
      <c r="AN2724">
        <v>7.5</v>
      </c>
      <c r="AO2724" t="b">
        <v>1</v>
      </c>
      <c r="AP2724" t="s">
        <v>4202</v>
      </c>
      <c r="AQ2724">
        <v>1878</v>
      </c>
      <c r="AR2724">
        <v>1959</v>
      </c>
      <c r="AS2724" t="s">
        <v>11270</v>
      </c>
      <c r="AT2724">
        <v>1.00479123887748</v>
      </c>
      <c r="AU2724">
        <f t="shared" si="128"/>
        <v>3.0000000000000001E-3</v>
      </c>
    </row>
    <row r="2725" spans="1:47" x14ac:dyDescent="0.3">
      <c r="A2725">
        <v>2723</v>
      </c>
      <c r="B2725" t="s">
        <v>11271</v>
      </c>
      <c r="C2725" t="s">
        <v>11248</v>
      </c>
      <c r="D2725">
        <v>640</v>
      </c>
      <c r="E2725" t="s">
        <v>11134</v>
      </c>
      <c r="F2725" t="str">
        <f>VLOOKUP(E2725,country_continent!A:C,2,FALSE)</f>
        <v>Turkey</v>
      </c>
      <c r="G2725" t="str">
        <f>VLOOKUP(E2725,country_continent!A:C,3,FALSE)</f>
        <v>Asia</v>
      </c>
      <c r="H2725" t="s">
        <v>11249</v>
      </c>
      <c r="I2725" s="1">
        <v>35611</v>
      </c>
      <c r="J2725" s="3">
        <f t="shared" si="126"/>
        <v>35611</v>
      </c>
      <c r="K2725" s="1">
        <v>36171</v>
      </c>
      <c r="L2725" s="3">
        <f t="shared" si="127"/>
        <v>36171</v>
      </c>
      <c r="M2725" t="s">
        <v>67</v>
      </c>
      <c r="N2725" t="s">
        <v>49</v>
      </c>
      <c r="O2725" t="s">
        <v>49</v>
      </c>
      <c r="P2725">
        <v>2</v>
      </c>
      <c r="Q2725" t="s">
        <v>50</v>
      </c>
      <c r="R2725" t="s">
        <v>51</v>
      </c>
      <c r="S2725">
        <v>1947</v>
      </c>
      <c r="T2725">
        <v>2011</v>
      </c>
      <c r="U2725" s="1">
        <v>17477</v>
      </c>
      <c r="V2725" s="2">
        <v>17477</v>
      </c>
      <c r="Y2725" t="s">
        <v>11250</v>
      </c>
      <c r="Z2725">
        <v>1</v>
      </c>
      <c r="AA2725">
        <v>1</v>
      </c>
      <c r="AB2725">
        <v>0</v>
      </c>
      <c r="AC2725">
        <v>0</v>
      </c>
      <c r="AF2725">
        <v>1997</v>
      </c>
      <c r="AG2725">
        <v>1999</v>
      </c>
      <c r="AH2725">
        <v>0.82486147518809505</v>
      </c>
      <c r="AI2725">
        <v>3276.6666666666601</v>
      </c>
      <c r="AJ2725">
        <v>93.124827500262199</v>
      </c>
      <c r="AK2725">
        <v>43.4</v>
      </c>
      <c r="AL2725">
        <v>1.39144863398069</v>
      </c>
      <c r="AM2725">
        <v>0.20587446895380401</v>
      </c>
      <c r="AN2725">
        <v>7</v>
      </c>
      <c r="AO2725" t="b">
        <v>1</v>
      </c>
      <c r="AP2725" t="s">
        <v>4202</v>
      </c>
      <c r="AQ2725">
        <v>1878</v>
      </c>
      <c r="AR2725">
        <v>1959</v>
      </c>
      <c r="AS2725" t="s">
        <v>11272</v>
      </c>
      <c r="AT2725">
        <v>1.53319644079397</v>
      </c>
      <c r="AU2725">
        <f t="shared" si="128"/>
        <v>4.0000000000000001E-3</v>
      </c>
    </row>
    <row r="2726" spans="1:47" x14ac:dyDescent="0.3">
      <c r="A2726">
        <v>2724</v>
      </c>
      <c r="B2726" t="s">
        <v>11273</v>
      </c>
      <c r="C2726" t="s">
        <v>11216</v>
      </c>
      <c r="D2726">
        <v>640</v>
      </c>
      <c r="E2726" t="s">
        <v>11134</v>
      </c>
      <c r="F2726" t="str">
        <f>VLOOKUP(E2726,country_continent!A:C,2,FALSE)</f>
        <v>Turkey</v>
      </c>
      <c r="G2726" t="str">
        <f>VLOOKUP(E2726,country_continent!A:C,3,FALSE)</f>
        <v>Asia</v>
      </c>
      <c r="H2726" t="s">
        <v>11217</v>
      </c>
      <c r="I2726" s="1">
        <v>36171</v>
      </c>
      <c r="J2726" s="3">
        <f t="shared" si="126"/>
        <v>36171</v>
      </c>
      <c r="K2726" s="1">
        <v>37578</v>
      </c>
      <c r="L2726" s="3">
        <f t="shared" si="127"/>
        <v>37578</v>
      </c>
      <c r="M2726" t="s">
        <v>49</v>
      </c>
      <c r="N2726" t="s">
        <v>49</v>
      </c>
      <c r="O2726" t="s">
        <v>49</v>
      </c>
      <c r="P2726">
        <v>3</v>
      </c>
      <c r="Q2726" t="s">
        <v>463</v>
      </c>
      <c r="R2726" t="s">
        <v>51</v>
      </c>
      <c r="S2726">
        <v>1925</v>
      </c>
      <c r="T2726">
        <v>2006</v>
      </c>
      <c r="U2726" s="1">
        <v>9280</v>
      </c>
      <c r="V2726" s="2">
        <v>9280</v>
      </c>
      <c r="W2726" s="1">
        <v>39026</v>
      </c>
      <c r="X2726" s="2">
        <v>39026</v>
      </c>
      <c r="Y2726" t="s">
        <v>11218</v>
      </c>
      <c r="Z2726">
        <v>0</v>
      </c>
      <c r="AA2726">
        <v>1</v>
      </c>
      <c r="AB2726">
        <v>0</v>
      </c>
      <c r="AC2726">
        <v>2</v>
      </c>
      <c r="AF2726">
        <v>1999</v>
      </c>
      <c r="AG2726">
        <v>2002</v>
      </c>
      <c r="AH2726">
        <v>-0.180265962541071</v>
      </c>
      <c r="AI2726">
        <v>3645</v>
      </c>
      <c r="AJ2726">
        <v>48.548829014750197</v>
      </c>
      <c r="AK2726">
        <v>36.15</v>
      </c>
      <c r="AL2726">
        <v>1.2674114106104299</v>
      </c>
      <c r="AM2726">
        <v>0.230954174311157</v>
      </c>
      <c r="AN2726">
        <v>7</v>
      </c>
      <c r="AO2726" t="b">
        <v>1</v>
      </c>
      <c r="AP2726" t="s">
        <v>4202</v>
      </c>
      <c r="AQ2726">
        <v>1878</v>
      </c>
      <c r="AR2726">
        <v>1959</v>
      </c>
      <c r="AS2726" t="s">
        <v>11274</v>
      </c>
      <c r="AT2726">
        <v>3.8521560574948599</v>
      </c>
      <c r="AU2726">
        <f t="shared" si="128"/>
        <v>1.0999999999999999E-2</v>
      </c>
    </row>
    <row r="2727" spans="1:47" x14ac:dyDescent="0.3">
      <c r="A2727">
        <v>2725</v>
      </c>
      <c r="B2727" t="s">
        <v>11275</v>
      </c>
      <c r="C2727" t="s">
        <v>11276</v>
      </c>
      <c r="D2727">
        <v>640</v>
      </c>
      <c r="E2727" t="s">
        <v>11134</v>
      </c>
      <c r="F2727" t="str">
        <f>VLOOKUP(E2727,country_continent!A:C,2,FALSE)</f>
        <v>Turkey</v>
      </c>
      <c r="G2727" t="str">
        <f>VLOOKUP(E2727,country_continent!A:C,3,FALSE)</f>
        <v>Asia</v>
      </c>
      <c r="H2727" t="s">
        <v>11277</v>
      </c>
      <c r="I2727" s="1">
        <v>37579</v>
      </c>
      <c r="J2727" s="3">
        <f t="shared" si="126"/>
        <v>37579</v>
      </c>
      <c r="K2727" s="1">
        <v>37694</v>
      </c>
      <c r="L2727" s="3">
        <f t="shared" si="127"/>
        <v>37694</v>
      </c>
      <c r="M2727" t="s">
        <v>49</v>
      </c>
      <c r="N2727" t="s">
        <v>49</v>
      </c>
      <c r="O2727" t="s">
        <v>49</v>
      </c>
      <c r="P2727">
        <v>0</v>
      </c>
      <c r="Q2727" t="s">
        <v>50</v>
      </c>
      <c r="R2727" t="s">
        <v>51</v>
      </c>
      <c r="S2727">
        <v>1950</v>
      </c>
      <c r="T2727">
        <v>-777</v>
      </c>
      <c r="Z2727">
        <v>0</v>
      </c>
      <c r="AA2727">
        <v>1</v>
      </c>
      <c r="AB2727">
        <v>0</v>
      </c>
      <c r="AC2727">
        <v>0</v>
      </c>
      <c r="AF2727">
        <v>2002</v>
      </c>
      <c r="AG2727">
        <v>2003</v>
      </c>
      <c r="AH2727">
        <v>4.8571309005178502</v>
      </c>
      <c r="AI2727">
        <v>3670</v>
      </c>
      <c r="AJ2727">
        <v>30.432050910547101</v>
      </c>
      <c r="AK2727">
        <v>31.05</v>
      </c>
      <c r="AL2727">
        <v>1.1834078516020401</v>
      </c>
      <c r="AM2727">
        <v>0.197107781921354</v>
      </c>
      <c r="AN2727">
        <v>7</v>
      </c>
      <c r="AO2727" t="b">
        <v>1</v>
      </c>
      <c r="AP2727" t="s">
        <v>4202</v>
      </c>
      <c r="AQ2727">
        <v>1878</v>
      </c>
      <c r="AR2727">
        <v>1959</v>
      </c>
      <c r="AS2727" t="s">
        <v>11278</v>
      </c>
      <c r="AT2727">
        <v>0.31485284052019102</v>
      </c>
      <c r="AU2727">
        <f t="shared" si="128"/>
        <v>1E-3</v>
      </c>
    </row>
    <row r="2728" spans="1:47" x14ac:dyDescent="0.3">
      <c r="A2728">
        <v>2726</v>
      </c>
      <c r="B2728" t="s">
        <v>11279</v>
      </c>
      <c r="C2728" t="s">
        <v>11280</v>
      </c>
      <c r="D2728">
        <v>640</v>
      </c>
      <c r="E2728" t="s">
        <v>11134</v>
      </c>
      <c r="F2728" t="str">
        <f>VLOOKUP(E2728,country_continent!A:C,2,FALSE)</f>
        <v>Turkey</v>
      </c>
      <c r="G2728" t="str">
        <f>VLOOKUP(E2728,country_continent!A:C,3,FALSE)</f>
        <v>Asia</v>
      </c>
      <c r="H2728" t="s">
        <v>11281</v>
      </c>
      <c r="I2728" s="1">
        <v>37694</v>
      </c>
      <c r="J2728" s="3">
        <f t="shared" si="126"/>
        <v>37694</v>
      </c>
      <c r="K2728" s="1">
        <v>42369</v>
      </c>
      <c r="L2728" s="3">
        <f t="shared" si="127"/>
        <v>42369</v>
      </c>
      <c r="M2728" t="s">
        <v>49</v>
      </c>
      <c r="N2728" t="s">
        <v>173</v>
      </c>
      <c r="O2728" t="s">
        <v>173</v>
      </c>
      <c r="P2728">
        <v>0</v>
      </c>
      <c r="Q2728" t="s">
        <v>174</v>
      </c>
      <c r="R2728" t="s">
        <v>51</v>
      </c>
      <c r="S2728">
        <v>1954</v>
      </c>
      <c r="T2728">
        <v>-777</v>
      </c>
      <c r="U2728" s="1">
        <v>19781</v>
      </c>
      <c r="V2728" s="2">
        <v>19781</v>
      </c>
      <c r="Y2728" t="s">
        <v>11282</v>
      </c>
      <c r="Z2728">
        <v>0</v>
      </c>
      <c r="AA2728">
        <v>-888</v>
      </c>
      <c r="AB2728">
        <v>-888</v>
      </c>
      <c r="AC2728">
        <v>-888</v>
      </c>
      <c r="AF2728">
        <v>2003</v>
      </c>
      <c r="AG2728">
        <v>2015</v>
      </c>
      <c r="AH2728">
        <v>4.6346022471944499</v>
      </c>
      <c r="AI2728">
        <v>9411.5384615384592</v>
      </c>
      <c r="AJ2728">
        <v>9.2321634388121794</v>
      </c>
      <c r="AK2728">
        <v>20.1307692307692</v>
      </c>
      <c r="AL2728">
        <v>1.18527143138737</v>
      </c>
      <c r="AM2728">
        <v>0.52069188419940005</v>
      </c>
      <c r="AN2728">
        <v>6.85</v>
      </c>
      <c r="AO2728" t="b">
        <v>1</v>
      </c>
      <c r="AP2728" t="s">
        <v>4202</v>
      </c>
      <c r="AQ2728">
        <v>1878</v>
      </c>
      <c r="AR2728">
        <v>1959</v>
      </c>
      <c r="AS2728" t="s">
        <v>11283</v>
      </c>
      <c r="AT2728">
        <v>12.7994524298425</v>
      </c>
      <c r="AU2728">
        <f t="shared" si="128"/>
        <v>3.5000000000000003E-2</v>
      </c>
    </row>
    <row r="2729" spans="1:47" x14ac:dyDescent="0.3">
      <c r="A2729">
        <v>2727</v>
      </c>
      <c r="B2729" t="s">
        <v>11284</v>
      </c>
      <c r="C2729" t="s">
        <v>11285</v>
      </c>
      <c r="D2729">
        <v>645</v>
      </c>
      <c r="E2729" t="s">
        <v>11286</v>
      </c>
      <c r="F2729" t="str">
        <f>VLOOKUP(E2729,country_continent!A:C,2,FALSE)</f>
        <v>Iraq</v>
      </c>
      <c r="G2729" t="str">
        <f>VLOOKUP(E2729,country_continent!A:C,3,FALSE)</f>
        <v>Asia</v>
      </c>
      <c r="H2729" t="s">
        <v>11287</v>
      </c>
      <c r="I2729" s="1">
        <v>11965</v>
      </c>
      <c r="J2729" s="3">
        <f t="shared" si="126"/>
        <v>11965</v>
      </c>
      <c r="K2729" s="1">
        <v>12305</v>
      </c>
      <c r="L2729" s="3">
        <f t="shared" si="127"/>
        <v>12305</v>
      </c>
      <c r="M2729" t="s">
        <v>49</v>
      </c>
      <c r="N2729" t="s">
        <v>110</v>
      </c>
      <c r="O2729" t="s">
        <v>49</v>
      </c>
      <c r="P2729">
        <v>0</v>
      </c>
      <c r="Q2729" t="s">
        <v>111</v>
      </c>
      <c r="R2729" t="s">
        <v>51</v>
      </c>
      <c r="S2729">
        <v>1885</v>
      </c>
      <c r="T2729">
        <v>1933</v>
      </c>
      <c r="U2729" t="s">
        <v>11288</v>
      </c>
      <c r="V2729" t="s">
        <v>11289</v>
      </c>
      <c r="W2729" s="1">
        <v>12305</v>
      </c>
      <c r="X2729" s="2">
        <v>12305</v>
      </c>
      <c r="Y2729" t="s">
        <v>11290</v>
      </c>
      <c r="Z2729">
        <v>0</v>
      </c>
      <c r="AA2729">
        <v>2</v>
      </c>
      <c r="AB2729">
        <v>0</v>
      </c>
      <c r="AC2729">
        <v>-777</v>
      </c>
      <c r="AF2729">
        <v>1932</v>
      </c>
      <c r="AG2729">
        <v>1933</v>
      </c>
      <c r="AO2729" t="b">
        <v>1</v>
      </c>
      <c r="AP2729" t="s">
        <v>4202</v>
      </c>
      <c r="AQ2729">
        <v>1932</v>
      </c>
      <c r="AR2729">
        <v>1970</v>
      </c>
      <c r="AS2729" t="s">
        <v>11291</v>
      </c>
      <c r="AT2729">
        <v>0.93086926762491395</v>
      </c>
      <c r="AU2729">
        <f t="shared" si="128"/>
        <v>3.0000000000000001E-3</v>
      </c>
    </row>
    <row r="2730" spans="1:47" x14ac:dyDescent="0.3">
      <c r="A2730">
        <v>2728</v>
      </c>
      <c r="B2730" t="s">
        <v>11292</v>
      </c>
      <c r="C2730" t="s">
        <v>11293</v>
      </c>
      <c r="D2730">
        <v>645</v>
      </c>
      <c r="E2730" t="s">
        <v>11286</v>
      </c>
      <c r="F2730" t="str">
        <f>VLOOKUP(E2730,country_continent!A:C,2,FALSE)</f>
        <v>Iraq</v>
      </c>
      <c r="G2730" t="str">
        <f>VLOOKUP(E2730,country_continent!A:C,3,FALSE)</f>
        <v>Asia</v>
      </c>
      <c r="H2730" t="s">
        <v>11294</v>
      </c>
      <c r="I2730" s="1">
        <v>12305</v>
      </c>
      <c r="J2730" s="3">
        <f t="shared" si="126"/>
        <v>12305</v>
      </c>
      <c r="K2730" s="1">
        <v>14339</v>
      </c>
      <c r="L2730" s="3">
        <f t="shared" si="127"/>
        <v>14339</v>
      </c>
      <c r="M2730" t="s">
        <v>49</v>
      </c>
      <c r="N2730" t="s">
        <v>110</v>
      </c>
      <c r="O2730" t="s">
        <v>49</v>
      </c>
      <c r="P2730">
        <v>0</v>
      </c>
      <c r="Q2730" t="s">
        <v>111</v>
      </c>
      <c r="R2730" t="s">
        <v>51</v>
      </c>
      <c r="S2730">
        <v>1912</v>
      </c>
      <c r="T2730">
        <v>1939</v>
      </c>
      <c r="U2730" s="1">
        <v>4464</v>
      </c>
      <c r="V2730" s="2">
        <v>4464</v>
      </c>
      <c r="W2730" s="1">
        <v>14339</v>
      </c>
      <c r="X2730" s="2">
        <v>14339</v>
      </c>
      <c r="Y2730" t="s">
        <v>11295</v>
      </c>
      <c r="Z2730">
        <v>0</v>
      </c>
      <c r="AA2730">
        <v>2</v>
      </c>
      <c r="AB2730">
        <v>0</v>
      </c>
      <c r="AC2730">
        <v>-777</v>
      </c>
      <c r="AF2730">
        <v>1933</v>
      </c>
      <c r="AG2730">
        <v>1939</v>
      </c>
      <c r="AO2730" t="b">
        <v>1</v>
      </c>
      <c r="AP2730" t="s">
        <v>4202</v>
      </c>
      <c r="AQ2730">
        <v>1932</v>
      </c>
      <c r="AR2730">
        <v>1970</v>
      </c>
      <c r="AS2730" t="s">
        <v>11296</v>
      </c>
      <c r="AT2730">
        <v>5.56878850102669</v>
      </c>
      <c r="AU2730">
        <f t="shared" si="128"/>
        <v>1.4999999999999999E-2</v>
      </c>
    </row>
    <row r="2731" spans="1:47" x14ac:dyDescent="0.3">
      <c r="A2731">
        <v>2729</v>
      </c>
      <c r="B2731" t="s">
        <v>11297</v>
      </c>
      <c r="C2731" t="s">
        <v>11298</v>
      </c>
      <c r="D2731">
        <v>645</v>
      </c>
      <c r="E2731" t="s">
        <v>11286</v>
      </c>
      <c r="F2731" t="str">
        <f>VLOOKUP(E2731,country_continent!A:C,2,FALSE)</f>
        <v>Iraq</v>
      </c>
      <c r="G2731" t="str">
        <f>VLOOKUP(E2731,country_continent!A:C,3,FALSE)</f>
        <v>Asia</v>
      </c>
      <c r="H2731" t="s">
        <v>11299</v>
      </c>
      <c r="I2731" s="1">
        <v>14339</v>
      </c>
      <c r="J2731" s="3">
        <f t="shared" si="126"/>
        <v>14339</v>
      </c>
      <c r="K2731" s="1">
        <v>19481</v>
      </c>
      <c r="L2731" s="3">
        <f t="shared" si="127"/>
        <v>19481</v>
      </c>
      <c r="M2731" t="s">
        <v>49</v>
      </c>
      <c r="N2731" t="s">
        <v>49</v>
      </c>
      <c r="O2731" t="s">
        <v>49</v>
      </c>
      <c r="P2731">
        <v>0</v>
      </c>
      <c r="Q2731" t="s">
        <v>50</v>
      </c>
      <c r="R2731" t="s">
        <v>51</v>
      </c>
      <c r="S2731">
        <v>1913</v>
      </c>
      <c r="T2731">
        <v>1958</v>
      </c>
      <c r="U2731" s="1">
        <v>5067</v>
      </c>
      <c r="V2731" s="2">
        <v>5067</v>
      </c>
      <c r="W2731" s="1">
        <v>21380</v>
      </c>
      <c r="X2731" s="2">
        <v>21380</v>
      </c>
      <c r="Z2731">
        <v>0</v>
      </c>
      <c r="AA2731">
        <v>1</v>
      </c>
      <c r="AB2731">
        <v>0</v>
      </c>
      <c r="AC2731">
        <v>0</v>
      </c>
      <c r="AF2731">
        <v>1939</v>
      </c>
      <c r="AG2731">
        <v>1953</v>
      </c>
      <c r="AN2731">
        <v>-4</v>
      </c>
      <c r="AO2731" t="b">
        <v>1</v>
      </c>
      <c r="AP2731" t="s">
        <v>4202</v>
      </c>
      <c r="AQ2731">
        <v>1932</v>
      </c>
      <c r="AR2731">
        <v>1970</v>
      </c>
      <c r="AS2731" t="s">
        <v>11300</v>
      </c>
      <c r="AT2731">
        <v>14.0780287474332</v>
      </c>
      <c r="AU2731">
        <f t="shared" si="128"/>
        <v>3.9E-2</v>
      </c>
    </row>
    <row r="2732" spans="1:47" x14ac:dyDescent="0.3">
      <c r="A2732">
        <v>2730</v>
      </c>
      <c r="B2732" t="s">
        <v>11301</v>
      </c>
      <c r="C2732" t="s">
        <v>11302</v>
      </c>
      <c r="D2732">
        <v>645</v>
      </c>
      <c r="E2732" t="s">
        <v>11286</v>
      </c>
      <c r="F2732" t="str">
        <f>VLOOKUP(E2732,country_continent!A:C,2,FALSE)</f>
        <v>Iraq</v>
      </c>
      <c r="G2732" t="str">
        <f>VLOOKUP(E2732,country_continent!A:C,3,FALSE)</f>
        <v>Asia</v>
      </c>
      <c r="H2732" t="s">
        <v>11303</v>
      </c>
      <c r="I2732" s="1">
        <v>19481</v>
      </c>
      <c r="J2732" s="3">
        <f t="shared" si="126"/>
        <v>19481</v>
      </c>
      <c r="K2732" s="1">
        <v>21380</v>
      </c>
      <c r="L2732" s="3">
        <f t="shared" si="127"/>
        <v>21380</v>
      </c>
      <c r="M2732" t="s">
        <v>49</v>
      </c>
      <c r="N2732" t="s">
        <v>67</v>
      </c>
      <c r="O2732" t="s">
        <v>376</v>
      </c>
      <c r="P2732">
        <v>0</v>
      </c>
      <c r="Q2732" t="s">
        <v>69</v>
      </c>
      <c r="R2732" t="s">
        <v>51</v>
      </c>
      <c r="S2732">
        <v>1935</v>
      </c>
      <c r="T2732">
        <v>1958</v>
      </c>
      <c r="U2732" s="1">
        <v>12906</v>
      </c>
      <c r="V2732" s="2">
        <v>12906</v>
      </c>
      <c r="W2732" s="1">
        <v>21380</v>
      </c>
      <c r="X2732" s="2">
        <v>21380</v>
      </c>
      <c r="Y2732" t="s">
        <v>11304</v>
      </c>
      <c r="Z2732">
        <v>0</v>
      </c>
      <c r="AA2732">
        <v>3</v>
      </c>
      <c r="AB2732">
        <v>6</v>
      </c>
      <c r="AC2732">
        <v>3</v>
      </c>
      <c r="AF2732">
        <v>1953</v>
      </c>
      <c r="AG2732">
        <v>1958</v>
      </c>
      <c r="AN2732">
        <v>-4.17</v>
      </c>
      <c r="AO2732" t="b">
        <v>1</v>
      </c>
      <c r="AP2732" t="s">
        <v>4202</v>
      </c>
      <c r="AQ2732">
        <v>1932</v>
      </c>
      <c r="AR2732">
        <v>1970</v>
      </c>
      <c r="AS2732" t="s">
        <v>11305</v>
      </c>
      <c r="AT2732">
        <v>5.1991786447638599</v>
      </c>
      <c r="AU2732">
        <f t="shared" si="128"/>
        <v>1.4E-2</v>
      </c>
    </row>
    <row r="2733" spans="1:47" x14ac:dyDescent="0.3">
      <c r="A2733">
        <v>2731</v>
      </c>
      <c r="B2733" t="s">
        <v>11306</v>
      </c>
      <c r="C2733" t="s">
        <v>11307</v>
      </c>
      <c r="D2733">
        <v>645</v>
      </c>
      <c r="E2733" t="s">
        <v>11286</v>
      </c>
      <c r="F2733" t="str">
        <f>VLOOKUP(E2733,country_continent!A:C,2,FALSE)</f>
        <v>Iraq</v>
      </c>
      <c r="G2733" t="str">
        <f>VLOOKUP(E2733,country_continent!A:C,3,FALSE)</f>
        <v>Asia</v>
      </c>
      <c r="H2733" t="s">
        <v>11308</v>
      </c>
      <c r="I2733" s="1">
        <v>21380</v>
      </c>
      <c r="J2733" s="3">
        <f t="shared" si="126"/>
        <v>21380</v>
      </c>
      <c r="K2733" s="1">
        <v>23050</v>
      </c>
      <c r="L2733" s="3">
        <f t="shared" si="127"/>
        <v>23050</v>
      </c>
      <c r="M2733" t="s">
        <v>67</v>
      </c>
      <c r="N2733" t="s">
        <v>67</v>
      </c>
      <c r="O2733" t="s">
        <v>376</v>
      </c>
      <c r="P2733">
        <v>0</v>
      </c>
      <c r="Q2733" t="s">
        <v>69</v>
      </c>
      <c r="R2733" t="s">
        <v>51</v>
      </c>
      <c r="S2733">
        <v>1914</v>
      </c>
      <c r="T2733">
        <v>1963</v>
      </c>
      <c r="U2733" s="1">
        <v>5238</v>
      </c>
      <c r="V2733" s="2">
        <v>5238</v>
      </c>
      <c r="W2733" s="1">
        <v>23051</v>
      </c>
      <c r="X2733" s="2">
        <v>23051</v>
      </c>
      <c r="Z2733">
        <v>1</v>
      </c>
      <c r="AA2733">
        <v>3</v>
      </c>
      <c r="AB2733">
        <v>6</v>
      </c>
      <c r="AC2733">
        <v>3</v>
      </c>
      <c r="AF2733">
        <v>1958</v>
      </c>
      <c r="AG2733">
        <v>1963</v>
      </c>
      <c r="AH2733">
        <v>1.77159268509408</v>
      </c>
      <c r="AI2733">
        <v>300</v>
      </c>
      <c r="AJ2733">
        <v>0.71797007465847196</v>
      </c>
      <c r="AK2733">
        <v>174.62499999999901</v>
      </c>
      <c r="AL2733">
        <v>2.9330317483831898</v>
      </c>
      <c r="AN2733">
        <v>-5</v>
      </c>
      <c r="AO2733" t="b">
        <v>1</v>
      </c>
      <c r="AP2733" t="s">
        <v>4202</v>
      </c>
      <c r="AQ2733">
        <v>1932</v>
      </c>
      <c r="AR2733">
        <v>1970</v>
      </c>
      <c r="AS2733" t="s">
        <v>11309</v>
      </c>
      <c r="AT2733">
        <v>4.5722108145106004</v>
      </c>
      <c r="AU2733">
        <f t="shared" si="128"/>
        <v>1.2999999999999999E-2</v>
      </c>
    </row>
    <row r="2734" spans="1:47" x14ac:dyDescent="0.3">
      <c r="A2734">
        <v>2732</v>
      </c>
      <c r="B2734" t="s">
        <v>11310</v>
      </c>
      <c r="C2734" t="s">
        <v>11311</v>
      </c>
      <c r="D2734">
        <v>645</v>
      </c>
      <c r="E2734" t="s">
        <v>11286</v>
      </c>
      <c r="F2734" t="str">
        <f>VLOOKUP(E2734,country_continent!A:C,2,FALSE)</f>
        <v>Iraq</v>
      </c>
      <c r="G2734" t="str">
        <f>VLOOKUP(E2734,country_continent!A:C,3,FALSE)</f>
        <v>Asia</v>
      </c>
      <c r="H2734" t="s">
        <v>11312</v>
      </c>
      <c r="I2734" s="1">
        <v>23050</v>
      </c>
      <c r="J2734" s="3">
        <f t="shared" si="126"/>
        <v>23050</v>
      </c>
      <c r="K2734" s="1">
        <v>24210</v>
      </c>
      <c r="L2734" s="3">
        <f t="shared" si="127"/>
        <v>24210</v>
      </c>
      <c r="M2734" t="s">
        <v>67</v>
      </c>
      <c r="N2734" t="s">
        <v>110</v>
      </c>
      <c r="O2734" t="s">
        <v>49</v>
      </c>
      <c r="P2734">
        <v>0</v>
      </c>
      <c r="Q2734" t="s">
        <v>111</v>
      </c>
      <c r="R2734" t="s">
        <v>51</v>
      </c>
      <c r="S2734">
        <v>1921</v>
      </c>
      <c r="T2734">
        <v>1966</v>
      </c>
      <c r="U2734" s="1">
        <v>7751</v>
      </c>
      <c r="V2734" s="2">
        <v>7751</v>
      </c>
      <c r="W2734" s="1">
        <v>24210</v>
      </c>
      <c r="X2734" s="2">
        <v>24210</v>
      </c>
      <c r="Y2734" t="s">
        <v>11313</v>
      </c>
      <c r="Z2734">
        <v>1</v>
      </c>
      <c r="AA2734">
        <v>2</v>
      </c>
      <c r="AB2734">
        <v>0</v>
      </c>
      <c r="AC2734">
        <v>-777</v>
      </c>
      <c r="AD2734" t="s">
        <v>11314</v>
      </c>
      <c r="AE2734">
        <v>0</v>
      </c>
      <c r="AF2734">
        <v>1963</v>
      </c>
      <c r="AG2734">
        <v>1966</v>
      </c>
      <c r="AH2734">
        <v>4.6591773696254304</v>
      </c>
      <c r="AI2734">
        <v>347.5</v>
      </c>
      <c r="AJ2734">
        <v>0.93479400950017999</v>
      </c>
      <c r="AK2734">
        <v>147.82499999999999</v>
      </c>
      <c r="AL2734">
        <v>3.3739727735813299</v>
      </c>
      <c r="AN2734">
        <v>-5</v>
      </c>
      <c r="AO2734" t="b">
        <v>1</v>
      </c>
      <c r="AP2734" t="s">
        <v>4202</v>
      </c>
      <c r="AQ2734">
        <v>1932</v>
      </c>
      <c r="AR2734">
        <v>1970</v>
      </c>
      <c r="AS2734" t="s">
        <v>11315</v>
      </c>
      <c r="AT2734">
        <v>3.1759069130732298</v>
      </c>
      <c r="AU2734">
        <f t="shared" si="128"/>
        <v>8.9999999999999993E-3</v>
      </c>
    </row>
    <row r="2735" spans="1:47" x14ac:dyDescent="0.3">
      <c r="A2735">
        <v>2733</v>
      </c>
      <c r="B2735" t="s">
        <v>11316</v>
      </c>
      <c r="C2735" t="s">
        <v>11317</v>
      </c>
      <c r="D2735">
        <v>645</v>
      </c>
      <c r="E2735" t="s">
        <v>11286</v>
      </c>
      <c r="F2735" t="str">
        <f>VLOOKUP(E2735,country_continent!A:C,2,FALSE)</f>
        <v>Iraq</v>
      </c>
      <c r="G2735" t="str">
        <f>VLOOKUP(E2735,country_continent!A:C,3,FALSE)</f>
        <v>Asia</v>
      </c>
      <c r="H2735" t="s">
        <v>11318</v>
      </c>
      <c r="I2735" s="1">
        <v>24214</v>
      </c>
      <c r="J2735" s="3">
        <f t="shared" si="126"/>
        <v>24214</v>
      </c>
      <c r="K2735" s="1">
        <v>25036</v>
      </c>
      <c r="L2735" s="3">
        <f t="shared" si="127"/>
        <v>25036</v>
      </c>
      <c r="M2735" t="s">
        <v>49</v>
      </c>
      <c r="N2735" t="s">
        <v>67</v>
      </c>
      <c r="O2735" t="s">
        <v>376</v>
      </c>
      <c r="P2735">
        <v>0</v>
      </c>
      <c r="Q2735" t="s">
        <v>362</v>
      </c>
      <c r="R2735" t="s">
        <v>51</v>
      </c>
      <c r="S2735">
        <v>1916</v>
      </c>
      <c r="T2735">
        <v>2007</v>
      </c>
      <c r="Z2735">
        <v>0</v>
      </c>
      <c r="AA2735">
        <v>3</v>
      </c>
      <c r="AB2735">
        <v>6</v>
      </c>
      <c r="AC2735">
        <v>1</v>
      </c>
      <c r="AD2735" t="s">
        <v>11319</v>
      </c>
      <c r="AE2735">
        <v>1</v>
      </c>
      <c r="AF2735">
        <v>1966</v>
      </c>
      <c r="AG2735">
        <v>1968</v>
      </c>
      <c r="AH2735">
        <v>1.6802014310798199</v>
      </c>
      <c r="AI2735">
        <v>383.33333333333297</v>
      </c>
      <c r="AJ2735">
        <v>2.9443778324324001</v>
      </c>
      <c r="AK2735">
        <v>129.96666666666599</v>
      </c>
      <c r="AL2735">
        <v>3.4077122386525001</v>
      </c>
      <c r="AN2735">
        <v>-5.67</v>
      </c>
      <c r="AO2735" t="b">
        <v>1</v>
      </c>
      <c r="AP2735" t="s">
        <v>4202</v>
      </c>
      <c r="AQ2735">
        <v>1932</v>
      </c>
      <c r="AR2735">
        <v>1970</v>
      </c>
      <c r="AS2735" t="s">
        <v>11320</v>
      </c>
      <c r="AT2735">
        <v>2.2505133470225802</v>
      </c>
      <c r="AU2735">
        <f t="shared" si="128"/>
        <v>6.0000000000000001E-3</v>
      </c>
    </row>
    <row r="2736" spans="1:47" x14ac:dyDescent="0.3">
      <c r="A2736">
        <v>2734</v>
      </c>
      <c r="B2736" t="s">
        <v>11321</v>
      </c>
      <c r="C2736" t="s">
        <v>11322</v>
      </c>
      <c r="D2736">
        <v>645</v>
      </c>
      <c r="E2736" t="s">
        <v>11286</v>
      </c>
      <c r="F2736" t="str">
        <f>VLOOKUP(E2736,country_continent!A:C,2,FALSE)</f>
        <v>Iraq</v>
      </c>
      <c r="G2736" t="str">
        <f>VLOOKUP(E2736,country_continent!A:C,3,FALSE)</f>
        <v>Asia</v>
      </c>
      <c r="H2736" t="s">
        <v>11323</v>
      </c>
      <c r="I2736" s="1">
        <v>25036</v>
      </c>
      <c r="J2736" s="3">
        <f t="shared" si="126"/>
        <v>25036</v>
      </c>
      <c r="K2736" s="1">
        <v>29052</v>
      </c>
      <c r="L2736" s="3">
        <f t="shared" si="127"/>
        <v>29052</v>
      </c>
      <c r="M2736" t="s">
        <v>67</v>
      </c>
      <c r="N2736" t="s">
        <v>49</v>
      </c>
      <c r="O2736" t="s">
        <v>49</v>
      </c>
      <c r="P2736">
        <v>0</v>
      </c>
      <c r="Q2736" t="s">
        <v>1453</v>
      </c>
      <c r="R2736" t="s">
        <v>51</v>
      </c>
      <c r="S2736">
        <v>1914</v>
      </c>
      <c r="T2736">
        <v>1982</v>
      </c>
      <c r="U2736" s="1">
        <v>5296</v>
      </c>
      <c r="V2736" s="2">
        <v>5296</v>
      </c>
      <c r="W2736" s="1">
        <v>30228</v>
      </c>
      <c r="X2736" s="2">
        <v>30228</v>
      </c>
      <c r="Y2736" t="s">
        <v>11324</v>
      </c>
      <c r="Z2736">
        <v>1</v>
      </c>
      <c r="AA2736">
        <v>1</v>
      </c>
      <c r="AB2736">
        <v>0</v>
      </c>
      <c r="AC2736">
        <v>-666</v>
      </c>
      <c r="AD2736" t="s">
        <v>11325</v>
      </c>
      <c r="AE2736">
        <v>0</v>
      </c>
      <c r="AF2736">
        <v>1968</v>
      </c>
      <c r="AG2736">
        <v>1979</v>
      </c>
      <c r="AH2736">
        <v>6.86548644939346</v>
      </c>
      <c r="AI2736">
        <v>1281.6666666666599</v>
      </c>
      <c r="AJ2736">
        <v>13.698899929648199</v>
      </c>
      <c r="AK2736">
        <v>97.0833333333333</v>
      </c>
      <c r="AL2736">
        <v>3.38018038344965</v>
      </c>
      <c r="AM2736">
        <v>39.771061833776201</v>
      </c>
      <c r="AN2736">
        <v>-7.17</v>
      </c>
      <c r="AO2736" t="b">
        <v>1</v>
      </c>
      <c r="AP2736" t="s">
        <v>4202</v>
      </c>
      <c r="AQ2736">
        <v>1932</v>
      </c>
      <c r="AR2736">
        <v>1970</v>
      </c>
      <c r="AS2736" t="s">
        <v>11326</v>
      </c>
      <c r="AT2736">
        <v>10.9952087611225</v>
      </c>
      <c r="AU2736">
        <f t="shared" si="128"/>
        <v>0.03</v>
      </c>
    </row>
    <row r="2737" spans="1:47" x14ac:dyDescent="0.3">
      <c r="A2737">
        <v>2735</v>
      </c>
      <c r="B2737" t="s">
        <v>11327</v>
      </c>
      <c r="C2737" t="s">
        <v>11328</v>
      </c>
      <c r="D2737">
        <v>645</v>
      </c>
      <c r="E2737" t="s">
        <v>11286</v>
      </c>
      <c r="F2737" t="str">
        <f>VLOOKUP(E2737,country_continent!A:C,2,FALSE)</f>
        <v>Iraq</v>
      </c>
      <c r="G2737" t="str">
        <f>VLOOKUP(E2737,country_continent!A:C,3,FALSE)</f>
        <v>Asia</v>
      </c>
      <c r="H2737" t="s">
        <v>11329</v>
      </c>
      <c r="I2737" s="1">
        <v>29052</v>
      </c>
      <c r="J2737" s="3">
        <f t="shared" si="126"/>
        <v>29052</v>
      </c>
      <c r="K2737" s="1">
        <v>37720</v>
      </c>
      <c r="L2737" s="3">
        <f t="shared" si="127"/>
        <v>37720</v>
      </c>
      <c r="M2737" t="s">
        <v>49</v>
      </c>
      <c r="N2737" t="s">
        <v>633</v>
      </c>
      <c r="O2737" t="s">
        <v>634</v>
      </c>
      <c r="P2737">
        <v>0</v>
      </c>
      <c r="Q2737" t="s">
        <v>463</v>
      </c>
      <c r="R2737" t="s">
        <v>51</v>
      </c>
      <c r="S2737">
        <v>1937</v>
      </c>
      <c r="T2737">
        <v>2006</v>
      </c>
      <c r="U2737" s="1">
        <v>13633</v>
      </c>
      <c r="V2737" s="2">
        <v>13633</v>
      </c>
      <c r="W2737" s="1">
        <v>39081</v>
      </c>
      <c r="X2737" s="2">
        <v>39081</v>
      </c>
      <c r="Y2737" t="s">
        <v>11330</v>
      </c>
      <c r="Z2737">
        <v>0</v>
      </c>
      <c r="AA2737">
        <v>4</v>
      </c>
      <c r="AB2737">
        <v>9</v>
      </c>
      <c r="AC2737">
        <v>2</v>
      </c>
      <c r="AD2737" t="s">
        <v>11331</v>
      </c>
      <c r="AF2737">
        <v>1979</v>
      </c>
      <c r="AG2737">
        <v>2003</v>
      </c>
      <c r="AH2737">
        <v>3.52653107933775</v>
      </c>
      <c r="AI2737">
        <v>2037.6</v>
      </c>
      <c r="AJ2737">
        <v>53.516270724925597</v>
      </c>
      <c r="AK2737">
        <v>57.74</v>
      </c>
      <c r="AL2737">
        <v>2.9708268990731801</v>
      </c>
      <c r="AM2737">
        <v>32.942188380949197</v>
      </c>
      <c r="AN2737">
        <v>-9</v>
      </c>
      <c r="AO2737" t="b">
        <v>1</v>
      </c>
      <c r="AP2737" t="s">
        <v>4202</v>
      </c>
      <c r="AQ2737">
        <v>1932</v>
      </c>
      <c r="AR2737">
        <v>1970</v>
      </c>
      <c r="AS2737" t="s">
        <v>11332</v>
      </c>
      <c r="AT2737">
        <v>23.731690622860999</v>
      </c>
      <c r="AU2737">
        <f t="shared" si="128"/>
        <v>6.5000000000000002E-2</v>
      </c>
    </row>
    <row r="2738" spans="1:47" x14ac:dyDescent="0.3">
      <c r="A2738">
        <v>2736</v>
      </c>
      <c r="B2738" t="s">
        <v>11333</v>
      </c>
      <c r="C2738" t="s">
        <v>11334</v>
      </c>
      <c r="D2738">
        <v>645</v>
      </c>
      <c r="E2738" t="s">
        <v>11286</v>
      </c>
      <c r="F2738" t="str">
        <f>VLOOKUP(E2738,country_continent!A:C,2,FALSE)</f>
        <v>Iraq</v>
      </c>
      <c r="G2738" t="str">
        <f>VLOOKUP(E2738,country_continent!A:C,3,FALSE)</f>
        <v>Asia</v>
      </c>
      <c r="H2738" t="s">
        <v>11335</v>
      </c>
      <c r="I2738" s="1">
        <v>37720</v>
      </c>
      <c r="J2738" s="3">
        <f t="shared" si="126"/>
        <v>37720</v>
      </c>
      <c r="K2738" s="1">
        <v>37732</v>
      </c>
      <c r="L2738" s="3">
        <f t="shared" si="127"/>
        <v>37732</v>
      </c>
      <c r="M2738" t="s">
        <v>637</v>
      </c>
      <c r="N2738" t="s">
        <v>49</v>
      </c>
      <c r="O2738" t="s">
        <v>49</v>
      </c>
      <c r="P2738">
        <v>0</v>
      </c>
      <c r="Q2738" t="s">
        <v>50</v>
      </c>
      <c r="R2738" t="s">
        <v>51</v>
      </c>
      <c r="S2738">
        <v>1945</v>
      </c>
      <c r="T2738">
        <v>-777</v>
      </c>
      <c r="Z2738">
        <v>2</v>
      </c>
      <c r="AA2738">
        <v>1</v>
      </c>
      <c r="AB2738">
        <v>0</v>
      </c>
      <c r="AC2738">
        <v>0</v>
      </c>
      <c r="AF2738">
        <v>2003</v>
      </c>
      <c r="AG2738">
        <v>2003</v>
      </c>
      <c r="AH2738">
        <v>-38.538218287190197</v>
      </c>
      <c r="AI2738">
        <v>790</v>
      </c>
      <c r="AJ2738">
        <v>13.8561168354067</v>
      </c>
      <c r="AK2738">
        <v>41.6</v>
      </c>
      <c r="AL2738">
        <v>3.0152323575378901</v>
      </c>
      <c r="AM2738">
        <v>53.298091608018602</v>
      </c>
      <c r="AO2738" t="b">
        <v>1</v>
      </c>
      <c r="AP2738" t="s">
        <v>4202</v>
      </c>
      <c r="AQ2738">
        <v>1932</v>
      </c>
      <c r="AR2738">
        <v>1970</v>
      </c>
      <c r="AS2738" t="s">
        <v>11336</v>
      </c>
      <c r="AT2738">
        <v>3.2854209445585203E-2</v>
      </c>
      <c r="AU2738">
        <f t="shared" si="128"/>
        <v>0</v>
      </c>
    </row>
    <row r="2739" spans="1:47" x14ac:dyDescent="0.3">
      <c r="A2739">
        <v>2737</v>
      </c>
      <c r="B2739" t="s">
        <v>11337</v>
      </c>
      <c r="C2739" t="s">
        <v>11338</v>
      </c>
      <c r="D2739">
        <v>645</v>
      </c>
      <c r="E2739" t="s">
        <v>11286</v>
      </c>
      <c r="F2739" t="str">
        <f>VLOOKUP(E2739,country_continent!A:C,2,FALSE)</f>
        <v>Iraq</v>
      </c>
      <c r="G2739" t="str">
        <f>VLOOKUP(E2739,country_continent!A:C,3,FALSE)</f>
        <v>Asia</v>
      </c>
      <c r="H2739" t="s">
        <v>11339</v>
      </c>
      <c r="I2739" s="1">
        <v>37732</v>
      </c>
      <c r="J2739" s="3">
        <f t="shared" si="126"/>
        <v>37732</v>
      </c>
      <c r="K2739" s="1">
        <v>37753</v>
      </c>
      <c r="L2739" s="3">
        <f t="shared" si="127"/>
        <v>37753</v>
      </c>
      <c r="M2739" t="s">
        <v>637</v>
      </c>
      <c r="N2739" t="s">
        <v>49</v>
      </c>
      <c r="O2739" t="s">
        <v>49</v>
      </c>
      <c r="P2739">
        <v>0</v>
      </c>
      <c r="Q2739" t="s">
        <v>50</v>
      </c>
      <c r="R2739" t="s">
        <v>51</v>
      </c>
      <c r="S2739">
        <v>1938</v>
      </c>
      <c r="T2739">
        <v>-777</v>
      </c>
      <c r="Z2739">
        <v>2</v>
      </c>
      <c r="AA2739">
        <v>1</v>
      </c>
      <c r="AB2739">
        <v>0</v>
      </c>
      <c r="AC2739">
        <v>0</v>
      </c>
      <c r="AF2739">
        <v>2003</v>
      </c>
      <c r="AG2739">
        <v>2003</v>
      </c>
      <c r="AH2739">
        <v>-38.538218287190197</v>
      </c>
      <c r="AI2739">
        <v>790</v>
      </c>
      <c r="AJ2739">
        <v>13.8561168354067</v>
      </c>
      <c r="AK2739">
        <v>41.6</v>
      </c>
      <c r="AL2739">
        <v>3.0152323575378901</v>
      </c>
      <c r="AM2739">
        <v>53.298091608018602</v>
      </c>
      <c r="AO2739" t="b">
        <v>1</v>
      </c>
      <c r="AP2739" t="s">
        <v>4202</v>
      </c>
      <c r="AQ2739">
        <v>1932</v>
      </c>
      <c r="AR2739">
        <v>1970</v>
      </c>
      <c r="AS2739" t="s">
        <v>11340</v>
      </c>
      <c r="AT2739">
        <v>5.7494866529774098E-2</v>
      </c>
      <c r="AU2739">
        <f t="shared" si="128"/>
        <v>0</v>
      </c>
    </row>
    <row r="2740" spans="1:47" x14ac:dyDescent="0.3">
      <c r="A2740">
        <v>2738</v>
      </c>
      <c r="B2740" t="s">
        <v>11341</v>
      </c>
      <c r="C2740" t="s">
        <v>11342</v>
      </c>
      <c r="D2740">
        <v>645</v>
      </c>
      <c r="E2740" t="s">
        <v>11286</v>
      </c>
      <c r="F2740" t="str">
        <f>VLOOKUP(E2740,country_continent!A:C,2,FALSE)</f>
        <v>Iraq</v>
      </c>
      <c r="G2740" t="str">
        <f>VLOOKUP(E2740,country_continent!A:C,3,FALSE)</f>
        <v>Asia</v>
      </c>
      <c r="H2740" t="s">
        <v>11343</v>
      </c>
      <c r="I2740" s="1">
        <v>37753</v>
      </c>
      <c r="J2740" s="3">
        <f t="shared" si="126"/>
        <v>37753</v>
      </c>
      <c r="K2740" s="1">
        <v>38166</v>
      </c>
      <c r="L2740" s="3">
        <f t="shared" si="127"/>
        <v>38166</v>
      </c>
      <c r="M2740" t="s">
        <v>637</v>
      </c>
      <c r="N2740" t="s">
        <v>49</v>
      </c>
      <c r="O2740" t="s">
        <v>49</v>
      </c>
      <c r="P2740">
        <v>0</v>
      </c>
      <c r="Q2740" t="s">
        <v>50</v>
      </c>
      <c r="R2740" t="s">
        <v>51</v>
      </c>
      <c r="S2740">
        <v>1941</v>
      </c>
      <c r="T2740">
        <v>-777</v>
      </c>
      <c r="Z2740">
        <v>2</v>
      </c>
      <c r="AA2740">
        <v>1</v>
      </c>
      <c r="AB2740">
        <v>0</v>
      </c>
      <c r="AC2740">
        <v>0</v>
      </c>
      <c r="AF2740">
        <v>2003</v>
      </c>
      <c r="AG2740">
        <v>2004</v>
      </c>
      <c r="AH2740">
        <v>5.2678171476289899</v>
      </c>
      <c r="AI2740">
        <v>1050</v>
      </c>
      <c r="AJ2740">
        <v>15.582728861530001</v>
      </c>
      <c r="AK2740">
        <v>41.15</v>
      </c>
      <c r="AL2740">
        <v>2.93325770779798</v>
      </c>
      <c r="AM2740">
        <v>59.036922417012399</v>
      </c>
      <c r="AO2740" t="b">
        <v>1</v>
      </c>
      <c r="AP2740" t="s">
        <v>4202</v>
      </c>
      <c r="AQ2740">
        <v>1932</v>
      </c>
      <c r="AR2740">
        <v>1970</v>
      </c>
      <c r="AS2740" t="s">
        <v>11344</v>
      </c>
      <c r="AT2740">
        <v>1.13073237508555</v>
      </c>
      <c r="AU2740">
        <f t="shared" si="128"/>
        <v>3.0000000000000001E-3</v>
      </c>
    </row>
    <row r="2741" spans="1:47" x14ac:dyDescent="0.3">
      <c r="A2741">
        <v>2739</v>
      </c>
      <c r="B2741" t="s">
        <v>11345</v>
      </c>
      <c r="C2741" t="s">
        <v>11346</v>
      </c>
      <c r="D2741">
        <v>645</v>
      </c>
      <c r="E2741" t="s">
        <v>11286</v>
      </c>
      <c r="F2741" t="str">
        <f>VLOOKUP(E2741,country_continent!A:C,2,FALSE)</f>
        <v>Iraq</v>
      </c>
      <c r="G2741" t="str">
        <f>VLOOKUP(E2741,country_continent!A:C,3,FALSE)</f>
        <v>Asia</v>
      </c>
      <c r="H2741" t="s">
        <v>11347</v>
      </c>
      <c r="I2741" s="1">
        <v>38166</v>
      </c>
      <c r="J2741" s="3">
        <f t="shared" si="126"/>
        <v>38166</v>
      </c>
      <c r="K2741" s="1">
        <v>38475</v>
      </c>
      <c r="L2741" s="3">
        <f t="shared" si="127"/>
        <v>38475</v>
      </c>
      <c r="M2741" t="s">
        <v>49</v>
      </c>
      <c r="N2741" t="s">
        <v>49</v>
      </c>
      <c r="O2741" t="s">
        <v>49</v>
      </c>
      <c r="P2741">
        <v>0</v>
      </c>
      <c r="Q2741" t="s">
        <v>50</v>
      </c>
      <c r="R2741" t="s">
        <v>51</v>
      </c>
      <c r="S2741">
        <v>1945</v>
      </c>
      <c r="T2741">
        <v>-777</v>
      </c>
      <c r="Z2741">
        <v>0</v>
      </c>
      <c r="AA2741">
        <v>1</v>
      </c>
      <c r="AB2741">
        <v>0</v>
      </c>
      <c r="AC2741">
        <v>0</v>
      </c>
      <c r="AF2741">
        <v>2004</v>
      </c>
      <c r="AG2741">
        <v>2005</v>
      </c>
      <c r="AH2741">
        <v>23.889952493051201</v>
      </c>
      <c r="AI2741">
        <v>1410</v>
      </c>
      <c r="AJ2741">
        <v>26.5813650855047</v>
      </c>
      <c r="AK2741">
        <v>40.200000000000003</v>
      </c>
      <c r="AL2741">
        <v>2.9075132646372701</v>
      </c>
      <c r="AM2741">
        <v>65.047125012293407</v>
      </c>
      <c r="AO2741" t="b">
        <v>1</v>
      </c>
      <c r="AP2741" t="s">
        <v>4202</v>
      </c>
      <c r="AQ2741">
        <v>1932</v>
      </c>
      <c r="AR2741">
        <v>1970</v>
      </c>
      <c r="AS2741" t="s">
        <v>11348</v>
      </c>
      <c r="AT2741">
        <v>0.84599589322381896</v>
      </c>
      <c r="AU2741">
        <f t="shared" si="128"/>
        <v>2E-3</v>
      </c>
    </row>
    <row r="2742" spans="1:47" x14ac:dyDescent="0.3">
      <c r="A2742">
        <v>2740</v>
      </c>
      <c r="B2742" t="s">
        <v>11349</v>
      </c>
      <c r="C2742" t="s">
        <v>11350</v>
      </c>
      <c r="D2742">
        <v>645</v>
      </c>
      <c r="E2742" t="s">
        <v>11286</v>
      </c>
      <c r="F2742" t="str">
        <f>VLOOKUP(E2742,country_continent!A:C,2,FALSE)</f>
        <v>Iraq</v>
      </c>
      <c r="G2742" t="str">
        <f>VLOOKUP(E2742,country_continent!A:C,3,FALSE)</f>
        <v>Asia</v>
      </c>
      <c r="H2742" t="s">
        <v>11351</v>
      </c>
      <c r="I2742" s="1">
        <v>38475</v>
      </c>
      <c r="J2742" s="3">
        <f t="shared" si="126"/>
        <v>38475</v>
      </c>
      <c r="K2742" s="1">
        <v>38857</v>
      </c>
      <c r="L2742" s="3">
        <f t="shared" si="127"/>
        <v>38857</v>
      </c>
      <c r="M2742" t="s">
        <v>49</v>
      </c>
      <c r="N2742" t="s">
        <v>49</v>
      </c>
      <c r="O2742" t="s">
        <v>49</v>
      </c>
      <c r="P2742">
        <v>0</v>
      </c>
      <c r="Q2742" t="s">
        <v>50</v>
      </c>
      <c r="R2742" t="s">
        <v>51</v>
      </c>
      <c r="S2742">
        <v>1947</v>
      </c>
      <c r="T2742">
        <v>-777</v>
      </c>
      <c r="Z2742">
        <v>0</v>
      </c>
      <c r="AA2742">
        <v>1</v>
      </c>
      <c r="AB2742">
        <v>0</v>
      </c>
      <c r="AC2742">
        <v>0</v>
      </c>
      <c r="AF2742">
        <v>2005</v>
      </c>
      <c r="AG2742">
        <v>2006</v>
      </c>
      <c r="AH2742">
        <v>1.7862887772096401</v>
      </c>
      <c r="AI2742">
        <v>1695</v>
      </c>
      <c r="AJ2742">
        <v>29.453724937335998</v>
      </c>
      <c r="AK2742">
        <v>39.25</v>
      </c>
      <c r="AL2742">
        <v>1.8485034562946101</v>
      </c>
      <c r="AM2742">
        <v>64.522724723074006</v>
      </c>
      <c r="AO2742" t="b">
        <v>1</v>
      </c>
      <c r="AP2742" t="s">
        <v>4202</v>
      </c>
      <c r="AQ2742">
        <v>1932</v>
      </c>
      <c r="AR2742">
        <v>1970</v>
      </c>
      <c r="AS2742" t="s">
        <v>11352</v>
      </c>
      <c r="AT2742">
        <v>1.0458590006844599</v>
      </c>
      <c r="AU2742">
        <f t="shared" si="128"/>
        <v>3.0000000000000001E-3</v>
      </c>
    </row>
    <row r="2743" spans="1:47" x14ac:dyDescent="0.3">
      <c r="A2743">
        <v>2741</v>
      </c>
      <c r="B2743" t="s">
        <v>11353</v>
      </c>
      <c r="C2743" t="s">
        <v>11354</v>
      </c>
      <c r="D2743">
        <v>645</v>
      </c>
      <c r="E2743" t="s">
        <v>11286</v>
      </c>
      <c r="F2743" t="str">
        <f>VLOOKUP(E2743,country_continent!A:C,2,FALSE)</f>
        <v>Iraq</v>
      </c>
      <c r="G2743" t="str">
        <f>VLOOKUP(E2743,country_continent!A:C,3,FALSE)</f>
        <v>Asia</v>
      </c>
      <c r="H2743" t="s">
        <v>11355</v>
      </c>
      <c r="I2743" s="1">
        <v>38857</v>
      </c>
      <c r="J2743" s="3">
        <f t="shared" si="126"/>
        <v>38857</v>
      </c>
      <c r="K2743" s="1">
        <v>41890</v>
      </c>
      <c r="L2743" s="3">
        <f t="shared" si="127"/>
        <v>41890</v>
      </c>
      <c r="M2743" t="s">
        <v>49</v>
      </c>
      <c r="N2743" t="s">
        <v>49</v>
      </c>
      <c r="O2743" t="s">
        <v>49</v>
      </c>
      <c r="P2743">
        <v>0</v>
      </c>
      <c r="Q2743" t="s">
        <v>50</v>
      </c>
      <c r="R2743" t="s">
        <v>51</v>
      </c>
      <c r="S2743">
        <v>1950</v>
      </c>
      <c r="T2743">
        <v>-777</v>
      </c>
      <c r="U2743" s="1">
        <v>18434</v>
      </c>
      <c r="V2743" s="2">
        <v>18434</v>
      </c>
      <c r="Z2743">
        <v>0</v>
      </c>
      <c r="AA2743">
        <v>1</v>
      </c>
      <c r="AB2743">
        <v>0</v>
      </c>
      <c r="AC2743">
        <v>0</v>
      </c>
      <c r="AF2743">
        <v>2006</v>
      </c>
      <c r="AG2743">
        <v>2014</v>
      </c>
      <c r="AH2743">
        <v>3.37338961315263</v>
      </c>
      <c r="AI2743">
        <v>4445.5555555555502</v>
      </c>
      <c r="AJ2743">
        <v>9.6972544479184108</v>
      </c>
      <c r="AK2743">
        <v>34.577777777777698</v>
      </c>
      <c r="AL2743">
        <v>2.80034929017474</v>
      </c>
      <c r="AM2743">
        <v>49.909960658043197</v>
      </c>
      <c r="AN2743">
        <v>3.6</v>
      </c>
      <c r="AO2743" t="b">
        <v>1</v>
      </c>
      <c r="AP2743" t="s">
        <v>4202</v>
      </c>
      <c r="AQ2743">
        <v>1932</v>
      </c>
      <c r="AR2743">
        <v>1970</v>
      </c>
      <c r="AS2743" t="s">
        <v>11356</v>
      </c>
      <c r="AT2743">
        <v>8.3039014373716604</v>
      </c>
      <c r="AU2743">
        <f t="shared" si="128"/>
        <v>2.3E-2</v>
      </c>
    </row>
    <row r="2744" spans="1:47" x14ac:dyDescent="0.3">
      <c r="A2744">
        <v>2742</v>
      </c>
      <c r="B2744" t="s">
        <v>11357</v>
      </c>
      <c r="C2744" t="s">
        <v>11358</v>
      </c>
      <c r="D2744">
        <v>645</v>
      </c>
      <c r="E2744" t="s">
        <v>11286</v>
      </c>
      <c r="F2744" t="str">
        <f>VLOOKUP(E2744,country_continent!A:C,2,FALSE)</f>
        <v>Iraq</v>
      </c>
      <c r="G2744" t="str">
        <f>VLOOKUP(E2744,country_continent!A:C,3,FALSE)</f>
        <v>Asia</v>
      </c>
      <c r="H2744" t="s">
        <v>11359</v>
      </c>
      <c r="I2744" s="1">
        <v>41890</v>
      </c>
      <c r="J2744" s="3">
        <f t="shared" si="126"/>
        <v>41890</v>
      </c>
      <c r="K2744" s="1">
        <v>42369</v>
      </c>
      <c r="L2744" s="3">
        <f t="shared" si="127"/>
        <v>42369</v>
      </c>
      <c r="M2744" t="s">
        <v>49</v>
      </c>
      <c r="N2744" t="s">
        <v>173</v>
      </c>
      <c r="O2744" t="s">
        <v>173</v>
      </c>
      <c r="P2744">
        <v>0</v>
      </c>
      <c r="Q2744" t="s">
        <v>174</v>
      </c>
      <c r="R2744" t="s">
        <v>51</v>
      </c>
      <c r="S2744">
        <v>1952</v>
      </c>
      <c r="T2744">
        <v>-777</v>
      </c>
      <c r="U2744" s="1">
        <v>19109</v>
      </c>
      <c r="V2744" s="2">
        <v>19109</v>
      </c>
      <c r="Z2744">
        <v>0</v>
      </c>
      <c r="AA2744">
        <v>-888</v>
      </c>
      <c r="AB2744">
        <v>-888</v>
      </c>
      <c r="AC2744">
        <v>-888</v>
      </c>
      <c r="AF2744">
        <v>2014</v>
      </c>
      <c r="AG2744">
        <v>2015</v>
      </c>
      <c r="AH2744">
        <v>-0.71893837867766297</v>
      </c>
      <c r="AI2744">
        <v>5950</v>
      </c>
      <c r="AJ2744">
        <v>-16.783386212645901</v>
      </c>
      <c r="AK2744">
        <v>29.9</v>
      </c>
      <c r="AL2744">
        <v>3.1290645507313402</v>
      </c>
      <c r="AM2744">
        <v>42.179056679610802</v>
      </c>
      <c r="AN2744">
        <v>6</v>
      </c>
      <c r="AO2744" t="b">
        <v>1</v>
      </c>
      <c r="AP2744" t="s">
        <v>4202</v>
      </c>
      <c r="AQ2744">
        <v>1932</v>
      </c>
      <c r="AR2744">
        <v>1970</v>
      </c>
      <c r="AS2744" t="s">
        <v>11360</v>
      </c>
      <c r="AT2744">
        <v>1.3114305270362701</v>
      </c>
      <c r="AU2744">
        <f t="shared" si="128"/>
        <v>4.0000000000000001E-3</v>
      </c>
    </row>
    <row r="2745" spans="1:47" x14ac:dyDescent="0.3">
      <c r="A2745">
        <v>2743</v>
      </c>
      <c r="B2745" t="s">
        <v>11361</v>
      </c>
      <c r="C2745" t="s">
        <v>11362</v>
      </c>
      <c r="D2745">
        <v>651</v>
      </c>
      <c r="E2745" t="s">
        <v>11363</v>
      </c>
      <c r="F2745" t="str">
        <f>VLOOKUP(E2745,country_continent!A:C,2,FALSE)</f>
        <v>Egypt</v>
      </c>
      <c r="G2745" t="str">
        <f>VLOOKUP(E2745,country_continent!A:C,3,FALSE)</f>
        <v>Africa</v>
      </c>
      <c r="H2745" t="s">
        <v>11364</v>
      </c>
      <c r="I2745" s="1">
        <v>8095</v>
      </c>
      <c r="J2745" s="3">
        <f t="shared" si="126"/>
        <v>8095</v>
      </c>
      <c r="K2745" s="1">
        <v>13268</v>
      </c>
      <c r="L2745" s="3">
        <f t="shared" si="127"/>
        <v>13268</v>
      </c>
      <c r="M2745" t="s">
        <v>49</v>
      </c>
      <c r="N2745" t="s">
        <v>110</v>
      </c>
      <c r="O2745" t="s">
        <v>49</v>
      </c>
      <c r="P2745">
        <v>0</v>
      </c>
      <c r="Q2745" t="s">
        <v>111</v>
      </c>
      <c r="R2745" t="s">
        <v>51</v>
      </c>
      <c r="S2745">
        <v>1868</v>
      </c>
      <c r="T2745">
        <v>1936</v>
      </c>
      <c r="U2745" t="s">
        <v>11365</v>
      </c>
      <c r="V2745" t="s">
        <v>11366</v>
      </c>
      <c r="W2745" s="1">
        <v>13268</v>
      </c>
      <c r="X2745" s="2">
        <v>13268</v>
      </c>
      <c r="Y2745" t="s">
        <v>11367</v>
      </c>
      <c r="Z2745">
        <v>0</v>
      </c>
      <c r="AA2745">
        <v>2</v>
      </c>
      <c r="AB2745">
        <v>0</v>
      </c>
      <c r="AC2745">
        <v>-777</v>
      </c>
      <c r="AF2745">
        <v>1922</v>
      </c>
      <c r="AG2745">
        <v>1936</v>
      </c>
      <c r="AO2745" t="b">
        <v>1</v>
      </c>
      <c r="AP2745" t="s">
        <v>4202</v>
      </c>
      <c r="AQ2745">
        <v>1937</v>
      </c>
      <c r="AR2745">
        <v>1957</v>
      </c>
      <c r="AS2745" t="s">
        <v>11368</v>
      </c>
      <c r="AT2745">
        <v>14.1629021218343</v>
      </c>
      <c r="AU2745">
        <f t="shared" si="128"/>
        <v>3.9E-2</v>
      </c>
    </row>
    <row r="2746" spans="1:47" x14ac:dyDescent="0.3">
      <c r="A2746">
        <v>2744</v>
      </c>
      <c r="B2746" t="s">
        <v>11369</v>
      </c>
      <c r="C2746" t="s">
        <v>11370</v>
      </c>
      <c r="D2746">
        <v>651</v>
      </c>
      <c r="E2746" t="s">
        <v>11363</v>
      </c>
      <c r="F2746" t="str">
        <f>VLOOKUP(E2746,country_continent!A:C,2,FALSE)</f>
        <v>Egypt</v>
      </c>
      <c r="G2746" t="str">
        <f>VLOOKUP(E2746,country_continent!A:C,3,FALSE)</f>
        <v>Africa</v>
      </c>
      <c r="H2746" t="s">
        <v>11371</v>
      </c>
      <c r="I2746" s="1">
        <v>13268</v>
      </c>
      <c r="J2746" s="3">
        <f t="shared" si="126"/>
        <v>13268</v>
      </c>
      <c r="K2746" s="1">
        <v>19197</v>
      </c>
      <c r="L2746" s="3">
        <f t="shared" si="127"/>
        <v>19197</v>
      </c>
      <c r="M2746" t="s">
        <v>49</v>
      </c>
      <c r="N2746" t="s">
        <v>67</v>
      </c>
      <c r="O2746" t="s">
        <v>376</v>
      </c>
      <c r="P2746">
        <v>0</v>
      </c>
      <c r="Q2746" t="s">
        <v>362</v>
      </c>
      <c r="R2746" t="s">
        <v>51</v>
      </c>
      <c r="S2746">
        <v>1920</v>
      </c>
      <c r="T2746">
        <v>1965</v>
      </c>
      <c r="U2746" s="1">
        <v>7347</v>
      </c>
      <c r="V2746" s="2">
        <v>7347</v>
      </c>
      <c r="W2746" s="1">
        <v>23819</v>
      </c>
      <c r="X2746" s="2">
        <v>23819</v>
      </c>
      <c r="Y2746" t="s">
        <v>11372</v>
      </c>
      <c r="Z2746">
        <v>0</v>
      </c>
      <c r="AA2746">
        <v>3</v>
      </c>
      <c r="AB2746">
        <v>6</v>
      </c>
      <c r="AC2746">
        <v>1</v>
      </c>
      <c r="AF2746">
        <v>1936</v>
      </c>
      <c r="AG2746">
        <v>1952</v>
      </c>
      <c r="AN2746">
        <v>-0.5</v>
      </c>
      <c r="AO2746" t="b">
        <v>1</v>
      </c>
      <c r="AP2746" t="s">
        <v>4202</v>
      </c>
      <c r="AQ2746">
        <v>1937</v>
      </c>
      <c r="AR2746">
        <v>1957</v>
      </c>
      <c r="AS2746" t="s">
        <v>11373</v>
      </c>
      <c r="AT2746">
        <v>16.2327173169062</v>
      </c>
      <c r="AU2746">
        <f t="shared" si="128"/>
        <v>4.3999999999999997E-2</v>
      </c>
    </row>
    <row r="2747" spans="1:47" x14ac:dyDescent="0.3">
      <c r="A2747">
        <v>2745</v>
      </c>
      <c r="B2747" t="s">
        <v>11374</v>
      </c>
      <c r="C2747" t="s">
        <v>11375</v>
      </c>
      <c r="D2747">
        <v>651</v>
      </c>
      <c r="E2747" t="s">
        <v>11363</v>
      </c>
      <c r="F2747" t="str">
        <f>VLOOKUP(E2747,country_continent!A:C,2,FALSE)</f>
        <v>Egypt</v>
      </c>
      <c r="G2747" t="str">
        <f>VLOOKUP(E2747,country_continent!A:C,3,FALSE)</f>
        <v>Africa</v>
      </c>
      <c r="H2747" t="s">
        <v>11376</v>
      </c>
      <c r="I2747" s="1">
        <v>19198</v>
      </c>
      <c r="J2747" s="3">
        <f t="shared" si="126"/>
        <v>19198</v>
      </c>
      <c r="K2747" s="1">
        <v>20042</v>
      </c>
      <c r="L2747" s="3">
        <f t="shared" si="127"/>
        <v>20042</v>
      </c>
      <c r="M2747" t="s">
        <v>67</v>
      </c>
      <c r="N2747" t="s">
        <v>49</v>
      </c>
      <c r="O2747" t="s">
        <v>49</v>
      </c>
      <c r="P2747">
        <v>0</v>
      </c>
      <c r="Q2747" t="s">
        <v>362</v>
      </c>
      <c r="R2747" t="s">
        <v>51</v>
      </c>
      <c r="S2747">
        <v>1901</v>
      </c>
      <c r="T2747">
        <v>1984</v>
      </c>
      <c r="U2747" s="1">
        <v>417</v>
      </c>
      <c r="V2747" s="2">
        <v>417</v>
      </c>
      <c r="W2747" s="1">
        <v>30922</v>
      </c>
      <c r="X2747" s="2">
        <v>30922</v>
      </c>
      <c r="Y2747" t="s">
        <v>11377</v>
      </c>
      <c r="Z2747">
        <v>1</v>
      </c>
      <c r="AA2747">
        <v>1</v>
      </c>
      <c r="AB2747">
        <v>0</v>
      </c>
      <c r="AC2747">
        <v>1</v>
      </c>
      <c r="AF2747">
        <v>1952</v>
      </c>
      <c r="AG2747">
        <v>1954</v>
      </c>
      <c r="AN2747">
        <v>-7</v>
      </c>
      <c r="AO2747" t="b">
        <v>1</v>
      </c>
      <c r="AP2747" t="s">
        <v>4202</v>
      </c>
      <c r="AQ2747">
        <v>1937</v>
      </c>
      <c r="AR2747">
        <v>1957</v>
      </c>
      <c r="AS2747" t="s">
        <v>11378</v>
      </c>
      <c r="AT2747">
        <v>2.3107460643394901</v>
      </c>
      <c r="AU2747">
        <f t="shared" si="128"/>
        <v>6.0000000000000001E-3</v>
      </c>
    </row>
    <row r="2748" spans="1:47" x14ac:dyDescent="0.3">
      <c r="A2748">
        <v>2746</v>
      </c>
      <c r="B2748" t="s">
        <v>11379</v>
      </c>
      <c r="C2748" t="s">
        <v>11380</v>
      </c>
      <c r="D2748">
        <v>651</v>
      </c>
      <c r="E2748" t="s">
        <v>11363</v>
      </c>
      <c r="F2748" t="str">
        <f>VLOOKUP(E2748,country_continent!A:C,2,FALSE)</f>
        <v>Egypt</v>
      </c>
      <c r="G2748" t="str">
        <f>VLOOKUP(E2748,country_continent!A:C,3,FALSE)</f>
        <v>Africa</v>
      </c>
      <c r="H2748" t="s">
        <v>11381</v>
      </c>
      <c r="I2748" s="1">
        <v>20045</v>
      </c>
      <c r="J2748" s="3">
        <f t="shared" si="126"/>
        <v>20045</v>
      </c>
      <c r="K2748" s="1">
        <v>25839</v>
      </c>
      <c r="L2748" s="3">
        <f t="shared" si="127"/>
        <v>25839</v>
      </c>
      <c r="M2748" t="s">
        <v>67</v>
      </c>
      <c r="N2748" t="s">
        <v>110</v>
      </c>
      <c r="O2748" t="s">
        <v>49</v>
      </c>
      <c r="P2748">
        <v>0</v>
      </c>
      <c r="Q2748" t="s">
        <v>111</v>
      </c>
      <c r="R2748" t="s">
        <v>51</v>
      </c>
      <c r="S2748">
        <v>1918</v>
      </c>
      <c r="T2748">
        <v>1970</v>
      </c>
      <c r="U2748" s="1">
        <v>6590</v>
      </c>
      <c r="V2748" s="2">
        <v>6590</v>
      </c>
      <c r="W2748" s="1">
        <v>25839</v>
      </c>
      <c r="X2748" s="2">
        <v>25839</v>
      </c>
      <c r="Y2748" t="s">
        <v>11382</v>
      </c>
      <c r="Z2748">
        <v>1</v>
      </c>
      <c r="AA2748">
        <v>2</v>
      </c>
      <c r="AB2748">
        <v>0</v>
      </c>
      <c r="AC2748">
        <v>-777</v>
      </c>
      <c r="AF2748">
        <v>1954</v>
      </c>
      <c r="AG2748">
        <v>1970</v>
      </c>
      <c r="AH2748">
        <v>2.48723207479394</v>
      </c>
      <c r="AI2748">
        <v>180</v>
      </c>
      <c r="AJ2748">
        <v>2.9955348198537899</v>
      </c>
      <c r="AK2748">
        <v>276.61818181818097</v>
      </c>
      <c r="AL2748">
        <v>2.5255140855961402</v>
      </c>
      <c r="AM2748">
        <v>1.7174889872320001</v>
      </c>
      <c r="AN2748">
        <v>-7</v>
      </c>
      <c r="AO2748" t="b">
        <v>1</v>
      </c>
      <c r="AP2748" t="s">
        <v>4202</v>
      </c>
      <c r="AQ2748">
        <v>1937</v>
      </c>
      <c r="AR2748">
        <v>1957</v>
      </c>
      <c r="AS2748" t="s">
        <v>11383</v>
      </c>
      <c r="AT2748">
        <v>15.863107460643301</v>
      </c>
      <c r="AU2748">
        <f t="shared" si="128"/>
        <v>4.2999999999999997E-2</v>
      </c>
    </row>
    <row r="2749" spans="1:47" x14ac:dyDescent="0.3">
      <c r="A2749">
        <v>2747</v>
      </c>
      <c r="B2749" t="s">
        <v>11384</v>
      </c>
      <c r="C2749" t="s">
        <v>11385</v>
      </c>
      <c r="D2749">
        <v>651</v>
      </c>
      <c r="E2749" t="s">
        <v>11363</v>
      </c>
      <c r="F2749" t="str">
        <f>VLOOKUP(E2749,country_continent!A:C,2,FALSE)</f>
        <v>Egypt</v>
      </c>
      <c r="G2749" t="str">
        <f>VLOOKUP(E2749,country_continent!A:C,3,FALSE)</f>
        <v>Africa</v>
      </c>
      <c r="H2749" t="s">
        <v>11386</v>
      </c>
      <c r="I2749" s="1">
        <v>25839</v>
      </c>
      <c r="J2749" s="3">
        <f t="shared" si="126"/>
        <v>25839</v>
      </c>
      <c r="K2749" s="1">
        <v>29865</v>
      </c>
      <c r="L2749" s="3">
        <f t="shared" si="127"/>
        <v>29865</v>
      </c>
      <c r="M2749" t="s">
        <v>49</v>
      </c>
      <c r="N2749" t="s">
        <v>67</v>
      </c>
      <c r="O2749" t="s">
        <v>6580</v>
      </c>
      <c r="P2749">
        <v>0</v>
      </c>
      <c r="Q2749" t="s">
        <v>69</v>
      </c>
      <c r="R2749" t="s">
        <v>51</v>
      </c>
      <c r="S2749">
        <v>1918</v>
      </c>
      <c r="T2749">
        <v>1981</v>
      </c>
      <c r="U2749" s="1">
        <v>6934</v>
      </c>
      <c r="V2749" s="2">
        <v>6934</v>
      </c>
      <c r="W2749" s="1">
        <v>29865</v>
      </c>
      <c r="X2749" s="2">
        <v>29865</v>
      </c>
      <c r="Y2749" t="s">
        <v>11387</v>
      </c>
      <c r="Z2749">
        <v>0</v>
      </c>
      <c r="AA2749">
        <v>3</v>
      </c>
      <c r="AB2749">
        <v>111</v>
      </c>
      <c r="AC2749">
        <v>3</v>
      </c>
      <c r="AF2749">
        <v>1970</v>
      </c>
      <c r="AG2749">
        <v>1981</v>
      </c>
      <c r="AH2749">
        <v>4.0883752485503697</v>
      </c>
      <c r="AI2749">
        <v>344.166666666666</v>
      </c>
      <c r="AJ2749">
        <v>9.2362321512539207</v>
      </c>
      <c r="AK2749">
        <v>208.65833333333299</v>
      </c>
      <c r="AL2749">
        <v>2.4093700959876099</v>
      </c>
      <c r="AM2749">
        <v>12.5406508249295</v>
      </c>
      <c r="AN2749">
        <v>-6.5</v>
      </c>
      <c r="AO2749" t="b">
        <v>1</v>
      </c>
      <c r="AP2749" t="s">
        <v>4202</v>
      </c>
      <c r="AQ2749">
        <v>1937</v>
      </c>
      <c r="AR2749">
        <v>1957</v>
      </c>
      <c r="AS2749" t="s">
        <v>11388</v>
      </c>
      <c r="AT2749">
        <v>11.022587268993799</v>
      </c>
      <c r="AU2749">
        <f t="shared" si="128"/>
        <v>0.03</v>
      </c>
    </row>
    <row r="2750" spans="1:47" x14ac:dyDescent="0.3">
      <c r="A2750">
        <v>2748</v>
      </c>
      <c r="B2750" t="s">
        <v>11389</v>
      </c>
      <c r="C2750" t="s">
        <v>11390</v>
      </c>
      <c r="D2750">
        <v>651</v>
      </c>
      <c r="E2750" t="s">
        <v>11363</v>
      </c>
      <c r="F2750" t="str">
        <f>VLOOKUP(E2750,country_continent!A:C,2,FALSE)</f>
        <v>Egypt</v>
      </c>
      <c r="G2750" t="str">
        <f>VLOOKUP(E2750,country_continent!A:C,3,FALSE)</f>
        <v>Africa</v>
      </c>
      <c r="H2750" t="s">
        <v>11391</v>
      </c>
      <c r="I2750" s="1">
        <v>29873</v>
      </c>
      <c r="J2750" s="3">
        <f t="shared" si="126"/>
        <v>29873</v>
      </c>
      <c r="K2750" s="1">
        <v>40585</v>
      </c>
      <c r="L2750" s="3">
        <f t="shared" si="127"/>
        <v>40585</v>
      </c>
      <c r="M2750" t="s">
        <v>49</v>
      </c>
      <c r="N2750" t="s">
        <v>67</v>
      </c>
      <c r="O2750" t="s">
        <v>613</v>
      </c>
      <c r="P2750">
        <v>0</v>
      </c>
      <c r="Q2750" t="s">
        <v>463</v>
      </c>
      <c r="R2750" t="s">
        <v>51</v>
      </c>
      <c r="S2750">
        <v>1929</v>
      </c>
      <c r="T2750">
        <v>-777</v>
      </c>
      <c r="U2750" s="1">
        <v>10717</v>
      </c>
      <c r="V2750" s="2">
        <v>10717</v>
      </c>
      <c r="Z2750">
        <v>0</v>
      </c>
      <c r="AA2750">
        <v>3</v>
      </c>
      <c r="AB2750">
        <v>2</v>
      </c>
      <c r="AC2750">
        <v>2</v>
      </c>
      <c r="AF2750">
        <v>1981</v>
      </c>
      <c r="AG2750">
        <v>2011</v>
      </c>
      <c r="AH2750">
        <v>2.6686826686344101</v>
      </c>
      <c r="AI2750">
        <v>1071.6129032258</v>
      </c>
      <c r="AJ2750">
        <v>10.0805894136638</v>
      </c>
      <c r="AK2750">
        <v>70.687096774193506</v>
      </c>
      <c r="AL2750">
        <v>2.3510309330167698</v>
      </c>
      <c r="AM2750">
        <v>12.4678339622546</v>
      </c>
      <c r="AN2750">
        <v>-5.29</v>
      </c>
      <c r="AO2750" t="b">
        <v>1</v>
      </c>
      <c r="AP2750" t="s">
        <v>4202</v>
      </c>
      <c r="AQ2750">
        <v>1937</v>
      </c>
      <c r="AR2750">
        <v>1957</v>
      </c>
      <c r="AS2750" t="s">
        <v>11392</v>
      </c>
      <c r="AT2750">
        <v>29.327857631758999</v>
      </c>
      <c r="AU2750">
        <f t="shared" si="128"/>
        <v>0.08</v>
      </c>
    </row>
    <row r="2751" spans="1:47" x14ac:dyDescent="0.3">
      <c r="A2751">
        <v>2749</v>
      </c>
      <c r="B2751" t="s">
        <v>11393</v>
      </c>
      <c r="C2751" t="s">
        <v>11394</v>
      </c>
      <c r="D2751">
        <v>651</v>
      </c>
      <c r="E2751" t="s">
        <v>11363</v>
      </c>
      <c r="F2751" t="str">
        <f>VLOOKUP(E2751,country_continent!A:C,2,FALSE)</f>
        <v>Egypt</v>
      </c>
      <c r="G2751" t="str">
        <f>VLOOKUP(E2751,country_continent!A:C,3,FALSE)</f>
        <v>Africa</v>
      </c>
      <c r="H2751" t="s">
        <v>11395</v>
      </c>
      <c r="I2751" s="1">
        <v>40585</v>
      </c>
      <c r="J2751" s="3">
        <f t="shared" si="126"/>
        <v>40585</v>
      </c>
      <c r="K2751" s="1">
        <v>41090</v>
      </c>
      <c r="L2751" s="3">
        <f t="shared" si="127"/>
        <v>41090</v>
      </c>
      <c r="M2751" t="s">
        <v>49</v>
      </c>
      <c r="N2751" t="s">
        <v>49</v>
      </c>
      <c r="O2751" t="s">
        <v>49</v>
      </c>
      <c r="P2751">
        <v>0</v>
      </c>
      <c r="Q2751" t="s">
        <v>50</v>
      </c>
      <c r="R2751" t="s">
        <v>51</v>
      </c>
      <c r="S2751">
        <v>1931</v>
      </c>
      <c r="T2751">
        <v>-777</v>
      </c>
      <c r="Z2751">
        <v>0</v>
      </c>
      <c r="AA2751">
        <v>1</v>
      </c>
      <c r="AB2751">
        <v>0</v>
      </c>
      <c r="AC2751">
        <v>0</v>
      </c>
      <c r="AF2751">
        <v>2011</v>
      </c>
      <c r="AG2751">
        <v>2012</v>
      </c>
      <c r="AH2751">
        <v>-0.198806642799119</v>
      </c>
      <c r="AI2751">
        <v>2505</v>
      </c>
      <c r="AJ2751">
        <v>15.572926910074001</v>
      </c>
      <c r="AK2751">
        <v>26.799999999999901</v>
      </c>
      <c r="AL2751">
        <v>2.1746093585706499</v>
      </c>
      <c r="AM2751">
        <v>11.542169015178899</v>
      </c>
      <c r="AN2751">
        <v>-2.5</v>
      </c>
      <c r="AO2751" t="b">
        <v>1</v>
      </c>
      <c r="AP2751" t="s">
        <v>4202</v>
      </c>
      <c r="AQ2751">
        <v>1937</v>
      </c>
      <c r="AR2751">
        <v>1957</v>
      </c>
      <c r="AS2751" t="s">
        <v>11396</v>
      </c>
      <c r="AT2751">
        <v>1.38261464750171</v>
      </c>
      <c r="AU2751">
        <f t="shared" si="128"/>
        <v>4.0000000000000001E-3</v>
      </c>
    </row>
    <row r="2752" spans="1:47" x14ac:dyDescent="0.3">
      <c r="A2752">
        <v>2750</v>
      </c>
      <c r="B2752" t="s">
        <v>11397</v>
      </c>
      <c r="C2752" t="s">
        <v>11398</v>
      </c>
      <c r="D2752">
        <v>651</v>
      </c>
      <c r="E2752" t="s">
        <v>11363</v>
      </c>
      <c r="F2752" t="str">
        <f>VLOOKUP(E2752,country_continent!A:C,2,FALSE)</f>
        <v>Egypt</v>
      </c>
      <c r="G2752" t="str">
        <f>VLOOKUP(E2752,country_continent!A:C,3,FALSE)</f>
        <v>Africa</v>
      </c>
      <c r="H2752" t="s">
        <v>11399</v>
      </c>
      <c r="I2752" s="1">
        <v>41090</v>
      </c>
      <c r="J2752" s="3">
        <f t="shared" si="126"/>
        <v>41090</v>
      </c>
      <c r="K2752" s="1">
        <v>41458</v>
      </c>
      <c r="L2752" s="3">
        <f t="shared" si="127"/>
        <v>41458</v>
      </c>
      <c r="M2752" t="s">
        <v>49</v>
      </c>
      <c r="N2752" t="s">
        <v>67</v>
      </c>
      <c r="O2752" t="s">
        <v>613</v>
      </c>
      <c r="P2752">
        <v>0</v>
      </c>
      <c r="Q2752" t="s">
        <v>463</v>
      </c>
      <c r="R2752" t="s">
        <v>51</v>
      </c>
      <c r="S2752">
        <v>1951</v>
      </c>
      <c r="T2752">
        <v>-777</v>
      </c>
      <c r="U2752" s="1">
        <v>18848</v>
      </c>
      <c r="V2752" s="2">
        <v>18848</v>
      </c>
      <c r="Z2752">
        <v>0</v>
      </c>
      <c r="AA2752">
        <v>3</v>
      </c>
      <c r="AB2752">
        <v>2</v>
      </c>
      <c r="AC2752">
        <v>2</v>
      </c>
      <c r="AF2752">
        <v>2012</v>
      </c>
      <c r="AG2752">
        <v>2013</v>
      </c>
      <c r="AH2752">
        <v>-9.3100449486556103E-2</v>
      </c>
      <c r="AI2752">
        <v>2720</v>
      </c>
      <c r="AJ2752">
        <v>14.0977760221497</v>
      </c>
      <c r="AK2752">
        <v>25.7</v>
      </c>
      <c r="AL2752">
        <v>2.27501079902818</v>
      </c>
      <c r="AM2752">
        <v>10.263690199692199</v>
      </c>
      <c r="AN2752">
        <v>-3.5</v>
      </c>
      <c r="AO2752" t="b">
        <v>1</v>
      </c>
      <c r="AP2752" t="s">
        <v>4202</v>
      </c>
      <c r="AQ2752">
        <v>1937</v>
      </c>
      <c r="AR2752">
        <v>1957</v>
      </c>
      <c r="AS2752" t="s">
        <v>11400</v>
      </c>
      <c r="AT2752">
        <v>1.0075290896646101</v>
      </c>
      <c r="AU2752">
        <f t="shared" si="128"/>
        <v>3.0000000000000001E-3</v>
      </c>
    </row>
    <row r="2753" spans="1:47" x14ac:dyDescent="0.3">
      <c r="A2753">
        <v>2751</v>
      </c>
      <c r="B2753" t="s">
        <v>11401</v>
      </c>
      <c r="C2753" t="s">
        <v>11402</v>
      </c>
      <c r="D2753">
        <v>651</v>
      </c>
      <c r="E2753" t="s">
        <v>11363</v>
      </c>
      <c r="F2753" t="str">
        <f>VLOOKUP(E2753,country_continent!A:C,2,FALSE)</f>
        <v>Egypt</v>
      </c>
      <c r="G2753" t="str">
        <f>VLOOKUP(E2753,country_continent!A:C,3,FALSE)</f>
        <v>Africa</v>
      </c>
      <c r="H2753" t="s">
        <v>11403</v>
      </c>
      <c r="I2753" s="1">
        <v>41459</v>
      </c>
      <c r="J2753" s="3">
        <f t="shared" si="126"/>
        <v>41459</v>
      </c>
      <c r="K2753" s="1">
        <v>41798</v>
      </c>
      <c r="L2753" s="3">
        <f t="shared" si="127"/>
        <v>41798</v>
      </c>
      <c r="M2753" t="s">
        <v>67</v>
      </c>
      <c r="N2753" t="s">
        <v>49</v>
      </c>
      <c r="O2753" t="s">
        <v>49</v>
      </c>
      <c r="P2753">
        <v>0</v>
      </c>
      <c r="Q2753" t="s">
        <v>50</v>
      </c>
      <c r="R2753" t="s">
        <v>51</v>
      </c>
      <c r="S2753">
        <v>1945</v>
      </c>
      <c r="T2753">
        <v>-777</v>
      </c>
      <c r="U2753" s="1">
        <v>16794</v>
      </c>
      <c r="V2753" s="2">
        <v>16794</v>
      </c>
      <c r="Z2753">
        <v>1</v>
      </c>
      <c r="AA2753">
        <v>1</v>
      </c>
      <c r="AB2753">
        <v>0</v>
      </c>
      <c r="AC2753">
        <v>0</v>
      </c>
      <c r="AF2753">
        <v>2013</v>
      </c>
      <c r="AG2753">
        <v>2014</v>
      </c>
      <c r="AH2753">
        <v>0.22816234146441799</v>
      </c>
      <c r="AI2753">
        <v>2905</v>
      </c>
      <c r="AJ2753">
        <v>9.9801495393358195</v>
      </c>
      <c r="AK2753">
        <v>24.65</v>
      </c>
      <c r="AL2753">
        <v>2.2908516046790299</v>
      </c>
      <c r="AM2753">
        <v>9.1070552693216609</v>
      </c>
      <c r="AN2753">
        <v>-4</v>
      </c>
      <c r="AO2753" t="b">
        <v>1</v>
      </c>
      <c r="AP2753" t="s">
        <v>4202</v>
      </c>
      <c r="AQ2753">
        <v>1937</v>
      </c>
      <c r="AR2753">
        <v>1957</v>
      </c>
      <c r="AS2753" t="s">
        <v>11404</v>
      </c>
      <c r="AT2753">
        <v>0.928131416837782</v>
      </c>
      <c r="AU2753">
        <f t="shared" si="128"/>
        <v>3.0000000000000001E-3</v>
      </c>
    </row>
    <row r="2754" spans="1:47" x14ac:dyDescent="0.3">
      <c r="A2754">
        <v>2752</v>
      </c>
      <c r="B2754" t="s">
        <v>11405</v>
      </c>
      <c r="C2754" t="s">
        <v>11406</v>
      </c>
      <c r="D2754">
        <v>651</v>
      </c>
      <c r="E2754" t="s">
        <v>11363</v>
      </c>
      <c r="F2754" t="str">
        <f>VLOOKUP(E2754,country_continent!A:C,2,FALSE)</f>
        <v>Egypt</v>
      </c>
      <c r="G2754" t="str">
        <f>VLOOKUP(E2754,country_continent!A:C,3,FALSE)</f>
        <v>Africa</v>
      </c>
      <c r="H2754" t="s">
        <v>11407</v>
      </c>
      <c r="I2754" s="1">
        <v>41798</v>
      </c>
      <c r="J2754" s="3">
        <f t="shared" si="126"/>
        <v>41798</v>
      </c>
      <c r="K2754" s="1">
        <v>42369</v>
      </c>
      <c r="L2754" s="3">
        <f t="shared" si="127"/>
        <v>42369</v>
      </c>
      <c r="M2754" t="s">
        <v>49</v>
      </c>
      <c r="N2754" t="s">
        <v>173</v>
      </c>
      <c r="O2754" t="s">
        <v>173</v>
      </c>
      <c r="P2754">
        <v>0</v>
      </c>
      <c r="Q2754" t="s">
        <v>174</v>
      </c>
      <c r="R2754" t="s">
        <v>51</v>
      </c>
      <c r="S2754">
        <v>1954</v>
      </c>
      <c r="T2754">
        <v>-777</v>
      </c>
      <c r="U2754" s="1">
        <v>20047</v>
      </c>
      <c r="V2754" s="2">
        <v>20047</v>
      </c>
      <c r="Z2754">
        <v>0</v>
      </c>
      <c r="AA2754">
        <v>-888</v>
      </c>
      <c r="AB2754">
        <v>-888</v>
      </c>
      <c r="AC2754">
        <v>-888</v>
      </c>
      <c r="AF2754">
        <v>2014</v>
      </c>
      <c r="AG2754">
        <v>2015</v>
      </c>
      <c r="AH2754">
        <v>1.4018585720812999</v>
      </c>
      <c r="AI2754">
        <v>3050</v>
      </c>
      <c r="AJ2754">
        <v>10.5892571170733</v>
      </c>
      <c r="AK2754">
        <v>23.7</v>
      </c>
      <c r="AL2754">
        <v>2.1876825571287202</v>
      </c>
      <c r="AM2754">
        <v>6.2806484607384698</v>
      </c>
      <c r="AN2754">
        <v>-4</v>
      </c>
      <c r="AO2754" t="b">
        <v>1</v>
      </c>
      <c r="AP2754" t="s">
        <v>4202</v>
      </c>
      <c r="AQ2754">
        <v>1937</v>
      </c>
      <c r="AR2754">
        <v>1957</v>
      </c>
      <c r="AS2754" t="s">
        <v>11408</v>
      </c>
      <c r="AT2754">
        <v>1.5633127994524201</v>
      </c>
      <c r="AU2754">
        <f t="shared" si="128"/>
        <v>4.0000000000000001E-3</v>
      </c>
    </row>
    <row r="2755" spans="1:47" x14ac:dyDescent="0.3">
      <c r="A2755">
        <v>2753</v>
      </c>
      <c r="B2755" t="s">
        <v>11409</v>
      </c>
      <c r="C2755" t="s">
        <v>11410</v>
      </c>
      <c r="D2755">
        <v>652</v>
      </c>
      <c r="E2755" t="s">
        <v>11411</v>
      </c>
      <c r="F2755" t="str">
        <f>VLOOKUP(E2755,country_continent!A:C,2,FALSE)</f>
        <v>Syria</v>
      </c>
      <c r="G2755" t="str">
        <f>VLOOKUP(E2755,country_continent!A:C,3,FALSE)</f>
        <v>Asia</v>
      </c>
      <c r="H2755" t="s">
        <v>11412</v>
      </c>
      <c r="I2755" s="1">
        <v>15935</v>
      </c>
      <c r="J2755" s="3">
        <f t="shared" ref="J2755:J2818" si="129">IF(ISNUMBER(SEARCH("-", I2755)), SUBSTITUTE(I2755, "-", "/"), I2755)</f>
        <v>15935</v>
      </c>
      <c r="K2755" s="1">
        <v>17987</v>
      </c>
      <c r="L2755" s="3">
        <f t="shared" ref="L2755:L2818" si="130">IF(ISNUMBER(SEARCH("-", K2755)), SUBSTITUTE(K2755, "-", "/"), K2755)</f>
        <v>17987</v>
      </c>
      <c r="M2755" t="s">
        <v>49</v>
      </c>
      <c r="N2755" t="s">
        <v>67</v>
      </c>
      <c r="O2755" t="s">
        <v>376</v>
      </c>
      <c r="P2755">
        <v>0</v>
      </c>
      <c r="Q2755" t="s">
        <v>362</v>
      </c>
      <c r="R2755" t="s">
        <v>51</v>
      </c>
      <c r="S2755">
        <v>1891</v>
      </c>
      <c r="T2755">
        <v>1967</v>
      </c>
      <c r="W2755" s="1">
        <v>24653</v>
      </c>
      <c r="X2755" s="2">
        <v>24653</v>
      </c>
      <c r="Z2755">
        <v>0</v>
      </c>
      <c r="AA2755">
        <v>3</v>
      </c>
      <c r="AB2755">
        <v>6</v>
      </c>
      <c r="AC2755">
        <v>1</v>
      </c>
      <c r="AF2755">
        <v>1943</v>
      </c>
      <c r="AG2755">
        <v>1949</v>
      </c>
      <c r="AN2755">
        <v>3.25</v>
      </c>
      <c r="AO2755" t="b">
        <v>1</v>
      </c>
      <c r="AP2755" t="s">
        <v>4202</v>
      </c>
      <c r="AQ2755">
        <v>1946</v>
      </c>
      <c r="AR2755">
        <v>1957</v>
      </c>
      <c r="AS2755" t="s">
        <v>11413</v>
      </c>
      <c r="AT2755">
        <v>5.6180698151950699</v>
      </c>
      <c r="AU2755">
        <f t="shared" si="128"/>
        <v>1.4999999999999999E-2</v>
      </c>
    </row>
    <row r="2756" spans="1:47" x14ac:dyDescent="0.3">
      <c r="A2756">
        <v>2754</v>
      </c>
      <c r="B2756" t="s">
        <v>11414</v>
      </c>
      <c r="C2756" t="s">
        <v>11415</v>
      </c>
      <c r="D2756">
        <v>652</v>
      </c>
      <c r="E2756" t="s">
        <v>11411</v>
      </c>
      <c r="F2756" t="str">
        <f>VLOOKUP(E2756,country_continent!A:C,2,FALSE)</f>
        <v>Syria</v>
      </c>
      <c r="G2756" t="str">
        <f>VLOOKUP(E2756,country_continent!A:C,3,FALSE)</f>
        <v>Asia</v>
      </c>
      <c r="H2756" t="s">
        <v>11416</v>
      </c>
      <c r="I2756" s="1">
        <v>17987</v>
      </c>
      <c r="J2756" s="3">
        <f t="shared" si="129"/>
        <v>17987</v>
      </c>
      <c r="K2756" s="1">
        <v>18123</v>
      </c>
      <c r="L2756" s="3">
        <f t="shared" si="130"/>
        <v>18123</v>
      </c>
      <c r="M2756" t="s">
        <v>67</v>
      </c>
      <c r="N2756" t="s">
        <v>67</v>
      </c>
      <c r="O2756" t="s">
        <v>376</v>
      </c>
      <c r="P2756">
        <v>0</v>
      </c>
      <c r="Q2756" t="s">
        <v>69</v>
      </c>
      <c r="R2756" t="s">
        <v>51</v>
      </c>
      <c r="S2756">
        <v>1897</v>
      </c>
      <c r="T2756">
        <v>1949</v>
      </c>
      <c r="Z2756">
        <v>1</v>
      </c>
      <c r="AA2756">
        <v>3</v>
      </c>
      <c r="AB2756">
        <v>6</v>
      </c>
      <c r="AC2756">
        <v>3</v>
      </c>
      <c r="AF2756">
        <v>1949</v>
      </c>
      <c r="AG2756">
        <v>1949</v>
      </c>
      <c r="AN2756">
        <v>1</v>
      </c>
      <c r="AO2756" t="b">
        <v>1</v>
      </c>
      <c r="AP2756" t="s">
        <v>4202</v>
      </c>
      <c r="AQ2756">
        <v>1946</v>
      </c>
      <c r="AR2756">
        <v>1957</v>
      </c>
      <c r="AS2756" t="s">
        <v>11417</v>
      </c>
      <c r="AT2756">
        <v>0.372347707049965</v>
      </c>
      <c r="AU2756">
        <f t="shared" ref="AU2756:AU2819" si="131">ROUND(AT2756/365,3)</f>
        <v>1E-3</v>
      </c>
    </row>
    <row r="2757" spans="1:47" x14ac:dyDescent="0.3">
      <c r="A2757">
        <v>2755</v>
      </c>
      <c r="B2757" t="s">
        <v>11418</v>
      </c>
      <c r="C2757" t="s">
        <v>11419</v>
      </c>
      <c r="D2757">
        <v>652</v>
      </c>
      <c r="E2757" t="s">
        <v>11411</v>
      </c>
      <c r="F2757" t="str">
        <f>VLOOKUP(E2757,country_continent!A:C,2,FALSE)</f>
        <v>Syria</v>
      </c>
      <c r="G2757" t="str">
        <f>VLOOKUP(E2757,country_continent!A:C,3,FALSE)</f>
        <v>Asia</v>
      </c>
      <c r="H2757" t="s">
        <v>11420</v>
      </c>
      <c r="I2757" s="1">
        <v>18123</v>
      </c>
      <c r="J2757" s="3">
        <f t="shared" si="129"/>
        <v>18123</v>
      </c>
      <c r="K2757" s="1">
        <v>18251</v>
      </c>
      <c r="L2757" s="3">
        <f t="shared" si="130"/>
        <v>18251</v>
      </c>
      <c r="M2757" t="s">
        <v>67</v>
      </c>
      <c r="N2757" t="s">
        <v>67</v>
      </c>
      <c r="O2757" t="s">
        <v>376</v>
      </c>
      <c r="P2757">
        <v>0</v>
      </c>
      <c r="Q2757" t="s">
        <v>69</v>
      </c>
      <c r="R2757" t="s">
        <v>51</v>
      </c>
      <c r="S2757">
        <v>1898</v>
      </c>
      <c r="T2757">
        <v>1950</v>
      </c>
      <c r="Z2757">
        <v>1</v>
      </c>
      <c r="AA2757">
        <v>3</v>
      </c>
      <c r="AB2757">
        <v>6</v>
      </c>
      <c r="AC2757">
        <v>3</v>
      </c>
      <c r="AF2757">
        <v>1949</v>
      </c>
      <c r="AG2757">
        <v>1949</v>
      </c>
      <c r="AN2757">
        <v>1</v>
      </c>
      <c r="AO2757" t="b">
        <v>1</v>
      </c>
      <c r="AP2757" t="s">
        <v>4202</v>
      </c>
      <c r="AQ2757">
        <v>1946</v>
      </c>
      <c r="AR2757">
        <v>1957</v>
      </c>
      <c r="AS2757" t="s">
        <v>11421</v>
      </c>
      <c r="AT2757">
        <v>0.35044490075290802</v>
      </c>
      <c r="AU2757">
        <f t="shared" si="131"/>
        <v>1E-3</v>
      </c>
    </row>
    <row r="2758" spans="1:47" x14ac:dyDescent="0.3">
      <c r="A2758">
        <v>2756</v>
      </c>
      <c r="B2758" t="s">
        <v>11422</v>
      </c>
      <c r="C2758" t="s">
        <v>11423</v>
      </c>
      <c r="D2758">
        <v>652</v>
      </c>
      <c r="E2758" t="s">
        <v>11411</v>
      </c>
      <c r="F2758" t="str">
        <f>VLOOKUP(E2758,country_continent!A:C,2,FALSE)</f>
        <v>Syria</v>
      </c>
      <c r="G2758" t="str">
        <f>VLOOKUP(E2758,country_continent!A:C,3,FALSE)</f>
        <v>Asia</v>
      </c>
      <c r="H2758" t="s">
        <v>11424</v>
      </c>
      <c r="I2758" s="1">
        <v>18251</v>
      </c>
      <c r="J2758" s="3">
        <f t="shared" si="129"/>
        <v>18251</v>
      </c>
      <c r="K2758" s="1">
        <v>19783</v>
      </c>
      <c r="L2758" s="3">
        <f t="shared" si="130"/>
        <v>19783</v>
      </c>
      <c r="M2758" t="s">
        <v>67</v>
      </c>
      <c r="N2758" t="s">
        <v>67</v>
      </c>
      <c r="O2758" t="s">
        <v>376</v>
      </c>
      <c r="P2758">
        <v>0</v>
      </c>
      <c r="Q2758" t="s">
        <v>362</v>
      </c>
      <c r="R2758" t="s">
        <v>51</v>
      </c>
      <c r="S2758">
        <v>1909</v>
      </c>
      <c r="T2758">
        <v>1964</v>
      </c>
      <c r="Z2758">
        <v>1</v>
      </c>
      <c r="AA2758">
        <v>3</v>
      </c>
      <c r="AB2758">
        <v>6</v>
      </c>
      <c r="AC2758">
        <v>1</v>
      </c>
      <c r="AF2758">
        <v>1949</v>
      </c>
      <c r="AG2758">
        <v>1954</v>
      </c>
      <c r="AN2758">
        <v>-2.67</v>
      </c>
      <c r="AO2758" t="b">
        <v>1</v>
      </c>
      <c r="AP2758" t="s">
        <v>4202</v>
      </c>
      <c r="AQ2758">
        <v>1946</v>
      </c>
      <c r="AR2758">
        <v>1957</v>
      </c>
      <c r="AS2758" t="s">
        <v>11425</v>
      </c>
      <c r="AT2758">
        <v>4.1943874058863697</v>
      </c>
      <c r="AU2758">
        <f t="shared" si="131"/>
        <v>1.0999999999999999E-2</v>
      </c>
    </row>
    <row r="2759" spans="1:47" x14ac:dyDescent="0.3">
      <c r="A2759">
        <v>2757</v>
      </c>
      <c r="B2759" t="s">
        <v>11426</v>
      </c>
      <c r="C2759" t="s">
        <v>11427</v>
      </c>
      <c r="D2759">
        <v>652</v>
      </c>
      <c r="E2759" t="s">
        <v>11411</v>
      </c>
      <c r="F2759" t="str">
        <f>VLOOKUP(E2759,country_continent!A:C,2,FALSE)</f>
        <v>Syria</v>
      </c>
      <c r="G2759" t="str">
        <f>VLOOKUP(E2759,country_continent!A:C,3,FALSE)</f>
        <v>Asia</v>
      </c>
      <c r="H2759" t="s">
        <v>11428</v>
      </c>
      <c r="I2759" s="1">
        <v>19783</v>
      </c>
      <c r="J2759" s="3">
        <f t="shared" si="129"/>
        <v>19783</v>
      </c>
      <c r="K2759" s="1">
        <v>20338</v>
      </c>
      <c r="L2759" s="3">
        <f t="shared" si="130"/>
        <v>20338</v>
      </c>
      <c r="M2759" t="s">
        <v>67</v>
      </c>
      <c r="N2759" t="s">
        <v>49</v>
      </c>
      <c r="O2759" t="s">
        <v>49</v>
      </c>
      <c r="P2759">
        <v>2</v>
      </c>
      <c r="Q2759" t="s">
        <v>50</v>
      </c>
      <c r="R2759" t="s">
        <v>51</v>
      </c>
      <c r="S2759">
        <v>1875</v>
      </c>
      <c r="T2759">
        <v>1960</v>
      </c>
      <c r="W2759" s="1">
        <v>22255</v>
      </c>
      <c r="X2759" s="2">
        <v>22255</v>
      </c>
      <c r="Y2759" t="s">
        <v>11429</v>
      </c>
      <c r="Z2759">
        <v>1</v>
      </c>
      <c r="AA2759">
        <v>1</v>
      </c>
      <c r="AB2759">
        <v>0</v>
      </c>
      <c r="AC2759">
        <v>0</v>
      </c>
      <c r="AF2759">
        <v>1954</v>
      </c>
      <c r="AG2759">
        <v>1955</v>
      </c>
      <c r="AN2759">
        <v>5.5</v>
      </c>
      <c r="AO2759" t="b">
        <v>1</v>
      </c>
      <c r="AP2759" t="s">
        <v>4202</v>
      </c>
      <c r="AQ2759">
        <v>1946</v>
      </c>
      <c r="AR2759">
        <v>1957</v>
      </c>
      <c r="AS2759" t="s">
        <v>11430</v>
      </c>
      <c r="AT2759">
        <v>1.5195071868583101</v>
      </c>
      <c r="AU2759">
        <f t="shared" si="131"/>
        <v>4.0000000000000001E-3</v>
      </c>
    </row>
    <row r="2760" spans="1:47" x14ac:dyDescent="0.3">
      <c r="A2760">
        <v>2758</v>
      </c>
      <c r="B2760" t="s">
        <v>11431</v>
      </c>
      <c r="C2760" t="s">
        <v>11410</v>
      </c>
      <c r="D2760">
        <v>652</v>
      </c>
      <c r="E2760" t="s">
        <v>11411</v>
      </c>
      <c r="F2760" t="str">
        <f>VLOOKUP(E2760,country_continent!A:C,2,FALSE)</f>
        <v>Syria</v>
      </c>
      <c r="G2760" t="str">
        <f>VLOOKUP(E2760,country_continent!A:C,3,FALSE)</f>
        <v>Asia</v>
      </c>
      <c r="H2760" t="s">
        <v>11412</v>
      </c>
      <c r="I2760" s="1">
        <v>20338</v>
      </c>
      <c r="J2760" s="3">
        <f t="shared" si="129"/>
        <v>20338</v>
      </c>
      <c r="K2760" s="1">
        <v>21217</v>
      </c>
      <c r="L2760" s="3">
        <f t="shared" si="130"/>
        <v>21217</v>
      </c>
      <c r="M2760" t="s">
        <v>49</v>
      </c>
      <c r="N2760" t="s">
        <v>49</v>
      </c>
      <c r="O2760" t="s">
        <v>49</v>
      </c>
      <c r="P2760">
        <v>1</v>
      </c>
      <c r="Q2760" t="s">
        <v>50</v>
      </c>
      <c r="R2760" t="s">
        <v>51</v>
      </c>
      <c r="S2760">
        <v>1891</v>
      </c>
      <c r="T2760">
        <v>1967</v>
      </c>
      <c r="W2760" s="1">
        <v>24653</v>
      </c>
      <c r="X2760" s="2">
        <v>24653</v>
      </c>
      <c r="Z2760">
        <v>0</v>
      </c>
      <c r="AA2760">
        <v>1</v>
      </c>
      <c r="AB2760">
        <v>0</v>
      </c>
      <c r="AC2760">
        <v>0</v>
      </c>
      <c r="AF2760">
        <v>1955</v>
      </c>
      <c r="AG2760">
        <v>1958</v>
      </c>
      <c r="AN2760">
        <v>7</v>
      </c>
      <c r="AO2760" t="b">
        <v>1</v>
      </c>
      <c r="AP2760" t="s">
        <v>4202</v>
      </c>
      <c r="AQ2760">
        <v>1946</v>
      </c>
      <c r="AR2760">
        <v>1957</v>
      </c>
      <c r="AS2760" t="s">
        <v>11432</v>
      </c>
      <c r="AT2760">
        <v>2.4065708418891099</v>
      </c>
      <c r="AU2760">
        <f t="shared" si="131"/>
        <v>7.0000000000000001E-3</v>
      </c>
    </row>
    <row r="2761" spans="1:47" x14ac:dyDescent="0.3">
      <c r="A2761">
        <v>2759</v>
      </c>
      <c r="B2761" t="s">
        <v>11433</v>
      </c>
      <c r="C2761" t="s">
        <v>11434</v>
      </c>
      <c r="D2761">
        <v>652</v>
      </c>
      <c r="E2761" t="s">
        <v>11411</v>
      </c>
      <c r="F2761" t="str">
        <f>VLOOKUP(E2761,country_continent!A:C,2,FALSE)</f>
        <v>Syria</v>
      </c>
      <c r="G2761" t="str">
        <f>VLOOKUP(E2761,country_continent!A:C,3,FALSE)</f>
        <v>Asia</v>
      </c>
      <c r="H2761" t="s">
        <v>11435</v>
      </c>
      <c r="I2761" s="1">
        <v>21217</v>
      </c>
      <c r="J2761" s="3">
        <f t="shared" si="129"/>
        <v>21217</v>
      </c>
      <c r="K2761" s="1">
        <v>22552</v>
      </c>
      <c r="L2761" s="3">
        <f t="shared" si="130"/>
        <v>22552</v>
      </c>
      <c r="M2761" t="s">
        <v>49</v>
      </c>
      <c r="N2761" t="s">
        <v>67</v>
      </c>
      <c r="O2761" t="s">
        <v>376</v>
      </c>
      <c r="P2761">
        <v>0</v>
      </c>
      <c r="Q2761" t="s">
        <v>50</v>
      </c>
      <c r="R2761" t="s">
        <v>51</v>
      </c>
      <c r="S2761">
        <v>1918</v>
      </c>
      <c r="T2761">
        <v>1970</v>
      </c>
      <c r="U2761" s="1">
        <v>6590</v>
      </c>
      <c r="V2761" s="2">
        <v>6590</v>
      </c>
      <c r="W2761" s="1">
        <v>25839</v>
      </c>
      <c r="X2761" s="2">
        <v>25839</v>
      </c>
      <c r="Y2761" t="s">
        <v>11382</v>
      </c>
      <c r="Z2761">
        <v>0</v>
      </c>
      <c r="AA2761">
        <v>3</v>
      </c>
      <c r="AB2761">
        <v>6</v>
      </c>
      <c r="AC2761">
        <v>0</v>
      </c>
      <c r="AF2761">
        <v>1958</v>
      </c>
      <c r="AG2761">
        <v>1961</v>
      </c>
      <c r="AH2761">
        <v>7.5655656454953499</v>
      </c>
      <c r="AJ2761">
        <v>-0.56543183003910202</v>
      </c>
      <c r="AK2761">
        <v>164.8</v>
      </c>
      <c r="AL2761">
        <v>2.9924565819661999</v>
      </c>
      <c r="AN2761">
        <v>2</v>
      </c>
      <c r="AO2761" t="b">
        <v>1</v>
      </c>
      <c r="AP2761" t="s">
        <v>4202</v>
      </c>
      <c r="AQ2761">
        <v>1946</v>
      </c>
      <c r="AR2761">
        <v>1957</v>
      </c>
      <c r="AS2761" t="s">
        <v>11436</v>
      </c>
      <c r="AT2761">
        <v>3.6550308008213501</v>
      </c>
      <c r="AU2761">
        <f t="shared" si="131"/>
        <v>0.01</v>
      </c>
    </row>
    <row r="2762" spans="1:47" x14ac:dyDescent="0.3">
      <c r="A2762">
        <v>2760</v>
      </c>
      <c r="B2762" t="s">
        <v>11437</v>
      </c>
      <c r="C2762" t="s">
        <v>11438</v>
      </c>
      <c r="D2762">
        <v>652</v>
      </c>
      <c r="E2762" t="s">
        <v>11411</v>
      </c>
      <c r="F2762" t="str">
        <f>VLOOKUP(E2762,country_continent!A:C,2,FALSE)</f>
        <v>Syria</v>
      </c>
      <c r="G2762" t="str">
        <f>VLOOKUP(E2762,country_continent!A:C,3,FALSE)</f>
        <v>Asia</v>
      </c>
      <c r="H2762" t="s">
        <v>11439</v>
      </c>
      <c r="I2762" s="1">
        <v>22552</v>
      </c>
      <c r="J2762" s="3">
        <f t="shared" si="129"/>
        <v>22552</v>
      </c>
      <c r="K2762" s="1">
        <v>22616</v>
      </c>
      <c r="L2762" s="3">
        <f t="shared" si="130"/>
        <v>22616</v>
      </c>
      <c r="M2762" t="s">
        <v>67</v>
      </c>
      <c r="N2762" t="s">
        <v>49</v>
      </c>
      <c r="O2762" t="s">
        <v>49</v>
      </c>
      <c r="P2762">
        <v>0</v>
      </c>
      <c r="Q2762" t="s">
        <v>50</v>
      </c>
      <c r="R2762" t="s">
        <v>51</v>
      </c>
      <c r="S2762">
        <v>1914</v>
      </c>
      <c r="T2762">
        <v>1998</v>
      </c>
      <c r="W2762" s="1">
        <v>35856</v>
      </c>
      <c r="X2762" s="2">
        <v>35856</v>
      </c>
      <c r="Z2762">
        <v>1</v>
      </c>
      <c r="AA2762">
        <v>1</v>
      </c>
      <c r="AB2762">
        <v>0</v>
      </c>
      <c r="AC2762">
        <v>0</v>
      </c>
      <c r="AF2762">
        <v>1961</v>
      </c>
      <c r="AG2762">
        <v>1961</v>
      </c>
      <c r="AH2762">
        <v>7.5655656454953499</v>
      </c>
      <c r="AJ2762">
        <v>-0.56543183003910202</v>
      </c>
      <c r="AK2762">
        <v>160.69999999999999</v>
      </c>
      <c r="AL2762">
        <v>2.9924565819661999</v>
      </c>
      <c r="AN2762">
        <v>2</v>
      </c>
      <c r="AO2762" t="b">
        <v>1</v>
      </c>
      <c r="AP2762" t="s">
        <v>4202</v>
      </c>
      <c r="AQ2762">
        <v>1946</v>
      </c>
      <c r="AR2762">
        <v>1957</v>
      </c>
      <c r="AS2762" t="s">
        <v>11440</v>
      </c>
      <c r="AT2762">
        <v>0.17522245037645401</v>
      </c>
      <c r="AU2762">
        <f t="shared" si="131"/>
        <v>0</v>
      </c>
    </row>
    <row r="2763" spans="1:47" x14ac:dyDescent="0.3">
      <c r="A2763">
        <v>2761</v>
      </c>
      <c r="B2763" t="s">
        <v>11441</v>
      </c>
      <c r="C2763" t="s">
        <v>11442</v>
      </c>
      <c r="D2763">
        <v>652</v>
      </c>
      <c r="E2763" t="s">
        <v>11411</v>
      </c>
      <c r="F2763" t="str">
        <f>VLOOKUP(E2763,country_continent!A:C,2,FALSE)</f>
        <v>Syria</v>
      </c>
      <c r="G2763" t="str">
        <f>VLOOKUP(E2763,country_continent!A:C,3,FALSE)</f>
        <v>Asia</v>
      </c>
      <c r="H2763" t="s">
        <v>11443</v>
      </c>
      <c r="I2763" s="1">
        <v>22616</v>
      </c>
      <c r="J2763" s="3">
        <f t="shared" si="129"/>
        <v>22616</v>
      </c>
      <c r="K2763" s="1">
        <v>22733</v>
      </c>
      <c r="L2763" s="3">
        <f t="shared" si="130"/>
        <v>22733</v>
      </c>
      <c r="M2763" t="s">
        <v>49</v>
      </c>
      <c r="N2763" t="s">
        <v>67</v>
      </c>
      <c r="O2763" t="s">
        <v>376</v>
      </c>
      <c r="P2763">
        <v>0</v>
      </c>
      <c r="Q2763" t="s">
        <v>463</v>
      </c>
      <c r="R2763" t="s">
        <v>51</v>
      </c>
      <c r="S2763">
        <v>1906</v>
      </c>
      <c r="T2763">
        <v>1998</v>
      </c>
      <c r="U2763" s="1">
        <v>2237</v>
      </c>
      <c r="V2763" s="2">
        <v>2237</v>
      </c>
      <c r="W2763" s="1">
        <v>35832</v>
      </c>
      <c r="X2763" s="2">
        <v>35832</v>
      </c>
      <c r="Y2763" t="s">
        <v>11444</v>
      </c>
      <c r="Z2763">
        <v>0</v>
      </c>
      <c r="AA2763">
        <v>3</v>
      </c>
      <c r="AB2763">
        <v>6</v>
      </c>
      <c r="AC2763">
        <v>2</v>
      </c>
      <c r="AF2763">
        <v>1961</v>
      </c>
      <c r="AG2763">
        <v>1962</v>
      </c>
      <c r="AH2763">
        <v>14.237205468364399</v>
      </c>
      <c r="AI2763">
        <v>230</v>
      </c>
      <c r="AJ2763">
        <v>-1.65659132694573</v>
      </c>
      <c r="AK2763">
        <v>157</v>
      </c>
      <c r="AL2763">
        <v>2.9682205863168898</v>
      </c>
      <c r="AN2763">
        <v>-0.5</v>
      </c>
      <c r="AO2763" t="b">
        <v>1</v>
      </c>
      <c r="AP2763" t="s">
        <v>4202</v>
      </c>
      <c r="AQ2763">
        <v>1946</v>
      </c>
      <c r="AR2763">
        <v>1957</v>
      </c>
      <c r="AS2763" t="s">
        <v>11445</v>
      </c>
      <c r="AT2763">
        <v>0.32032854209445499</v>
      </c>
      <c r="AU2763">
        <f t="shared" si="131"/>
        <v>1E-3</v>
      </c>
    </row>
    <row r="2764" spans="1:47" x14ac:dyDescent="0.3">
      <c r="A2764">
        <v>2762</v>
      </c>
      <c r="B2764" t="s">
        <v>11446</v>
      </c>
      <c r="C2764" t="s">
        <v>11447</v>
      </c>
      <c r="D2764">
        <v>652</v>
      </c>
      <c r="E2764" t="s">
        <v>11411</v>
      </c>
      <c r="F2764" t="str">
        <f>VLOOKUP(E2764,country_continent!A:C,2,FALSE)</f>
        <v>Syria</v>
      </c>
      <c r="G2764" t="str">
        <f>VLOOKUP(E2764,country_continent!A:C,3,FALSE)</f>
        <v>Asia</v>
      </c>
      <c r="H2764" t="s">
        <v>11448</v>
      </c>
      <c r="I2764" s="1">
        <v>22733</v>
      </c>
      <c r="J2764" s="3">
        <f t="shared" si="129"/>
        <v>22733</v>
      </c>
      <c r="K2764" s="1">
        <v>22749</v>
      </c>
      <c r="L2764" s="3">
        <f t="shared" si="130"/>
        <v>22749</v>
      </c>
      <c r="M2764" t="s">
        <v>67</v>
      </c>
      <c r="N2764" t="s">
        <v>49</v>
      </c>
      <c r="O2764" t="s">
        <v>49</v>
      </c>
      <c r="P2764">
        <v>0</v>
      </c>
      <c r="Q2764" t="s">
        <v>463</v>
      </c>
      <c r="R2764" t="s">
        <v>51</v>
      </c>
      <c r="S2764">
        <v>-999</v>
      </c>
      <c r="T2764">
        <v>-999</v>
      </c>
      <c r="Z2764">
        <v>1</v>
      </c>
      <c r="AA2764">
        <v>1</v>
      </c>
      <c r="AB2764">
        <v>0</v>
      </c>
      <c r="AC2764">
        <v>2</v>
      </c>
      <c r="AF2764">
        <v>1962</v>
      </c>
      <c r="AG2764">
        <v>1962</v>
      </c>
      <c r="AH2764">
        <v>20.908845291233501</v>
      </c>
      <c r="AI2764">
        <v>230</v>
      </c>
      <c r="AJ2764">
        <v>-2.7477508238523698</v>
      </c>
      <c r="AK2764">
        <v>153.30000000000001</v>
      </c>
      <c r="AL2764">
        <v>2.9439845906675899</v>
      </c>
      <c r="AN2764">
        <v>-3</v>
      </c>
      <c r="AO2764" t="b">
        <v>1</v>
      </c>
      <c r="AP2764" t="s">
        <v>4202</v>
      </c>
      <c r="AQ2764">
        <v>1946</v>
      </c>
      <c r="AR2764">
        <v>1957</v>
      </c>
      <c r="AS2764" t="s">
        <v>11449</v>
      </c>
      <c r="AT2764">
        <v>4.3805612594113599E-2</v>
      </c>
      <c r="AU2764">
        <f t="shared" si="131"/>
        <v>0</v>
      </c>
    </row>
    <row r="2765" spans="1:47" x14ac:dyDescent="0.3">
      <c r="A2765">
        <v>2763</v>
      </c>
      <c r="B2765" t="s">
        <v>11450</v>
      </c>
      <c r="C2765" t="s">
        <v>11442</v>
      </c>
      <c r="D2765">
        <v>652</v>
      </c>
      <c r="E2765" t="s">
        <v>11411</v>
      </c>
      <c r="F2765" t="str">
        <f>VLOOKUP(E2765,country_continent!A:C,2,FALSE)</f>
        <v>Syria</v>
      </c>
      <c r="G2765" t="str">
        <f>VLOOKUP(E2765,country_continent!A:C,3,FALSE)</f>
        <v>Asia</v>
      </c>
      <c r="H2765" t="s">
        <v>11443</v>
      </c>
      <c r="I2765" s="1">
        <v>22749</v>
      </c>
      <c r="J2765" s="3">
        <f t="shared" si="129"/>
        <v>22749</v>
      </c>
      <c r="K2765" s="1">
        <v>23078</v>
      </c>
      <c r="L2765" s="3">
        <f t="shared" si="130"/>
        <v>23078</v>
      </c>
      <c r="M2765" t="s">
        <v>49</v>
      </c>
      <c r="N2765" t="s">
        <v>67</v>
      </c>
      <c r="O2765" t="s">
        <v>376</v>
      </c>
      <c r="P2765">
        <v>1</v>
      </c>
      <c r="Q2765" t="s">
        <v>463</v>
      </c>
      <c r="R2765" t="s">
        <v>51</v>
      </c>
      <c r="S2765">
        <v>1906</v>
      </c>
      <c r="T2765">
        <v>1998</v>
      </c>
      <c r="U2765" s="1">
        <v>2237</v>
      </c>
      <c r="V2765" s="2">
        <v>2237</v>
      </c>
      <c r="W2765" s="1">
        <v>35832</v>
      </c>
      <c r="X2765" s="2">
        <v>35832</v>
      </c>
      <c r="Y2765" t="s">
        <v>11444</v>
      </c>
      <c r="Z2765">
        <v>0</v>
      </c>
      <c r="AA2765">
        <v>3</v>
      </c>
      <c r="AB2765">
        <v>6</v>
      </c>
      <c r="AC2765">
        <v>2</v>
      </c>
      <c r="AF2765">
        <v>1962</v>
      </c>
      <c r="AG2765">
        <v>1963</v>
      </c>
      <c r="AH2765">
        <v>4.7773864098533698</v>
      </c>
      <c r="AI2765">
        <v>220</v>
      </c>
      <c r="AJ2765">
        <v>9.8767206433861698</v>
      </c>
      <c r="AK2765">
        <v>149.94999999999999</v>
      </c>
      <c r="AL2765">
        <v>2.9728984006087802</v>
      </c>
      <c r="AN2765">
        <v>-5.5</v>
      </c>
      <c r="AO2765" t="b">
        <v>1</v>
      </c>
      <c r="AP2765" t="s">
        <v>4202</v>
      </c>
      <c r="AQ2765">
        <v>1946</v>
      </c>
      <c r="AR2765">
        <v>1957</v>
      </c>
      <c r="AS2765" t="s">
        <v>11451</v>
      </c>
      <c r="AT2765">
        <v>0.90075290896646099</v>
      </c>
      <c r="AU2765">
        <f t="shared" si="131"/>
        <v>2E-3</v>
      </c>
    </row>
    <row r="2766" spans="1:47" x14ac:dyDescent="0.3">
      <c r="A2766">
        <v>2764</v>
      </c>
      <c r="B2766" t="s">
        <v>11452</v>
      </c>
      <c r="C2766" t="s">
        <v>11453</v>
      </c>
      <c r="D2766">
        <v>652</v>
      </c>
      <c r="E2766" t="s">
        <v>11411</v>
      </c>
      <c r="F2766" t="str">
        <f>VLOOKUP(E2766,country_continent!A:C,2,FALSE)</f>
        <v>Syria</v>
      </c>
      <c r="G2766" t="str">
        <f>VLOOKUP(E2766,country_continent!A:C,3,FALSE)</f>
        <v>Asia</v>
      </c>
      <c r="H2766" t="s">
        <v>11454</v>
      </c>
      <c r="I2766" s="1">
        <v>23079</v>
      </c>
      <c r="J2766" s="3">
        <f t="shared" si="129"/>
        <v>23079</v>
      </c>
      <c r="K2766" s="1">
        <v>23219</v>
      </c>
      <c r="L2766" s="3">
        <f t="shared" si="130"/>
        <v>23219</v>
      </c>
      <c r="M2766" t="s">
        <v>67</v>
      </c>
      <c r="N2766" t="s">
        <v>67</v>
      </c>
      <c r="O2766" t="s">
        <v>389</v>
      </c>
      <c r="P2766">
        <v>0</v>
      </c>
      <c r="Q2766" t="s">
        <v>1453</v>
      </c>
      <c r="R2766" t="s">
        <v>51</v>
      </c>
      <c r="S2766">
        <v>1926</v>
      </c>
      <c r="T2766">
        <v>2003</v>
      </c>
      <c r="Z2766">
        <v>1</v>
      </c>
      <c r="AA2766">
        <v>3</v>
      </c>
      <c r="AB2766">
        <v>16</v>
      </c>
      <c r="AC2766">
        <v>-666</v>
      </c>
      <c r="AF2766">
        <v>1963</v>
      </c>
      <c r="AG2766">
        <v>1963</v>
      </c>
      <c r="AH2766">
        <v>-11.354072471526701</v>
      </c>
      <c r="AI2766">
        <v>210</v>
      </c>
      <c r="AJ2766">
        <v>22.5011921106247</v>
      </c>
      <c r="AK2766">
        <v>146.6</v>
      </c>
      <c r="AL2766">
        <v>3.0018122105499798</v>
      </c>
      <c r="AN2766">
        <v>-8</v>
      </c>
      <c r="AO2766" t="b">
        <v>1</v>
      </c>
      <c r="AP2766" t="s">
        <v>4202</v>
      </c>
      <c r="AQ2766">
        <v>1946</v>
      </c>
      <c r="AR2766">
        <v>1957</v>
      </c>
      <c r="AS2766" t="s">
        <v>11455</v>
      </c>
      <c r="AT2766">
        <v>0.383299110198494</v>
      </c>
      <c r="AU2766">
        <f t="shared" si="131"/>
        <v>1E-3</v>
      </c>
    </row>
    <row r="2767" spans="1:47" x14ac:dyDescent="0.3">
      <c r="A2767">
        <v>2765</v>
      </c>
      <c r="B2767" t="s">
        <v>11456</v>
      </c>
      <c r="C2767" t="s">
        <v>11457</v>
      </c>
      <c r="D2767">
        <v>652</v>
      </c>
      <c r="E2767" t="s">
        <v>11411</v>
      </c>
      <c r="F2767" t="str">
        <f>VLOOKUP(E2767,country_continent!A:C,2,FALSE)</f>
        <v>Syria</v>
      </c>
      <c r="G2767" t="str">
        <f>VLOOKUP(E2767,country_continent!A:C,3,FALSE)</f>
        <v>Asia</v>
      </c>
      <c r="H2767" t="s">
        <v>11458</v>
      </c>
      <c r="I2767" s="1">
        <v>23219</v>
      </c>
      <c r="J2767" s="3">
        <f t="shared" si="129"/>
        <v>23219</v>
      </c>
      <c r="K2767" s="1">
        <v>24163</v>
      </c>
      <c r="L2767" s="3">
        <f t="shared" si="130"/>
        <v>24163</v>
      </c>
      <c r="M2767" t="s">
        <v>67</v>
      </c>
      <c r="N2767" t="s">
        <v>67</v>
      </c>
      <c r="O2767" t="s">
        <v>376</v>
      </c>
      <c r="P2767">
        <v>0</v>
      </c>
      <c r="Q2767" t="s">
        <v>463</v>
      </c>
      <c r="R2767" t="s">
        <v>51</v>
      </c>
      <c r="S2767">
        <v>1911</v>
      </c>
      <c r="T2767">
        <v>2009</v>
      </c>
      <c r="Z2767">
        <v>1</v>
      </c>
      <c r="AA2767">
        <v>3</v>
      </c>
      <c r="AB2767">
        <v>6</v>
      </c>
      <c r="AC2767">
        <v>2</v>
      </c>
      <c r="AF2767">
        <v>1963</v>
      </c>
      <c r="AG2767">
        <v>1966</v>
      </c>
      <c r="AH2767">
        <v>-4.1801374303489203</v>
      </c>
      <c r="AI2767">
        <v>230</v>
      </c>
      <c r="AJ2767">
        <v>7.3138697310374399</v>
      </c>
      <c r="AK2767">
        <v>137.55000000000001</v>
      </c>
      <c r="AL2767">
        <v>3.0777040628629901</v>
      </c>
      <c r="AN2767">
        <v>-8</v>
      </c>
      <c r="AO2767" t="b">
        <v>1</v>
      </c>
      <c r="AP2767" t="s">
        <v>4202</v>
      </c>
      <c r="AQ2767">
        <v>1946</v>
      </c>
      <c r="AR2767">
        <v>1957</v>
      </c>
      <c r="AS2767" t="s">
        <v>11459</v>
      </c>
      <c r="AT2767">
        <v>2.5845311430527</v>
      </c>
      <c r="AU2767">
        <f t="shared" si="131"/>
        <v>7.0000000000000001E-3</v>
      </c>
    </row>
    <row r="2768" spans="1:47" x14ac:dyDescent="0.3">
      <c r="A2768">
        <v>2766</v>
      </c>
      <c r="B2768" t="s">
        <v>11460</v>
      </c>
      <c r="C2768" t="s">
        <v>11461</v>
      </c>
      <c r="D2768">
        <v>652</v>
      </c>
      <c r="E2768" t="s">
        <v>11411</v>
      </c>
      <c r="F2768" t="str">
        <f>VLOOKUP(E2768,country_continent!A:C,2,FALSE)</f>
        <v>Syria</v>
      </c>
      <c r="G2768" t="str">
        <f>VLOOKUP(E2768,country_continent!A:C,3,FALSE)</f>
        <v>Asia</v>
      </c>
      <c r="H2768" t="s">
        <v>11462</v>
      </c>
      <c r="I2768" s="1">
        <v>24163</v>
      </c>
      <c r="J2768" s="3">
        <f t="shared" si="129"/>
        <v>24163</v>
      </c>
      <c r="K2768" s="1">
        <v>25885</v>
      </c>
      <c r="L2768" s="3">
        <f t="shared" si="130"/>
        <v>25885</v>
      </c>
      <c r="M2768" t="s">
        <v>67</v>
      </c>
      <c r="N2768" t="s">
        <v>67</v>
      </c>
      <c r="O2768" t="s">
        <v>376</v>
      </c>
      <c r="P2768">
        <v>0</v>
      </c>
      <c r="Q2768" t="s">
        <v>463</v>
      </c>
      <c r="R2768" t="s">
        <v>51</v>
      </c>
      <c r="S2768">
        <v>1929</v>
      </c>
      <c r="T2768">
        <v>1992</v>
      </c>
      <c r="W2768" s="1">
        <v>33941</v>
      </c>
      <c r="X2768" s="2">
        <v>33941</v>
      </c>
      <c r="Y2768" t="s">
        <v>11463</v>
      </c>
      <c r="Z2768">
        <v>1</v>
      </c>
      <c r="AA2768">
        <v>3</v>
      </c>
      <c r="AB2768">
        <v>6</v>
      </c>
      <c r="AC2768">
        <v>2</v>
      </c>
      <c r="AF2768">
        <v>1966</v>
      </c>
      <c r="AG2768">
        <v>1970</v>
      </c>
      <c r="AH2768">
        <v>0.96798866298710695</v>
      </c>
      <c r="AI2768">
        <v>290</v>
      </c>
      <c r="AJ2768">
        <v>2.1143797389279499</v>
      </c>
      <c r="AK2768">
        <v>116.56</v>
      </c>
      <c r="AL2768">
        <v>3.2070980389034101</v>
      </c>
      <c r="AM2768">
        <v>1.5450322950587001</v>
      </c>
      <c r="AN2768">
        <v>-8.1999999999999993</v>
      </c>
      <c r="AO2768" t="b">
        <v>1</v>
      </c>
      <c r="AP2768" t="s">
        <v>4202</v>
      </c>
      <c r="AQ2768">
        <v>1946</v>
      </c>
      <c r="AR2768">
        <v>1957</v>
      </c>
      <c r="AS2768" t="s">
        <v>11464</v>
      </c>
      <c r="AT2768">
        <v>4.7145790554414697</v>
      </c>
      <c r="AU2768">
        <f t="shared" si="131"/>
        <v>1.2999999999999999E-2</v>
      </c>
    </row>
    <row r="2769" spans="1:47" x14ac:dyDescent="0.3">
      <c r="A2769">
        <v>2767</v>
      </c>
      <c r="B2769" t="s">
        <v>11465</v>
      </c>
      <c r="C2769" t="s">
        <v>11466</v>
      </c>
      <c r="D2769">
        <v>652</v>
      </c>
      <c r="E2769" t="s">
        <v>11411</v>
      </c>
      <c r="F2769" t="str">
        <f>VLOOKUP(E2769,country_continent!A:C,2,FALSE)</f>
        <v>Syria</v>
      </c>
      <c r="G2769" t="str">
        <f>VLOOKUP(E2769,country_continent!A:C,3,FALSE)</f>
        <v>Asia</v>
      </c>
      <c r="H2769" t="s">
        <v>11467</v>
      </c>
      <c r="I2769" s="1">
        <v>25890</v>
      </c>
      <c r="J2769" s="3">
        <f t="shared" si="129"/>
        <v>25890</v>
      </c>
      <c r="K2769" s="1">
        <v>25986</v>
      </c>
      <c r="L2769" s="3">
        <f t="shared" si="130"/>
        <v>25986</v>
      </c>
      <c r="M2769" t="s">
        <v>67</v>
      </c>
      <c r="N2769" t="s">
        <v>49</v>
      </c>
      <c r="O2769" t="s">
        <v>49</v>
      </c>
      <c r="P2769">
        <v>0</v>
      </c>
      <c r="Q2769" t="s">
        <v>50</v>
      </c>
      <c r="R2769" t="s">
        <v>51</v>
      </c>
      <c r="S2769">
        <v>1933</v>
      </c>
      <c r="T2769">
        <v>-777</v>
      </c>
      <c r="Z2769">
        <v>1</v>
      </c>
      <c r="AA2769">
        <v>1</v>
      </c>
      <c r="AB2769">
        <v>0</v>
      </c>
      <c r="AC2769">
        <v>0</v>
      </c>
      <c r="AF2769">
        <v>1970</v>
      </c>
      <c r="AG2769">
        <v>1971</v>
      </c>
      <c r="AH2769">
        <v>0.20281778125382</v>
      </c>
      <c r="AI2769">
        <v>360</v>
      </c>
      <c r="AJ2769">
        <v>4.5236399252044697</v>
      </c>
      <c r="AK2769">
        <v>101.85</v>
      </c>
      <c r="AL2769">
        <v>3.31225273512695</v>
      </c>
      <c r="AM2769">
        <v>1.88180648438773</v>
      </c>
      <c r="AN2769">
        <v>-9</v>
      </c>
      <c r="AO2769" t="b">
        <v>1</v>
      </c>
      <c r="AP2769" t="s">
        <v>4202</v>
      </c>
      <c r="AQ2769">
        <v>1946</v>
      </c>
      <c r="AR2769">
        <v>1957</v>
      </c>
      <c r="AS2769" t="s">
        <v>11468</v>
      </c>
      <c r="AT2769">
        <v>0.26283367556468101</v>
      </c>
      <c r="AU2769">
        <f t="shared" si="131"/>
        <v>1E-3</v>
      </c>
    </row>
    <row r="2770" spans="1:47" x14ac:dyDescent="0.3">
      <c r="A2770">
        <v>2768</v>
      </c>
      <c r="B2770" t="s">
        <v>11469</v>
      </c>
      <c r="C2770" t="s">
        <v>11470</v>
      </c>
      <c r="D2770">
        <v>652</v>
      </c>
      <c r="E2770" t="s">
        <v>11411</v>
      </c>
      <c r="F2770" t="str">
        <f>VLOOKUP(E2770,country_continent!A:C,2,FALSE)</f>
        <v>Syria</v>
      </c>
      <c r="G2770" t="str">
        <f>VLOOKUP(E2770,country_continent!A:C,3,FALSE)</f>
        <v>Asia</v>
      </c>
      <c r="H2770" t="s">
        <v>11471</v>
      </c>
      <c r="I2770" s="1">
        <v>25986</v>
      </c>
      <c r="J2770" s="3">
        <f t="shared" si="129"/>
        <v>25986</v>
      </c>
      <c r="K2770" s="1">
        <v>36687</v>
      </c>
      <c r="L2770" s="3">
        <f t="shared" si="130"/>
        <v>36687</v>
      </c>
      <c r="M2770" t="s">
        <v>49</v>
      </c>
      <c r="N2770" t="s">
        <v>110</v>
      </c>
      <c r="O2770" t="s">
        <v>49</v>
      </c>
      <c r="P2770">
        <v>0</v>
      </c>
      <c r="Q2770" t="s">
        <v>111</v>
      </c>
      <c r="R2770" t="s">
        <v>51</v>
      </c>
      <c r="S2770">
        <v>1930</v>
      </c>
      <c r="T2770">
        <v>2000</v>
      </c>
      <c r="U2770" s="1">
        <v>11237</v>
      </c>
      <c r="V2770" s="2">
        <v>11237</v>
      </c>
      <c r="W2770" s="1">
        <v>36687</v>
      </c>
      <c r="X2770" s="2">
        <v>36687</v>
      </c>
      <c r="Y2770" t="s">
        <v>11472</v>
      </c>
      <c r="Z2770">
        <v>0</v>
      </c>
      <c r="AA2770">
        <v>2</v>
      </c>
      <c r="AB2770">
        <v>0</v>
      </c>
      <c r="AC2770">
        <v>-777</v>
      </c>
      <c r="AD2770" t="s">
        <v>11473</v>
      </c>
      <c r="AE2770">
        <v>0</v>
      </c>
      <c r="AF2770">
        <v>1971</v>
      </c>
      <c r="AG2770">
        <v>2000</v>
      </c>
      <c r="AH2770">
        <v>2.6115023706772802</v>
      </c>
      <c r="AI2770">
        <v>1022.33333333333</v>
      </c>
      <c r="AJ2770">
        <v>11.9273278040981</v>
      </c>
      <c r="AK2770">
        <v>51.926666666666598</v>
      </c>
      <c r="AL2770">
        <v>3.1947298563802198</v>
      </c>
      <c r="AM2770">
        <v>8.0349541887601603</v>
      </c>
      <c r="AN2770">
        <v>-8.9</v>
      </c>
      <c r="AO2770" t="b">
        <v>1</v>
      </c>
      <c r="AP2770" t="s">
        <v>4202</v>
      </c>
      <c r="AQ2770">
        <v>1946</v>
      </c>
      <c r="AR2770">
        <v>1957</v>
      </c>
      <c r="AS2770" t="s">
        <v>11474</v>
      </c>
      <c r="AT2770">
        <v>29.297741273100598</v>
      </c>
      <c r="AU2770">
        <f t="shared" si="131"/>
        <v>0.08</v>
      </c>
    </row>
    <row r="2771" spans="1:47" x14ac:dyDescent="0.3">
      <c r="A2771">
        <v>2769</v>
      </c>
      <c r="B2771" t="s">
        <v>11475</v>
      </c>
      <c r="C2771" t="s">
        <v>11476</v>
      </c>
      <c r="D2771">
        <v>652</v>
      </c>
      <c r="E2771" t="s">
        <v>11411</v>
      </c>
      <c r="F2771" t="str">
        <f>VLOOKUP(E2771,country_continent!A:C,2,FALSE)</f>
        <v>Syria</v>
      </c>
      <c r="G2771" t="str">
        <f>VLOOKUP(E2771,country_continent!A:C,3,FALSE)</f>
        <v>Asia</v>
      </c>
      <c r="H2771" t="s">
        <v>11477</v>
      </c>
      <c r="I2771" s="1">
        <v>36688</v>
      </c>
      <c r="J2771" s="3">
        <f t="shared" si="129"/>
        <v>36688</v>
      </c>
      <c r="K2771" s="1">
        <v>42369</v>
      </c>
      <c r="L2771" s="3">
        <f t="shared" si="130"/>
        <v>42369</v>
      </c>
      <c r="M2771" t="s">
        <v>49</v>
      </c>
      <c r="N2771" t="s">
        <v>173</v>
      </c>
      <c r="O2771" t="s">
        <v>173</v>
      </c>
      <c r="P2771">
        <v>0</v>
      </c>
      <c r="Q2771" t="s">
        <v>174</v>
      </c>
      <c r="R2771" t="s">
        <v>51</v>
      </c>
      <c r="S2771">
        <v>1965</v>
      </c>
      <c r="T2771">
        <v>-777</v>
      </c>
      <c r="U2771" s="1">
        <v>23996</v>
      </c>
      <c r="V2771" s="2">
        <v>23996</v>
      </c>
      <c r="Z2771">
        <v>0</v>
      </c>
      <c r="AA2771">
        <v>-888</v>
      </c>
      <c r="AB2771">
        <v>-888</v>
      </c>
      <c r="AC2771">
        <v>-888</v>
      </c>
      <c r="AD2771" t="s">
        <v>11478</v>
      </c>
      <c r="AE2771">
        <v>1</v>
      </c>
      <c r="AF2771">
        <v>2000</v>
      </c>
      <c r="AG2771">
        <v>2015</v>
      </c>
      <c r="AH2771">
        <v>-2.0558223031453999</v>
      </c>
      <c r="AI2771">
        <v>1527.5</v>
      </c>
      <c r="AJ2771">
        <v>13.8956128881245</v>
      </c>
      <c r="AK2771">
        <v>24.256250000000001</v>
      </c>
      <c r="AL2771">
        <v>1.12374579005231</v>
      </c>
      <c r="AM2771">
        <v>7.0024523958961602</v>
      </c>
      <c r="AN2771">
        <v>-6.75</v>
      </c>
      <c r="AO2771" t="b">
        <v>1</v>
      </c>
      <c r="AP2771" t="s">
        <v>4202</v>
      </c>
      <c r="AQ2771">
        <v>1946</v>
      </c>
      <c r="AR2771">
        <v>1957</v>
      </c>
      <c r="AS2771" t="s">
        <v>11479</v>
      </c>
      <c r="AT2771">
        <v>15.553730321697399</v>
      </c>
      <c r="AU2771">
        <f t="shared" si="131"/>
        <v>4.2999999999999997E-2</v>
      </c>
    </row>
    <row r="2772" spans="1:47" x14ac:dyDescent="0.3">
      <c r="A2772">
        <v>2770</v>
      </c>
      <c r="B2772" t="s">
        <v>11480</v>
      </c>
      <c r="C2772" t="s">
        <v>11481</v>
      </c>
      <c r="D2772">
        <v>660</v>
      </c>
      <c r="E2772" t="s">
        <v>11482</v>
      </c>
      <c r="F2772" t="str">
        <f>VLOOKUP(E2772,country_continent!A:C,2,FALSE)</f>
        <v>Lebanon</v>
      </c>
      <c r="G2772" t="str">
        <f>VLOOKUP(E2772,country_continent!A:C,3,FALSE)</f>
        <v>Asia</v>
      </c>
      <c r="H2772" t="s">
        <v>11483</v>
      </c>
      <c r="I2772" s="1">
        <v>16032</v>
      </c>
      <c r="J2772" s="3">
        <f t="shared" si="129"/>
        <v>16032</v>
      </c>
      <c r="K2772" s="1">
        <v>19255</v>
      </c>
      <c r="L2772" s="3">
        <f t="shared" si="130"/>
        <v>19255</v>
      </c>
      <c r="M2772" t="s">
        <v>49</v>
      </c>
      <c r="N2772" t="s">
        <v>49</v>
      </c>
      <c r="O2772" t="s">
        <v>49</v>
      </c>
      <c r="P2772">
        <v>1</v>
      </c>
      <c r="Q2772" t="s">
        <v>50</v>
      </c>
      <c r="R2772" t="s">
        <v>51</v>
      </c>
      <c r="S2772">
        <v>1890</v>
      </c>
      <c r="T2772">
        <v>1964</v>
      </c>
      <c r="U2772" t="s">
        <v>2870</v>
      </c>
      <c r="V2772" t="s">
        <v>2871</v>
      </c>
      <c r="W2772" s="1">
        <v>23387</v>
      </c>
      <c r="X2772" s="2">
        <v>23387</v>
      </c>
      <c r="Z2772">
        <v>0</v>
      </c>
      <c r="AA2772">
        <v>1</v>
      </c>
      <c r="AB2772">
        <v>0</v>
      </c>
      <c r="AC2772">
        <v>0</v>
      </c>
      <c r="AD2772" t="s">
        <v>11484</v>
      </c>
      <c r="AE2772">
        <v>0</v>
      </c>
      <c r="AF2772">
        <v>1943</v>
      </c>
      <c r="AG2772">
        <v>1952</v>
      </c>
      <c r="AO2772" t="b">
        <v>1</v>
      </c>
      <c r="AP2772" t="s">
        <v>4202</v>
      </c>
      <c r="AQ2772">
        <v>1946</v>
      </c>
      <c r="AR2772">
        <v>1959</v>
      </c>
      <c r="AS2772" t="s">
        <v>11485</v>
      </c>
      <c r="AT2772">
        <v>8.8240930869267604</v>
      </c>
      <c r="AU2772">
        <f t="shared" si="131"/>
        <v>2.4E-2</v>
      </c>
    </row>
    <row r="2773" spans="1:47" x14ac:dyDescent="0.3">
      <c r="A2773">
        <v>2771</v>
      </c>
      <c r="B2773" t="s">
        <v>11486</v>
      </c>
      <c r="C2773" t="s">
        <v>11487</v>
      </c>
      <c r="D2773">
        <v>660</v>
      </c>
      <c r="E2773" t="s">
        <v>11482</v>
      </c>
      <c r="F2773" t="str">
        <f>VLOOKUP(E2773,country_continent!A:C,2,FALSE)</f>
        <v>Lebanon</v>
      </c>
      <c r="G2773" t="str">
        <f>VLOOKUP(E2773,country_continent!A:C,3,FALSE)</f>
        <v>Asia</v>
      </c>
      <c r="H2773" t="s">
        <v>11488</v>
      </c>
      <c r="I2773" s="1">
        <v>19256</v>
      </c>
      <c r="J2773" s="3">
        <f t="shared" si="129"/>
        <v>19256</v>
      </c>
      <c r="K2773" s="1">
        <v>19260</v>
      </c>
      <c r="L2773" s="3">
        <f t="shared" si="130"/>
        <v>19260</v>
      </c>
      <c r="M2773" t="s">
        <v>49</v>
      </c>
      <c r="N2773" t="s">
        <v>49</v>
      </c>
      <c r="O2773" t="s">
        <v>49</v>
      </c>
      <c r="P2773">
        <v>0</v>
      </c>
      <c r="Q2773" t="s">
        <v>50</v>
      </c>
      <c r="R2773" t="s">
        <v>51</v>
      </c>
      <c r="S2773">
        <v>1902</v>
      </c>
      <c r="T2773">
        <v>1973</v>
      </c>
      <c r="U2773" s="1">
        <v>799</v>
      </c>
      <c r="V2773" s="2">
        <v>799</v>
      </c>
      <c r="W2773" s="1">
        <v>26779</v>
      </c>
      <c r="X2773" s="2">
        <v>26779</v>
      </c>
      <c r="Z2773">
        <v>0</v>
      </c>
      <c r="AA2773">
        <v>1</v>
      </c>
      <c r="AB2773">
        <v>0</v>
      </c>
      <c r="AC2773">
        <v>0</v>
      </c>
      <c r="AF2773">
        <v>1952</v>
      </c>
      <c r="AG2773">
        <v>1952</v>
      </c>
      <c r="AO2773" t="b">
        <v>1</v>
      </c>
      <c r="AP2773" t="s">
        <v>4202</v>
      </c>
      <c r="AQ2773">
        <v>1946</v>
      </c>
      <c r="AR2773">
        <v>1959</v>
      </c>
      <c r="AS2773" t="s">
        <v>11489</v>
      </c>
      <c r="AT2773">
        <v>1.09514031485284E-2</v>
      </c>
      <c r="AU2773">
        <f t="shared" si="131"/>
        <v>0</v>
      </c>
    </row>
    <row r="2774" spans="1:47" x14ac:dyDescent="0.3">
      <c r="A2774">
        <v>2772</v>
      </c>
      <c r="B2774" t="s">
        <v>11490</v>
      </c>
      <c r="C2774" t="s">
        <v>11491</v>
      </c>
      <c r="D2774">
        <v>660</v>
      </c>
      <c r="E2774" t="s">
        <v>11482</v>
      </c>
      <c r="F2774" t="str">
        <f>VLOOKUP(E2774,country_continent!A:C,2,FALSE)</f>
        <v>Lebanon</v>
      </c>
      <c r="G2774" t="str">
        <f>VLOOKUP(E2774,country_continent!A:C,3,FALSE)</f>
        <v>Asia</v>
      </c>
      <c r="H2774" t="s">
        <v>11492</v>
      </c>
      <c r="I2774" s="1">
        <v>19260</v>
      </c>
      <c r="J2774" s="3">
        <f t="shared" si="129"/>
        <v>19260</v>
      </c>
      <c r="K2774" s="1">
        <v>21451</v>
      </c>
      <c r="L2774" s="3">
        <f t="shared" si="130"/>
        <v>21451</v>
      </c>
      <c r="M2774" t="s">
        <v>49</v>
      </c>
      <c r="N2774" t="s">
        <v>49</v>
      </c>
      <c r="O2774" t="s">
        <v>49</v>
      </c>
      <c r="P2774">
        <v>0</v>
      </c>
      <c r="Q2774" t="s">
        <v>50</v>
      </c>
      <c r="R2774" t="s">
        <v>51</v>
      </c>
      <c r="S2774">
        <v>1900</v>
      </c>
      <c r="T2774">
        <v>1987</v>
      </c>
      <c r="U2774" s="1">
        <v>94</v>
      </c>
      <c r="V2774" s="2">
        <v>94</v>
      </c>
      <c r="W2774" s="1">
        <v>31996</v>
      </c>
      <c r="X2774" s="2">
        <v>31996</v>
      </c>
      <c r="Y2774" t="s">
        <v>11493</v>
      </c>
      <c r="Z2774">
        <v>0</v>
      </c>
      <c r="AA2774">
        <v>1</v>
      </c>
      <c r="AB2774">
        <v>0</v>
      </c>
      <c r="AC2774">
        <v>0</v>
      </c>
      <c r="AF2774">
        <v>1952</v>
      </c>
      <c r="AG2774">
        <v>1958</v>
      </c>
      <c r="AO2774" t="b">
        <v>1</v>
      </c>
      <c r="AP2774" t="s">
        <v>4202</v>
      </c>
      <c r="AQ2774">
        <v>1946</v>
      </c>
      <c r="AR2774">
        <v>1959</v>
      </c>
      <c r="AS2774" t="s">
        <v>11494</v>
      </c>
      <c r="AT2774">
        <v>5.99863107460643</v>
      </c>
      <c r="AU2774">
        <f t="shared" si="131"/>
        <v>1.6E-2</v>
      </c>
    </row>
    <row r="2775" spans="1:47" x14ac:dyDescent="0.3">
      <c r="A2775">
        <v>2773</v>
      </c>
      <c r="B2775" t="s">
        <v>11495</v>
      </c>
      <c r="C2775" t="s">
        <v>11496</v>
      </c>
      <c r="D2775">
        <v>660</v>
      </c>
      <c r="E2775" t="s">
        <v>11482</v>
      </c>
      <c r="F2775" t="str">
        <f>VLOOKUP(E2775,country_continent!A:C,2,FALSE)</f>
        <v>Lebanon</v>
      </c>
      <c r="G2775" t="str">
        <f>VLOOKUP(E2775,country_continent!A:C,3,FALSE)</f>
        <v>Asia</v>
      </c>
      <c r="H2775" t="s">
        <v>11497</v>
      </c>
      <c r="I2775" s="1">
        <v>21451</v>
      </c>
      <c r="J2775" s="3">
        <f t="shared" si="129"/>
        <v>21451</v>
      </c>
      <c r="K2775" s="1">
        <v>23643</v>
      </c>
      <c r="L2775" s="3">
        <f t="shared" si="130"/>
        <v>23643</v>
      </c>
      <c r="M2775" t="s">
        <v>49</v>
      </c>
      <c r="N2775" t="s">
        <v>49</v>
      </c>
      <c r="O2775" t="s">
        <v>49</v>
      </c>
      <c r="P2775">
        <v>1</v>
      </c>
      <c r="Q2775" t="s">
        <v>50</v>
      </c>
      <c r="R2775" t="s">
        <v>51</v>
      </c>
      <c r="S2775">
        <v>1902</v>
      </c>
      <c r="T2775">
        <v>1973</v>
      </c>
      <c r="U2775" s="1">
        <v>799</v>
      </c>
      <c r="V2775" s="2">
        <v>799</v>
      </c>
      <c r="W2775" s="1">
        <v>26779</v>
      </c>
      <c r="X2775" s="2">
        <v>26779</v>
      </c>
      <c r="Z2775">
        <v>0</v>
      </c>
      <c r="AA2775">
        <v>1</v>
      </c>
      <c r="AB2775">
        <v>0</v>
      </c>
      <c r="AC2775">
        <v>0</v>
      </c>
      <c r="AF2775">
        <v>1958</v>
      </c>
      <c r="AG2775">
        <v>1964</v>
      </c>
      <c r="AO2775" t="b">
        <v>1</v>
      </c>
      <c r="AP2775" t="s">
        <v>4202</v>
      </c>
      <c r="AQ2775">
        <v>1946</v>
      </c>
      <c r="AR2775">
        <v>1959</v>
      </c>
      <c r="AS2775" t="s">
        <v>11498</v>
      </c>
      <c r="AT2775">
        <v>6.0013689253935603</v>
      </c>
      <c r="AU2775">
        <f t="shared" si="131"/>
        <v>1.6E-2</v>
      </c>
    </row>
    <row r="2776" spans="1:47" x14ac:dyDescent="0.3">
      <c r="A2776">
        <v>2774</v>
      </c>
      <c r="B2776" t="s">
        <v>11499</v>
      </c>
      <c r="C2776" t="s">
        <v>11500</v>
      </c>
      <c r="D2776">
        <v>660</v>
      </c>
      <c r="E2776" t="s">
        <v>11482</v>
      </c>
      <c r="F2776" t="str">
        <f>VLOOKUP(E2776,country_continent!A:C,2,FALSE)</f>
        <v>Lebanon</v>
      </c>
      <c r="G2776" t="str">
        <f>VLOOKUP(E2776,country_continent!A:C,3,FALSE)</f>
        <v>Asia</v>
      </c>
      <c r="H2776" t="s">
        <v>11501</v>
      </c>
      <c r="I2776" s="1">
        <v>23643</v>
      </c>
      <c r="J2776" s="3">
        <f t="shared" si="129"/>
        <v>23643</v>
      </c>
      <c r="K2776" s="1">
        <v>25834</v>
      </c>
      <c r="L2776" s="3">
        <f t="shared" si="130"/>
        <v>25834</v>
      </c>
      <c r="M2776" t="s">
        <v>49</v>
      </c>
      <c r="N2776" t="s">
        <v>49</v>
      </c>
      <c r="O2776" t="s">
        <v>49</v>
      </c>
      <c r="P2776">
        <v>0</v>
      </c>
      <c r="Q2776" t="s">
        <v>50</v>
      </c>
      <c r="R2776" t="s">
        <v>51</v>
      </c>
      <c r="S2776">
        <v>1912</v>
      </c>
      <c r="T2776">
        <v>2001</v>
      </c>
      <c r="U2776" s="1">
        <v>4743</v>
      </c>
      <c r="V2776" s="2">
        <v>4743</v>
      </c>
      <c r="W2776" s="1">
        <v>36898</v>
      </c>
      <c r="X2776" s="2">
        <v>36898</v>
      </c>
      <c r="Z2776">
        <v>0</v>
      </c>
      <c r="AA2776">
        <v>1</v>
      </c>
      <c r="AB2776">
        <v>0</v>
      </c>
      <c r="AC2776">
        <v>0</v>
      </c>
      <c r="AF2776">
        <v>1964</v>
      </c>
      <c r="AG2776">
        <v>1970</v>
      </c>
      <c r="AO2776" t="b">
        <v>1</v>
      </c>
      <c r="AP2776" t="s">
        <v>4202</v>
      </c>
      <c r="AQ2776">
        <v>1946</v>
      </c>
      <c r="AR2776">
        <v>1959</v>
      </c>
      <c r="AS2776" t="s">
        <v>11494</v>
      </c>
      <c r="AT2776">
        <v>5.99863107460643</v>
      </c>
      <c r="AU2776">
        <f t="shared" si="131"/>
        <v>1.6E-2</v>
      </c>
    </row>
    <row r="2777" spans="1:47" x14ac:dyDescent="0.3">
      <c r="A2777">
        <v>2775</v>
      </c>
      <c r="B2777" t="s">
        <v>11502</v>
      </c>
      <c r="C2777" t="s">
        <v>11503</v>
      </c>
      <c r="D2777">
        <v>660</v>
      </c>
      <c r="E2777" t="s">
        <v>11482</v>
      </c>
      <c r="F2777" t="str">
        <f>VLOOKUP(E2777,country_continent!A:C,2,FALSE)</f>
        <v>Lebanon</v>
      </c>
      <c r="G2777" t="str">
        <f>VLOOKUP(E2777,country_continent!A:C,3,FALSE)</f>
        <v>Asia</v>
      </c>
      <c r="H2777" t="s">
        <v>11504</v>
      </c>
      <c r="I2777" s="1">
        <v>25834</v>
      </c>
      <c r="J2777" s="3">
        <f t="shared" si="129"/>
        <v>25834</v>
      </c>
      <c r="K2777" s="1">
        <v>28026</v>
      </c>
      <c r="L2777" s="3">
        <f t="shared" si="130"/>
        <v>28026</v>
      </c>
      <c r="M2777" t="s">
        <v>49</v>
      </c>
      <c r="N2777" t="s">
        <v>49</v>
      </c>
      <c r="O2777" t="s">
        <v>49</v>
      </c>
      <c r="P2777">
        <v>0</v>
      </c>
      <c r="Q2777" t="s">
        <v>50</v>
      </c>
      <c r="R2777" t="s">
        <v>51</v>
      </c>
      <c r="S2777">
        <v>1910</v>
      </c>
      <c r="T2777">
        <v>1992</v>
      </c>
      <c r="U2777" s="1">
        <v>3818</v>
      </c>
      <c r="V2777" s="2">
        <v>3818</v>
      </c>
      <c r="W2777" s="1">
        <v>33808</v>
      </c>
      <c r="X2777" s="2">
        <v>33808</v>
      </c>
      <c r="Z2777">
        <v>0</v>
      </c>
      <c r="AA2777">
        <v>1</v>
      </c>
      <c r="AB2777">
        <v>0</v>
      </c>
      <c r="AC2777">
        <v>0</v>
      </c>
      <c r="AF2777">
        <v>1970</v>
      </c>
      <c r="AG2777">
        <v>1976</v>
      </c>
      <c r="AO2777" t="b">
        <v>1</v>
      </c>
      <c r="AP2777" t="s">
        <v>4202</v>
      </c>
      <c r="AQ2777">
        <v>1946</v>
      </c>
      <c r="AR2777">
        <v>1959</v>
      </c>
      <c r="AS2777" t="s">
        <v>11498</v>
      </c>
      <c r="AT2777">
        <v>6.0013689253935603</v>
      </c>
      <c r="AU2777">
        <f t="shared" si="131"/>
        <v>1.6E-2</v>
      </c>
    </row>
    <row r="2778" spans="1:47" x14ac:dyDescent="0.3">
      <c r="A2778">
        <v>2776</v>
      </c>
      <c r="B2778" t="s">
        <v>11505</v>
      </c>
      <c r="C2778" t="s">
        <v>11506</v>
      </c>
      <c r="D2778">
        <v>660</v>
      </c>
      <c r="E2778" t="s">
        <v>11482</v>
      </c>
      <c r="F2778" t="str">
        <f>VLOOKUP(E2778,country_continent!A:C,2,FALSE)</f>
        <v>Lebanon</v>
      </c>
      <c r="G2778" t="str">
        <f>VLOOKUP(E2778,country_continent!A:C,3,FALSE)</f>
        <v>Asia</v>
      </c>
      <c r="H2778" t="s">
        <v>11507</v>
      </c>
      <c r="I2778" s="1">
        <v>28026</v>
      </c>
      <c r="J2778" s="3">
        <f t="shared" si="129"/>
        <v>28026</v>
      </c>
      <c r="K2778" s="1">
        <v>30217</v>
      </c>
      <c r="L2778" s="3">
        <f t="shared" si="130"/>
        <v>30217</v>
      </c>
      <c r="M2778" t="s">
        <v>49</v>
      </c>
      <c r="N2778" t="s">
        <v>49</v>
      </c>
      <c r="O2778" t="s">
        <v>49</v>
      </c>
      <c r="P2778">
        <v>0</v>
      </c>
      <c r="Q2778" t="s">
        <v>50</v>
      </c>
      <c r="R2778" t="s">
        <v>51</v>
      </c>
      <c r="S2778">
        <v>1924</v>
      </c>
      <c r="T2778">
        <v>1985</v>
      </c>
      <c r="U2778" s="1">
        <v>8968</v>
      </c>
      <c r="V2778" s="2">
        <v>8968</v>
      </c>
      <c r="Z2778">
        <v>0</v>
      </c>
      <c r="AA2778">
        <v>1</v>
      </c>
      <c r="AB2778">
        <v>0</v>
      </c>
      <c r="AC2778">
        <v>0</v>
      </c>
      <c r="AF2778">
        <v>1976</v>
      </c>
      <c r="AG2778">
        <v>1982</v>
      </c>
      <c r="AO2778" t="b">
        <v>1</v>
      </c>
      <c r="AP2778" t="s">
        <v>4202</v>
      </c>
      <c r="AQ2778">
        <v>1946</v>
      </c>
      <c r="AR2778">
        <v>1959</v>
      </c>
      <c r="AS2778" t="s">
        <v>11494</v>
      </c>
      <c r="AT2778">
        <v>5.99863107460643</v>
      </c>
      <c r="AU2778">
        <f t="shared" si="131"/>
        <v>1.6E-2</v>
      </c>
    </row>
    <row r="2779" spans="1:47" x14ac:dyDescent="0.3">
      <c r="A2779">
        <v>2777</v>
      </c>
      <c r="B2779" t="s">
        <v>11508</v>
      </c>
      <c r="C2779" t="s">
        <v>11509</v>
      </c>
      <c r="D2779">
        <v>660</v>
      </c>
      <c r="E2779" t="s">
        <v>11482</v>
      </c>
      <c r="F2779" t="str">
        <f>VLOOKUP(E2779,country_continent!A:C,2,FALSE)</f>
        <v>Lebanon</v>
      </c>
      <c r="G2779" t="str">
        <f>VLOOKUP(E2779,country_continent!A:C,3,FALSE)</f>
        <v>Asia</v>
      </c>
      <c r="H2779" t="s">
        <v>11510</v>
      </c>
      <c r="I2779" s="1">
        <v>30217</v>
      </c>
      <c r="J2779" s="3">
        <f t="shared" si="129"/>
        <v>30217</v>
      </c>
      <c r="K2779" s="1">
        <v>32409</v>
      </c>
      <c r="L2779" s="3">
        <f t="shared" si="130"/>
        <v>32409</v>
      </c>
      <c r="M2779" t="s">
        <v>49</v>
      </c>
      <c r="N2779" t="s">
        <v>49</v>
      </c>
      <c r="O2779" t="s">
        <v>49</v>
      </c>
      <c r="P2779">
        <v>0</v>
      </c>
      <c r="Q2779" t="s">
        <v>50</v>
      </c>
      <c r="R2779" t="s">
        <v>51</v>
      </c>
      <c r="S2779">
        <v>1942</v>
      </c>
      <c r="T2779">
        <v>-777</v>
      </c>
      <c r="Z2779">
        <v>0</v>
      </c>
      <c r="AA2779">
        <v>1</v>
      </c>
      <c r="AB2779">
        <v>0</v>
      </c>
      <c r="AC2779">
        <v>0</v>
      </c>
      <c r="AF2779">
        <v>1982</v>
      </c>
      <c r="AG2779">
        <v>1988</v>
      </c>
      <c r="AO2779" t="b">
        <v>1</v>
      </c>
      <c r="AP2779" t="s">
        <v>4202</v>
      </c>
      <c r="AQ2779">
        <v>1946</v>
      </c>
      <c r="AR2779">
        <v>1959</v>
      </c>
      <c r="AS2779" t="s">
        <v>11498</v>
      </c>
      <c r="AT2779">
        <v>6.0013689253935603</v>
      </c>
      <c r="AU2779">
        <f t="shared" si="131"/>
        <v>1.6E-2</v>
      </c>
    </row>
    <row r="2780" spans="1:47" x14ac:dyDescent="0.3">
      <c r="A2780">
        <v>2778</v>
      </c>
      <c r="B2780" t="s">
        <v>11511</v>
      </c>
      <c r="C2780" t="s">
        <v>11512</v>
      </c>
      <c r="D2780">
        <v>660</v>
      </c>
      <c r="E2780" t="s">
        <v>11482</v>
      </c>
      <c r="F2780" t="str">
        <f>VLOOKUP(E2780,country_continent!A:C,2,FALSE)</f>
        <v>Lebanon</v>
      </c>
      <c r="G2780" t="str">
        <f>VLOOKUP(E2780,country_continent!A:C,3,FALSE)</f>
        <v>Asia</v>
      </c>
      <c r="H2780" t="s">
        <v>11513</v>
      </c>
      <c r="I2780" s="1">
        <v>32409</v>
      </c>
      <c r="J2780" s="3">
        <f t="shared" si="129"/>
        <v>32409</v>
      </c>
      <c r="K2780" s="1">
        <v>32817</v>
      </c>
      <c r="L2780" s="3">
        <f t="shared" si="130"/>
        <v>32817</v>
      </c>
      <c r="M2780" t="s">
        <v>49</v>
      </c>
      <c r="N2780" t="s">
        <v>49</v>
      </c>
      <c r="O2780" t="s">
        <v>49</v>
      </c>
      <c r="P2780">
        <v>0</v>
      </c>
      <c r="Q2780" t="s">
        <v>362</v>
      </c>
      <c r="R2780" t="s">
        <v>51</v>
      </c>
      <c r="S2780">
        <v>1935</v>
      </c>
      <c r="T2780">
        <v>-777</v>
      </c>
      <c r="U2780" s="1">
        <v>12830</v>
      </c>
      <c r="V2780" s="2">
        <v>12830</v>
      </c>
      <c r="Y2780" t="s">
        <v>11514</v>
      </c>
      <c r="Z2780">
        <v>0</v>
      </c>
      <c r="AA2780">
        <v>1</v>
      </c>
      <c r="AB2780">
        <v>0</v>
      </c>
      <c r="AC2780">
        <v>1</v>
      </c>
      <c r="AF2780">
        <v>1988</v>
      </c>
      <c r="AG2780">
        <v>1989</v>
      </c>
      <c r="AO2780" t="b">
        <v>1</v>
      </c>
      <c r="AP2780" t="s">
        <v>4202</v>
      </c>
      <c r="AQ2780">
        <v>1946</v>
      </c>
      <c r="AR2780">
        <v>1959</v>
      </c>
      <c r="AS2780" t="s">
        <v>11515</v>
      </c>
      <c r="AT2780">
        <v>1.1170431211498899</v>
      </c>
      <c r="AU2780">
        <f t="shared" si="131"/>
        <v>3.0000000000000001E-3</v>
      </c>
    </row>
    <row r="2781" spans="1:47" x14ac:dyDescent="0.3">
      <c r="A2781">
        <v>2779</v>
      </c>
      <c r="B2781" t="s">
        <v>11516</v>
      </c>
      <c r="C2781" t="s">
        <v>11517</v>
      </c>
      <c r="D2781">
        <v>660</v>
      </c>
      <c r="E2781" t="s">
        <v>11482</v>
      </c>
      <c r="F2781" t="str">
        <f>VLOOKUP(E2781,country_continent!A:C,2,FALSE)</f>
        <v>Lebanon</v>
      </c>
      <c r="G2781" t="str">
        <f>VLOOKUP(E2781,country_continent!A:C,3,FALSE)</f>
        <v>Asia</v>
      </c>
      <c r="H2781" t="s">
        <v>11518</v>
      </c>
      <c r="I2781" s="1">
        <v>32817</v>
      </c>
      <c r="J2781" s="3">
        <f t="shared" si="129"/>
        <v>32817</v>
      </c>
      <c r="K2781" s="1">
        <v>32834</v>
      </c>
      <c r="L2781" s="3">
        <f t="shared" si="130"/>
        <v>32834</v>
      </c>
      <c r="M2781" t="s">
        <v>49</v>
      </c>
      <c r="N2781" t="s">
        <v>67</v>
      </c>
      <c r="O2781" t="s">
        <v>433</v>
      </c>
      <c r="P2781">
        <v>0</v>
      </c>
      <c r="Q2781" t="s">
        <v>69</v>
      </c>
      <c r="R2781" t="s">
        <v>51</v>
      </c>
      <c r="S2781">
        <v>1925</v>
      </c>
      <c r="T2781">
        <v>1989</v>
      </c>
      <c r="U2781" s="1">
        <v>9239</v>
      </c>
      <c r="V2781" s="2">
        <v>9239</v>
      </c>
      <c r="W2781" s="1">
        <v>32834</v>
      </c>
      <c r="X2781" s="2">
        <v>32834</v>
      </c>
      <c r="Y2781" t="s">
        <v>11519</v>
      </c>
      <c r="Z2781">
        <v>0</v>
      </c>
      <c r="AA2781">
        <v>3</v>
      </c>
      <c r="AB2781">
        <v>4</v>
      </c>
      <c r="AC2781">
        <v>3</v>
      </c>
      <c r="AD2781" t="s">
        <v>11520</v>
      </c>
      <c r="AE2781">
        <v>1</v>
      </c>
      <c r="AF2781">
        <v>1989</v>
      </c>
      <c r="AG2781">
        <v>1989</v>
      </c>
      <c r="AO2781" t="b">
        <v>1</v>
      </c>
      <c r="AP2781" t="s">
        <v>4202</v>
      </c>
      <c r="AQ2781">
        <v>1946</v>
      </c>
      <c r="AR2781">
        <v>1959</v>
      </c>
      <c r="AS2781" t="s">
        <v>11521</v>
      </c>
      <c r="AT2781">
        <v>4.6543463381245702E-2</v>
      </c>
      <c r="AU2781">
        <f t="shared" si="131"/>
        <v>0</v>
      </c>
    </row>
    <row r="2782" spans="1:47" x14ac:dyDescent="0.3">
      <c r="A2782">
        <v>2780</v>
      </c>
      <c r="B2782" t="s">
        <v>11522</v>
      </c>
      <c r="C2782" t="s">
        <v>11523</v>
      </c>
      <c r="D2782">
        <v>660</v>
      </c>
      <c r="E2782" t="s">
        <v>11482</v>
      </c>
      <c r="F2782" t="str">
        <f>VLOOKUP(E2782,country_continent!A:C,2,FALSE)</f>
        <v>Lebanon</v>
      </c>
      <c r="G2782" t="str">
        <f>VLOOKUP(E2782,country_continent!A:C,3,FALSE)</f>
        <v>Asia</v>
      </c>
      <c r="H2782" t="s">
        <v>11524</v>
      </c>
      <c r="I2782" s="1">
        <v>32835</v>
      </c>
      <c r="J2782" s="3">
        <f t="shared" si="129"/>
        <v>32835</v>
      </c>
      <c r="K2782" s="1">
        <v>36123</v>
      </c>
      <c r="L2782" s="3">
        <f t="shared" si="130"/>
        <v>36123</v>
      </c>
      <c r="M2782" t="s">
        <v>49</v>
      </c>
      <c r="N2782" t="s">
        <v>49</v>
      </c>
      <c r="O2782" t="s">
        <v>49</v>
      </c>
      <c r="P2782">
        <v>0</v>
      </c>
      <c r="Q2782" t="s">
        <v>50</v>
      </c>
      <c r="R2782" t="s">
        <v>51</v>
      </c>
      <c r="S2782">
        <v>1930</v>
      </c>
      <c r="T2782">
        <v>2006</v>
      </c>
      <c r="Z2782">
        <v>0</v>
      </c>
      <c r="AA2782">
        <v>1</v>
      </c>
      <c r="AB2782">
        <v>0</v>
      </c>
      <c r="AC2782">
        <v>0</v>
      </c>
      <c r="AF2782">
        <v>1989</v>
      </c>
      <c r="AG2782">
        <v>1998</v>
      </c>
      <c r="AO2782" t="b">
        <v>1</v>
      </c>
      <c r="AP2782" t="s">
        <v>4202</v>
      </c>
      <c r="AQ2782">
        <v>1946</v>
      </c>
      <c r="AR2782">
        <v>1959</v>
      </c>
      <c r="AS2782" t="s">
        <v>11525</v>
      </c>
      <c r="AT2782">
        <v>9.0020533880903493</v>
      </c>
      <c r="AU2782">
        <f t="shared" si="131"/>
        <v>2.5000000000000001E-2</v>
      </c>
    </row>
    <row r="2783" spans="1:47" x14ac:dyDescent="0.3">
      <c r="A2783">
        <v>2781</v>
      </c>
      <c r="B2783" t="s">
        <v>11526</v>
      </c>
      <c r="C2783" t="s">
        <v>11527</v>
      </c>
      <c r="D2783">
        <v>660</v>
      </c>
      <c r="E2783" t="s">
        <v>11482</v>
      </c>
      <c r="F2783" t="str">
        <f>VLOOKUP(E2783,country_continent!A:C,2,FALSE)</f>
        <v>Lebanon</v>
      </c>
      <c r="G2783" t="str">
        <f>VLOOKUP(E2783,country_continent!A:C,3,FALSE)</f>
        <v>Asia</v>
      </c>
      <c r="H2783" t="s">
        <v>11528</v>
      </c>
      <c r="I2783" s="1">
        <v>36123</v>
      </c>
      <c r="J2783" s="3">
        <f t="shared" si="129"/>
        <v>36123</v>
      </c>
      <c r="K2783" s="1">
        <v>39409</v>
      </c>
      <c r="L2783" s="3">
        <f t="shared" si="130"/>
        <v>39409</v>
      </c>
      <c r="M2783" t="s">
        <v>49</v>
      </c>
      <c r="N2783" t="s">
        <v>49</v>
      </c>
      <c r="O2783" t="s">
        <v>49</v>
      </c>
      <c r="P2783">
        <v>0</v>
      </c>
      <c r="Q2783" t="s">
        <v>50</v>
      </c>
      <c r="R2783" t="s">
        <v>51</v>
      </c>
      <c r="S2783">
        <v>1936</v>
      </c>
      <c r="T2783">
        <v>-777</v>
      </c>
      <c r="Z2783">
        <v>0</v>
      </c>
      <c r="AA2783">
        <v>1</v>
      </c>
      <c r="AB2783">
        <v>0</v>
      </c>
      <c r="AC2783">
        <v>0</v>
      </c>
      <c r="AF2783">
        <v>1998</v>
      </c>
      <c r="AG2783">
        <v>2007</v>
      </c>
      <c r="AO2783" t="b">
        <v>1</v>
      </c>
      <c r="AP2783" t="s">
        <v>4202</v>
      </c>
      <c r="AQ2783">
        <v>1946</v>
      </c>
      <c r="AR2783">
        <v>1959</v>
      </c>
      <c r="AS2783" t="s">
        <v>11529</v>
      </c>
      <c r="AT2783">
        <v>8.9965776865160798</v>
      </c>
      <c r="AU2783">
        <f t="shared" si="131"/>
        <v>2.5000000000000001E-2</v>
      </c>
    </row>
    <row r="2784" spans="1:47" x14ac:dyDescent="0.3">
      <c r="A2784">
        <v>2782</v>
      </c>
      <c r="B2784" t="s">
        <v>11530</v>
      </c>
      <c r="C2784" t="s">
        <v>11531</v>
      </c>
      <c r="D2784">
        <v>660</v>
      </c>
      <c r="E2784" t="s">
        <v>11482</v>
      </c>
      <c r="F2784" t="str">
        <f>VLOOKUP(E2784,country_continent!A:C,2,FALSE)</f>
        <v>Lebanon</v>
      </c>
      <c r="G2784" t="str">
        <f>VLOOKUP(E2784,country_continent!A:C,3,FALSE)</f>
        <v>Asia</v>
      </c>
      <c r="H2784" t="s">
        <v>11532</v>
      </c>
      <c r="I2784" s="1">
        <v>39409</v>
      </c>
      <c r="J2784" s="3">
        <f t="shared" si="129"/>
        <v>39409</v>
      </c>
      <c r="K2784" s="1">
        <v>39593</v>
      </c>
      <c r="L2784" s="3">
        <f t="shared" si="130"/>
        <v>39593</v>
      </c>
      <c r="M2784" t="s">
        <v>49</v>
      </c>
      <c r="N2784" t="s">
        <v>67</v>
      </c>
      <c r="O2784" t="s">
        <v>376</v>
      </c>
      <c r="P2784">
        <v>0</v>
      </c>
      <c r="Q2784" t="s">
        <v>50</v>
      </c>
      <c r="R2784" t="s">
        <v>51</v>
      </c>
      <c r="S2784">
        <v>1943</v>
      </c>
      <c r="T2784">
        <v>-777</v>
      </c>
      <c r="Z2784">
        <v>0</v>
      </c>
      <c r="AA2784">
        <v>3</v>
      </c>
      <c r="AB2784">
        <v>6</v>
      </c>
      <c r="AC2784">
        <v>0</v>
      </c>
      <c r="AF2784">
        <v>2007</v>
      </c>
      <c r="AG2784">
        <v>2008</v>
      </c>
      <c r="AO2784" t="b">
        <v>1</v>
      </c>
      <c r="AP2784" t="s">
        <v>4202</v>
      </c>
      <c r="AQ2784">
        <v>1946</v>
      </c>
      <c r="AR2784">
        <v>1959</v>
      </c>
      <c r="AS2784" t="s">
        <v>11533</v>
      </c>
      <c r="AT2784">
        <v>0.50376454483230604</v>
      </c>
      <c r="AU2784">
        <f t="shared" si="131"/>
        <v>1E-3</v>
      </c>
    </row>
    <row r="2785" spans="1:47" x14ac:dyDescent="0.3">
      <c r="A2785">
        <v>2783</v>
      </c>
      <c r="B2785" t="s">
        <v>11534</v>
      </c>
      <c r="C2785" t="s">
        <v>11535</v>
      </c>
      <c r="D2785">
        <v>660</v>
      </c>
      <c r="E2785" t="s">
        <v>11482</v>
      </c>
      <c r="F2785" t="str">
        <f>VLOOKUP(E2785,country_continent!A:C,2,FALSE)</f>
        <v>Lebanon</v>
      </c>
      <c r="G2785" t="str">
        <f>VLOOKUP(E2785,country_continent!A:C,3,FALSE)</f>
        <v>Asia</v>
      </c>
      <c r="H2785" t="s">
        <v>11536</v>
      </c>
      <c r="I2785" s="1">
        <v>39593</v>
      </c>
      <c r="J2785" s="3">
        <f t="shared" si="129"/>
        <v>39593</v>
      </c>
      <c r="K2785" s="1">
        <v>41783</v>
      </c>
      <c r="L2785" s="3">
        <f t="shared" si="130"/>
        <v>41783</v>
      </c>
      <c r="M2785" t="s">
        <v>49</v>
      </c>
      <c r="N2785" t="s">
        <v>49</v>
      </c>
      <c r="O2785" t="s">
        <v>49</v>
      </c>
      <c r="P2785">
        <v>0</v>
      </c>
      <c r="Q2785" t="s">
        <v>50</v>
      </c>
      <c r="R2785" t="s">
        <v>51</v>
      </c>
      <c r="S2785">
        <v>1948</v>
      </c>
      <c r="T2785">
        <v>-777</v>
      </c>
      <c r="U2785" s="1">
        <v>17858</v>
      </c>
      <c r="V2785" s="2">
        <v>17858</v>
      </c>
      <c r="Z2785">
        <v>0</v>
      </c>
      <c r="AA2785">
        <v>1</v>
      </c>
      <c r="AB2785">
        <v>0</v>
      </c>
      <c r="AC2785">
        <v>0</v>
      </c>
      <c r="AF2785">
        <v>2008</v>
      </c>
      <c r="AG2785">
        <v>2014</v>
      </c>
      <c r="AO2785" t="b">
        <v>1</v>
      </c>
      <c r="AP2785" t="s">
        <v>4202</v>
      </c>
      <c r="AQ2785">
        <v>1946</v>
      </c>
      <c r="AR2785">
        <v>1959</v>
      </c>
      <c r="AS2785" t="s">
        <v>11537</v>
      </c>
      <c r="AT2785">
        <v>5.9958932238192997</v>
      </c>
      <c r="AU2785">
        <f t="shared" si="131"/>
        <v>1.6E-2</v>
      </c>
    </row>
    <row r="2786" spans="1:47" x14ac:dyDescent="0.3">
      <c r="A2786">
        <v>2784</v>
      </c>
      <c r="B2786" t="s">
        <v>11538</v>
      </c>
      <c r="C2786" t="s">
        <v>11539</v>
      </c>
      <c r="D2786">
        <v>660</v>
      </c>
      <c r="E2786" t="s">
        <v>11482</v>
      </c>
      <c r="F2786" t="str">
        <f>VLOOKUP(E2786,country_continent!A:C,2,FALSE)</f>
        <v>Lebanon</v>
      </c>
      <c r="G2786" t="str">
        <f>VLOOKUP(E2786,country_continent!A:C,3,FALSE)</f>
        <v>Asia</v>
      </c>
      <c r="H2786" t="s">
        <v>11540</v>
      </c>
      <c r="I2786" s="1">
        <v>41783</v>
      </c>
      <c r="J2786" s="3">
        <f t="shared" si="129"/>
        <v>41783</v>
      </c>
      <c r="K2786" s="1">
        <v>42369</v>
      </c>
      <c r="L2786" s="3">
        <f t="shared" si="130"/>
        <v>42369</v>
      </c>
      <c r="M2786" t="s">
        <v>49</v>
      </c>
      <c r="N2786" t="s">
        <v>173</v>
      </c>
      <c r="O2786" t="s">
        <v>173</v>
      </c>
      <c r="P2786">
        <v>0</v>
      </c>
      <c r="Q2786" t="s">
        <v>174</v>
      </c>
      <c r="R2786" t="s">
        <v>51</v>
      </c>
      <c r="S2786">
        <v>1945</v>
      </c>
      <c r="T2786">
        <v>-777</v>
      </c>
      <c r="U2786" s="1">
        <v>16570</v>
      </c>
      <c r="V2786" s="2">
        <v>16570</v>
      </c>
      <c r="Z2786">
        <v>0</v>
      </c>
      <c r="AA2786">
        <v>-888</v>
      </c>
      <c r="AB2786">
        <v>-888</v>
      </c>
      <c r="AC2786">
        <v>-888</v>
      </c>
      <c r="AF2786">
        <v>2014</v>
      </c>
      <c r="AG2786">
        <v>2015</v>
      </c>
      <c r="AO2786" t="b">
        <v>1</v>
      </c>
      <c r="AP2786" t="s">
        <v>4202</v>
      </c>
      <c r="AQ2786">
        <v>1946</v>
      </c>
      <c r="AR2786">
        <v>1959</v>
      </c>
      <c r="AS2786" t="s">
        <v>11541</v>
      </c>
      <c r="AT2786">
        <v>1.60438056125941</v>
      </c>
      <c r="AU2786">
        <f t="shared" si="131"/>
        <v>4.0000000000000001E-3</v>
      </c>
    </row>
    <row r="2787" spans="1:47" x14ac:dyDescent="0.3">
      <c r="A2787">
        <v>2785</v>
      </c>
      <c r="B2787" t="s">
        <v>11542</v>
      </c>
      <c r="C2787" t="s">
        <v>11543</v>
      </c>
      <c r="D2787">
        <v>663</v>
      </c>
      <c r="E2787" t="s">
        <v>11544</v>
      </c>
      <c r="F2787" t="str">
        <f>VLOOKUP(E2787,country_continent!A:C,2,FALSE)</f>
        <v>Jordan</v>
      </c>
      <c r="G2787" t="str">
        <f>VLOOKUP(E2787,country_continent!A:C,3,FALSE)</f>
        <v>Asia</v>
      </c>
      <c r="H2787" t="s">
        <v>11545</v>
      </c>
      <c r="I2787" s="1">
        <v>7772</v>
      </c>
      <c r="J2787" s="3">
        <f t="shared" si="129"/>
        <v>7772</v>
      </c>
      <c r="K2787" s="1">
        <v>18829</v>
      </c>
      <c r="L2787" s="3">
        <f t="shared" si="130"/>
        <v>18829</v>
      </c>
      <c r="M2787" t="s">
        <v>637</v>
      </c>
      <c r="N2787" t="s">
        <v>67</v>
      </c>
      <c r="O2787" t="s">
        <v>68</v>
      </c>
      <c r="P2787">
        <v>0</v>
      </c>
      <c r="Q2787" t="s">
        <v>69</v>
      </c>
      <c r="R2787" t="s">
        <v>51</v>
      </c>
      <c r="S2787">
        <v>1882</v>
      </c>
      <c r="T2787">
        <v>1951</v>
      </c>
      <c r="W2787" s="1">
        <v>18829</v>
      </c>
      <c r="X2787" s="2">
        <v>18829</v>
      </c>
      <c r="Z2787">
        <v>2</v>
      </c>
      <c r="AA2787">
        <v>3</v>
      </c>
      <c r="AB2787">
        <v>11</v>
      </c>
      <c r="AC2787">
        <v>3</v>
      </c>
      <c r="AD2787" t="s">
        <v>11546</v>
      </c>
      <c r="AE2787">
        <v>0</v>
      </c>
      <c r="AF2787">
        <v>1921</v>
      </c>
      <c r="AG2787">
        <v>1951</v>
      </c>
      <c r="AN2787">
        <v>-9</v>
      </c>
      <c r="AO2787" t="b">
        <v>0</v>
      </c>
      <c r="AT2787">
        <v>11057</v>
      </c>
      <c r="AU2787">
        <f t="shared" si="131"/>
        <v>30.292999999999999</v>
      </c>
    </row>
    <row r="2788" spans="1:47" x14ac:dyDescent="0.3">
      <c r="A2788">
        <v>2786</v>
      </c>
      <c r="B2788" t="s">
        <v>11547</v>
      </c>
      <c r="C2788" t="s">
        <v>11548</v>
      </c>
      <c r="D2788">
        <v>663</v>
      </c>
      <c r="E2788" t="s">
        <v>11544</v>
      </c>
      <c r="F2788" t="str">
        <f>VLOOKUP(E2788,country_continent!A:C,2,FALSE)</f>
        <v>Jordan</v>
      </c>
      <c r="G2788" t="str">
        <f>VLOOKUP(E2788,country_continent!A:C,3,FALSE)</f>
        <v>Asia</v>
      </c>
      <c r="H2788" t="s">
        <v>11549</v>
      </c>
      <c r="I2788" s="1">
        <v>18829</v>
      </c>
      <c r="J2788" s="3">
        <f t="shared" si="129"/>
        <v>18829</v>
      </c>
      <c r="K2788" s="1">
        <v>18877</v>
      </c>
      <c r="L2788" s="3">
        <f t="shared" si="130"/>
        <v>18877</v>
      </c>
      <c r="M2788" t="s">
        <v>49</v>
      </c>
      <c r="N2788" t="s">
        <v>49</v>
      </c>
      <c r="O2788" t="s">
        <v>49</v>
      </c>
      <c r="P2788">
        <v>0</v>
      </c>
      <c r="Q2788" t="s">
        <v>362</v>
      </c>
      <c r="R2788" t="s">
        <v>51</v>
      </c>
      <c r="S2788">
        <v>1914</v>
      </c>
      <c r="T2788">
        <v>1983</v>
      </c>
      <c r="Z2788">
        <v>0</v>
      </c>
      <c r="AA2788">
        <v>1</v>
      </c>
      <c r="AB2788">
        <v>0</v>
      </c>
      <c r="AC2788">
        <v>1</v>
      </c>
      <c r="AD2788" t="s">
        <v>11550</v>
      </c>
      <c r="AF2788">
        <v>1951</v>
      </c>
      <c r="AG2788">
        <v>1951</v>
      </c>
      <c r="AN2788">
        <v>-9</v>
      </c>
      <c r="AO2788" t="b">
        <v>0</v>
      </c>
      <c r="AT2788">
        <v>48</v>
      </c>
      <c r="AU2788">
        <f t="shared" si="131"/>
        <v>0.13200000000000001</v>
      </c>
    </row>
    <row r="2789" spans="1:47" x14ac:dyDescent="0.3">
      <c r="A2789">
        <v>2787</v>
      </c>
      <c r="B2789" t="s">
        <v>11551</v>
      </c>
      <c r="C2789" t="s">
        <v>11552</v>
      </c>
      <c r="D2789">
        <v>663</v>
      </c>
      <c r="E2789" t="s">
        <v>11544</v>
      </c>
      <c r="F2789" t="str">
        <f>VLOOKUP(E2789,country_continent!A:C,2,FALSE)</f>
        <v>Jordan</v>
      </c>
      <c r="G2789" t="str">
        <f>VLOOKUP(E2789,country_continent!A:C,3,FALSE)</f>
        <v>Asia</v>
      </c>
      <c r="H2789" t="s">
        <v>11553</v>
      </c>
      <c r="I2789" s="1">
        <v>18877</v>
      </c>
      <c r="J2789" s="3">
        <f t="shared" si="129"/>
        <v>18877</v>
      </c>
      <c r="K2789" s="1">
        <v>19217</v>
      </c>
      <c r="L2789" s="3">
        <f t="shared" si="130"/>
        <v>19217</v>
      </c>
      <c r="M2789" t="s">
        <v>49</v>
      </c>
      <c r="N2789" t="s">
        <v>49</v>
      </c>
      <c r="O2789" t="s">
        <v>49</v>
      </c>
      <c r="P2789">
        <v>0</v>
      </c>
      <c r="Q2789" t="s">
        <v>362</v>
      </c>
      <c r="R2789" t="s">
        <v>51</v>
      </c>
      <c r="S2789">
        <v>1909</v>
      </c>
      <c r="T2789">
        <v>1972</v>
      </c>
      <c r="Z2789">
        <v>0</v>
      </c>
      <c r="AA2789">
        <v>1</v>
      </c>
      <c r="AB2789">
        <v>0</v>
      </c>
      <c r="AC2789">
        <v>1</v>
      </c>
      <c r="AF2789">
        <v>1951</v>
      </c>
      <c r="AG2789">
        <v>1952</v>
      </c>
      <c r="AN2789">
        <v>-6.5</v>
      </c>
      <c r="AO2789" t="b">
        <v>0</v>
      </c>
      <c r="AT2789">
        <v>340</v>
      </c>
      <c r="AU2789">
        <f t="shared" si="131"/>
        <v>0.93200000000000005</v>
      </c>
    </row>
    <row r="2790" spans="1:47" x14ac:dyDescent="0.3">
      <c r="A2790">
        <v>2788</v>
      </c>
      <c r="B2790" t="s">
        <v>11554</v>
      </c>
      <c r="C2790" t="s">
        <v>11555</v>
      </c>
      <c r="D2790">
        <v>663</v>
      </c>
      <c r="E2790" t="s">
        <v>11544</v>
      </c>
      <c r="F2790" t="str">
        <f>VLOOKUP(E2790,country_continent!A:C,2,FALSE)</f>
        <v>Jordan</v>
      </c>
      <c r="G2790" t="str">
        <f>VLOOKUP(E2790,country_continent!A:C,3,FALSE)</f>
        <v>Asia</v>
      </c>
      <c r="H2790" t="s">
        <v>11556</v>
      </c>
      <c r="I2790" s="1">
        <v>19217</v>
      </c>
      <c r="J2790" s="3">
        <f t="shared" si="129"/>
        <v>19217</v>
      </c>
      <c r="K2790" s="1">
        <v>36198</v>
      </c>
      <c r="L2790" s="3">
        <f t="shared" si="130"/>
        <v>36198</v>
      </c>
      <c r="M2790" t="s">
        <v>49</v>
      </c>
      <c r="N2790" t="s">
        <v>110</v>
      </c>
      <c r="O2790" t="s">
        <v>49</v>
      </c>
      <c r="P2790">
        <v>0</v>
      </c>
      <c r="Q2790" t="s">
        <v>111</v>
      </c>
      <c r="R2790" t="s">
        <v>51</v>
      </c>
      <c r="S2790">
        <v>1935</v>
      </c>
      <c r="T2790">
        <v>1999</v>
      </c>
      <c r="U2790" s="1">
        <v>13102</v>
      </c>
      <c r="V2790" s="2">
        <v>13102</v>
      </c>
      <c r="W2790" s="1">
        <v>36198</v>
      </c>
      <c r="X2790" s="2">
        <v>36198</v>
      </c>
      <c r="Y2790" t="s">
        <v>11557</v>
      </c>
      <c r="Z2790">
        <v>0</v>
      </c>
      <c r="AA2790">
        <v>2</v>
      </c>
      <c r="AB2790">
        <v>0</v>
      </c>
      <c r="AC2790">
        <v>-777</v>
      </c>
      <c r="AF2790">
        <v>1952</v>
      </c>
      <c r="AG2790">
        <v>1999</v>
      </c>
      <c r="AH2790">
        <v>0.82334733456711395</v>
      </c>
      <c r="AI2790">
        <v>1608.6363636363601</v>
      </c>
      <c r="AJ2790">
        <v>5.4331194322680103</v>
      </c>
      <c r="AK2790">
        <v>67.295000000000002</v>
      </c>
      <c r="AL2790">
        <v>4.6710156436936003</v>
      </c>
      <c r="AM2790">
        <v>0.61204846699635895</v>
      </c>
      <c r="AN2790">
        <v>-7.02</v>
      </c>
      <c r="AO2790" t="b">
        <v>0</v>
      </c>
      <c r="AT2790">
        <v>16981</v>
      </c>
      <c r="AU2790">
        <f t="shared" si="131"/>
        <v>46.523000000000003</v>
      </c>
    </row>
    <row r="2791" spans="1:47" x14ac:dyDescent="0.3">
      <c r="A2791">
        <v>2789</v>
      </c>
      <c r="B2791" t="s">
        <v>11558</v>
      </c>
      <c r="C2791" t="s">
        <v>11559</v>
      </c>
      <c r="D2791">
        <v>663</v>
      </c>
      <c r="E2791" t="s">
        <v>11544</v>
      </c>
      <c r="F2791" t="str">
        <f>VLOOKUP(E2791,country_continent!A:C,2,FALSE)</f>
        <v>Jordan</v>
      </c>
      <c r="G2791" t="str">
        <f>VLOOKUP(E2791,country_continent!A:C,3,FALSE)</f>
        <v>Asia</v>
      </c>
      <c r="H2791" t="s">
        <v>11560</v>
      </c>
      <c r="I2791" s="1">
        <v>36198</v>
      </c>
      <c r="J2791" s="3">
        <f t="shared" si="129"/>
        <v>36198</v>
      </c>
      <c r="K2791" s="1">
        <v>42369</v>
      </c>
      <c r="L2791" s="3">
        <f t="shared" si="130"/>
        <v>42369</v>
      </c>
      <c r="M2791" t="s">
        <v>49</v>
      </c>
      <c r="N2791" t="s">
        <v>173</v>
      </c>
      <c r="O2791" t="s">
        <v>173</v>
      </c>
      <c r="P2791">
        <v>0</v>
      </c>
      <c r="Q2791" t="s">
        <v>174</v>
      </c>
      <c r="R2791" t="s">
        <v>51</v>
      </c>
      <c r="S2791">
        <v>1962</v>
      </c>
      <c r="T2791">
        <v>-777</v>
      </c>
      <c r="U2791" s="1">
        <v>22676</v>
      </c>
      <c r="V2791" s="2">
        <v>22676</v>
      </c>
      <c r="Z2791">
        <v>0</v>
      </c>
      <c r="AA2791">
        <v>-888</v>
      </c>
      <c r="AB2791">
        <v>-888</v>
      </c>
      <c r="AC2791">
        <v>-888</v>
      </c>
      <c r="AF2791">
        <v>1999</v>
      </c>
      <c r="AG2791">
        <v>2015</v>
      </c>
      <c r="AH2791">
        <v>1.2511093896766901</v>
      </c>
      <c r="AI2791">
        <v>2740</v>
      </c>
      <c r="AJ2791">
        <v>4.7646053243339797</v>
      </c>
      <c r="AK2791">
        <v>21</v>
      </c>
      <c r="AL2791">
        <v>3.6130741020427899</v>
      </c>
      <c r="AM2791">
        <v>1.3805245017863099</v>
      </c>
      <c r="AN2791">
        <v>-2.5299999999999998</v>
      </c>
      <c r="AO2791" t="b">
        <v>0</v>
      </c>
      <c r="AT2791">
        <v>6171</v>
      </c>
      <c r="AU2791">
        <f t="shared" si="131"/>
        <v>16.907</v>
      </c>
    </row>
    <row r="2792" spans="1:47" x14ac:dyDescent="0.3">
      <c r="A2792">
        <v>2790</v>
      </c>
      <c r="B2792" t="s">
        <v>11561</v>
      </c>
      <c r="C2792" t="s">
        <v>11562</v>
      </c>
      <c r="D2792">
        <v>666</v>
      </c>
      <c r="E2792" t="s">
        <v>11563</v>
      </c>
      <c r="F2792" t="str">
        <f>VLOOKUP(E2792,country_continent!A:C,2,FALSE)</f>
        <v>Israel</v>
      </c>
      <c r="G2792" t="str">
        <f>VLOOKUP(E2792,country_continent!A:C,3,FALSE)</f>
        <v>Asia</v>
      </c>
      <c r="H2792" t="s">
        <v>11564</v>
      </c>
      <c r="I2792" s="1">
        <v>17667</v>
      </c>
      <c r="J2792" s="3">
        <f t="shared" si="129"/>
        <v>17667</v>
      </c>
      <c r="K2792" s="1">
        <v>19701</v>
      </c>
      <c r="L2792" s="3">
        <f t="shared" si="130"/>
        <v>19701</v>
      </c>
      <c r="M2792" t="s">
        <v>49</v>
      </c>
      <c r="N2792" t="s">
        <v>49</v>
      </c>
      <c r="O2792" t="s">
        <v>49</v>
      </c>
      <c r="P2792">
        <v>0</v>
      </c>
      <c r="Q2792" t="s">
        <v>50</v>
      </c>
      <c r="R2792" t="s">
        <v>51</v>
      </c>
      <c r="S2792">
        <v>1886</v>
      </c>
      <c r="T2792">
        <v>1973</v>
      </c>
      <c r="U2792" t="s">
        <v>11565</v>
      </c>
      <c r="V2792" t="s">
        <v>11566</v>
      </c>
      <c r="Z2792">
        <v>0</v>
      </c>
      <c r="AA2792">
        <v>1</v>
      </c>
      <c r="AB2792">
        <v>0</v>
      </c>
      <c r="AC2792">
        <v>0</v>
      </c>
      <c r="AF2792">
        <v>1948</v>
      </c>
      <c r="AG2792">
        <v>1953</v>
      </c>
      <c r="AN2792">
        <v>10</v>
      </c>
      <c r="AO2792" t="b">
        <v>1</v>
      </c>
      <c r="AP2792" t="s">
        <v>4202</v>
      </c>
      <c r="AQ2792">
        <v>1948</v>
      </c>
      <c r="AR2792">
        <v>1959</v>
      </c>
      <c r="AS2792" t="s">
        <v>11567</v>
      </c>
      <c r="AT2792">
        <v>5.56878850102669</v>
      </c>
      <c r="AU2792">
        <f t="shared" si="131"/>
        <v>1.4999999999999999E-2</v>
      </c>
    </row>
    <row r="2793" spans="1:47" x14ac:dyDescent="0.3">
      <c r="A2793">
        <v>2791</v>
      </c>
      <c r="B2793" t="s">
        <v>11568</v>
      </c>
      <c r="C2793" t="s">
        <v>11569</v>
      </c>
      <c r="D2793">
        <v>666</v>
      </c>
      <c r="E2793" t="s">
        <v>11563</v>
      </c>
      <c r="F2793" t="str">
        <f>VLOOKUP(E2793,country_continent!A:C,2,FALSE)</f>
        <v>Israel</v>
      </c>
      <c r="G2793" t="str">
        <f>VLOOKUP(E2793,country_continent!A:C,3,FALSE)</f>
        <v>Asia</v>
      </c>
      <c r="H2793" t="s">
        <v>11570</v>
      </c>
      <c r="I2793" s="1">
        <v>19701</v>
      </c>
      <c r="J2793" s="3">
        <f t="shared" si="129"/>
        <v>19701</v>
      </c>
      <c r="K2793" s="1">
        <v>20396</v>
      </c>
      <c r="L2793" s="3">
        <f t="shared" si="130"/>
        <v>20396</v>
      </c>
      <c r="M2793" t="s">
        <v>49</v>
      </c>
      <c r="N2793" t="s">
        <v>49</v>
      </c>
      <c r="O2793" t="s">
        <v>49</v>
      </c>
      <c r="P2793">
        <v>0</v>
      </c>
      <c r="Q2793" t="s">
        <v>50</v>
      </c>
      <c r="R2793" t="s">
        <v>51</v>
      </c>
      <c r="S2793">
        <v>1894</v>
      </c>
      <c r="T2793">
        <v>1965</v>
      </c>
      <c r="U2793" t="s">
        <v>11571</v>
      </c>
      <c r="V2793" t="s">
        <v>11572</v>
      </c>
      <c r="Y2793" t="s">
        <v>11573</v>
      </c>
      <c r="Z2793">
        <v>0</v>
      </c>
      <c r="AA2793">
        <v>1</v>
      </c>
      <c r="AB2793">
        <v>0</v>
      </c>
      <c r="AC2793">
        <v>0</v>
      </c>
      <c r="AF2793">
        <v>1953</v>
      </c>
      <c r="AG2793">
        <v>1955</v>
      </c>
      <c r="AN2793">
        <v>10</v>
      </c>
      <c r="AO2793" t="b">
        <v>1</v>
      </c>
      <c r="AP2793" t="s">
        <v>4202</v>
      </c>
      <c r="AQ2793">
        <v>1948</v>
      </c>
      <c r="AR2793">
        <v>1959</v>
      </c>
      <c r="AS2793" t="s">
        <v>11574</v>
      </c>
      <c r="AT2793">
        <v>1.90280629705681</v>
      </c>
      <c r="AU2793">
        <f t="shared" si="131"/>
        <v>5.0000000000000001E-3</v>
      </c>
    </row>
    <row r="2794" spans="1:47" x14ac:dyDescent="0.3">
      <c r="A2794">
        <v>2792</v>
      </c>
      <c r="B2794" t="s">
        <v>11575</v>
      </c>
      <c r="C2794" t="s">
        <v>11562</v>
      </c>
      <c r="D2794">
        <v>666</v>
      </c>
      <c r="E2794" t="s">
        <v>11563</v>
      </c>
      <c r="F2794" t="str">
        <f>VLOOKUP(E2794,country_continent!A:C,2,FALSE)</f>
        <v>Israel</v>
      </c>
      <c r="G2794" t="str">
        <f>VLOOKUP(E2794,country_continent!A:C,3,FALSE)</f>
        <v>Asia</v>
      </c>
      <c r="H2794" t="s">
        <v>11564</v>
      </c>
      <c r="I2794" s="1">
        <v>20396</v>
      </c>
      <c r="J2794" s="3">
        <f t="shared" si="129"/>
        <v>20396</v>
      </c>
      <c r="K2794" s="1">
        <v>23178</v>
      </c>
      <c r="L2794" s="3">
        <f t="shared" si="130"/>
        <v>23178</v>
      </c>
      <c r="M2794" t="s">
        <v>49</v>
      </c>
      <c r="N2794" t="s">
        <v>49</v>
      </c>
      <c r="O2794" t="s">
        <v>49</v>
      </c>
      <c r="P2794">
        <v>1</v>
      </c>
      <c r="Q2794" t="s">
        <v>50</v>
      </c>
      <c r="R2794" t="s">
        <v>51</v>
      </c>
      <c r="S2794">
        <v>1886</v>
      </c>
      <c r="T2794">
        <v>1973</v>
      </c>
      <c r="U2794" t="s">
        <v>11565</v>
      </c>
      <c r="V2794" t="s">
        <v>11566</v>
      </c>
      <c r="Z2794">
        <v>0</v>
      </c>
      <c r="AA2794">
        <v>1</v>
      </c>
      <c r="AB2794">
        <v>0</v>
      </c>
      <c r="AC2794">
        <v>0</v>
      </c>
      <c r="AF2794">
        <v>1955</v>
      </c>
      <c r="AG2794">
        <v>1963</v>
      </c>
      <c r="AH2794">
        <v>6.4177696846937797</v>
      </c>
      <c r="AI2794">
        <v>1545</v>
      </c>
      <c r="AJ2794">
        <v>8.4036318756878394</v>
      </c>
      <c r="AK2794">
        <v>43.774999999999999</v>
      </c>
      <c r="AL2794">
        <v>3.9362961059863202</v>
      </c>
      <c r="AN2794">
        <v>10</v>
      </c>
      <c r="AO2794" t="b">
        <v>1</v>
      </c>
      <c r="AP2794" t="s">
        <v>4202</v>
      </c>
      <c r="AQ2794">
        <v>1948</v>
      </c>
      <c r="AR2794">
        <v>1959</v>
      </c>
      <c r="AS2794" t="s">
        <v>11576</v>
      </c>
      <c r="AT2794">
        <v>7.6167008898014998</v>
      </c>
      <c r="AU2794">
        <f t="shared" si="131"/>
        <v>2.1000000000000001E-2</v>
      </c>
    </row>
    <row r="2795" spans="1:47" x14ac:dyDescent="0.3">
      <c r="A2795">
        <v>2793</v>
      </c>
      <c r="B2795" t="s">
        <v>11577</v>
      </c>
      <c r="C2795" t="s">
        <v>11578</v>
      </c>
      <c r="D2795">
        <v>666</v>
      </c>
      <c r="E2795" t="s">
        <v>11563</v>
      </c>
      <c r="F2795" t="str">
        <f>VLOOKUP(E2795,country_continent!A:C,2,FALSE)</f>
        <v>Israel</v>
      </c>
      <c r="G2795" t="str">
        <f>VLOOKUP(E2795,country_continent!A:C,3,FALSE)</f>
        <v>Asia</v>
      </c>
      <c r="H2795" t="s">
        <v>11579</v>
      </c>
      <c r="I2795" s="1">
        <v>23181</v>
      </c>
      <c r="J2795" s="3">
        <f t="shared" si="129"/>
        <v>23181</v>
      </c>
      <c r="K2795" s="1">
        <v>25260</v>
      </c>
      <c r="L2795" s="3">
        <f t="shared" si="130"/>
        <v>25260</v>
      </c>
      <c r="M2795" t="s">
        <v>49</v>
      </c>
      <c r="N2795" t="s">
        <v>110</v>
      </c>
      <c r="O2795" t="s">
        <v>49</v>
      </c>
      <c r="P2795">
        <v>0</v>
      </c>
      <c r="Q2795" t="s">
        <v>111</v>
      </c>
      <c r="R2795" t="s">
        <v>51</v>
      </c>
      <c r="S2795">
        <v>1895</v>
      </c>
      <c r="T2795">
        <v>1969</v>
      </c>
      <c r="U2795" t="s">
        <v>2676</v>
      </c>
      <c r="V2795" t="s">
        <v>2677</v>
      </c>
      <c r="W2795" s="1">
        <v>25260</v>
      </c>
      <c r="X2795" s="2">
        <v>25260</v>
      </c>
      <c r="Y2795" t="s">
        <v>11580</v>
      </c>
      <c r="Z2795">
        <v>0</v>
      </c>
      <c r="AA2795">
        <v>2</v>
      </c>
      <c r="AB2795">
        <v>0</v>
      </c>
      <c r="AC2795">
        <v>-777</v>
      </c>
      <c r="AF2795">
        <v>1963</v>
      </c>
      <c r="AG2795">
        <v>1969</v>
      </c>
      <c r="AH2795">
        <v>5.1765674829959103</v>
      </c>
      <c r="AI2795">
        <v>1772.8571428571399</v>
      </c>
      <c r="AJ2795">
        <v>2.7237620198327899</v>
      </c>
      <c r="AK2795">
        <v>35.457142857142799</v>
      </c>
      <c r="AL2795">
        <v>3.2412440099091899</v>
      </c>
      <c r="AN2795">
        <v>9.57</v>
      </c>
      <c r="AO2795" t="b">
        <v>1</v>
      </c>
      <c r="AP2795" t="s">
        <v>4202</v>
      </c>
      <c r="AQ2795">
        <v>1948</v>
      </c>
      <c r="AR2795">
        <v>1959</v>
      </c>
      <c r="AS2795" t="s">
        <v>11581</v>
      </c>
      <c r="AT2795">
        <v>5.6919917864476304</v>
      </c>
      <c r="AU2795">
        <f t="shared" si="131"/>
        <v>1.6E-2</v>
      </c>
    </row>
    <row r="2796" spans="1:47" x14ac:dyDescent="0.3">
      <c r="A2796">
        <v>2794</v>
      </c>
      <c r="B2796" t="s">
        <v>11582</v>
      </c>
      <c r="C2796" t="s">
        <v>11583</v>
      </c>
      <c r="D2796">
        <v>666</v>
      </c>
      <c r="E2796" t="s">
        <v>11563</v>
      </c>
      <c r="F2796" t="str">
        <f>VLOOKUP(E2796,country_continent!A:C,2,FALSE)</f>
        <v>Israel</v>
      </c>
      <c r="G2796" t="str">
        <f>VLOOKUP(E2796,country_continent!A:C,3,FALSE)</f>
        <v>Asia</v>
      </c>
      <c r="H2796" t="s">
        <v>11584</v>
      </c>
      <c r="I2796" s="1">
        <v>25260</v>
      </c>
      <c r="J2796" s="3">
        <f t="shared" si="129"/>
        <v>25260</v>
      </c>
      <c r="K2796" s="1">
        <v>25279</v>
      </c>
      <c r="L2796" s="3">
        <f t="shared" si="130"/>
        <v>25279</v>
      </c>
      <c r="M2796" t="s">
        <v>49</v>
      </c>
      <c r="N2796" t="s">
        <v>49</v>
      </c>
      <c r="O2796" t="s">
        <v>49</v>
      </c>
      <c r="P2796">
        <v>0</v>
      </c>
      <c r="Q2796" t="s">
        <v>50</v>
      </c>
      <c r="R2796" t="s">
        <v>51</v>
      </c>
      <c r="S2796">
        <v>1918</v>
      </c>
      <c r="T2796">
        <v>1980</v>
      </c>
      <c r="U2796" s="1">
        <v>6858</v>
      </c>
      <c r="V2796" s="2">
        <v>6858</v>
      </c>
      <c r="Z2796">
        <v>0</v>
      </c>
      <c r="AA2796">
        <v>1</v>
      </c>
      <c r="AB2796">
        <v>0</v>
      </c>
      <c r="AC2796">
        <v>0</v>
      </c>
      <c r="AF2796">
        <v>1969</v>
      </c>
      <c r="AG2796">
        <v>1969</v>
      </c>
      <c r="AH2796">
        <v>10.6446517703473</v>
      </c>
      <c r="AI2796">
        <v>2220</v>
      </c>
      <c r="AJ2796">
        <v>1.59626266238026</v>
      </c>
      <c r="AK2796">
        <v>31.1</v>
      </c>
      <c r="AL2796">
        <v>2.60578123867595</v>
      </c>
      <c r="AN2796">
        <v>9</v>
      </c>
      <c r="AO2796" t="b">
        <v>1</v>
      </c>
      <c r="AP2796" t="s">
        <v>4202</v>
      </c>
      <c r="AQ2796">
        <v>1948</v>
      </c>
      <c r="AR2796">
        <v>1959</v>
      </c>
      <c r="AS2796" t="s">
        <v>11585</v>
      </c>
      <c r="AT2796">
        <v>5.20191649555099E-2</v>
      </c>
      <c r="AU2796">
        <f t="shared" si="131"/>
        <v>0</v>
      </c>
    </row>
    <row r="2797" spans="1:47" x14ac:dyDescent="0.3">
      <c r="A2797">
        <v>2795</v>
      </c>
      <c r="B2797" t="s">
        <v>11586</v>
      </c>
      <c r="C2797" t="s">
        <v>11587</v>
      </c>
      <c r="D2797">
        <v>666</v>
      </c>
      <c r="E2797" t="s">
        <v>11563</v>
      </c>
      <c r="F2797" t="str">
        <f>VLOOKUP(E2797,country_continent!A:C,2,FALSE)</f>
        <v>Israel</v>
      </c>
      <c r="G2797" t="str">
        <f>VLOOKUP(E2797,country_continent!A:C,3,FALSE)</f>
        <v>Asia</v>
      </c>
      <c r="H2797" t="s">
        <v>11588</v>
      </c>
      <c r="I2797" s="1">
        <v>25279</v>
      </c>
      <c r="J2797" s="3">
        <f t="shared" si="129"/>
        <v>25279</v>
      </c>
      <c r="K2797" s="1">
        <v>27183</v>
      </c>
      <c r="L2797" s="3">
        <f t="shared" si="130"/>
        <v>27183</v>
      </c>
      <c r="M2797" t="s">
        <v>49</v>
      </c>
      <c r="N2797" t="s">
        <v>49</v>
      </c>
      <c r="O2797" t="s">
        <v>49</v>
      </c>
      <c r="P2797">
        <v>0</v>
      </c>
      <c r="Q2797" t="s">
        <v>50</v>
      </c>
      <c r="R2797" t="s">
        <v>299</v>
      </c>
      <c r="S2797">
        <v>1898</v>
      </c>
      <c r="T2797">
        <v>1978</v>
      </c>
      <c r="U2797" t="s">
        <v>11589</v>
      </c>
      <c r="V2797" t="s">
        <v>11590</v>
      </c>
      <c r="Y2797" t="s">
        <v>11591</v>
      </c>
      <c r="Z2797">
        <v>0</v>
      </c>
      <c r="AA2797">
        <v>1</v>
      </c>
      <c r="AB2797">
        <v>0</v>
      </c>
      <c r="AC2797">
        <v>0</v>
      </c>
      <c r="AF2797">
        <v>1969</v>
      </c>
      <c r="AG2797">
        <v>1974</v>
      </c>
      <c r="AH2797">
        <v>6.0092698000267903</v>
      </c>
      <c r="AI2797">
        <v>2998.3333333333298</v>
      </c>
      <c r="AJ2797">
        <v>16.659644644178801</v>
      </c>
      <c r="AK2797">
        <v>28.633333333333301</v>
      </c>
      <c r="AL2797">
        <v>3.10495782034632</v>
      </c>
      <c r="AN2797">
        <v>9</v>
      </c>
      <c r="AO2797" t="b">
        <v>1</v>
      </c>
      <c r="AP2797" t="s">
        <v>4202</v>
      </c>
      <c r="AQ2797">
        <v>1948</v>
      </c>
      <c r="AR2797">
        <v>1959</v>
      </c>
      <c r="AS2797" t="s">
        <v>11592</v>
      </c>
      <c r="AT2797">
        <v>5.2128678986995203</v>
      </c>
      <c r="AU2797">
        <f t="shared" si="131"/>
        <v>1.4E-2</v>
      </c>
    </row>
    <row r="2798" spans="1:47" x14ac:dyDescent="0.3">
      <c r="A2798">
        <v>2796</v>
      </c>
      <c r="B2798" t="s">
        <v>11593</v>
      </c>
      <c r="C2798" t="s">
        <v>11594</v>
      </c>
      <c r="D2798">
        <v>666</v>
      </c>
      <c r="E2798" t="s">
        <v>11563</v>
      </c>
      <c r="F2798" t="str">
        <f>VLOOKUP(E2798,country_continent!A:C,2,FALSE)</f>
        <v>Israel</v>
      </c>
      <c r="G2798" t="str">
        <f>VLOOKUP(E2798,country_continent!A:C,3,FALSE)</f>
        <v>Asia</v>
      </c>
      <c r="H2798" t="s">
        <v>11595</v>
      </c>
      <c r="I2798" s="1">
        <v>27183</v>
      </c>
      <c r="J2798" s="3">
        <f t="shared" si="129"/>
        <v>27183</v>
      </c>
      <c r="K2798" s="1">
        <v>28223</v>
      </c>
      <c r="L2798" s="3">
        <f t="shared" si="130"/>
        <v>28223</v>
      </c>
      <c r="M2798" t="s">
        <v>49</v>
      </c>
      <c r="N2798" t="s">
        <v>49</v>
      </c>
      <c r="O2798" t="s">
        <v>49</v>
      </c>
      <c r="P2798">
        <v>0</v>
      </c>
      <c r="Q2798" t="s">
        <v>50</v>
      </c>
      <c r="R2798" t="s">
        <v>51</v>
      </c>
      <c r="S2798">
        <v>1922</v>
      </c>
      <c r="T2798">
        <v>1995</v>
      </c>
      <c r="U2798" s="1">
        <v>8096</v>
      </c>
      <c r="V2798" s="2">
        <v>8096</v>
      </c>
      <c r="Y2798" t="s">
        <v>11596</v>
      </c>
      <c r="Z2798">
        <v>0</v>
      </c>
      <c r="AA2798">
        <v>1</v>
      </c>
      <c r="AB2798">
        <v>0</v>
      </c>
      <c r="AC2798">
        <v>0</v>
      </c>
      <c r="AF2798">
        <v>1974</v>
      </c>
      <c r="AG2798">
        <v>1977</v>
      </c>
      <c r="AH2798">
        <v>0.29312475152185802</v>
      </c>
      <c r="AI2798">
        <v>4902.5</v>
      </c>
      <c r="AJ2798">
        <v>36.251172459828702</v>
      </c>
      <c r="AK2798">
        <v>24.024999999999999</v>
      </c>
      <c r="AL2798">
        <v>2.4326242960966198</v>
      </c>
      <c r="AN2798">
        <v>9</v>
      </c>
      <c r="AO2798" t="b">
        <v>1</v>
      </c>
      <c r="AP2798" t="s">
        <v>4202</v>
      </c>
      <c r="AQ2798">
        <v>1948</v>
      </c>
      <c r="AR2798">
        <v>1959</v>
      </c>
      <c r="AS2798" t="s">
        <v>11597</v>
      </c>
      <c r="AT2798">
        <v>2.8473648186173799</v>
      </c>
      <c r="AU2798">
        <f t="shared" si="131"/>
        <v>8.0000000000000002E-3</v>
      </c>
    </row>
    <row r="2799" spans="1:47" x14ac:dyDescent="0.3">
      <c r="A2799">
        <v>2797</v>
      </c>
      <c r="B2799" t="s">
        <v>11598</v>
      </c>
      <c r="C2799" t="s">
        <v>11599</v>
      </c>
      <c r="D2799">
        <v>666</v>
      </c>
      <c r="E2799" t="s">
        <v>11563</v>
      </c>
      <c r="F2799" t="str">
        <f>VLOOKUP(E2799,country_continent!A:C,2,FALSE)</f>
        <v>Israel</v>
      </c>
      <c r="G2799" t="str">
        <f>VLOOKUP(E2799,country_continent!A:C,3,FALSE)</f>
        <v>Asia</v>
      </c>
      <c r="H2799" t="s">
        <v>11600</v>
      </c>
      <c r="I2799" s="1">
        <v>28223</v>
      </c>
      <c r="J2799" s="3">
        <f t="shared" si="129"/>
        <v>28223</v>
      </c>
      <c r="K2799" s="1">
        <v>28297</v>
      </c>
      <c r="L2799" s="3">
        <f t="shared" si="130"/>
        <v>28297</v>
      </c>
      <c r="M2799" t="s">
        <v>49</v>
      </c>
      <c r="N2799" t="s">
        <v>49</v>
      </c>
      <c r="O2799" t="s">
        <v>49</v>
      </c>
      <c r="P2799">
        <v>0</v>
      </c>
      <c r="Q2799" t="s">
        <v>50</v>
      </c>
      <c r="R2799" t="s">
        <v>51</v>
      </c>
      <c r="S2799">
        <v>1923</v>
      </c>
      <c r="T2799">
        <v>-777</v>
      </c>
      <c r="U2799" s="1">
        <v>8614</v>
      </c>
      <c r="V2799" s="2">
        <v>8614</v>
      </c>
      <c r="Y2799" t="s">
        <v>11601</v>
      </c>
      <c r="Z2799">
        <v>0</v>
      </c>
      <c r="AA2799">
        <v>1</v>
      </c>
      <c r="AB2799">
        <v>0</v>
      </c>
      <c r="AC2799">
        <v>0</v>
      </c>
      <c r="AF2799">
        <v>1977</v>
      </c>
      <c r="AG2799">
        <v>1977</v>
      </c>
      <c r="AH2799">
        <v>-1.2018510378601499</v>
      </c>
      <c r="AI2799">
        <v>4890</v>
      </c>
      <c r="AJ2799">
        <v>41.558341035670701</v>
      </c>
      <c r="AK2799">
        <v>21.9</v>
      </c>
      <c r="AL2799">
        <v>2.2391083788494899</v>
      </c>
      <c r="AN2799">
        <v>9</v>
      </c>
      <c r="AO2799" t="b">
        <v>1</v>
      </c>
      <c r="AP2799" t="s">
        <v>4202</v>
      </c>
      <c r="AQ2799">
        <v>1948</v>
      </c>
      <c r="AR2799">
        <v>1959</v>
      </c>
      <c r="AS2799" t="s">
        <v>11602</v>
      </c>
      <c r="AT2799">
        <v>0.20260095824777499</v>
      </c>
      <c r="AU2799">
        <f t="shared" si="131"/>
        <v>1E-3</v>
      </c>
    </row>
    <row r="2800" spans="1:47" x14ac:dyDescent="0.3">
      <c r="A2800">
        <v>2798</v>
      </c>
      <c r="B2800" t="s">
        <v>11603</v>
      </c>
      <c r="C2800" t="s">
        <v>11604</v>
      </c>
      <c r="D2800">
        <v>666</v>
      </c>
      <c r="E2800" t="s">
        <v>11563</v>
      </c>
      <c r="F2800" t="str">
        <f>VLOOKUP(E2800,country_continent!A:C,2,FALSE)</f>
        <v>Israel</v>
      </c>
      <c r="G2800" t="str">
        <f>VLOOKUP(E2800,country_continent!A:C,3,FALSE)</f>
        <v>Asia</v>
      </c>
      <c r="H2800" t="s">
        <v>11605</v>
      </c>
      <c r="I2800" s="1">
        <v>28297</v>
      </c>
      <c r="J2800" s="3">
        <f t="shared" si="129"/>
        <v>28297</v>
      </c>
      <c r="K2800" s="1">
        <v>30599</v>
      </c>
      <c r="L2800" s="3">
        <f t="shared" si="130"/>
        <v>30599</v>
      </c>
      <c r="M2800" t="s">
        <v>49</v>
      </c>
      <c r="N2800" t="s">
        <v>49</v>
      </c>
      <c r="O2800" t="s">
        <v>49</v>
      </c>
      <c r="P2800">
        <v>0</v>
      </c>
      <c r="Q2800" t="s">
        <v>50</v>
      </c>
      <c r="R2800" t="s">
        <v>51</v>
      </c>
      <c r="S2800">
        <v>1913</v>
      </c>
      <c r="T2800">
        <v>1992</v>
      </c>
      <c r="U2800" s="1">
        <v>4977</v>
      </c>
      <c r="V2800" s="2">
        <v>4977</v>
      </c>
      <c r="Y2800" t="s">
        <v>11606</v>
      </c>
      <c r="Z2800">
        <v>0</v>
      </c>
      <c r="AA2800">
        <v>1</v>
      </c>
      <c r="AB2800">
        <v>0</v>
      </c>
      <c r="AC2800">
        <v>0</v>
      </c>
      <c r="AF2800">
        <v>1977</v>
      </c>
      <c r="AG2800">
        <v>1983</v>
      </c>
      <c r="AH2800">
        <v>1.4093990595271599</v>
      </c>
      <c r="AI2800">
        <v>6224.2857142857101</v>
      </c>
      <c r="AJ2800">
        <v>100.245885783106</v>
      </c>
      <c r="AK2800">
        <v>18.542857142857098</v>
      </c>
      <c r="AL2800">
        <v>2.1436910646768998</v>
      </c>
      <c r="AN2800">
        <v>7.71</v>
      </c>
      <c r="AO2800" t="b">
        <v>1</v>
      </c>
      <c r="AP2800" t="s">
        <v>4202</v>
      </c>
      <c r="AQ2800">
        <v>1948</v>
      </c>
      <c r="AR2800">
        <v>1959</v>
      </c>
      <c r="AS2800" t="s">
        <v>11607</v>
      </c>
      <c r="AT2800">
        <v>6.3025325119780904</v>
      </c>
      <c r="AU2800">
        <f t="shared" si="131"/>
        <v>1.7000000000000001E-2</v>
      </c>
    </row>
    <row r="2801" spans="1:47" x14ac:dyDescent="0.3">
      <c r="A2801">
        <v>2799</v>
      </c>
      <c r="B2801" t="s">
        <v>11608</v>
      </c>
      <c r="C2801" t="s">
        <v>11609</v>
      </c>
      <c r="D2801">
        <v>666</v>
      </c>
      <c r="E2801" t="s">
        <v>11563</v>
      </c>
      <c r="F2801" t="str">
        <f>VLOOKUP(E2801,country_continent!A:C,2,FALSE)</f>
        <v>Israel</v>
      </c>
      <c r="G2801" t="str">
        <f>VLOOKUP(E2801,country_continent!A:C,3,FALSE)</f>
        <v>Asia</v>
      </c>
      <c r="H2801" t="s">
        <v>11610</v>
      </c>
      <c r="I2801" s="1">
        <v>30599</v>
      </c>
      <c r="J2801" s="3">
        <f t="shared" si="129"/>
        <v>30599</v>
      </c>
      <c r="K2801" s="1">
        <v>30939</v>
      </c>
      <c r="L2801" s="3">
        <f t="shared" si="130"/>
        <v>30939</v>
      </c>
      <c r="M2801" t="s">
        <v>49</v>
      </c>
      <c r="N2801" t="s">
        <v>49</v>
      </c>
      <c r="O2801" t="s">
        <v>49</v>
      </c>
      <c r="P2801">
        <v>0</v>
      </c>
      <c r="Q2801" t="s">
        <v>50</v>
      </c>
      <c r="R2801" t="s">
        <v>51</v>
      </c>
      <c r="S2801">
        <v>1914</v>
      </c>
      <c r="T2801">
        <v>2012</v>
      </c>
      <c r="U2801" s="1">
        <v>5421</v>
      </c>
      <c r="V2801" s="2">
        <v>5421</v>
      </c>
      <c r="Z2801">
        <v>0</v>
      </c>
      <c r="AA2801">
        <v>1</v>
      </c>
      <c r="AB2801">
        <v>0</v>
      </c>
      <c r="AC2801">
        <v>0</v>
      </c>
      <c r="AF2801">
        <v>1983</v>
      </c>
      <c r="AG2801">
        <v>1984</v>
      </c>
      <c r="AH2801">
        <v>0.55928792973042296</v>
      </c>
      <c r="AI2801">
        <v>6970</v>
      </c>
      <c r="AJ2801">
        <v>267.34568874553401</v>
      </c>
      <c r="AK2801">
        <v>15.5</v>
      </c>
      <c r="AL2801">
        <v>1.5630088312872901</v>
      </c>
      <c r="AN2801">
        <v>6</v>
      </c>
      <c r="AO2801" t="b">
        <v>1</v>
      </c>
      <c r="AP2801" t="s">
        <v>4202</v>
      </c>
      <c r="AQ2801">
        <v>1948</v>
      </c>
      <c r="AR2801">
        <v>1959</v>
      </c>
      <c r="AS2801" t="s">
        <v>11611</v>
      </c>
      <c r="AT2801">
        <v>0.93086926762491395</v>
      </c>
      <c r="AU2801">
        <f t="shared" si="131"/>
        <v>3.0000000000000001E-3</v>
      </c>
    </row>
    <row r="2802" spans="1:47" x14ac:dyDescent="0.3">
      <c r="A2802">
        <v>2800</v>
      </c>
      <c r="B2802" t="s">
        <v>11612</v>
      </c>
      <c r="C2802" t="s">
        <v>11599</v>
      </c>
      <c r="D2802">
        <v>666</v>
      </c>
      <c r="E2802" t="s">
        <v>11563</v>
      </c>
      <c r="F2802" t="str">
        <f>VLOOKUP(E2802,country_continent!A:C,2,FALSE)</f>
        <v>Israel</v>
      </c>
      <c r="G2802" t="str">
        <f>VLOOKUP(E2802,country_continent!A:C,3,FALSE)</f>
        <v>Asia</v>
      </c>
      <c r="H2802" t="s">
        <v>11600</v>
      </c>
      <c r="I2802" s="1">
        <v>30939</v>
      </c>
      <c r="J2802" s="3">
        <f t="shared" si="129"/>
        <v>30939</v>
      </c>
      <c r="K2802" s="1">
        <v>31705</v>
      </c>
      <c r="L2802" s="3">
        <f t="shared" si="130"/>
        <v>31705</v>
      </c>
      <c r="M2802" t="s">
        <v>49</v>
      </c>
      <c r="N2802" t="s">
        <v>49</v>
      </c>
      <c r="O2802" t="s">
        <v>49</v>
      </c>
      <c r="P2802">
        <v>1</v>
      </c>
      <c r="Q2802" t="s">
        <v>50</v>
      </c>
      <c r="R2802" t="s">
        <v>51</v>
      </c>
      <c r="S2802">
        <v>1923</v>
      </c>
      <c r="T2802">
        <v>-777</v>
      </c>
      <c r="U2802" s="1">
        <v>8614</v>
      </c>
      <c r="V2802" s="2">
        <v>8614</v>
      </c>
      <c r="Y2802" t="s">
        <v>11601</v>
      </c>
      <c r="Z2802">
        <v>0</v>
      </c>
      <c r="AA2802">
        <v>1</v>
      </c>
      <c r="AB2802">
        <v>0</v>
      </c>
      <c r="AC2802">
        <v>0</v>
      </c>
      <c r="AF2802">
        <v>1984</v>
      </c>
      <c r="AG2802">
        <v>1986</v>
      </c>
      <c r="AH2802">
        <v>1.4771605483949799</v>
      </c>
      <c r="AI2802">
        <v>7123.3333333333303</v>
      </c>
      <c r="AJ2802">
        <v>233.15569084982701</v>
      </c>
      <c r="AK2802">
        <v>14.4</v>
      </c>
      <c r="AL2802">
        <v>1.53922315365843</v>
      </c>
      <c r="AN2802">
        <v>6</v>
      </c>
      <c r="AO2802" t="b">
        <v>1</v>
      </c>
      <c r="AP2802" t="s">
        <v>4202</v>
      </c>
      <c r="AQ2802">
        <v>1948</v>
      </c>
      <c r="AR2802">
        <v>1959</v>
      </c>
      <c r="AS2802" t="s">
        <v>11613</v>
      </c>
      <c r="AT2802">
        <v>2.09719370294318</v>
      </c>
      <c r="AU2802">
        <f t="shared" si="131"/>
        <v>6.0000000000000001E-3</v>
      </c>
    </row>
    <row r="2803" spans="1:47" x14ac:dyDescent="0.3">
      <c r="A2803">
        <v>2801</v>
      </c>
      <c r="B2803" t="s">
        <v>11614</v>
      </c>
      <c r="C2803" t="s">
        <v>11609</v>
      </c>
      <c r="D2803">
        <v>666</v>
      </c>
      <c r="E2803" t="s">
        <v>11563</v>
      </c>
      <c r="F2803" t="str">
        <f>VLOOKUP(E2803,country_continent!A:C,2,FALSE)</f>
        <v>Israel</v>
      </c>
      <c r="G2803" t="str">
        <f>VLOOKUP(E2803,country_continent!A:C,3,FALSE)</f>
        <v>Asia</v>
      </c>
      <c r="H2803" t="s">
        <v>11610</v>
      </c>
      <c r="I2803" s="1">
        <v>31705</v>
      </c>
      <c r="J2803" s="3">
        <f t="shared" si="129"/>
        <v>31705</v>
      </c>
      <c r="K2803" s="1">
        <v>33797</v>
      </c>
      <c r="L2803" s="3">
        <f t="shared" si="130"/>
        <v>33797</v>
      </c>
      <c r="M2803" t="s">
        <v>49</v>
      </c>
      <c r="N2803" t="s">
        <v>49</v>
      </c>
      <c r="O2803" t="s">
        <v>49</v>
      </c>
      <c r="P2803">
        <v>1</v>
      </c>
      <c r="Q2803" t="s">
        <v>50</v>
      </c>
      <c r="R2803" t="s">
        <v>51</v>
      </c>
      <c r="S2803">
        <v>1914</v>
      </c>
      <c r="T2803">
        <v>2012</v>
      </c>
      <c r="U2803" s="1">
        <v>5421</v>
      </c>
      <c r="V2803" s="2">
        <v>5421</v>
      </c>
      <c r="Z2803">
        <v>0</v>
      </c>
      <c r="AA2803">
        <v>1</v>
      </c>
      <c r="AB2803">
        <v>0</v>
      </c>
      <c r="AC2803">
        <v>0</v>
      </c>
      <c r="AF2803">
        <v>1986</v>
      </c>
      <c r="AG2803">
        <v>1992</v>
      </c>
      <c r="AH2803">
        <v>2.5278775994377698</v>
      </c>
      <c r="AI2803">
        <v>11580</v>
      </c>
      <c r="AJ2803">
        <v>22.3324092297172</v>
      </c>
      <c r="AK2803">
        <v>12.0571428571428</v>
      </c>
      <c r="AL2803">
        <v>2.7261320488325498</v>
      </c>
      <c r="AN2803">
        <v>6</v>
      </c>
      <c r="AO2803" t="b">
        <v>1</v>
      </c>
      <c r="AP2803" t="s">
        <v>4202</v>
      </c>
      <c r="AQ2803">
        <v>1948</v>
      </c>
      <c r="AR2803">
        <v>1959</v>
      </c>
      <c r="AS2803" t="s">
        <v>11615</v>
      </c>
      <c r="AT2803">
        <v>5.7275838466803499</v>
      </c>
      <c r="AU2803">
        <f t="shared" si="131"/>
        <v>1.6E-2</v>
      </c>
    </row>
    <row r="2804" spans="1:47" x14ac:dyDescent="0.3">
      <c r="A2804">
        <v>2802</v>
      </c>
      <c r="B2804" t="s">
        <v>11616</v>
      </c>
      <c r="C2804" t="s">
        <v>11594</v>
      </c>
      <c r="D2804">
        <v>666</v>
      </c>
      <c r="E2804" t="s">
        <v>11563</v>
      </c>
      <c r="F2804" t="str">
        <f>VLOOKUP(E2804,country_continent!A:C,2,FALSE)</f>
        <v>Israel</v>
      </c>
      <c r="G2804" t="str">
        <f>VLOOKUP(E2804,country_continent!A:C,3,FALSE)</f>
        <v>Asia</v>
      </c>
      <c r="H2804" t="s">
        <v>11595</v>
      </c>
      <c r="I2804" s="1">
        <v>33797</v>
      </c>
      <c r="J2804" s="3">
        <f t="shared" si="129"/>
        <v>33797</v>
      </c>
      <c r="K2804" s="1">
        <v>35007</v>
      </c>
      <c r="L2804" s="3">
        <f t="shared" si="130"/>
        <v>35007</v>
      </c>
      <c r="M2804" t="s">
        <v>49</v>
      </c>
      <c r="N2804" t="s">
        <v>67</v>
      </c>
      <c r="O2804" t="s">
        <v>68</v>
      </c>
      <c r="P2804">
        <v>1</v>
      </c>
      <c r="Q2804" t="s">
        <v>69</v>
      </c>
      <c r="R2804" t="s">
        <v>51</v>
      </c>
      <c r="S2804">
        <v>1922</v>
      </c>
      <c r="T2804">
        <v>1995</v>
      </c>
      <c r="U2804" s="1">
        <v>8096</v>
      </c>
      <c r="V2804" s="2">
        <v>8096</v>
      </c>
      <c r="W2804" s="1">
        <v>35007</v>
      </c>
      <c r="X2804" s="2">
        <v>35007</v>
      </c>
      <c r="Y2804" t="s">
        <v>11596</v>
      </c>
      <c r="Z2804">
        <v>0</v>
      </c>
      <c r="AA2804">
        <v>3</v>
      </c>
      <c r="AB2804">
        <v>11</v>
      </c>
      <c r="AC2804">
        <v>3</v>
      </c>
      <c r="AF2804">
        <v>1992</v>
      </c>
      <c r="AG2804">
        <v>1995</v>
      </c>
      <c r="AH2804">
        <v>3.4907499976818199</v>
      </c>
      <c r="AI2804">
        <v>16425</v>
      </c>
      <c r="AJ2804">
        <v>11.188885979562301</v>
      </c>
      <c r="AK2804">
        <v>9.5250000000000004</v>
      </c>
      <c r="AL2804">
        <v>2.8427771208145298</v>
      </c>
      <c r="AM2804">
        <v>3.6860515573183001E-3</v>
      </c>
      <c r="AN2804">
        <v>6</v>
      </c>
      <c r="AO2804" t="b">
        <v>1</v>
      </c>
      <c r="AP2804" t="s">
        <v>4202</v>
      </c>
      <c r="AQ2804">
        <v>1948</v>
      </c>
      <c r="AR2804">
        <v>1959</v>
      </c>
      <c r="AS2804" t="s">
        <v>11617</v>
      </c>
      <c r="AT2804">
        <v>3.3127994524298399</v>
      </c>
      <c r="AU2804">
        <f t="shared" si="131"/>
        <v>8.9999999999999993E-3</v>
      </c>
    </row>
    <row r="2805" spans="1:47" x14ac:dyDescent="0.3">
      <c r="A2805">
        <v>2803</v>
      </c>
      <c r="B2805" t="s">
        <v>11618</v>
      </c>
      <c r="C2805" t="s">
        <v>11599</v>
      </c>
      <c r="D2805">
        <v>666</v>
      </c>
      <c r="E2805" t="s">
        <v>11563</v>
      </c>
      <c r="F2805" t="str">
        <f>VLOOKUP(E2805,country_continent!A:C,2,FALSE)</f>
        <v>Israel</v>
      </c>
      <c r="G2805" t="str">
        <f>VLOOKUP(E2805,country_continent!A:C,3,FALSE)</f>
        <v>Asia</v>
      </c>
      <c r="H2805" t="s">
        <v>11600</v>
      </c>
      <c r="I2805" s="1">
        <v>35007</v>
      </c>
      <c r="J2805" s="3">
        <f t="shared" si="129"/>
        <v>35007</v>
      </c>
      <c r="K2805" s="1">
        <v>35234</v>
      </c>
      <c r="L2805" s="3">
        <f t="shared" si="130"/>
        <v>35234</v>
      </c>
      <c r="M2805" t="s">
        <v>49</v>
      </c>
      <c r="N2805" t="s">
        <v>49</v>
      </c>
      <c r="O2805" t="s">
        <v>49</v>
      </c>
      <c r="P2805">
        <v>2</v>
      </c>
      <c r="Q2805" t="s">
        <v>50</v>
      </c>
      <c r="R2805" t="s">
        <v>51</v>
      </c>
      <c r="S2805">
        <v>1923</v>
      </c>
      <c r="T2805">
        <v>-777</v>
      </c>
      <c r="U2805" s="1">
        <v>8614</v>
      </c>
      <c r="V2805" s="2">
        <v>8614</v>
      </c>
      <c r="Y2805" t="s">
        <v>11601</v>
      </c>
      <c r="Z2805">
        <v>0</v>
      </c>
      <c r="AA2805">
        <v>1</v>
      </c>
      <c r="AB2805">
        <v>0</v>
      </c>
      <c r="AC2805">
        <v>0</v>
      </c>
      <c r="AF2805">
        <v>1995</v>
      </c>
      <c r="AG2805">
        <v>1996</v>
      </c>
      <c r="AH2805">
        <v>3.4510627564242999</v>
      </c>
      <c r="AI2805">
        <v>18835</v>
      </c>
      <c r="AJ2805">
        <v>9.1715917650836492</v>
      </c>
      <c r="AK2805">
        <v>8.4499999999999993</v>
      </c>
      <c r="AL2805">
        <v>2.6423964495728098</v>
      </c>
      <c r="AM2805">
        <v>3.4659681849269E-3</v>
      </c>
      <c r="AN2805">
        <v>6</v>
      </c>
      <c r="AO2805" t="b">
        <v>1</v>
      </c>
      <c r="AP2805" t="s">
        <v>4202</v>
      </c>
      <c r="AQ2805">
        <v>1948</v>
      </c>
      <c r="AR2805">
        <v>1959</v>
      </c>
      <c r="AS2805" t="s">
        <v>11619</v>
      </c>
      <c r="AT2805">
        <v>0.62149212867898695</v>
      </c>
      <c r="AU2805">
        <f t="shared" si="131"/>
        <v>2E-3</v>
      </c>
    </row>
    <row r="2806" spans="1:47" x14ac:dyDescent="0.3">
      <c r="A2806">
        <v>2804</v>
      </c>
      <c r="B2806" t="s">
        <v>11620</v>
      </c>
      <c r="C2806" t="s">
        <v>11621</v>
      </c>
      <c r="D2806">
        <v>666</v>
      </c>
      <c r="E2806" t="s">
        <v>11563</v>
      </c>
      <c r="F2806" t="str">
        <f>VLOOKUP(E2806,country_continent!A:C,2,FALSE)</f>
        <v>Israel</v>
      </c>
      <c r="G2806" t="str">
        <f>VLOOKUP(E2806,country_continent!A:C,3,FALSE)</f>
        <v>Asia</v>
      </c>
      <c r="H2806" t="s">
        <v>11622</v>
      </c>
      <c r="I2806" s="1">
        <v>35234</v>
      </c>
      <c r="J2806" s="3">
        <f t="shared" si="129"/>
        <v>35234</v>
      </c>
      <c r="K2806" s="1">
        <v>36347</v>
      </c>
      <c r="L2806" s="3">
        <f t="shared" si="130"/>
        <v>36347</v>
      </c>
      <c r="M2806" t="s">
        <v>49</v>
      </c>
      <c r="N2806" t="s">
        <v>49</v>
      </c>
      <c r="O2806" t="s">
        <v>49</v>
      </c>
      <c r="P2806">
        <v>0</v>
      </c>
      <c r="Q2806" t="s">
        <v>50</v>
      </c>
      <c r="R2806" t="s">
        <v>51</v>
      </c>
      <c r="S2806">
        <v>1949</v>
      </c>
      <c r="T2806">
        <v>-777</v>
      </c>
      <c r="Z2806">
        <v>0</v>
      </c>
      <c r="AA2806">
        <v>1</v>
      </c>
      <c r="AB2806">
        <v>0</v>
      </c>
      <c r="AC2806">
        <v>0</v>
      </c>
      <c r="AF2806">
        <v>1996</v>
      </c>
      <c r="AG2806">
        <v>1999</v>
      </c>
      <c r="AH2806">
        <v>1.6549968651111999</v>
      </c>
      <c r="AI2806">
        <v>19767.5</v>
      </c>
      <c r="AJ2806">
        <v>7.6287367390733696</v>
      </c>
      <c r="AK2806">
        <v>7.6749999999999998</v>
      </c>
      <c r="AL2806">
        <v>2.4870533907115102</v>
      </c>
      <c r="AM2806">
        <v>3.3123504225803999E-3</v>
      </c>
      <c r="AN2806">
        <v>6</v>
      </c>
      <c r="AO2806" t="b">
        <v>1</v>
      </c>
      <c r="AP2806" t="s">
        <v>4202</v>
      </c>
      <c r="AQ2806">
        <v>1948</v>
      </c>
      <c r="AR2806">
        <v>1959</v>
      </c>
      <c r="AS2806" t="s">
        <v>11623</v>
      </c>
      <c r="AT2806">
        <v>3.04722792607802</v>
      </c>
      <c r="AU2806">
        <f t="shared" si="131"/>
        <v>8.0000000000000002E-3</v>
      </c>
    </row>
    <row r="2807" spans="1:47" x14ac:dyDescent="0.3">
      <c r="A2807">
        <v>2805</v>
      </c>
      <c r="B2807" t="s">
        <v>11624</v>
      </c>
      <c r="C2807" t="s">
        <v>11625</v>
      </c>
      <c r="D2807">
        <v>666</v>
      </c>
      <c r="E2807" t="s">
        <v>11563</v>
      </c>
      <c r="F2807" t="str">
        <f>VLOOKUP(E2807,country_continent!A:C,2,FALSE)</f>
        <v>Israel</v>
      </c>
      <c r="G2807" t="str">
        <f>VLOOKUP(E2807,country_continent!A:C,3,FALSE)</f>
        <v>Asia</v>
      </c>
      <c r="H2807" t="s">
        <v>11626</v>
      </c>
      <c r="I2807" s="1">
        <v>36347</v>
      </c>
      <c r="J2807" s="3">
        <f t="shared" si="129"/>
        <v>36347</v>
      </c>
      <c r="K2807" s="1">
        <v>36957</v>
      </c>
      <c r="L2807" s="3">
        <f t="shared" si="130"/>
        <v>36957</v>
      </c>
      <c r="M2807" t="s">
        <v>49</v>
      </c>
      <c r="N2807" t="s">
        <v>49</v>
      </c>
      <c r="O2807" t="s">
        <v>49</v>
      </c>
      <c r="P2807">
        <v>0</v>
      </c>
      <c r="Q2807" t="s">
        <v>50</v>
      </c>
      <c r="R2807" t="s">
        <v>51</v>
      </c>
      <c r="S2807">
        <v>1942</v>
      </c>
      <c r="T2807">
        <v>-777</v>
      </c>
      <c r="U2807" s="1">
        <v>15384</v>
      </c>
      <c r="V2807" s="2">
        <v>15384</v>
      </c>
      <c r="Y2807" t="s">
        <v>11627</v>
      </c>
      <c r="Z2807">
        <v>0</v>
      </c>
      <c r="AA2807">
        <v>1</v>
      </c>
      <c r="AB2807">
        <v>0</v>
      </c>
      <c r="AC2807">
        <v>0</v>
      </c>
      <c r="AF2807">
        <v>1999</v>
      </c>
      <c r="AG2807">
        <v>2001</v>
      </c>
      <c r="AH2807">
        <v>1.4641845842029899</v>
      </c>
      <c r="AI2807">
        <v>20100</v>
      </c>
      <c r="AJ2807">
        <v>3.3102368484626301</v>
      </c>
      <c r="AK2807">
        <v>6.9</v>
      </c>
      <c r="AL2807">
        <v>2.5152943663730398</v>
      </c>
      <c r="AM2807">
        <v>2.1751137292209E-3</v>
      </c>
      <c r="AN2807">
        <v>6</v>
      </c>
      <c r="AO2807" t="b">
        <v>1</v>
      </c>
      <c r="AP2807" t="s">
        <v>4202</v>
      </c>
      <c r="AQ2807">
        <v>1948</v>
      </c>
      <c r="AR2807">
        <v>1959</v>
      </c>
      <c r="AS2807" t="s">
        <v>11628</v>
      </c>
      <c r="AT2807">
        <v>1.67008898015058</v>
      </c>
      <c r="AU2807">
        <f t="shared" si="131"/>
        <v>5.0000000000000001E-3</v>
      </c>
    </row>
    <row r="2808" spans="1:47" x14ac:dyDescent="0.3">
      <c r="A2808">
        <v>2806</v>
      </c>
      <c r="B2808" t="s">
        <v>11629</v>
      </c>
      <c r="C2808" t="s">
        <v>11630</v>
      </c>
      <c r="D2808">
        <v>666</v>
      </c>
      <c r="E2808" t="s">
        <v>11563</v>
      </c>
      <c r="F2808" t="str">
        <f>VLOOKUP(E2808,country_continent!A:C,2,FALSE)</f>
        <v>Israel</v>
      </c>
      <c r="G2808" t="str">
        <f>VLOOKUP(E2808,country_continent!A:C,3,FALSE)</f>
        <v>Asia</v>
      </c>
      <c r="H2808" t="s">
        <v>11631</v>
      </c>
      <c r="I2808" s="1">
        <v>36958</v>
      </c>
      <c r="J2808" s="3">
        <f t="shared" si="129"/>
        <v>36958</v>
      </c>
      <c r="K2808" s="1">
        <v>38721</v>
      </c>
      <c r="L2808" s="3">
        <f t="shared" si="130"/>
        <v>38721</v>
      </c>
      <c r="M2808" t="s">
        <v>49</v>
      </c>
      <c r="N2808" t="s">
        <v>228</v>
      </c>
      <c r="O2808" t="s">
        <v>49</v>
      </c>
      <c r="P2808">
        <v>0</v>
      </c>
      <c r="Q2808" t="s">
        <v>50</v>
      </c>
      <c r="R2808" t="s">
        <v>51</v>
      </c>
      <c r="S2808">
        <v>1928</v>
      </c>
      <c r="T2808">
        <v>-777</v>
      </c>
      <c r="Y2808" t="s">
        <v>11632</v>
      </c>
      <c r="Z2808">
        <v>0</v>
      </c>
      <c r="AA2808">
        <v>2.0999998999999998</v>
      </c>
      <c r="AB2808">
        <v>0</v>
      </c>
      <c r="AC2808">
        <v>0</v>
      </c>
      <c r="AF2808">
        <v>2001</v>
      </c>
      <c r="AG2808">
        <v>2006</v>
      </c>
      <c r="AH2808">
        <v>0.76327208940243396</v>
      </c>
      <c r="AI2808">
        <v>21093.333333333299</v>
      </c>
      <c r="AJ2808">
        <v>1.3887457470764299</v>
      </c>
      <c r="AK2808">
        <v>5.9499999999999904</v>
      </c>
      <c r="AL2808">
        <v>1.91250377144303</v>
      </c>
      <c r="AM2808">
        <v>3.40371764448704E-2</v>
      </c>
      <c r="AN2808">
        <v>6</v>
      </c>
      <c r="AO2808" t="b">
        <v>1</v>
      </c>
      <c r="AP2808" t="s">
        <v>4202</v>
      </c>
      <c r="AQ2808">
        <v>1948</v>
      </c>
      <c r="AR2808">
        <v>1959</v>
      </c>
      <c r="AS2808" t="s">
        <v>11633</v>
      </c>
      <c r="AT2808">
        <v>4.8268309377138898</v>
      </c>
      <c r="AU2808">
        <f t="shared" si="131"/>
        <v>1.2999999999999999E-2</v>
      </c>
    </row>
    <row r="2809" spans="1:47" x14ac:dyDescent="0.3">
      <c r="A2809">
        <v>2807</v>
      </c>
      <c r="B2809" t="s">
        <v>11634</v>
      </c>
      <c r="C2809" t="s">
        <v>11635</v>
      </c>
      <c r="D2809">
        <v>666</v>
      </c>
      <c r="E2809" t="s">
        <v>11563</v>
      </c>
      <c r="F2809" t="str">
        <f>VLOOKUP(E2809,country_continent!A:C,2,FALSE)</f>
        <v>Israel</v>
      </c>
      <c r="G2809" t="str">
        <f>VLOOKUP(E2809,country_continent!A:C,3,FALSE)</f>
        <v>Asia</v>
      </c>
      <c r="H2809" t="s">
        <v>11636</v>
      </c>
      <c r="I2809" s="1">
        <v>38721</v>
      </c>
      <c r="J2809" s="3">
        <f t="shared" si="129"/>
        <v>38721</v>
      </c>
      <c r="K2809" s="1">
        <v>39903</v>
      </c>
      <c r="L2809" s="3">
        <f t="shared" si="130"/>
        <v>39903</v>
      </c>
      <c r="M2809" t="s">
        <v>49</v>
      </c>
      <c r="N2809" t="s">
        <v>49</v>
      </c>
      <c r="O2809" t="s">
        <v>49</v>
      </c>
      <c r="P2809">
        <v>0</v>
      </c>
      <c r="Q2809" t="s">
        <v>50</v>
      </c>
      <c r="R2809" t="s">
        <v>51</v>
      </c>
      <c r="S2809">
        <v>1928</v>
      </c>
      <c r="T2809">
        <v>-777</v>
      </c>
      <c r="U2809" s="1">
        <v>10284</v>
      </c>
      <c r="V2809" s="2">
        <v>10284</v>
      </c>
      <c r="Z2809">
        <v>0</v>
      </c>
      <c r="AA2809">
        <v>1</v>
      </c>
      <c r="AB2809">
        <v>0</v>
      </c>
      <c r="AC2809">
        <v>0</v>
      </c>
      <c r="AF2809">
        <v>2006</v>
      </c>
      <c r="AG2809">
        <v>2009</v>
      </c>
      <c r="AH2809">
        <v>2.11347686486548</v>
      </c>
      <c r="AI2809">
        <v>26085</v>
      </c>
      <c r="AJ2809">
        <v>1.9606408377475999</v>
      </c>
      <c r="AK2809">
        <v>5</v>
      </c>
      <c r="AL2809">
        <v>1.9276732966859</v>
      </c>
      <c r="AM2809">
        <v>0.23259090060776899</v>
      </c>
      <c r="AN2809">
        <v>6</v>
      </c>
      <c r="AO2809" t="b">
        <v>1</v>
      </c>
      <c r="AP2809" t="s">
        <v>4202</v>
      </c>
      <c r="AQ2809">
        <v>1948</v>
      </c>
      <c r="AR2809">
        <v>1959</v>
      </c>
      <c r="AS2809" t="s">
        <v>11637</v>
      </c>
      <c r="AT2809">
        <v>3.2361396303901402</v>
      </c>
      <c r="AU2809">
        <f t="shared" si="131"/>
        <v>8.9999999999999993E-3</v>
      </c>
    </row>
    <row r="2810" spans="1:47" x14ac:dyDescent="0.3">
      <c r="A2810">
        <v>2808</v>
      </c>
      <c r="B2810" t="s">
        <v>11638</v>
      </c>
      <c r="C2810" t="s">
        <v>11621</v>
      </c>
      <c r="D2810">
        <v>666</v>
      </c>
      <c r="E2810" t="s">
        <v>11563</v>
      </c>
      <c r="F2810" t="str">
        <f>VLOOKUP(E2810,country_continent!A:C,2,FALSE)</f>
        <v>Israel</v>
      </c>
      <c r="G2810" t="str">
        <f>VLOOKUP(E2810,country_continent!A:C,3,FALSE)</f>
        <v>Asia</v>
      </c>
      <c r="H2810" t="s">
        <v>11622</v>
      </c>
      <c r="I2810" s="1">
        <v>39903</v>
      </c>
      <c r="J2810" s="3">
        <f t="shared" si="129"/>
        <v>39903</v>
      </c>
      <c r="K2810" s="1">
        <v>42369</v>
      </c>
      <c r="L2810" s="3">
        <f t="shared" si="130"/>
        <v>42369</v>
      </c>
      <c r="M2810" t="s">
        <v>49</v>
      </c>
      <c r="N2810" t="s">
        <v>173</v>
      </c>
      <c r="O2810" t="s">
        <v>173</v>
      </c>
      <c r="P2810">
        <v>1</v>
      </c>
      <c r="Q2810" t="s">
        <v>174</v>
      </c>
      <c r="R2810" t="s">
        <v>51</v>
      </c>
      <c r="S2810">
        <v>1949</v>
      </c>
      <c r="T2810">
        <v>-777</v>
      </c>
      <c r="U2810" s="1">
        <v>18192</v>
      </c>
      <c r="V2810" s="2">
        <v>18192</v>
      </c>
      <c r="Z2810">
        <v>0</v>
      </c>
      <c r="AA2810">
        <v>-888</v>
      </c>
      <c r="AB2810">
        <v>-888</v>
      </c>
      <c r="AC2810">
        <v>-888</v>
      </c>
      <c r="AF2810">
        <v>2009</v>
      </c>
      <c r="AG2810">
        <v>2015</v>
      </c>
      <c r="AH2810">
        <v>1.5466557233651499</v>
      </c>
      <c r="AI2810">
        <v>33618.571428571398</v>
      </c>
      <c r="AJ2810">
        <v>2.2135033982403698</v>
      </c>
      <c r="AK2810">
        <v>4.2857142857142803</v>
      </c>
      <c r="AL2810">
        <v>1.9540106571081599</v>
      </c>
      <c r="AM2810">
        <v>0.25190179519120298</v>
      </c>
      <c r="AN2810">
        <v>6</v>
      </c>
      <c r="AO2810" t="b">
        <v>1</v>
      </c>
      <c r="AP2810" t="s">
        <v>4202</v>
      </c>
      <c r="AQ2810">
        <v>1948</v>
      </c>
      <c r="AR2810">
        <v>1959</v>
      </c>
      <c r="AS2810" t="s">
        <v>11639</v>
      </c>
      <c r="AT2810">
        <v>6.7515400410677602</v>
      </c>
      <c r="AU2810">
        <f t="shared" si="131"/>
        <v>1.7999999999999999E-2</v>
      </c>
    </row>
    <row r="2811" spans="1:47" x14ac:dyDescent="0.3">
      <c r="A2811">
        <v>2809</v>
      </c>
      <c r="B2811" t="s">
        <v>11640</v>
      </c>
      <c r="C2811" t="s">
        <v>11641</v>
      </c>
      <c r="D2811">
        <v>670</v>
      </c>
      <c r="E2811" t="s">
        <v>11642</v>
      </c>
      <c r="F2811" t="str">
        <f>VLOOKUP(E2811,country_continent!A:C,2,FALSE)</f>
        <v>Saudi Arabia</v>
      </c>
      <c r="G2811" t="str">
        <f>VLOOKUP(E2811,country_continent!A:C,3,FALSE)</f>
        <v>Asia</v>
      </c>
      <c r="H2811" t="s">
        <v>11643</v>
      </c>
      <c r="I2811" s="1">
        <v>10002</v>
      </c>
      <c r="J2811" s="3">
        <f t="shared" si="129"/>
        <v>10002</v>
      </c>
      <c r="K2811" s="1">
        <v>19672</v>
      </c>
      <c r="L2811" s="3">
        <f t="shared" si="130"/>
        <v>19672</v>
      </c>
      <c r="M2811" t="s">
        <v>49</v>
      </c>
      <c r="N2811" t="s">
        <v>110</v>
      </c>
      <c r="O2811" t="s">
        <v>49</v>
      </c>
      <c r="P2811">
        <v>0</v>
      </c>
      <c r="Q2811" t="s">
        <v>111</v>
      </c>
      <c r="R2811" t="s">
        <v>51</v>
      </c>
      <c r="S2811">
        <v>1882</v>
      </c>
      <c r="T2811">
        <v>1953</v>
      </c>
      <c r="U2811" t="s">
        <v>11644</v>
      </c>
      <c r="V2811" t="s">
        <v>11645</v>
      </c>
      <c r="W2811" s="1">
        <v>19672</v>
      </c>
      <c r="X2811" s="2">
        <v>19672</v>
      </c>
      <c r="Z2811">
        <v>0</v>
      </c>
      <c r="AA2811">
        <v>2</v>
      </c>
      <c r="AB2811">
        <v>0</v>
      </c>
      <c r="AC2811">
        <v>-777</v>
      </c>
      <c r="AD2811" t="s">
        <v>11646</v>
      </c>
      <c r="AE2811">
        <v>0</v>
      </c>
      <c r="AF2811">
        <v>1927</v>
      </c>
      <c r="AG2811">
        <v>1953</v>
      </c>
      <c r="AN2811">
        <v>-10</v>
      </c>
      <c r="AO2811" t="b">
        <v>1</v>
      </c>
      <c r="AP2811" t="s">
        <v>4986</v>
      </c>
      <c r="AQ2811">
        <v>1944</v>
      </c>
      <c r="AR2811">
        <v>1976</v>
      </c>
      <c r="AS2811" t="s">
        <v>11647</v>
      </c>
      <c r="AT2811">
        <v>26.4750171115674</v>
      </c>
      <c r="AU2811">
        <f t="shared" si="131"/>
        <v>7.2999999999999995E-2</v>
      </c>
    </row>
    <row r="2812" spans="1:47" x14ac:dyDescent="0.3">
      <c r="A2812">
        <v>2810</v>
      </c>
      <c r="B2812" t="s">
        <v>11648</v>
      </c>
      <c r="C2812" t="s">
        <v>11649</v>
      </c>
      <c r="D2812">
        <v>670</v>
      </c>
      <c r="E2812" t="s">
        <v>11642</v>
      </c>
      <c r="F2812" t="str">
        <f>VLOOKUP(E2812,country_continent!A:C,2,FALSE)</f>
        <v>Saudi Arabia</v>
      </c>
      <c r="G2812" t="str">
        <f>VLOOKUP(E2812,country_continent!A:C,3,FALSE)</f>
        <v>Asia</v>
      </c>
      <c r="H2812" t="s">
        <v>11650</v>
      </c>
      <c r="I2812" s="1">
        <v>19672</v>
      </c>
      <c r="J2812" s="3">
        <f t="shared" si="129"/>
        <v>19672</v>
      </c>
      <c r="K2812" s="1">
        <v>23683</v>
      </c>
      <c r="L2812" s="3">
        <f t="shared" si="130"/>
        <v>23683</v>
      </c>
      <c r="M2812" t="s">
        <v>49</v>
      </c>
      <c r="N2812" t="s">
        <v>49</v>
      </c>
      <c r="O2812" t="s">
        <v>49</v>
      </c>
      <c r="P2812">
        <v>0</v>
      </c>
      <c r="Q2812" t="s">
        <v>362</v>
      </c>
      <c r="R2812" t="s">
        <v>51</v>
      </c>
      <c r="S2812">
        <v>1902</v>
      </c>
      <c r="T2812">
        <v>1969</v>
      </c>
      <c r="U2812" s="1">
        <v>746</v>
      </c>
      <c r="V2812" s="2">
        <v>746</v>
      </c>
      <c r="Z2812">
        <v>0</v>
      </c>
      <c r="AA2812">
        <v>1</v>
      </c>
      <c r="AB2812">
        <v>0</v>
      </c>
      <c r="AC2812">
        <v>1</v>
      </c>
      <c r="AD2812" t="s">
        <v>11651</v>
      </c>
      <c r="AF2812">
        <v>1953</v>
      </c>
      <c r="AG2812">
        <v>1964</v>
      </c>
      <c r="AH2812">
        <v>6.32912622715829</v>
      </c>
      <c r="AI2812">
        <v>703.33333333333303</v>
      </c>
      <c r="AJ2812">
        <v>-2.1465181433303502</v>
      </c>
      <c r="AL2812">
        <v>3.68305669925673</v>
      </c>
      <c r="AN2812">
        <v>-10</v>
      </c>
      <c r="AO2812" t="b">
        <v>1</v>
      </c>
      <c r="AP2812" t="s">
        <v>4986</v>
      </c>
      <c r="AQ2812">
        <v>1944</v>
      </c>
      <c r="AR2812">
        <v>1976</v>
      </c>
      <c r="AS2812" t="s">
        <v>11652</v>
      </c>
      <c r="AT2812">
        <v>10.9815195071868</v>
      </c>
      <c r="AU2812">
        <f t="shared" si="131"/>
        <v>0.03</v>
      </c>
    </row>
    <row r="2813" spans="1:47" x14ac:dyDescent="0.3">
      <c r="A2813">
        <v>2811</v>
      </c>
      <c r="B2813" t="s">
        <v>11653</v>
      </c>
      <c r="C2813" t="s">
        <v>11654</v>
      </c>
      <c r="D2813">
        <v>670</v>
      </c>
      <c r="E2813" t="s">
        <v>11642</v>
      </c>
      <c r="F2813" t="str">
        <f>VLOOKUP(E2813,country_continent!A:C,2,FALSE)</f>
        <v>Saudi Arabia</v>
      </c>
      <c r="G2813" t="str">
        <f>VLOOKUP(E2813,country_continent!A:C,3,FALSE)</f>
        <v>Asia</v>
      </c>
      <c r="H2813" t="s">
        <v>11655</v>
      </c>
      <c r="I2813" s="1">
        <v>23683</v>
      </c>
      <c r="J2813" s="3">
        <f t="shared" si="129"/>
        <v>23683</v>
      </c>
      <c r="K2813" s="1">
        <v>27478</v>
      </c>
      <c r="L2813" s="3">
        <f t="shared" si="130"/>
        <v>27478</v>
      </c>
      <c r="M2813" t="s">
        <v>49</v>
      </c>
      <c r="N2813" t="s">
        <v>67</v>
      </c>
      <c r="O2813" t="s">
        <v>68</v>
      </c>
      <c r="P2813">
        <v>0</v>
      </c>
      <c r="Q2813" t="s">
        <v>69</v>
      </c>
      <c r="R2813" t="s">
        <v>51</v>
      </c>
      <c r="S2813">
        <v>1905</v>
      </c>
      <c r="T2813">
        <v>1975</v>
      </c>
      <c r="W2813" s="1">
        <v>27478</v>
      </c>
      <c r="X2813" s="2">
        <v>27478</v>
      </c>
      <c r="Z2813">
        <v>0</v>
      </c>
      <c r="AA2813">
        <v>3</v>
      </c>
      <c r="AB2813">
        <v>11</v>
      </c>
      <c r="AC2813">
        <v>3</v>
      </c>
      <c r="AF2813">
        <v>1964</v>
      </c>
      <c r="AG2813">
        <v>1975</v>
      </c>
      <c r="AH2813">
        <v>9.4737904386001102</v>
      </c>
      <c r="AI2813">
        <v>2280.8333333333298</v>
      </c>
      <c r="AJ2813">
        <v>16.1202379908711</v>
      </c>
      <c r="AK2813">
        <v>144.85</v>
      </c>
      <c r="AL2813">
        <v>4.3009872159451703</v>
      </c>
      <c r="AM2813">
        <v>42.829392360861704</v>
      </c>
      <c r="AN2813">
        <v>-10</v>
      </c>
      <c r="AO2813" t="b">
        <v>1</v>
      </c>
      <c r="AP2813" t="s">
        <v>4986</v>
      </c>
      <c r="AQ2813">
        <v>1944</v>
      </c>
      <c r="AR2813">
        <v>1976</v>
      </c>
      <c r="AS2813" t="s">
        <v>11656</v>
      </c>
      <c r="AT2813">
        <v>10.3901437371663</v>
      </c>
      <c r="AU2813">
        <f t="shared" si="131"/>
        <v>2.8000000000000001E-2</v>
      </c>
    </row>
    <row r="2814" spans="1:47" x14ac:dyDescent="0.3">
      <c r="A2814">
        <v>2812</v>
      </c>
      <c r="B2814" t="s">
        <v>11657</v>
      </c>
      <c r="C2814" t="s">
        <v>11658</v>
      </c>
      <c r="D2814">
        <v>670</v>
      </c>
      <c r="E2814" t="s">
        <v>11642</v>
      </c>
      <c r="F2814" t="str">
        <f>VLOOKUP(E2814,country_continent!A:C,2,FALSE)</f>
        <v>Saudi Arabia</v>
      </c>
      <c r="G2814" t="str">
        <f>VLOOKUP(E2814,country_continent!A:C,3,FALSE)</f>
        <v>Asia</v>
      </c>
      <c r="H2814" t="s">
        <v>11659</v>
      </c>
      <c r="I2814" s="1">
        <v>27478</v>
      </c>
      <c r="J2814" s="3">
        <f t="shared" si="129"/>
        <v>27478</v>
      </c>
      <c r="K2814" s="1">
        <v>30115</v>
      </c>
      <c r="L2814" s="3">
        <f t="shared" si="130"/>
        <v>30115</v>
      </c>
      <c r="M2814" t="s">
        <v>49</v>
      </c>
      <c r="N2814" t="s">
        <v>110</v>
      </c>
      <c r="O2814" t="s">
        <v>49</v>
      </c>
      <c r="P2814">
        <v>0</v>
      </c>
      <c r="Q2814" t="s">
        <v>111</v>
      </c>
      <c r="R2814" t="s">
        <v>51</v>
      </c>
      <c r="S2814">
        <v>1913</v>
      </c>
      <c r="T2814">
        <v>1982</v>
      </c>
      <c r="W2814" s="1">
        <v>30115</v>
      </c>
      <c r="X2814" s="2">
        <v>30115</v>
      </c>
      <c r="Z2814">
        <v>0</v>
      </c>
      <c r="AA2814">
        <v>2</v>
      </c>
      <c r="AB2814">
        <v>0</v>
      </c>
      <c r="AC2814">
        <v>-777</v>
      </c>
      <c r="AF2814">
        <v>1975</v>
      </c>
      <c r="AG2814">
        <v>1982</v>
      </c>
      <c r="AH2814">
        <v>-3.2425655907056798</v>
      </c>
      <c r="AI2814">
        <v>17966.25</v>
      </c>
      <c r="AJ2814">
        <v>14.181842836599399</v>
      </c>
      <c r="AK2814">
        <v>104.4875</v>
      </c>
      <c r="AL2814">
        <v>5.7052654638430003</v>
      </c>
      <c r="AM2814">
        <v>56.8421816531744</v>
      </c>
      <c r="AN2814">
        <v>-10</v>
      </c>
      <c r="AO2814" t="b">
        <v>1</v>
      </c>
      <c r="AP2814" t="s">
        <v>4986</v>
      </c>
      <c r="AQ2814">
        <v>1944</v>
      </c>
      <c r="AR2814">
        <v>1976</v>
      </c>
      <c r="AS2814" t="s">
        <v>11660</v>
      </c>
      <c r="AT2814">
        <v>7.21971252566735</v>
      </c>
      <c r="AU2814">
        <f t="shared" si="131"/>
        <v>0.02</v>
      </c>
    </row>
    <row r="2815" spans="1:47" x14ac:dyDescent="0.3">
      <c r="A2815">
        <v>2813</v>
      </c>
      <c r="B2815" t="s">
        <v>11661</v>
      </c>
      <c r="C2815" t="s">
        <v>11662</v>
      </c>
      <c r="D2815">
        <v>670</v>
      </c>
      <c r="E2815" t="s">
        <v>11642</v>
      </c>
      <c r="F2815" t="str">
        <f>VLOOKUP(E2815,country_continent!A:C,2,FALSE)</f>
        <v>Saudi Arabia</v>
      </c>
      <c r="G2815" t="str">
        <f>VLOOKUP(E2815,country_continent!A:C,3,FALSE)</f>
        <v>Asia</v>
      </c>
      <c r="H2815" t="s">
        <v>11663</v>
      </c>
      <c r="I2815" s="1">
        <v>30115</v>
      </c>
      <c r="J2815" s="3">
        <f t="shared" si="129"/>
        <v>30115</v>
      </c>
      <c r="K2815" s="1">
        <v>35065</v>
      </c>
      <c r="L2815" s="3">
        <f t="shared" si="130"/>
        <v>35065</v>
      </c>
      <c r="M2815" t="s">
        <v>49</v>
      </c>
      <c r="N2815" t="s">
        <v>228</v>
      </c>
      <c r="O2815" t="s">
        <v>49</v>
      </c>
      <c r="P2815">
        <v>0</v>
      </c>
      <c r="Q2815" t="s">
        <v>50</v>
      </c>
      <c r="R2815" t="s">
        <v>51</v>
      </c>
      <c r="S2815">
        <v>1922</v>
      </c>
      <c r="T2815">
        <v>2005</v>
      </c>
      <c r="W2815" s="1">
        <v>38565</v>
      </c>
      <c r="X2815" s="2">
        <v>38565</v>
      </c>
      <c r="Y2815" t="s">
        <v>11664</v>
      </c>
      <c r="Z2815">
        <v>0</v>
      </c>
      <c r="AA2815">
        <v>2.0999998999999998</v>
      </c>
      <c r="AB2815">
        <v>0</v>
      </c>
      <c r="AC2815">
        <v>0</v>
      </c>
      <c r="AF2815">
        <v>1982</v>
      </c>
      <c r="AG2815">
        <v>1996</v>
      </c>
      <c r="AH2815">
        <v>-5.3520927794106701</v>
      </c>
      <c r="AI2815">
        <v>13728</v>
      </c>
      <c r="AJ2815">
        <v>0.549874880495412</v>
      </c>
      <c r="AK2815">
        <v>50.706666666666599</v>
      </c>
      <c r="AL2815">
        <v>5.1160610719352499</v>
      </c>
      <c r="AM2815">
        <v>31.904631142742598</v>
      </c>
      <c r="AN2815">
        <v>-10</v>
      </c>
      <c r="AO2815" t="b">
        <v>1</v>
      </c>
      <c r="AP2815" t="s">
        <v>4986</v>
      </c>
      <c r="AQ2815">
        <v>1944</v>
      </c>
      <c r="AR2815">
        <v>1976</v>
      </c>
      <c r="AS2815" t="s">
        <v>11665</v>
      </c>
      <c r="AT2815">
        <v>13.552361396303899</v>
      </c>
      <c r="AU2815">
        <f t="shared" si="131"/>
        <v>3.6999999999999998E-2</v>
      </c>
    </row>
    <row r="2816" spans="1:47" x14ac:dyDescent="0.3">
      <c r="A2816">
        <v>2814</v>
      </c>
      <c r="B2816" t="s">
        <v>11666</v>
      </c>
      <c r="C2816" t="s">
        <v>11667</v>
      </c>
      <c r="D2816">
        <v>670</v>
      </c>
      <c r="E2816" t="s">
        <v>11642</v>
      </c>
      <c r="F2816" t="str">
        <f>VLOOKUP(E2816,country_continent!A:C,2,FALSE)</f>
        <v>Saudi Arabia</v>
      </c>
      <c r="G2816" t="str">
        <f>VLOOKUP(E2816,country_continent!A:C,3,FALSE)</f>
        <v>Asia</v>
      </c>
      <c r="H2816" t="s">
        <v>11668</v>
      </c>
      <c r="I2816" s="1">
        <v>35065</v>
      </c>
      <c r="J2816" s="3">
        <f t="shared" si="129"/>
        <v>35065</v>
      </c>
      <c r="K2816" s="1">
        <v>42027</v>
      </c>
      <c r="L2816" s="3">
        <f t="shared" si="130"/>
        <v>42027</v>
      </c>
      <c r="M2816" t="s">
        <v>49</v>
      </c>
      <c r="N2816" t="s">
        <v>110</v>
      </c>
      <c r="O2816" t="s">
        <v>49</v>
      </c>
      <c r="P2816">
        <v>0</v>
      </c>
      <c r="Q2816" t="s">
        <v>312</v>
      </c>
      <c r="R2816" t="s">
        <v>51</v>
      </c>
      <c r="S2816">
        <v>1924</v>
      </c>
      <c r="T2816">
        <v>-777</v>
      </c>
      <c r="U2816" s="1">
        <v>8980</v>
      </c>
      <c r="V2816" s="2">
        <v>8980</v>
      </c>
      <c r="Z2816">
        <v>0</v>
      </c>
      <c r="AA2816">
        <v>2</v>
      </c>
      <c r="AB2816">
        <v>0</v>
      </c>
      <c r="AC2816">
        <v>-999</v>
      </c>
      <c r="AF2816">
        <v>1996</v>
      </c>
      <c r="AG2816">
        <v>2015</v>
      </c>
      <c r="AH2816">
        <v>-7.4390351401122198E-2</v>
      </c>
      <c r="AI2816">
        <v>17299</v>
      </c>
      <c r="AJ2816">
        <v>4.6149018455118203</v>
      </c>
      <c r="AK2816">
        <v>16.96</v>
      </c>
      <c r="AL2816">
        <v>4.0405145626391397</v>
      </c>
      <c r="AM2816">
        <v>39.772835052591603</v>
      </c>
      <c r="AN2816">
        <v>-10</v>
      </c>
      <c r="AO2816" t="b">
        <v>1</v>
      </c>
      <c r="AP2816" t="s">
        <v>4986</v>
      </c>
      <c r="AQ2816">
        <v>1944</v>
      </c>
      <c r="AR2816">
        <v>1976</v>
      </c>
      <c r="AS2816" t="s">
        <v>11669</v>
      </c>
      <c r="AT2816">
        <v>19.0609171800136</v>
      </c>
      <c r="AU2816">
        <f t="shared" si="131"/>
        <v>5.1999999999999998E-2</v>
      </c>
    </row>
    <row r="2817" spans="1:47" x14ac:dyDescent="0.3">
      <c r="A2817">
        <v>2815</v>
      </c>
      <c r="B2817" t="s">
        <v>11670</v>
      </c>
      <c r="C2817" t="s">
        <v>11671</v>
      </c>
      <c r="D2817">
        <v>670</v>
      </c>
      <c r="E2817" t="s">
        <v>11642</v>
      </c>
      <c r="F2817" t="str">
        <f>VLOOKUP(E2817,country_continent!A:C,2,FALSE)</f>
        <v>Saudi Arabia</v>
      </c>
      <c r="G2817" t="str">
        <f>VLOOKUP(E2817,country_continent!A:C,3,FALSE)</f>
        <v>Asia</v>
      </c>
      <c r="H2817" t="s">
        <v>11672</v>
      </c>
      <c r="I2817" s="1">
        <v>42027</v>
      </c>
      <c r="J2817" s="3">
        <f t="shared" si="129"/>
        <v>42027</v>
      </c>
      <c r="K2817" s="1">
        <v>42369</v>
      </c>
      <c r="L2817" s="3">
        <f t="shared" si="130"/>
        <v>42369</v>
      </c>
      <c r="M2817" t="s">
        <v>49</v>
      </c>
      <c r="N2817" t="s">
        <v>110</v>
      </c>
      <c r="O2817" t="s">
        <v>49</v>
      </c>
      <c r="P2817">
        <v>0</v>
      </c>
      <c r="Q2817" t="s">
        <v>312</v>
      </c>
      <c r="R2817" t="s">
        <v>51</v>
      </c>
      <c r="S2817">
        <v>1935</v>
      </c>
      <c r="T2817">
        <v>-777</v>
      </c>
      <c r="U2817" s="1">
        <v>8980</v>
      </c>
      <c r="V2817" s="2">
        <v>8980</v>
      </c>
      <c r="Z2817">
        <v>0</v>
      </c>
      <c r="AA2817">
        <v>2</v>
      </c>
      <c r="AB2817">
        <v>0</v>
      </c>
      <c r="AC2817">
        <v>-999</v>
      </c>
      <c r="AF2817">
        <v>2015</v>
      </c>
      <c r="AG2817">
        <v>2015</v>
      </c>
      <c r="AH2817">
        <v>-0.63481033447193602</v>
      </c>
      <c r="AI2817">
        <v>26580</v>
      </c>
      <c r="AJ2817">
        <v>-15.826929193661901</v>
      </c>
      <c r="AK2817">
        <v>9</v>
      </c>
      <c r="AL2817">
        <v>5.1868555185621599</v>
      </c>
      <c r="AM2817">
        <v>24.855304532248301</v>
      </c>
      <c r="AN2817">
        <v>-10</v>
      </c>
      <c r="AO2817" t="b">
        <v>1</v>
      </c>
      <c r="AP2817" t="s">
        <v>4986</v>
      </c>
      <c r="AQ2817">
        <v>1944</v>
      </c>
      <c r="AR2817">
        <v>1976</v>
      </c>
      <c r="AS2817" t="s">
        <v>11673</v>
      </c>
      <c r="AT2817">
        <v>0.93634496919917798</v>
      </c>
      <c r="AU2817">
        <f t="shared" si="131"/>
        <v>3.0000000000000001E-3</v>
      </c>
    </row>
    <row r="2818" spans="1:47" x14ac:dyDescent="0.3">
      <c r="A2818">
        <v>2816</v>
      </c>
      <c r="B2818" t="s">
        <v>11674</v>
      </c>
      <c r="C2818" t="s">
        <v>11675</v>
      </c>
      <c r="D2818">
        <v>678</v>
      </c>
      <c r="E2818" t="s">
        <v>11676</v>
      </c>
      <c r="F2818" t="str">
        <f>VLOOKUP(E2818,country_continent!A:C,2,FALSE)</f>
        <v>Yemen</v>
      </c>
      <c r="G2818" t="str">
        <f>VLOOKUP(E2818,country_continent!A:C,3,FALSE)</f>
        <v>Asia</v>
      </c>
      <c r="H2818" t="s">
        <v>11677</v>
      </c>
      <c r="I2818" s="1">
        <v>1617</v>
      </c>
      <c r="J2818" s="3">
        <f t="shared" si="129"/>
        <v>1617</v>
      </c>
      <c r="K2818" s="1">
        <v>17580</v>
      </c>
      <c r="L2818" s="3">
        <f t="shared" si="130"/>
        <v>17580</v>
      </c>
      <c r="M2818" t="s">
        <v>49</v>
      </c>
      <c r="N2818" t="s">
        <v>67</v>
      </c>
      <c r="O2818" t="s">
        <v>433</v>
      </c>
      <c r="P2818">
        <v>0</v>
      </c>
      <c r="Q2818" t="s">
        <v>69</v>
      </c>
      <c r="R2818" t="s">
        <v>51</v>
      </c>
      <c r="S2818">
        <v>1876</v>
      </c>
      <c r="T2818">
        <v>1948</v>
      </c>
      <c r="Z2818">
        <v>0</v>
      </c>
      <c r="AA2818">
        <v>3</v>
      </c>
      <c r="AB2818">
        <v>4</v>
      </c>
      <c r="AC2818">
        <v>3</v>
      </c>
      <c r="AF2818">
        <v>1904</v>
      </c>
      <c r="AG2818">
        <v>1948</v>
      </c>
      <c r="AN2818">
        <v>-7.33</v>
      </c>
      <c r="AO2818" t="b">
        <v>0</v>
      </c>
      <c r="AT2818">
        <v>15963</v>
      </c>
      <c r="AU2818">
        <f t="shared" si="131"/>
        <v>43.734000000000002</v>
      </c>
    </row>
    <row r="2819" spans="1:47" x14ac:dyDescent="0.3">
      <c r="A2819">
        <v>2817</v>
      </c>
      <c r="B2819" t="s">
        <v>11678</v>
      </c>
      <c r="C2819" t="s">
        <v>11679</v>
      </c>
      <c r="D2819">
        <v>678</v>
      </c>
      <c r="E2819" t="s">
        <v>11676</v>
      </c>
      <c r="F2819" t="str">
        <f>VLOOKUP(E2819,country_continent!A:C,2,FALSE)</f>
        <v>Yemen</v>
      </c>
      <c r="G2819" t="str">
        <f>VLOOKUP(E2819,country_continent!A:C,3,FALSE)</f>
        <v>Asia</v>
      </c>
      <c r="H2819" t="s">
        <v>11680</v>
      </c>
      <c r="I2819" s="1">
        <v>17580</v>
      </c>
      <c r="J2819" s="3">
        <f t="shared" ref="J2819:J2882" si="132">IF(ISNUMBER(SEARCH("-", I2819)), SUBSTITUTE(I2819, "-", "/"), I2819)</f>
        <v>17580</v>
      </c>
      <c r="K2819" s="1">
        <v>17605</v>
      </c>
      <c r="L2819" s="3">
        <f t="shared" ref="L2819:L2882" si="133">IF(ISNUMBER(SEARCH("-", K2819)), SUBSTITUTE(K2819, "-", "/"), K2819)</f>
        <v>17605</v>
      </c>
      <c r="M2819" t="s">
        <v>67</v>
      </c>
      <c r="N2819" t="s">
        <v>67</v>
      </c>
      <c r="O2819" t="s">
        <v>433</v>
      </c>
      <c r="P2819">
        <v>0</v>
      </c>
      <c r="Q2819" t="s">
        <v>69</v>
      </c>
      <c r="R2819" t="s">
        <v>51</v>
      </c>
      <c r="S2819">
        <v>1888</v>
      </c>
      <c r="T2819">
        <v>1948</v>
      </c>
      <c r="Z2819">
        <v>1</v>
      </c>
      <c r="AA2819">
        <v>3</v>
      </c>
      <c r="AB2819">
        <v>4</v>
      </c>
      <c r="AC2819">
        <v>3</v>
      </c>
      <c r="AF2819">
        <v>1948</v>
      </c>
      <c r="AG2819">
        <v>1948</v>
      </c>
      <c r="AN2819">
        <v>-6</v>
      </c>
      <c r="AO2819" t="b">
        <v>0</v>
      </c>
      <c r="AT2819">
        <v>25</v>
      </c>
      <c r="AU2819">
        <f t="shared" si="131"/>
        <v>6.8000000000000005E-2</v>
      </c>
    </row>
    <row r="2820" spans="1:47" x14ac:dyDescent="0.3">
      <c r="A2820">
        <v>2818</v>
      </c>
      <c r="B2820" t="s">
        <v>11681</v>
      </c>
      <c r="C2820" t="s">
        <v>11682</v>
      </c>
      <c r="D2820">
        <v>678</v>
      </c>
      <c r="E2820" t="s">
        <v>11676</v>
      </c>
      <c r="F2820" t="str">
        <f>VLOOKUP(E2820,country_continent!A:C,2,FALSE)</f>
        <v>Yemen</v>
      </c>
      <c r="G2820" t="str">
        <f>VLOOKUP(E2820,country_continent!A:C,3,FALSE)</f>
        <v>Asia</v>
      </c>
      <c r="H2820" t="s">
        <v>11683</v>
      </c>
      <c r="I2820" s="1">
        <v>17605</v>
      </c>
      <c r="J2820" s="3">
        <f t="shared" si="132"/>
        <v>17605</v>
      </c>
      <c r="K2820" s="1">
        <v>22907</v>
      </c>
      <c r="L2820" s="3">
        <f t="shared" si="133"/>
        <v>22907</v>
      </c>
      <c r="M2820" t="s">
        <v>67</v>
      </c>
      <c r="N2820" t="s">
        <v>110</v>
      </c>
      <c r="O2820" t="s">
        <v>49</v>
      </c>
      <c r="P2820">
        <v>0</v>
      </c>
      <c r="Q2820" t="s">
        <v>111</v>
      </c>
      <c r="R2820" t="s">
        <v>51</v>
      </c>
      <c r="S2820">
        <v>1891</v>
      </c>
      <c r="T2820">
        <v>1962</v>
      </c>
      <c r="W2820" s="1">
        <v>22907</v>
      </c>
      <c r="X2820" s="2">
        <v>22907</v>
      </c>
      <c r="Z2820">
        <v>1</v>
      </c>
      <c r="AA2820">
        <v>2</v>
      </c>
      <c r="AB2820">
        <v>0</v>
      </c>
      <c r="AC2820">
        <v>-777</v>
      </c>
      <c r="AF2820">
        <v>1948</v>
      </c>
      <c r="AG2820">
        <v>1962</v>
      </c>
      <c r="AK2820">
        <v>422.06666666666598</v>
      </c>
      <c r="AL2820">
        <v>2.2092020954260398</v>
      </c>
      <c r="AN2820">
        <v>-5.6</v>
      </c>
      <c r="AO2820" t="b">
        <v>0</v>
      </c>
      <c r="AT2820">
        <v>5302</v>
      </c>
      <c r="AU2820">
        <f t="shared" ref="AU2820:AU2883" si="134">ROUND(AT2820/365,3)</f>
        <v>14.526</v>
      </c>
    </row>
    <row r="2821" spans="1:47" x14ac:dyDescent="0.3">
      <c r="A2821">
        <v>2819</v>
      </c>
      <c r="B2821" t="s">
        <v>11684</v>
      </c>
      <c r="C2821" t="s">
        <v>11685</v>
      </c>
      <c r="D2821">
        <v>678</v>
      </c>
      <c r="E2821" t="s">
        <v>11676</v>
      </c>
      <c r="F2821" t="str">
        <f>VLOOKUP(E2821,country_continent!A:C,2,FALSE)</f>
        <v>Yemen</v>
      </c>
      <c r="G2821" t="str">
        <f>VLOOKUP(E2821,country_continent!A:C,3,FALSE)</f>
        <v>Asia</v>
      </c>
      <c r="H2821" t="s">
        <v>11686</v>
      </c>
      <c r="I2821" s="1">
        <v>22907</v>
      </c>
      <c r="J2821" s="3">
        <f t="shared" si="132"/>
        <v>22907</v>
      </c>
      <c r="K2821" s="1">
        <v>22916</v>
      </c>
      <c r="L2821" s="3">
        <f t="shared" si="133"/>
        <v>22916</v>
      </c>
      <c r="M2821" t="s">
        <v>67</v>
      </c>
      <c r="N2821" t="s">
        <v>67</v>
      </c>
      <c r="O2821" t="s">
        <v>376</v>
      </c>
      <c r="P2821">
        <v>0</v>
      </c>
      <c r="Q2821" t="s">
        <v>50</v>
      </c>
      <c r="R2821" t="s">
        <v>51</v>
      </c>
      <c r="S2821">
        <v>1928</v>
      </c>
      <c r="T2821">
        <v>1996</v>
      </c>
      <c r="Y2821" t="s">
        <v>11687</v>
      </c>
      <c r="Z2821">
        <v>1</v>
      </c>
      <c r="AA2821">
        <v>3</v>
      </c>
      <c r="AB2821">
        <v>6</v>
      </c>
      <c r="AC2821">
        <v>0</v>
      </c>
      <c r="AF2821">
        <v>1962</v>
      </c>
      <c r="AG2821">
        <v>1962</v>
      </c>
      <c r="AK2821">
        <v>415.3</v>
      </c>
      <c r="AL2821">
        <v>2.2206730564617199</v>
      </c>
      <c r="AN2821">
        <v>0</v>
      </c>
      <c r="AO2821" t="b">
        <v>0</v>
      </c>
      <c r="AT2821">
        <v>9</v>
      </c>
      <c r="AU2821">
        <f t="shared" si="134"/>
        <v>2.5000000000000001E-2</v>
      </c>
    </row>
    <row r="2822" spans="1:47" x14ac:dyDescent="0.3">
      <c r="A2822">
        <v>2820</v>
      </c>
      <c r="B2822" t="s">
        <v>11688</v>
      </c>
      <c r="C2822" t="s">
        <v>11689</v>
      </c>
      <c r="D2822">
        <v>678</v>
      </c>
      <c r="E2822" t="s">
        <v>11676</v>
      </c>
      <c r="F2822" t="str">
        <f>VLOOKUP(E2822,country_continent!A:C,2,FALSE)</f>
        <v>Yemen</v>
      </c>
      <c r="G2822" t="str">
        <f>VLOOKUP(E2822,country_continent!A:C,3,FALSE)</f>
        <v>Asia</v>
      </c>
      <c r="H2822" t="s">
        <v>11690</v>
      </c>
      <c r="I2822" s="1">
        <v>22916</v>
      </c>
      <c r="J2822" s="3">
        <f t="shared" si="132"/>
        <v>22916</v>
      </c>
      <c r="K2822" s="1">
        <v>24781</v>
      </c>
      <c r="L2822" s="3">
        <f t="shared" si="133"/>
        <v>24781</v>
      </c>
      <c r="M2822" t="s">
        <v>67</v>
      </c>
      <c r="N2822" t="s">
        <v>67</v>
      </c>
      <c r="O2822" t="s">
        <v>376</v>
      </c>
      <c r="P2822">
        <v>0</v>
      </c>
      <c r="Q2822" t="s">
        <v>362</v>
      </c>
      <c r="R2822" t="s">
        <v>51</v>
      </c>
      <c r="S2822">
        <v>1917</v>
      </c>
      <c r="T2822">
        <v>1994</v>
      </c>
      <c r="Z2822">
        <v>1</v>
      </c>
      <c r="AA2822">
        <v>3</v>
      </c>
      <c r="AB2822">
        <v>6</v>
      </c>
      <c r="AC2822">
        <v>1</v>
      </c>
      <c r="AF2822">
        <v>1962</v>
      </c>
      <c r="AG2822">
        <v>1967</v>
      </c>
      <c r="AK2822">
        <v>393.51666666666603</v>
      </c>
      <c r="AL2822">
        <v>2.3624615668993898</v>
      </c>
      <c r="AN2822">
        <v>-1</v>
      </c>
      <c r="AO2822" t="b">
        <v>0</v>
      </c>
      <c r="AT2822">
        <v>1865</v>
      </c>
      <c r="AU2822">
        <f t="shared" si="134"/>
        <v>5.1100000000000003</v>
      </c>
    </row>
    <row r="2823" spans="1:47" x14ac:dyDescent="0.3">
      <c r="A2823">
        <v>2821</v>
      </c>
      <c r="B2823" t="s">
        <v>11691</v>
      </c>
      <c r="C2823" t="s">
        <v>11692</v>
      </c>
      <c r="D2823">
        <v>678</v>
      </c>
      <c r="E2823" t="s">
        <v>11676</v>
      </c>
      <c r="F2823" t="str">
        <f>VLOOKUP(E2823,country_continent!A:C,2,FALSE)</f>
        <v>Yemen</v>
      </c>
      <c r="G2823" t="str">
        <f>VLOOKUP(E2823,country_continent!A:C,3,FALSE)</f>
        <v>Asia</v>
      </c>
      <c r="H2823" t="s">
        <v>11693</v>
      </c>
      <c r="I2823" s="1">
        <v>24781</v>
      </c>
      <c r="J2823" s="3">
        <f t="shared" si="132"/>
        <v>24781</v>
      </c>
      <c r="K2823" s="1">
        <v>27193</v>
      </c>
      <c r="L2823" s="3">
        <f t="shared" si="133"/>
        <v>27193</v>
      </c>
      <c r="M2823" t="s">
        <v>67</v>
      </c>
      <c r="N2823" t="s">
        <v>67</v>
      </c>
      <c r="O2823" t="s">
        <v>376</v>
      </c>
      <c r="P2823">
        <v>0</v>
      </c>
      <c r="Q2823" t="s">
        <v>362</v>
      </c>
      <c r="R2823" t="s">
        <v>51</v>
      </c>
      <c r="S2823">
        <v>1917</v>
      </c>
      <c r="T2823">
        <v>1998</v>
      </c>
      <c r="U2823" s="1">
        <v>6409</v>
      </c>
      <c r="V2823" s="2">
        <v>6409</v>
      </c>
      <c r="Z2823">
        <v>1</v>
      </c>
      <c r="AA2823">
        <v>3</v>
      </c>
      <c r="AB2823">
        <v>6</v>
      </c>
      <c r="AC2823">
        <v>1</v>
      </c>
      <c r="AF2823">
        <v>1967</v>
      </c>
      <c r="AG2823">
        <v>1974</v>
      </c>
      <c r="AK2823">
        <v>324.88749999999999</v>
      </c>
      <c r="AL2823">
        <v>2.7220675065786302</v>
      </c>
      <c r="AN2823">
        <v>-3.12</v>
      </c>
      <c r="AO2823" t="b">
        <v>0</v>
      </c>
      <c r="AT2823">
        <v>2412</v>
      </c>
      <c r="AU2823">
        <f t="shared" si="134"/>
        <v>6.6079999999999997</v>
      </c>
    </row>
    <row r="2824" spans="1:47" x14ac:dyDescent="0.3">
      <c r="A2824">
        <v>2822</v>
      </c>
      <c r="B2824" t="s">
        <v>11694</v>
      </c>
      <c r="C2824" t="s">
        <v>11695</v>
      </c>
      <c r="D2824">
        <v>678</v>
      </c>
      <c r="E2824" t="s">
        <v>11676</v>
      </c>
      <c r="F2824" t="str">
        <f>VLOOKUP(E2824,country_continent!A:C,2,FALSE)</f>
        <v>Yemen</v>
      </c>
      <c r="G2824" t="str">
        <f>VLOOKUP(E2824,country_continent!A:C,3,FALSE)</f>
        <v>Asia</v>
      </c>
      <c r="H2824" t="s">
        <v>11696</v>
      </c>
      <c r="I2824" s="1">
        <v>27193</v>
      </c>
      <c r="J2824" s="3">
        <f t="shared" si="132"/>
        <v>27193</v>
      </c>
      <c r="K2824" s="1">
        <v>28409</v>
      </c>
      <c r="L2824" s="3">
        <f t="shared" si="133"/>
        <v>28409</v>
      </c>
      <c r="M2824" t="s">
        <v>67</v>
      </c>
      <c r="N2824" t="s">
        <v>67</v>
      </c>
      <c r="O2824" t="s">
        <v>6580</v>
      </c>
      <c r="P2824">
        <v>0</v>
      </c>
      <c r="Q2824" t="s">
        <v>69</v>
      </c>
      <c r="R2824" t="s">
        <v>51</v>
      </c>
      <c r="S2824">
        <v>1943</v>
      </c>
      <c r="T2824">
        <v>1977</v>
      </c>
      <c r="Z2824">
        <v>1</v>
      </c>
      <c r="AA2824">
        <v>3</v>
      </c>
      <c r="AB2824">
        <v>111</v>
      </c>
      <c r="AC2824">
        <v>3</v>
      </c>
      <c r="AF2824">
        <v>1974</v>
      </c>
      <c r="AG2824">
        <v>1977</v>
      </c>
      <c r="AK2824">
        <v>265.60000000000002</v>
      </c>
      <c r="AL2824">
        <v>2.9918166143331502</v>
      </c>
      <c r="AN2824">
        <v>-4.5</v>
      </c>
      <c r="AO2824" t="b">
        <v>0</v>
      </c>
      <c r="AT2824">
        <v>1216</v>
      </c>
      <c r="AU2824">
        <f t="shared" si="134"/>
        <v>3.3319999999999999</v>
      </c>
    </row>
    <row r="2825" spans="1:47" x14ac:dyDescent="0.3">
      <c r="A2825">
        <v>2823</v>
      </c>
      <c r="B2825" t="s">
        <v>11697</v>
      </c>
      <c r="C2825" t="s">
        <v>11698</v>
      </c>
      <c r="D2825">
        <v>678</v>
      </c>
      <c r="E2825" t="s">
        <v>11676</v>
      </c>
      <c r="F2825" t="str">
        <f>VLOOKUP(E2825,country_continent!A:C,2,FALSE)</f>
        <v>Yemen</v>
      </c>
      <c r="G2825" t="str">
        <f>VLOOKUP(E2825,country_continent!A:C,3,FALSE)</f>
        <v>Asia</v>
      </c>
      <c r="H2825" t="s">
        <v>11699</v>
      </c>
      <c r="I2825" s="1">
        <v>28409</v>
      </c>
      <c r="J2825" s="3">
        <f t="shared" si="132"/>
        <v>28409</v>
      </c>
      <c r="K2825" s="1">
        <v>28665</v>
      </c>
      <c r="L2825" s="3">
        <f t="shared" si="133"/>
        <v>28665</v>
      </c>
      <c r="M2825" t="s">
        <v>49</v>
      </c>
      <c r="N2825" t="s">
        <v>67</v>
      </c>
      <c r="O2825" t="s">
        <v>68</v>
      </c>
      <c r="P2825">
        <v>0</v>
      </c>
      <c r="Q2825" t="s">
        <v>69</v>
      </c>
      <c r="R2825" t="s">
        <v>51</v>
      </c>
      <c r="S2825">
        <v>1939</v>
      </c>
      <c r="T2825">
        <v>1978</v>
      </c>
      <c r="Z2825">
        <v>0</v>
      </c>
      <c r="AA2825">
        <v>3</v>
      </c>
      <c r="AB2825">
        <v>11</v>
      </c>
      <c r="AC2825">
        <v>3</v>
      </c>
      <c r="AF2825">
        <v>1977</v>
      </c>
      <c r="AG2825">
        <v>1978</v>
      </c>
      <c r="AK2825">
        <v>240.7</v>
      </c>
      <c r="AL2825">
        <v>3.1347704709159898</v>
      </c>
      <c r="AN2825">
        <v>-6</v>
      </c>
      <c r="AO2825" t="b">
        <v>0</v>
      </c>
      <c r="AT2825">
        <v>256</v>
      </c>
      <c r="AU2825">
        <f t="shared" si="134"/>
        <v>0.70099999999999996</v>
      </c>
    </row>
    <row r="2826" spans="1:47" x14ac:dyDescent="0.3">
      <c r="A2826">
        <v>2824</v>
      </c>
      <c r="B2826" t="s">
        <v>11700</v>
      </c>
      <c r="C2826" t="s">
        <v>11701</v>
      </c>
      <c r="D2826">
        <v>678</v>
      </c>
      <c r="E2826" t="s">
        <v>11676</v>
      </c>
      <c r="F2826" t="str">
        <f>VLOOKUP(E2826,country_continent!A:C,2,FALSE)</f>
        <v>Yemen</v>
      </c>
      <c r="G2826" t="str">
        <f>VLOOKUP(E2826,country_continent!A:C,3,FALSE)</f>
        <v>Asia</v>
      </c>
      <c r="H2826" t="s">
        <v>11702</v>
      </c>
      <c r="I2826" s="1">
        <v>28688</v>
      </c>
      <c r="J2826" s="3">
        <f t="shared" si="132"/>
        <v>28688</v>
      </c>
      <c r="K2826" s="1">
        <v>40966</v>
      </c>
      <c r="L2826" s="3">
        <f t="shared" si="133"/>
        <v>40966</v>
      </c>
      <c r="M2826" t="s">
        <v>49</v>
      </c>
      <c r="N2826" t="s">
        <v>49</v>
      </c>
      <c r="O2826" t="s">
        <v>49</v>
      </c>
      <c r="P2826">
        <v>0</v>
      </c>
      <c r="Q2826" t="s">
        <v>50</v>
      </c>
      <c r="R2826" t="s">
        <v>51</v>
      </c>
      <c r="S2826">
        <v>1942</v>
      </c>
      <c r="T2826">
        <v>-777</v>
      </c>
      <c r="Z2826">
        <v>0</v>
      </c>
      <c r="AA2826">
        <v>1</v>
      </c>
      <c r="AB2826">
        <v>0</v>
      </c>
      <c r="AC2826">
        <v>0</v>
      </c>
      <c r="AF2826">
        <v>1978</v>
      </c>
      <c r="AG2826">
        <v>2012</v>
      </c>
      <c r="AH2826">
        <v>0.71589690528160199</v>
      </c>
      <c r="AI2826">
        <v>761.42857142857099</v>
      </c>
      <c r="AJ2826">
        <v>15.6984158410718</v>
      </c>
      <c r="AK2826">
        <v>116.917142857142</v>
      </c>
      <c r="AL2826">
        <v>3.40062699068269</v>
      </c>
      <c r="AM2826">
        <v>29.804289337837599</v>
      </c>
      <c r="AN2826">
        <v>-3</v>
      </c>
      <c r="AO2826" t="b">
        <v>0</v>
      </c>
      <c r="AT2826">
        <v>12278</v>
      </c>
      <c r="AU2826">
        <f t="shared" si="134"/>
        <v>33.637999999999998</v>
      </c>
    </row>
    <row r="2827" spans="1:47" x14ac:dyDescent="0.3">
      <c r="A2827">
        <v>2825</v>
      </c>
      <c r="B2827" t="s">
        <v>11703</v>
      </c>
      <c r="C2827" t="s">
        <v>11704</v>
      </c>
      <c r="D2827">
        <v>678</v>
      </c>
      <c r="E2827" t="s">
        <v>11676</v>
      </c>
      <c r="F2827" t="str">
        <f>VLOOKUP(E2827,country_continent!A:C,2,FALSE)</f>
        <v>Yemen</v>
      </c>
      <c r="G2827" t="str">
        <f>VLOOKUP(E2827,country_continent!A:C,3,FALSE)</f>
        <v>Asia</v>
      </c>
      <c r="H2827" t="s">
        <v>11705</v>
      </c>
      <c r="I2827" s="1">
        <v>40966</v>
      </c>
      <c r="J2827" s="3">
        <f t="shared" si="132"/>
        <v>40966</v>
      </c>
      <c r="K2827" s="1">
        <v>42369</v>
      </c>
      <c r="L2827" s="3">
        <f t="shared" si="133"/>
        <v>42369</v>
      </c>
      <c r="M2827" t="s">
        <v>49</v>
      </c>
      <c r="N2827" t="s">
        <v>173</v>
      </c>
      <c r="O2827" t="s">
        <v>173</v>
      </c>
      <c r="P2827">
        <v>0</v>
      </c>
      <c r="Q2827" t="s">
        <v>174</v>
      </c>
      <c r="R2827" t="s">
        <v>51</v>
      </c>
      <c r="S2827">
        <v>1945</v>
      </c>
      <c r="T2827">
        <v>-777</v>
      </c>
      <c r="U2827" s="1">
        <v>16681</v>
      </c>
      <c r="V2827" s="2">
        <v>16681</v>
      </c>
      <c r="Z2827">
        <v>0</v>
      </c>
      <c r="AA2827">
        <v>-888</v>
      </c>
      <c r="AB2827">
        <v>-888</v>
      </c>
      <c r="AC2827">
        <v>-888</v>
      </c>
      <c r="AF2827">
        <v>2012</v>
      </c>
      <c r="AG2827">
        <v>2015</v>
      </c>
      <c r="AH2827">
        <v>-8.0867557302182504</v>
      </c>
      <c r="AI2827">
        <v>1147.5</v>
      </c>
      <c r="AJ2827">
        <v>17.185422848873699</v>
      </c>
      <c r="AK2827">
        <v>49.575000000000003</v>
      </c>
      <c r="AL2827">
        <v>3.04798461686162</v>
      </c>
      <c r="AM2827">
        <v>11.3661841685526</v>
      </c>
      <c r="AN2827">
        <v>1.5</v>
      </c>
      <c r="AO2827" t="b">
        <v>0</v>
      </c>
      <c r="AT2827">
        <v>1403</v>
      </c>
      <c r="AU2827">
        <f t="shared" si="134"/>
        <v>3.8439999999999999</v>
      </c>
    </row>
    <row r="2828" spans="1:47" x14ac:dyDescent="0.3">
      <c r="A2828">
        <v>2826</v>
      </c>
      <c r="B2828" t="s">
        <v>11706</v>
      </c>
      <c r="C2828" t="s">
        <v>11707</v>
      </c>
      <c r="D2828">
        <v>680</v>
      </c>
      <c r="E2828" t="s">
        <v>11708</v>
      </c>
      <c r="F2828" t="str">
        <f>VLOOKUP(E2828,country_continent!A:C,2,FALSE)</f>
        <v>Yemen (People's Republic)</v>
      </c>
      <c r="G2828" t="str">
        <f>VLOOKUP(E2828,country_continent!A:C,3,FALSE)</f>
        <v>Asia</v>
      </c>
      <c r="H2828" t="s">
        <v>11709</v>
      </c>
      <c r="I2828" s="1">
        <v>24806</v>
      </c>
      <c r="J2828" s="3">
        <f t="shared" si="132"/>
        <v>24806</v>
      </c>
      <c r="K2828" s="1">
        <v>25376</v>
      </c>
      <c r="L2828" s="3">
        <f t="shared" si="133"/>
        <v>25376</v>
      </c>
      <c r="M2828" t="s">
        <v>67</v>
      </c>
      <c r="N2828" t="s">
        <v>67</v>
      </c>
      <c r="O2828" t="s">
        <v>2001</v>
      </c>
      <c r="P2828">
        <v>0</v>
      </c>
      <c r="Q2828" t="s">
        <v>463</v>
      </c>
      <c r="R2828" t="s">
        <v>51</v>
      </c>
      <c r="S2828">
        <v>1925</v>
      </c>
      <c r="T2828">
        <v>1976</v>
      </c>
      <c r="Z2828">
        <v>1</v>
      </c>
      <c r="AA2828">
        <v>3</v>
      </c>
      <c r="AB2828">
        <v>8</v>
      </c>
      <c r="AC2828">
        <v>2</v>
      </c>
      <c r="AF2828">
        <v>1967</v>
      </c>
      <c r="AG2828">
        <v>1969</v>
      </c>
      <c r="AO2828" t="b">
        <v>0</v>
      </c>
      <c r="AT2828">
        <v>570</v>
      </c>
      <c r="AU2828">
        <f t="shared" si="134"/>
        <v>1.5620000000000001</v>
      </c>
    </row>
    <row r="2829" spans="1:47" x14ac:dyDescent="0.3">
      <c r="A2829">
        <v>2827</v>
      </c>
      <c r="B2829" t="s">
        <v>11710</v>
      </c>
      <c r="C2829" t="s">
        <v>11711</v>
      </c>
      <c r="D2829">
        <v>680</v>
      </c>
      <c r="E2829" t="s">
        <v>11708</v>
      </c>
      <c r="F2829" t="str">
        <f>VLOOKUP(E2829,country_continent!A:C,2,FALSE)</f>
        <v>Yemen (People's Republic)</v>
      </c>
      <c r="G2829" t="str">
        <f>VLOOKUP(E2829,country_continent!A:C,3,FALSE)</f>
        <v>Asia</v>
      </c>
      <c r="H2829" t="s">
        <v>11712</v>
      </c>
      <c r="I2829" s="1">
        <v>25378</v>
      </c>
      <c r="J2829" s="3">
        <f t="shared" si="132"/>
        <v>25378</v>
      </c>
      <c r="K2829" s="1">
        <v>28667</v>
      </c>
      <c r="L2829" s="3">
        <f t="shared" si="133"/>
        <v>28667</v>
      </c>
      <c r="M2829" t="s">
        <v>49</v>
      </c>
      <c r="N2829" t="s">
        <v>67</v>
      </c>
      <c r="O2829" t="s">
        <v>645</v>
      </c>
      <c r="P2829">
        <v>0</v>
      </c>
      <c r="Q2829" t="s">
        <v>69</v>
      </c>
      <c r="R2829" t="s">
        <v>51</v>
      </c>
      <c r="S2829">
        <v>1934</v>
      </c>
      <c r="T2829">
        <v>1978</v>
      </c>
      <c r="Z2829">
        <v>0</v>
      </c>
      <c r="AA2829">
        <v>3</v>
      </c>
      <c r="AB2829">
        <v>3</v>
      </c>
      <c r="AC2829">
        <v>3</v>
      </c>
      <c r="AF2829">
        <v>1969</v>
      </c>
      <c r="AG2829">
        <v>1978</v>
      </c>
      <c r="AO2829" t="b">
        <v>0</v>
      </c>
      <c r="AT2829">
        <v>3289</v>
      </c>
      <c r="AU2829">
        <f t="shared" si="134"/>
        <v>9.0109999999999992</v>
      </c>
    </row>
    <row r="2830" spans="1:47" x14ac:dyDescent="0.3">
      <c r="A2830">
        <v>2828</v>
      </c>
      <c r="B2830" t="s">
        <v>11713</v>
      </c>
      <c r="C2830" t="s">
        <v>11714</v>
      </c>
      <c r="D2830">
        <v>680</v>
      </c>
      <c r="E2830" t="s">
        <v>11708</v>
      </c>
      <c r="F2830" t="str">
        <f>VLOOKUP(E2830,country_continent!A:C,2,FALSE)</f>
        <v>Yemen (People's Republic)</v>
      </c>
      <c r="G2830" t="str">
        <f>VLOOKUP(E2830,country_continent!A:C,3,FALSE)</f>
        <v>Asia</v>
      </c>
      <c r="H2830" t="s">
        <v>11715</v>
      </c>
      <c r="I2830" s="1">
        <v>28668</v>
      </c>
      <c r="J2830" s="3">
        <f t="shared" si="132"/>
        <v>28668</v>
      </c>
      <c r="K2830" s="1">
        <v>28851</v>
      </c>
      <c r="L2830" s="3">
        <f t="shared" si="133"/>
        <v>28851</v>
      </c>
      <c r="M2830" t="s">
        <v>67</v>
      </c>
      <c r="N2830" t="s">
        <v>49</v>
      </c>
      <c r="O2830" t="s">
        <v>49</v>
      </c>
      <c r="P2830">
        <v>0</v>
      </c>
      <c r="Q2830" t="s">
        <v>50</v>
      </c>
      <c r="R2830" t="s">
        <v>51</v>
      </c>
      <c r="S2830">
        <v>1939</v>
      </c>
      <c r="T2830">
        <v>-777</v>
      </c>
      <c r="Z2830">
        <v>1</v>
      </c>
      <c r="AA2830">
        <v>1</v>
      </c>
      <c r="AB2830">
        <v>0</v>
      </c>
      <c r="AC2830">
        <v>0</v>
      </c>
      <c r="AF2830">
        <v>1978</v>
      </c>
      <c r="AG2830">
        <v>1978</v>
      </c>
      <c r="AO2830" t="b">
        <v>0</v>
      </c>
      <c r="AT2830">
        <v>183</v>
      </c>
      <c r="AU2830">
        <f t="shared" si="134"/>
        <v>0.501</v>
      </c>
    </row>
    <row r="2831" spans="1:47" x14ac:dyDescent="0.3">
      <c r="A2831">
        <v>2829</v>
      </c>
      <c r="B2831" t="s">
        <v>11716</v>
      </c>
      <c r="C2831" t="s">
        <v>11717</v>
      </c>
      <c r="D2831">
        <v>680</v>
      </c>
      <c r="E2831" t="s">
        <v>11708</v>
      </c>
      <c r="F2831" t="str">
        <f>VLOOKUP(E2831,country_continent!A:C,2,FALSE)</f>
        <v>Yemen (People's Republic)</v>
      </c>
      <c r="G2831" t="str">
        <f>VLOOKUP(E2831,country_continent!A:C,3,FALSE)</f>
        <v>Asia</v>
      </c>
      <c r="H2831" t="s">
        <v>11718</v>
      </c>
      <c r="I2831" s="1">
        <v>28851</v>
      </c>
      <c r="J2831" s="3">
        <f t="shared" si="132"/>
        <v>28851</v>
      </c>
      <c r="K2831" s="1">
        <v>29313</v>
      </c>
      <c r="L2831" s="3">
        <f t="shared" si="133"/>
        <v>29313</v>
      </c>
      <c r="M2831" t="s">
        <v>49</v>
      </c>
      <c r="N2831" t="s">
        <v>49</v>
      </c>
      <c r="O2831" t="s">
        <v>49</v>
      </c>
      <c r="P2831">
        <v>0</v>
      </c>
      <c r="Q2831" t="s">
        <v>50</v>
      </c>
      <c r="R2831" t="s">
        <v>51</v>
      </c>
      <c r="S2831">
        <v>1939</v>
      </c>
      <c r="T2831">
        <v>1986</v>
      </c>
      <c r="Z2831">
        <v>0</v>
      </c>
      <c r="AA2831">
        <v>1</v>
      </c>
      <c r="AB2831">
        <v>0</v>
      </c>
      <c r="AC2831">
        <v>0</v>
      </c>
      <c r="AF2831">
        <v>1978</v>
      </c>
      <c r="AG2831">
        <v>1980</v>
      </c>
      <c r="AO2831" t="b">
        <v>0</v>
      </c>
      <c r="AT2831">
        <v>462</v>
      </c>
      <c r="AU2831">
        <f t="shared" si="134"/>
        <v>1.266</v>
      </c>
    </row>
    <row r="2832" spans="1:47" x14ac:dyDescent="0.3">
      <c r="A2832">
        <v>2830</v>
      </c>
      <c r="B2832" t="s">
        <v>11719</v>
      </c>
      <c r="C2832" t="s">
        <v>11714</v>
      </c>
      <c r="D2832">
        <v>680</v>
      </c>
      <c r="E2832" t="s">
        <v>11708</v>
      </c>
      <c r="F2832" t="str">
        <f>VLOOKUP(E2832,country_continent!A:C,2,FALSE)</f>
        <v>Yemen (People's Republic)</v>
      </c>
      <c r="G2832" t="str">
        <f>VLOOKUP(E2832,country_continent!A:C,3,FALSE)</f>
        <v>Asia</v>
      </c>
      <c r="H2832" t="s">
        <v>11715</v>
      </c>
      <c r="I2832" s="1">
        <v>29313</v>
      </c>
      <c r="J2832" s="3">
        <f t="shared" si="132"/>
        <v>29313</v>
      </c>
      <c r="K2832" s="1">
        <v>31436</v>
      </c>
      <c r="L2832" s="3">
        <f t="shared" si="133"/>
        <v>31436</v>
      </c>
      <c r="M2832" t="s">
        <v>49</v>
      </c>
      <c r="N2832" t="s">
        <v>67</v>
      </c>
      <c r="O2832" t="s">
        <v>2001</v>
      </c>
      <c r="P2832">
        <v>1</v>
      </c>
      <c r="Q2832" t="s">
        <v>362</v>
      </c>
      <c r="R2832" t="s">
        <v>51</v>
      </c>
      <c r="S2832">
        <v>1939</v>
      </c>
      <c r="T2832">
        <v>-777</v>
      </c>
      <c r="Z2832">
        <v>0</v>
      </c>
      <c r="AA2832">
        <v>3</v>
      </c>
      <c r="AB2832">
        <v>8</v>
      </c>
      <c r="AC2832">
        <v>1</v>
      </c>
      <c r="AF2832">
        <v>1980</v>
      </c>
      <c r="AG2832">
        <v>1986</v>
      </c>
      <c r="AO2832" t="b">
        <v>0</v>
      </c>
      <c r="AT2832">
        <v>2123</v>
      </c>
      <c r="AU2832">
        <f t="shared" si="134"/>
        <v>5.8159999999999998</v>
      </c>
    </row>
    <row r="2833" spans="1:47" x14ac:dyDescent="0.3">
      <c r="A2833">
        <v>2831</v>
      </c>
      <c r="B2833" t="s">
        <v>11720</v>
      </c>
      <c r="C2833" t="s">
        <v>11721</v>
      </c>
      <c r="D2833">
        <v>680</v>
      </c>
      <c r="E2833" t="s">
        <v>11708</v>
      </c>
      <c r="F2833" t="str">
        <f>VLOOKUP(E2833,country_continent!A:C,2,FALSE)</f>
        <v>Yemen (People's Republic)</v>
      </c>
      <c r="G2833" t="str">
        <f>VLOOKUP(E2833,country_continent!A:C,3,FALSE)</f>
        <v>Asia</v>
      </c>
      <c r="H2833" t="s">
        <v>11722</v>
      </c>
      <c r="I2833" s="1">
        <v>31436</v>
      </c>
      <c r="J2833" s="3">
        <f t="shared" si="132"/>
        <v>31436</v>
      </c>
      <c r="K2833" s="1">
        <v>33015</v>
      </c>
      <c r="L2833" s="3">
        <f t="shared" si="133"/>
        <v>33015</v>
      </c>
      <c r="M2833" t="s">
        <v>67</v>
      </c>
      <c r="N2833" t="s">
        <v>49</v>
      </c>
      <c r="O2833" t="s">
        <v>49</v>
      </c>
      <c r="P2833">
        <v>0</v>
      </c>
      <c r="Q2833" t="s">
        <v>50</v>
      </c>
      <c r="R2833" t="s">
        <v>51</v>
      </c>
      <c r="S2833">
        <v>1939</v>
      </c>
      <c r="T2833">
        <v>-777</v>
      </c>
      <c r="Z2833">
        <v>1</v>
      </c>
      <c r="AA2833">
        <v>1</v>
      </c>
      <c r="AB2833">
        <v>0</v>
      </c>
      <c r="AC2833">
        <v>0</v>
      </c>
      <c r="AF2833">
        <v>1986</v>
      </c>
      <c r="AG2833">
        <v>1990</v>
      </c>
      <c r="AO2833" t="b">
        <v>0</v>
      </c>
      <c r="AT2833">
        <v>1579</v>
      </c>
      <c r="AU2833">
        <f t="shared" si="134"/>
        <v>4.3259999999999996</v>
      </c>
    </row>
    <row r="2834" spans="1:47" x14ac:dyDescent="0.3">
      <c r="A2834">
        <v>2832</v>
      </c>
      <c r="B2834" t="s">
        <v>11723</v>
      </c>
      <c r="C2834" t="s">
        <v>11724</v>
      </c>
      <c r="D2834">
        <v>690</v>
      </c>
      <c r="E2834" t="s">
        <v>11725</v>
      </c>
      <c r="F2834" t="str">
        <f>VLOOKUP(E2834,country_continent!A:C,2,FALSE)</f>
        <v>Kuwait</v>
      </c>
      <c r="G2834" t="str">
        <f>VLOOKUP(E2834,country_continent!A:C,3,FALSE)</f>
        <v>Asia</v>
      </c>
      <c r="H2834" t="s">
        <v>11726</v>
      </c>
      <c r="I2834" s="1">
        <v>18292</v>
      </c>
      <c r="J2834" s="3">
        <f t="shared" si="132"/>
        <v>18292</v>
      </c>
      <c r="K2834" s="1">
        <v>24070</v>
      </c>
      <c r="L2834" s="3">
        <f t="shared" si="133"/>
        <v>24070</v>
      </c>
      <c r="M2834" t="s">
        <v>49</v>
      </c>
      <c r="N2834" t="s">
        <v>110</v>
      </c>
      <c r="O2834" t="s">
        <v>49</v>
      </c>
      <c r="P2834">
        <v>0</v>
      </c>
      <c r="Q2834" t="s">
        <v>111</v>
      </c>
      <c r="R2834" t="s">
        <v>51</v>
      </c>
      <c r="S2834">
        <v>1895</v>
      </c>
      <c r="T2834">
        <v>1965</v>
      </c>
      <c r="W2834" s="1">
        <v>24070</v>
      </c>
      <c r="X2834" s="2">
        <v>24070</v>
      </c>
      <c r="Z2834">
        <v>0</v>
      </c>
      <c r="AA2834">
        <v>2</v>
      </c>
      <c r="AB2834">
        <v>0</v>
      </c>
      <c r="AC2834">
        <v>-777</v>
      </c>
      <c r="AF2834">
        <v>1950</v>
      </c>
      <c r="AG2834">
        <v>1965</v>
      </c>
      <c r="AO2834" t="b">
        <v>0</v>
      </c>
      <c r="AT2834">
        <v>5778</v>
      </c>
      <c r="AU2834">
        <f t="shared" si="134"/>
        <v>15.83</v>
      </c>
    </row>
    <row r="2835" spans="1:47" x14ac:dyDescent="0.3">
      <c r="A2835">
        <v>2833</v>
      </c>
      <c r="B2835" t="s">
        <v>11727</v>
      </c>
      <c r="C2835" t="s">
        <v>11728</v>
      </c>
      <c r="D2835">
        <v>690</v>
      </c>
      <c r="E2835" t="s">
        <v>11725</v>
      </c>
      <c r="F2835" t="str">
        <f>VLOOKUP(E2835,country_continent!A:C,2,FALSE)</f>
        <v>Kuwait</v>
      </c>
      <c r="G2835" t="str">
        <f>VLOOKUP(E2835,country_continent!A:C,3,FALSE)</f>
        <v>Asia</v>
      </c>
      <c r="H2835" t="s">
        <v>11729</v>
      </c>
      <c r="I2835" s="1">
        <v>24070</v>
      </c>
      <c r="J2835" s="3">
        <f t="shared" si="132"/>
        <v>24070</v>
      </c>
      <c r="K2835" s="1">
        <v>28490</v>
      </c>
      <c r="L2835" s="3">
        <f t="shared" si="133"/>
        <v>28490</v>
      </c>
      <c r="M2835" t="s">
        <v>49</v>
      </c>
      <c r="N2835" t="s">
        <v>110</v>
      </c>
      <c r="O2835" t="s">
        <v>49</v>
      </c>
      <c r="P2835">
        <v>0</v>
      </c>
      <c r="Q2835" t="s">
        <v>111</v>
      </c>
      <c r="R2835" t="s">
        <v>51</v>
      </c>
      <c r="S2835">
        <v>1913</v>
      </c>
      <c r="T2835">
        <v>1977</v>
      </c>
      <c r="W2835" s="1">
        <v>28490</v>
      </c>
      <c r="X2835" s="2">
        <v>28490</v>
      </c>
      <c r="Z2835">
        <v>0</v>
      </c>
      <c r="AA2835">
        <v>2</v>
      </c>
      <c r="AB2835">
        <v>0</v>
      </c>
      <c r="AC2835">
        <v>-777</v>
      </c>
      <c r="AF2835">
        <v>1965</v>
      </c>
      <c r="AG2835">
        <v>1977</v>
      </c>
      <c r="AO2835" t="b">
        <v>0</v>
      </c>
      <c r="AT2835">
        <v>4420</v>
      </c>
      <c r="AU2835">
        <f t="shared" si="134"/>
        <v>12.11</v>
      </c>
    </row>
    <row r="2836" spans="1:47" x14ac:dyDescent="0.3">
      <c r="A2836">
        <v>2834</v>
      </c>
      <c r="B2836" t="s">
        <v>11730</v>
      </c>
      <c r="C2836" t="s">
        <v>11731</v>
      </c>
      <c r="D2836">
        <v>690</v>
      </c>
      <c r="E2836" t="s">
        <v>11725</v>
      </c>
      <c r="F2836" t="str">
        <f>VLOOKUP(E2836,country_continent!A:C,2,FALSE)</f>
        <v>Kuwait</v>
      </c>
      <c r="G2836" t="str">
        <f>VLOOKUP(E2836,country_continent!A:C,3,FALSE)</f>
        <v>Asia</v>
      </c>
      <c r="H2836" t="s">
        <v>11732</v>
      </c>
      <c r="I2836" s="1">
        <v>28491</v>
      </c>
      <c r="J2836" s="3">
        <f t="shared" si="132"/>
        <v>28491</v>
      </c>
      <c r="K2836" s="1">
        <v>33087</v>
      </c>
      <c r="L2836" s="3">
        <f t="shared" si="133"/>
        <v>33087</v>
      </c>
      <c r="M2836" t="s">
        <v>49</v>
      </c>
      <c r="N2836" t="s">
        <v>633</v>
      </c>
      <c r="O2836" t="s">
        <v>634</v>
      </c>
      <c r="P2836">
        <v>0</v>
      </c>
      <c r="Q2836" t="s">
        <v>362</v>
      </c>
      <c r="R2836" t="s">
        <v>51</v>
      </c>
      <c r="S2836">
        <v>1926</v>
      </c>
      <c r="T2836">
        <v>2006</v>
      </c>
      <c r="U2836" s="1">
        <v>9677</v>
      </c>
      <c r="V2836" s="2">
        <v>9677</v>
      </c>
      <c r="Z2836">
        <v>0</v>
      </c>
      <c r="AA2836">
        <v>4</v>
      </c>
      <c r="AB2836">
        <v>9</v>
      </c>
      <c r="AC2836">
        <v>1</v>
      </c>
      <c r="AF2836">
        <v>1978</v>
      </c>
      <c r="AG2836">
        <v>1990</v>
      </c>
      <c r="AO2836" t="b">
        <v>0</v>
      </c>
      <c r="AT2836">
        <v>4596</v>
      </c>
      <c r="AU2836">
        <f t="shared" si="134"/>
        <v>12.592000000000001</v>
      </c>
    </row>
    <row r="2837" spans="1:47" x14ac:dyDescent="0.3">
      <c r="A2837">
        <v>2835</v>
      </c>
      <c r="B2837" t="s">
        <v>11733</v>
      </c>
      <c r="C2837" t="s">
        <v>11734</v>
      </c>
      <c r="D2837">
        <v>690</v>
      </c>
      <c r="E2837" t="s">
        <v>11725</v>
      </c>
      <c r="F2837" t="str">
        <f>VLOOKUP(E2837,country_continent!A:C,2,FALSE)</f>
        <v>Kuwait</v>
      </c>
      <c r="G2837" t="str">
        <f>VLOOKUP(E2837,country_continent!A:C,3,FALSE)</f>
        <v>Asia</v>
      </c>
      <c r="H2837" t="s">
        <v>11329</v>
      </c>
      <c r="I2837" s="1">
        <v>33087</v>
      </c>
      <c r="J2837" s="3">
        <f t="shared" si="132"/>
        <v>33087</v>
      </c>
      <c r="K2837" s="1">
        <v>33348</v>
      </c>
      <c r="L2837" s="3">
        <f t="shared" si="133"/>
        <v>33348</v>
      </c>
      <c r="M2837" t="s">
        <v>637</v>
      </c>
      <c r="N2837" t="s">
        <v>633</v>
      </c>
      <c r="O2837" t="s">
        <v>634</v>
      </c>
      <c r="P2837">
        <v>0</v>
      </c>
      <c r="Q2837" t="s">
        <v>50</v>
      </c>
      <c r="R2837" t="s">
        <v>51</v>
      </c>
      <c r="S2837">
        <v>1937</v>
      </c>
      <c r="T2837">
        <v>2006</v>
      </c>
      <c r="U2837" s="1">
        <v>13633</v>
      </c>
      <c r="V2837" s="2">
        <v>13633</v>
      </c>
      <c r="W2837" s="1">
        <v>39081</v>
      </c>
      <c r="X2837" s="2">
        <v>39081</v>
      </c>
      <c r="Y2837" t="s">
        <v>11330</v>
      </c>
      <c r="Z2837">
        <v>2</v>
      </c>
      <c r="AA2837">
        <v>4</v>
      </c>
      <c r="AB2837">
        <v>9</v>
      </c>
      <c r="AC2837">
        <v>0</v>
      </c>
      <c r="AF2837">
        <v>1990</v>
      </c>
      <c r="AG2837">
        <v>1991</v>
      </c>
      <c r="AO2837" t="b">
        <v>0</v>
      </c>
      <c r="AT2837">
        <v>261</v>
      </c>
      <c r="AU2837">
        <f t="shared" si="134"/>
        <v>0.71499999999999997</v>
      </c>
    </row>
    <row r="2838" spans="1:47" x14ac:dyDescent="0.3">
      <c r="A2838">
        <v>2836</v>
      </c>
      <c r="B2838" t="s">
        <v>11735</v>
      </c>
      <c r="C2838" t="s">
        <v>11731</v>
      </c>
      <c r="D2838">
        <v>690</v>
      </c>
      <c r="E2838" t="s">
        <v>11725</v>
      </c>
      <c r="F2838" t="str">
        <f>VLOOKUP(E2838,country_continent!A:C,2,FALSE)</f>
        <v>Kuwait</v>
      </c>
      <c r="G2838" t="str">
        <f>VLOOKUP(E2838,country_continent!A:C,3,FALSE)</f>
        <v>Asia</v>
      </c>
      <c r="H2838" t="s">
        <v>11732</v>
      </c>
      <c r="I2838" s="1">
        <v>33348</v>
      </c>
      <c r="J2838" s="3">
        <f t="shared" si="132"/>
        <v>33348</v>
      </c>
      <c r="K2838" s="1">
        <v>38732</v>
      </c>
      <c r="L2838" s="3">
        <f t="shared" si="133"/>
        <v>38732</v>
      </c>
      <c r="M2838" t="s">
        <v>637</v>
      </c>
      <c r="N2838" t="s">
        <v>110</v>
      </c>
      <c r="O2838" t="s">
        <v>49</v>
      </c>
      <c r="P2838">
        <v>1</v>
      </c>
      <c r="Q2838" t="s">
        <v>111</v>
      </c>
      <c r="R2838" t="s">
        <v>51</v>
      </c>
      <c r="S2838">
        <v>1926</v>
      </c>
      <c r="T2838">
        <v>2006</v>
      </c>
      <c r="U2838" s="1">
        <v>9677</v>
      </c>
      <c r="V2838" s="2">
        <v>9677</v>
      </c>
      <c r="Z2838">
        <v>2</v>
      </c>
      <c r="AA2838">
        <v>2</v>
      </c>
      <c r="AB2838">
        <v>0</v>
      </c>
      <c r="AC2838">
        <v>-777</v>
      </c>
      <c r="AF2838">
        <v>1991</v>
      </c>
      <c r="AG2838">
        <v>2006</v>
      </c>
      <c r="AO2838" t="b">
        <v>0</v>
      </c>
      <c r="AT2838">
        <v>5384</v>
      </c>
      <c r="AU2838">
        <f t="shared" si="134"/>
        <v>14.750999999999999</v>
      </c>
    </row>
    <row r="2839" spans="1:47" x14ac:dyDescent="0.3">
      <c r="A2839">
        <v>2837</v>
      </c>
      <c r="B2839" t="s">
        <v>11736</v>
      </c>
      <c r="C2839" t="s">
        <v>11737</v>
      </c>
      <c r="D2839">
        <v>690</v>
      </c>
      <c r="E2839" t="s">
        <v>11725</v>
      </c>
      <c r="F2839" t="str">
        <f>VLOOKUP(E2839,country_continent!A:C,2,FALSE)</f>
        <v>Kuwait</v>
      </c>
      <c r="G2839" t="str">
        <f>VLOOKUP(E2839,country_continent!A:C,3,FALSE)</f>
        <v>Asia</v>
      </c>
      <c r="H2839" t="s">
        <v>11738</v>
      </c>
      <c r="I2839" s="1">
        <v>38732</v>
      </c>
      <c r="J2839" s="3">
        <f t="shared" si="132"/>
        <v>38732</v>
      </c>
      <c r="K2839" s="1">
        <v>38741</v>
      </c>
      <c r="L2839" s="3">
        <f t="shared" si="133"/>
        <v>38741</v>
      </c>
      <c r="M2839" t="s">
        <v>49</v>
      </c>
      <c r="N2839" t="s">
        <v>49</v>
      </c>
      <c r="O2839" t="s">
        <v>49</v>
      </c>
      <c r="P2839">
        <v>0</v>
      </c>
      <c r="Q2839" t="s">
        <v>50</v>
      </c>
      <c r="R2839" t="s">
        <v>51</v>
      </c>
      <c r="S2839">
        <v>1929</v>
      </c>
      <c r="T2839">
        <v>2008</v>
      </c>
      <c r="W2839" s="1">
        <v>39581</v>
      </c>
      <c r="X2839" s="2">
        <v>39581</v>
      </c>
      <c r="Z2839">
        <v>0</v>
      </c>
      <c r="AA2839">
        <v>1</v>
      </c>
      <c r="AB2839">
        <v>0</v>
      </c>
      <c r="AC2839">
        <v>0</v>
      </c>
      <c r="AF2839">
        <v>2006</v>
      </c>
      <c r="AG2839">
        <v>2006</v>
      </c>
      <c r="AO2839" t="b">
        <v>0</v>
      </c>
      <c r="AT2839">
        <v>9</v>
      </c>
      <c r="AU2839">
        <f t="shared" si="134"/>
        <v>2.5000000000000001E-2</v>
      </c>
    </row>
    <row r="2840" spans="1:47" x14ac:dyDescent="0.3">
      <c r="A2840">
        <v>2838</v>
      </c>
      <c r="B2840" t="s">
        <v>11739</v>
      </c>
      <c r="C2840" t="s">
        <v>11740</v>
      </c>
      <c r="D2840">
        <v>690</v>
      </c>
      <c r="E2840" t="s">
        <v>11725</v>
      </c>
      <c r="F2840" t="str">
        <f>VLOOKUP(E2840,country_continent!A:C,2,FALSE)</f>
        <v>Kuwait</v>
      </c>
      <c r="G2840" t="str">
        <f>VLOOKUP(E2840,country_continent!A:C,3,FALSE)</f>
        <v>Asia</v>
      </c>
      <c r="H2840" t="s">
        <v>11741</v>
      </c>
      <c r="I2840" s="1">
        <v>38746</v>
      </c>
      <c r="J2840" s="3">
        <f t="shared" si="132"/>
        <v>38746</v>
      </c>
      <c r="K2840" s="1">
        <v>42369</v>
      </c>
      <c r="L2840" s="3">
        <f t="shared" si="133"/>
        <v>42369</v>
      </c>
      <c r="M2840" t="s">
        <v>49</v>
      </c>
      <c r="N2840" t="s">
        <v>173</v>
      </c>
      <c r="O2840" t="s">
        <v>173</v>
      </c>
      <c r="P2840">
        <v>0</v>
      </c>
      <c r="Q2840" t="s">
        <v>174</v>
      </c>
      <c r="R2840" t="s">
        <v>51</v>
      </c>
      <c r="S2840">
        <v>1942</v>
      </c>
      <c r="T2840">
        <v>-777</v>
      </c>
      <c r="U2840" s="1">
        <v>15346</v>
      </c>
      <c r="V2840" s="2">
        <v>15346</v>
      </c>
      <c r="Z2840">
        <v>0</v>
      </c>
      <c r="AA2840">
        <v>-888</v>
      </c>
      <c r="AB2840">
        <v>-888</v>
      </c>
      <c r="AC2840">
        <v>-888</v>
      </c>
      <c r="AF2840">
        <v>2006</v>
      </c>
      <c r="AG2840">
        <v>2015</v>
      </c>
      <c r="AO2840" t="b">
        <v>0</v>
      </c>
      <c r="AT2840">
        <v>3623</v>
      </c>
      <c r="AU2840">
        <f t="shared" si="134"/>
        <v>9.9260000000000002</v>
      </c>
    </row>
    <row r="2841" spans="1:47" x14ac:dyDescent="0.3">
      <c r="A2841">
        <v>2839</v>
      </c>
      <c r="B2841" t="s">
        <v>11742</v>
      </c>
      <c r="C2841" t="s">
        <v>11743</v>
      </c>
      <c r="D2841">
        <v>692</v>
      </c>
      <c r="E2841" t="s">
        <v>11744</v>
      </c>
      <c r="F2841" t="str">
        <f>VLOOKUP(E2841,country_continent!A:C,2,FALSE)</f>
        <v>Bahrain</v>
      </c>
      <c r="G2841" t="str">
        <f>VLOOKUP(E2841,country_continent!A:C,3,FALSE)</f>
        <v>Asia</v>
      </c>
      <c r="H2841" t="s">
        <v>11745</v>
      </c>
      <c r="I2841" s="1">
        <v>26160</v>
      </c>
      <c r="J2841" s="3">
        <f t="shared" si="132"/>
        <v>26160</v>
      </c>
      <c r="K2841" s="1">
        <v>36225</v>
      </c>
      <c r="L2841" s="3">
        <f t="shared" si="133"/>
        <v>36225</v>
      </c>
      <c r="M2841" t="s">
        <v>49</v>
      </c>
      <c r="N2841" t="s">
        <v>110</v>
      </c>
      <c r="O2841" t="s">
        <v>49</v>
      </c>
      <c r="P2841">
        <v>0</v>
      </c>
      <c r="Q2841" t="s">
        <v>111</v>
      </c>
      <c r="R2841" t="s">
        <v>51</v>
      </c>
      <c r="S2841">
        <v>1933</v>
      </c>
      <c r="T2841">
        <v>1999</v>
      </c>
      <c r="U2841" s="1">
        <v>12238</v>
      </c>
      <c r="V2841" s="2">
        <v>12238</v>
      </c>
      <c r="W2841" s="1">
        <v>36225</v>
      </c>
      <c r="X2841" s="2">
        <v>36225</v>
      </c>
      <c r="Z2841">
        <v>0</v>
      </c>
      <c r="AA2841">
        <v>2</v>
      </c>
      <c r="AB2841">
        <v>0</v>
      </c>
      <c r="AC2841">
        <v>-777</v>
      </c>
      <c r="AF2841">
        <v>1971</v>
      </c>
      <c r="AG2841">
        <v>1999</v>
      </c>
      <c r="AO2841" t="b">
        <v>0</v>
      </c>
      <c r="AT2841">
        <v>10065</v>
      </c>
      <c r="AU2841">
        <f t="shared" si="134"/>
        <v>27.574999999999999</v>
      </c>
    </row>
    <row r="2842" spans="1:47" x14ac:dyDescent="0.3">
      <c r="A2842">
        <v>2840</v>
      </c>
      <c r="B2842" t="s">
        <v>11746</v>
      </c>
      <c r="C2842" t="s">
        <v>11747</v>
      </c>
      <c r="D2842">
        <v>692</v>
      </c>
      <c r="E2842" t="s">
        <v>11744</v>
      </c>
      <c r="F2842" t="str">
        <f>VLOOKUP(E2842,country_continent!A:C,2,FALSE)</f>
        <v>Bahrain</v>
      </c>
      <c r="G2842" t="str">
        <f>VLOOKUP(E2842,country_continent!A:C,3,FALSE)</f>
        <v>Asia</v>
      </c>
      <c r="H2842" t="s">
        <v>11748</v>
      </c>
      <c r="I2842" s="1">
        <v>36225</v>
      </c>
      <c r="J2842" s="3">
        <f t="shared" si="132"/>
        <v>36225</v>
      </c>
      <c r="K2842" s="1">
        <v>42369</v>
      </c>
      <c r="L2842" s="3">
        <f t="shared" si="133"/>
        <v>42369</v>
      </c>
      <c r="M2842" t="s">
        <v>49</v>
      </c>
      <c r="N2842" t="s">
        <v>173</v>
      </c>
      <c r="O2842" t="s">
        <v>173</v>
      </c>
      <c r="P2842">
        <v>0</v>
      </c>
      <c r="Q2842" t="s">
        <v>174</v>
      </c>
      <c r="R2842" t="s">
        <v>51</v>
      </c>
      <c r="S2842">
        <v>1950</v>
      </c>
      <c r="T2842">
        <v>-777</v>
      </c>
      <c r="U2842" s="1">
        <v>18291</v>
      </c>
      <c r="V2842" s="2">
        <v>18291</v>
      </c>
      <c r="Z2842">
        <v>0</v>
      </c>
      <c r="AA2842">
        <v>-888</v>
      </c>
      <c r="AB2842">
        <v>-888</v>
      </c>
      <c r="AC2842">
        <v>-888</v>
      </c>
      <c r="AF2842">
        <v>1999</v>
      </c>
      <c r="AG2842">
        <v>2015</v>
      </c>
      <c r="AO2842" t="b">
        <v>0</v>
      </c>
      <c r="AT2842">
        <v>6144</v>
      </c>
      <c r="AU2842">
        <f t="shared" si="134"/>
        <v>16.832999999999998</v>
      </c>
    </row>
    <row r="2843" spans="1:47" x14ac:dyDescent="0.3">
      <c r="A2843">
        <v>2841</v>
      </c>
      <c r="B2843" t="s">
        <v>11749</v>
      </c>
      <c r="C2843" t="s">
        <v>11750</v>
      </c>
      <c r="D2843">
        <v>694</v>
      </c>
      <c r="E2843" t="s">
        <v>11751</v>
      </c>
      <c r="F2843" t="str">
        <f>VLOOKUP(E2843,country_continent!A:C,2,FALSE)</f>
        <v>Qatar</v>
      </c>
      <c r="G2843" t="str">
        <f>VLOOKUP(E2843,country_continent!A:C,3,FALSE)</f>
        <v>Asia</v>
      </c>
      <c r="H2843" t="s">
        <v>11752</v>
      </c>
      <c r="I2843" s="1">
        <v>26179</v>
      </c>
      <c r="J2843" s="3">
        <f t="shared" si="132"/>
        <v>26179</v>
      </c>
      <c r="K2843" s="1">
        <v>26351</v>
      </c>
      <c r="L2843" s="3">
        <f t="shared" si="133"/>
        <v>26351</v>
      </c>
      <c r="M2843" t="s">
        <v>49</v>
      </c>
      <c r="N2843" t="s">
        <v>67</v>
      </c>
      <c r="O2843" t="s">
        <v>2001</v>
      </c>
      <c r="P2843">
        <v>0</v>
      </c>
      <c r="Q2843" t="s">
        <v>362</v>
      </c>
      <c r="R2843" t="s">
        <v>51</v>
      </c>
      <c r="S2843">
        <v>1917</v>
      </c>
      <c r="T2843">
        <v>1977</v>
      </c>
      <c r="Z2843">
        <v>0</v>
      </c>
      <c r="AA2843">
        <v>3</v>
      </c>
      <c r="AB2843">
        <v>8</v>
      </c>
      <c r="AC2843">
        <v>1</v>
      </c>
      <c r="AF2843">
        <v>1971</v>
      </c>
      <c r="AG2843">
        <v>1972</v>
      </c>
      <c r="AH2843">
        <v>-1.48335325243218</v>
      </c>
      <c r="AI2843">
        <v>2780</v>
      </c>
      <c r="AJ2843">
        <v>12.944695311834201</v>
      </c>
      <c r="AK2843">
        <v>59.65</v>
      </c>
      <c r="AL2843">
        <v>11.523174675078099</v>
      </c>
      <c r="AM2843">
        <v>48.6219505781037</v>
      </c>
      <c r="AN2843">
        <v>-10</v>
      </c>
      <c r="AO2843" t="b">
        <v>0</v>
      </c>
      <c r="AT2843">
        <v>172</v>
      </c>
      <c r="AU2843">
        <f t="shared" si="134"/>
        <v>0.47099999999999997</v>
      </c>
    </row>
    <row r="2844" spans="1:47" x14ac:dyDescent="0.3">
      <c r="A2844">
        <v>2842</v>
      </c>
      <c r="B2844" t="s">
        <v>11753</v>
      </c>
      <c r="C2844" t="s">
        <v>11754</v>
      </c>
      <c r="D2844">
        <v>694</v>
      </c>
      <c r="E2844" t="s">
        <v>11751</v>
      </c>
      <c r="F2844" t="str">
        <f>VLOOKUP(E2844,country_continent!A:C,2,FALSE)</f>
        <v>Qatar</v>
      </c>
      <c r="G2844" t="str">
        <f>VLOOKUP(E2844,country_continent!A:C,3,FALSE)</f>
        <v>Asia</v>
      </c>
      <c r="H2844" t="s">
        <v>11755</v>
      </c>
      <c r="I2844" s="1">
        <v>26351</v>
      </c>
      <c r="J2844" s="3">
        <f t="shared" si="132"/>
        <v>26351</v>
      </c>
      <c r="K2844" s="1">
        <v>34877</v>
      </c>
      <c r="L2844" s="3">
        <f t="shared" si="133"/>
        <v>34877</v>
      </c>
      <c r="M2844" t="s">
        <v>67</v>
      </c>
      <c r="N2844" t="s">
        <v>67</v>
      </c>
      <c r="O2844" t="s">
        <v>2001</v>
      </c>
      <c r="P2844">
        <v>0</v>
      </c>
      <c r="Q2844" t="s">
        <v>362</v>
      </c>
      <c r="R2844" t="s">
        <v>51</v>
      </c>
      <c r="S2844">
        <v>1932</v>
      </c>
      <c r="T2844">
        <v>-777</v>
      </c>
      <c r="Z2844">
        <v>1</v>
      </c>
      <c r="AA2844">
        <v>3</v>
      </c>
      <c r="AB2844">
        <v>8</v>
      </c>
      <c r="AC2844">
        <v>1</v>
      </c>
      <c r="AF2844">
        <v>1972</v>
      </c>
      <c r="AG2844">
        <v>1995</v>
      </c>
      <c r="AH2844">
        <v>-2.5599958597799901</v>
      </c>
      <c r="AI2844">
        <v>16545.416666666599</v>
      </c>
      <c r="AJ2844">
        <v>12.783397629270199</v>
      </c>
      <c r="AK2844">
        <v>32.212499999999999</v>
      </c>
      <c r="AL2844">
        <v>5.6875845778360299</v>
      </c>
      <c r="AM2844">
        <v>46.076583975276698</v>
      </c>
      <c r="AN2844">
        <v>-10</v>
      </c>
      <c r="AO2844" t="b">
        <v>0</v>
      </c>
      <c r="AT2844">
        <v>8526</v>
      </c>
      <c r="AU2844">
        <f t="shared" si="134"/>
        <v>23.359000000000002</v>
      </c>
    </row>
    <row r="2845" spans="1:47" x14ac:dyDescent="0.3">
      <c r="A2845">
        <v>2843</v>
      </c>
      <c r="B2845" t="s">
        <v>11756</v>
      </c>
      <c r="C2845" t="s">
        <v>11757</v>
      </c>
      <c r="D2845">
        <v>694</v>
      </c>
      <c r="E2845" t="s">
        <v>11751</v>
      </c>
      <c r="F2845" t="str">
        <f>VLOOKUP(E2845,country_continent!A:C,2,FALSE)</f>
        <v>Qatar</v>
      </c>
      <c r="G2845" t="str">
        <f>VLOOKUP(E2845,country_continent!A:C,3,FALSE)</f>
        <v>Asia</v>
      </c>
      <c r="H2845" t="s">
        <v>11758</v>
      </c>
      <c r="I2845" s="1">
        <v>34877</v>
      </c>
      <c r="J2845" s="3">
        <f t="shared" si="132"/>
        <v>34877</v>
      </c>
      <c r="K2845" s="1">
        <v>41450</v>
      </c>
      <c r="L2845" s="3">
        <f t="shared" si="133"/>
        <v>41450</v>
      </c>
      <c r="M2845" t="s">
        <v>67</v>
      </c>
      <c r="N2845" t="s">
        <v>49</v>
      </c>
      <c r="O2845" t="s">
        <v>49</v>
      </c>
      <c r="P2845">
        <v>0</v>
      </c>
      <c r="Q2845" t="s">
        <v>50</v>
      </c>
      <c r="R2845" t="s">
        <v>51</v>
      </c>
      <c r="S2845">
        <v>1952</v>
      </c>
      <c r="T2845">
        <v>-777</v>
      </c>
      <c r="Z2845">
        <v>1</v>
      </c>
      <c r="AA2845">
        <v>1</v>
      </c>
      <c r="AB2845">
        <v>0</v>
      </c>
      <c r="AC2845">
        <v>0</v>
      </c>
      <c r="AF2845">
        <v>1995</v>
      </c>
      <c r="AG2845">
        <v>2013</v>
      </c>
      <c r="AH2845">
        <v>3.9366987283339201</v>
      </c>
      <c r="AI2845">
        <v>44882.105263157799</v>
      </c>
      <c r="AJ2845">
        <v>7.8810841641873397</v>
      </c>
      <c r="AK2845">
        <v>11.189473684210499</v>
      </c>
      <c r="AL2845">
        <v>7.0773250493911304</v>
      </c>
      <c r="AM2845">
        <v>37.116275549118598</v>
      </c>
      <c r="AN2845">
        <v>-10</v>
      </c>
      <c r="AO2845" t="b">
        <v>0</v>
      </c>
      <c r="AT2845">
        <v>6573</v>
      </c>
      <c r="AU2845">
        <f t="shared" si="134"/>
        <v>18.007999999999999</v>
      </c>
    </row>
    <row r="2846" spans="1:47" x14ac:dyDescent="0.3">
      <c r="A2846">
        <v>2844</v>
      </c>
      <c r="B2846" t="s">
        <v>11759</v>
      </c>
      <c r="C2846" t="s">
        <v>11760</v>
      </c>
      <c r="D2846">
        <v>694</v>
      </c>
      <c r="E2846" t="s">
        <v>11751</v>
      </c>
      <c r="F2846" t="str">
        <f>VLOOKUP(E2846,country_continent!A:C,2,FALSE)</f>
        <v>Qatar</v>
      </c>
      <c r="G2846" t="str">
        <f>VLOOKUP(E2846,country_continent!A:C,3,FALSE)</f>
        <v>Asia</v>
      </c>
      <c r="H2846" t="s">
        <v>11761</v>
      </c>
      <c r="I2846" s="1">
        <v>41451</v>
      </c>
      <c r="J2846" s="3">
        <f t="shared" si="132"/>
        <v>41451</v>
      </c>
      <c r="K2846" s="1">
        <v>42369</v>
      </c>
      <c r="L2846" s="3">
        <f t="shared" si="133"/>
        <v>42369</v>
      </c>
      <c r="M2846" t="s">
        <v>49</v>
      </c>
      <c r="N2846" t="s">
        <v>173</v>
      </c>
      <c r="O2846" t="s">
        <v>173</v>
      </c>
      <c r="P2846">
        <v>0</v>
      </c>
      <c r="Q2846" t="s">
        <v>174</v>
      </c>
      <c r="R2846" t="s">
        <v>51</v>
      </c>
      <c r="S2846">
        <v>1980</v>
      </c>
      <c r="T2846">
        <v>-777</v>
      </c>
      <c r="U2846" s="1">
        <v>29375</v>
      </c>
      <c r="V2846" s="2">
        <v>29375</v>
      </c>
      <c r="Z2846">
        <v>0</v>
      </c>
      <c r="AA2846">
        <v>-888</v>
      </c>
      <c r="AB2846">
        <v>-888</v>
      </c>
      <c r="AC2846">
        <v>-888</v>
      </c>
      <c r="AF2846">
        <v>2013</v>
      </c>
      <c r="AG2846">
        <v>2015</v>
      </c>
      <c r="AH2846">
        <v>-5.0584545852067597</v>
      </c>
      <c r="AI2846">
        <v>89870</v>
      </c>
      <c r="AJ2846">
        <v>-8.61502332905002</v>
      </c>
      <c r="AK2846">
        <v>8.1666666666666607</v>
      </c>
      <c r="AL2846">
        <v>10.2785247469556</v>
      </c>
      <c r="AM2846">
        <v>26.2751129713156</v>
      </c>
      <c r="AN2846">
        <v>-10</v>
      </c>
      <c r="AO2846" t="b">
        <v>0</v>
      </c>
      <c r="AT2846">
        <v>918</v>
      </c>
      <c r="AU2846">
        <f t="shared" si="134"/>
        <v>2.5150000000000001</v>
      </c>
    </row>
    <row r="2847" spans="1:47" x14ac:dyDescent="0.3">
      <c r="A2847">
        <v>2845</v>
      </c>
      <c r="B2847" t="s">
        <v>11762</v>
      </c>
      <c r="C2847" t="s">
        <v>11763</v>
      </c>
      <c r="D2847">
        <v>696</v>
      </c>
      <c r="E2847" t="s">
        <v>11764</v>
      </c>
      <c r="F2847" t="str">
        <f>VLOOKUP(E2847,country_continent!A:C,2,FALSE)</f>
        <v>United Arab Emirates</v>
      </c>
      <c r="G2847" t="str">
        <f>VLOOKUP(E2847,country_continent!A:C,3,FALSE)</f>
        <v>Asia</v>
      </c>
      <c r="H2847" t="s">
        <v>11765</v>
      </c>
      <c r="I2847" s="1">
        <v>26269</v>
      </c>
      <c r="J2847" s="3">
        <f t="shared" si="132"/>
        <v>26269</v>
      </c>
      <c r="K2847" s="1">
        <v>38294</v>
      </c>
      <c r="L2847" s="3">
        <f t="shared" si="133"/>
        <v>38294</v>
      </c>
      <c r="M2847" t="s">
        <v>49</v>
      </c>
      <c r="N2847" t="s">
        <v>110</v>
      </c>
      <c r="O2847" t="s">
        <v>49</v>
      </c>
      <c r="P2847">
        <v>0</v>
      </c>
      <c r="Q2847" t="s">
        <v>111</v>
      </c>
      <c r="R2847" t="s">
        <v>51</v>
      </c>
      <c r="S2847">
        <v>1918</v>
      </c>
      <c r="T2847">
        <v>2004</v>
      </c>
      <c r="Z2847">
        <v>0</v>
      </c>
      <c r="AA2847">
        <v>2</v>
      </c>
      <c r="AB2847">
        <v>0</v>
      </c>
      <c r="AC2847">
        <v>-777</v>
      </c>
      <c r="AF2847">
        <v>1971</v>
      </c>
      <c r="AG2847">
        <v>2004</v>
      </c>
      <c r="AO2847" t="b">
        <v>0</v>
      </c>
      <c r="AT2847">
        <v>12025</v>
      </c>
      <c r="AU2847">
        <f t="shared" si="134"/>
        <v>32.945</v>
      </c>
    </row>
    <row r="2848" spans="1:47" x14ac:dyDescent="0.3">
      <c r="A2848">
        <v>2846</v>
      </c>
      <c r="B2848" t="s">
        <v>11766</v>
      </c>
      <c r="C2848" t="s">
        <v>11767</v>
      </c>
      <c r="D2848">
        <v>696</v>
      </c>
      <c r="E2848" t="s">
        <v>11764</v>
      </c>
      <c r="F2848" t="str">
        <f>VLOOKUP(E2848,country_continent!A:C,2,FALSE)</f>
        <v>United Arab Emirates</v>
      </c>
      <c r="G2848" t="str">
        <f>VLOOKUP(E2848,country_continent!A:C,3,FALSE)</f>
        <v>Asia</v>
      </c>
      <c r="H2848" t="s">
        <v>11768</v>
      </c>
      <c r="I2848" s="1">
        <v>38294</v>
      </c>
      <c r="J2848" s="3">
        <f t="shared" si="132"/>
        <v>38294</v>
      </c>
      <c r="K2848" s="1">
        <v>42369</v>
      </c>
      <c r="L2848" s="3">
        <f t="shared" si="133"/>
        <v>42369</v>
      </c>
      <c r="M2848" t="s">
        <v>49</v>
      </c>
      <c r="N2848" t="s">
        <v>173</v>
      </c>
      <c r="O2848" t="s">
        <v>173</v>
      </c>
      <c r="P2848">
        <v>0</v>
      </c>
      <c r="Q2848" t="s">
        <v>174</v>
      </c>
      <c r="R2848" t="s">
        <v>51</v>
      </c>
      <c r="S2848">
        <v>1948</v>
      </c>
      <c r="T2848">
        <v>-777</v>
      </c>
      <c r="U2848" s="1">
        <v>17557</v>
      </c>
      <c r="V2848" s="2">
        <v>17557</v>
      </c>
      <c r="Z2848">
        <v>0</v>
      </c>
      <c r="AA2848">
        <v>-888</v>
      </c>
      <c r="AB2848">
        <v>-888</v>
      </c>
      <c r="AC2848">
        <v>-888</v>
      </c>
      <c r="AF2848">
        <v>2004</v>
      </c>
      <c r="AG2848">
        <v>2015</v>
      </c>
      <c r="AO2848" t="b">
        <v>0</v>
      </c>
      <c r="AT2848">
        <v>4075</v>
      </c>
      <c r="AU2848">
        <f t="shared" si="134"/>
        <v>11.164</v>
      </c>
    </row>
    <row r="2849" spans="1:47" x14ac:dyDescent="0.3">
      <c r="A2849">
        <v>2847</v>
      </c>
      <c r="B2849" t="s">
        <v>11769</v>
      </c>
      <c r="C2849" t="s">
        <v>11770</v>
      </c>
      <c r="D2849">
        <v>698</v>
      </c>
      <c r="E2849" t="s">
        <v>11771</v>
      </c>
      <c r="F2849" t="str">
        <f>VLOOKUP(E2849,country_continent!A:C,2,FALSE)</f>
        <v>Oman</v>
      </c>
      <c r="G2849" t="str">
        <f>VLOOKUP(E2849,country_continent!A:C,3,FALSE)</f>
        <v>Asia</v>
      </c>
      <c r="H2849" t="s">
        <v>11772</v>
      </c>
      <c r="I2849" t="s">
        <v>11773</v>
      </c>
      <c r="J2849" s="3" t="str">
        <f t="shared" si="132"/>
        <v>1871/01/30</v>
      </c>
      <c r="K2849" t="s">
        <v>11774</v>
      </c>
      <c r="L2849" s="3" t="str">
        <f t="shared" si="133"/>
        <v>1888/06/04</v>
      </c>
      <c r="M2849" t="s">
        <v>67</v>
      </c>
      <c r="N2849" t="s">
        <v>110</v>
      </c>
      <c r="O2849" t="s">
        <v>49</v>
      </c>
      <c r="P2849">
        <v>0</v>
      </c>
      <c r="Q2849" t="s">
        <v>111</v>
      </c>
      <c r="R2849" t="s">
        <v>51</v>
      </c>
      <c r="S2849">
        <v>1832</v>
      </c>
      <c r="T2849">
        <v>1888</v>
      </c>
      <c r="W2849" t="s">
        <v>11774</v>
      </c>
      <c r="X2849" t="s">
        <v>11775</v>
      </c>
      <c r="Z2849">
        <v>1</v>
      </c>
      <c r="AA2849">
        <v>2</v>
      </c>
      <c r="AB2849">
        <v>0</v>
      </c>
      <c r="AC2849">
        <v>-777</v>
      </c>
      <c r="AF2849">
        <v>1871</v>
      </c>
      <c r="AG2849">
        <v>1888</v>
      </c>
      <c r="AO2849" t="b">
        <v>0</v>
      </c>
      <c r="AT2849">
        <v>6335</v>
      </c>
      <c r="AU2849">
        <f t="shared" si="134"/>
        <v>17.356000000000002</v>
      </c>
    </row>
    <row r="2850" spans="1:47" x14ac:dyDescent="0.3">
      <c r="A2850">
        <v>2848</v>
      </c>
      <c r="B2850" t="s">
        <v>11776</v>
      </c>
      <c r="C2850" t="s">
        <v>11777</v>
      </c>
      <c r="D2850">
        <v>698</v>
      </c>
      <c r="E2850" t="s">
        <v>11771</v>
      </c>
      <c r="F2850" t="str">
        <f>VLOOKUP(E2850,country_continent!A:C,2,FALSE)</f>
        <v>Oman</v>
      </c>
      <c r="G2850" t="str">
        <f>VLOOKUP(E2850,country_continent!A:C,3,FALSE)</f>
        <v>Asia</v>
      </c>
      <c r="H2850" t="s">
        <v>11778</v>
      </c>
      <c r="I2850" t="s">
        <v>11774</v>
      </c>
      <c r="J2850" s="3" t="str">
        <f t="shared" si="132"/>
        <v>1888/06/04</v>
      </c>
      <c r="K2850" s="1">
        <v>5027</v>
      </c>
      <c r="L2850" s="3">
        <f t="shared" si="133"/>
        <v>5027</v>
      </c>
      <c r="M2850" t="s">
        <v>49</v>
      </c>
      <c r="N2850" t="s">
        <v>110</v>
      </c>
      <c r="O2850" t="s">
        <v>49</v>
      </c>
      <c r="P2850">
        <v>0</v>
      </c>
      <c r="Q2850" t="s">
        <v>111</v>
      </c>
      <c r="R2850" t="s">
        <v>51</v>
      </c>
      <c r="S2850">
        <v>1864</v>
      </c>
      <c r="T2850">
        <v>1913</v>
      </c>
      <c r="W2850" s="1">
        <v>5027</v>
      </c>
      <c r="X2850" s="2">
        <v>5027</v>
      </c>
      <c r="Z2850">
        <v>0</v>
      </c>
      <c r="AA2850">
        <v>2</v>
      </c>
      <c r="AB2850">
        <v>0</v>
      </c>
      <c r="AC2850">
        <v>-777</v>
      </c>
      <c r="AF2850">
        <v>1888</v>
      </c>
      <c r="AG2850">
        <v>1913</v>
      </c>
      <c r="AO2850" t="b">
        <v>0</v>
      </c>
      <c r="AT2850">
        <v>9253</v>
      </c>
      <c r="AU2850">
        <f t="shared" si="134"/>
        <v>25.350999999999999</v>
      </c>
    </row>
    <row r="2851" spans="1:47" x14ac:dyDescent="0.3">
      <c r="A2851">
        <v>2849</v>
      </c>
      <c r="B2851" t="s">
        <v>11779</v>
      </c>
      <c r="C2851" t="s">
        <v>11780</v>
      </c>
      <c r="D2851">
        <v>698</v>
      </c>
      <c r="E2851" t="s">
        <v>11771</v>
      </c>
      <c r="F2851" t="str">
        <f>VLOOKUP(E2851,country_continent!A:C,2,FALSE)</f>
        <v>Oman</v>
      </c>
      <c r="G2851" t="str">
        <f>VLOOKUP(E2851,country_continent!A:C,3,FALSE)</f>
        <v>Asia</v>
      </c>
      <c r="H2851" t="s">
        <v>11781</v>
      </c>
      <c r="I2851" s="1">
        <v>5031</v>
      </c>
      <c r="J2851" s="3">
        <f t="shared" si="132"/>
        <v>5031</v>
      </c>
      <c r="K2851" s="1">
        <v>11729</v>
      </c>
      <c r="L2851" s="3">
        <f t="shared" si="133"/>
        <v>11729</v>
      </c>
      <c r="M2851" t="s">
        <v>49</v>
      </c>
      <c r="N2851" t="s">
        <v>49</v>
      </c>
      <c r="O2851" t="s">
        <v>49</v>
      </c>
      <c r="P2851">
        <v>0</v>
      </c>
      <c r="Q2851" t="s">
        <v>1453</v>
      </c>
      <c r="R2851" t="s">
        <v>51</v>
      </c>
      <c r="S2851">
        <v>1888</v>
      </c>
      <c r="T2851">
        <v>1965</v>
      </c>
      <c r="U2851" t="s">
        <v>11774</v>
      </c>
      <c r="V2851" t="s">
        <v>11775</v>
      </c>
      <c r="Z2851">
        <v>0</v>
      </c>
      <c r="AA2851">
        <v>1</v>
      </c>
      <c r="AB2851">
        <v>0</v>
      </c>
      <c r="AC2851">
        <v>-666</v>
      </c>
      <c r="AF2851">
        <v>1913</v>
      </c>
      <c r="AG2851">
        <v>1932</v>
      </c>
      <c r="AO2851" t="b">
        <v>0</v>
      </c>
      <c r="AT2851">
        <v>6698</v>
      </c>
      <c r="AU2851">
        <f t="shared" si="134"/>
        <v>18.350999999999999</v>
      </c>
    </row>
    <row r="2852" spans="1:47" x14ac:dyDescent="0.3">
      <c r="A2852">
        <v>2850</v>
      </c>
      <c r="B2852" t="s">
        <v>11782</v>
      </c>
      <c r="C2852" t="s">
        <v>11783</v>
      </c>
      <c r="D2852">
        <v>698</v>
      </c>
      <c r="E2852" t="s">
        <v>11771</v>
      </c>
      <c r="F2852" t="str">
        <f>VLOOKUP(E2852,country_continent!A:C,2,FALSE)</f>
        <v>Oman</v>
      </c>
      <c r="G2852" t="str">
        <f>VLOOKUP(E2852,country_continent!A:C,3,FALSE)</f>
        <v>Asia</v>
      </c>
      <c r="H2852" t="s">
        <v>11784</v>
      </c>
      <c r="I2852" s="1">
        <v>11729</v>
      </c>
      <c r="J2852" s="3">
        <f t="shared" si="132"/>
        <v>11729</v>
      </c>
      <c r="K2852" s="1">
        <v>25772</v>
      </c>
      <c r="L2852" s="3">
        <f t="shared" si="133"/>
        <v>25772</v>
      </c>
      <c r="M2852" t="s">
        <v>49</v>
      </c>
      <c r="N2852" t="s">
        <v>67</v>
      </c>
      <c r="O2852" t="s">
        <v>2001</v>
      </c>
      <c r="P2852">
        <v>0</v>
      </c>
      <c r="Q2852" t="s">
        <v>362</v>
      </c>
      <c r="R2852" t="s">
        <v>51</v>
      </c>
      <c r="S2852">
        <v>1910</v>
      </c>
      <c r="T2852">
        <v>1972</v>
      </c>
      <c r="U2852" s="1">
        <v>3756</v>
      </c>
      <c r="V2852" s="2">
        <v>3756</v>
      </c>
      <c r="Z2852">
        <v>0</v>
      </c>
      <c r="AA2852">
        <v>3</v>
      </c>
      <c r="AB2852">
        <v>8</v>
      </c>
      <c r="AC2852">
        <v>1</v>
      </c>
      <c r="AF2852">
        <v>1932</v>
      </c>
      <c r="AG2852">
        <v>1970</v>
      </c>
      <c r="AO2852" t="b">
        <v>0</v>
      </c>
      <c r="AT2852">
        <v>14043</v>
      </c>
      <c r="AU2852">
        <f t="shared" si="134"/>
        <v>38.473999999999997</v>
      </c>
    </row>
    <row r="2853" spans="1:47" x14ac:dyDescent="0.3">
      <c r="A2853">
        <v>2851</v>
      </c>
      <c r="B2853" t="s">
        <v>11785</v>
      </c>
      <c r="C2853" t="s">
        <v>11786</v>
      </c>
      <c r="D2853">
        <v>698</v>
      </c>
      <c r="E2853" t="s">
        <v>11771</v>
      </c>
      <c r="F2853" t="str">
        <f>VLOOKUP(E2853,country_continent!A:C,2,FALSE)</f>
        <v>Oman</v>
      </c>
      <c r="G2853" t="str">
        <f>VLOOKUP(E2853,country_continent!A:C,3,FALSE)</f>
        <v>Asia</v>
      </c>
      <c r="H2853" t="s">
        <v>11787</v>
      </c>
      <c r="I2853" s="1">
        <v>25772</v>
      </c>
      <c r="J2853" s="3">
        <f t="shared" si="132"/>
        <v>25772</v>
      </c>
      <c r="K2853" s="1">
        <v>42369</v>
      </c>
      <c r="L2853" s="3">
        <f t="shared" si="133"/>
        <v>42369</v>
      </c>
      <c r="M2853" t="s">
        <v>67</v>
      </c>
      <c r="N2853" t="s">
        <v>173</v>
      </c>
      <c r="O2853" t="s">
        <v>173</v>
      </c>
      <c r="P2853">
        <v>0</v>
      </c>
      <c r="Q2853" t="s">
        <v>174</v>
      </c>
      <c r="R2853" t="s">
        <v>51</v>
      </c>
      <c r="S2853">
        <v>1940</v>
      </c>
      <c r="T2853">
        <v>-777</v>
      </c>
      <c r="U2853" s="1">
        <v>14933</v>
      </c>
      <c r="V2853" s="2">
        <v>14933</v>
      </c>
      <c r="Y2853" t="s">
        <v>11788</v>
      </c>
      <c r="Z2853">
        <v>1</v>
      </c>
      <c r="AA2853">
        <v>-888</v>
      </c>
      <c r="AB2853">
        <v>-888</v>
      </c>
      <c r="AC2853">
        <v>-888</v>
      </c>
      <c r="AF2853">
        <v>1970</v>
      </c>
      <c r="AG2853">
        <v>2015</v>
      </c>
      <c r="AO2853" t="b">
        <v>0</v>
      </c>
      <c r="AT2853">
        <v>16597</v>
      </c>
      <c r="AU2853">
        <f t="shared" si="134"/>
        <v>45.470999999999997</v>
      </c>
    </row>
    <row r="2854" spans="1:47" x14ac:dyDescent="0.3">
      <c r="A2854">
        <v>2852</v>
      </c>
      <c r="B2854" t="s">
        <v>11789</v>
      </c>
      <c r="C2854" t="s">
        <v>11790</v>
      </c>
      <c r="D2854">
        <v>700</v>
      </c>
      <c r="E2854" t="s">
        <v>11791</v>
      </c>
      <c r="F2854" t="str">
        <f>VLOOKUP(E2854,country_continent!A:C,2,FALSE)</f>
        <v>Afghanistan</v>
      </c>
      <c r="G2854" t="str">
        <f>VLOOKUP(E2854,country_continent!A:C,3,FALSE)</f>
        <v>Asia</v>
      </c>
      <c r="H2854" t="s">
        <v>11792</v>
      </c>
      <c r="I2854" t="s">
        <v>11793</v>
      </c>
      <c r="J2854" s="3" t="str">
        <f t="shared" si="132"/>
        <v>1868/09/08</v>
      </c>
      <c r="K2854" t="s">
        <v>11794</v>
      </c>
      <c r="L2854" s="3" t="str">
        <f t="shared" si="133"/>
        <v>1879/02/21</v>
      </c>
      <c r="M2854" t="s">
        <v>67</v>
      </c>
      <c r="N2854" t="s">
        <v>49</v>
      </c>
      <c r="O2854" t="s">
        <v>49</v>
      </c>
      <c r="P2854">
        <v>1</v>
      </c>
      <c r="Q2854" t="s">
        <v>362</v>
      </c>
      <c r="R2854" t="s">
        <v>51</v>
      </c>
      <c r="S2854">
        <v>1825</v>
      </c>
      <c r="T2854">
        <v>1879</v>
      </c>
      <c r="W2854" t="s">
        <v>11794</v>
      </c>
      <c r="X2854" t="s">
        <v>11795</v>
      </c>
      <c r="Z2854">
        <v>1</v>
      </c>
      <c r="AA2854">
        <v>1</v>
      </c>
      <c r="AB2854">
        <v>0</v>
      </c>
      <c r="AC2854">
        <v>1</v>
      </c>
      <c r="AF2854">
        <v>1868</v>
      </c>
      <c r="AG2854">
        <v>1879</v>
      </c>
      <c r="AO2854" t="b">
        <v>1</v>
      </c>
      <c r="AP2854" t="s">
        <v>4202</v>
      </c>
      <c r="AQ2854">
        <v>1920</v>
      </c>
      <c r="AR2854">
        <v>1946</v>
      </c>
      <c r="AS2854" t="s">
        <v>11796</v>
      </c>
      <c r="AT2854">
        <v>10.453114305270301</v>
      </c>
      <c r="AU2854">
        <f t="shared" si="134"/>
        <v>2.9000000000000001E-2</v>
      </c>
    </row>
    <row r="2855" spans="1:47" x14ac:dyDescent="0.3">
      <c r="A2855">
        <v>2853</v>
      </c>
      <c r="B2855" t="s">
        <v>11797</v>
      </c>
      <c r="C2855" t="s">
        <v>11798</v>
      </c>
      <c r="D2855">
        <v>700</v>
      </c>
      <c r="E2855" t="s">
        <v>11791</v>
      </c>
      <c r="F2855" t="str">
        <f>VLOOKUP(E2855,country_continent!A:C,2,FALSE)</f>
        <v>Afghanistan</v>
      </c>
      <c r="G2855" t="str">
        <f>VLOOKUP(E2855,country_continent!A:C,3,FALSE)</f>
        <v>Asia</v>
      </c>
      <c r="H2855" t="s">
        <v>11799</v>
      </c>
      <c r="I2855" t="s">
        <v>11794</v>
      </c>
      <c r="J2855" s="3" t="str">
        <f t="shared" si="132"/>
        <v>1879/02/21</v>
      </c>
      <c r="K2855" t="s">
        <v>11800</v>
      </c>
      <c r="L2855" s="3" t="str">
        <f t="shared" si="133"/>
        <v>1879/10/12</v>
      </c>
      <c r="M2855" t="s">
        <v>49</v>
      </c>
      <c r="N2855" t="s">
        <v>633</v>
      </c>
      <c r="O2855" t="s">
        <v>347</v>
      </c>
      <c r="P2855">
        <v>0</v>
      </c>
      <c r="Q2855" t="s">
        <v>362</v>
      </c>
      <c r="R2855" t="s">
        <v>51</v>
      </c>
      <c r="S2855">
        <v>1849</v>
      </c>
      <c r="T2855">
        <v>1923</v>
      </c>
      <c r="Z2855">
        <v>0</v>
      </c>
      <c r="AA2855">
        <v>4</v>
      </c>
      <c r="AB2855">
        <v>-999</v>
      </c>
      <c r="AC2855">
        <v>1</v>
      </c>
      <c r="AF2855">
        <v>1879</v>
      </c>
      <c r="AG2855">
        <v>1879</v>
      </c>
      <c r="AO2855" t="b">
        <v>1</v>
      </c>
      <c r="AP2855" t="s">
        <v>4202</v>
      </c>
      <c r="AQ2855">
        <v>1920</v>
      </c>
      <c r="AR2855">
        <v>1946</v>
      </c>
      <c r="AS2855" t="s">
        <v>11801</v>
      </c>
      <c r="AT2855">
        <v>0.63791923340177903</v>
      </c>
      <c r="AU2855">
        <f t="shared" si="134"/>
        <v>2E-3</v>
      </c>
    </row>
    <row r="2856" spans="1:47" x14ac:dyDescent="0.3">
      <c r="A2856">
        <v>2854</v>
      </c>
      <c r="B2856" t="s">
        <v>11802</v>
      </c>
      <c r="C2856" t="s">
        <v>11803</v>
      </c>
      <c r="D2856">
        <v>700</v>
      </c>
      <c r="E2856" t="s">
        <v>11791</v>
      </c>
      <c r="F2856" t="str">
        <f>VLOOKUP(E2856,country_continent!A:C,2,FALSE)</f>
        <v>Afghanistan</v>
      </c>
      <c r="G2856" t="str">
        <f>VLOOKUP(E2856,country_continent!A:C,3,FALSE)</f>
        <v>Asia</v>
      </c>
      <c r="H2856" t="s">
        <v>11804</v>
      </c>
      <c r="I2856" t="s">
        <v>11800</v>
      </c>
      <c r="J2856" s="3" t="str">
        <f t="shared" si="132"/>
        <v>1879/10/12</v>
      </c>
      <c r="K2856" t="s">
        <v>11805</v>
      </c>
      <c r="L2856" s="3" t="str">
        <f t="shared" si="133"/>
        <v>1880/03/31</v>
      </c>
      <c r="M2856" t="s">
        <v>637</v>
      </c>
      <c r="N2856" t="s">
        <v>110</v>
      </c>
      <c r="O2856" t="s">
        <v>49</v>
      </c>
      <c r="P2856">
        <v>0</v>
      </c>
      <c r="Q2856" t="s">
        <v>111</v>
      </c>
      <c r="R2856" t="s">
        <v>51</v>
      </c>
      <c r="S2856">
        <v>-999</v>
      </c>
      <c r="T2856">
        <v>1880</v>
      </c>
      <c r="W2856" t="s">
        <v>11805</v>
      </c>
      <c r="X2856" t="s">
        <v>11806</v>
      </c>
      <c r="Z2856">
        <v>2</v>
      </c>
      <c r="AA2856">
        <v>2</v>
      </c>
      <c r="AB2856">
        <v>0</v>
      </c>
      <c r="AC2856">
        <v>-777</v>
      </c>
      <c r="AF2856">
        <v>1879</v>
      </c>
      <c r="AG2856">
        <v>1880</v>
      </c>
      <c r="AO2856" t="b">
        <v>1</v>
      </c>
      <c r="AP2856" t="s">
        <v>4202</v>
      </c>
      <c r="AQ2856">
        <v>1920</v>
      </c>
      <c r="AR2856">
        <v>1946</v>
      </c>
      <c r="AS2856" t="s">
        <v>11807</v>
      </c>
      <c r="AT2856">
        <v>0.46817248459958899</v>
      </c>
      <c r="AU2856">
        <f t="shared" si="134"/>
        <v>1E-3</v>
      </c>
    </row>
    <row r="2857" spans="1:47" x14ac:dyDescent="0.3">
      <c r="A2857">
        <v>2855</v>
      </c>
      <c r="B2857" t="s">
        <v>11808</v>
      </c>
      <c r="C2857" t="s">
        <v>11809</v>
      </c>
      <c r="D2857">
        <v>700</v>
      </c>
      <c r="E2857" t="s">
        <v>11791</v>
      </c>
      <c r="F2857" t="str">
        <f>VLOOKUP(E2857,country_continent!A:C,2,FALSE)</f>
        <v>Afghanistan</v>
      </c>
      <c r="G2857" t="str">
        <f>VLOOKUP(E2857,country_continent!A:C,3,FALSE)</f>
        <v>Asia</v>
      </c>
      <c r="H2857" t="s">
        <v>11810</v>
      </c>
      <c r="I2857" t="s">
        <v>11811</v>
      </c>
      <c r="J2857" s="3" t="str">
        <f t="shared" si="132"/>
        <v>1880/07/22</v>
      </c>
      <c r="K2857" s="1">
        <v>642</v>
      </c>
      <c r="L2857" s="3">
        <f t="shared" si="133"/>
        <v>642</v>
      </c>
      <c r="M2857" t="s">
        <v>637</v>
      </c>
      <c r="N2857" t="s">
        <v>110</v>
      </c>
      <c r="O2857" t="s">
        <v>49</v>
      </c>
      <c r="P2857">
        <v>0</v>
      </c>
      <c r="Q2857" t="s">
        <v>111</v>
      </c>
      <c r="R2857" t="s">
        <v>51</v>
      </c>
      <c r="S2857">
        <v>1844</v>
      </c>
      <c r="T2857">
        <v>1901</v>
      </c>
      <c r="W2857" s="1">
        <v>642</v>
      </c>
      <c r="X2857" s="2">
        <v>642</v>
      </c>
      <c r="Y2857" t="s">
        <v>11812</v>
      </c>
      <c r="Z2857">
        <v>2</v>
      </c>
      <c r="AA2857">
        <v>2</v>
      </c>
      <c r="AB2857">
        <v>0</v>
      </c>
      <c r="AC2857">
        <v>-777</v>
      </c>
      <c r="AF2857">
        <v>1880</v>
      </c>
      <c r="AG2857">
        <v>1901</v>
      </c>
      <c r="AO2857" t="b">
        <v>1</v>
      </c>
      <c r="AP2857" t="s">
        <v>4202</v>
      </c>
      <c r="AQ2857">
        <v>1920</v>
      </c>
      <c r="AR2857">
        <v>1946</v>
      </c>
      <c r="AS2857" t="s">
        <v>11813</v>
      </c>
      <c r="AT2857">
        <v>21.196440793976699</v>
      </c>
      <c r="AU2857">
        <f t="shared" si="134"/>
        <v>5.8000000000000003E-2</v>
      </c>
    </row>
    <row r="2858" spans="1:47" x14ac:dyDescent="0.3">
      <c r="A2858">
        <v>2856</v>
      </c>
      <c r="B2858" t="s">
        <v>11814</v>
      </c>
      <c r="C2858" t="s">
        <v>11815</v>
      </c>
      <c r="D2858">
        <v>700</v>
      </c>
      <c r="E2858" t="s">
        <v>11791</v>
      </c>
      <c r="F2858" t="str">
        <f>VLOOKUP(E2858,country_continent!A:C,2,FALSE)</f>
        <v>Afghanistan</v>
      </c>
      <c r="G2858" t="str">
        <f>VLOOKUP(E2858,country_continent!A:C,3,FALSE)</f>
        <v>Asia</v>
      </c>
      <c r="H2858" t="s">
        <v>11816</v>
      </c>
      <c r="I2858" s="1">
        <v>642</v>
      </c>
      <c r="J2858" s="3">
        <f t="shared" si="132"/>
        <v>642</v>
      </c>
      <c r="K2858" s="1">
        <v>6991</v>
      </c>
      <c r="L2858" s="3">
        <f t="shared" si="133"/>
        <v>6991</v>
      </c>
      <c r="M2858" t="s">
        <v>49</v>
      </c>
      <c r="N2858" t="s">
        <v>67</v>
      </c>
      <c r="O2858" t="s">
        <v>68</v>
      </c>
      <c r="P2858">
        <v>0</v>
      </c>
      <c r="Q2858" t="s">
        <v>69</v>
      </c>
      <c r="R2858" t="s">
        <v>51</v>
      </c>
      <c r="S2858">
        <v>1872</v>
      </c>
      <c r="T2858">
        <v>1919</v>
      </c>
      <c r="U2858" t="s">
        <v>11817</v>
      </c>
      <c r="V2858" t="s">
        <v>11818</v>
      </c>
      <c r="W2858" s="1">
        <v>6991</v>
      </c>
      <c r="X2858" s="2">
        <v>6991</v>
      </c>
      <c r="Y2858" t="s">
        <v>11819</v>
      </c>
      <c r="Z2858">
        <v>0</v>
      </c>
      <c r="AA2858">
        <v>3</v>
      </c>
      <c r="AB2858">
        <v>11</v>
      </c>
      <c r="AC2858">
        <v>3</v>
      </c>
      <c r="AF2858">
        <v>1901</v>
      </c>
      <c r="AG2858">
        <v>1919</v>
      </c>
      <c r="AO2858" t="b">
        <v>1</v>
      </c>
      <c r="AP2858" t="s">
        <v>4202</v>
      </c>
      <c r="AQ2858">
        <v>1920</v>
      </c>
      <c r="AR2858">
        <v>1946</v>
      </c>
      <c r="AS2858" t="s">
        <v>11820</v>
      </c>
      <c r="AT2858">
        <v>17.3826146475017</v>
      </c>
      <c r="AU2858">
        <f t="shared" si="134"/>
        <v>4.8000000000000001E-2</v>
      </c>
    </row>
    <row r="2859" spans="1:47" x14ac:dyDescent="0.3">
      <c r="A2859">
        <v>2857</v>
      </c>
      <c r="B2859" t="s">
        <v>11821</v>
      </c>
      <c r="C2859" t="s">
        <v>11822</v>
      </c>
      <c r="D2859">
        <v>700</v>
      </c>
      <c r="E2859" t="s">
        <v>11791</v>
      </c>
      <c r="F2859" t="str">
        <f>VLOOKUP(E2859,country_continent!A:C,2,FALSE)</f>
        <v>Afghanistan</v>
      </c>
      <c r="G2859" t="str">
        <f>VLOOKUP(E2859,country_continent!A:C,3,FALSE)</f>
        <v>Asia</v>
      </c>
      <c r="H2859" t="s">
        <v>11823</v>
      </c>
      <c r="I2859" s="1">
        <v>7306</v>
      </c>
      <c r="J2859" s="3">
        <f t="shared" si="132"/>
        <v>7306</v>
      </c>
      <c r="K2859" s="1">
        <v>10607</v>
      </c>
      <c r="L2859" s="3">
        <f t="shared" si="133"/>
        <v>10607</v>
      </c>
      <c r="M2859" t="s">
        <v>67</v>
      </c>
      <c r="N2859" t="s">
        <v>49</v>
      </c>
      <c r="O2859" t="s">
        <v>49</v>
      </c>
      <c r="P2859">
        <v>0</v>
      </c>
      <c r="Q2859" t="s">
        <v>362</v>
      </c>
      <c r="R2859" t="s">
        <v>51</v>
      </c>
      <c r="S2859">
        <v>1892</v>
      </c>
      <c r="T2859">
        <v>1960</v>
      </c>
      <c r="U2859" t="s">
        <v>11824</v>
      </c>
      <c r="V2859" t="s">
        <v>11825</v>
      </c>
      <c r="W2859" s="1">
        <v>22031</v>
      </c>
      <c r="X2859" s="2">
        <v>22031</v>
      </c>
      <c r="Y2859" t="s">
        <v>11826</v>
      </c>
      <c r="Z2859">
        <v>1</v>
      </c>
      <c r="AA2859">
        <v>1</v>
      </c>
      <c r="AB2859">
        <v>0</v>
      </c>
      <c r="AC2859">
        <v>1</v>
      </c>
      <c r="AF2859">
        <v>1920</v>
      </c>
      <c r="AG2859">
        <v>1929</v>
      </c>
      <c r="AO2859" t="b">
        <v>1</v>
      </c>
      <c r="AP2859" t="s">
        <v>4202</v>
      </c>
      <c r="AQ2859">
        <v>1920</v>
      </c>
      <c r="AR2859">
        <v>1946</v>
      </c>
      <c r="AS2859" t="s">
        <v>11827</v>
      </c>
      <c r="AT2859">
        <v>9.0376454483230599</v>
      </c>
      <c r="AU2859">
        <f t="shared" si="134"/>
        <v>2.5000000000000001E-2</v>
      </c>
    </row>
    <row r="2860" spans="1:47" x14ac:dyDescent="0.3">
      <c r="A2860">
        <v>2858</v>
      </c>
      <c r="B2860" t="s">
        <v>11828</v>
      </c>
      <c r="C2860" t="s">
        <v>11829</v>
      </c>
      <c r="D2860">
        <v>700</v>
      </c>
      <c r="E2860" t="s">
        <v>11791</v>
      </c>
      <c r="F2860" t="str">
        <f>VLOOKUP(E2860,country_continent!A:C,2,FALSE)</f>
        <v>Afghanistan</v>
      </c>
      <c r="G2860" t="str">
        <f>VLOOKUP(E2860,country_continent!A:C,3,FALSE)</f>
        <v>Asia</v>
      </c>
      <c r="H2860" t="s">
        <v>11830</v>
      </c>
      <c r="I2860" s="1">
        <v>10607</v>
      </c>
      <c r="J2860" s="3">
        <f t="shared" si="132"/>
        <v>10607</v>
      </c>
      <c r="K2860" s="1">
        <v>10610</v>
      </c>
      <c r="L2860" s="3">
        <f t="shared" si="133"/>
        <v>10610</v>
      </c>
      <c r="M2860" t="s">
        <v>49</v>
      </c>
      <c r="N2860" t="s">
        <v>67</v>
      </c>
      <c r="O2860" t="s">
        <v>433</v>
      </c>
      <c r="P2860">
        <v>0</v>
      </c>
      <c r="Q2860" t="s">
        <v>362</v>
      </c>
      <c r="R2860" t="s">
        <v>51</v>
      </c>
      <c r="S2860">
        <v>1888</v>
      </c>
      <c r="T2860">
        <v>1946</v>
      </c>
      <c r="U2860" t="s">
        <v>11831</v>
      </c>
      <c r="V2860" t="s">
        <v>11832</v>
      </c>
      <c r="Y2860" t="s">
        <v>11833</v>
      </c>
      <c r="Z2860">
        <v>0</v>
      </c>
      <c r="AA2860">
        <v>3</v>
      </c>
      <c r="AB2860">
        <v>4</v>
      </c>
      <c r="AC2860">
        <v>1</v>
      </c>
      <c r="AF2860">
        <v>1929</v>
      </c>
      <c r="AG2860">
        <v>1929</v>
      </c>
      <c r="AO2860" t="b">
        <v>1</v>
      </c>
      <c r="AP2860" t="s">
        <v>4202</v>
      </c>
      <c r="AQ2860">
        <v>1920</v>
      </c>
      <c r="AR2860">
        <v>1946</v>
      </c>
      <c r="AS2860" t="s">
        <v>11834</v>
      </c>
      <c r="AT2860">
        <v>8.2135523613963007E-3</v>
      </c>
      <c r="AU2860">
        <f t="shared" si="134"/>
        <v>0</v>
      </c>
    </row>
    <row r="2861" spans="1:47" x14ac:dyDescent="0.3">
      <c r="A2861">
        <v>2859</v>
      </c>
      <c r="B2861" t="s">
        <v>11835</v>
      </c>
      <c r="C2861" t="s">
        <v>11836</v>
      </c>
      <c r="D2861">
        <v>700</v>
      </c>
      <c r="E2861" t="s">
        <v>11791</v>
      </c>
      <c r="F2861" t="str">
        <f>VLOOKUP(E2861,country_continent!A:C,2,FALSE)</f>
        <v>Afghanistan</v>
      </c>
      <c r="G2861" t="str">
        <f>VLOOKUP(E2861,country_continent!A:C,3,FALSE)</f>
        <v>Asia</v>
      </c>
      <c r="H2861" t="s">
        <v>11837</v>
      </c>
      <c r="I2861" s="1">
        <v>10610</v>
      </c>
      <c r="J2861" s="3">
        <f t="shared" si="132"/>
        <v>10610</v>
      </c>
      <c r="K2861" s="1">
        <v>10883</v>
      </c>
      <c r="L2861" s="3">
        <f t="shared" si="133"/>
        <v>10883</v>
      </c>
      <c r="M2861" t="s">
        <v>67</v>
      </c>
      <c r="N2861" t="s">
        <v>67</v>
      </c>
      <c r="O2861" t="s">
        <v>433</v>
      </c>
      <c r="P2861">
        <v>0</v>
      </c>
      <c r="Q2861" t="s">
        <v>69</v>
      </c>
      <c r="R2861" t="s">
        <v>51</v>
      </c>
      <c r="S2861">
        <v>1890</v>
      </c>
      <c r="T2861">
        <v>1929</v>
      </c>
      <c r="Z2861">
        <v>1</v>
      </c>
      <c r="AA2861">
        <v>3</v>
      </c>
      <c r="AB2861">
        <v>4</v>
      </c>
      <c r="AC2861">
        <v>3</v>
      </c>
      <c r="AF2861">
        <v>1929</v>
      </c>
      <c r="AG2861">
        <v>1929</v>
      </c>
      <c r="AO2861" t="b">
        <v>1</v>
      </c>
      <c r="AP2861" t="s">
        <v>4202</v>
      </c>
      <c r="AQ2861">
        <v>1920</v>
      </c>
      <c r="AR2861">
        <v>1946</v>
      </c>
      <c r="AS2861" t="s">
        <v>11838</v>
      </c>
      <c r="AT2861">
        <v>0.74743326488706296</v>
      </c>
      <c r="AU2861">
        <f t="shared" si="134"/>
        <v>2E-3</v>
      </c>
    </row>
    <row r="2862" spans="1:47" x14ac:dyDescent="0.3">
      <c r="A2862">
        <v>2860</v>
      </c>
      <c r="B2862" t="s">
        <v>11839</v>
      </c>
      <c r="C2862" t="s">
        <v>11840</v>
      </c>
      <c r="D2862">
        <v>700</v>
      </c>
      <c r="E2862" t="s">
        <v>11791</v>
      </c>
      <c r="F2862" t="str">
        <f>VLOOKUP(E2862,country_continent!A:C,2,FALSE)</f>
        <v>Afghanistan</v>
      </c>
      <c r="G2862" t="str">
        <f>VLOOKUP(E2862,country_continent!A:C,3,FALSE)</f>
        <v>Asia</v>
      </c>
      <c r="H2862" t="s">
        <v>11841</v>
      </c>
      <c r="I2862" s="1">
        <v>10883</v>
      </c>
      <c r="J2862" s="3">
        <f t="shared" si="132"/>
        <v>10883</v>
      </c>
      <c r="K2862" s="1">
        <v>12366</v>
      </c>
      <c r="L2862" s="3">
        <f t="shared" si="133"/>
        <v>12366</v>
      </c>
      <c r="M2862" t="s">
        <v>67</v>
      </c>
      <c r="N2862" t="s">
        <v>67</v>
      </c>
      <c r="O2862" t="s">
        <v>68</v>
      </c>
      <c r="P2862">
        <v>0</v>
      </c>
      <c r="Q2862" t="s">
        <v>69</v>
      </c>
      <c r="R2862" t="s">
        <v>51</v>
      </c>
      <c r="S2862">
        <v>1880</v>
      </c>
      <c r="T2862">
        <v>1933</v>
      </c>
      <c r="U2862" t="s">
        <v>11842</v>
      </c>
      <c r="V2862" t="s">
        <v>11843</v>
      </c>
      <c r="Z2862">
        <v>1</v>
      </c>
      <c r="AA2862">
        <v>3</v>
      </c>
      <c r="AB2862">
        <v>11</v>
      </c>
      <c r="AC2862">
        <v>3</v>
      </c>
      <c r="AF2862">
        <v>1929</v>
      </c>
      <c r="AG2862">
        <v>1933</v>
      </c>
      <c r="AO2862" t="b">
        <v>1</v>
      </c>
      <c r="AP2862" t="s">
        <v>4202</v>
      </c>
      <c r="AQ2862">
        <v>1920</v>
      </c>
      <c r="AR2862">
        <v>1946</v>
      </c>
      <c r="AS2862" t="s">
        <v>11844</v>
      </c>
      <c r="AT2862">
        <v>4.0602327173169002</v>
      </c>
      <c r="AU2862">
        <f t="shared" si="134"/>
        <v>1.0999999999999999E-2</v>
      </c>
    </row>
    <row r="2863" spans="1:47" x14ac:dyDescent="0.3">
      <c r="A2863">
        <v>2861</v>
      </c>
      <c r="B2863" t="s">
        <v>11845</v>
      </c>
      <c r="C2863" t="s">
        <v>11846</v>
      </c>
      <c r="D2863">
        <v>700</v>
      </c>
      <c r="E2863" t="s">
        <v>11791</v>
      </c>
      <c r="F2863" t="str">
        <f>VLOOKUP(E2863,country_continent!A:C,2,FALSE)</f>
        <v>Afghanistan</v>
      </c>
      <c r="G2863" t="str">
        <f>VLOOKUP(E2863,country_continent!A:C,3,FALSE)</f>
        <v>Asia</v>
      </c>
      <c r="H2863" t="s">
        <v>11847</v>
      </c>
      <c r="I2863" s="1">
        <v>12366</v>
      </c>
      <c r="J2863" s="3">
        <f t="shared" si="132"/>
        <v>12366</v>
      </c>
      <c r="K2863" s="1">
        <v>16936</v>
      </c>
      <c r="L2863" s="3">
        <f t="shared" si="133"/>
        <v>16936</v>
      </c>
      <c r="M2863" t="s">
        <v>49</v>
      </c>
      <c r="N2863" t="s">
        <v>228</v>
      </c>
      <c r="O2863" t="s">
        <v>49</v>
      </c>
      <c r="P2863">
        <v>0</v>
      </c>
      <c r="Q2863" t="s">
        <v>50</v>
      </c>
      <c r="R2863" t="s">
        <v>51</v>
      </c>
      <c r="S2863">
        <v>1884</v>
      </c>
      <c r="T2863">
        <v>1953</v>
      </c>
      <c r="Z2863">
        <v>0</v>
      </c>
      <c r="AA2863">
        <v>2.0999998999999998</v>
      </c>
      <c r="AB2863">
        <v>0</v>
      </c>
      <c r="AC2863">
        <v>0</v>
      </c>
      <c r="AF2863">
        <v>1933</v>
      </c>
      <c r="AG2863">
        <v>1946</v>
      </c>
      <c r="AN2863">
        <v>-10</v>
      </c>
      <c r="AO2863" t="b">
        <v>1</v>
      </c>
      <c r="AP2863" t="s">
        <v>4202</v>
      </c>
      <c r="AQ2863">
        <v>1920</v>
      </c>
      <c r="AR2863">
        <v>1946</v>
      </c>
      <c r="AS2863" t="s">
        <v>11848</v>
      </c>
      <c r="AT2863">
        <v>12.511978097193699</v>
      </c>
      <c r="AU2863">
        <f t="shared" si="134"/>
        <v>3.4000000000000002E-2</v>
      </c>
    </row>
    <row r="2864" spans="1:47" x14ac:dyDescent="0.3">
      <c r="A2864">
        <v>2862</v>
      </c>
      <c r="B2864" t="s">
        <v>11849</v>
      </c>
      <c r="C2864" t="s">
        <v>11850</v>
      </c>
      <c r="D2864">
        <v>700</v>
      </c>
      <c r="E2864" t="s">
        <v>11791</v>
      </c>
      <c r="F2864" t="str">
        <f>VLOOKUP(E2864,country_continent!A:C,2,FALSE)</f>
        <v>Afghanistan</v>
      </c>
      <c r="G2864" t="str">
        <f>VLOOKUP(E2864,country_continent!A:C,3,FALSE)</f>
        <v>Asia</v>
      </c>
      <c r="H2864" t="s">
        <v>11851</v>
      </c>
      <c r="I2864" s="1">
        <v>16936</v>
      </c>
      <c r="J2864" s="3">
        <f t="shared" si="132"/>
        <v>16936</v>
      </c>
      <c r="K2864" s="1">
        <v>19609</v>
      </c>
      <c r="L2864" s="3">
        <f t="shared" si="133"/>
        <v>19609</v>
      </c>
      <c r="M2864" t="s">
        <v>49</v>
      </c>
      <c r="N2864" t="s">
        <v>67</v>
      </c>
      <c r="O2864" t="s">
        <v>2001</v>
      </c>
      <c r="P2864">
        <v>0</v>
      </c>
      <c r="Q2864" t="s">
        <v>50</v>
      </c>
      <c r="R2864" t="s">
        <v>51</v>
      </c>
      <c r="S2864">
        <v>1888</v>
      </c>
      <c r="T2864">
        <v>1959</v>
      </c>
      <c r="Z2864">
        <v>0</v>
      </c>
      <c r="AA2864">
        <v>3</v>
      </c>
      <c r="AB2864">
        <v>8</v>
      </c>
      <c r="AC2864">
        <v>0</v>
      </c>
      <c r="AF2864">
        <v>1946</v>
      </c>
      <c r="AG2864">
        <v>1953</v>
      </c>
      <c r="AN2864">
        <v>-10</v>
      </c>
      <c r="AO2864" t="b">
        <v>1</v>
      </c>
      <c r="AP2864" t="s">
        <v>4202</v>
      </c>
      <c r="AQ2864">
        <v>1920</v>
      </c>
      <c r="AR2864">
        <v>1946</v>
      </c>
      <c r="AS2864" t="s">
        <v>11852</v>
      </c>
      <c r="AT2864">
        <v>7.3182751540041</v>
      </c>
      <c r="AU2864">
        <f t="shared" si="134"/>
        <v>0.02</v>
      </c>
    </row>
    <row r="2865" spans="1:47" x14ac:dyDescent="0.3">
      <c r="A2865">
        <v>2863</v>
      </c>
      <c r="B2865" t="s">
        <v>11853</v>
      </c>
      <c r="C2865" t="s">
        <v>11854</v>
      </c>
      <c r="D2865">
        <v>700</v>
      </c>
      <c r="E2865" t="s">
        <v>11791</v>
      </c>
      <c r="F2865" t="str">
        <f>VLOOKUP(E2865,country_continent!A:C,2,FALSE)</f>
        <v>Afghanistan</v>
      </c>
      <c r="G2865" t="str">
        <f>VLOOKUP(E2865,country_continent!A:C,3,FALSE)</f>
        <v>Asia</v>
      </c>
      <c r="H2865" t="s">
        <v>11855</v>
      </c>
      <c r="I2865" s="1">
        <v>19609</v>
      </c>
      <c r="J2865" s="3">
        <f t="shared" si="132"/>
        <v>19609</v>
      </c>
      <c r="K2865" s="1">
        <v>23080</v>
      </c>
      <c r="L2865" s="3">
        <f t="shared" si="133"/>
        <v>23080</v>
      </c>
      <c r="M2865" t="s">
        <v>67</v>
      </c>
      <c r="N2865" t="s">
        <v>49</v>
      </c>
      <c r="O2865" t="s">
        <v>49</v>
      </c>
      <c r="P2865">
        <v>0</v>
      </c>
      <c r="Q2865" t="s">
        <v>50</v>
      </c>
      <c r="R2865" t="s">
        <v>51</v>
      </c>
      <c r="S2865">
        <v>1909</v>
      </c>
      <c r="T2865">
        <v>1978</v>
      </c>
      <c r="U2865" s="1">
        <v>3487</v>
      </c>
      <c r="V2865" s="2">
        <v>3487</v>
      </c>
      <c r="W2865" s="1">
        <v>28607</v>
      </c>
      <c r="X2865" s="2">
        <v>28607</v>
      </c>
      <c r="Y2865" t="s">
        <v>11856</v>
      </c>
      <c r="Z2865">
        <v>1</v>
      </c>
      <c r="AA2865">
        <v>1</v>
      </c>
      <c r="AB2865">
        <v>0</v>
      </c>
      <c r="AC2865">
        <v>0</v>
      </c>
      <c r="AF2865">
        <v>1953</v>
      </c>
      <c r="AG2865">
        <v>1963</v>
      </c>
      <c r="AK2865">
        <v>344.974999999999</v>
      </c>
      <c r="AL2865">
        <v>2.0373233936447002</v>
      </c>
      <c r="AN2865">
        <v>-10</v>
      </c>
      <c r="AO2865" t="b">
        <v>1</v>
      </c>
      <c r="AP2865" t="s">
        <v>4202</v>
      </c>
      <c r="AQ2865">
        <v>1920</v>
      </c>
      <c r="AR2865">
        <v>1946</v>
      </c>
      <c r="AS2865" t="s">
        <v>11857</v>
      </c>
      <c r="AT2865">
        <v>9.5030800821355204</v>
      </c>
      <c r="AU2865">
        <f t="shared" si="134"/>
        <v>2.5999999999999999E-2</v>
      </c>
    </row>
    <row r="2866" spans="1:47" x14ac:dyDescent="0.3">
      <c r="A2866">
        <v>2864</v>
      </c>
      <c r="B2866" t="s">
        <v>11858</v>
      </c>
      <c r="C2866" t="s">
        <v>11859</v>
      </c>
      <c r="D2866">
        <v>700</v>
      </c>
      <c r="E2866" t="s">
        <v>11791</v>
      </c>
      <c r="F2866" t="str">
        <f>VLOOKUP(E2866,country_continent!A:C,2,FALSE)</f>
        <v>Afghanistan</v>
      </c>
      <c r="G2866" t="str">
        <f>VLOOKUP(E2866,country_continent!A:C,3,FALSE)</f>
        <v>Asia</v>
      </c>
      <c r="H2866" t="s">
        <v>11860</v>
      </c>
      <c r="I2866" s="1">
        <v>23080</v>
      </c>
      <c r="J2866" s="3">
        <f t="shared" si="132"/>
        <v>23080</v>
      </c>
      <c r="K2866" s="1">
        <v>24048</v>
      </c>
      <c r="L2866" s="3">
        <f t="shared" si="133"/>
        <v>24048</v>
      </c>
      <c r="M2866" t="s">
        <v>49</v>
      </c>
      <c r="N2866" t="s">
        <v>49</v>
      </c>
      <c r="O2866" t="s">
        <v>49</v>
      </c>
      <c r="P2866">
        <v>0</v>
      </c>
      <c r="Q2866" t="s">
        <v>50</v>
      </c>
      <c r="R2866" t="s">
        <v>51</v>
      </c>
      <c r="S2866">
        <v>1917</v>
      </c>
      <c r="T2866">
        <v>1998</v>
      </c>
      <c r="Z2866">
        <v>0</v>
      </c>
      <c r="AA2866">
        <v>1</v>
      </c>
      <c r="AB2866">
        <v>0</v>
      </c>
      <c r="AC2866">
        <v>0</v>
      </c>
      <c r="AF2866">
        <v>1963</v>
      </c>
      <c r="AG2866">
        <v>1965</v>
      </c>
      <c r="AK2866">
        <v>331.666666666666</v>
      </c>
      <c r="AL2866">
        <v>2.1667040923491898</v>
      </c>
      <c r="AN2866">
        <v>-8</v>
      </c>
      <c r="AO2866" t="b">
        <v>1</v>
      </c>
      <c r="AP2866" t="s">
        <v>4202</v>
      </c>
      <c r="AQ2866">
        <v>1920</v>
      </c>
      <c r="AR2866">
        <v>1946</v>
      </c>
      <c r="AS2866" t="s">
        <v>11861</v>
      </c>
      <c r="AT2866">
        <v>2.6502395619438701</v>
      </c>
      <c r="AU2866">
        <f t="shared" si="134"/>
        <v>7.0000000000000001E-3</v>
      </c>
    </row>
    <row r="2867" spans="1:47" x14ac:dyDescent="0.3">
      <c r="A2867">
        <v>2865</v>
      </c>
      <c r="B2867" t="s">
        <v>11862</v>
      </c>
      <c r="C2867" t="s">
        <v>11863</v>
      </c>
      <c r="D2867">
        <v>700</v>
      </c>
      <c r="E2867" t="s">
        <v>11791</v>
      </c>
      <c r="F2867" t="str">
        <f>VLOOKUP(E2867,country_continent!A:C,2,FALSE)</f>
        <v>Afghanistan</v>
      </c>
      <c r="G2867" t="str">
        <f>VLOOKUP(E2867,country_continent!A:C,3,FALSE)</f>
        <v>Asia</v>
      </c>
      <c r="H2867" t="s">
        <v>11864</v>
      </c>
      <c r="I2867" s="1">
        <v>24048</v>
      </c>
      <c r="J2867" s="3">
        <f t="shared" si="132"/>
        <v>24048</v>
      </c>
      <c r="K2867" s="1">
        <v>24756</v>
      </c>
      <c r="L2867" s="3">
        <f t="shared" si="133"/>
        <v>24756</v>
      </c>
      <c r="M2867" t="s">
        <v>49</v>
      </c>
      <c r="N2867" t="s">
        <v>228</v>
      </c>
      <c r="O2867" t="s">
        <v>49</v>
      </c>
      <c r="P2867">
        <v>0</v>
      </c>
      <c r="Q2867" t="s">
        <v>50</v>
      </c>
      <c r="R2867" t="s">
        <v>51</v>
      </c>
      <c r="S2867">
        <v>1919</v>
      </c>
      <c r="T2867">
        <v>1973</v>
      </c>
      <c r="Z2867">
        <v>0</v>
      </c>
      <c r="AA2867">
        <v>2.0999998999999998</v>
      </c>
      <c r="AB2867">
        <v>0</v>
      </c>
      <c r="AC2867">
        <v>0</v>
      </c>
      <c r="AF2867">
        <v>1965</v>
      </c>
      <c r="AG2867">
        <v>1967</v>
      </c>
      <c r="AK2867">
        <v>321.53333333333302</v>
      </c>
      <c r="AL2867">
        <v>2.2700093386492601</v>
      </c>
      <c r="AN2867">
        <v>-7</v>
      </c>
      <c r="AO2867" t="b">
        <v>1</v>
      </c>
      <c r="AP2867" t="s">
        <v>4202</v>
      </c>
      <c r="AQ2867">
        <v>1920</v>
      </c>
      <c r="AR2867">
        <v>1946</v>
      </c>
      <c r="AS2867" t="s">
        <v>11865</v>
      </c>
      <c r="AT2867">
        <v>1.93839835728952</v>
      </c>
      <c r="AU2867">
        <f t="shared" si="134"/>
        <v>5.0000000000000001E-3</v>
      </c>
    </row>
    <row r="2868" spans="1:47" x14ac:dyDescent="0.3">
      <c r="A2868">
        <v>2866</v>
      </c>
      <c r="B2868" t="s">
        <v>11866</v>
      </c>
      <c r="C2868" t="s">
        <v>11867</v>
      </c>
      <c r="D2868">
        <v>700</v>
      </c>
      <c r="E2868" t="s">
        <v>11791</v>
      </c>
      <c r="F2868" t="str">
        <f>VLOOKUP(E2868,country_continent!A:C,2,FALSE)</f>
        <v>Afghanistan</v>
      </c>
      <c r="G2868" t="str">
        <f>VLOOKUP(E2868,country_continent!A:C,3,FALSE)</f>
        <v>Asia</v>
      </c>
      <c r="H2868" t="s">
        <v>11868</v>
      </c>
      <c r="I2868" s="1">
        <v>24756</v>
      </c>
      <c r="J2868" s="3">
        <f t="shared" si="132"/>
        <v>24756</v>
      </c>
      <c r="K2868" s="1">
        <v>24777</v>
      </c>
      <c r="L2868" s="3">
        <f t="shared" si="133"/>
        <v>24777</v>
      </c>
      <c r="M2868" t="s">
        <v>49</v>
      </c>
      <c r="N2868" t="s">
        <v>49</v>
      </c>
      <c r="O2868" t="s">
        <v>49</v>
      </c>
      <c r="P2868">
        <v>0</v>
      </c>
      <c r="Q2868" t="s">
        <v>50</v>
      </c>
      <c r="R2868" t="s">
        <v>51</v>
      </c>
      <c r="S2868">
        <v>1914</v>
      </c>
      <c r="T2868">
        <v>2003</v>
      </c>
      <c r="Y2868" t="s">
        <v>11869</v>
      </c>
      <c r="Z2868">
        <v>0</v>
      </c>
      <c r="AA2868">
        <v>1</v>
      </c>
      <c r="AB2868">
        <v>0</v>
      </c>
      <c r="AC2868">
        <v>0</v>
      </c>
      <c r="AF2868">
        <v>1967</v>
      </c>
      <c r="AG2868">
        <v>1967</v>
      </c>
      <c r="AK2868">
        <v>316.60000000000002</v>
      </c>
      <c r="AL2868">
        <v>2.30666800699098</v>
      </c>
      <c r="AN2868">
        <v>-7</v>
      </c>
      <c r="AO2868" t="b">
        <v>1</v>
      </c>
      <c r="AP2868" t="s">
        <v>4202</v>
      </c>
      <c r="AQ2868">
        <v>1920</v>
      </c>
      <c r="AR2868">
        <v>1946</v>
      </c>
      <c r="AS2868" t="s">
        <v>11870</v>
      </c>
      <c r="AT2868">
        <v>5.7494866529774098E-2</v>
      </c>
      <c r="AU2868">
        <f t="shared" si="134"/>
        <v>0</v>
      </c>
    </row>
    <row r="2869" spans="1:47" x14ac:dyDescent="0.3">
      <c r="A2869">
        <v>2867</v>
      </c>
      <c r="B2869" t="s">
        <v>11871</v>
      </c>
      <c r="C2869" t="s">
        <v>11872</v>
      </c>
      <c r="D2869">
        <v>700</v>
      </c>
      <c r="E2869" t="s">
        <v>11791</v>
      </c>
      <c r="F2869" t="str">
        <f>VLOOKUP(E2869,country_continent!A:C,2,FALSE)</f>
        <v>Afghanistan</v>
      </c>
      <c r="G2869" t="str">
        <f>VLOOKUP(E2869,country_continent!A:C,3,FALSE)</f>
        <v>Asia</v>
      </c>
      <c r="H2869" t="s">
        <v>11873</v>
      </c>
      <c r="I2869" s="1">
        <v>24777</v>
      </c>
      <c r="J2869" s="3">
        <f t="shared" si="132"/>
        <v>24777</v>
      </c>
      <c r="K2869" s="1">
        <v>26093</v>
      </c>
      <c r="L2869" s="3">
        <f t="shared" si="133"/>
        <v>26093</v>
      </c>
      <c r="M2869" t="s">
        <v>49</v>
      </c>
      <c r="N2869" t="s">
        <v>49</v>
      </c>
      <c r="O2869" t="s">
        <v>49</v>
      </c>
      <c r="P2869">
        <v>0</v>
      </c>
      <c r="Q2869" t="s">
        <v>50</v>
      </c>
      <c r="R2869" t="s">
        <v>51</v>
      </c>
      <c r="S2869">
        <v>1921</v>
      </c>
      <c r="T2869">
        <v>1979</v>
      </c>
      <c r="Z2869">
        <v>0</v>
      </c>
      <c r="AA2869">
        <v>1</v>
      </c>
      <c r="AB2869">
        <v>0</v>
      </c>
      <c r="AC2869">
        <v>0</v>
      </c>
      <c r="AF2869">
        <v>1967</v>
      </c>
      <c r="AG2869">
        <v>1971</v>
      </c>
      <c r="AK2869">
        <v>306.54000000000002</v>
      </c>
      <c r="AL2869">
        <v>2.38675877545325</v>
      </c>
      <c r="AM2869">
        <v>0.95656899691162001</v>
      </c>
      <c r="AN2869">
        <v>-7</v>
      </c>
      <c r="AO2869" t="b">
        <v>1</v>
      </c>
      <c r="AP2869" t="s">
        <v>4202</v>
      </c>
      <c r="AQ2869">
        <v>1920</v>
      </c>
      <c r="AR2869">
        <v>1946</v>
      </c>
      <c r="AS2869" t="s">
        <v>11874</v>
      </c>
      <c r="AT2869">
        <v>3.6030116358658399</v>
      </c>
      <c r="AU2869">
        <f t="shared" si="134"/>
        <v>0.01</v>
      </c>
    </row>
    <row r="2870" spans="1:47" x14ac:dyDescent="0.3">
      <c r="A2870">
        <v>2868</v>
      </c>
      <c r="B2870" t="s">
        <v>11875</v>
      </c>
      <c r="C2870" t="s">
        <v>11876</v>
      </c>
      <c r="D2870">
        <v>700</v>
      </c>
      <c r="E2870" t="s">
        <v>11791</v>
      </c>
      <c r="F2870" t="str">
        <f>VLOOKUP(E2870,country_continent!A:C,2,FALSE)</f>
        <v>Afghanistan</v>
      </c>
      <c r="G2870" t="str">
        <f>VLOOKUP(E2870,country_continent!A:C,3,FALSE)</f>
        <v>Asia</v>
      </c>
      <c r="H2870" t="s">
        <v>11877</v>
      </c>
      <c r="I2870" s="1">
        <v>26093</v>
      </c>
      <c r="J2870" s="3">
        <f t="shared" si="132"/>
        <v>26093</v>
      </c>
      <c r="K2870" s="1">
        <v>26639</v>
      </c>
      <c r="L2870" s="3">
        <f t="shared" si="133"/>
        <v>26639</v>
      </c>
      <c r="M2870" t="s">
        <v>49</v>
      </c>
      <c r="N2870" t="s">
        <v>49</v>
      </c>
      <c r="O2870" t="s">
        <v>49</v>
      </c>
      <c r="P2870">
        <v>0</v>
      </c>
      <c r="Q2870" t="s">
        <v>50</v>
      </c>
      <c r="R2870" t="s">
        <v>51</v>
      </c>
      <c r="S2870">
        <v>1910</v>
      </c>
      <c r="T2870">
        <v>1982</v>
      </c>
      <c r="Z2870">
        <v>0</v>
      </c>
      <c r="AA2870">
        <v>1</v>
      </c>
      <c r="AB2870">
        <v>0</v>
      </c>
      <c r="AC2870">
        <v>0</v>
      </c>
      <c r="AF2870">
        <v>1971</v>
      </c>
      <c r="AG2870">
        <v>1972</v>
      </c>
      <c r="AK2870">
        <v>293.95</v>
      </c>
      <c r="AL2870">
        <v>2.4355501060465898</v>
      </c>
      <c r="AM2870">
        <v>1.1153902958933599</v>
      </c>
      <c r="AN2870">
        <v>-7</v>
      </c>
      <c r="AO2870" t="b">
        <v>1</v>
      </c>
      <c r="AP2870" t="s">
        <v>4202</v>
      </c>
      <c r="AQ2870">
        <v>1920</v>
      </c>
      <c r="AR2870">
        <v>1946</v>
      </c>
      <c r="AS2870" t="s">
        <v>11878</v>
      </c>
      <c r="AT2870">
        <v>1.4948665297741199</v>
      </c>
      <c r="AU2870">
        <f t="shared" si="134"/>
        <v>4.0000000000000001E-3</v>
      </c>
    </row>
    <row r="2871" spans="1:47" x14ac:dyDescent="0.3">
      <c r="A2871">
        <v>2869</v>
      </c>
      <c r="B2871" t="s">
        <v>11879</v>
      </c>
      <c r="C2871" t="s">
        <v>11880</v>
      </c>
      <c r="D2871">
        <v>700</v>
      </c>
      <c r="E2871" t="s">
        <v>11791</v>
      </c>
      <c r="F2871" t="str">
        <f>VLOOKUP(E2871,country_continent!A:C,2,FALSE)</f>
        <v>Afghanistan</v>
      </c>
      <c r="G2871" t="str">
        <f>VLOOKUP(E2871,country_continent!A:C,3,FALSE)</f>
        <v>Asia</v>
      </c>
      <c r="H2871" t="s">
        <v>11881</v>
      </c>
      <c r="I2871" s="1">
        <v>26645</v>
      </c>
      <c r="J2871" s="3">
        <f t="shared" si="132"/>
        <v>26645</v>
      </c>
      <c r="K2871" s="1">
        <v>26862</v>
      </c>
      <c r="L2871" s="3">
        <f t="shared" si="133"/>
        <v>26862</v>
      </c>
      <c r="M2871" t="s">
        <v>49</v>
      </c>
      <c r="N2871" t="s">
        <v>67</v>
      </c>
      <c r="O2871" t="s">
        <v>376</v>
      </c>
      <c r="P2871">
        <v>0</v>
      </c>
      <c r="Q2871" t="s">
        <v>463</v>
      </c>
      <c r="R2871" t="s">
        <v>51</v>
      </c>
      <c r="S2871">
        <v>1932</v>
      </c>
      <c r="T2871">
        <v>1979</v>
      </c>
      <c r="Z2871">
        <v>0</v>
      </c>
      <c r="AA2871">
        <v>3</v>
      </c>
      <c r="AB2871">
        <v>6</v>
      </c>
      <c r="AC2871">
        <v>2</v>
      </c>
      <c r="AF2871">
        <v>1972</v>
      </c>
      <c r="AG2871">
        <v>1973</v>
      </c>
      <c r="AK2871">
        <v>288.64999999999998</v>
      </c>
      <c r="AL2871">
        <v>2.4886714190567898</v>
      </c>
      <c r="AM2871">
        <v>1.4346823026956701</v>
      </c>
      <c r="AN2871">
        <v>-7</v>
      </c>
      <c r="AO2871" t="b">
        <v>1</v>
      </c>
      <c r="AP2871" t="s">
        <v>4202</v>
      </c>
      <c r="AQ2871">
        <v>1920</v>
      </c>
      <c r="AR2871">
        <v>1946</v>
      </c>
      <c r="AS2871" t="s">
        <v>11882</v>
      </c>
      <c r="AT2871">
        <v>0.59411362080766505</v>
      </c>
      <c r="AU2871">
        <f t="shared" si="134"/>
        <v>2E-3</v>
      </c>
    </row>
    <row r="2872" spans="1:47" x14ac:dyDescent="0.3">
      <c r="A2872">
        <v>2870</v>
      </c>
      <c r="B2872" t="s">
        <v>11883</v>
      </c>
      <c r="C2872" t="s">
        <v>11854</v>
      </c>
      <c r="D2872">
        <v>700</v>
      </c>
      <c r="E2872" t="s">
        <v>11791</v>
      </c>
      <c r="F2872" t="str">
        <f>VLOOKUP(E2872,country_continent!A:C,2,FALSE)</f>
        <v>Afghanistan</v>
      </c>
      <c r="G2872" t="str">
        <f>VLOOKUP(E2872,country_continent!A:C,3,FALSE)</f>
        <v>Asia</v>
      </c>
      <c r="H2872" t="s">
        <v>11855</v>
      </c>
      <c r="I2872" s="1">
        <v>26862</v>
      </c>
      <c r="J2872" s="3">
        <f t="shared" si="132"/>
        <v>26862</v>
      </c>
      <c r="K2872" s="1">
        <v>28607</v>
      </c>
      <c r="L2872" s="3">
        <f t="shared" si="133"/>
        <v>28607</v>
      </c>
      <c r="M2872" t="s">
        <v>67</v>
      </c>
      <c r="N2872" t="s">
        <v>67</v>
      </c>
      <c r="O2872" t="s">
        <v>376</v>
      </c>
      <c r="P2872">
        <v>1</v>
      </c>
      <c r="Q2872" t="s">
        <v>69</v>
      </c>
      <c r="R2872" t="s">
        <v>51</v>
      </c>
      <c r="S2872">
        <v>1909</v>
      </c>
      <c r="T2872">
        <v>1978</v>
      </c>
      <c r="U2872" s="1">
        <v>3487</v>
      </c>
      <c r="V2872" s="2">
        <v>3487</v>
      </c>
      <c r="W2872" s="1">
        <v>28607</v>
      </c>
      <c r="X2872" s="2">
        <v>28607</v>
      </c>
      <c r="Y2872" t="s">
        <v>11856</v>
      </c>
      <c r="Z2872">
        <v>1</v>
      </c>
      <c r="AA2872">
        <v>3</v>
      </c>
      <c r="AB2872">
        <v>6</v>
      </c>
      <c r="AC2872">
        <v>3</v>
      </c>
      <c r="AF2872">
        <v>1973</v>
      </c>
      <c r="AG2872">
        <v>1978</v>
      </c>
      <c r="AK2872">
        <v>272.183333333333</v>
      </c>
      <c r="AL2872">
        <v>2.3045161900755402</v>
      </c>
      <c r="AM2872">
        <v>2.36986840046798</v>
      </c>
      <c r="AN2872">
        <v>-5.83</v>
      </c>
      <c r="AO2872" t="b">
        <v>1</v>
      </c>
      <c r="AP2872" t="s">
        <v>4202</v>
      </c>
      <c r="AQ2872">
        <v>1920</v>
      </c>
      <c r="AR2872">
        <v>1946</v>
      </c>
      <c r="AS2872" t="s">
        <v>11884</v>
      </c>
      <c r="AT2872">
        <v>4.7775496235455099</v>
      </c>
      <c r="AU2872">
        <f t="shared" si="134"/>
        <v>1.2999999999999999E-2</v>
      </c>
    </row>
    <row r="2873" spans="1:47" x14ac:dyDescent="0.3">
      <c r="A2873">
        <v>2871</v>
      </c>
      <c r="B2873" t="s">
        <v>11885</v>
      </c>
      <c r="C2873" t="s">
        <v>11886</v>
      </c>
      <c r="D2873">
        <v>700</v>
      </c>
      <c r="E2873" t="s">
        <v>11791</v>
      </c>
      <c r="F2873" t="str">
        <f>VLOOKUP(E2873,country_continent!A:C,2,FALSE)</f>
        <v>Afghanistan</v>
      </c>
      <c r="G2873" t="str">
        <f>VLOOKUP(E2873,country_continent!A:C,3,FALSE)</f>
        <v>Asia</v>
      </c>
      <c r="H2873" t="s">
        <v>11887</v>
      </c>
      <c r="I2873" s="1">
        <v>28610</v>
      </c>
      <c r="J2873" s="3">
        <f t="shared" si="132"/>
        <v>28610</v>
      </c>
      <c r="K2873" s="1">
        <v>28941</v>
      </c>
      <c r="L2873" s="3">
        <f t="shared" si="133"/>
        <v>28941</v>
      </c>
      <c r="M2873" t="s">
        <v>67</v>
      </c>
      <c r="N2873" t="s">
        <v>67</v>
      </c>
      <c r="O2873" t="s">
        <v>2001</v>
      </c>
      <c r="P2873">
        <v>0</v>
      </c>
      <c r="Q2873" t="s">
        <v>69</v>
      </c>
      <c r="R2873" t="s">
        <v>51</v>
      </c>
      <c r="S2873">
        <v>1917</v>
      </c>
      <c r="T2873">
        <v>1979</v>
      </c>
      <c r="Z2873">
        <v>1</v>
      </c>
      <c r="AA2873">
        <v>3</v>
      </c>
      <c r="AB2873">
        <v>8</v>
      </c>
      <c r="AC2873">
        <v>3</v>
      </c>
      <c r="AF2873">
        <v>1978</v>
      </c>
      <c r="AG2873">
        <v>1979</v>
      </c>
      <c r="AK2873">
        <v>254.9</v>
      </c>
      <c r="AL2873">
        <v>1.1661783384645199</v>
      </c>
      <c r="AM2873">
        <v>2.34312719980981</v>
      </c>
      <c r="AN2873">
        <v>0</v>
      </c>
      <c r="AO2873" t="b">
        <v>1</v>
      </c>
      <c r="AP2873" t="s">
        <v>4202</v>
      </c>
      <c r="AQ2873">
        <v>1920</v>
      </c>
      <c r="AR2873">
        <v>1946</v>
      </c>
      <c r="AS2873" t="s">
        <v>11888</v>
      </c>
      <c r="AT2873">
        <v>0.90622861054072501</v>
      </c>
      <c r="AU2873">
        <f t="shared" si="134"/>
        <v>2E-3</v>
      </c>
    </row>
    <row r="2874" spans="1:47" x14ac:dyDescent="0.3">
      <c r="A2874">
        <v>2872</v>
      </c>
      <c r="B2874" t="s">
        <v>11889</v>
      </c>
      <c r="C2874" t="s">
        <v>11890</v>
      </c>
      <c r="D2874">
        <v>700</v>
      </c>
      <c r="E2874" t="s">
        <v>11791</v>
      </c>
      <c r="F2874" t="str">
        <f>VLOOKUP(E2874,country_continent!A:C,2,FALSE)</f>
        <v>Afghanistan</v>
      </c>
      <c r="G2874" t="str">
        <f>VLOOKUP(E2874,country_continent!A:C,3,FALSE)</f>
        <v>Asia</v>
      </c>
      <c r="H2874" t="s">
        <v>10192</v>
      </c>
      <c r="I2874" s="1">
        <v>28941</v>
      </c>
      <c r="J2874" s="3">
        <f t="shared" si="132"/>
        <v>28941</v>
      </c>
      <c r="K2874" s="1">
        <v>29216</v>
      </c>
      <c r="L2874" s="3">
        <f t="shared" si="133"/>
        <v>29216</v>
      </c>
      <c r="M2874" t="s">
        <v>67</v>
      </c>
      <c r="N2874" t="s">
        <v>67</v>
      </c>
      <c r="O2874" t="s">
        <v>3362</v>
      </c>
      <c r="P2874">
        <v>0</v>
      </c>
      <c r="Q2874" t="s">
        <v>69</v>
      </c>
      <c r="R2874" t="s">
        <v>51</v>
      </c>
      <c r="S2874">
        <v>1929</v>
      </c>
      <c r="T2874">
        <v>1979</v>
      </c>
      <c r="U2874" s="1">
        <v>10806</v>
      </c>
      <c r="V2874" s="2">
        <v>10806</v>
      </c>
      <c r="Y2874" t="s">
        <v>11891</v>
      </c>
      <c r="Z2874">
        <v>1</v>
      </c>
      <c r="AA2874">
        <v>3</v>
      </c>
      <c r="AB2874">
        <v>7</v>
      </c>
      <c r="AC2874">
        <v>3</v>
      </c>
      <c r="AF2874">
        <v>1979</v>
      </c>
      <c r="AG2874">
        <v>1979</v>
      </c>
      <c r="AK2874">
        <v>251.9</v>
      </c>
      <c r="AL2874">
        <v>0.32365882256068401</v>
      </c>
      <c r="AM2874">
        <v>2.44138287465658</v>
      </c>
      <c r="AO2874" t="b">
        <v>1</v>
      </c>
      <c r="AP2874" t="s">
        <v>4202</v>
      </c>
      <c r="AQ2874">
        <v>1920</v>
      </c>
      <c r="AR2874">
        <v>1946</v>
      </c>
      <c r="AS2874" t="s">
        <v>11892</v>
      </c>
      <c r="AT2874">
        <v>0.75290896646132699</v>
      </c>
      <c r="AU2874">
        <f t="shared" si="134"/>
        <v>2E-3</v>
      </c>
    </row>
    <row r="2875" spans="1:47" x14ac:dyDescent="0.3">
      <c r="A2875">
        <v>2873</v>
      </c>
      <c r="B2875" t="s">
        <v>11893</v>
      </c>
      <c r="C2875" t="s">
        <v>11894</v>
      </c>
      <c r="D2875">
        <v>700</v>
      </c>
      <c r="E2875" t="s">
        <v>11791</v>
      </c>
      <c r="F2875" t="str">
        <f>VLOOKUP(E2875,country_continent!A:C,2,FALSE)</f>
        <v>Afghanistan</v>
      </c>
      <c r="G2875" t="str">
        <f>VLOOKUP(E2875,country_continent!A:C,3,FALSE)</f>
        <v>Asia</v>
      </c>
      <c r="H2875" t="s">
        <v>11895</v>
      </c>
      <c r="I2875" s="1">
        <v>29216</v>
      </c>
      <c r="J2875" s="3">
        <f t="shared" si="132"/>
        <v>29216</v>
      </c>
      <c r="K2875" s="1">
        <v>31536</v>
      </c>
      <c r="L2875" s="3">
        <f t="shared" si="133"/>
        <v>31536</v>
      </c>
      <c r="M2875" t="s">
        <v>67</v>
      </c>
      <c r="N2875" t="s">
        <v>633</v>
      </c>
      <c r="O2875" t="s">
        <v>634</v>
      </c>
      <c r="P2875">
        <v>0</v>
      </c>
      <c r="Q2875" t="s">
        <v>362</v>
      </c>
      <c r="R2875" t="s">
        <v>51</v>
      </c>
      <c r="S2875">
        <v>1929</v>
      </c>
      <c r="T2875">
        <v>1996</v>
      </c>
      <c r="U2875" s="1">
        <v>10599</v>
      </c>
      <c r="V2875" s="2">
        <v>10599</v>
      </c>
      <c r="W2875" s="1">
        <v>35400</v>
      </c>
      <c r="X2875" s="2">
        <v>35400</v>
      </c>
      <c r="Y2875" t="s">
        <v>11896</v>
      </c>
      <c r="Z2875">
        <v>1</v>
      </c>
      <c r="AA2875">
        <v>4</v>
      </c>
      <c r="AB2875">
        <v>9</v>
      </c>
      <c r="AC2875">
        <v>1</v>
      </c>
      <c r="AF2875">
        <v>1979</v>
      </c>
      <c r="AG2875">
        <v>1986</v>
      </c>
      <c r="AK2875">
        <v>269.3</v>
      </c>
      <c r="AL2875">
        <v>-2.1942250627848301</v>
      </c>
      <c r="AM2875">
        <v>2.3329256869251802</v>
      </c>
      <c r="AO2875" t="b">
        <v>1</v>
      </c>
      <c r="AP2875" t="s">
        <v>4202</v>
      </c>
      <c r="AQ2875">
        <v>1920</v>
      </c>
      <c r="AR2875">
        <v>1946</v>
      </c>
      <c r="AS2875" t="s">
        <v>11897</v>
      </c>
      <c r="AT2875">
        <v>6.3518138261464703</v>
      </c>
      <c r="AU2875">
        <f t="shared" si="134"/>
        <v>1.7000000000000001E-2</v>
      </c>
    </row>
    <row r="2876" spans="1:47" x14ac:dyDescent="0.3">
      <c r="A2876">
        <v>2874</v>
      </c>
      <c r="B2876" t="s">
        <v>11898</v>
      </c>
      <c r="C2876" t="s">
        <v>11899</v>
      </c>
      <c r="D2876">
        <v>700</v>
      </c>
      <c r="E2876" t="s">
        <v>11791</v>
      </c>
      <c r="F2876" t="str">
        <f>VLOOKUP(E2876,country_continent!A:C,2,FALSE)</f>
        <v>Afghanistan</v>
      </c>
      <c r="G2876" t="str">
        <f>VLOOKUP(E2876,country_continent!A:C,3,FALSE)</f>
        <v>Asia</v>
      </c>
      <c r="H2876" t="s">
        <v>11900</v>
      </c>
      <c r="I2876" s="1">
        <v>31536</v>
      </c>
      <c r="J2876" s="3">
        <f t="shared" si="132"/>
        <v>31536</v>
      </c>
      <c r="K2876" s="1">
        <v>33710</v>
      </c>
      <c r="L2876" s="3">
        <f t="shared" si="133"/>
        <v>33710</v>
      </c>
      <c r="M2876" t="s">
        <v>67</v>
      </c>
      <c r="N2876" t="s">
        <v>67</v>
      </c>
      <c r="O2876" t="s">
        <v>433</v>
      </c>
      <c r="P2876">
        <v>0</v>
      </c>
      <c r="Q2876" t="s">
        <v>362</v>
      </c>
      <c r="R2876" t="s">
        <v>51</v>
      </c>
      <c r="S2876">
        <v>1947</v>
      </c>
      <c r="T2876">
        <v>1996</v>
      </c>
      <c r="U2876" s="1">
        <v>17385</v>
      </c>
      <c r="V2876" s="2">
        <v>17385</v>
      </c>
      <c r="W2876" s="1">
        <v>35335</v>
      </c>
      <c r="X2876" s="2">
        <v>35335</v>
      </c>
      <c r="Z2876">
        <v>1</v>
      </c>
      <c r="AA2876">
        <v>3</v>
      </c>
      <c r="AB2876">
        <v>4</v>
      </c>
      <c r="AC2876">
        <v>1</v>
      </c>
      <c r="AF2876">
        <v>1986</v>
      </c>
      <c r="AG2876">
        <v>1992</v>
      </c>
      <c r="AK2876">
        <v>204.2</v>
      </c>
      <c r="AL2876">
        <v>2.14594082468111</v>
      </c>
      <c r="AN2876">
        <v>-6</v>
      </c>
      <c r="AO2876" t="b">
        <v>1</v>
      </c>
      <c r="AP2876" t="s">
        <v>4202</v>
      </c>
      <c r="AQ2876">
        <v>1920</v>
      </c>
      <c r="AR2876">
        <v>1946</v>
      </c>
      <c r="AS2876" t="s">
        <v>11901</v>
      </c>
      <c r="AT2876">
        <v>5.9520876112251804</v>
      </c>
      <c r="AU2876">
        <f t="shared" si="134"/>
        <v>1.6E-2</v>
      </c>
    </row>
    <row r="2877" spans="1:47" x14ac:dyDescent="0.3">
      <c r="A2877">
        <v>2875</v>
      </c>
      <c r="B2877" t="s">
        <v>11902</v>
      </c>
      <c r="C2877" t="s">
        <v>11903</v>
      </c>
      <c r="D2877">
        <v>700</v>
      </c>
      <c r="E2877" t="s">
        <v>11791</v>
      </c>
      <c r="F2877" t="str">
        <f>VLOOKUP(E2877,country_continent!A:C,2,FALSE)</f>
        <v>Afghanistan</v>
      </c>
      <c r="G2877" t="str">
        <f>VLOOKUP(E2877,country_continent!A:C,3,FALSE)</f>
        <v>Asia</v>
      </c>
      <c r="H2877" t="s">
        <v>11904</v>
      </c>
      <c r="I2877" s="1">
        <v>33722</v>
      </c>
      <c r="J2877" s="3">
        <f t="shared" si="132"/>
        <v>33722</v>
      </c>
      <c r="K2877" s="1">
        <v>33783</v>
      </c>
      <c r="L2877" s="3">
        <f t="shared" si="133"/>
        <v>33783</v>
      </c>
      <c r="M2877" t="s">
        <v>67</v>
      </c>
      <c r="N2877" t="s">
        <v>49</v>
      </c>
      <c r="O2877" t="s">
        <v>49</v>
      </c>
      <c r="P2877">
        <v>0</v>
      </c>
      <c r="Q2877" t="s">
        <v>1453</v>
      </c>
      <c r="R2877" t="s">
        <v>51</v>
      </c>
      <c r="S2877">
        <v>1926</v>
      </c>
      <c r="T2877">
        <v>-777</v>
      </c>
      <c r="Z2877">
        <v>1</v>
      </c>
      <c r="AA2877">
        <v>1</v>
      </c>
      <c r="AB2877">
        <v>0</v>
      </c>
      <c r="AC2877">
        <v>-666</v>
      </c>
      <c r="AF2877">
        <v>1992</v>
      </c>
      <c r="AG2877">
        <v>1992</v>
      </c>
      <c r="AK2877">
        <v>168.5</v>
      </c>
      <c r="AL2877">
        <v>8.1564194104809502</v>
      </c>
      <c r="AN2877">
        <v>0</v>
      </c>
      <c r="AO2877" t="b">
        <v>1</v>
      </c>
      <c r="AP2877" t="s">
        <v>4202</v>
      </c>
      <c r="AQ2877">
        <v>1920</v>
      </c>
      <c r="AR2877">
        <v>1946</v>
      </c>
      <c r="AS2877" t="s">
        <v>11905</v>
      </c>
      <c r="AT2877">
        <v>0.167008898015058</v>
      </c>
      <c r="AU2877">
        <f t="shared" si="134"/>
        <v>0</v>
      </c>
    </row>
    <row r="2878" spans="1:47" x14ac:dyDescent="0.3">
      <c r="A2878">
        <v>2876</v>
      </c>
      <c r="B2878" t="s">
        <v>11906</v>
      </c>
      <c r="C2878" t="s">
        <v>11907</v>
      </c>
      <c r="D2878">
        <v>700</v>
      </c>
      <c r="E2878" t="s">
        <v>11791</v>
      </c>
      <c r="F2878" t="str">
        <f>VLOOKUP(E2878,country_continent!A:C,2,FALSE)</f>
        <v>Afghanistan</v>
      </c>
      <c r="G2878" t="str">
        <f>VLOOKUP(E2878,country_continent!A:C,3,FALSE)</f>
        <v>Asia</v>
      </c>
      <c r="H2878" t="s">
        <v>11908</v>
      </c>
      <c r="I2878" s="1">
        <v>33783</v>
      </c>
      <c r="J2878" s="3">
        <f t="shared" si="132"/>
        <v>33783</v>
      </c>
      <c r="K2878" s="1">
        <v>35335</v>
      </c>
      <c r="L2878" s="3">
        <f t="shared" si="133"/>
        <v>35335</v>
      </c>
      <c r="M2878" t="s">
        <v>49</v>
      </c>
      <c r="N2878" t="s">
        <v>67</v>
      </c>
      <c r="O2878" t="s">
        <v>433</v>
      </c>
      <c r="P2878">
        <v>0</v>
      </c>
      <c r="Q2878" t="s">
        <v>50</v>
      </c>
      <c r="R2878" t="s">
        <v>51</v>
      </c>
      <c r="S2878">
        <v>1939</v>
      </c>
      <c r="T2878">
        <v>2012</v>
      </c>
      <c r="Z2878">
        <v>0</v>
      </c>
      <c r="AA2878">
        <v>3</v>
      </c>
      <c r="AB2878">
        <v>4</v>
      </c>
      <c r="AC2878">
        <v>0</v>
      </c>
      <c r="AF2878">
        <v>1992</v>
      </c>
      <c r="AG2878">
        <v>1996</v>
      </c>
      <c r="AK2878">
        <v>158.06</v>
      </c>
      <c r="AL2878">
        <v>7.4502985826170001</v>
      </c>
      <c r="AN2878">
        <v>-1.4</v>
      </c>
      <c r="AO2878" t="b">
        <v>1</v>
      </c>
      <c r="AP2878" t="s">
        <v>4202</v>
      </c>
      <c r="AQ2878">
        <v>1920</v>
      </c>
      <c r="AR2878">
        <v>1946</v>
      </c>
      <c r="AS2878" t="s">
        <v>11909</v>
      </c>
      <c r="AT2878">
        <v>4.24914442162902</v>
      </c>
      <c r="AU2878">
        <f t="shared" si="134"/>
        <v>1.2E-2</v>
      </c>
    </row>
    <row r="2879" spans="1:47" x14ac:dyDescent="0.3">
      <c r="A2879">
        <v>2877</v>
      </c>
      <c r="B2879" t="s">
        <v>11910</v>
      </c>
      <c r="C2879" t="s">
        <v>11911</v>
      </c>
      <c r="D2879">
        <v>700</v>
      </c>
      <c r="E2879" t="s">
        <v>11791</v>
      </c>
      <c r="F2879" t="str">
        <f>VLOOKUP(E2879,country_continent!A:C,2,FALSE)</f>
        <v>Afghanistan</v>
      </c>
      <c r="G2879" t="str">
        <f>VLOOKUP(E2879,country_continent!A:C,3,FALSE)</f>
        <v>Asia</v>
      </c>
      <c r="H2879" t="s">
        <v>11912</v>
      </c>
      <c r="I2879" s="1">
        <v>35335</v>
      </c>
      <c r="J2879" s="3">
        <f t="shared" si="132"/>
        <v>35335</v>
      </c>
      <c r="K2879" s="1">
        <v>37208</v>
      </c>
      <c r="L2879" s="3">
        <f t="shared" si="133"/>
        <v>37208</v>
      </c>
      <c r="M2879" t="s">
        <v>67</v>
      </c>
      <c r="N2879" t="s">
        <v>67</v>
      </c>
      <c r="O2879" t="s">
        <v>645</v>
      </c>
      <c r="P2879">
        <v>0</v>
      </c>
      <c r="Q2879" t="s">
        <v>50</v>
      </c>
      <c r="R2879" t="s">
        <v>51</v>
      </c>
      <c r="S2879">
        <v>1959</v>
      </c>
      <c r="T2879">
        <v>-777</v>
      </c>
      <c r="Z2879">
        <v>1</v>
      </c>
      <c r="AA2879">
        <v>3</v>
      </c>
      <c r="AB2879">
        <v>3</v>
      </c>
      <c r="AC2879">
        <v>0</v>
      </c>
      <c r="AF2879">
        <v>1996</v>
      </c>
      <c r="AG2879">
        <v>2001</v>
      </c>
      <c r="AH2879">
        <v>-10.1194841059325</v>
      </c>
      <c r="AJ2879">
        <v>-11.774536031921301</v>
      </c>
      <c r="AK2879">
        <v>137.86666666666599</v>
      </c>
      <c r="AL2879">
        <v>2.8794827097039701</v>
      </c>
      <c r="AN2879">
        <v>-7</v>
      </c>
      <c r="AO2879" t="b">
        <v>1</v>
      </c>
      <c r="AP2879" t="s">
        <v>4202</v>
      </c>
      <c r="AQ2879">
        <v>1920</v>
      </c>
      <c r="AR2879">
        <v>1946</v>
      </c>
      <c r="AS2879" t="s">
        <v>11913</v>
      </c>
      <c r="AT2879">
        <v>5.12799452429842</v>
      </c>
      <c r="AU2879">
        <f t="shared" si="134"/>
        <v>1.4E-2</v>
      </c>
    </row>
    <row r="2880" spans="1:47" x14ac:dyDescent="0.3">
      <c r="A2880">
        <v>2878</v>
      </c>
      <c r="B2880" t="s">
        <v>11914</v>
      </c>
      <c r="C2880" t="s">
        <v>11915</v>
      </c>
      <c r="D2880">
        <v>700</v>
      </c>
      <c r="E2880" t="s">
        <v>11791</v>
      </c>
      <c r="F2880" t="str">
        <f>VLOOKUP(E2880,country_continent!A:C,2,FALSE)</f>
        <v>Afghanistan</v>
      </c>
      <c r="G2880" t="str">
        <f>VLOOKUP(E2880,country_continent!A:C,3,FALSE)</f>
        <v>Asia</v>
      </c>
      <c r="H2880" t="s">
        <v>11916</v>
      </c>
      <c r="I2880" s="1">
        <v>37247</v>
      </c>
      <c r="J2880" s="3">
        <f t="shared" si="132"/>
        <v>37247</v>
      </c>
      <c r="K2880" s="1">
        <v>41911</v>
      </c>
      <c r="L2880" s="3">
        <f t="shared" si="133"/>
        <v>41911</v>
      </c>
      <c r="M2880" t="s">
        <v>637</v>
      </c>
      <c r="N2880" t="s">
        <v>49</v>
      </c>
      <c r="O2880" t="s">
        <v>49</v>
      </c>
      <c r="P2880">
        <v>0</v>
      </c>
      <c r="Q2880" t="s">
        <v>50</v>
      </c>
      <c r="R2880" t="s">
        <v>51</v>
      </c>
      <c r="S2880">
        <v>1957</v>
      </c>
      <c r="T2880">
        <v>-777</v>
      </c>
      <c r="U2880" s="1">
        <v>21178</v>
      </c>
      <c r="V2880" s="2">
        <v>21178</v>
      </c>
      <c r="Y2880" t="s">
        <v>11917</v>
      </c>
      <c r="Z2880">
        <v>2</v>
      </c>
      <c r="AA2880">
        <v>1</v>
      </c>
      <c r="AB2880">
        <v>0</v>
      </c>
      <c r="AC2880">
        <v>0</v>
      </c>
      <c r="AF2880">
        <v>2001</v>
      </c>
      <c r="AG2880">
        <v>2014</v>
      </c>
      <c r="AH2880">
        <v>4.8757639047946899</v>
      </c>
      <c r="AI2880">
        <v>406.923076923076</v>
      </c>
      <c r="AJ2880">
        <v>6.49644894192779</v>
      </c>
      <c r="AK2880">
        <v>99.6142857142857</v>
      </c>
      <c r="AL2880">
        <v>3.4855217725408401</v>
      </c>
      <c r="AM2880">
        <v>0.62556145086122905</v>
      </c>
      <c r="AN2880">
        <v>-1</v>
      </c>
      <c r="AO2880" t="b">
        <v>1</v>
      </c>
      <c r="AP2880" t="s">
        <v>4202</v>
      </c>
      <c r="AQ2880">
        <v>1920</v>
      </c>
      <c r="AR2880">
        <v>1946</v>
      </c>
      <c r="AS2880" t="s">
        <v>11918</v>
      </c>
      <c r="AT2880">
        <v>12.7693360711841</v>
      </c>
      <c r="AU2880">
        <f t="shared" si="134"/>
        <v>3.5000000000000003E-2</v>
      </c>
    </row>
    <row r="2881" spans="1:47" x14ac:dyDescent="0.3">
      <c r="A2881">
        <v>2879</v>
      </c>
      <c r="B2881" t="s">
        <v>11919</v>
      </c>
      <c r="C2881" t="s">
        <v>11920</v>
      </c>
      <c r="D2881">
        <v>700</v>
      </c>
      <c r="E2881" t="s">
        <v>11791</v>
      </c>
      <c r="F2881" t="str">
        <f>VLOOKUP(E2881,country_continent!A:C,2,FALSE)</f>
        <v>Afghanistan</v>
      </c>
      <c r="G2881" t="str">
        <f>VLOOKUP(E2881,country_continent!A:C,3,FALSE)</f>
        <v>Asia</v>
      </c>
      <c r="H2881" t="s">
        <v>11921</v>
      </c>
      <c r="I2881" s="1">
        <v>41911</v>
      </c>
      <c r="J2881" s="3">
        <f t="shared" si="132"/>
        <v>41911</v>
      </c>
      <c r="K2881" s="1">
        <v>42369</v>
      </c>
      <c r="L2881" s="3">
        <f t="shared" si="133"/>
        <v>42369</v>
      </c>
      <c r="M2881" t="s">
        <v>49</v>
      </c>
      <c r="N2881" t="s">
        <v>173</v>
      </c>
      <c r="O2881" t="s">
        <v>173</v>
      </c>
      <c r="P2881">
        <v>0</v>
      </c>
      <c r="Q2881" t="s">
        <v>174</v>
      </c>
      <c r="R2881" t="s">
        <v>51</v>
      </c>
      <c r="S2881">
        <v>1949</v>
      </c>
      <c r="T2881">
        <v>-777</v>
      </c>
      <c r="U2881" s="1">
        <v>17941</v>
      </c>
      <c r="V2881" s="2">
        <v>17941</v>
      </c>
      <c r="Z2881">
        <v>0</v>
      </c>
      <c r="AA2881">
        <v>-888</v>
      </c>
      <c r="AB2881">
        <v>-888</v>
      </c>
      <c r="AC2881">
        <v>-888</v>
      </c>
      <c r="AF2881">
        <v>2014</v>
      </c>
      <c r="AG2881">
        <v>2015</v>
      </c>
      <c r="AH2881">
        <v>-1.30252110161306</v>
      </c>
      <c r="AI2881">
        <v>615</v>
      </c>
      <c r="AJ2881">
        <v>1.5072537720033199</v>
      </c>
      <c r="AK2881">
        <v>73.75</v>
      </c>
      <c r="AL2881">
        <v>3.3762390439945702</v>
      </c>
      <c r="AM2881">
        <v>0.50633672445903599</v>
      </c>
      <c r="AN2881">
        <v>-1</v>
      </c>
      <c r="AO2881" t="b">
        <v>1</v>
      </c>
      <c r="AP2881" t="s">
        <v>4202</v>
      </c>
      <c r="AQ2881">
        <v>1920</v>
      </c>
      <c r="AR2881">
        <v>1946</v>
      </c>
      <c r="AS2881" t="s">
        <v>11922</v>
      </c>
      <c r="AT2881">
        <v>1.2539356605065</v>
      </c>
      <c r="AU2881">
        <f t="shared" si="134"/>
        <v>3.0000000000000001E-3</v>
      </c>
    </row>
    <row r="2882" spans="1:47" x14ac:dyDescent="0.3">
      <c r="A2882">
        <v>2880</v>
      </c>
      <c r="B2882" t="s">
        <v>11923</v>
      </c>
      <c r="C2882" t="s">
        <v>11924</v>
      </c>
      <c r="D2882">
        <v>701</v>
      </c>
      <c r="E2882" t="s">
        <v>11925</v>
      </c>
      <c r="F2882" t="str">
        <f>VLOOKUP(E2882,country_continent!A:C,2,FALSE)</f>
        <v>Turkmenistan</v>
      </c>
      <c r="G2882" t="str">
        <f>VLOOKUP(E2882,country_continent!A:C,3,FALSE)</f>
        <v>Asia</v>
      </c>
      <c r="H2882" t="s">
        <v>11926</v>
      </c>
      <c r="I2882" s="1">
        <v>33173</v>
      </c>
      <c r="J2882" s="3">
        <f t="shared" si="132"/>
        <v>33173</v>
      </c>
      <c r="K2882" s="1">
        <v>39072</v>
      </c>
      <c r="L2882" s="3">
        <f t="shared" si="133"/>
        <v>39072</v>
      </c>
      <c r="M2882" t="s">
        <v>49</v>
      </c>
      <c r="N2882" t="s">
        <v>110</v>
      </c>
      <c r="O2882" t="s">
        <v>49</v>
      </c>
      <c r="P2882">
        <v>0</v>
      </c>
      <c r="Q2882" t="s">
        <v>111</v>
      </c>
      <c r="R2882" t="s">
        <v>51</v>
      </c>
      <c r="S2882">
        <v>1940</v>
      </c>
      <c r="T2882">
        <v>2006</v>
      </c>
      <c r="U2882" s="1">
        <v>14660</v>
      </c>
      <c r="V2882" s="2">
        <v>14660</v>
      </c>
      <c r="Y2882" t="s">
        <v>11927</v>
      </c>
      <c r="Z2882">
        <v>0</v>
      </c>
      <c r="AA2882">
        <v>2</v>
      </c>
      <c r="AB2882">
        <v>0</v>
      </c>
      <c r="AC2882">
        <v>-777</v>
      </c>
      <c r="AF2882">
        <v>1990</v>
      </c>
      <c r="AG2882">
        <v>2006</v>
      </c>
      <c r="AH2882">
        <v>1.1298416115097201</v>
      </c>
      <c r="AI2882">
        <v>853.52941176470495</v>
      </c>
      <c r="AJ2882">
        <v>425.212589053344</v>
      </c>
      <c r="AK2882">
        <v>70.229411764705802</v>
      </c>
      <c r="AL2882">
        <v>2.0017625938494299</v>
      </c>
      <c r="AM2882">
        <v>45.212122810869197</v>
      </c>
      <c r="AN2882">
        <v>-9</v>
      </c>
      <c r="AO2882" t="b">
        <v>0</v>
      </c>
      <c r="AT2882">
        <v>5899</v>
      </c>
      <c r="AU2882">
        <f t="shared" si="134"/>
        <v>16.161999999999999</v>
      </c>
    </row>
    <row r="2883" spans="1:47" x14ac:dyDescent="0.3">
      <c r="A2883">
        <v>2881</v>
      </c>
      <c r="B2883" t="s">
        <v>11928</v>
      </c>
      <c r="C2883" t="s">
        <v>11929</v>
      </c>
      <c r="D2883">
        <v>701</v>
      </c>
      <c r="E2883" t="s">
        <v>11925</v>
      </c>
      <c r="F2883" t="str">
        <f>VLOOKUP(E2883,country_continent!A:C,2,FALSE)</f>
        <v>Turkmenistan</v>
      </c>
      <c r="G2883" t="str">
        <f>VLOOKUP(E2883,country_continent!A:C,3,FALSE)</f>
        <v>Asia</v>
      </c>
      <c r="H2883" t="s">
        <v>11930</v>
      </c>
      <c r="I2883" s="1">
        <v>39072</v>
      </c>
      <c r="J2883" s="3">
        <f t="shared" ref="J2883:J2946" si="135">IF(ISNUMBER(SEARCH("-", I2883)), SUBSTITUTE(I2883, "-", "/"), I2883)</f>
        <v>39072</v>
      </c>
      <c r="K2883" s="1">
        <v>42369</v>
      </c>
      <c r="L2883" s="3">
        <f t="shared" ref="L2883:L2946" si="136">IF(ISNUMBER(SEARCH("-", K2883)), SUBSTITUTE(K2883, "-", "/"), K2883)</f>
        <v>42369</v>
      </c>
      <c r="M2883" t="s">
        <v>49</v>
      </c>
      <c r="N2883" t="s">
        <v>173</v>
      </c>
      <c r="O2883" t="s">
        <v>173</v>
      </c>
      <c r="P2883">
        <v>0</v>
      </c>
      <c r="Q2883" t="s">
        <v>174</v>
      </c>
      <c r="R2883" t="s">
        <v>51</v>
      </c>
      <c r="S2883">
        <v>1957</v>
      </c>
      <c r="T2883">
        <v>-777</v>
      </c>
      <c r="U2883" s="1">
        <v>21000</v>
      </c>
      <c r="V2883" s="2">
        <v>21000</v>
      </c>
      <c r="Z2883">
        <v>0</v>
      </c>
      <c r="AA2883">
        <v>-888</v>
      </c>
      <c r="AB2883">
        <v>-888</v>
      </c>
      <c r="AC2883">
        <v>-888</v>
      </c>
      <c r="AF2883">
        <v>2006</v>
      </c>
      <c r="AG2883">
        <v>2015</v>
      </c>
      <c r="AH2883">
        <v>8.2182515057668901</v>
      </c>
      <c r="AI2883">
        <v>4171</v>
      </c>
      <c r="AJ2883">
        <v>11.112266124361099</v>
      </c>
      <c r="AK2883">
        <v>44.5</v>
      </c>
      <c r="AL2883">
        <v>2.0725453695721701</v>
      </c>
      <c r="AM2883">
        <v>33.2151800213557</v>
      </c>
      <c r="AN2883">
        <v>-8.6999999999999993</v>
      </c>
      <c r="AO2883" t="b">
        <v>0</v>
      </c>
      <c r="AT2883">
        <v>3297</v>
      </c>
      <c r="AU2883">
        <f t="shared" si="134"/>
        <v>9.0329999999999995</v>
      </c>
    </row>
    <row r="2884" spans="1:47" x14ac:dyDescent="0.3">
      <c r="A2884">
        <v>2882</v>
      </c>
      <c r="B2884" t="s">
        <v>11931</v>
      </c>
      <c r="C2884" t="s">
        <v>11932</v>
      </c>
      <c r="D2884">
        <v>702</v>
      </c>
      <c r="E2884" t="s">
        <v>11933</v>
      </c>
      <c r="F2884" t="str">
        <f>VLOOKUP(E2884,country_continent!A:C,2,FALSE)</f>
        <v>Tajikistan</v>
      </c>
      <c r="G2884" t="str">
        <f>VLOOKUP(E2884,country_continent!A:C,3,FALSE)</f>
        <v>Asia</v>
      </c>
      <c r="H2884" t="s">
        <v>11934</v>
      </c>
      <c r="I2884" s="1">
        <v>33481</v>
      </c>
      <c r="J2884" s="3">
        <f t="shared" si="135"/>
        <v>33481</v>
      </c>
      <c r="K2884" s="1">
        <v>33504</v>
      </c>
      <c r="L2884" s="3">
        <f t="shared" si="136"/>
        <v>33504</v>
      </c>
      <c r="M2884" t="s">
        <v>49</v>
      </c>
      <c r="N2884" t="s">
        <v>49</v>
      </c>
      <c r="O2884" t="s">
        <v>49</v>
      </c>
      <c r="P2884">
        <v>0</v>
      </c>
      <c r="Q2884" t="s">
        <v>50</v>
      </c>
      <c r="R2884" t="s">
        <v>51</v>
      </c>
      <c r="S2884">
        <v>1947</v>
      </c>
      <c r="T2884">
        <v>1992</v>
      </c>
      <c r="Z2884">
        <v>0</v>
      </c>
      <c r="AA2884">
        <v>1</v>
      </c>
      <c r="AB2884">
        <v>0</v>
      </c>
      <c r="AC2884">
        <v>0</v>
      </c>
      <c r="AF2884">
        <v>1991</v>
      </c>
      <c r="AG2884">
        <v>1991</v>
      </c>
      <c r="AO2884" t="b">
        <v>0</v>
      </c>
      <c r="AT2884">
        <v>23</v>
      </c>
      <c r="AU2884">
        <f t="shared" ref="AU2884:AU2947" si="137">ROUND(AT2884/365,3)</f>
        <v>6.3E-2</v>
      </c>
    </row>
    <row r="2885" spans="1:47" x14ac:dyDescent="0.3">
      <c r="A2885">
        <v>2883</v>
      </c>
      <c r="B2885" t="s">
        <v>11935</v>
      </c>
      <c r="C2885" t="s">
        <v>11936</v>
      </c>
      <c r="D2885">
        <v>702</v>
      </c>
      <c r="E2885" t="s">
        <v>11933</v>
      </c>
      <c r="F2885" t="str">
        <f>VLOOKUP(E2885,country_continent!A:C,2,FALSE)</f>
        <v>Tajikistan</v>
      </c>
      <c r="G2885" t="str">
        <f>VLOOKUP(E2885,country_continent!A:C,3,FALSE)</f>
        <v>Asia</v>
      </c>
      <c r="H2885" t="s">
        <v>11937</v>
      </c>
      <c r="I2885" s="1">
        <v>33504</v>
      </c>
      <c r="J2885" s="3">
        <f t="shared" si="135"/>
        <v>33504</v>
      </c>
      <c r="K2885" s="1">
        <v>33854</v>
      </c>
      <c r="L2885" s="3">
        <f t="shared" si="136"/>
        <v>33854</v>
      </c>
      <c r="M2885" t="s">
        <v>67</v>
      </c>
      <c r="N2885" t="s">
        <v>67</v>
      </c>
      <c r="O2885" t="s">
        <v>433</v>
      </c>
      <c r="P2885">
        <v>0</v>
      </c>
      <c r="Q2885" t="s">
        <v>50</v>
      </c>
      <c r="R2885" t="s">
        <v>51</v>
      </c>
      <c r="S2885">
        <v>1930</v>
      </c>
      <c r="T2885">
        <v>1993</v>
      </c>
      <c r="U2885" s="1">
        <v>11236</v>
      </c>
      <c r="V2885" s="2">
        <v>11236</v>
      </c>
      <c r="Z2885">
        <v>1</v>
      </c>
      <c r="AA2885">
        <v>3</v>
      </c>
      <c r="AB2885">
        <v>4</v>
      </c>
      <c r="AC2885">
        <v>0</v>
      </c>
      <c r="AF2885">
        <v>1991</v>
      </c>
      <c r="AG2885">
        <v>1992</v>
      </c>
      <c r="AO2885" t="b">
        <v>0</v>
      </c>
      <c r="AT2885">
        <v>350</v>
      </c>
      <c r="AU2885">
        <f t="shared" si="137"/>
        <v>0.95899999999999996</v>
      </c>
    </row>
    <row r="2886" spans="1:47" x14ac:dyDescent="0.3">
      <c r="A2886">
        <v>2884</v>
      </c>
      <c r="B2886" t="s">
        <v>11938</v>
      </c>
      <c r="C2886" t="s">
        <v>11939</v>
      </c>
      <c r="D2886">
        <v>702</v>
      </c>
      <c r="E2886" t="s">
        <v>11933</v>
      </c>
      <c r="F2886" t="str">
        <f>VLOOKUP(E2886,country_continent!A:C,2,FALSE)</f>
        <v>Tajikistan</v>
      </c>
      <c r="G2886" t="str">
        <f>VLOOKUP(E2886,country_continent!A:C,3,FALSE)</f>
        <v>Asia</v>
      </c>
      <c r="H2886" t="s">
        <v>11940</v>
      </c>
      <c r="I2886" s="1">
        <v>33854</v>
      </c>
      <c r="J2886" s="3">
        <f t="shared" si="135"/>
        <v>33854</v>
      </c>
      <c r="K2886" s="1">
        <v>33928</v>
      </c>
      <c r="L2886" s="3">
        <f t="shared" si="136"/>
        <v>33928</v>
      </c>
      <c r="M2886" t="s">
        <v>49</v>
      </c>
      <c r="N2886" t="s">
        <v>49</v>
      </c>
      <c r="O2886" t="s">
        <v>49</v>
      </c>
      <c r="P2886">
        <v>0</v>
      </c>
      <c r="Q2886" t="s">
        <v>50</v>
      </c>
      <c r="R2886" t="s">
        <v>51</v>
      </c>
      <c r="S2886">
        <v>1951</v>
      </c>
      <c r="T2886">
        <v>-777</v>
      </c>
      <c r="Y2886" t="s">
        <v>11941</v>
      </c>
      <c r="Z2886">
        <v>0</v>
      </c>
      <c r="AA2886">
        <v>1</v>
      </c>
      <c r="AB2886">
        <v>0</v>
      </c>
      <c r="AC2886">
        <v>0</v>
      </c>
      <c r="AF2886">
        <v>1992</v>
      </c>
      <c r="AG2886">
        <v>1992</v>
      </c>
      <c r="AO2886" t="b">
        <v>0</v>
      </c>
      <c r="AT2886">
        <v>74</v>
      </c>
      <c r="AU2886">
        <f t="shared" si="137"/>
        <v>0.20300000000000001</v>
      </c>
    </row>
    <row r="2887" spans="1:47" x14ac:dyDescent="0.3">
      <c r="A2887">
        <v>2885</v>
      </c>
      <c r="B2887" t="s">
        <v>11942</v>
      </c>
      <c r="C2887" t="s">
        <v>11943</v>
      </c>
      <c r="D2887">
        <v>702</v>
      </c>
      <c r="E2887" t="s">
        <v>11933</v>
      </c>
      <c r="F2887" t="str">
        <f>VLOOKUP(E2887,country_continent!A:C,2,FALSE)</f>
        <v>Tajikistan</v>
      </c>
      <c r="G2887" t="str">
        <f>VLOOKUP(E2887,country_continent!A:C,3,FALSE)</f>
        <v>Asia</v>
      </c>
      <c r="H2887" t="s">
        <v>11944</v>
      </c>
      <c r="I2887" s="1">
        <v>33928</v>
      </c>
      <c r="J2887" s="3">
        <f t="shared" si="135"/>
        <v>33928</v>
      </c>
      <c r="K2887" s="1">
        <v>42369</v>
      </c>
      <c r="L2887" s="3">
        <f t="shared" si="136"/>
        <v>42369</v>
      </c>
      <c r="M2887" t="s">
        <v>67</v>
      </c>
      <c r="N2887" t="s">
        <v>173</v>
      </c>
      <c r="O2887" t="s">
        <v>173</v>
      </c>
      <c r="P2887">
        <v>0</v>
      </c>
      <c r="Q2887" t="s">
        <v>174</v>
      </c>
      <c r="R2887" t="s">
        <v>51</v>
      </c>
      <c r="S2887">
        <v>1952</v>
      </c>
      <c r="T2887">
        <v>-777</v>
      </c>
      <c r="Z2887">
        <v>1</v>
      </c>
      <c r="AA2887">
        <v>-888</v>
      </c>
      <c r="AB2887">
        <v>-888</v>
      </c>
      <c r="AC2887">
        <v>-888</v>
      </c>
      <c r="AF2887">
        <v>1992</v>
      </c>
      <c r="AG2887">
        <v>2015</v>
      </c>
      <c r="AO2887" t="b">
        <v>0</v>
      </c>
      <c r="AT2887">
        <v>8441</v>
      </c>
      <c r="AU2887">
        <f t="shared" si="137"/>
        <v>23.126000000000001</v>
      </c>
    </row>
    <row r="2888" spans="1:47" x14ac:dyDescent="0.3">
      <c r="A2888">
        <v>2886</v>
      </c>
      <c r="B2888" t="s">
        <v>11945</v>
      </c>
      <c r="C2888" t="s">
        <v>11946</v>
      </c>
      <c r="D2888">
        <v>703</v>
      </c>
      <c r="E2888" t="s">
        <v>11947</v>
      </c>
      <c r="F2888" t="str">
        <f>VLOOKUP(E2888,country_continent!A:C,2,FALSE)</f>
        <v>Kyrgyz Republic</v>
      </c>
      <c r="G2888" t="str">
        <f>VLOOKUP(E2888,country_continent!A:C,3,FALSE)</f>
        <v>Asia</v>
      </c>
      <c r="H2888" t="s">
        <v>11948</v>
      </c>
      <c r="I2888" s="1">
        <v>33173</v>
      </c>
      <c r="J2888" s="3">
        <f t="shared" si="135"/>
        <v>33173</v>
      </c>
      <c r="K2888" s="1">
        <v>38436</v>
      </c>
      <c r="L2888" s="3">
        <f t="shared" si="136"/>
        <v>38436</v>
      </c>
      <c r="M2888" t="s">
        <v>49</v>
      </c>
      <c r="N2888" t="s">
        <v>67</v>
      </c>
      <c r="O2888" t="s">
        <v>613</v>
      </c>
      <c r="P2888">
        <v>0</v>
      </c>
      <c r="Q2888" t="s">
        <v>362</v>
      </c>
      <c r="R2888" t="s">
        <v>51</v>
      </c>
      <c r="S2888">
        <v>1944</v>
      </c>
      <c r="T2888">
        <v>-777</v>
      </c>
      <c r="U2888" s="1">
        <v>16386</v>
      </c>
      <c r="V2888" s="2">
        <v>16386</v>
      </c>
      <c r="Y2888" t="s">
        <v>11949</v>
      </c>
      <c r="Z2888">
        <v>0</v>
      </c>
      <c r="AA2888">
        <v>3</v>
      </c>
      <c r="AB2888">
        <v>2</v>
      </c>
      <c r="AC2888">
        <v>1</v>
      </c>
      <c r="AF2888">
        <v>1990</v>
      </c>
      <c r="AG2888">
        <v>2005</v>
      </c>
      <c r="AO2888" t="b">
        <v>0</v>
      </c>
      <c r="AT2888">
        <v>5263</v>
      </c>
      <c r="AU2888">
        <f t="shared" si="137"/>
        <v>14.419</v>
      </c>
    </row>
    <row r="2889" spans="1:47" x14ac:dyDescent="0.3">
      <c r="A2889">
        <v>2887</v>
      </c>
      <c r="B2889" t="s">
        <v>11950</v>
      </c>
      <c r="C2889" t="s">
        <v>11951</v>
      </c>
      <c r="D2889">
        <v>703</v>
      </c>
      <c r="E2889" t="s">
        <v>11947</v>
      </c>
      <c r="F2889" t="str">
        <f>VLOOKUP(E2889,country_continent!A:C,2,FALSE)</f>
        <v>Kyrgyz Republic</v>
      </c>
      <c r="G2889" t="str">
        <f>VLOOKUP(E2889,country_continent!A:C,3,FALSE)</f>
        <v>Asia</v>
      </c>
      <c r="H2889" t="s">
        <v>11952</v>
      </c>
      <c r="I2889" s="1">
        <v>38436</v>
      </c>
      <c r="J2889" s="3">
        <f t="shared" si="135"/>
        <v>38436</v>
      </c>
      <c r="K2889" s="1">
        <v>40275</v>
      </c>
      <c r="L2889" s="3">
        <f t="shared" si="136"/>
        <v>40275</v>
      </c>
      <c r="M2889" t="s">
        <v>49</v>
      </c>
      <c r="N2889" t="s">
        <v>67</v>
      </c>
      <c r="O2889" t="s">
        <v>613</v>
      </c>
      <c r="P2889">
        <v>0</v>
      </c>
      <c r="Q2889" t="s">
        <v>362</v>
      </c>
      <c r="R2889" t="s">
        <v>51</v>
      </c>
      <c r="S2889">
        <v>1949</v>
      </c>
      <c r="T2889">
        <v>-777</v>
      </c>
      <c r="U2889" s="1">
        <v>18111</v>
      </c>
      <c r="V2889" s="2">
        <v>18111</v>
      </c>
      <c r="Z2889">
        <v>0</v>
      </c>
      <c r="AA2889">
        <v>3</v>
      </c>
      <c r="AB2889">
        <v>2</v>
      </c>
      <c r="AC2889">
        <v>1</v>
      </c>
      <c r="AF2889">
        <v>2005</v>
      </c>
      <c r="AG2889">
        <v>2010</v>
      </c>
      <c r="AO2889" t="b">
        <v>0</v>
      </c>
      <c r="AT2889">
        <v>1839</v>
      </c>
      <c r="AU2889">
        <f t="shared" si="137"/>
        <v>5.0380000000000003</v>
      </c>
    </row>
    <row r="2890" spans="1:47" x14ac:dyDescent="0.3">
      <c r="A2890">
        <v>2888</v>
      </c>
      <c r="B2890" t="s">
        <v>11953</v>
      </c>
      <c r="C2890" t="s">
        <v>11954</v>
      </c>
      <c r="D2890">
        <v>703</v>
      </c>
      <c r="E2890" t="s">
        <v>11947</v>
      </c>
      <c r="F2890" t="str">
        <f>VLOOKUP(E2890,country_continent!A:C,2,FALSE)</f>
        <v>Kyrgyz Republic</v>
      </c>
      <c r="G2890" t="str">
        <f>VLOOKUP(E2890,country_continent!A:C,3,FALSE)</f>
        <v>Asia</v>
      </c>
      <c r="H2890" t="s">
        <v>11955</v>
      </c>
      <c r="I2890" s="1">
        <v>40275</v>
      </c>
      <c r="J2890" s="3">
        <f t="shared" si="135"/>
        <v>40275</v>
      </c>
      <c r="K2890" s="1">
        <v>40878</v>
      </c>
      <c r="L2890" s="3">
        <f t="shared" si="136"/>
        <v>40878</v>
      </c>
      <c r="M2890" t="s">
        <v>49</v>
      </c>
      <c r="N2890" t="s">
        <v>49</v>
      </c>
      <c r="O2890" t="s">
        <v>49</v>
      </c>
      <c r="P2890">
        <v>0</v>
      </c>
      <c r="Q2890" t="s">
        <v>50</v>
      </c>
      <c r="R2890" t="s">
        <v>299</v>
      </c>
      <c r="S2890">
        <v>1950</v>
      </c>
      <c r="T2890">
        <v>-777</v>
      </c>
      <c r="U2890" s="1">
        <v>18498</v>
      </c>
      <c r="V2890" s="2">
        <v>18498</v>
      </c>
      <c r="Z2890">
        <v>0</v>
      </c>
      <c r="AA2890">
        <v>1</v>
      </c>
      <c r="AB2890">
        <v>0</v>
      </c>
      <c r="AC2890">
        <v>0</v>
      </c>
      <c r="AF2890">
        <v>2010</v>
      </c>
      <c r="AG2890">
        <v>2011</v>
      </c>
      <c r="AO2890" t="b">
        <v>0</v>
      </c>
      <c r="AT2890">
        <v>603</v>
      </c>
      <c r="AU2890">
        <f t="shared" si="137"/>
        <v>1.6519999999999999</v>
      </c>
    </row>
    <row r="2891" spans="1:47" x14ac:dyDescent="0.3">
      <c r="A2891">
        <v>2889</v>
      </c>
      <c r="B2891" t="s">
        <v>11956</v>
      </c>
      <c r="C2891" t="s">
        <v>11957</v>
      </c>
      <c r="D2891">
        <v>703</v>
      </c>
      <c r="E2891" t="s">
        <v>11947</v>
      </c>
      <c r="F2891" t="str">
        <f>VLOOKUP(E2891,country_continent!A:C,2,FALSE)</f>
        <v>Kyrgyz Republic</v>
      </c>
      <c r="G2891" t="str">
        <f>VLOOKUP(E2891,country_continent!A:C,3,FALSE)</f>
        <v>Asia</v>
      </c>
      <c r="H2891" t="s">
        <v>11958</v>
      </c>
      <c r="I2891" s="1">
        <v>40878</v>
      </c>
      <c r="J2891" s="3">
        <f t="shared" si="135"/>
        <v>40878</v>
      </c>
      <c r="K2891" s="1">
        <v>42369</v>
      </c>
      <c r="L2891" s="3">
        <f t="shared" si="136"/>
        <v>42369</v>
      </c>
      <c r="M2891" t="s">
        <v>49</v>
      </c>
      <c r="N2891" t="s">
        <v>173</v>
      </c>
      <c r="O2891" t="s">
        <v>173</v>
      </c>
      <c r="P2891">
        <v>0</v>
      </c>
      <c r="Q2891" t="s">
        <v>174</v>
      </c>
      <c r="R2891" t="s">
        <v>51</v>
      </c>
      <c r="S2891">
        <v>1956</v>
      </c>
      <c r="T2891">
        <v>-777</v>
      </c>
      <c r="U2891" s="1">
        <v>20715</v>
      </c>
      <c r="V2891" s="2">
        <v>20715</v>
      </c>
      <c r="Z2891">
        <v>0</v>
      </c>
      <c r="AA2891">
        <v>-888</v>
      </c>
      <c r="AB2891">
        <v>-888</v>
      </c>
      <c r="AC2891">
        <v>-888</v>
      </c>
      <c r="AF2891">
        <v>2011</v>
      </c>
      <c r="AG2891">
        <v>2015</v>
      </c>
      <c r="AO2891" t="b">
        <v>0</v>
      </c>
      <c r="AT2891">
        <v>1491</v>
      </c>
      <c r="AU2891">
        <f t="shared" si="137"/>
        <v>4.085</v>
      </c>
    </row>
    <row r="2892" spans="1:47" x14ac:dyDescent="0.3">
      <c r="A2892">
        <v>2890</v>
      </c>
      <c r="B2892" t="s">
        <v>11959</v>
      </c>
      <c r="C2892" t="s">
        <v>11960</v>
      </c>
      <c r="D2892">
        <v>704</v>
      </c>
      <c r="E2892" t="s">
        <v>11961</v>
      </c>
      <c r="F2892" t="str">
        <f>VLOOKUP(E2892,country_continent!A:C,2,FALSE)</f>
        <v>Uzbekistan</v>
      </c>
      <c r="G2892" t="str">
        <f>VLOOKUP(E2892,country_continent!A:C,3,FALSE)</f>
        <v>Asia</v>
      </c>
      <c r="H2892" t="s">
        <v>11962</v>
      </c>
      <c r="I2892" s="1">
        <v>32956</v>
      </c>
      <c r="J2892" s="3">
        <f t="shared" si="135"/>
        <v>32956</v>
      </c>
      <c r="K2892" s="1">
        <v>42369</v>
      </c>
      <c r="L2892" s="3">
        <f t="shared" si="136"/>
        <v>42369</v>
      </c>
      <c r="M2892" t="s">
        <v>49</v>
      </c>
      <c r="N2892" t="s">
        <v>173</v>
      </c>
      <c r="O2892" t="s">
        <v>173</v>
      </c>
      <c r="P2892">
        <v>0</v>
      </c>
      <c r="Q2892" t="s">
        <v>174</v>
      </c>
      <c r="R2892" t="s">
        <v>51</v>
      </c>
      <c r="S2892">
        <v>1938</v>
      </c>
      <c r="T2892">
        <v>-777</v>
      </c>
      <c r="U2892" s="1">
        <v>13910</v>
      </c>
      <c r="V2892" s="2">
        <v>13910</v>
      </c>
      <c r="Z2892">
        <v>0</v>
      </c>
      <c r="AA2892">
        <v>-888</v>
      </c>
      <c r="AB2892">
        <v>-888</v>
      </c>
      <c r="AC2892">
        <v>-888</v>
      </c>
      <c r="AF2892">
        <v>1990</v>
      </c>
      <c r="AG2892">
        <v>2015</v>
      </c>
      <c r="AH2892">
        <v>2.3499062014329599</v>
      </c>
      <c r="AI2892">
        <v>995</v>
      </c>
      <c r="AJ2892">
        <v>159.21923285027</v>
      </c>
      <c r="AK2892">
        <v>50.188461538461503</v>
      </c>
      <c r="AL2892">
        <v>1.65876135940161</v>
      </c>
      <c r="AM2892">
        <v>14.0432337208865</v>
      </c>
      <c r="AN2892">
        <v>-9</v>
      </c>
      <c r="AO2892" t="b">
        <v>0</v>
      </c>
      <c r="AT2892">
        <v>9413</v>
      </c>
      <c r="AU2892">
        <f t="shared" si="137"/>
        <v>25.789000000000001</v>
      </c>
    </row>
    <row r="2893" spans="1:47" x14ac:dyDescent="0.3">
      <c r="A2893">
        <v>2891</v>
      </c>
      <c r="B2893" t="s">
        <v>11963</v>
      </c>
      <c r="C2893" t="s">
        <v>11964</v>
      </c>
      <c r="D2893">
        <v>705</v>
      </c>
      <c r="E2893" t="s">
        <v>11965</v>
      </c>
      <c r="F2893" t="str">
        <f>VLOOKUP(E2893,country_continent!A:C,2,FALSE)</f>
        <v>Kaskelen</v>
      </c>
      <c r="G2893" t="str">
        <f>VLOOKUP(E2893,country_continent!A:C,3,FALSE)</f>
        <v>Asia</v>
      </c>
      <c r="H2893" t="s">
        <v>11966</v>
      </c>
      <c r="I2893" s="1">
        <v>32987</v>
      </c>
      <c r="J2893" s="3">
        <f t="shared" si="135"/>
        <v>32987</v>
      </c>
      <c r="K2893" s="1">
        <v>42369</v>
      </c>
      <c r="L2893" s="3">
        <f t="shared" si="136"/>
        <v>42369</v>
      </c>
      <c r="M2893" t="s">
        <v>49</v>
      </c>
      <c r="N2893" t="s">
        <v>173</v>
      </c>
      <c r="O2893" t="s">
        <v>173</v>
      </c>
      <c r="P2893">
        <v>0</v>
      </c>
      <c r="Q2893" t="s">
        <v>174</v>
      </c>
      <c r="R2893" t="s">
        <v>51</v>
      </c>
      <c r="S2893">
        <v>1940</v>
      </c>
      <c r="T2893">
        <v>-777</v>
      </c>
      <c r="U2893" s="1">
        <v>14798</v>
      </c>
      <c r="V2893" s="2">
        <v>14798</v>
      </c>
      <c r="Y2893" t="s">
        <v>11967</v>
      </c>
      <c r="Z2893">
        <v>0</v>
      </c>
      <c r="AA2893">
        <v>-888</v>
      </c>
      <c r="AB2893">
        <v>-888</v>
      </c>
      <c r="AC2893">
        <v>-888</v>
      </c>
      <c r="AF2893">
        <v>1990</v>
      </c>
      <c r="AG2893">
        <v>2015</v>
      </c>
      <c r="AO2893" t="b">
        <v>0</v>
      </c>
      <c r="AT2893">
        <v>9382</v>
      </c>
      <c r="AU2893">
        <f t="shared" si="137"/>
        <v>25.704000000000001</v>
      </c>
    </row>
    <row r="2894" spans="1:47" x14ac:dyDescent="0.3">
      <c r="A2894">
        <v>2892</v>
      </c>
      <c r="B2894" t="s">
        <v>11968</v>
      </c>
      <c r="C2894" t="s">
        <v>11969</v>
      </c>
      <c r="D2894">
        <v>710</v>
      </c>
      <c r="E2894" t="s">
        <v>11970</v>
      </c>
      <c r="F2894" t="str">
        <f>VLOOKUP(E2894,country_continent!A:C,2,FALSE)</f>
        <v>China</v>
      </c>
      <c r="G2894" t="str">
        <f>VLOOKUP(E2894,country_continent!A:C,3,FALSE)</f>
        <v>Asia</v>
      </c>
      <c r="H2894" t="s">
        <v>11971</v>
      </c>
      <c r="I2894" t="s">
        <v>11972</v>
      </c>
      <c r="J2894" s="3" t="str">
        <f t="shared" si="135"/>
        <v>1861/08/22</v>
      </c>
      <c r="K2894" s="1">
        <v>3242</v>
      </c>
      <c r="L2894" s="3">
        <f t="shared" si="136"/>
        <v>3242</v>
      </c>
      <c r="M2894" t="s">
        <v>49</v>
      </c>
      <c r="N2894" t="s">
        <v>110</v>
      </c>
      <c r="O2894" t="s">
        <v>49</v>
      </c>
      <c r="P2894">
        <v>0</v>
      </c>
      <c r="Q2894" t="s">
        <v>111</v>
      </c>
      <c r="R2894" t="s">
        <v>51</v>
      </c>
      <c r="S2894">
        <v>1835</v>
      </c>
      <c r="T2894">
        <v>1908</v>
      </c>
      <c r="W2894" s="1">
        <v>3242</v>
      </c>
      <c r="X2894" s="2">
        <v>3242</v>
      </c>
      <c r="Z2894">
        <v>0</v>
      </c>
      <c r="AA2894">
        <v>2</v>
      </c>
      <c r="AB2894">
        <v>0</v>
      </c>
      <c r="AC2894">
        <v>-777</v>
      </c>
      <c r="AF2894">
        <v>1861</v>
      </c>
      <c r="AG2894">
        <v>1908</v>
      </c>
      <c r="AO2894" t="b">
        <v>1</v>
      </c>
      <c r="AP2894" t="s">
        <v>6291</v>
      </c>
      <c r="AQ2894">
        <v>1945</v>
      </c>
      <c r="AR2894">
        <v>1999</v>
      </c>
      <c r="AS2894" t="s">
        <v>11973</v>
      </c>
      <c r="AT2894">
        <v>47.230663928815801</v>
      </c>
      <c r="AU2894">
        <f t="shared" si="137"/>
        <v>0.129</v>
      </c>
    </row>
    <row r="2895" spans="1:47" x14ac:dyDescent="0.3">
      <c r="A2895">
        <v>2893</v>
      </c>
      <c r="B2895" t="s">
        <v>11974</v>
      </c>
      <c r="C2895" t="s">
        <v>11975</v>
      </c>
      <c r="D2895">
        <v>710</v>
      </c>
      <c r="E2895" t="s">
        <v>11970</v>
      </c>
      <c r="F2895" t="str">
        <f>VLOOKUP(E2895,country_continent!A:C,2,FALSE)</f>
        <v>China</v>
      </c>
      <c r="G2895" t="str">
        <f>VLOOKUP(E2895,country_continent!A:C,3,FALSE)</f>
        <v>Asia</v>
      </c>
      <c r="H2895" t="s">
        <v>11976</v>
      </c>
      <c r="I2895" s="1">
        <v>3259</v>
      </c>
      <c r="J2895" s="3">
        <f t="shared" si="135"/>
        <v>3259</v>
      </c>
      <c r="K2895" s="1">
        <v>4358</v>
      </c>
      <c r="L2895" s="3">
        <f t="shared" si="136"/>
        <v>4358</v>
      </c>
      <c r="M2895" t="s">
        <v>49</v>
      </c>
      <c r="N2895" t="s">
        <v>67</v>
      </c>
      <c r="O2895" t="s">
        <v>347</v>
      </c>
      <c r="P2895">
        <v>0</v>
      </c>
      <c r="Q2895" t="s">
        <v>50</v>
      </c>
      <c r="R2895" t="s">
        <v>51</v>
      </c>
      <c r="S2895">
        <v>1882</v>
      </c>
      <c r="T2895">
        <v>1951</v>
      </c>
      <c r="Z2895">
        <v>0</v>
      </c>
      <c r="AA2895">
        <v>3</v>
      </c>
      <c r="AB2895">
        <v>-999</v>
      </c>
      <c r="AC2895">
        <v>0</v>
      </c>
      <c r="AF2895">
        <v>1908</v>
      </c>
      <c r="AG2895">
        <v>1911</v>
      </c>
      <c r="AO2895" t="b">
        <v>1</v>
      </c>
      <c r="AP2895" t="s">
        <v>6291</v>
      </c>
      <c r="AQ2895">
        <v>1945</v>
      </c>
      <c r="AR2895">
        <v>1999</v>
      </c>
      <c r="AS2895" t="s">
        <v>11977</v>
      </c>
      <c r="AT2895">
        <v>3.0088980150581701</v>
      </c>
      <c r="AU2895">
        <f t="shared" si="137"/>
        <v>8.0000000000000002E-3</v>
      </c>
    </row>
    <row r="2896" spans="1:47" x14ac:dyDescent="0.3">
      <c r="A2896">
        <v>2894</v>
      </c>
      <c r="B2896" t="s">
        <v>11978</v>
      </c>
      <c r="C2896" t="s">
        <v>11979</v>
      </c>
      <c r="D2896">
        <v>710</v>
      </c>
      <c r="E2896" t="s">
        <v>11970</v>
      </c>
      <c r="F2896" t="str">
        <f>VLOOKUP(E2896,country_continent!A:C,2,FALSE)</f>
        <v>China</v>
      </c>
      <c r="G2896" t="str">
        <f>VLOOKUP(E2896,country_continent!A:C,3,FALSE)</f>
        <v>Asia</v>
      </c>
      <c r="H2896" t="s">
        <v>11980</v>
      </c>
      <c r="I2896" s="1">
        <v>4358</v>
      </c>
      <c r="J2896" s="3">
        <f t="shared" si="135"/>
        <v>4358</v>
      </c>
      <c r="K2896" s="1">
        <v>4395</v>
      </c>
      <c r="L2896" s="3">
        <f t="shared" si="136"/>
        <v>4395</v>
      </c>
      <c r="M2896" t="s">
        <v>49</v>
      </c>
      <c r="N2896" t="s">
        <v>67</v>
      </c>
      <c r="O2896" t="s">
        <v>347</v>
      </c>
      <c r="P2896">
        <v>0</v>
      </c>
      <c r="Q2896" t="s">
        <v>50</v>
      </c>
      <c r="R2896" t="s">
        <v>299</v>
      </c>
      <c r="S2896">
        <v>1868</v>
      </c>
      <c r="T2896">
        <v>1913</v>
      </c>
      <c r="Y2896" t="s">
        <v>11981</v>
      </c>
      <c r="Z2896">
        <v>0</v>
      </c>
      <c r="AA2896">
        <v>3</v>
      </c>
      <c r="AB2896">
        <v>-999</v>
      </c>
      <c r="AC2896">
        <v>0</v>
      </c>
      <c r="AF2896">
        <v>1911</v>
      </c>
      <c r="AG2896">
        <v>1912</v>
      </c>
      <c r="AO2896" t="b">
        <v>1</v>
      </c>
      <c r="AP2896" t="s">
        <v>6291</v>
      </c>
      <c r="AQ2896">
        <v>1945</v>
      </c>
      <c r="AR2896">
        <v>1999</v>
      </c>
      <c r="AS2896" t="s">
        <v>11982</v>
      </c>
      <c r="AT2896">
        <v>0.101300479123887</v>
      </c>
      <c r="AU2896">
        <f t="shared" si="137"/>
        <v>0</v>
      </c>
    </row>
    <row r="2897" spans="1:47" x14ac:dyDescent="0.3">
      <c r="A2897">
        <v>2895</v>
      </c>
      <c r="B2897" t="s">
        <v>11983</v>
      </c>
      <c r="C2897" t="s">
        <v>11984</v>
      </c>
      <c r="D2897">
        <v>710</v>
      </c>
      <c r="E2897" t="s">
        <v>11970</v>
      </c>
      <c r="F2897" t="str">
        <f>VLOOKUP(E2897,country_continent!A:C,2,FALSE)</f>
        <v>China</v>
      </c>
      <c r="G2897" t="str">
        <f>VLOOKUP(E2897,country_continent!A:C,3,FALSE)</f>
        <v>Asia</v>
      </c>
      <c r="H2897" t="s">
        <v>11985</v>
      </c>
      <c r="I2897" s="1">
        <v>4395</v>
      </c>
      <c r="J2897" s="3">
        <f t="shared" si="135"/>
        <v>4395</v>
      </c>
      <c r="K2897" s="1">
        <v>4429</v>
      </c>
      <c r="L2897" s="3">
        <f t="shared" si="136"/>
        <v>4429</v>
      </c>
      <c r="M2897" t="s">
        <v>67</v>
      </c>
      <c r="N2897" t="s">
        <v>49</v>
      </c>
      <c r="O2897" t="s">
        <v>49</v>
      </c>
      <c r="P2897">
        <v>0</v>
      </c>
      <c r="Q2897" t="s">
        <v>50</v>
      </c>
      <c r="R2897" t="s">
        <v>51</v>
      </c>
      <c r="S2897">
        <v>1866</v>
      </c>
      <c r="T2897">
        <v>1925</v>
      </c>
      <c r="U2897" t="s">
        <v>11986</v>
      </c>
      <c r="V2897" t="s">
        <v>11987</v>
      </c>
      <c r="Y2897" t="s">
        <v>11988</v>
      </c>
      <c r="Z2897">
        <v>1</v>
      </c>
      <c r="AA2897">
        <v>1</v>
      </c>
      <c r="AB2897">
        <v>0</v>
      </c>
      <c r="AC2897">
        <v>0</v>
      </c>
      <c r="AF2897">
        <v>1912</v>
      </c>
      <c r="AG2897">
        <v>1912</v>
      </c>
      <c r="AO2897" t="b">
        <v>1</v>
      </c>
      <c r="AP2897" t="s">
        <v>6291</v>
      </c>
      <c r="AQ2897">
        <v>1945</v>
      </c>
      <c r="AR2897">
        <v>1999</v>
      </c>
      <c r="AS2897" t="s">
        <v>11989</v>
      </c>
      <c r="AT2897">
        <v>9.3086926762491404E-2</v>
      </c>
      <c r="AU2897">
        <f t="shared" si="137"/>
        <v>0</v>
      </c>
    </row>
    <row r="2898" spans="1:47" x14ac:dyDescent="0.3">
      <c r="A2898">
        <v>2896</v>
      </c>
      <c r="B2898" t="s">
        <v>11990</v>
      </c>
      <c r="C2898" t="s">
        <v>11991</v>
      </c>
      <c r="D2898">
        <v>710</v>
      </c>
      <c r="E2898" t="s">
        <v>11970</v>
      </c>
      <c r="F2898" t="str">
        <f>VLOOKUP(E2898,country_continent!A:C,2,FALSE)</f>
        <v>China</v>
      </c>
      <c r="G2898" t="str">
        <f>VLOOKUP(E2898,country_continent!A:C,3,FALSE)</f>
        <v>Asia</v>
      </c>
      <c r="H2898" t="s">
        <v>11992</v>
      </c>
      <c r="I2898" s="1">
        <v>4429</v>
      </c>
      <c r="J2898" s="3">
        <f t="shared" si="135"/>
        <v>4429</v>
      </c>
      <c r="K2898" s="1">
        <v>6002</v>
      </c>
      <c r="L2898" s="3">
        <f t="shared" si="136"/>
        <v>6002</v>
      </c>
      <c r="M2898" t="s">
        <v>49</v>
      </c>
      <c r="N2898" t="s">
        <v>110</v>
      </c>
      <c r="O2898" t="s">
        <v>49</v>
      </c>
      <c r="P2898">
        <v>0</v>
      </c>
      <c r="Q2898" t="s">
        <v>111</v>
      </c>
      <c r="R2898" t="s">
        <v>51</v>
      </c>
      <c r="S2898">
        <v>1859</v>
      </c>
      <c r="T2898">
        <v>1916</v>
      </c>
      <c r="U2898" t="s">
        <v>11993</v>
      </c>
      <c r="V2898" t="s">
        <v>11994</v>
      </c>
      <c r="Y2898" t="s">
        <v>11995</v>
      </c>
      <c r="Z2898">
        <v>0</v>
      </c>
      <c r="AA2898">
        <v>2</v>
      </c>
      <c r="AB2898">
        <v>0</v>
      </c>
      <c r="AC2898">
        <v>-777</v>
      </c>
      <c r="AD2898" t="s">
        <v>11996</v>
      </c>
      <c r="AE2898">
        <v>0</v>
      </c>
      <c r="AF2898">
        <v>1912</v>
      </c>
      <c r="AG2898">
        <v>1916</v>
      </c>
      <c r="AO2898" t="b">
        <v>1</v>
      </c>
      <c r="AP2898" t="s">
        <v>6291</v>
      </c>
      <c r="AQ2898">
        <v>1945</v>
      </c>
      <c r="AR2898">
        <v>1999</v>
      </c>
      <c r="AS2898" t="s">
        <v>11997</v>
      </c>
      <c r="AT2898">
        <v>4.3066392881587898</v>
      </c>
      <c r="AU2898">
        <f t="shared" si="137"/>
        <v>1.2E-2</v>
      </c>
    </row>
    <row r="2899" spans="1:47" x14ac:dyDescent="0.3">
      <c r="A2899">
        <v>2897</v>
      </c>
      <c r="B2899" t="s">
        <v>11998</v>
      </c>
      <c r="C2899" t="s">
        <v>11999</v>
      </c>
      <c r="D2899">
        <v>710</v>
      </c>
      <c r="E2899" t="s">
        <v>11970</v>
      </c>
      <c r="F2899" t="str">
        <f>VLOOKUP(E2899,country_continent!A:C,2,FALSE)</f>
        <v>China</v>
      </c>
      <c r="G2899" t="str">
        <f>VLOOKUP(E2899,country_continent!A:C,3,FALSE)</f>
        <v>Asia</v>
      </c>
      <c r="H2899" t="s">
        <v>12000</v>
      </c>
      <c r="I2899" s="1">
        <v>6002</v>
      </c>
      <c r="J2899" s="3">
        <f t="shared" si="135"/>
        <v>6002</v>
      </c>
      <c r="K2899" s="1">
        <v>6436</v>
      </c>
      <c r="L2899" s="3">
        <f t="shared" si="136"/>
        <v>6436</v>
      </c>
      <c r="M2899" t="s">
        <v>49</v>
      </c>
      <c r="N2899" t="s">
        <v>67</v>
      </c>
      <c r="O2899" t="s">
        <v>347</v>
      </c>
      <c r="P2899">
        <v>0</v>
      </c>
      <c r="Q2899" t="s">
        <v>50</v>
      </c>
      <c r="R2899" t="s">
        <v>51</v>
      </c>
      <c r="S2899">
        <v>1864</v>
      </c>
      <c r="T2899">
        <v>1928</v>
      </c>
      <c r="W2899" s="1">
        <v>10382</v>
      </c>
      <c r="X2899" s="2">
        <v>10382</v>
      </c>
      <c r="Z2899">
        <v>0</v>
      </c>
      <c r="AA2899">
        <v>3</v>
      </c>
      <c r="AB2899">
        <v>-999</v>
      </c>
      <c r="AC2899">
        <v>0</v>
      </c>
      <c r="AD2899" t="s">
        <v>12001</v>
      </c>
      <c r="AF2899">
        <v>1916</v>
      </c>
      <c r="AG2899">
        <v>1917</v>
      </c>
      <c r="AO2899" t="b">
        <v>1</v>
      </c>
      <c r="AP2899" t="s">
        <v>6291</v>
      </c>
      <c r="AQ2899">
        <v>1945</v>
      </c>
      <c r="AR2899">
        <v>1999</v>
      </c>
      <c r="AS2899" t="s">
        <v>12002</v>
      </c>
      <c r="AT2899">
        <v>1.1882272416153301</v>
      </c>
      <c r="AU2899">
        <f t="shared" si="137"/>
        <v>3.0000000000000001E-3</v>
      </c>
    </row>
    <row r="2900" spans="1:47" x14ac:dyDescent="0.3">
      <c r="A2900">
        <v>2898</v>
      </c>
      <c r="B2900" t="s">
        <v>12003</v>
      </c>
      <c r="C2900" t="s">
        <v>12004</v>
      </c>
      <c r="D2900">
        <v>710</v>
      </c>
      <c r="E2900" t="s">
        <v>11970</v>
      </c>
      <c r="F2900" t="str">
        <f>VLOOKUP(E2900,country_continent!A:C,2,FALSE)</f>
        <v>China</v>
      </c>
      <c r="G2900" t="str">
        <f>VLOOKUP(E2900,country_continent!A:C,3,FALSE)</f>
        <v>Asia</v>
      </c>
      <c r="H2900" t="s">
        <v>12005</v>
      </c>
      <c r="I2900" s="1">
        <v>6436</v>
      </c>
      <c r="J2900" s="3">
        <f t="shared" si="135"/>
        <v>6436</v>
      </c>
      <c r="K2900" s="1">
        <v>6822</v>
      </c>
      <c r="L2900" s="3">
        <f t="shared" si="136"/>
        <v>6822</v>
      </c>
      <c r="M2900" t="s">
        <v>67</v>
      </c>
      <c r="N2900" t="s">
        <v>49</v>
      </c>
      <c r="O2900" t="s">
        <v>49</v>
      </c>
      <c r="P2900">
        <v>0</v>
      </c>
      <c r="Q2900" t="s">
        <v>50</v>
      </c>
      <c r="R2900" t="s">
        <v>51</v>
      </c>
      <c r="S2900">
        <v>1859</v>
      </c>
      <c r="T2900">
        <v>1919</v>
      </c>
      <c r="U2900" t="s">
        <v>12006</v>
      </c>
      <c r="V2900" t="s">
        <v>12007</v>
      </c>
      <c r="Z2900">
        <v>1</v>
      </c>
      <c r="AA2900">
        <v>1</v>
      </c>
      <c r="AB2900">
        <v>0</v>
      </c>
      <c r="AC2900">
        <v>0</v>
      </c>
      <c r="AF2900">
        <v>1917</v>
      </c>
      <c r="AG2900">
        <v>1918</v>
      </c>
      <c r="AO2900" t="b">
        <v>1</v>
      </c>
      <c r="AP2900" t="s">
        <v>6291</v>
      </c>
      <c r="AQ2900">
        <v>1945</v>
      </c>
      <c r="AR2900">
        <v>1999</v>
      </c>
      <c r="AS2900" t="s">
        <v>12008</v>
      </c>
      <c r="AT2900">
        <v>1.05681040383299</v>
      </c>
      <c r="AU2900">
        <f t="shared" si="137"/>
        <v>3.0000000000000001E-3</v>
      </c>
    </row>
    <row r="2901" spans="1:47" x14ac:dyDescent="0.3">
      <c r="A2901">
        <v>2899</v>
      </c>
      <c r="B2901" t="s">
        <v>12009</v>
      </c>
      <c r="C2901" t="s">
        <v>12010</v>
      </c>
      <c r="D2901">
        <v>710</v>
      </c>
      <c r="E2901" t="s">
        <v>11970</v>
      </c>
      <c r="F2901" t="str">
        <f>VLOOKUP(E2901,country_continent!A:C,2,FALSE)</f>
        <v>China</v>
      </c>
      <c r="G2901" t="str">
        <f>VLOOKUP(E2901,country_continent!A:C,3,FALSE)</f>
        <v>Asia</v>
      </c>
      <c r="H2901" t="s">
        <v>12011</v>
      </c>
      <c r="I2901" s="1">
        <v>6822</v>
      </c>
      <c r="J2901" s="3">
        <f t="shared" si="135"/>
        <v>6822</v>
      </c>
      <c r="K2901" s="1">
        <v>8189</v>
      </c>
      <c r="L2901" s="3">
        <f t="shared" si="136"/>
        <v>8189</v>
      </c>
      <c r="M2901" t="s">
        <v>49</v>
      </c>
      <c r="N2901" t="s">
        <v>49</v>
      </c>
      <c r="O2901" t="s">
        <v>49</v>
      </c>
      <c r="P2901">
        <v>0</v>
      </c>
      <c r="Q2901" t="s">
        <v>50</v>
      </c>
      <c r="R2901" t="s">
        <v>51</v>
      </c>
      <c r="S2901">
        <v>1855</v>
      </c>
      <c r="T2901">
        <v>1939</v>
      </c>
      <c r="U2901" t="s">
        <v>12012</v>
      </c>
      <c r="V2901" t="s">
        <v>12013</v>
      </c>
      <c r="Y2901" t="s">
        <v>12014</v>
      </c>
      <c r="Z2901">
        <v>0</v>
      </c>
      <c r="AA2901">
        <v>1</v>
      </c>
      <c r="AB2901">
        <v>0</v>
      </c>
      <c r="AC2901">
        <v>0</v>
      </c>
      <c r="AF2901">
        <v>1918</v>
      </c>
      <c r="AG2901">
        <v>1922</v>
      </c>
      <c r="AO2901" t="b">
        <v>1</v>
      </c>
      <c r="AP2901" t="s">
        <v>6291</v>
      </c>
      <c r="AQ2901">
        <v>1945</v>
      </c>
      <c r="AR2901">
        <v>1999</v>
      </c>
      <c r="AS2901" t="s">
        <v>12015</v>
      </c>
      <c r="AT2901">
        <v>3.7426420260095798</v>
      </c>
      <c r="AU2901">
        <f t="shared" si="137"/>
        <v>0.01</v>
      </c>
    </row>
    <row r="2902" spans="1:47" x14ac:dyDescent="0.3">
      <c r="A2902">
        <v>2900</v>
      </c>
      <c r="B2902" t="s">
        <v>12016</v>
      </c>
      <c r="C2902" t="s">
        <v>11999</v>
      </c>
      <c r="D2902">
        <v>710</v>
      </c>
      <c r="E2902" t="s">
        <v>11970</v>
      </c>
      <c r="F2902" t="str">
        <f>VLOOKUP(E2902,country_continent!A:C,2,FALSE)</f>
        <v>China</v>
      </c>
      <c r="G2902" t="str">
        <f>VLOOKUP(E2902,country_continent!A:C,3,FALSE)</f>
        <v>Asia</v>
      </c>
      <c r="H2902" t="s">
        <v>12000</v>
      </c>
      <c r="I2902" s="1">
        <v>8198</v>
      </c>
      <c r="J2902" s="3">
        <f t="shared" si="135"/>
        <v>8198</v>
      </c>
      <c r="K2902" s="1">
        <v>8566</v>
      </c>
      <c r="L2902" s="3">
        <f t="shared" si="136"/>
        <v>8566</v>
      </c>
      <c r="M2902" t="s">
        <v>49</v>
      </c>
      <c r="N2902" t="s">
        <v>67</v>
      </c>
      <c r="O2902" t="s">
        <v>376</v>
      </c>
      <c r="P2902">
        <v>1</v>
      </c>
      <c r="Q2902" t="s">
        <v>362</v>
      </c>
      <c r="R2902" t="s">
        <v>51</v>
      </c>
      <c r="S2902">
        <v>1864</v>
      </c>
      <c r="T2902">
        <v>1928</v>
      </c>
      <c r="W2902" s="1">
        <v>10382</v>
      </c>
      <c r="X2902" s="2">
        <v>10382</v>
      </c>
      <c r="Z2902">
        <v>0</v>
      </c>
      <c r="AA2902">
        <v>3</v>
      </c>
      <c r="AB2902">
        <v>6</v>
      </c>
      <c r="AC2902">
        <v>1</v>
      </c>
      <c r="AD2902" t="s">
        <v>12001</v>
      </c>
      <c r="AE2902">
        <v>1</v>
      </c>
      <c r="AF2902">
        <v>1922</v>
      </c>
      <c r="AG2902">
        <v>1923</v>
      </c>
      <c r="AO2902" t="b">
        <v>1</v>
      </c>
      <c r="AP2902" t="s">
        <v>6291</v>
      </c>
      <c r="AQ2902">
        <v>1945</v>
      </c>
      <c r="AR2902">
        <v>1999</v>
      </c>
      <c r="AS2902" t="s">
        <v>12017</v>
      </c>
      <c r="AT2902">
        <v>1.0075290896646101</v>
      </c>
      <c r="AU2902">
        <f t="shared" si="137"/>
        <v>3.0000000000000001E-3</v>
      </c>
    </row>
    <row r="2903" spans="1:47" x14ac:dyDescent="0.3">
      <c r="A2903">
        <v>2901</v>
      </c>
      <c r="B2903" t="s">
        <v>12018</v>
      </c>
      <c r="C2903" t="s">
        <v>12019</v>
      </c>
      <c r="D2903">
        <v>710</v>
      </c>
      <c r="E2903" t="s">
        <v>11970</v>
      </c>
      <c r="F2903" t="str">
        <f>VLOOKUP(E2903,country_continent!A:C,2,FALSE)</f>
        <v>China</v>
      </c>
      <c r="G2903" t="str">
        <f>VLOOKUP(E2903,country_continent!A:C,3,FALSE)</f>
        <v>Asia</v>
      </c>
      <c r="H2903" t="s">
        <v>12020</v>
      </c>
      <c r="I2903" s="1">
        <v>8679</v>
      </c>
      <c r="J2903" s="3">
        <f t="shared" si="135"/>
        <v>8679</v>
      </c>
      <c r="K2903" s="1">
        <v>9073</v>
      </c>
      <c r="L2903" s="3">
        <f t="shared" si="136"/>
        <v>9073</v>
      </c>
      <c r="M2903" t="s">
        <v>67</v>
      </c>
      <c r="N2903" t="s">
        <v>67</v>
      </c>
      <c r="O2903" t="s">
        <v>376</v>
      </c>
      <c r="P2903">
        <v>0</v>
      </c>
      <c r="Q2903" t="s">
        <v>463</v>
      </c>
      <c r="R2903" t="s">
        <v>51</v>
      </c>
      <c r="S2903">
        <v>1862</v>
      </c>
      <c r="T2903">
        <v>1938</v>
      </c>
      <c r="U2903" t="s">
        <v>12021</v>
      </c>
      <c r="V2903" t="s">
        <v>12022</v>
      </c>
      <c r="Z2903">
        <v>1</v>
      </c>
      <c r="AA2903">
        <v>3</v>
      </c>
      <c r="AB2903">
        <v>6</v>
      </c>
      <c r="AC2903">
        <v>2</v>
      </c>
      <c r="AF2903">
        <v>1923</v>
      </c>
      <c r="AG2903">
        <v>1924</v>
      </c>
      <c r="AO2903" t="b">
        <v>1</v>
      </c>
      <c r="AP2903" t="s">
        <v>6291</v>
      </c>
      <c r="AQ2903">
        <v>1945</v>
      </c>
      <c r="AR2903">
        <v>1999</v>
      </c>
      <c r="AS2903" t="s">
        <v>12023</v>
      </c>
      <c r="AT2903">
        <v>1.0787132101300401</v>
      </c>
      <c r="AU2903">
        <f t="shared" si="137"/>
        <v>3.0000000000000001E-3</v>
      </c>
    </row>
    <row r="2904" spans="1:47" x14ac:dyDescent="0.3">
      <c r="A2904">
        <v>2902</v>
      </c>
      <c r="B2904" t="s">
        <v>12024</v>
      </c>
      <c r="C2904" t="s">
        <v>12025</v>
      </c>
      <c r="D2904">
        <v>710</v>
      </c>
      <c r="E2904" t="s">
        <v>11970</v>
      </c>
      <c r="F2904" t="str">
        <f>VLOOKUP(E2904,country_continent!A:C,2,FALSE)</f>
        <v>China</v>
      </c>
      <c r="G2904" t="str">
        <f>VLOOKUP(E2904,country_continent!A:C,3,FALSE)</f>
        <v>Asia</v>
      </c>
      <c r="H2904" t="s">
        <v>12026</v>
      </c>
      <c r="I2904" s="1">
        <v>9095</v>
      </c>
      <c r="J2904" s="3">
        <f t="shared" si="135"/>
        <v>9095</v>
      </c>
      <c r="K2904" s="1">
        <v>9607</v>
      </c>
      <c r="L2904" s="3">
        <f t="shared" si="136"/>
        <v>9607</v>
      </c>
      <c r="M2904" t="s">
        <v>67</v>
      </c>
      <c r="N2904" t="s">
        <v>67</v>
      </c>
      <c r="O2904" t="s">
        <v>376</v>
      </c>
      <c r="P2904">
        <v>0</v>
      </c>
      <c r="Q2904" t="s">
        <v>50</v>
      </c>
      <c r="R2904" t="s">
        <v>51</v>
      </c>
      <c r="S2904">
        <v>1865</v>
      </c>
      <c r="T2904">
        <v>1936</v>
      </c>
      <c r="U2904" t="s">
        <v>12027</v>
      </c>
      <c r="V2904" t="s">
        <v>12028</v>
      </c>
      <c r="Z2904">
        <v>1</v>
      </c>
      <c r="AA2904">
        <v>3</v>
      </c>
      <c r="AB2904">
        <v>6</v>
      </c>
      <c r="AC2904">
        <v>0</v>
      </c>
      <c r="AF2904">
        <v>1924</v>
      </c>
      <c r="AG2904">
        <v>1926</v>
      </c>
      <c r="AO2904" t="b">
        <v>1</v>
      </c>
      <c r="AP2904" t="s">
        <v>6291</v>
      </c>
      <c r="AQ2904">
        <v>1945</v>
      </c>
      <c r="AR2904">
        <v>1999</v>
      </c>
      <c r="AS2904" t="s">
        <v>12029</v>
      </c>
      <c r="AT2904">
        <v>1.4017796030116301</v>
      </c>
      <c r="AU2904">
        <f t="shared" si="137"/>
        <v>4.0000000000000001E-3</v>
      </c>
    </row>
    <row r="2905" spans="1:47" x14ac:dyDescent="0.3">
      <c r="A2905">
        <v>2903</v>
      </c>
      <c r="B2905" t="s">
        <v>12030</v>
      </c>
      <c r="C2905" t="s">
        <v>12031</v>
      </c>
      <c r="D2905">
        <v>710</v>
      </c>
      <c r="E2905" t="s">
        <v>11970</v>
      </c>
      <c r="F2905" t="str">
        <f>VLOOKUP(E2905,country_continent!A:C,2,FALSE)</f>
        <v>China</v>
      </c>
      <c r="G2905" t="str">
        <f>VLOOKUP(E2905,country_continent!A:C,3,FALSE)</f>
        <v>Asia</v>
      </c>
      <c r="H2905" t="s">
        <v>12032</v>
      </c>
      <c r="I2905" s="1">
        <v>9608</v>
      </c>
      <c r="J2905" s="3">
        <f t="shared" si="135"/>
        <v>9608</v>
      </c>
      <c r="K2905" s="1">
        <v>10511</v>
      </c>
      <c r="L2905" s="3">
        <f t="shared" si="136"/>
        <v>10511</v>
      </c>
      <c r="M2905" t="s">
        <v>67</v>
      </c>
      <c r="N2905" t="s">
        <v>633</v>
      </c>
      <c r="O2905" t="s">
        <v>634</v>
      </c>
      <c r="P2905">
        <v>0</v>
      </c>
      <c r="Q2905" t="s">
        <v>69</v>
      </c>
      <c r="R2905" t="s">
        <v>51</v>
      </c>
      <c r="S2905">
        <v>1873</v>
      </c>
      <c r="T2905">
        <v>1928</v>
      </c>
      <c r="Z2905">
        <v>1</v>
      </c>
      <c r="AA2905">
        <v>4</v>
      </c>
      <c r="AB2905">
        <v>9</v>
      </c>
      <c r="AC2905">
        <v>3</v>
      </c>
      <c r="AF2905">
        <v>1926</v>
      </c>
      <c r="AG2905">
        <v>1928</v>
      </c>
      <c r="AO2905" t="b">
        <v>1</v>
      </c>
      <c r="AP2905" t="s">
        <v>6291</v>
      </c>
      <c r="AQ2905">
        <v>1945</v>
      </c>
      <c r="AR2905">
        <v>1999</v>
      </c>
      <c r="AS2905" t="s">
        <v>12033</v>
      </c>
      <c r="AT2905">
        <v>2.4722792607802799</v>
      </c>
      <c r="AU2905">
        <f t="shared" si="137"/>
        <v>7.0000000000000001E-3</v>
      </c>
    </row>
    <row r="2906" spans="1:47" x14ac:dyDescent="0.3">
      <c r="A2906">
        <v>2904</v>
      </c>
      <c r="B2906" t="s">
        <v>12034</v>
      </c>
      <c r="C2906" t="s">
        <v>12035</v>
      </c>
      <c r="D2906">
        <v>710</v>
      </c>
      <c r="E2906" t="s">
        <v>11970</v>
      </c>
      <c r="F2906" t="str">
        <f>VLOOKUP(E2906,country_continent!A:C,2,FALSE)</f>
        <v>China</v>
      </c>
      <c r="G2906" t="str">
        <f>VLOOKUP(E2906,country_continent!A:C,3,FALSE)</f>
        <v>Asia</v>
      </c>
      <c r="H2906" t="s">
        <v>12036</v>
      </c>
      <c r="I2906" s="1">
        <v>10511</v>
      </c>
      <c r="J2906" s="3">
        <f t="shared" si="135"/>
        <v>10511</v>
      </c>
      <c r="K2906" s="1">
        <v>13863</v>
      </c>
      <c r="L2906" s="3">
        <f t="shared" si="136"/>
        <v>13863</v>
      </c>
      <c r="M2906" t="s">
        <v>67</v>
      </c>
      <c r="N2906" t="s">
        <v>633</v>
      </c>
      <c r="O2906" t="s">
        <v>634</v>
      </c>
      <c r="P2906">
        <v>0</v>
      </c>
      <c r="Q2906" t="s">
        <v>50</v>
      </c>
      <c r="R2906" t="s">
        <v>51</v>
      </c>
      <c r="S2906">
        <v>1886</v>
      </c>
      <c r="T2906">
        <v>1975</v>
      </c>
      <c r="U2906" t="s">
        <v>12037</v>
      </c>
      <c r="V2906" t="s">
        <v>12038</v>
      </c>
      <c r="W2906" s="1">
        <v>27489</v>
      </c>
      <c r="X2906" s="2">
        <v>27489</v>
      </c>
      <c r="Y2906" t="s">
        <v>12039</v>
      </c>
      <c r="Z2906">
        <v>1</v>
      </c>
      <c r="AA2906">
        <v>4</v>
      </c>
      <c r="AB2906">
        <v>9</v>
      </c>
      <c r="AC2906">
        <v>0</v>
      </c>
      <c r="AF2906">
        <v>1928</v>
      </c>
      <c r="AG2906">
        <v>1937</v>
      </c>
      <c r="AO2906" t="b">
        <v>1</v>
      </c>
      <c r="AP2906" t="s">
        <v>6291</v>
      </c>
      <c r="AQ2906">
        <v>1945</v>
      </c>
      <c r="AR2906">
        <v>1999</v>
      </c>
      <c r="AS2906" t="s">
        <v>12040</v>
      </c>
      <c r="AT2906">
        <v>9.1772758384667998</v>
      </c>
      <c r="AU2906">
        <f t="shared" si="137"/>
        <v>2.5000000000000001E-2</v>
      </c>
    </row>
    <row r="2907" spans="1:47" x14ac:dyDescent="0.3">
      <c r="A2907">
        <v>2905</v>
      </c>
      <c r="B2907" t="s">
        <v>12041</v>
      </c>
      <c r="C2907" t="s">
        <v>12042</v>
      </c>
      <c r="D2907">
        <v>710</v>
      </c>
      <c r="E2907" t="s">
        <v>11970</v>
      </c>
      <c r="F2907" t="str">
        <f>VLOOKUP(E2907,country_continent!A:C,2,FALSE)</f>
        <v>China</v>
      </c>
      <c r="G2907" t="str">
        <f>VLOOKUP(E2907,country_continent!A:C,3,FALSE)</f>
        <v>Asia</v>
      </c>
      <c r="H2907" t="s">
        <v>12043</v>
      </c>
      <c r="I2907" s="1">
        <v>13863</v>
      </c>
      <c r="J2907" s="3">
        <f t="shared" si="135"/>
        <v>13863</v>
      </c>
      <c r="K2907" s="1">
        <v>14700</v>
      </c>
      <c r="L2907" s="3">
        <f t="shared" si="136"/>
        <v>14700</v>
      </c>
      <c r="M2907" t="s">
        <v>637</v>
      </c>
      <c r="N2907" t="s">
        <v>49</v>
      </c>
      <c r="O2907" t="s">
        <v>49</v>
      </c>
      <c r="P2907">
        <v>0</v>
      </c>
      <c r="Q2907" t="s">
        <v>50</v>
      </c>
      <c r="R2907" t="s">
        <v>51</v>
      </c>
      <c r="S2907">
        <v>1873</v>
      </c>
      <c r="T2907">
        <v>1945</v>
      </c>
      <c r="Z2907">
        <v>2</v>
      </c>
      <c r="AA2907">
        <v>1</v>
      </c>
      <c r="AB2907">
        <v>0</v>
      </c>
      <c r="AC2907">
        <v>0</v>
      </c>
      <c r="AF2907">
        <v>1937</v>
      </c>
      <c r="AG2907">
        <v>1940</v>
      </c>
      <c r="AO2907" t="b">
        <v>1</v>
      </c>
      <c r="AP2907" t="s">
        <v>6291</v>
      </c>
      <c r="AQ2907">
        <v>1945</v>
      </c>
      <c r="AR2907">
        <v>1999</v>
      </c>
      <c r="AS2907" t="s">
        <v>12044</v>
      </c>
      <c r="AT2907">
        <v>2.2915811088295599</v>
      </c>
      <c r="AU2907">
        <f t="shared" si="137"/>
        <v>6.0000000000000001E-3</v>
      </c>
    </row>
    <row r="2908" spans="1:47" x14ac:dyDescent="0.3">
      <c r="A2908">
        <v>2906</v>
      </c>
      <c r="B2908" t="s">
        <v>12045</v>
      </c>
      <c r="C2908" t="s">
        <v>12046</v>
      </c>
      <c r="D2908">
        <v>710</v>
      </c>
      <c r="E2908" t="s">
        <v>11970</v>
      </c>
      <c r="F2908" t="str">
        <f>VLOOKUP(E2908,country_continent!A:C,2,FALSE)</f>
        <v>China</v>
      </c>
      <c r="G2908" t="str">
        <f>VLOOKUP(E2908,country_continent!A:C,3,FALSE)</f>
        <v>Asia</v>
      </c>
      <c r="H2908" t="s">
        <v>12047</v>
      </c>
      <c r="I2908" s="1">
        <v>14700</v>
      </c>
      <c r="J2908" s="3">
        <f t="shared" si="135"/>
        <v>14700</v>
      </c>
      <c r="K2908" s="1">
        <v>16386</v>
      </c>
      <c r="L2908" s="3">
        <f t="shared" si="136"/>
        <v>16386</v>
      </c>
      <c r="M2908" t="s">
        <v>49</v>
      </c>
      <c r="N2908" t="s">
        <v>110</v>
      </c>
      <c r="O2908" t="s">
        <v>49</v>
      </c>
      <c r="P2908">
        <v>0</v>
      </c>
      <c r="Q2908" t="s">
        <v>111</v>
      </c>
      <c r="R2908" t="s">
        <v>51</v>
      </c>
      <c r="S2908">
        <v>1883</v>
      </c>
      <c r="T2908">
        <v>1944</v>
      </c>
      <c r="W2908" s="1">
        <v>16386</v>
      </c>
      <c r="X2908" s="2">
        <v>16386</v>
      </c>
      <c r="Z2908">
        <v>0</v>
      </c>
      <c r="AA2908">
        <v>2</v>
      </c>
      <c r="AB2908">
        <v>0</v>
      </c>
      <c r="AC2908">
        <v>-777</v>
      </c>
      <c r="AF2908">
        <v>1940</v>
      </c>
      <c r="AG2908">
        <v>1944</v>
      </c>
      <c r="AO2908" t="b">
        <v>1</v>
      </c>
      <c r="AP2908" t="s">
        <v>6291</v>
      </c>
      <c r="AQ2908">
        <v>1945</v>
      </c>
      <c r="AR2908">
        <v>1999</v>
      </c>
      <c r="AS2908" t="s">
        <v>12048</v>
      </c>
      <c r="AT2908">
        <v>4.6160164271047197</v>
      </c>
      <c r="AU2908">
        <f t="shared" si="137"/>
        <v>1.2999999999999999E-2</v>
      </c>
    </row>
    <row r="2909" spans="1:47" x14ac:dyDescent="0.3">
      <c r="A2909">
        <v>2907</v>
      </c>
      <c r="B2909" t="s">
        <v>12049</v>
      </c>
      <c r="C2909" t="s">
        <v>12050</v>
      </c>
      <c r="D2909">
        <v>710</v>
      </c>
      <c r="E2909" t="s">
        <v>11970</v>
      </c>
      <c r="F2909" t="str">
        <f>VLOOKUP(E2909,country_continent!A:C,2,FALSE)</f>
        <v>China</v>
      </c>
      <c r="G2909" t="str">
        <f>VLOOKUP(E2909,country_continent!A:C,3,FALSE)</f>
        <v>Asia</v>
      </c>
      <c r="H2909" t="s">
        <v>12051</v>
      </c>
      <c r="I2909" s="1">
        <v>16396</v>
      </c>
      <c r="J2909" s="3">
        <f t="shared" si="135"/>
        <v>16396</v>
      </c>
      <c r="K2909" s="1">
        <v>16650</v>
      </c>
      <c r="L2909" s="3">
        <f t="shared" si="136"/>
        <v>16650</v>
      </c>
      <c r="M2909" t="s">
        <v>49</v>
      </c>
      <c r="N2909" t="s">
        <v>67</v>
      </c>
      <c r="O2909" t="s">
        <v>645</v>
      </c>
      <c r="P2909">
        <v>0</v>
      </c>
      <c r="Q2909" t="s">
        <v>362</v>
      </c>
      <c r="R2909" t="s">
        <v>51</v>
      </c>
      <c r="S2909">
        <v>1892</v>
      </c>
      <c r="T2909">
        <v>1946</v>
      </c>
      <c r="Z2909">
        <v>0</v>
      </c>
      <c r="AA2909">
        <v>3</v>
      </c>
      <c r="AB2909">
        <v>3</v>
      </c>
      <c r="AC2909">
        <v>1</v>
      </c>
      <c r="AF2909">
        <v>1944</v>
      </c>
      <c r="AG2909">
        <v>1945</v>
      </c>
      <c r="AO2909" t="b">
        <v>1</v>
      </c>
      <c r="AP2909" t="s">
        <v>6291</v>
      </c>
      <c r="AQ2909">
        <v>1945</v>
      </c>
      <c r="AR2909">
        <v>1999</v>
      </c>
      <c r="AS2909" t="s">
        <v>12052</v>
      </c>
      <c r="AT2909">
        <v>0.69541409993155301</v>
      </c>
      <c r="AU2909">
        <f t="shared" si="137"/>
        <v>2E-3</v>
      </c>
    </row>
    <row r="2910" spans="1:47" x14ac:dyDescent="0.3">
      <c r="A2910">
        <v>2908</v>
      </c>
      <c r="B2910" t="s">
        <v>12053</v>
      </c>
      <c r="C2910" t="s">
        <v>12035</v>
      </c>
      <c r="D2910">
        <v>710</v>
      </c>
      <c r="E2910" t="s">
        <v>11970</v>
      </c>
      <c r="F2910" t="str">
        <f>VLOOKUP(E2910,country_continent!A:C,2,FALSE)</f>
        <v>China</v>
      </c>
      <c r="G2910" t="str">
        <f>VLOOKUP(E2910,country_continent!A:C,3,FALSE)</f>
        <v>Asia</v>
      </c>
      <c r="H2910" t="s">
        <v>12036</v>
      </c>
      <c r="I2910" s="1">
        <v>17162</v>
      </c>
      <c r="J2910" s="3">
        <f t="shared" si="135"/>
        <v>17162</v>
      </c>
      <c r="K2910" s="1">
        <v>17919</v>
      </c>
      <c r="L2910" s="3">
        <f t="shared" si="136"/>
        <v>17919</v>
      </c>
      <c r="M2910" t="s">
        <v>67</v>
      </c>
      <c r="N2910" t="s">
        <v>67</v>
      </c>
      <c r="O2910" t="s">
        <v>433</v>
      </c>
      <c r="P2910">
        <v>1</v>
      </c>
      <c r="Q2910" t="s">
        <v>362</v>
      </c>
      <c r="R2910" t="s">
        <v>51</v>
      </c>
      <c r="S2910">
        <v>1886</v>
      </c>
      <c r="T2910">
        <v>1975</v>
      </c>
      <c r="U2910" t="s">
        <v>12037</v>
      </c>
      <c r="V2910" t="s">
        <v>12038</v>
      </c>
      <c r="W2910" s="1">
        <v>27489</v>
      </c>
      <c r="X2910" s="2">
        <v>27489</v>
      </c>
      <c r="Y2910" t="s">
        <v>12039</v>
      </c>
      <c r="Z2910">
        <v>1</v>
      </c>
      <c r="AA2910">
        <v>3</v>
      </c>
      <c r="AB2910">
        <v>4</v>
      </c>
      <c r="AC2910">
        <v>1</v>
      </c>
      <c r="AF2910">
        <v>1946</v>
      </c>
      <c r="AG2910">
        <v>1949</v>
      </c>
      <c r="AN2910">
        <v>-5.75</v>
      </c>
      <c r="AO2910" t="b">
        <v>1</v>
      </c>
      <c r="AP2910" t="s">
        <v>6291</v>
      </c>
      <c r="AQ2910">
        <v>1945</v>
      </c>
      <c r="AR2910">
        <v>1999</v>
      </c>
      <c r="AS2910" t="s">
        <v>12054</v>
      </c>
      <c r="AT2910">
        <v>2.0725530458589998</v>
      </c>
      <c r="AU2910">
        <f t="shared" si="137"/>
        <v>6.0000000000000001E-3</v>
      </c>
    </row>
    <row r="2911" spans="1:47" x14ac:dyDescent="0.3">
      <c r="A2911">
        <v>2909</v>
      </c>
      <c r="B2911" t="s">
        <v>12055</v>
      </c>
      <c r="C2911" t="s">
        <v>12056</v>
      </c>
      <c r="D2911">
        <v>710</v>
      </c>
      <c r="E2911" t="s">
        <v>11970</v>
      </c>
      <c r="F2911" t="str">
        <f>VLOOKUP(E2911,country_continent!A:C,2,FALSE)</f>
        <v>China</v>
      </c>
      <c r="G2911" t="str">
        <f>VLOOKUP(E2911,country_continent!A:C,3,FALSE)</f>
        <v>Asia</v>
      </c>
      <c r="H2911" t="s">
        <v>12057</v>
      </c>
      <c r="I2911" s="1">
        <v>18172</v>
      </c>
      <c r="J2911" s="3">
        <f t="shared" si="135"/>
        <v>18172</v>
      </c>
      <c r="K2911" s="1">
        <v>28012</v>
      </c>
      <c r="L2911" s="3">
        <f t="shared" si="136"/>
        <v>28012</v>
      </c>
      <c r="M2911" t="s">
        <v>67</v>
      </c>
      <c r="N2911" t="s">
        <v>110</v>
      </c>
      <c r="O2911" t="s">
        <v>49</v>
      </c>
      <c r="P2911">
        <v>0</v>
      </c>
      <c r="Q2911" t="s">
        <v>111</v>
      </c>
      <c r="R2911" t="s">
        <v>51</v>
      </c>
      <c r="S2911">
        <v>1893</v>
      </c>
      <c r="T2911">
        <v>1976</v>
      </c>
      <c r="U2911" t="s">
        <v>12058</v>
      </c>
      <c r="V2911" t="s">
        <v>12059</v>
      </c>
      <c r="W2911" s="1">
        <v>28012</v>
      </c>
      <c r="X2911" s="2">
        <v>28012</v>
      </c>
      <c r="Y2911" t="s">
        <v>12060</v>
      </c>
      <c r="Z2911">
        <v>1</v>
      </c>
      <c r="AA2911">
        <v>2</v>
      </c>
      <c r="AB2911">
        <v>0</v>
      </c>
      <c r="AC2911">
        <v>-777</v>
      </c>
      <c r="AF2911">
        <v>1949</v>
      </c>
      <c r="AG2911">
        <v>1976</v>
      </c>
      <c r="AH2911">
        <v>2.6153052600487001</v>
      </c>
      <c r="AI2911">
        <v>124</v>
      </c>
      <c r="AJ2911">
        <v>0.44824785884526602</v>
      </c>
      <c r="AK2911">
        <v>99.0625</v>
      </c>
      <c r="AL2911">
        <v>2.08141178890796</v>
      </c>
      <c r="AM2911">
        <v>3.6942669529550898</v>
      </c>
      <c r="AN2911">
        <v>-8.07</v>
      </c>
      <c r="AO2911" t="b">
        <v>1</v>
      </c>
      <c r="AP2911" t="s">
        <v>6291</v>
      </c>
      <c r="AQ2911">
        <v>1945</v>
      </c>
      <c r="AR2911">
        <v>1999</v>
      </c>
      <c r="AS2911" t="s">
        <v>12061</v>
      </c>
      <c r="AT2911">
        <v>26.9404517453798</v>
      </c>
      <c r="AU2911">
        <f t="shared" si="137"/>
        <v>7.3999999999999996E-2</v>
      </c>
    </row>
    <row r="2912" spans="1:47" x14ac:dyDescent="0.3">
      <c r="A2912">
        <v>2910</v>
      </c>
      <c r="B2912" t="s">
        <v>12062</v>
      </c>
      <c r="C2912" t="s">
        <v>12063</v>
      </c>
      <c r="D2912">
        <v>710</v>
      </c>
      <c r="E2912" t="s">
        <v>11970</v>
      </c>
      <c r="F2912" t="str">
        <f>VLOOKUP(E2912,country_continent!A:C,2,FALSE)</f>
        <v>China</v>
      </c>
      <c r="G2912" t="str">
        <f>VLOOKUP(E2912,country_continent!A:C,3,FALSE)</f>
        <v>Asia</v>
      </c>
      <c r="H2912" t="s">
        <v>12064</v>
      </c>
      <c r="I2912" s="1">
        <v>28040</v>
      </c>
      <c r="J2912" s="3">
        <f t="shared" si="135"/>
        <v>28040</v>
      </c>
      <c r="K2912" s="1">
        <v>29474</v>
      </c>
      <c r="L2912" s="3">
        <f t="shared" si="136"/>
        <v>29474</v>
      </c>
      <c r="M2912" t="s">
        <v>49</v>
      </c>
      <c r="N2912" t="s">
        <v>49</v>
      </c>
      <c r="O2912" t="s">
        <v>49</v>
      </c>
      <c r="P2912">
        <v>0</v>
      </c>
      <c r="Q2912" t="s">
        <v>50</v>
      </c>
      <c r="R2912" t="s">
        <v>51</v>
      </c>
      <c r="S2912">
        <v>1921</v>
      </c>
      <c r="T2912">
        <v>-777</v>
      </c>
      <c r="U2912" s="1">
        <v>7718</v>
      </c>
      <c r="V2912" s="2">
        <v>7718</v>
      </c>
      <c r="Y2912" t="s">
        <v>12065</v>
      </c>
      <c r="Z2912">
        <v>0</v>
      </c>
      <c r="AA2912">
        <v>1</v>
      </c>
      <c r="AB2912">
        <v>0</v>
      </c>
      <c r="AC2912">
        <v>0</v>
      </c>
      <c r="AF2912">
        <v>1976</v>
      </c>
      <c r="AG2912">
        <v>1980</v>
      </c>
      <c r="AH2912">
        <v>5.1069225807248202</v>
      </c>
      <c r="AI2912">
        <v>204</v>
      </c>
      <c r="AJ2912">
        <v>2.0067755421653999</v>
      </c>
      <c r="AK2912">
        <v>70.7</v>
      </c>
      <c r="AL2912">
        <v>1.3672897584762</v>
      </c>
      <c r="AM2912">
        <v>13.3756034478624</v>
      </c>
      <c r="AN2912">
        <v>-7</v>
      </c>
      <c r="AO2912" t="b">
        <v>1</v>
      </c>
      <c r="AP2912" t="s">
        <v>6291</v>
      </c>
      <c r="AQ2912">
        <v>1945</v>
      </c>
      <c r="AR2912">
        <v>1999</v>
      </c>
      <c r="AS2912" t="s">
        <v>12066</v>
      </c>
      <c r="AT2912">
        <v>3.9260780287474302</v>
      </c>
      <c r="AU2912">
        <f t="shared" si="137"/>
        <v>1.0999999999999999E-2</v>
      </c>
    </row>
    <row r="2913" spans="1:47" x14ac:dyDescent="0.3">
      <c r="A2913">
        <v>2911</v>
      </c>
      <c r="B2913" t="s">
        <v>12067</v>
      </c>
      <c r="C2913" t="s">
        <v>12068</v>
      </c>
      <c r="D2913">
        <v>710</v>
      </c>
      <c r="E2913" t="s">
        <v>11970</v>
      </c>
      <c r="F2913" t="str">
        <f>VLOOKUP(E2913,country_continent!A:C,2,FALSE)</f>
        <v>China</v>
      </c>
      <c r="G2913" t="str">
        <f>VLOOKUP(E2913,country_continent!A:C,3,FALSE)</f>
        <v>Asia</v>
      </c>
      <c r="H2913" t="s">
        <v>12069</v>
      </c>
      <c r="I2913" s="1">
        <v>29474</v>
      </c>
      <c r="J2913" s="3">
        <f t="shared" si="135"/>
        <v>29474</v>
      </c>
      <c r="K2913" s="1">
        <v>35480</v>
      </c>
      <c r="L2913" s="3">
        <f t="shared" si="136"/>
        <v>35480</v>
      </c>
      <c r="M2913" t="s">
        <v>49</v>
      </c>
      <c r="N2913" t="s">
        <v>110</v>
      </c>
      <c r="O2913" t="s">
        <v>49</v>
      </c>
      <c r="P2913">
        <v>0</v>
      </c>
      <c r="Q2913" t="s">
        <v>111</v>
      </c>
      <c r="R2913" t="s">
        <v>51</v>
      </c>
      <c r="S2913">
        <v>1904</v>
      </c>
      <c r="T2913">
        <v>1997</v>
      </c>
      <c r="U2913" s="1">
        <v>1696</v>
      </c>
      <c r="V2913" s="2">
        <v>1696</v>
      </c>
      <c r="W2913" s="1">
        <v>35480</v>
      </c>
      <c r="X2913" s="2">
        <v>35480</v>
      </c>
      <c r="Y2913" t="s">
        <v>12070</v>
      </c>
      <c r="Z2913">
        <v>0</v>
      </c>
      <c r="AA2913">
        <v>2</v>
      </c>
      <c r="AB2913">
        <v>0</v>
      </c>
      <c r="AC2913">
        <v>-777</v>
      </c>
      <c r="AF2913">
        <v>1980</v>
      </c>
      <c r="AG2913">
        <v>1997</v>
      </c>
      <c r="AH2913">
        <v>8.6793120010029998</v>
      </c>
      <c r="AI2913">
        <v>368.888888888888</v>
      </c>
      <c r="AJ2913">
        <v>7.2782956433379402</v>
      </c>
      <c r="AK2913">
        <v>53.205555555555499</v>
      </c>
      <c r="AL2913">
        <v>1.3253369460061499</v>
      </c>
      <c r="AM2913">
        <v>8.3786447624532094</v>
      </c>
      <c r="AN2913">
        <v>-7</v>
      </c>
      <c r="AO2913" t="b">
        <v>1</v>
      </c>
      <c r="AP2913" t="s">
        <v>6291</v>
      </c>
      <c r="AQ2913">
        <v>1945</v>
      </c>
      <c r="AR2913">
        <v>1999</v>
      </c>
      <c r="AS2913" t="s">
        <v>12071</v>
      </c>
      <c r="AT2913">
        <v>16.4435318275154</v>
      </c>
      <c r="AU2913">
        <f t="shared" si="137"/>
        <v>4.4999999999999998E-2</v>
      </c>
    </row>
    <row r="2914" spans="1:47" x14ac:dyDescent="0.3">
      <c r="A2914">
        <v>2912</v>
      </c>
      <c r="B2914" t="s">
        <v>12072</v>
      </c>
      <c r="C2914" t="s">
        <v>12073</v>
      </c>
      <c r="D2914">
        <v>710</v>
      </c>
      <c r="E2914" t="s">
        <v>11970</v>
      </c>
      <c r="F2914" t="str">
        <f>VLOOKUP(E2914,country_continent!A:C,2,FALSE)</f>
        <v>China</v>
      </c>
      <c r="G2914" t="str">
        <f>VLOOKUP(E2914,country_continent!A:C,3,FALSE)</f>
        <v>Asia</v>
      </c>
      <c r="H2914" t="s">
        <v>12074</v>
      </c>
      <c r="I2914" s="1">
        <v>35480</v>
      </c>
      <c r="J2914" s="3">
        <f t="shared" si="135"/>
        <v>35480</v>
      </c>
      <c r="K2914" s="1">
        <v>37695</v>
      </c>
      <c r="L2914" s="3">
        <f t="shared" si="136"/>
        <v>37695</v>
      </c>
      <c r="M2914" t="s">
        <v>49</v>
      </c>
      <c r="N2914" t="s">
        <v>49</v>
      </c>
      <c r="O2914" t="s">
        <v>49</v>
      </c>
      <c r="P2914">
        <v>0</v>
      </c>
      <c r="Q2914" t="s">
        <v>50</v>
      </c>
      <c r="R2914" t="s">
        <v>51</v>
      </c>
      <c r="S2914">
        <v>1926</v>
      </c>
      <c r="T2914">
        <v>-777</v>
      </c>
      <c r="U2914" s="1">
        <v>9726</v>
      </c>
      <c r="V2914" s="2">
        <v>9726</v>
      </c>
      <c r="Y2914" t="s">
        <v>12075</v>
      </c>
      <c r="Z2914">
        <v>0</v>
      </c>
      <c r="AA2914">
        <v>1</v>
      </c>
      <c r="AB2914">
        <v>0</v>
      </c>
      <c r="AC2914">
        <v>0</v>
      </c>
      <c r="AF2914">
        <v>1997</v>
      </c>
      <c r="AG2914">
        <v>2003</v>
      </c>
      <c r="AH2914">
        <v>7.8692117643325998</v>
      </c>
      <c r="AI2914">
        <v>974.28571428571399</v>
      </c>
      <c r="AJ2914">
        <v>1.0297359557955501</v>
      </c>
      <c r="AK2914">
        <v>36.485714285714202</v>
      </c>
      <c r="AL2914">
        <v>0.80800707973927799</v>
      </c>
      <c r="AM2914">
        <v>2.17379923224764</v>
      </c>
      <c r="AN2914">
        <v>-7</v>
      </c>
      <c r="AO2914" t="b">
        <v>1</v>
      </c>
      <c r="AP2914" t="s">
        <v>6291</v>
      </c>
      <c r="AQ2914">
        <v>1945</v>
      </c>
      <c r="AR2914">
        <v>1999</v>
      </c>
      <c r="AS2914" t="s">
        <v>12076</v>
      </c>
      <c r="AT2914">
        <v>6.0643394934975996</v>
      </c>
      <c r="AU2914">
        <f t="shared" si="137"/>
        <v>1.7000000000000001E-2</v>
      </c>
    </row>
    <row r="2915" spans="1:47" x14ac:dyDescent="0.3">
      <c r="A2915">
        <v>2913</v>
      </c>
      <c r="B2915" t="s">
        <v>12077</v>
      </c>
      <c r="C2915" t="s">
        <v>12078</v>
      </c>
      <c r="D2915">
        <v>710</v>
      </c>
      <c r="E2915" t="s">
        <v>11970</v>
      </c>
      <c r="F2915" t="str">
        <f>VLOOKUP(E2915,country_continent!A:C,2,FALSE)</f>
        <v>China</v>
      </c>
      <c r="G2915" t="str">
        <f>VLOOKUP(E2915,country_continent!A:C,3,FALSE)</f>
        <v>Asia</v>
      </c>
      <c r="H2915" t="s">
        <v>12079</v>
      </c>
      <c r="I2915" s="1">
        <v>37695</v>
      </c>
      <c r="J2915" s="3">
        <f t="shared" si="135"/>
        <v>37695</v>
      </c>
      <c r="K2915" s="1">
        <v>41228</v>
      </c>
      <c r="L2915" s="3">
        <f t="shared" si="136"/>
        <v>41228</v>
      </c>
      <c r="M2915" t="s">
        <v>49</v>
      </c>
      <c r="N2915" t="s">
        <v>49</v>
      </c>
      <c r="O2915" t="s">
        <v>49</v>
      </c>
      <c r="P2915">
        <v>0</v>
      </c>
      <c r="Q2915" t="s">
        <v>50</v>
      </c>
      <c r="R2915" t="s">
        <v>51</v>
      </c>
      <c r="S2915">
        <v>1942</v>
      </c>
      <c r="T2915">
        <v>-777</v>
      </c>
      <c r="Y2915" t="s">
        <v>12080</v>
      </c>
      <c r="Z2915">
        <v>0</v>
      </c>
      <c r="AA2915">
        <v>1</v>
      </c>
      <c r="AB2915">
        <v>0</v>
      </c>
      <c r="AC2915">
        <v>0</v>
      </c>
      <c r="AF2915">
        <v>2003</v>
      </c>
      <c r="AG2915">
        <v>2012</v>
      </c>
      <c r="AH2915">
        <v>9.93458711413383</v>
      </c>
      <c r="AI2915">
        <v>3169</v>
      </c>
      <c r="AJ2915">
        <v>5.0439030643693501</v>
      </c>
      <c r="AK2915">
        <v>20.079999999999998</v>
      </c>
      <c r="AL2915">
        <v>0.56030960494958004</v>
      </c>
      <c r="AM2915">
        <v>5.5321289933704101</v>
      </c>
      <c r="AN2915">
        <v>-7</v>
      </c>
      <c r="AO2915" t="b">
        <v>1</v>
      </c>
      <c r="AP2915" t="s">
        <v>6291</v>
      </c>
      <c r="AQ2915">
        <v>1945</v>
      </c>
      <c r="AR2915">
        <v>1999</v>
      </c>
      <c r="AS2915" t="s">
        <v>12081</v>
      </c>
      <c r="AT2915">
        <v>9.6728268309377103</v>
      </c>
      <c r="AU2915">
        <f t="shared" si="137"/>
        <v>2.7E-2</v>
      </c>
    </row>
    <row r="2916" spans="1:47" x14ac:dyDescent="0.3">
      <c r="A2916">
        <v>2914</v>
      </c>
      <c r="B2916" t="s">
        <v>12082</v>
      </c>
      <c r="C2916" t="s">
        <v>12083</v>
      </c>
      <c r="D2916">
        <v>710</v>
      </c>
      <c r="E2916" t="s">
        <v>11970</v>
      </c>
      <c r="F2916" t="str">
        <f>VLOOKUP(E2916,country_continent!A:C,2,FALSE)</f>
        <v>China</v>
      </c>
      <c r="G2916" t="str">
        <f>VLOOKUP(E2916,country_continent!A:C,3,FALSE)</f>
        <v>Asia</v>
      </c>
      <c r="H2916" t="s">
        <v>12084</v>
      </c>
      <c r="I2916" s="1">
        <v>41228</v>
      </c>
      <c r="J2916" s="3">
        <f t="shared" si="135"/>
        <v>41228</v>
      </c>
      <c r="K2916" s="1">
        <v>42369</v>
      </c>
      <c r="L2916" s="3">
        <f t="shared" si="136"/>
        <v>42369</v>
      </c>
      <c r="M2916" t="s">
        <v>49</v>
      </c>
      <c r="N2916" t="s">
        <v>173</v>
      </c>
      <c r="O2916" t="s">
        <v>173</v>
      </c>
      <c r="P2916">
        <v>0</v>
      </c>
      <c r="Q2916" t="s">
        <v>174</v>
      </c>
      <c r="R2916" t="s">
        <v>51</v>
      </c>
      <c r="S2916">
        <v>1953</v>
      </c>
      <c r="T2916">
        <v>-777</v>
      </c>
      <c r="U2916" s="1">
        <v>19525</v>
      </c>
      <c r="V2916" s="2">
        <v>19525</v>
      </c>
      <c r="Z2916">
        <v>0</v>
      </c>
      <c r="AA2916">
        <v>-888</v>
      </c>
      <c r="AB2916">
        <v>-888</v>
      </c>
      <c r="AC2916">
        <v>-888</v>
      </c>
      <c r="AF2916">
        <v>2012</v>
      </c>
      <c r="AG2916">
        <v>2015</v>
      </c>
      <c r="AH2916">
        <v>6.8338643809920701</v>
      </c>
      <c r="AI2916">
        <v>7127.5</v>
      </c>
      <c r="AJ2916">
        <v>1.4828826418763399</v>
      </c>
      <c r="AK2916">
        <v>12.05</v>
      </c>
      <c r="AL2916">
        <v>0.63905024318410297</v>
      </c>
      <c r="AM2916">
        <v>2.63911656805376</v>
      </c>
      <c r="AN2916">
        <v>-7</v>
      </c>
      <c r="AO2916" t="b">
        <v>1</v>
      </c>
      <c r="AP2916" t="s">
        <v>6291</v>
      </c>
      <c r="AQ2916">
        <v>1945</v>
      </c>
      <c r="AR2916">
        <v>1999</v>
      </c>
      <c r="AS2916" t="s">
        <v>12085</v>
      </c>
      <c r="AT2916">
        <v>3.1238877481177201</v>
      </c>
      <c r="AU2916">
        <f t="shared" si="137"/>
        <v>8.9999999999999993E-3</v>
      </c>
    </row>
    <row r="2917" spans="1:47" s="9" customFormat="1" x14ac:dyDescent="0.3">
      <c r="A2917" s="9">
        <v>2915</v>
      </c>
      <c r="B2917" s="9" t="s">
        <v>12086</v>
      </c>
      <c r="C2917" s="9" t="s">
        <v>12087</v>
      </c>
      <c r="D2917" s="9">
        <v>711</v>
      </c>
      <c r="E2917" s="9" t="s">
        <v>12088</v>
      </c>
      <c r="F2917" s="9" t="e">
        <f>VLOOKUP(E2917,country_continent!A:C,2,FALSE)</f>
        <v>#N/A</v>
      </c>
      <c r="G2917" s="9" t="e">
        <f>VLOOKUP(E2917,country_continent!A:C,3,FALSE)</f>
        <v>#N/A</v>
      </c>
      <c r="H2917" s="9" t="s">
        <v>12089</v>
      </c>
      <c r="I2917" s="9" t="s">
        <v>12090</v>
      </c>
      <c r="J2917" s="10" t="str">
        <f t="shared" si="135"/>
        <v>1875/04/25</v>
      </c>
      <c r="K2917" s="9" t="s">
        <v>12091</v>
      </c>
      <c r="L2917" s="10" t="str">
        <f t="shared" si="136"/>
        <v>1886/06/15</v>
      </c>
      <c r="M2917" s="9" t="s">
        <v>49</v>
      </c>
      <c r="N2917" s="9" t="s">
        <v>110</v>
      </c>
      <c r="O2917" s="9" t="s">
        <v>49</v>
      </c>
      <c r="P2917" s="9">
        <v>0</v>
      </c>
      <c r="Q2917" s="9" t="s">
        <v>111</v>
      </c>
      <c r="R2917" s="9" t="s">
        <v>51</v>
      </c>
      <c r="S2917" s="9">
        <v>-999</v>
      </c>
      <c r="T2917" s="9">
        <v>1886</v>
      </c>
      <c r="W2917" s="9" t="s">
        <v>12091</v>
      </c>
      <c r="X2917" s="9" t="s">
        <v>12092</v>
      </c>
      <c r="Z2917" s="9">
        <v>0</v>
      </c>
      <c r="AA2917" s="9">
        <v>2</v>
      </c>
      <c r="AB2917" s="9">
        <v>0</v>
      </c>
      <c r="AC2917" s="9">
        <v>-777</v>
      </c>
      <c r="AF2917" s="9">
        <v>1875</v>
      </c>
      <c r="AG2917" s="9">
        <v>1886</v>
      </c>
      <c r="AO2917" s="9" t="b">
        <v>0</v>
      </c>
      <c r="AT2917" s="9">
        <v>4069</v>
      </c>
      <c r="AU2917">
        <f t="shared" si="137"/>
        <v>11.148</v>
      </c>
    </row>
    <row r="2918" spans="1:47" s="9" customFormat="1" x14ac:dyDescent="0.3">
      <c r="A2918" s="9">
        <v>2916</v>
      </c>
      <c r="B2918" s="9" t="s">
        <v>12093</v>
      </c>
      <c r="C2918" s="9" t="s">
        <v>12094</v>
      </c>
      <c r="D2918" s="9">
        <v>711</v>
      </c>
      <c r="E2918" s="9" t="s">
        <v>12088</v>
      </c>
      <c r="F2918" s="9" t="e">
        <f>VLOOKUP(E2918,country_continent!A:C,2,FALSE)</f>
        <v>#N/A</v>
      </c>
      <c r="G2918" s="9" t="e">
        <f>VLOOKUP(E2918,country_continent!A:C,3,FALSE)</f>
        <v>#N/A</v>
      </c>
      <c r="H2918" s="9" t="s">
        <v>12095</v>
      </c>
      <c r="I2918" s="9" t="s">
        <v>12091</v>
      </c>
      <c r="J2918" s="10" t="str">
        <f t="shared" si="135"/>
        <v>1886/06/15</v>
      </c>
      <c r="K2918" s="9" t="s">
        <v>12096</v>
      </c>
      <c r="L2918" s="10" t="str">
        <f t="shared" si="136"/>
        <v>1895/01/08</v>
      </c>
      <c r="M2918" s="9" t="s">
        <v>49</v>
      </c>
      <c r="N2918" s="9" t="s">
        <v>110</v>
      </c>
      <c r="O2918" s="9" t="s">
        <v>49</v>
      </c>
      <c r="P2918" s="9">
        <v>0</v>
      </c>
      <c r="Q2918" s="9" t="s">
        <v>111</v>
      </c>
      <c r="R2918" s="9" t="s">
        <v>51</v>
      </c>
      <c r="S2918" s="9">
        <v>-999</v>
      </c>
      <c r="T2918" s="9">
        <v>1895</v>
      </c>
      <c r="W2918" s="9" t="s">
        <v>12096</v>
      </c>
      <c r="X2918" s="9" t="s">
        <v>12097</v>
      </c>
      <c r="Z2918" s="9">
        <v>0</v>
      </c>
      <c r="AA2918" s="9">
        <v>2</v>
      </c>
      <c r="AB2918" s="9">
        <v>0</v>
      </c>
      <c r="AC2918" s="9">
        <v>-777</v>
      </c>
      <c r="AF2918" s="9">
        <v>1886</v>
      </c>
      <c r="AG2918" s="9">
        <v>1895</v>
      </c>
      <c r="AO2918" s="9" t="b">
        <v>0</v>
      </c>
      <c r="AT2918" s="9">
        <v>3129</v>
      </c>
      <c r="AU2918">
        <f t="shared" si="137"/>
        <v>8.5730000000000004</v>
      </c>
    </row>
    <row r="2919" spans="1:47" s="9" customFormat="1" x14ac:dyDescent="0.3">
      <c r="A2919" s="9">
        <v>2917</v>
      </c>
      <c r="B2919" s="9" t="s">
        <v>12098</v>
      </c>
      <c r="C2919" s="9" t="s">
        <v>12099</v>
      </c>
      <c r="D2919" s="9">
        <v>711</v>
      </c>
      <c r="E2919" s="9" t="s">
        <v>12088</v>
      </c>
      <c r="F2919" s="9" t="e">
        <f>VLOOKUP(E2919,country_continent!A:C,2,FALSE)</f>
        <v>#N/A</v>
      </c>
      <c r="G2919" s="9" t="e">
        <f>VLOOKUP(E2919,country_continent!A:C,3,FALSE)</f>
        <v>#N/A</v>
      </c>
      <c r="H2919" s="9" t="s">
        <v>12100</v>
      </c>
      <c r="I2919" s="9" t="s">
        <v>12096</v>
      </c>
      <c r="J2919" s="10" t="str">
        <f t="shared" si="135"/>
        <v>1895/01/08</v>
      </c>
      <c r="K2919" s="11">
        <v>12405</v>
      </c>
      <c r="L2919" s="10">
        <f t="shared" si="136"/>
        <v>12405</v>
      </c>
      <c r="M2919" s="9" t="s">
        <v>49</v>
      </c>
      <c r="N2919" s="9" t="s">
        <v>110</v>
      </c>
      <c r="O2919" s="9" t="s">
        <v>49</v>
      </c>
      <c r="P2919" s="9">
        <v>0</v>
      </c>
      <c r="Q2919" s="9" t="s">
        <v>111</v>
      </c>
      <c r="R2919" s="9" t="s">
        <v>51</v>
      </c>
      <c r="S2919" s="9">
        <v>1876</v>
      </c>
      <c r="T2919" s="9">
        <v>1933</v>
      </c>
      <c r="U2919" s="9" t="s">
        <v>12101</v>
      </c>
      <c r="V2919" s="9" t="s">
        <v>12102</v>
      </c>
      <c r="W2919" s="11">
        <v>12405</v>
      </c>
      <c r="X2919" s="12">
        <v>12405</v>
      </c>
      <c r="Z2919" s="9">
        <v>0</v>
      </c>
      <c r="AA2919" s="9">
        <v>2</v>
      </c>
      <c r="AB2919" s="9">
        <v>0</v>
      </c>
      <c r="AC2919" s="9">
        <v>-777</v>
      </c>
      <c r="AF2919" s="9">
        <v>1895</v>
      </c>
      <c r="AG2919" s="9">
        <v>1933</v>
      </c>
      <c r="AO2919" s="9" t="b">
        <v>0</v>
      </c>
      <c r="AT2919" s="9">
        <v>14222</v>
      </c>
      <c r="AU2919">
        <f t="shared" si="137"/>
        <v>38.963999999999999</v>
      </c>
    </row>
    <row r="2920" spans="1:47" s="9" customFormat="1" x14ac:dyDescent="0.3">
      <c r="A2920" s="9">
        <v>2918</v>
      </c>
      <c r="B2920" s="9" t="s">
        <v>12103</v>
      </c>
      <c r="C2920" s="9" t="s">
        <v>12104</v>
      </c>
      <c r="D2920" s="9">
        <v>711</v>
      </c>
      <c r="E2920" s="9" t="s">
        <v>12088</v>
      </c>
      <c r="F2920" s="9" t="e">
        <f>VLOOKUP(E2920,country_continent!A:C,2,FALSE)</f>
        <v>#N/A</v>
      </c>
      <c r="G2920" s="9" t="e">
        <f>VLOOKUP(E2920,country_continent!A:C,3,FALSE)</f>
        <v>#N/A</v>
      </c>
      <c r="H2920" s="9" t="s">
        <v>12105</v>
      </c>
      <c r="I2920" s="11">
        <v>12405</v>
      </c>
      <c r="J2920" s="10">
        <f t="shared" si="135"/>
        <v>12405</v>
      </c>
      <c r="K2920" s="11">
        <v>15157</v>
      </c>
      <c r="L2920" s="10">
        <f t="shared" si="136"/>
        <v>15157</v>
      </c>
      <c r="M2920" s="9" t="s">
        <v>49</v>
      </c>
      <c r="N2920" s="9" t="s">
        <v>49</v>
      </c>
      <c r="O2920" s="9" t="s">
        <v>49</v>
      </c>
      <c r="P2920" s="9">
        <v>0</v>
      </c>
      <c r="Q2920" s="9" t="s">
        <v>1453</v>
      </c>
      <c r="R2920" s="9" t="s">
        <v>51</v>
      </c>
      <c r="S2920" s="9">
        <v>1911</v>
      </c>
      <c r="T2920" s="9">
        <v>1947</v>
      </c>
      <c r="Z2920" s="9">
        <v>0</v>
      </c>
      <c r="AA2920" s="9">
        <v>1</v>
      </c>
      <c r="AB2920" s="9">
        <v>0</v>
      </c>
      <c r="AC2920" s="9">
        <v>-666</v>
      </c>
      <c r="AF2920" s="9">
        <v>1933</v>
      </c>
      <c r="AG2920" s="9">
        <v>1941</v>
      </c>
      <c r="AO2920" s="9" t="b">
        <v>0</v>
      </c>
      <c r="AT2920" s="9">
        <v>2752</v>
      </c>
      <c r="AU2920">
        <f t="shared" si="137"/>
        <v>7.54</v>
      </c>
    </row>
    <row r="2921" spans="1:47" s="9" customFormat="1" x14ac:dyDescent="0.3">
      <c r="A2921" s="9">
        <v>2919</v>
      </c>
      <c r="B2921" s="9" t="s">
        <v>12106</v>
      </c>
      <c r="C2921" s="9" t="s">
        <v>12107</v>
      </c>
      <c r="D2921" s="9">
        <v>711</v>
      </c>
      <c r="E2921" s="9" t="s">
        <v>12088</v>
      </c>
      <c r="F2921" s="9" t="e">
        <f>VLOOKUP(E2921,country_continent!A:C,2,FALSE)</f>
        <v>#N/A</v>
      </c>
      <c r="G2921" s="9" t="e">
        <f>VLOOKUP(E2921,country_continent!A:C,3,FALSE)</f>
        <v>#N/A</v>
      </c>
      <c r="H2921" s="9" t="s">
        <v>12108</v>
      </c>
      <c r="I2921" s="11">
        <v>15157</v>
      </c>
      <c r="J2921" s="10">
        <f t="shared" si="135"/>
        <v>15157</v>
      </c>
      <c r="K2921" s="11">
        <v>18584</v>
      </c>
      <c r="L2921" s="10">
        <f t="shared" si="136"/>
        <v>18584</v>
      </c>
      <c r="M2921" s="9" t="s">
        <v>49</v>
      </c>
      <c r="N2921" s="9" t="s">
        <v>49</v>
      </c>
      <c r="O2921" s="9" t="s">
        <v>49</v>
      </c>
      <c r="P2921" s="9">
        <v>0</v>
      </c>
      <c r="Q2921" s="9" t="s">
        <v>1453</v>
      </c>
      <c r="R2921" s="9" t="s">
        <v>51</v>
      </c>
      <c r="S2921" s="9">
        <v>1874</v>
      </c>
      <c r="T2921" s="9">
        <v>1952</v>
      </c>
      <c r="Z2921" s="9">
        <v>0</v>
      </c>
      <c r="AA2921" s="9">
        <v>1</v>
      </c>
      <c r="AB2921" s="9">
        <v>0</v>
      </c>
      <c r="AC2921" s="9">
        <v>-666</v>
      </c>
      <c r="AF2921" s="9">
        <v>1941</v>
      </c>
      <c r="AG2921" s="9">
        <v>1950</v>
      </c>
      <c r="AO2921" s="9" t="b">
        <v>0</v>
      </c>
      <c r="AT2921" s="9">
        <v>3427</v>
      </c>
      <c r="AU2921">
        <f t="shared" si="137"/>
        <v>9.3889999999999993</v>
      </c>
    </row>
    <row r="2922" spans="1:47" s="9" customFormat="1" x14ac:dyDescent="0.3">
      <c r="A2922" s="9">
        <v>2920</v>
      </c>
      <c r="B2922" s="9" t="s">
        <v>12109</v>
      </c>
      <c r="C2922" s="9" t="s">
        <v>12110</v>
      </c>
      <c r="D2922" s="9">
        <v>711</v>
      </c>
      <c r="E2922" s="9" t="s">
        <v>12088</v>
      </c>
      <c r="F2922" s="9" t="e">
        <f>VLOOKUP(E2922,country_continent!A:C,2,FALSE)</f>
        <v>#N/A</v>
      </c>
      <c r="G2922" s="9" t="e">
        <f>VLOOKUP(E2922,country_continent!A:C,3,FALSE)</f>
        <v>#N/A</v>
      </c>
      <c r="H2922" s="9" t="s">
        <v>12111</v>
      </c>
      <c r="I2922" s="11">
        <v>18584</v>
      </c>
      <c r="J2922" s="10">
        <f t="shared" si="135"/>
        <v>18584</v>
      </c>
      <c r="K2922" s="11">
        <v>18771</v>
      </c>
      <c r="L2922" s="10">
        <f t="shared" si="136"/>
        <v>18771</v>
      </c>
      <c r="M2922" s="9" t="s">
        <v>49</v>
      </c>
      <c r="N2922" s="9" t="s">
        <v>633</v>
      </c>
      <c r="O2922" s="9" t="s">
        <v>634</v>
      </c>
      <c r="P2922" s="9">
        <v>0</v>
      </c>
      <c r="Q2922" s="9" t="s">
        <v>362</v>
      </c>
      <c r="R2922" s="9" t="s">
        <v>51</v>
      </c>
      <c r="S2922" s="9">
        <v>1935</v>
      </c>
      <c r="T2922" s="9">
        <v>-777</v>
      </c>
      <c r="U2922" s="11">
        <v>12942</v>
      </c>
      <c r="V2922" s="12">
        <v>12942</v>
      </c>
      <c r="Z2922" s="9">
        <v>0</v>
      </c>
      <c r="AA2922" s="9">
        <v>4</v>
      </c>
      <c r="AB2922" s="9">
        <v>9</v>
      </c>
      <c r="AC2922" s="9">
        <v>1</v>
      </c>
      <c r="AF2922" s="9">
        <v>1950</v>
      </c>
      <c r="AG2922" s="9">
        <v>1951</v>
      </c>
      <c r="AO2922" s="9" t="b">
        <v>0</v>
      </c>
      <c r="AT2922" s="9">
        <v>187</v>
      </c>
      <c r="AU2922">
        <f t="shared" si="137"/>
        <v>0.51200000000000001</v>
      </c>
    </row>
    <row r="2923" spans="1:47" x14ac:dyDescent="0.3">
      <c r="A2923">
        <v>2921</v>
      </c>
      <c r="B2923" t="s">
        <v>12112</v>
      </c>
      <c r="C2923" t="s">
        <v>12113</v>
      </c>
      <c r="D2923">
        <v>712</v>
      </c>
      <c r="E2923" t="s">
        <v>12114</v>
      </c>
      <c r="F2923" t="str">
        <f>VLOOKUP(E2923,country_continent!A:C,2,FALSE)</f>
        <v>Mongolia</v>
      </c>
      <c r="G2923" t="str">
        <f>VLOOKUP(E2923,country_continent!A:C,3,FALSE)</f>
        <v>Asia</v>
      </c>
      <c r="H2923" t="s">
        <v>12115</v>
      </c>
      <c r="I2923" s="1">
        <v>7743</v>
      </c>
      <c r="J2923" s="3">
        <f t="shared" si="135"/>
        <v>7743</v>
      </c>
      <c r="K2923" s="1">
        <v>7777</v>
      </c>
      <c r="L2923" s="3">
        <f t="shared" si="136"/>
        <v>7777</v>
      </c>
      <c r="M2923" t="s">
        <v>637</v>
      </c>
      <c r="N2923" t="s">
        <v>49</v>
      </c>
      <c r="O2923" t="s">
        <v>49</v>
      </c>
      <c r="P2923">
        <v>0</v>
      </c>
      <c r="Q2923" t="s">
        <v>50</v>
      </c>
      <c r="R2923" t="s">
        <v>51</v>
      </c>
      <c r="S2923">
        <v>1880</v>
      </c>
      <c r="T2923">
        <v>1922</v>
      </c>
      <c r="W2923" s="1">
        <v>8279</v>
      </c>
      <c r="X2923" s="2">
        <v>8279</v>
      </c>
      <c r="Z2923">
        <v>2</v>
      </c>
      <c r="AA2923">
        <v>1</v>
      </c>
      <c r="AB2923">
        <v>0</v>
      </c>
      <c r="AC2923">
        <v>0</v>
      </c>
      <c r="AF2923">
        <v>1921</v>
      </c>
      <c r="AG2923">
        <v>1921</v>
      </c>
      <c r="AO2923" t="b">
        <v>0</v>
      </c>
      <c r="AT2923">
        <v>34</v>
      </c>
      <c r="AU2923">
        <f t="shared" si="137"/>
        <v>9.2999999999999999E-2</v>
      </c>
    </row>
    <row r="2924" spans="1:47" x14ac:dyDescent="0.3">
      <c r="A2924">
        <v>2922</v>
      </c>
      <c r="B2924" t="s">
        <v>12116</v>
      </c>
      <c r="C2924" t="s">
        <v>12117</v>
      </c>
      <c r="D2924">
        <v>712</v>
      </c>
      <c r="E2924" t="s">
        <v>12114</v>
      </c>
      <c r="F2924" t="str">
        <f>VLOOKUP(E2924,country_continent!A:C,2,FALSE)</f>
        <v>Mongolia</v>
      </c>
      <c r="G2924" t="str">
        <f>VLOOKUP(E2924,country_continent!A:C,3,FALSE)</f>
        <v>Asia</v>
      </c>
      <c r="H2924" t="s">
        <v>12118</v>
      </c>
      <c r="I2924" s="1">
        <v>7777</v>
      </c>
      <c r="J2924" s="3">
        <f t="shared" si="135"/>
        <v>7777</v>
      </c>
      <c r="K2924" s="1">
        <v>8043</v>
      </c>
      <c r="L2924" s="3">
        <f t="shared" si="136"/>
        <v>8043</v>
      </c>
      <c r="M2924" t="s">
        <v>49</v>
      </c>
      <c r="N2924" t="s">
        <v>49</v>
      </c>
      <c r="O2924" t="s">
        <v>49</v>
      </c>
      <c r="P2924">
        <v>0</v>
      </c>
      <c r="Q2924" t="s">
        <v>69</v>
      </c>
      <c r="R2924" t="s">
        <v>51</v>
      </c>
      <c r="S2924">
        <v>1895</v>
      </c>
      <c r="T2924">
        <v>1922</v>
      </c>
      <c r="W2924" s="1">
        <v>8279</v>
      </c>
      <c r="X2924" s="2">
        <v>8279</v>
      </c>
      <c r="Z2924">
        <v>0</v>
      </c>
      <c r="AA2924">
        <v>1</v>
      </c>
      <c r="AB2924">
        <v>0</v>
      </c>
      <c r="AC2924">
        <v>3</v>
      </c>
      <c r="AF2924">
        <v>1921</v>
      </c>
      <c r="AG2924">
        <v>1922</v>
      </c>
      <c r="AO2924" t="b">
        <v>0</v>
      </c>
      <c r="AT2924">
        <v>266</v>
      </c>
      <c r="AU2924">
        <f t="shared" si="137"/>
        <v>0.72899999999999998</v>
      </c>
    </row>
    <row r="2925" spans="1:47" x14ac:dyDescent="0.3">
      <c r="A2925">
        <v>2923</v>
      </c>
      <c r="B2925" t="s">
        <v>12119</v>
      </c>
      <c r="C2925" t="s">
        <v>12120</v>
      </c>
      <c r="D2925">
        <v>712</v>
      </c>
      <c r="E2925" t="s">
        <v>12114</v>
      </c>
      <c r="F2925" t="str">
        <f>VLOOKUP(E2925,country_continent!A:C,2,FALSE)</f>
        <v>Mongolia</v>
      </c>
      <c r="G2925" t="str">
        <f>VLOOKUP(E2925,country_continent!A:C,3,FALSE)</f>
        <v>Asia</v>
      </c>
      <c r="H2925" t="s">
        <v>12121</v>
      </c>
      <c r="I2925" s="1">
        <v>8043</v>
      </c>
      <c r="J2925" s="3">
        <f t="shared" si="135"/>
        <v>8043</v>
      </c>
      <c r="K2925" s="1">
        <v>8455</v>
      </c>
      <c r="L2925" s="3">
        <f t="shared" si="136"/>
        <v>8455</v>
      </c>
      <c r="M2925" t="s">
        <v>49</v>
      </c>
      <c r="N2925" t="s">
        <v>110</v>
      </c>
      <c r="O2925" t="s">
        <v>49</v>
      </c>
      <c r="P2925">
        <v>0</v>
      </c>
      <c r="Q2925" t="s">
        <v>111</v>
      </c>
      <c r="R2925" t="s">
        <v>51</v>
      </c>
      <c r="S2925">
        <v>1893</v>
      </c>
      <c r="T2925">
        <v>1923</v>
      </c>
      <c r="U2925" t="s">
        <v>12122</v>
      </c>
      <c r="V2925" t="s">
        <v>12123</v>
      </c>
      <c r="W2925" s="1">
        <v>8455</v>
      </c>
      <c r="X2925" s="2">
        <v>8455</v>
      </c>
      <c r="Z2925">
        <v>0</v>
      </c>
      <c r="AA2925">
        <v>2</v>
      </c>
      <c r="AB2925">
        <v>0</v>
      </c>
      <c r="AC2925">
        <v>-777</v>
      </c>
      <c r="AF2925">
        <v>1922</v>
      </c>
      <c r="AG2925">
        <v>1923</v>
      </c>
      <c r="AO2925" t="b">
        <v>0</v>
      </c>
      <c r="AT2925">
        <v>412</v>
      </c>
      <c r="AU2925">
        <f t="shared" si="137"/>
        <v>1.129</v>
      </c>
    </row>
    <row r="2926" spans="1:47" x14ac:dyDescent="0.3">
      <c r="A2926">
        <v>2924</v>
      </c>
      <c r="B2926" t="s">
        <v>12124</v>
      </c>
      <c r="C2926" t="s">
        <v>12125</v>
      </c>
      <c r="D2926">
        <v>712</v>
      </c>
      <c r="E2926" t="s">
        <v>12114</v>
      </c>
      <c r="F2926" t="str">
        <f>VLOOKUP(E2926,country_continent!A:C,2,FALSE)</f>
        <v>Mongolia</v>
      </c>
      <c r="G2926" t="str">
        <f>VLOOKUP(E2926,country_continent!A:C,3,FALSE)</f>
        <v>Asia</v>
      </c>
      <c r="H2926" t="s">
        <v>12126</v>
      </c>
      <c r="I2926" s="1">
        <v>8455</v>
      </c>
      <c r="J2926" s="3">
        <f t="shared" si="135"/>
        <v>8455</v>
      </c>
      <c r="K2926" s="1">
        <v>9005</v>
      </c>
      <c r="L2926" s="3">
        <f t="shared" si="136"/>
        <v>9005</v>
      </c>
      <c r="M2926" t="s">
        <v>49</v>
      </c>
      <c r="N2926" t="s">
        <v>67</v>
      </c>
      <c r="O2926" t="s">
        <v>2001</v>
      </c>
      <c r="P2926">
        <v>0</v>
      </c>
      <c r="Q2926" t="s">
        <v>69</v>
      </c>
      <c r="R2926" t="s">
        <v>51</v>
      </c>
      <c r="S2926">
        <v>1885</v>
      </c>
      <c r="T2926">
        <v>1924</v>
      </c>
      <c r="W2926" s="1">
        <v>9009</v>
      </c>
      <c r="X2926" s="2">
        <v>9009</v>
      </c>
      <c r="Z2926">
        <v>0</v>
      </c>
      <c r="AA2926">
        <v>3</v>
      </c>
      <c r="AB2926">
        <v>8</v>
      </c>
      <c r="AC2926">
        <v>3</v>
      </c>
      <c r="AF2926">
        <v>1923</v>
      </c>
      <c r="AG2926">
        <v>1924</v>
      </c>
      <c r="AO2926" t="b">
        <v>0</v>
      </c>
      <c r="AT2926">
        <v>550</v>
      </c>
      <c r="AU2926">
        <f t="shared" si="137"/>
        <v>1.5069999999999999</v>
      </c>
    </row>
    <row r="2927" spans="1:47" x14ac:dyDescent="0.3">
      <c r="A2927">
        <v>2925</v>
      </c>
      <c r="B2927" t="s">
        <v>12127</v>
      </c>
      <c r="C2927" t="s">
        <v>12128</v>
      </c>
      <c r="D2927">
        <v>712</v>
      </c>
      <c r="E2927" t="s">
        <v>12114</v>
      </c>
      <c r="F2927" t="str">
        <f>VLOOKUP(E2927,country_continent!A:C,2,FALSE)</f>
        <v>Mongolia</v>
      </c>
      <c r="G2927" t="str">
        <f>VLOOKUP(E2927,country_continent!A:C,3,FALSE)</f>
        <v>Asia</v>
      </c>
      <c r="H2927" t="s">
        <v>12129</v>
      </c>
      <c r="I2927" s="1">
        <v>9005</v>
      </c>
      <c r="J2927" s="3">
        <f t="shared" si="135"/>
        <v>9005</v>
      </c>
      <c r="K2927" s="1">
        <v>9328</v>
      </c>
      <c r="L2927" s="3">
        <f t="shared" si="136"/>
        <v>9328</v>
      </c>
      <c r="M2927" t="s">
        <v>49</v>
      </c>
      <c r="N2927" t="s">
        <v>633</v>
      </c>
      <c r="O2927" t="s">
        <v>6580</v>
      </c>
      <c r="P2927">
        <v>0</v>
      </c>
      <c r="Q2927" t="s">
        <v>362</v>
      </c>
      <c r="R2927" t="s">
        <v>51</v>
      </c>
      <c r="S2927">
        <v>1898</v>
      </c>
      <c r="T2927">
        <v>1938</v>
      </c>
      <c r="U2927" t="s">
        <v>12130</v>
      </c>
      <c r="V2927" t="s">
        <v>12131</v>
      </c>
      <c r="W2927" s="1">
        <v>14054</v>
      </c>
      <c r="X2927" s="2">
        <v>14054</v>
      </c>
      <c r="Z2927">
        <v>0</v>
      </c>
      <c r="AA2927">
        <v>4</v>
      </c>
      <c r="AB2927">
        <v>111</v>
      </c>
      <c r="AC2927">
        <v>1</v>
      </c>
      <c r="AF2927">
        <v>1924</v>
      </c>
      <c r="AG2927">
        <v>1925</v>
      </c>
      <c r="AO2927" t="b">
        <v>0</v>
      </c>
      <c r="AT2927">
        <v>323</v>
      </c>
      <c r="AU2927">
        <f t="shared" si="137"/>
        <v>0.88500000000000001</v>
      </c>
    </row>
    <row r="2928" spans="1:47" x14ac:dyDescent="0.3">
      <c r="A2928">
        <v>2926</v>
      </c>
      <c r="B2928" t="s">
        <v>12132</v>
      </c>
      <c r="C2928" t="s">
        <v>12133</v>
      </c>
      <c r="D2928">
        <v>712</v>
      </c>
      <c r="E2928" t="s">
        <v>12114</v>
      </c>
      <c r="F2928" t="str">
        <f>VLOOKUP(E2928,country_continent!A:C,2,FALSE)</f>
        <v>Mongolia</v>
      </c>
      <c r="G2928" t="str">
        <f>VLOOKUP(E2928,country_continent!A:C,3,FALSE)</f>
        <v>Asia</v>
      </c>
      <c r="H2928" t="s">
        <v>12134</v>
      </c>
      <c r="I2928" s="1">
        <v>9328</v>
      </c>
      <c r="J2928" s="3">
        <f t="shared" si="135"/>
        <v>9328</v>
      </c>
      <c r="K2928" s="1">
        <v>10516</v>
      </c>
      <c r="L2928" s="3">
        <f t="shared" si="136"/>
        <v>10516</v>
      </c>
      <c r="M2928" t="s">
        <v>49</v>
      </c>
      <c r="N2928" t="s">
        <v>49</v>
      </c>
      <c r="O2928" t="s">
        <v>49</v>
      </c>
      <c r="P2928">
        <v>0</v>
      </c>
      <c r="Q2928" t="s">
        <v>362</v>
      </c>
      <c r="R2928" t="s">
        <v>51</v>
      </c>
      <c r="S2928">
        <v>1899</v>
      </c>
      <c r="T2928">
        <v>1934</v>
      </c>
      <c r="W2928" s="1">
        <v>12595</v>
      </c>
      <c r="X2928" s="2">
        <v>12595</v>
      </c>
      <c r="Z2928">
        <v>0</v>
      </c>
      <c r="AA2928">
        <v>1</v>
      </c>
      <c r="AB2928">
        <v>0</v>
      </c>
      <c r="AC2928">
        <v>1</v>
      </c>
      <c r="AF2928">
        <v>1925</v>
      </c>
      <c r="AG2928">
        <v>1928</v>
      </c>
      <c r="AO2928" t="b">
        <v>0</v>
      </c>
      <c r="AT2928">
        <v>1188</v>
      </c>
      <c r="AU2928">
        <f t="shared" si="137"/>
        <v>3.2549999999999999</v>
      </c>
    </row>
    <row r="2929" spans="1:47" x14ac:dyDescent="0.3">
      <c r="A2929">
        <v>2927</v>
      </c>
      <c r="B2929" t="s">
        <v>12135</v>
      </c>
      <c r="C2929" t="s">
        <v>12136</v>
      </c>
      <c r="D2929">
        <v>712</v>
      </c>
      <c r="E2929" t="s">
        <v>12114</v>
      </c>
      <c r="F2929" t="str">
        <f>VLOOKUP(E2929,country_continent!A:C,2,FALSE)</f>
        <v>Mongolia</v>
      </c>
      <c r="G2929" t="str">
        <f>VLOOKUP(E2929,country_continent!A:C,3,FALSE)</f>
        <v>Asia</v>
      </c>
      <c r="H2929" t="s">
        <v>12137</v>
      </c>
      <c r="I2929" s="1">
        <v>10516</v>
      </c>
      <c r="J2929" s="3">
        <f t="shared" si="135"/>
        <v>10516</v>
      </c>
      <c r="K2929" s="1">
        <v>13229</v>
      </c>
      <c r="L2929" s="3">
        <f t="shared" si="136"/>
        <v>13229</v>
      </c>
      <c r="M2929" t="s">
        <v>49</v>
      </c>
      <c r="N2929" t="s">
        <v>49</v>
      </c>
      <c r="O2929" t="s">
        <v>49</v>
      </c>
      <c r="P2929">
        <v>0</v>
      </c>
      <c r="Q2929" t="s">
        <v>362</v>
      </c>
      <c r="R2929" t="s">
        <v>51</v>
      </c>
      <c r="S2929">
        <v>1895</v>
      </c>
      <c r="T2929">
        <v>1937</v>
      </c>
      <c r="Z2929">
        <v>0</v>
      </c>
      <c r="AA2929">
        <v>1</v>
      </c>
      <c r="AB2929">
        <v>0</v>
      </c>
      <c r="AC2929">
        <v>1</v>
      </c>
      <c r="AF2929">
        <v>1928</v>
      </c>
      <c r="AG2929">
        <v>1936</v>
      </c>
      <c r="AO2929" t="b">
        <v>0</v>
      </c>
      <c r="AT2929">
        <v>2713</v>
      </c>
      <c r="AU2929">
        <f t="shared" si="137"/>
        <v>7.4329999999999998</v>
      </c>
    </row>
    <row r="2930" spans="1:47" x14ac:dyDescent="0.3">
      <c r="A2930">
        <v>2928</v>
      </c>
      <c r="B2930" t="s">
        <v>12138</v>
      </c>
      <c r="C2930" t="s">
        <v>12139</v>
      </c>
      <c r="D2930">
        <v>712</v>
      </c>
      <c r="E2930" t="s">
        <v>12114</v>
      </c>
      <c r="F2930" t="str">
        <f>VLOOKUP(E2930,country_continent!A:C,2,FALSE)</f>
        <v>Mongolia</v>
      </c>
      <c r="G2930" t="str">
        <f>VLOOKUP(E2930,country_continent!A:C,3,FALSE)</f>
        <v>Asia</v>
      </c>
      <c r="H2930" t="s">
        <v>12140</v>
      </c>
      <c r="I2930" s="1">
        <v>13231</v>
      </c>
      <c r="J2930" s="3">
        <f t="shared" si="135"/>
        <v>13231</v>
      </c>
      <c r="K2930" s="1">
        <v>19019</v>
      </c>
      <c r="L2930" s="3">
        <f t="shared" si="136"/>
        <v>19019</v>
      </c>
      <c r="M2930" t="s">
        <v>49</v>
      </c>
      <c r="N2930" t="s">
        <v>110</v>
      </c>
      <c r="O2930" t="s">
        <v>49</v>
      </c>
      <c r="P2930">
        <v>0</v>
      </c>
      <c r="Q2930" t="s">
        <v>111</v>
      </c>
      <c r="R2930" t="s">
        <v>51</v>
      </c>
      <c r="S2930">
        <v>1895</v>
      </c>
      <c r="T2930">
        <v>1952</v>
      </c>
      <c r="U2930" t="s">
        <v>12141</v>
      </c>
      <c r="V2930" t="s">
        <v>12142</v>
      </c>
      <c r="W2930" s="1">
        <v>19019</v>
      </c>
      <c r="X2930" s="2">
        <v>19019</v>
      </c>
      <c r="Z2930">
        <v>0</v>
      </c>
      <c r="AA2930">
        <v>2</v>
      </c>
      <c r="AB2930">
        <v>0</v>
      </c>
      <c r="AC2930">
        <v>-777</v>
      </c>
      <c r="AF2930">
        <v>1936</v>
      </c>
      <c r="AG2930">
        <v>1952</v>
      </c>
      <c r="AO2930" t="b">
        <v>0</v>
      </c>
      <c r="AT2930">
        <v>5788</v>
      </c>
      <c r="AU2930">
        <f t="shared" si="137"/>
        <v>15.858000000000001</v>
      </c>
    </row>
    <row r="2931" spans="1:47" x14ac:dyDescent="0.3">
      <c r="A2931">
        <v>2929</v>
      </c>
      <c r="B2931" t="s">
        <v>12143</v>
      </c>
      <c r="C2931" t="s">
        <v>12144</v>
      </c>
      <c r="D2931">
        <v>712</v>
      </c>
      <c r="E2931" t="s">
        <v>12114</v>
      </c>
      <c r="F2931" t="str">
        <f>VLOOKUP(E2931,country_continent!A:C,2,FALSE)</f>
        <v>Mongolia</v>
      </c>
      <c r="G2931" t="str">
        <f>VLOOKUP(E2931,country_continent!A:C,3,FALSE)</f>
        <v>Asia</v>
      </c>
      <c r="H2931" t="s">
        <v>12145</v>
      </c>
      <c r="I2931" s="1">
        <v>19019</v>
      </c>
      <c r="J2931" s="3">
        <f t="shared" si="135"/>
        <v>19019</v>
      </c>
      <c r="K2931" s="1">
        <v>30917</v>
      </c>
      <c r="L2931" s="3">
        <f t="shared" si="136"/>
        <v>30917</v>
      </c>
      <c r="M2931" t="s">
        <v>49</v>
      </c>
      <c r="N2931" t="s">
        <v>633</v>
      </c>
      <c r="O2931" t="s">
        <v>6580</v>
      </c>
      <c r="P2931">
        <v>0</v>
      </c>
      <c r="Q2931" t="s">
        <v>362</v>
      </c>
      <c r="R2931" t="s">
        <v>51</v>
      </c>
      <c r="S2931">
        <v>1916</v>
      </c>
      <c r="T2931">
        <v>1991</v>
      </c>
      <c r="U2931" s="1">
        <v>6105</v>
      </c>
      <c r="V2931" s="2">
        <v>6105</v>
      </c>
      <c r="Z2931">
        <v>0</v>
      </c>
      <c r="AA2931">
        <v>4</v>
      </c>
      <c r="AB2931">
        <v>111</v>
      </c>
      <c r="AC2931">
        <v>1</v>
      </c>
      <c r="AF2931">
        <v>1952</v>
      </c>
      <c r="AG2931">
        <v>1984</v>
      </c>
      <c r="AO2931" t="b">
        <v>0</v>
      </c>
      <c r="AT2931">
        <v>11898</v>
      </c>
      <c r="AU2931">
        <f t="shared" si="137"/>
        <v>32.597000000000001</v>
      </c>
    </row>
    <row r="2932" spans="1:47" x14ac:dyDescent="0.3">
      <c r="A2932">
        <v>2930</v>
      </c>
      <c r="B2932" t="s">
        <v>12146</v>
      </c>
      <c r="C2932" t="s">
        <v>12147</v>
      </c>
      <c r="D2932">
        <v>712</v>
      </c>
      <c r="E2932" t="s">
        <v>12114</v>
      </c>
      <c r="F2932" t="str">
        <f>VLOOKUP(E2932,country_continent!A:C,2,FALSE)</f>
        <v>Mongolia</v>
      </c>
      <c r="G2932" t="str">
        <f>VLOOKUP(E2932,country_continent!A:C,3,FALSE)</f>
        <v>Asia</v>
      </c>
      <c r="H2932" t="s">
        <v>12148</v>
      </c>
      <c r="I2932" s="1">
        <v>30917</v>
      </c>
      <c r="J2932" s="3">
        <f t="shared" si="135"/>
        <v>30917</v>
      </c>
      <c r="K2932" s="1">
        <v>32944</v>
      </c>
      <c r="L2932" s="3">
        <f t="shared" si="136"/>
        <v>32944</v>
      </c>
      <c r="M2932" t="s">
        <v>49</v>
      </c>
      <c r="N2932" t="s">
        <v>49</v>
      </c>
      <c r="O2932" t="s">
        <v>49</v>
      </c>
      <c r="P2932">
        <v>0</v>
      </c>
      <c r="Q2932" t="s">
        <v>50</v>
      </c>
      <c r="R2932" t="s">
        <v>51</v>
      </c>
      <c r="S2932">
        <v>1926</v>
      </c>
      <c r="T2932">
        <v>1997</v>
      </c>
      <c r="U2932" s="1">
        <v>9566</v>
      </c>
      <c r="V2932" s="2">
        <v>9566</v>
      </c>
      <c r="Z2932">
        <v>0</v>
      </c>
      <c r="AA2932">
        <v>1</v>
      </c>
      <c r="AB2932">
        <v>0</v>
      </c>
      <c r="AC2932">
        <v>0</v>
      </c>
      <c r="AF2932">
        <v>1984</v>
      </c>
      <c r="AG2932">
        <v>1990</v>
      </c>
      <c r="AO2932" t="b">
        <v>0</v>
      </c>
      <c r="AT2932">
        <v>2027</v>
      </c>
      <c r="AU2932">
        <f t="shared" si="137"/>
        <v>5.5529999999999999</v>
      </c>
    </row>
    <row r="2933" spans="1:47" x14ac:dyDescent="0.3">
      <c r="A2933">
        <v>2931</v>
      </c>
      <c r="B2933" t="s">
        <v>12149</v>
      </c>
      <c r="C2933" t="s">
        <v>12150</v>
      </c>
      <c r="D2933">
        <v>712</v>
      </c>
      <c r="E2933" t="s">
        <v>12114</v>
      </c>
      <c r="F2933" t="str">
        <f>VLOOKUP(E2933,country_continent!A:C,2,FALSE)</f>
        <v>Mongolia</v>
      </c>
      <c r="G2933" t="str">
        <f>VLOOKUP(E2933,country_continent!A:C,3,FALSE)</f>
        <v>Asia</v>
      </c>
      <c r="H2933" t="s">
        <v>12151</v>
      </c>
      <c r="I2933" s="1">
        <v>32944</v>
      </c>
      <c r="J2933" s="3">
        <f t="shared" si="135"/>
        <v>32944</v>
      </c>
      <c r="K2933" s="1">
        <v>35601</v>
      </c>
      <c r="L2933" s="3">
        <f t="shared" si="136"/>
        <v>35601</v>
      </c>
      <c r="M2933" t="s">
        <v>49</v>
      </c>
      <c r="N2933" t="s">
        <v>49</v>
      </c>
      <c r="O2933" t="s">
        <v>49</v>
      </c>
      <c r="P2933">
        <v>0</v>
      </c>
      <c r="Q2933" t="s">
        <v>50</v>
      </c>
      <c r="R2933" t="s">
        <v>51</v>
      </c>
      <c r="S2933">
        <v>1942</v>
      </c>
      <c r="T2933">
        <v>-777</v>
      </c>
      <c r="Z2933">
        <v>0</v>
      </c>
      <c r="AA2933">
        <v>1</v>
      </c>
      <c r="AB2933">
        <v>0</v>
      </c>
      <c r="AC2933">
        <v>0</v>
      </c>
      <c r="AF2933">
        <v>1990</v>
      </c>
      <c r="AG2933">
        <v>1997</v>
      </c>
      <c r="AO2933" t="b">
        <v>0</v>
      </c>
      <c r="AT2933">
        <v>2657</v>
      </c>
      <c r="AU2933">
        <f t="shared" si="137"/>
        <v>7.2789999999999999</v>
      </c>
    </row>
    <row r="2934" spans="1:47" x14ac:dyDescent="0.3">
      <c r="A2934">
        <v>2932</v>
      </c>
      <c r="B2934" t="s">
        <v>12152</v>
      </c>
      <c r="C2934" t="s">
        <v>12153</v>
      </c>
      <c r="D2934">
        <v>712</v>
      </c>
      <c r="E2934" t="s">
        <v>12114</v>
      </c>
      <c r="F2934" t="str">
        <f>VLOOKUP(E2934,country_continent!A:C,2,FALSE)</f>
        <v>Mongolia</v>
      </c>
      <c r="G2934" t="str">
        <f>VLOOKUP(E2934,country_continent!A:C,3,FALSE)</f>
        <v>Asia</v>
      </c>
      <c r="H2934" t="s">
        <v>12154</v>
      </c>
      <c r="I2934" s="1">
        <v>35601</v>
      </c>
      <c r="J2934" s="3">
        <f t="shared" si="135"/>
        <v>35601</v>
      </c>
      <c r="K2934" s="1">
        <v>38527</v>
      </c>
      <c r="L2934" s="3">
        <f t="shared" si="136"/>
        <v>38527</v>
      </c>
      <c r="M2934" t="s">
        <v>49</v>
      </c>
      <c r="N2934" t="s">
        <v>49</v>
      </c>
      <c r="O2934" t="s">
        <v>49</v>
      </c>
      <c r="P2934">
        <v>0</v>
      </c>
      <c r="Q2934" t="s">
        <v>50</v>
      </c>
      <c r="R2934" t="s">
        <v>51</v>
      </c>
      <c r="S2934">
        <v>1950</v>
      </c>
      <c r="T2934">
        <v>-777</v>
      </c>
      <c r="U2934" s="1">
        <v>18375</v>
      </c>
      <c r="V2934" s="2">
        <v>18375</v>
      </c>
      <c r="Y2934" t="s">
        <v>12155</v>
      </c>
      <c r="Z2934">
        <v>0</v>
      </c>
      <c r="AA2934">
        <v>1</v>
      </c>
      <c r="AB2934">
        <v>0</v>
      </c>
      <c r="AC2934">
        <v>0</v>
      </c>
      <c r="AF2934">
        <v>1997</v>
      </c>
      <c r="AG2934">
        <v>2005</v>
      </c>
      <c r="AO2934" t="b">
        <v>0</v>
      </c>
      <c r="AT2934">
        <v>2926</v>
      </c>
      <c r="AU2934">
        <f t="shared" si="137"/>
        <v>8.016</v>
      </c>
    </row>
    <row r="2935" spans="1:47" x14ac:dyDescent="0.3">
      <c r="A2935">
        <v>2933</v>
      </c>
      <c r="B2935" t="s">
        <v>12156</v>
      </c>
      <c r="C2935" t="s">
        <v>12157</v>
      </c>
      <c r="D2935">
        <v>712</v>
      </c>
      <c r="E2935" t="s">
        <v>12114</v>
      </c>
      <c r="F2935" t="str">
        <f>VLOOKUP(E2935,country_continent!A:C,2,FALSE)</f>
        <v>Mongolia</v>
      </c>
      <c r="G2935" t="str">
        <f>VLOOKUP(E2935,country_continent!A:C,3,FALSE)</f>
        <v>Asia</v>
      </c>
      <c r="H2935" t="s">
        <v>12158</v>
      </c>
      <c r="I2935" s="1">
        <v>38527</v>
      </c>
      <c r="J2935" s="3">
        <f t="shared" si="135"/>
        <v>38527</v>
      </c>
      <c r="K2935" s="1">
        <v>39982</v>
      </c>
      <c r="L2935" s="3">
        <f t="shared" si="136"/>
        <v>39982</v>
      </c>
      <c r="M2935" t="s">
        <v>49</v>
      </c>
      <c r="N2935" t="s">
        <v>49</v>
      </c>
      <c r="O2935" t="s">
        <v>49</v>
      </c>
      <c r="P2935">
        <v>0</v>
      </c>
      <c r="Q2935" t="s">
        <v>50</v>
      </c>
      <c r="R2935" t="s">
        <v>51</v>
      </c>
      <c r="S2935">
        <v>1958</v>
      </c>
      <c r="T2935">
        <v>-777</v>
      </c>
      <c r="U2935" s="1">
        <v>21337</v>
      </c>
      <c r="V2935" s="2">
        <v>21337</v>
      </c>
      <c r="Z2935">
        <v>0</v>
      </c>
      <c r="AA2935">
        <v>1</v>
      </c>
      <c r="AB2935">
        <v>0</v>
      </c>
      <c r="AC2935">
        <v>0</v>
      </c>
      <c r="AF2935">
        <v>2005</v>
      </c>
      <c r="AG2935">
        <v>2009</v>
      </c>
      <c r="AO2935" t="b">
        <v>0</v>
      </c>
      <c r="AT2935">
        <v>1455</v>
      </c>
      <c r="AU2935">
        <f t="shared" si="137"/>
        <v>3.9860000000000002</v>
      </c>
    </row>
    <row r="2936" spans="1:47" x14ac:dyDescent="0.3">
      <c r="A2936">
        <v>2934</v>
      </c>
      <c r="B2936" t="s">
        <v>12159</v>
      </c>
      <c r="C2936" t="s">
        <v>12160</v>
      </c>
      <c r="D2936">
        <v>712</v>
      </c>
      <c r="E2936" t="s">
        <v>12114</v>
      </c>
      <c r="F2936" t="str">
        <f>VLOOKUP(E2936,country_continent!A:C,2,FALSE)</f>
        <v>Mongolia</v>
      </c>
      <c r="G2936" t="str">
        <f>VLOOKUP(E2936,country_continent!A:C,3,FALSE)</f>
        <v>Asia</v>
      </c>
      <c r="H2936" t="s">
        <v>12161</v>
      </c>
      <c r="I2936" s="1">
        <v>39982</v>
      </c>
      <c r="J2936" s="3">
        <f t="shared" si="135"/>
        <v>39982</v>
      </c>
      <c r="K2936" s="1">
        <v>42369</v>
      </c>
      <c r="L2936" s="3">
        <f t="shared" si="136"/>
        <v>42369</v>
      </c>
      <c r="M2936" t="s">
        <v>49</v>
      </c>
      <c r="N2936" t="s">
        <v>173</v>
      </c>
      <c r="O2936" t="s">
        <v>173</v>
      </c>
      <c r="P2936">
        <v>0</v>
      </c>
      <c r="Q2936" t="s">
        <v>174</v>
      </c>
      <c r="R2936" t="s">
        <v>51</v>
      </c>
      <c r="S2936">
        <v>1963</v>
      </c>
      <c r="T2936">
        <v>-777</v>
      </c>
      <c r="U2936" s="1">
        <v>23100</v>
      </c>
      <c r="V2936" s="2">
        <v>23100</v>
      </c>
      <c r="Z2936">
        <v>0</v>
      </c>
      <c r="AA2936">
        <v>-888</v>
      </c>
      <c r="AB2936">
        <v>-888</v>
      </c>
      <c r="AC2936">
        <v>-888</v>
      </c>
      <c r="AF2936">
        <v>2009</v>
      </c>
      <c r="AG2936">
        <v>2015</v>
      </c>
      <c r="AO2936" t="b">
        <v>0</v>
      </c>
      <c r="AT2936">
        <v>2387</v>
      </c>
      <c r="AU2936">
        <f t="shared" si="137"/>
        <v>6.54</v>
      </c>
    </row>
    <row r="2937" spans="1:47" s="9" customFormat="1" x14ac:dyDescent="0.3">
      <c r="A2937" s="9">
        <v>2935</v>
      </c>
      <c r="B2937" s="9" t="s">
        <v>12162</v>
      </c>
      <c r="C2937" s="9" t="s">
        <v>12163</v>
      </c>
      <c r="D2937" s="9">
        <v>713</v>
      </c>
      <c r="E2937" s="9" t="s">
        <v>12164</v>
      </c>
      <c r="F2937" s="9" t="e">
        <f>VLOOKUP(E2937,country_continent!A:C,2,FALSE)</f>
        <v>#N/A</v>
      </c>
      <c r="G2937" s="9" t="e">
        <f>VLOOKUP(E2937,country_continent!A:C,3,FALSE)</f>
        <v>#N/A</v>
      </c>
      <c r="H2937" s="9" t="s">
        <v>12165</v>
      </c>
      <c r="I2937" s="11">
        <v>17919</v>
      </c>
      <c r="J2937" s="10">
        <f t="shared" si="135"/>
        <v>17919</v>
      </c>
      <c r="K2937" s="11">
        <v>18322</v>
      </c>
      <c r="L2937" s="10">
        <f t="shared" si="136"/>
        <v>18322</v>
      </c>
      <c r="M2937" s="9" t="s">
        <v>49</v>
      </c>
      <c r="N2937" s="9" t="s">
        <v>67</v>
      </c>
      <c r="O2937" s="9" t="s">
        <v>2001</v>
      </c>
      <c r="P2937" s="9">
        <v>0</v>
      </c>
      <c r="Q2937" s="9" t="s">
        <v>362</v>
      </c>
      <c r="R2937" s="9" t="s">
        <v>51</v>
      </c>
      <c r="S2937" s="9">
        <v>1890</v>
      </c>
      <c r="T2937" s="9">
        <v>1969</v>
      </c>
      <c r="W2937" s="11">
        <v>25216</v>
      </c>
      <c r="X2937" s="12">
        <v>25216</v>
      </c>
      <c r="Z2937" s="9">
        <v>0</v>
      </c>
      <c r="AA2937" s="9">
        <v>3</v>
      </c>
      <c r="AB2937" s="9">
        <v>8</v>
      </c>
      <c r="AC2937" s="9">
        <v>1</v>
      </c>
      <c r="AF2937" s="9">
        <v>1949</v>
      </c>
      <c r="AG2937" s="9">
        <v>1950</v>
      </c>
      <c r="AO2937" s="9" t="b">
        <v>1</v>
      </c>
      <c r="AP2937" s="9" t="s">
        <v>45</v>
      </c>
      <c r="AQ2937" s="9">
        <v>1949</v>
      </c>
      <c r="AR2937" s="9">
        <v>1971</v>
      </c>
      <c r="AS2937" s="9" t="s">
        <v>12166</v>
      </c>
      <c r="AT2937" s="9">
        <v>1.10335386721423</v>
      </c>
      <c r="AU2937">
        <f t="shared" si="137"/>
        <v>3.0000000000000001E-3</v>
      </c>
    </row>
    <row r="2938" spans="1:47" s="9" customFormat="1" x14ac:dyDescent="0.3">
      <c r="A2938" s="9">
        <v>2936</v>
      </c>
      <c r="B2938" s="9" t="s">
        <v>12167</v>
      </c>
      <c r="C2938" s="9" t="s">
        <v>12168</v>
      </c>
      <c r="D2938" s="9">
        <v>713</v>
      </c>
      <c r="E2938" s="9" t="s">
        <v>12164</v>
      </c>
      <c r="F2938" s="9" t="e">
        <f>VLOOKUP(E2938,country_continent!A:C,2,FALSE)</f>
        <v>#N/A</v>
      </c>
      <c r="G2938" s="9" t="e">
        <f>VLOOKUP(E2938,country_continent!A:C,3,FALSE)</f>
        <v>#N/A</v>
      </c>
      <c r="H2938" s="9" t="s">
        <v>12036</v>
      </c>
      <c r="I2938" s="11">
        <v>18323</v>
      </c>
      <c r="J2938" s="10">
        <f t="shared" si="135"/>
        <v>18323</v>
      </c>
      <c r="K2938" s="11">
        <v>27489</v>
      </c>
      <c r="L2938" s="10">
        <f t="shared" si="136"/>
        <v>27489</v>
      </c>
      <c r="M2938" s="9" t="s">
        <v>49</v>
      </c>
      <c r="N2938" s="9" t="s">
        <v>110</v>
      </c>
      <c r="O2938" s="9" t="s">
        <v>49</v>
      </c>
      <c r="P2938" s="9">
        <v>0</v>
      </c>
      <c r="Q2938" s="9" t="s">
        <v>111</v>
      </c>
      <c r="R2938" s="9" t="s">
        <v>51</v>
      </c>
      <c r="S2938" s="9">
        <v>1886</v>
      </c>
      <c r="T2938" s="9">
        <v>1975</v>
      </c>
      <c r="U2938" s="9" t="s">
        <v>12037</v>
      </c>
      <c r="V2938" s="9" t="s">
        <v>12038</v>
      </c>
      <c r="W2938" s="11">
        <v>27489</v>
      </c>
      <c r="X2938" s="12">
        <v>27489</v>
      </c>
      <c r="Y2938" s="9" t="s">
        <v>12039</v>
      </c>
      <c r="Z2938" s="9">
        <v>0</v>
      </c>
      <c r="AA2938" s="9">
        <v>2</v>
      </c>
      <c r="AB2938" s="9">
        <v>0</v>
      </c>
      <c r="AC2938" s="9">
        <v>-777</v>
      </c>
      <c r="AD2938" s="9" t="s">
        <v>12169</v>
      </c>
      <c r="AE2938" s="9">
        <v>0</v>
      </c>
      <c r="AF2938" s="9">
        <v>1950</v>
      </c>
      <c r="AG2938" s="9">
        <v>1975</v>
      </c>
      <c r="AO2938" s="9" t="b">
        <v>1</v>
      </c>
      <c r="AP2938" s="9" t="s">
        <v>45</v>
      </c>
      <c r="AQ2938" s="9">
        <v>1949</v>
      </c>
      <c r="AR2938" s="9">
        <v>1971</v>
      </c>
      <c r="AS2938" s="9" t="s">
        <v>12170</v>
      </c>
      <c r="AT2938" s="9">
        <v>25.095140314852799</v>
      </c>
      <c r="AU2938">
        <f t="shared" si="137"/>
        <v>6.9000000000000006E-2</v>
      </c>
    </row>
    <row r="2939" spans="1:47" s="9" customFormat="1" x14ac:dyDescent="0.3">
      <c r="A2939" s="9">
        <v>2937</v>
      </c>
      <c r="B2939" s="9" t="s">
        <v>12171</v>
      </c>
      <c r="C2939" s="9" t="s">
        <v>12172</v>
      </c>
      <c r="D2939" s="9">
        <v>713</v>
      </c>
      <c r="E2939" s="9" t="s">
        <v>12164</v>
      </c>
      <c r="F2939" s="9" t="e">
        <f>VLOOKUP(E2939,country_continent!A:C,2,FALSE)</f>
        <v>#N/A</v>
      </c>
      <c r="G2939" s="9" t="e">
        <f>VLOOKUP(E2939,country_continent!A:C,3,FALSE)</f>
        <v>#N/A</v>
      </c>
      <c r="H2939" s="9" t="s">
        <v>12173</v>
      </c>
      <c r="I2939" s="11">
        <v>27489</v>
      </c>
      <c r="J2939" s="10">
        <f t="shared" si="135"/>
        <v>27489</v>
      </c>
      <c r="K2939" s="11">
        <v>28630</v>
      </c>
      <c r="L2939" s="10">
        <f t="shared" si="136"/>
        <v>28630</v>
      </c>
      <c r="M2939" s="9" t="s">
        <v>49</v>
      </c>
      <c r="N2939" s="9" t="s">
        <v>110</v>
      </c>
      <c r="O2939" s="9" t="s">
        <v>49</v>
      </c>
      <c r="P2939" s="9">
        <v>0</v>
      </c>
      <c r="Q2939" s="9" t="s">
        <v>111</v>
      </c>
      <c r="R2939" s="9" t="s">
        <v>51</v>
      </c>
      <c r="S2939" s="9">
        <v>1905</v>
      </c>
      <c r="T2939" s="9">
        <v>1993</v>
      </c>
      <c r="U2939" s="11">
        <v>2154</v>
      </c>
      <c r="V2939" s="12">
        <v>2154</v>
      </c>
      <c r="Y2939" s="9" t="s">
        <v>12174</v>
      </c>
      <c r="Z2939" s="9">
        <v>0</v>
      </c>
      <c r="AA2939" s="9">
        <v>2</v>
      </c>
      <c r="AB2939" s="9">
        <v>0</v>
      </c>
      <c r="AC2939" s="9">
        <v>-777</v>
      </c>
      <c r="AF2939" s="9">
        <v>1975</v>
      </c>
      <c r="AG2939" s="9">
        <v>1978</v>
      </c>
      <c r="AO2939" s="9" t="b">
        <v>1</v>
      </c>
      <c r="AP2939" s="9" t="s">
        <v>45</v>
      </c>
      <c r="AQ2939" s="9">
        <v>1949</v>
      </c>
      <c r="AR2939" s="9">
        <v>1971</v>
      </c>
      <c r="AS2939" s="9" t="s">
        <v>12175</v>
      </c>
      <c r="AT2939" s="9">
        <v>3.1238877481177201</v>
      </c>
      <c r="AU2939">
        <f t="shared" si="137"/>
        <v>8.9999999999999993E-3</v>
      </c>
    </row>
    <row r="2940" spans="1:47" s="9" customFormat="1" x14ac:dyDescent="0.3">
      <c r="A2940" s="9">
        <v>2938</v>
      </c>
      <c r="B2940" s="9" t="s">
        <v>12176</v>
      </c>
      <c r="C2940" s="9" t="s">
        <v>12177</v>
      </c>
      <c r="D2940" s="9">
        <v>713</v>
      </c>
      <c r="E2940" s="9" t="s">
        <v>12164</v>
      </c>
      <c r="F2940" s="9" t="e">
        <f>VLOOKUP(E2940,country_continent!A:C,2,FALSE)</f>
        <v>#N/A</v>
      </c>
      <c r="G2940" s="9" t="e">
        <f>VLOOKUP(E2940,country_continent!A:C,3,FALSE)</f>
        <v>#N/A</v>
      </c>
      <c r="H2940" s="9" t="s">
        <v>12178</v>
      </c>
      <c r="I2940" s="11">
        <v>28630</v>
      </c>
      <c r="J2940" s="10">
        <f t="shared" si="135"/>
        <v>28630</v>
      </c>
      <c r="K2940" s="11">
        <v>32155</v>
      </c>
      <c r="L2940" s="10">
        <f t="shared" si="136"/>
        <v>32155</v>
      </c>
      <c r="M2940" s="9" t="s">
        <v>49</v>
      </c>
      <c r="N2940" s="9" t="s">
        <v>110</v>
      </c>
      <c r="O2940" s="9" t="s">
        <v>49</v>
      </c>
      <c r="P2940" s="9">
        <v>0</v>
      </c>
      <c r="Q2940" s="9" t="s">
        <v>111</v>
      </c>
      <c r="R2940" s="9" t="s">
        <v>51</v>
      </c>
      <c r="S2940" s="9">
        <v>1910</v>
      </c>
      <c r="T2940" s="9">
        <v>1988</v>
      </c>
      <c r="U2940" s="11">
        <v>3730</v>
      </c>
      <c r="V2940" s="12">
        <v>3730</v>
      </c>
      <c r="Y2940" s="9" t="s">
        <v>12179</v>
      </c>
      <c r="Z2940" s="9">
        <v>0</v>
      </c>
      <c r="AA2940" s="9">
        <v>2</v>
      </c>
      <c r="AB2940" s="9">
        <v>0</v>
      </c>
      <c r="AC2940" s="9">
        <v>-777</v>
      </c>
      <c r="AD2940" s="9" t="s">
        <v>12180</v>
      </c>
      <c r="AE2940" s="9">
        <v>1</v>
      </c>
      <c r="AF2940" s="9">
        <v>1978</v>
      </c>
      <c r="AG2940" s="9">
        <v>1988</v>
      </c>
      <c r="AO2940" s="9" t="b">
        <v>1</v>
      </c>
      <c r="AP2940" s="9" t="s">
        <v>45</v>
      </c>
      <c r="AQ2940" s="9">
        <v>1949</v>
      </c>
      <c r="AR2940" s="9">
        <v>1971</v>
      </c>
      <c r="AS2940" s="9" t="s">
        <v>12181</v>
      </c>
      <c r="AT2940" s="9">
        <v>9.6509240246406502</v>
      </c>
      <c r="AU2940">
        <f t="shared" si="137"/>
        <v>2.5999999999999999E-2</v>
      </c>
    </row>
    <row r="2941" spans="1:47" s="9" customFormat="1" x14ac:dyDescent="0.3">
      <c r="A2941" s="9">
        <v>2939</v>
      </c>
      <c r="B2941" s="9" t="s">
        <v>12182</v>
      </c>
      <c r="C2941" s="9" t="s">
        <v>12183</v>
      </c>
      <c r="D2941" s="9">
        <v>713</v>
      </c>
      <c r="E2941" s="9" t="s">
        <v>12164</v>
      </c>
      <c r="F2941" s="9" t="e">
        <f>VLOOKUP(E2941,country_continent!A:C,2,FALSE)</f>
        <v>#N/A</v>
      </c>
      <c r="G2941" s="9" t="e">
        <f>VLOOKUP(E2941,country_continent!A:C,3,FALSE)</f>
        <v>#N/A</v>
      </c>
      <c r="H2941" s="9" t="s">
        <v>12184</v>
      </c>
      <c r="I2941" s="11">
        <v>32155</v>
      </c>
      <c r="J2941" s="10">
        <f t="shared" si="135"/>
        <v>32155</v>
      </c>
      <c r="K2941" s="11">
        <v>36666</v>
      </c>
      <c r="L2941" s="10">
        <f t="shared" si="136"/>
        <v>36666</v>
      </c>
      <c r="M2941" s="9" t="s">
        <v>49</v>
      </c>
      <c r="N2941" s="9" t="s">
        <v>49</v>
      </c>
      <c r="O2941" s="9" t="s">
        <v>49</v>
      </c>
      <c r="P2941" s="9">
        <v>0</v>
      </c>
      <c r="Q2941" s="9" t="s">
        <v>50</v>
      </c>
      <c r="R2941" s="9" t="s">
        <v>51</v>
      </c>
      <c r="S2941" s="9">
        <v>1923</v>
      </c>
      <c r="T2941" s="9">
        <v>-777</v>
      </c>
      <c r="U2941" s="11">
        <v>8416</v>
      </c>
      <c r="V2941" s="12">
        <v>8416</v>
      </c>
      <c r="Y2941" s="9" t="s">
        <v>12185</v>
      </c>
      <c r="Z2941" s="9">
        <v>0</v>
      </c>
      <c r="AA2941" s="9">
        <v>1</v>
      </c>
      <c r="AB2941" s="9">
        <v>0</v>
      </c>
      <c r="AC2941" s="9">
        <v>0</v>
      </c>
      <c r="AF2941" s="9">
        <v>1988</v>
      </c>
      <c r="AG2941" s="9">
        <v>2000</v>
      </c>
      <c r="AO2941" s="9" t="b">
        <v>1</v>
      </c>
      <c r="AP2941" s="9" t="s">
        <v>45</v>
      </c>
      <c r="AQ2941" s="9">
        <v>1949</v>
      </c>
      <c r="AR2941" s="9">
        <v>1971</v>
      </c>
      <c r="AS2941" s="9" t="s">
        <v>12186</v>
      </c>
      <c r="AT2941" s="9">
        <v>12.350444900752899</v>
      </c>
      <c r="AU2941">
        <f t="shared" si="137"/>
        <v>3.4000000000000002E-2</v>
      </c>
    </row>
    <row r="2942" spans="1:47" s="9" customFormat="1" x14ac:dyDescent="0.3">
      <c r="A2942" s="9">
        <v>2940</v>
      </c>
      <c r="B2942" s="9" t="s">
        <v>12187</v>
      </c>
      <c r="C2942" s="9" t="s">
        <v>12188</v>
      </c>
      <c r="D2942" s="9">
        <v>713</v>
      </c>
      <c r="E2942" s="9" t="s">
        <v>12164</v>
      </c>
      <c r="F2942" s="9" t="e">
        <f>VLOOKUP(E2942,country_continent!A:C,2,FALSE)</f>
        <v>#N/A</v>
      </c>
      <c r="G2942" s="9" t="e">
        <f>VLOOKUP(E2942,country_continent!A:C,3,FALSE)</f>
        <v>#N/A</v>
      </c>
      <c r="H2942" s="9" t="s">
        <v>12189</v>
      </c>
      <c r="I2942" s="11">
        <v>36667</v>
      </c>
      <c r="J2942" s="10">
        <f t="shared" si="135"/>
        <v>36667</v>
      </c>
      <c r="K2942" s="11">
        <v>39588</v>
      </c>
      <c r="L2942" s="10">
        <f t="shared" si="136"/>
        <v>39588</v>
      </c>
      <c r="M2942" s="9" t="s">
        <v>49</v>
      </c>
      <c r="N2942" s="9" t="s">
        <v>49</v>
      </c>
      <c r="O2942" s="9" t="s">
        <v>49</v>
      </c>
      <c r="P2942" s="9">
        <v>0</v>
      </c>
      <c r="Q2942" s="9" t="s">
        <v>362</v>
      </c>
      <c r="R2942" s="9" t="s">
        <v>51</v>
      </c>
      <c r="S2942" s="9">
        <v>1950</v>
      </c>
      <c r="T2942" s="9">
        <v>-777</v>
      </c>
      <c r="Z2942" s="9">
        <v>0</v>
      </c>
      <c r="AA2942" s="9">
        <v>1</v>
      </c>
      <c r="AB2942" s="9">
        <v>0</v>
      </c>
      <c r="AC2942" s="9">
        <v>1</v>
      </c>
      <c r="AF2942" s="9">
        <v>2000</v>
      </c>
      <c r="AG2942" s="9">
        <v>2008</v>
      </c>
      <c r="AO2942" s="9" t="b">
        <v>1</v>
      </c>
      <c r="AP2942" s="9" t="s">
        <v>45</v>
      </c>
      <c r="AQ2942" s="9">
        <v>1949</v>
      </c>
      <c r="AR2942" s="9">
        <v>1971</v>
      </c>
      <c r="AS2942" s="9" t="s">
        <v>12190</v>
      </c>
      <c r="AT2942" s="9">
        <v>7.9972621492128599</v>
      </c>
      <c r="AU2942">
        <f t="shared" si="137"/>
        <v>2.1999999999999999E-2</v>
      </c>
    </row>
    <row r="2943" spans="1:47" s="9" customFormat="1" x14ac:dyDescent="0.3">
      <c r="A2943" s="9">
        <v>2941</v>
      </c>
      <c r="B2943" s="9" t="s">
        <v>12191</v>
      </c>
      <c r="C2943" s="9" t="s">
        <v>12192</v>
      </c>
      <c r="D2943" s="9">
        <v>713</v>
      </c>
      <c r="E2943" s="9" t="s">
        <v>12164</v>
      </c>
      <c r="F2943" s="9" t="e">
        <f>VLOOKUP(E2943,country_continent!A:C,2,FALSE)</f>
        <v>#N/A</v>
      </c>
      <c r="G2943" s="9" t="e">
        <f>VLOOKUP(E2943,country_continent!A:C,3,FALSE)</f>
        <v>#N/A</v>
      </c>
      <c r="H2943" s="9" t="s">
        <v>12193</v>
      </c>
      <c r="I2943" s="11">
        <v>39588</v>
      </c>
      <c r="J2943" s="10">
        <f t="shared" si="135"/>
        <v>39588</v>
      </c>
      <c r="K2943" s="11">
        <v>42369</v>
      </c>
      <c r="L2943" s="10">
        <f t="shared" si="136"/>
        <v>42369</v>
      </c>
      <c r="M2943" s="9" t="s">
        <v>49</v>
      </c>
      <c r="N2943" s="9" t="s">
        <v>173</v>
      </c>
      <c r="O2943" s="9" t="s">
        <v>173</v>
      </c>
      <c r="P2943" s="9">
        <v>0</v>
      </c>
      <c r="Q2943" s="9" t="s">
        <v>174</v>
      </c>
      <c r="R2943" s="9" t="s">
        <v>51</v>
      </c>
      <c r="S2943" s="9">
        <v>1950</v>
      </c>
      <c r="T2943" s="9">
        <v>-777</v>
      </c>
      <c r="U2943" s="11">
        <v>18457</v>
      </c>
      <c r="V2943" s="12">
        <v>18457</v>
      </c>
      <c r="Z2943" s="9">
        <v>0</v>
      </c>
      <c r="AA2943" s="9">
        <v>-888</v>
      </c>
      <c r="AB2943" s="9">
        <v>-888</v>
      </c>
      <c r="AC2943" s="9">
        <v>-888</v>
      </c>
      <c r="AF2943" s="9">
        <v>2008</v>
      </c>
      <c r="AG2943" s="9">
        <v>2015</v>
      </c>
      <c r="AO2943" s="9" t="b">
        <v>1</v>
      </c>
      <c r="AP2943" s="9" t="s">
        <v>45</v>
      </c>
      <c r="AQ2943" s="9">
        <v>1949</v>
      </c>
      <c r="AR2943" s="9">
        <v>1971</v>
      </c>
      <c r="AS2943" s="9" t="s">
        <v>12194</v>
      </c>
      <c r="AT2943" s="9">
        <v>7.6139630390143704</v>
      </c>
      <c r="AU2943">
        <f t="shared" si="137"/>
        <v>2.1000000000000001E-2</v>
      </c>
    </row>
    <row r="2944" spans="1:47" x14ac:dyDescent="0.3">
      <c r="A2944">
        <v>2942</v>
      </c>
      <c r="B2944" t="s">
        <v>12195</v>
      </c>
      <c r="C2944" t="s">
        <v>12196</v>
      </c>
      <c r="D2944">
        <v>730</v>
      </c>
      <c r="E2944" t="s">
        <v>12197</v>
      </c>
      <c r="F2944" t="str">
        <f>VLOOKUP(E2944,country_continent!A:C,2,FALSE)</f>
        <v>Korea</v>
      </c>
      <c r="G2944" t="str">
        <f>VLOOKUP(E2944,country_continent!A:C,3,FALSE)</f>
        <v>Asia</v>
      </c>
      <c r="H2944" t="s">
        <v>12198</v>
      </c>
      <c r="I2944" t="s">
        <v>12199</v>
      </c>
      <c r="J2944" s="3" t="str">
        <f t="shared" si="135"/>
        <v>1873/12/22</v>
      </c>
      <c r="K2944" s="1">
        <v>2758</v>
      </c>
      <c r="L2944" s="3">
        <f t="shared" si="136"/>
        <v>2758</v>
      </c>
      <c r="M2944" t="s">
        <v>49</v>
      </c>
      <c r="N2944" t="s">
        <v>633</v>
      </c>
      <c r="O2944" t="s">
        <v>347</v>
      </c>
      <c r="P2944">
        <v>0</v>
      </c>
      <c r="Q2944" t="s">
        <v>362</v>
      </c>
      <c r="R2944" t="s">
        <v>51</v>
      </c>
      <c r="S2944">
        <v>1852</v>
      </c>
      <c r="T2944">
        <v>1919</v>
      </c>
      <c r="Z2944">
        <v>0</v>
      </c>
      <c r="AA2944">
        <v>4</v>
      </c>
      <c r="AB2944">
        <v>-999</v>
      </c>
      <c r="AC2944">
        <v>1</v>
      </c>
      <c r="AF2944">
        <v>1873</v>
      </c>
      <c r="AG2944">
        <v>1907</v>
      </c>
      <c r="AO2944" t="b">
        <v>0</v>
      </c>
      <c r="AT2944">
        <v>12262</v>
      </c>
      <c r="AU2944">
        <f t="shared" si="137"/>
        <v>33.594999999999999</v>
      </c>
    </row>
    <row r="2945" spans="1:47" x14ac:dyDescent="0.3">
      <c r="A2945">
        <v>2943</v>
      </c>
      <c r="B2945" t="s">
        <v>12200</v>
      </c>
      <c r="C2945" t="s">
        <v>12201</v>
      </c>
      <c r="D2945">
        <v>730</v>
      </c>
      <c r="E2945" t="s">
        <v>12197</v>
      </c>
      <c r="F2945" t="str">
        <f>VLOOKUP(E2945,country_continent!A:C,2,FALSE)</f>
        <v>Korea</v>
      </c>
      <c r="G2945" t="str">
        <f>VLOOKUP(E2945,country_continent!A:C,3,FALSE)</f>
        <v>Asia</v>
      </c>
      <c r="H2945" t="s">
        <v>12202</v>
      </c>
      <c r="I2945" s="1">
        <v>2758</v>
      </c>
      <c r="J2945" s="3">
        <f t="shared" si="135"/>
        <v>2758</v>
      </c>
      <c r="K2945" s="1">
        <v>3894</v>
      </c>
      <c r="L2945" s="3">
        <f t="shared" si="136"/>
        <v>3894</v>
      </c>
      <c r="M2945" t="s">
        <v>637</v>
      </c>
      <c r="N2945" t="s">
        <v>633</v>
      </c>
      <c r="O2945" t="s">
        <v>347</v>
      </c>
      <c r="P2945">
        <v>0</v>
      </c>
      <c r="Q2945" t="s">
        <v>50</v>
      </c>
      <c r="R2945" t="s">
        <v>51</v>
      </c>
      <c r="S2945">
        <v>1874</v>
      </c>
      <c r="T2945">
        <v>1926</v>
      </c>
      <c r="Z2945">
        <v>2</v>
      </c>
      <c r="AA2945">
        <v>4</v>
      </c>
      <c r="AB2945">
        <v>-999</v>
      </c>
      <c r="AC2945">
        <v>0</v>
      </c>
      <c r="AF2945">
        <v>1907</v>
      </c>
      <c r="AG2945">
        <v>1910</v>
      </c>
      <c r="AO2945" t="b">
        <v>0</v>
      </c>
      <c r="AT2945">
        <v>1136</v>
      </c>
      <c r="AU2945">
        <f t="shared" si="137"/>
        <v>3.1120000000000001</v>
      </c>
    </row>
    <row r="2946" spans="1:47" x14ac:dyDescent="0.3">
      <c r="A2946">
        <v>2944</v>
      </c>
      <c r="B2946" t="s">
        <v>12203</v>
      </c>
      <c r="C2946" t="s">
        <v>12204</v>
      </c>
      <c r="D2946">
        <v>731</v>
      </c>
      <c r="E2946" t="s">
        <v>12205</v>
      </c>
      <c r="F2946" t="str">
        <f>VLOOKUP(E2946,country_continent!A:C,2,FALSE)</f>
        <v>North Korea</v>
      </c>
      <c r="G2946" t="str">
        <f>VLOOKUP(E2946,country_continent!A:C,3,FALSE)</f>
        <v>Asia</v>
      </c>
      <c r="H2946" t="s">
        <v>12206</v>
      </c>
      <c r="I2946" s="1">
        <v>17785</v>
      </c>
      <c r="J2946" s="3">
        <f t="shared" si="135"/>
        <v>17785</v>
      </c>
      <c r="K2946" s="1">
        <v>34523</v>
      </c>
      <c r="L2946" s="3">
        <f t="shared" si="136"/>
        <v>34523</v>
      </c>
      <c r="M2946" t="s">
        <v>49</v>
      </c>
      <c r="N2946" t="s">
        <v>110</v>
      </c>
      <c r="O2946" t="s">
        <v>49</v>
      </c>
      <c r="P2946">
        <v>0</v>
      </c>
      <c r="Q2946" t="s">
        <v>111</v>
      </c>
      <c r="R2946" t="s">
        <v>51</v>
      </c>
      <c r="S2946">
        <v>1912</v>
      </c>
      <c r="T2946">
        <v>1994</v>
      </c>
      <c r="U2946" s="1">
        <v>4489</v>
      </c>
      <c r="V2946" s="2">
        <v>4489</v>
      </c>
      <c r="Y2946" t="s">
        <v>12207</v>
      </c>
      <c r="Z2946">
        <v>0</v>
      </c>
      <c r="AA2946">
        <v>2</v>
      </c>
      <c r="AB2946">
        <v>0</v>
      </c>
      <c r="AC2946">
        <v>-777</v>
      </c>
      <c r="AD2946" t="s">
        <v>12208</v>
      </c>
      <c r="AE2946">
        <v>0</v>
      </c>
      <c r="AF2946">
        <v>1948</v>
      </c>
      <c r="AG2946">
        <v>1994</v>
      </c>
      <c r="AK2946">
        <v>60.274285714285703</v>
      </c>
      <c r="AL2946">
        <v>1.9036565723468499</v>
      </c>
      <c r="AN2946">
        <v>-8.5</v>
      </c>
      <c r="AO2946" t="b">
        <v>0</v>
      </c>
      <c r="AT2946">
        <v>16738</v>
      </c>
      <c r="AU2946">
        <f t="shared" si="137"/>
        <v>45.857999999999997</v>
      </c>
    </row>
    <row r="2947" spans="1:47" x14ac:dyDescent="0.3">
      <c r="A2947">
        <v>2945</v>
      </c>
      <c r="B2947" t="s">
        <v>12209</v>
      </c>
      <c r="C2947" t="s">
        <v>12210</v>
      </c>
      <c r="D2947">
        <v>731</v>
      </c>
      <c r="E2947" t="s">
        <v>12205</v>
      </c>
      <c r="F2947" t="str">
        <f>VLOOKUP(E2947,country_continent!A:C,2,FALSE)</f>
        <v>North Korea</v>
      </c>
      <c r="G2947" t="str">
        <f>VLOOKUP(E2947,country_continent!A:C,3,FALSE)</f>
        <v>Asia</v>
      </c>
      <c r="H2947" t="s">
        <v>12211</v>
      </c>
      <c r="I2947" s="1">
        <v>34523</v>
      </c>
      <c r="J2947" s="3">
        <f t="shared" ref="J2947:J3010" si="138">IF(ISNUMBER(SEARCH("-", I2947)), SUBSTITUTE(I2947, "-", "/"), I2947)</f>
        <v>34523</v>
      </c>
      <c r="K2947" s="1">
        <v>40894</v>
      </c>
      <c r="L2947" s="3">
        <f t="shared" ref="L2947:L3010" si="139">IF(ISNUMBER(SEARCH("-", K2947)), SUBSTITUTE(K2947, "-", "/"), K2947)</f>
        <v>40894</v>
      </c>
      <c r="M2947" t="s">
        <v>49</v>
      </c>
      <c r="N2947" t="s">
        <v>110</v>
      </c>
      <c r="O2947" t="s">
        <v>49</v>
      </c>
      <c r="P2947">
        <v>0</v>
      </c>
      <c r="Q2947" t="s">
        <v>111</v>
      </c>
      <c r="R2947" t="s">
        <v>51</v>
      </c>
      <c r="S2947">
        <v>1942</v>
      </c>
      <c r="T2947">
        <v>2011</v>
      </c>
      <c r="U2947" s="1">
        <v>15388</v>
      </c>
      <c r="V2947" s="2">
        <v>15388</v>
      </c>
      <c r="W2947" s="1">
        <v>40894</v>
      </c>
      <c r="X2947" s="2">
        <v>40894</v>
      </c>
      <c r="Y2947" t="s">
        <v>12212</v>
      </c>
      <c r="Z2947">
        <v>0</v>
      </c>
      <c r="AA2947">
        <v>2</v>
      </c>
      <c r="AB2947">
        <v>0</v>
      </c>
      <c r="AC2947">
        <v>-777</v>
      </c>
      <c r="AD2947" t="s">
        <v>12213</v>
      </c>
      <c r="AF2947">
        <v>1994</v>
      </c>
      <c r="AG2947">
        <v>2011</v>
      </c>
      <c r="AK2947">
        <v>63.7</v>
      </c>
      <c r="AL2947">
        <v>0.71340029021430795</v>
      </c>
      <c r="AN2947">
        <v>-10</v>
      </c>
      <c r="AO2947" t="b">
        <v>0</v>
      </c>
      <c r="AT2947">
        <v>6371</v>
      </c>
      <c r="AU2947">
        <f t="shared" si="137"/>
        <v>17.454999999999998</v>
      </c>
    </row>
    <row r="2948" spans="1:47" x14ac:dyDescent="0.3">
      <c r="A2948">
        <v>2946</v>
      </c>
      <c r="B2948" t="s">
        <v>12214</v>
      </c>
      <c r="C2948" t="s">
        <v>12215</v>
      </c>
      <c r="D2948">
        <v>731</v>
      </c>
      <c r="E2948" t="s">
        <v>12205</v>
      </c>
      <c r="F2948" t="str">
        <f>VLOOKUP(E2948,country_continent!A:C,2,FALSE)</f>
        <v>North Korea</v>
      </c>
      <c r="G2948" t="str">
        <f>VLOOKUP(E2948,country_continent!A:C,3,FALSE)</f>
        <v>Asia</v>
      </c>
      <c r="H2948" t="s">
        <v>12216</v>
      </c>
      <c r="I2948" s="1">
        <v>40894</v>
      </c>
      <c r="J2948" s="3">
        <f t="shared" si="138"/>
        <v>40894</v>
      </c>
      <c r="K2948" s="1">
        <v>42369</v>
      </c>
      <c r="L2948" s="3">
        <f t="shared" si="139"/>
        <v>42369</v>
      </c>
      <c r="M2948" t="s">
        <v>49</v>
      </c>
      <c r="N2948" t="s">
        <v>173</v>
      </c>
      <c r="O2948" t="s">
        <v>173</v>
      </c>
      <c r="P2948">
        <v>0</v>
      </c>
      <c r="Q2948" t="s">
        <v>174</v>
      </c>
      <c r="R2948" t="s">
        <v>51</v>
      </c>
      <c r="S2948">
        <v>1983</v>
      </c>
      <c r="T2948">
        <v>-777</v>
      </c>
      <c r="U2948" s="1">
        <v>30324</v>
      </c>
      <c r="V2948" s="2">
        <v>30324</v>
      </c>
      <c r="Z2948">
        <v>0</v>
      </c>
      <c r="AA2948">
        <v>-888</v>
      </c>
      <c r="AB2948">
        <v>-888</v>
      </c>
      <c r="AC2948">
        <v>-888</v>
      </c>
      <c r="AF2948">
        <v>2011</v>
      </c>
      <c r="AG2948">
        <v>2015</v>
      </c>
      <c r="AK2948">
        <v>24.2</v>
      </c>
      <c r="AL2948">
        <v>0.46525964092682498</v>
      </c>
      <c r="AN2948">
        <v>-10</v>
      </c>
      <c r="AO2948" t="b">
        <v>0</v>
      </c>
      <c r="AT2948">
        <v>1475</v>
      </c>
      <c r="AU2948">
        <f t="shared" ref="AU2948:AU3011" si="140">ROUND(AT2948/365,3)</f>
        <v>4.0410000000000004</v>
      </c>
    </row>
    <row r="2949" spans="1:47" x14ac:dyDescent="0.3">
      <c r="A2949">
        <v>2947</v>
      </c>
      <c r="B2949" t="s">
        <v>12217</v>
      </c>
      <c r="C2949" t="s">
        <v>12218</v>
      </c>
      <c r="D2949">
        <v>732</v>
      </c>
      <c r="E2949" t="s">
        <v>12219</v>
      </c>
      <c r="F2949" t="str">
        <f>VLOOKUP(E2949,country_continent!A:C,2,FALSE)</f>
        <v>South Korea</v>
      </c>
      <c r="G2949" t="str">
        <f>VLOOKUP(E2949,country_continent!A:C,3,FALSE)</f>
        <v>Asia</v>
      </c>
      <c r="H2949" t="s">
        <v>12220</v>
      </c>
      <c r="I2949" s="1">
        <v>17760</v>
      </c>
      <c r="J2949" s="3">
        <f t="shared" si="138"/>
        <v>17760</v>
      </c>
      <c r="K2949" s="1">
        <v>22033</v>
      </c>
      <c r="L2949" s="3">
        <f t="shared" si="139"/>
        <v>22033</v>
      </c>
      <c r="M2949" t="s">
        <v>49</v>
      </c>
      <c r="N2949" t="s">
        <v>67</v>
      </c>
      <c r="O2949" t="s">
        <v>613</v>
      </c>
      <c r="P2949">
        <v>0</v>
      </c>
      <c r="Q2949" t="s">
        <v>362</v>
      </c>
      <c r="R2949" t="s">
        <v>51</v>
      </c>
      <c r="S2949">
        <v>1875</v>
      </c>
      <c r="T2949">
        <v>1965</v>
      </c>
      <c r="U2949" t="s">
        <v>12221</v>
      </c>
      <c r="V2949" t="s">
        <v>12222</v>
      </c>
      <c r="Y2949" t="s">
        <v>12223</v>
      </c>
      <c r="Z2949">
        <v>0</v>
      </c>
      <c r="AA2949">
        <v>3</v>
      </c>
      <c r="AB2949">
        <v>2</v>
      </c>
      <c r="AC2949">
        <v>1</v>
      </c>
      <c r="AF2949">
        <v>1948</v>
      </c>
      <c r="AG2949">
        <v>1960</v>
      </c>
      <c r="AO2949" t="b">
        <v>0</v>
      </c>
      <c r="AT2949">
        <v>4273</v>
      </c>
      <c r="AU2949">
        <f t="shared" si="140"/>
        <v>11.707000000000001</v>
      </c>
    </row>
    <row r="2950" spans="1:47" x14ac:dyDescent="0.3">
      <c r="A2950">
        <v>2948</v>
      </c>
      <c r="B2950" t="s">
        <v>12224</v>
      </c>
      <c r="C2950" t="s">
        <v>12225</v>
      </c>
      <c r="D2950">
        <v>732</v>
      </c>
      <c r="E2950" t="s">
        <v>12219</v>
      </c>
      <c r="F2950" t="str">
        <f>VLOOKUP(E2950,country_continent!A:C,2,FALSE)</f>
        <v>South Korea</v>
      </c>
      <c r="G2950" t="str">
        <f>VLOOKUP(E2950,country_continent!A:C,3,FALSE)</f>
        <v>Asia</v>
      </c>
      <c r="H2950" t="s">
        <v>12226</v>
      </c>
      <c r="I2950" s="1">
        <v>22033</v>
      </c>
      <c r="J2950" s="3">
        <f t="shared" si="138"/>
        <v>22033</v>
      </c>
      <c r="K2950" s="1">
        <v>22140</v>
      </c>
      <c r="L2950" s="3">
        <f t="shared" si="139"/>
        <v>22140</v>
      </c>
      <c r="M2950" t="s">
        <v>49</v>
      </c>
      <c r="N2950" t="s">
        <v>49</v>
      </c>
      <c r="O2950" t="s">
        <v>49</v>
      </c>
      <c r="P2950">
        <v>0</v>
      </c>
      <c r="Q2950" t="s">
        <v>50</v>
      </c>
      <c r="R2950" t="s">
        <v>51</v>
      </c>
      <c r="S2950">
        <v>1896</v>
      </c>
      <c r="T2950">
        <v>1988</v>
      </c>
      <c r="Z2950">
        <v>0</v>
      </c>
      <c r="AA2950">
        <v>1</v>
      </c>
      <c r="AB2950">
        <v>0</v>
      </c>
      <c r="AC2950">
        <v>0</v>
      </c>
      <c r="AF2950">
        <v>1960</v>
      </c>
      <c r="AG2950">
        <v>1960</v>
      </c>
      <c r="AO2950" t="b">
        <v>0</v>
      </c>
      <c r="AT2950">
        <v>107</v>
      </c>
      <c r="AU2950">
        <f t="shared" si="140"/>
        <v>0.29299999999999998</v>
      </c>
    </row>
    <row r="2951" spans="1:47" x14ac:dyDescent="0.3">
      <c r="A2951">
        <v>2949</v>
      </c>
      <c r="B2951" t="s">
        <v>12227</v>
      </c>
      <c r="C2951" t="s">
        <v>12228</v>
      </c>
      <c r="D2951">
        <v>732</v>
      </c>
      <c r="E2951" t="s">
        <v>12219</v>
      </c>
      <c r="F2951" t="str">
        <f>VLOOKUP(E2951,country_continent!A:C,2,FALSE)</f>
        <v>South Korea</v>
      </c>
      <c r="G2951" t="str">
        <f>VLOOKUP(E2951,country_continent!A:C,3,FALSE)</f>
        <v>Asia</v>
      </c>
      <c r="H2951" t="s">
        <v>12229</v>
      </c>
      <c r="I2951" s="1">
        <v>22140</v>
      </c>
      <c r="J2951" s="3">
        <f t="shared" si="138"/>
        <v>22140</v>
      </c>
      <c r="K2951" s="1">
        <v>22417</v>
      </c>
      <c r="L2951" s="3">
        <f t="shared" si="139"/>
        <v>22417</v>
      </c>
      <c r="M2951" t="s">
        <v>49</v>
      </c>
      <c r="N2951" t="s">
        <v>67</v>
      </c>
      <c r="O2951" t="s">
        <v>376</v>
      </c>
      <c r="P2951">
        <v>0</v>
      </c>
      <c r="Q2951" t="s">
        <v>463</v>
      </c>
      <c r="R2951" t="s">
        <v>51</v>
      </c>
      <c r="S2951">
        <v>1899</v>
      </c>
      <c r="T2951">
        <v>1966</v>
      </c>
      <c r="U2951" t="s">
        <v>12230</v>
      </c>
      <c r="V2951" t="s">
        <v>12231</v>
      </c>
      <c r="Z2951">
        <v>0</v>
      </c>
      <c r="AA2951">
        <v>3</v>
      </c>
      <c r="AB2951">
        <v>6</v>
      </c>
      <c r="AC2951">
        <v>2</v>
      </c>
      <c r="AF2951">
        <v>1960</v>
      </c>
      <c r="AG2951">
        <v>1961</v>
      </c>
      <c r="AO2951" t="b">
        <v>0</v>
      </c>
      <c r="AT2951">
        <v>277</v>
      </c>
      <c r="AU2951">
        <f t="shared" si="140"/>
        <v>0.75900000000000001</v>
      </c>
    </row>
    <row r="2952" spans="1:47" x14ac:dyDescent="0.3">
      <c r="A2952">
        <v>2950</v>
      </c>
      <c r="B2952" t="s">
        <v>12232</v>
      </c>
      <c r="C2952" t="s">
        <v>12233</v>
      </c>
      <c r="D2952">
        <v>732</v>
      </c>
      <c r="E2952" t="s">
        <v>12219</v>
      </c>
      <c r="F2952" t="str">
        <f>VLOOKUP(E2952,country_continent!A:C,2,FALSE)</f>
        <v>South Korea</v>
      </c>
      <c r="G2952" t="str">
        <f>VLOOKUP(E2952,country_continent!A:C,3,FALSE)</f>
        <v>Asia</v>
      </c>
      <c r="H2952" t="s">
        <v>12234</v>
      </c>
      <c r="I2952" s="1">
        <v>22419</v>
      </c>
      <c r="J2952" s="3">
        <f t="shared" si="138"/>
        <v>22419</v>
      </c>
      <c r="K2952" s="1">
        <v>22465</v>
      </c>
      <c r="L2952" s="3">
        <f t="shared" si="139"/>
        <v>22465</v>
      </c>
      <c r="M2952" t="s">
        <v>67</v>
      </c>
      <c r="N2952" t="s">
        <v>67</v>
      </c>
      <c r="O2952" t="s">
        <v>389</v>
      </c>
      <c r="P2952">
        <v>0</v>
      </c>
      <c r="Q2952" t="s">
        <v>463</v>
      </c>
      <c r="R2952" t="s">
        <v>51</v>
      </c>
      <c r="S2952">
        <v>1923</v>
      </c>
      <c r="T2952">
        <v>-777</v>
      </c>
      <c r="Z2952">
        <v>1</v>
      </c>
      <c r="AA2952">
        <v>3</v>
      </c>
      <c r="AB2952">
        <v>16</v>
      </c>
      <c r="AC2952">
        <v>2</v>
      </c>
      <c r="AF2952">
        <v>1961</v>
      </c>
      <c r="AG2952">
        <v>1961</v>
      </c>
      <c r="AO2952" t="b">
        <v>0</v>
      </c>
      <c r="AT2952">
        <v>46</v>
      </c>
      <c r="AU2952">
        <f t="shared" si="140"/>
        <v>0.126</v>
      </c>
    </row>
    <row r="2953" spans="1:47" x14ac:dyDescent="0.3">
      <c r="A2953">
        <v>2951</v>
      </c>
      <c r="B2953" t="s">
        <v>12235</v>
      </c>
      <c r="C2953" t="s">
        <v>12236</v>
      </c>
      <c r="D2953">
        <v>732</v>
      </c>
      <c r="E2953" t="s">
        <v>12219</v>
      </c>
      <c r="F2953" t="str">
        <f>VLOOKUP(E2953,country_continent!A:C,2,FALSE)</f>
        <v>South Korea</v>
      </c>
      <c r="G2953" t="str">
        <f>VLOOKUP(E2953,country_continent!A:C,3,FALSE)</f>
        <v>Asia</v>
      </c>
      <c r="H2953" t="s">
        <v>12237</v>
      </c>
      <c r="I2953" s="1">
        <v>22465</v>
      </c>
      <c r="J2953" s="3">
        <f t="shared" si="138"/>
        <v>22465</v>
      </c>
      <c r="K2953" s="1">
        <v>29154</v>
      </c>
      <c r="L2953" s="3">
        <f t="shared" si="139"/>
        <v>29154</v>
      </c>
      <c r="M2953" t="s">
        <v>67</v>
      </c>
      <c r="N2953" t="s">
        <v>67</v>
      </c>
      <c r="O2953" t="s">
        <v>2001</v>
      </c>
      <c r="P2953">
        <v>0</v>
      </c>
      <c r="Q2953" t="s">
        <v>69</v>
      </c>
      <c r="R2953" t="s">
        <v>51</v>
      </c>
      <c r="S2953">
        <v>1917</v>
      </c>
      <c r="T2953">
        <v>1979</v>
      </c>
      <c r="U2953" s="1">
        <v>6483</v>
      </c>
      <c r="V2953" s="2">
        <v>6483</v>
      </c>
      <c r="W2953" s="1">
        <v>29154</v>
      </c>
      <c r="X2953" s="2">
        <v>29154</v>
      </c>
      <c r="Y2953" t="s">
        <v>12238</v>
      </c>
      <c r="Z2953">
        <v>1</v>
      </c>
      <c r="AA2953">
        <v>3</v>
      </c>
      <c r="AB2953">
        <v>8</v>
      </c>
      <c r="AC2953">
        <v>3</v>
      </c>
      <c r="AF2953">
        <v>1961</v>
      </c>
      <c r="AG2953">
        <v>1979</v>
      </c>
      <c r="AO2953" t="b">
        <v>0</v>
      </c>
      <c r="AT2953">
        <v>6689</v>
      </c>
      <c r="AU2953">
        <f t="shared" si="140"/>
        <v>18.326000000000001</v>
      </c>
    </row>
    <row r="2954" spans="1:47" x14ac:dyDescent="0.3">
      <c r="A2954">
        <v>2952</v>
      </c>
      <c r="B2954" t="s">
        <v>12239</v>
      </c>
      <c r="C2954" t="s">
        <v>12240</v>
      </c>
      <c r="D2954">
        <v>732</v>
      </c>
      <c r="E2954" t="s">
        <v>12219</v>
      </c>
      <c r="F2954" t="str">
        <f>VLOOKUP(E2954,country_continent!A:C,2,FALSE)</f>
        <v>South Korea</v>
      </c>
      <c r="G2954" t="str">
        <f>VLOOKUP(E2954,country_continent!A:C,3,FALSE)</f>
        <v>Asia</v>
      </c>
      <c r="H2954" t="s">
        <v>12241</v>
      </c>
      <c r="I2954" s="1">
        <v>29154</v>
      </c>
      <c r="J2954" s="3">
        <f t="shared" si="138"/>
        <v>29154</v>
      </c>
      <c r="K2954" s="1">
        <v>29449</v>
      </c>
      <c r="L2954" s="3">
        <f t="shared" si="139"/>
        <v>29449</v>
      </c>
      <c r="M2954" t="s">
        <v>49</v>
      </c>
      <c r="N2954" t="s">
        <v>49</v>
      </c>
      <c r="O2954" t="s">
        <v>49</v>
      </c>
      <c r="P2954">
        <v>0</v>
      </c>
      <c r="Q2954" t="s">
        <v>50</v>
      </c>
      <c r="R2954" t="s">
        <v>51</v>
      </c>
      <c r="S2954">
        <v>1919</v>
      </c>
      <c r="T2954">
        <v>2006</v>
      </c>
      <c r="U2954" s="1">
        <v>7137</v>
      </c>
      <c r="V2954" s="2">
        <v>7137</v>
      </c>
      <c r="Z2954">
        <v>0</v>
      </c>
      <c r="AA2954">
        <v>1</v>
      </c>
      <c r="AB2954">
        <v>0</v>
      </c>
      <c r="AC2954">
        <v>0</v>
      </c>
      <c r="AF2954">
        <v>1979</v>
      </c>
      <c r="AG2954">
        <v>1980</v>
      </c>
      <c r="AO2954" t="b">
        <v>0</v>
      </c>
      <c r="AT2954">
        <v>295</v>
      </c>
      <c r="AU2954">
        <f t="shared" si="140"/>
        <v>0.80800000000000005</v>
      </c>
    </row>
    <row r="2955" spans="1:47" x14ac:dyDescent="0.3">
      <c r="A2955">
        <v>2953</v>
      </c>
      <c r="B2955" t="s">
        <v>12242</v>
      </c>
      <c r="C2955" t="s">
        <v>12243</v>
      </c>
      <c r="D2955">
        <v>732</v>
      </c>
      <c r="E2955" t="s">
        <v>12219</v>
      </c>
      <c r="F2955" t="str">
        <f>VLOOKUP(E2955,country_continent!A:C,2,FALSE)</f>
        <v>South Korea</v>
      </c>
      <c r="G2955" t="str">
        <f>VLOOKUP(E2955,country_continent!A:C,3,FALSE)</f>
        <v>Asia</v>
      </c>
      <c r="H2955" t="s">
        <v>12244</v>
      </c>
      <c r="I2955" s="1">
        <v>29449</v>
      </c>
      <c r="J2955" s="3">
        <f t="shared" si="138"/>
        <v>29449</v>
      </c>
      <c r="K2955" s="1">
        <v>29460</v>
      </c>
      <c r="L2955" s="3">
        <f t="shared" si="139"/>
        <v>29460</v>
      </c>
      <c r="M2955" t="s">
        <v>49</v>
      </c>
      <c r="N2955" t="s">
        <v>49</v>
      </c>
      <c r="O2955" t="s">
        <v>49</v>
      </c>
      <c r="P2955">
        <v>0</v>
      </c>
      <c r="Q2955" t="s">
        <v>50</v>
      </c>
      <c r="R2955" t="s">
        <v>51</v>
      </c>
      <c r="S2955">
        <v>1919</v>
      </c>
      <c r="T2955">
        <v>2001</v>
      </c>
      <c r="U2955" s="1">
        <v>6959</v>
      </c>
      <c r="V2955" s="2">
        <v>6959</v>
      </c>
      <c r="Z2955">
        <v>0</v>
      </c>
      <c r="AA2955">
        <v>1</v>
      </c>
      <c r="AB2955">
        <v>0</v>
      </c>
      <c r="AC2955">
        <v>0</v>
      </c>
      <c r="AF2955">
        <v>1980</v>
      </c>
      <c r="AG2955">
        <v>1980</v>
      </c>
      <c r="AO2955" t="b">
        <v>0</v>
      </c>
      <c r="AT2955">
        <v>11</v>
      </c>
      <c r="AU2955">
        <f t="shared" si="140"/>
        <v>0.03</v>
      </c>
    </row>
    <row r="2956" spans="1:47" x14ac:dyDescent="0.3">
      <c r="A2956">
        <v>2954</v>
      </c>
      <c r="B2956" t="s">
        <v>12245</v>
      </c>
      <c r="C2956" t="s">
        <v>12246</v>
      </c>
      <c r="D2956">
        <v>732</v>
      </c>
      <c r="E2956" t="s">
        <v>12219</v>
      </c>
      <c r="F2956" t="str">
        <f>VLOOKUP(E2956,country_continent!A:C,2,FALSE)</f>
        <v>South Korea</v>
      </c>
      <c r="G2956" t="str">
        <f>VLOOKUP(E2956,country_continent!A:C,3,FALSE)</f>
        <v>Asia</v>
      </c>
      <c r="H2956" t="s">
        <v>12247</v>
      </c>
      <c r="I2956" s="1">
        <v>29460</v>
      </c>
      <c r="J2956" s="3">
        <f t="shared" si="138"/>
        <v>29460</v>
      </c>
      <c r="K2956" s="1">
        <v>32198</v>
      </c>
      <c r="L2956" s="3">
        <f t="shared" si="139"/>
        <v>32198</v>
      </c>
      <c r="M2956" t="s">
        <v>49</v>
      </c>
      <c r="N2956" t="s">
        <v>49</v>
      </c>
      <c r="O2956" t="s">
        <v>49</v>
      </c>
      <c r="P2956">
        <v>0</v>
      </c>
      <c r="Q2956" t="s">
        <v>50</v>
      </c>
      <c r="R2956" t="s">
        <v>51</v>
      </c>
      <c r="S2956">
        <v>1931</v>
      </c>
      <c r="T2956">
        <v>-777</v>
      </c>
      <c r="U2956" s="1">
        <v>11341</v>
      </c>
      <c r="V2956" s="2">
        <v>11341</v>
      </c>
      <c r="Z2956">
        <v>0</v>
      </c>
      <c r="AA2956">
        <v>1</v>
      </c>
      <c r="AB2956">
        <v>0</v>
      </c>
      <c r="AC2956">
        <v>0</v>
      </c>
      <c r="AF2956">
        <v>1980</v>
      </c>
      <c r="AG2956">
        <v>1988</v>
      </c>
      <c r="AO2956" t="b">
        <v>0</v>
      </c>
      <c r="AT2956">
        <v>2738</v>
      </c>
      <c r="AU2956">
        <f t="shared" si="140"/>
        <v>7.5010000000000003</v>
      </c>
    </row>
    <row r="2957" spans="1:47" x14ac:dyDescent="0.3">
      <c r="A2957">
        <v>2955</v>
      </c>
      <c r="B2957" t="s">
        <v>12248</v>
      </c>
      <c r="C2957" t="s">
        <v>12249</v>
      </c>
      <c r="D2957">
        <v>732</v>
      </c>
      <c r="E2957" t="s">
        <v>12219</v>
      </c>
      <c r="F2957" t="str">
        <f>VLOOKUP(E2957,country_continent!A:C,2,FALSE)</f>
        <v>South Korea</v>
      </c>
      <c r="G2957" t="str">
        <f>VLOOKUP(E2957,country_continent!A:C,3,FALSE)</f>
        <v>Asia</v>
      </c>
      <c r="H2957" t="s">
        <v>12250</v>
      </c>
      <c r="I2957" s="1">
        <v>32198</v>
      </c>
      <c r="J2957" s="3">
        <f t="shared" si="138"/>
        <v>32198</v>
      </c>
      <c r="K2957" s="1">
        <v>34025</v>
      </c>
      <c r="L2957" s="3">
        <f t="shared" si="139"/>
        <v>34025</v>
      </c>
      <c r="M2957" t="s">
        <v>49</v>
      </c>
      <c r="N2957" t="s">
        <v>49</v>
      </c>
      <c r="O2957" t="s">
        <v>49</v>
      </c>
      <c r="P2957">
        <v>0</v>
      </c>
      <c r="Q2957" t="s">
        <v>50</v>
      </c>
      <c r="R2957" t="s">
        <v>51</v>
      </c>
      <c r="S2957">
        <v>1932</v>
      </c>
      <c r="T2957">
        <v>-777</v>
      </c>
      <c r="U2957" s="1">
        <v>12027</v>
      </c>
      <c r="V2957" s="2">
        <v>12027</v>
      </c>
      <c r="Z2957">
        <v>0</v>
      </c>
      <c r="AA2957">
        <v>1</v>
      </c>
      <c r="AB2957">
        <v>0</v>
      </c>
      <c r="AC2957">
        <v>0</v>
      </c>
      <c r="AF2957">
        <v>1988</v>
      </c>
      <c r="AG2957">
        <v>1993</v>
      </c>
      <c r="AO2957" t="b">
        <v>0</v>
      </c>
      <c r="AT2957">
        <v>1827</v>
      </c>
      <c r="AU2957">
        <f t="shared" si="140"/>
        <v>5.0049999999999999</v>
      </c>
    </row>
    <row r="2958" spans="1:47" x14ac:dyDescent="0.3">
      <c r="A2958">
        <v>2956</v>
      </c>
      <c r="B2958" t="s">
        <v>12251</v>
      </c>
      <c r="C2958" t="s">
        <v>12252</v>
      </c>
      <c r="D2958">
        <v>732</v>
      </c>
      <c r="E2958" t="s">
        <v>12219</v>
      </c>
      <c r="F2958" t="str">
        <f>VLOOKUP(E2958,country_continent!A:C,2,FALSE)</f>
        <v>South Korea</v>
      </c>
      <c r="G2958" t="str">
        <f>VLOOKUP(E2958,country_continent!A:C,3,FALSE)</f>
        <v>Asia</v>
      </c>
      <c r="H2958" t="s">
        <v>12253</v>
      </c>
      <c r="I2958" s="1">
        <v>34025</v>
      </c>
      <c r="J2958" s="3">
        <f t="shared" si="138"/>
        <v>34025</v>
      </c>
      <c r="K2958" s="1">
        <v>35851</v>
      </c>
      <c r="L2958" s="3">
        <f t="shared" si="139"/>
        <v>35851</v>
      </c>
      <c r="M2958" t="s">
        <v>49</v>
      </c>
      <c r="N2958" t="s">
        <v>49</v>
      </c>
      <c r="O2958" t="s">
        <v>49</v>
      </c>
      <c r="P2958">
        <v>0</v>
      </c>
      <c r="Q2958" t="s">
        <v>50</v>
      </c>
      <c r="R2958" t="s">
        <v>51</v>
      </c>
      <c r="S2958">
        <v>1927</v>
      </c>
      <c r="T2958">
        <v>-777</v>
      </c>
      <c r="U2958" s="1">
        <v>10216</v>
      </c>
      <c r="V2958" s="2">
        <v>10216</v>
      </c>
      <c r="Z2958">
        <v>0</v>
      </c>
      <c r="AA2958">
        <v>1</v>
      </c>
      <c r="AB2958">
        <v>0</v>
      </c>
      <c r="AC2958">
        <v>0</v>
      </c>
      <c r="AF2958">
        <v>1993</v>
      </c>
      <c r="AG2958">
        <v>1998</v>
      </c>
      <c r="AO2958" t="b">
        <v>0</v>
      </c>
      <c r="AT2958">
        <v>1826</v>
      </c>
      <c r="AU2958">
        <f t="shared" si="140"/>
        <v>5.0030000000000001</v>
      </c>
    </row>
    <row r="2959" spans="1:47" x14ac:dyDescent="0.3">
      <c r="A2959">
        <v>2957</v>
      </c>
      <c r="B2959" t="s">
        <v>12254</v>
      </c>
      <c r="C2959" t="s">
        <v>12255</v>
      </c>
      <c r="D2959">
        <v>732</v>
      </c>
      <c r="E2959" t="s">
        <v>12219</v>
      </c>
      <c r="F2959" t="str">
        <f>VLOOKUP(E2959,country_continent!A:C,2,FALSE)</f>
        <v>South Korea</v>
      </c>
      <c r="G2959" t="str">
        <f>VLOOKUP(E2959,country_continent!A:C,3,FALSE)</f>
        <v>Asia</v>
      </c>
      <c r="H2959" t="s">
        <v>12256</v>
      </c>
      <c r="I2959" s="1">
        <v>35851</v>
      </c>
      <c r="J2959" s="3">
        <f t="shared" si="138"/>
        <v>35851</v>
      </c>
      <c r="K2959" s="1">
        <v>37677</v>
      </c>
      <c r="L2959" s="3">
        <f t="shared" si="139"/>
        <v>37677</v>
      </c>
      <c r="M2959" t="s">
        <v>49</v>
      </c>
      <c r="N2959" t="s">
        <v>49</v>
      </c>
      <c r="O2959" t="s">
        <v>49</v>
      </c>
      <c r="P2959">
        <v>0</v>
      </c>
      <c r="Q2959" t="s">
        <v>50</v>
      </c>
      <c r="R2959" t="s">
        <v>51</v>
      </c>
      <c r="S2959">
        <v>1925</v>
      </c>
      <c r="T2959">
        <v>2009</v>
      </c>
      <c r="U2959" s="1">
        <v>9469</v>
      </c>
      <c r="V2959" s="2">
        <v>9469</v>
      </c>
      <c r="Z2959">
        <v>0</v>
      </c>
      <c r="AA2959">
        <v>1</v>
      </c>
      <c r="AB2959">
        <v>0</v>
      </c>
      <c r="AC2959">
        <v>0</v>
      </c>
      <c r="AF2959">
        <v>1998</v>
      </c>
      <c r="AG2959">
        <v>2003</v>
      </c>
      <c r="AO2959" t="b">
        <v>0</v>
      </c>
      <c r="AT2959">
        <v>1826</v>
      </c>
      <c r="AU2959">
        <f t="shared" si="140"/>
        <v>5.0030000000000001</v>
      </c>
    </row>
    <row r="2960" spans="1:47" x14ac:dyDescent="0.3">
      <c r="A2960">
        <v>2958</v>
      </c>
      <c r="B2960" t="s">
        <v>12257</v>
      </c>
      <c r="C2960" t="s">
        <v>12258</v>
      </c>
      <c r="D2960">
        <v>732</v>
      </c>
      <c r="E2960" t="s">
        <v>12219</v>
      </c>
      <c r="F2960" t="str">
        <f>VLOOKUP(E2960,country_continent!A:C,2,FALSE)</f>
        <v>South Korea</v>
      </c>
      <c r="G2960" t="str">
        <f>VLOOKUP(E2960,country_continent!A:C,3,FALSE)</f>
        <v>Asia</v>
      </c>
      <c r="H2960" t="s">
        <v>12259</v>
      </c>
      <c r="I2960" s="1">
        <v>37677</v>
      </c>
      <c r="J2960" s="3">
        <f t="shared" si="138"/>
        <v>37677</v>
      </c>
      <c r="K2960" s="1">
        <v>39503</v>
      </c>
      <c r="L2960" s="3">
        <f t="shared" si="139"/>
        <v>39503</v>
      </c>
      <c r="M2960" t="s">
        <v>49</v>
      </c>
      <c r="N2960" t="s">
        <v>49</v>
      </c>
      <c r="O2960" t="s">
        <v>49</v>
      </c>
      <c r="P2960">
        <v>0</v>
      </c>
      <c r="Q2960" t="s">
        <v>50</v>
      </c>
      <c r="R2960" t="s">
        <v>51</v>
      </c>
      <c r="S2960">
        <v>1946</v>
      </c>
      <c r="T2960">
        <v>2009</v>
      </c>
      <c r="U2960" s="1">
        <v>17046</v>
      </c>
      <c r="V2960" s="2">
        <v>17046</v>
      </c>
      <c r="W2960" s="1">
        <v>39926</v>
      </c>
      <c r="X2960" s="2">
        <v>39926</v>
      </c>
      <c r="Z2960">
        <v>0</v>
      </c>
      <c r="AA2960">
        <v>1</v>
      </c>
      <c r="AB2960">
        <v>0</v>
      </c>
      <c r="AC2960">
        <v>0</v>
      </c>
      <c r="AF2960">
        <v>2003</v>
      </c>
      <c r="AG2960">
        <v>2008</v>
      </c>
      <c r="AO2960" t="b">
        <v>0</v>
      </c>
      <c r="AT2960">
        <v>1826</v>
      </c>
      <c r="AU2960">
        <f t="shared" si="140"/>
        <v>5.0030000000000001</v>
      </c>
    </row>
    <row r="2961" spans="1:47" x14ac:dyDescent="0.3">
      <c r="A2961">
        <v>2959</v>
      </c>
      <c r="B2961" t="s">
        <v>12260</v>
      </c>
      <c r="C2961" t="s">
        <v>12261</v>
      </c>
      <c r="D2961">
        <v>732</v>
      </c>
      <c r="E2961" t="s">
        <v>12219</v>
      </c>
      <c r="F2961" t="str">
        <f>VLOOKUP(E2961,country_continent!A:C,2,FALSE)</f>
        <v>South Korea</v>
      </c>
      <c r="G2961" t="str">
        <f>VLOOKUP(E2961,country_continent!A:C,3,FALSE)</f>
        <v>Asia</v>
      </c>
      <c r="H2961" t="s">
        <v>12262</v>
      </c>
      <c r="I2961" s="1">
        <v>39503</v>
      </c>
      <c r="J2961" s="3">
        <f t="shared" si="138"/>
        <v>39503</v>
      </c>
      <c r="K2961" s="1">
        <v>41330</v>
      </c>
      <c r="L2961" s="3">
        <f t="shared" si="139"/>
        <v>41330</v>
      </c>
      <c r="M2961" t="s">
        <v>49</v>
      </c>
      <c r="N2961" t="s">
        <v>49</v>
      </c>
      <c r="O2961" t="s">
        <v>49</v>
      </c>
      <c r="P2961">
        <v>0</v>
      </c>
      <c r="Q2961" t="s">
        <v>50</v>
      </c>
      <c r="R2961" t="s">
        <v>51</v>
      </c>
      <c r="S2961">
        <v>1941</v>
      </c>
      <c r="T2961">
        <v>-777</v>
      </c>
      <c r="U2961" s="1">
        <v>15329</v>
      </c>
      <c r="V2961" s="2">
        <v>15329</v>
      </c>
      <c r="Z2961">
        <v>0</v>
      </c>
      <c r="AA2961">
        <v>1</v>
      </c>
      <c r="AB2961">
        <v>0</v>
      </c>
      <c r="AC2961">
        <v>0</v>
      </c>
      <c r="AF2961">
        <v>2008</v>
      </c>
      <c r="AG2961">
        <v>2013</v>
      </c>
      <c r="AO2961" t="b">
        <v>0</v>
      </c>
      <c r="AT2961">
        <v>1827</v>
      </c>
      <c r="AU2961">
        <f t="shared" si="140"/>
        <v>5.0049999999999999</v>
      </c>
    </row>
    <row r="2962" spans="1:47" x14ac:dyDescent="0.3">
      <c r="A2962">
        <v>2960</v>
      </c>
      <c r="B2962" t="s">
        <v>12263</v>
      </c>
      <c r="C2962" t="s">
        <v>12264</v>
      </c>
      <c r="D2962">
        <v>732</v>
      </c>
      <c r="E2962" t="s">
        <v>12219</v>
      </c>
      <c r="F2962" t="str">
        <f>VLOOKUP(E2962,country_continent!A:C,2,FALSE)</f>
        <v>South Korea</v>
      </c>
      <c r="G2962" t="str">
        <f>VLOOKUP(E2962,country_continent!A:C,3,FALSE)</f>
        <v>Asia</v>
      </c>
      <c r="H2962" t="s">
        <v>12265</v>
      </c>
      <c r="I2962" s="1">
        <v>41330</v>
      </c>
      <c r="J2962" s="3">
        <f t="shared" si="138"/>
        <v>41330</v>
      </c>
      <c r="K2962" s="1">
        <v>42369</v>
      </c>
      <c r="L2962" s="3">
        <f t="shared" si="139"/>
        <v>42369</v>
      </c>
      <c r="M2962" t="s">
        <v>49</v>
      </c>
      <c r="N2962" t="s">
        <v>173</v>
      </c>
      <c r="O2962" t="s">
        <v>173</v>
      </c>
      <c r="P2962">
        <v>0</v>
      </c>
      <c r="Q2962" t="s">
        <v>174</v>
      </c>
      <c r="R2962" t="s">
        <v>299</v>
      </c>
      <c r="S2962">
        <v>1952</v>
      </c>
      <c r="T2962">
        <v>-777</v>
      </c>
      <c r="U2962" s="1">
        <v>19036</v>
      </c>
      <c r="V2962" s="2">
        <v>19036</v>
      </c>
      <c r="Z2962">
        <v>0</v>
      </c>
      <c r="AA2962">
        <v>-888</v>
      </c>
      <c r="AB2962">
        <v>-888</v>
      </c>
      <c r="AC2962">
        <v>-888</v>
      </c>
      <c r="AF2962">
        <v>2013</v>
      </c>
      <c r="AG2962">
        <v>2015</v>
      </c>
      <c r="AO2962" t="b">
        <v>0</v>
      </c>
      <c r="AT2962">
        <v>1039</v>
      </c>
      <c r="AU2962">
        <f t="shared" si="140"/>
        <v>2.847</v>
      </c>
    </row>
    <row r="2963" spans="1:47" x14ac:dyDescent="0.3">
      <c r="A2963">
        <v>2961</v>
      </c>
      <c r="B2963" t="s">
        <v>12266</v>
      </c>
      <c r="C2963" t="s">
        <v>12267</v>
      </c>
      <c r="D2963">
        <v>740</v>
      </c>
      <c r="E2963" t="s">
        <v>12268</v>
      </c>
      <c r="F2963" t="str">
        <f>VLOOKUP(E2963,country_continent!A:C,2,FALSE)</f>
        <v>Japan</v>
      </c>
      <c r="G2963" t="str">
        <f>VLOOKUP(E2963,country_continent!A:C,3,FALSE)</f>
        <v>Asia</v>
      </c>
      <c r="H2963" t="s">
        <v>12269</v>
      </c>
      <c r="I2963" t="s">
        <v>12270</v>
      </c>
      <c r="J2963" s="3" t="str">
        <f t="shared" si="138"/>
        <v>1868/01/03</v>
      </c>
      <c r="K2963" t="s">
        <v>12271</v>
      </c>
      <c r="L2963" s="3" t="str">
        <f t="shared" si="139"/>
        <v>1885/12/22</v>
      </c>
      <c r="M2963" t="s">
        <v>49</v>
      </c>
      <c r="N2963" t="s">
        <v>49</v>
      </c>
      <c r="O2963" t="s">
        <v>49</v>
      </c>
      <c r="P2963">
        <v>0</v>
      </c>
      <c r="Q2963" t="s">
        <v>50</v>
      </c>
      <c r="R2963" t="s">
        <v>51</v>
      </c>
      <c r="S2963">
        <v>1852</v>
      </c>
      <c r="T2963">
        <v>1912</v>
      </c>
      <c r="U2963" t="s">
        <v>12272</v>
      </c>
      <c r="V2963" t="s">
        <v>12273</v>
      </c>
      <c r="W2963" s="1">
        <v>4595</v>
      </c>
      <c r="X2963" s="2">
        <v>4595</v>
      </c>
      <c r="Y2963" t="s">
        <v>12274</v>
      </c>
      <c r="Z2963">
        <v>0</v>
      </c>
      <c r="AA2963">
        <v>1</v>
      </c>
      <c r="AB2963">
        <v>0</v>
      </c>
      <c r="AC2963">
        <v>0</v>
      </c>
      <c r="AF2963">
        <v>1868</v>
      </c>
      <c r="AG2963">
        <v>1885</v>
      </c>
      <c r="AO2963" t="b">
        <v>1</v>
      </c>
      <c r="AP2963" t="s">
        <v>45</v>
      </c>
      <c r="AQ2963">
        <v>1986</v>
      </c>
      <c r="AR2963">
        <v>2016</v>
      </c>
      <c r="AS2963" t="s">
        <v>12275</v>
      </c>
      <c r="AT2963">
        <v>17.968514715947901</v>
      </c>
      <c r="AU2963">
        <f t="shared" si="140"/>
        <v>4.9000000000000002E-2</v>
      </c>
    </row>
    <row r="2964" spans="1:47" x14ac:dyDescent="0.3">
      <c r="A2964">
        <v>2962</v>
      </c>
      <c r="B2964" t="s">
        <v>12276</v>
      </c>
      <c r="C2964" t="s">
        <v>12277</v>
      </c>
      <c r="D2964">
        <v>740</v>
      </c>
      <c r="E2964" t="s">
        <v>12268</v>
      </c>
      <c r="F2964" t="str">
        <f>VLOOKUP(E2964,country_continent!A:C,2,FALSE)</f>
        <v>Japan</v>
      </c>
      <c r="G2964" t="str">
        <f>VLOOKUP(E2964,country_continent!A:C,3,FALSE)</f>
        <v>Asia</v>
      </c>
      <c r="H2964" t="s">
        <v>12278</v>
      </c>
      <c r="I2964" t="s">
        <v>12271</v>
      </c>
      <c r="J2964" s="3" t="str">
        <f t="shared" si="138"/>
        <v>1885/12/22</v>
      </c>
      <c r="K2964" t="s">
        <v>12279</v>
      </c>
      <c r="L2964" s="3" t="str">
        <f t="shared" si="139"/>
        <v>1888/04/30</v>
      </c>
      <c r="M2964" t="s">
        <v>49</v>
      </c>
      <c r="N2964" t="s">
        <v>49</v>
      </c>
      <c r="O2964" t="s">
        <v>49</v>
      </c>
      <c r="P2964">
        <v>0</v>
      </c>
      <c r="Q2964" t="s">
        <v>50</v>
      </c>
      <c r="R2964" t="s">
        <v>51</v>
      </c>
      <c r="S2964">
        <v>1842</v>
      </c>
      <c r="T2964">
        <v>1909</v>
      </c>
      <c r="U2964" t="s">
        <v>12280</v>
      </c>
      <c r="V2964" t="s">
        <v>12281</v>
      </c>
      <c r="Y2964" t="s">
        <v>12282</v>
      </c>
      <c r="Z2964">
        <v>0</v>
      </c>
      <c r="AA2964">
        <v>1</v>
      </c>
      <c r="AB2964">
        <v>0</v>
      </c>
      <c r="AC2964">
        <v>0</v>
      </c>
      <c r="AF2964">
        <v>1885</v>
      </c>
      <c r="AG2964">
        <v>1888</v>
      </c>
      <c r="AO2964" t="b">
        <v>1</v>
      </c>
      <c r="AP2964" t="s">
        <v>45</v>
      </c>
      <c r="AQ2964">
        <v>1986</v>
      </c>
      <c r="AR2964">
        <v>2016</v>
      </c>
      <c r="AS2964" t="s">
        <v>12283</v>
      </c>
      <c r="AT2964">
        <v>2.3545516769336001</v>
      </c>
      <c r="AU2964">
        <f t="shared" si="140"/>
        <v>6.0000000000000001E-3</v>
      </c>
    </row>
    <row r="2965" spans="1:47" x14ac:dyDescent="0.3">
      <c r="A2965">
        <v>2963</v>
      </c>
      <c r="B2965" t="s">
        <v>12284</v>
      </c>
      <c r="C2965" t="s">
        <v>12285</v>
      </c>
      <c r="D2965">
        <v>740</v>
      </c>
      <c r="E2965" t="s">
        <v>12268</v>
      </c>
      <c r="F2965" t="str">
        <f>VLOOKUP(E2965,country_continent!A:C,2,FALSE)</f>
        <v>Japan</v>
      </c>
      <c r="G2965" t="str">
        <f>VLOOKUP(E2965,country_continent!A:C,3,FALSE)</f>
        <v>Asia</v>
      </c>
      <c r="H2965" t="s">
        <v>12286</v>
      </c>
      <c r="I2965" t="s">
        <v>12279</v>
      </c>
      <c r="J2965" s="3" t="str">
        <f t="shared" si="138"/>
        <v>1888/04/30</v>
      </c>
      <c r="K2965" t="s">
        <v>12287</v>
      </c>
      <c r="L2965" s="3" t="str">
        <f t="shared" si="139"/>
        <v>1889/12/24</v>
      </c>
      <c r="M2965" t="s">
        <v>49</v>
      </c>
      <c r="N2965" t="s">
        <v>49</v>
      </c>
      <c r="O2965" t="s">
        <v>49</v>
      </c>
      <c r="P2965">
        <v>0</v>
      </c>
      <c r="Q2965" t="s">
        <v>50</v>
      </c>
      <c r="R2965" t="s">
        <v>51</v>
      </c>
      <c r="S2965">
        <v>1840</v>
      </c>
      <c r="T2965">
        <v>1900</v>
      </c>
      <c r="Y2965" t="s">
        <v>12288</v>
      </c>
      <c r="Z2965">
        <v>0</v>
      </c>
      <c r="AA2965">
        <v>1</v>
      </c>
      <c r="AB2965">
        <v>0</v>
      </c>
      <c r="AC2965">
        <v>0</v>
      </c>
      <c r="AF2965">
        <v>1888</v>
      </c>
      <c r="AG2965">
        <v>1889</v>
      </c>
      <c r="AO2965" t="b">
        <v>1</v>
      </c>
      <c r="AP2965" t="s">
        <v>45</v>
      </c>
      <c r="AQ2965">
        <v>1986</v>
      </c>
      <c r="AR2965">
        <v>2016</v>
      </c>
      <c r="AS2965" t="s">
        <v>12289</v>
      </c>
      <c r="AT2965">
        <v>1.65092402464065</v>
      </c>
      <c r="AU2965">
        <f t="shared" si="140"/>
        <v>5.0000000000000001E-3</v>
      </c>
    </row>
    <row r="2966" spans="1:47" x14ac:dyDescent="0.3">
      <c r="A2966">
        <v>2964</v>
      </c>
      <c r="B2966" t="s">
        <v>12290</v>
      </c>
      <c r="C2966" t="s">
        <v>12291</v>
      </c>
      <c r="D2966">
        <v>740</v>
      </c>
      <c r="E2966" t="s">
        <v>12268</v>
      </c>
      <c r="F2966" t="str">
        <f>VLOOKUP(E2966,country_continent!A:C,2,FALSE)</f>
        <v>Japan</v>
      </c>
      <c r="G2966" t="str">
        <f>VLOOKUP(E2966,country_continent!A:C,3,FALSE)</f>
        <v>Asia</v>
      </c>
      <c r="H2966" t="s">
        <v>12292</v>
      </c>
      <c r="I2966" t="s">
        <v>12287</v>
      </c>
      <c r="J2966" s="3" t="str">
        <f t="shared" si="138"/>
        <v>1889/12/24</v>
      </c>
      <c r="K2966" t="s">
        <v>12293</v>
      </c>
      <c r="L2966" s="3" t="str">
        <f t="shared" si="139"/>
        <v>1891/05/06</v>
      </c>
      <c r="M2966" t="s">
        <v>49</v>
      </c>
      <c r="N2966" t="s">
        <v>49</v>
      </c>
      <c r="O2966" t="s">
        <v>49</v>
      </c>
      <c r="P2966">
        <v>0</v>
      </c>
      <c r="Q2966" t="s">
        <v>50</v>
      </c>
      <c r="R2966" t="s">
        <v>51</v>
      </c>
      <c r="S2966">
        <v>1838</v>
      </c>
      <c r="T2966">
        <v>1922</v>
      </c>
      <c r="U2966" t="s">
        <v>12294</v>
      </c>
      <c r="V2966" t="s">
        <v>12295</v>
      </c>
      <c r="Y2966" t="s">
        <v>12296</v>
      </c>
      <c r="Z2966">
        <v>0</v>
      </c>
      <c r="AA2966">
        <v>1</v>
      </c>
      <c r="AB2966">
        <v>0</v>
      </c>
      <c r="AC2966">
        <v>0</v>
      </c>
      <c r="AF2966">
        <v>1889</v>
      </c>
      <c r="AG2966">
        <v>1891</v>
      </c>
      <c r="AO2966" t="b">
        <v>1</v>
      </c>
      <c r="AP2966" t="s">
        <v>45</v>
      </c>
      <c r="AQ2966">
        <v>1986</v>
      </c>
      <c r="AR2966">
        <v>2016</v>
      </c>
      <c r="AS2966" t="s">
        <v>12297</v>
      </c>
      <c r="AT2966">
        <v>1.36344969199178</v>
      </c>
      <c r="AU2966">
        <f t="shared" si="140"/>
        <v>4.0000000000000001E-3</v>
      </c>
    </row>
    <row r="2967" spans="1:47" x14ac:dyDescent="0.3">
      <c r="A2967">
        <v>2965</v>
      </c>
      <c r="B2967" t="s">
        <v>12298</v>
      </c>
      <c r="C2967" t="s">
        <v>12299</v>
      </c>
      <c r="D2967">
        <v>740</v>
      </c>
      <c r="E2967" t="s">
        <v>12268</v>
      </c>
      <c r="F2967" t="str">
        <f>VLOOKUP(E2967,country_continent!A:C,2,FALSE)</f>
        <v>Japan</v>
      </c>
      <c r="G2967" t="str">
        <f>VLOOKUP(E2967,country_continent!A:C,3,FALSE)</f>
        <v>Asia</v>
      </c>
      <c r="H2967" t="s">
        <v>12300</v>
      </c>
      <c r="I2967" t="s">
        <v>12293</v>
      </c>
      <c r="J2967" s="3" t="str">
        <f t="shared" si="138"/>
        <v>1891/05/06</v>
      </c>
      <c r="K2967" t="s">
        <v>12301</v>
      </c>
      <c r="L2967" s="3" t="str">
        <f t="shared" si="139"/>
        <v>1892/08/08</v>
      </c>
      <c r="M2967" t="s">
        <v>49</v>
      </c>
      <c r="N2967" t="s">
        <v>49</v>
      </c>
      <c r="O2967" t="s">
        <v>49</v>
      </c>
      <c r="P2967">
        <v>0</v>
      </c>
      <c r="Q2967" t="s">
        <v>50</v>
      </c>
      <c r="R2967" t="s">
        <v>51</v>
      </c>
      <c r="S2967">
        <v>1835</v>
      </c>
      <c r="T2967">
        <v>1924</v>
      </c>
      <c r="Y2967" t="s">
        <v>12302</v>
      </c>
      <c r="Z2967">
        <v>0</v>
      </c>
      <c r="AA2967">
        <v>1</v>
      </c>
      <c r="AB2967">
        <v>0</v>
      </c>
      <c r="AC2967">
        <v>0</v>
      </c>
      <c r="AF2967">
        <v>1891</v>
      </c>
      <c r="AG2967">
        <v>1892</v>
      </c>
      <c r="AO2967" t="b">
        <v>1</v>
      </c>
      <c r="AP2967" t="s">
        <v>45</v>
      </c>
      <c r="AQ2967">
        <v>1986</v>
      </c>
      <c r="AR2967">
        <v>2016</v>
      </c>
      <c r="AS2967" t="s">
        <v>12303</v>
      </c>
      <c r="AT2967">
        <v>1.2594113620807601</v>
      </c>
      <c r="AU2967">
        <f t="shared" si="140"/>
        <v>3.0000000000000001E-3</v>
      </c>
    </row>
    <row r="2968" spans="1:47" x14ac:dyDescent="0.3">
      <c r="A2968">
        <v>2966</v>
      </c>
      <c r="B2968" t="s">
        <v>12304</v>
      </c>
      <c r="C2968" t="s">
        <v>12277</v>
      </c>
      <c r="D2968">
        <v>740</v>
      </c>
      <c r="E2968" t="s">
        <v>12268</v>
      </c>
      <c r="F2968" t="str">
        <f>VLOOKUP(E2968,country_continent!A:C,2,FALSE)</f>
        <v>Japan</v>
      </c>
      <c r="G2968" t="str">
        <f>VLOOKUP(E2968,country_continent!A:C,3,FALSE)</f>
        <v>Asia</v>
      </c>
      <c r="H2968" t="s">
        <v>12278</v>
      </c>
      <c r="I2968" t="s">
        <v>12301</v>
      </c>
      <c r="J2968" s="3" t="str">
        <f t="shared" si="138"/>
        <v>1892/08/08</v>
      </c>
      <c r="K2968" t="s">
        <v>3627</v>
      </c>
      <c r="L2968" s="3" t="str">
        <f t="shared" si="139"/>
        <v>1896/09/18</v>
      </c>
      <c r="M2968" t="s">
        <v>49</v>
      </c>
      <c r="N2968" t="s">
        <v>49</v>
      </c>
      <c r="O2968" t="s">
        <v>49</v>
      </c>
      <c r="P2968">
        <v>1</v>
      </c>
      <c r="Q2968" t="s">
        <v>50</v>
      </c>
      <c r="R2968" t="s">
        <v>51</v>
      </c>
      <c r="S2968">
        <v>1842</v>
      </c>
      <c r="T2968">
        <v>1909</v>
      </c>
      <c r="U2968" t="s">
        <v>12280</v>
      </c>
      <c r="V2968" t="s">
        <v>12281</v>
      </c>
      <c r="Y2968" t="s">
        <v>12282</v>
      </c>
      <c r="Z2968">
        <v>0</v>
      </c>
      <c r="AA2968">
        <v>1</v>
      </c>
      <c r="AB2968">
        <v>0</v>
      </c>
      <c r="AC2968">
        <v>0</v>
      </c>
      <c r="AF2968">
        <v>1892</v>
      </c>
      <c r="AG2968">
        <v>1896</v>
      </c>
      <c r="AO2968" t="b">
        <v>1</v>
      </c>
      <c r="AP2968" t="s">
        <v>45</v>
      </c>
      <c r="AQ2968">
        <v>1986</v>
      </c>
      <c r="AR2968">
        <v>2016</v>
      </c>
      <c r="AS2968" t="s">
        <v>12305</v>
      </c>
      <c r="AT2968">
        <v>4.1122518822724103</v>
      </c>
      <c r="AU2968">
        <f t="shared" si="140"/>
        <v>1.0999999999999999E-2</v>
      </c>
    </row>
    <row r="2969" spans="1:47" x14ac:dyDescent="0.3">
      <c r="A2969">
        <v>2967</v>
      </c>
      <c r="B2969" t="s">
        <v>12306</v>
      </c>
      <c r="C2969" t="s">
        <v>12299</v>
      </c>
      <c r="D2969">
        <v>740</v>
      </c>
      <c r="E2969" t="s">
        <v>12268</v>
      </c>
      <c r="F2969" t="str">
        <f>VLOOKUP(E2969,country_continent!A:C,2,FALSE)</f>
        <v>Japan</v>
      </c>
      <c r="G2969" t="str">
        <f>VLOOKUP(E2969,country_continent!A:C,3,FALSE)</f>
        <v>Asia</v>
      </c>
      <c r="H2969" t="s">
        <v>12300</v>
      </c>
      <c r="I2969" t="s">
        <v>3627</v>
      </c>
      <c r="J2969" s="3" t="str">
        <f t="shared" si="138"/>
        <v>1896/09/18</v>
      </c>
      <c r="K2969" t="s">
        <v>12307</v>
      </c>
      <c r="L2969" s="3" t="str">
        <f t="shared" si="139"/>
        <v>1897/04/14</v>
      </c>
      <c r="M2969" t="s">
        <v>49</v>
      </c>
      <c r="N2969" t="s">
        <v>49</v>
      </c>
      <c r="O2969" t="s">
        <v>49</v>
      </c>
      <c r="P2969">
        <v>1</v>
      </c>
      <c r="Q2969" t="s">
        <v>50</v>
      </c>
      <c r="R2969" t="s">
        <v>51</v>
      </c>
      <c r="S2969">
        <v>1835</v>
      </c>
      <c r="T2969">
        <v>1924</v>
      </c>
      <c r="Y2969" t="s">
        <v>12302</v>
      </c>
      <c r="Z2969">
        <v>0</v>
      </c>
      <c r="AA2969">
        <v>1</v>
      </c>
      <c r="AB2969">
        <v>0</v>
      </c>
      <c r="AC2969">
        <v>0</v>
      </c>
      <c r="AF2969">
        <v>1896</v>
      </c>
      <c r="AG2969">
        <v>1897</v>
      </c>
      <c r="AO2969" t="b">
        <v>1</v>
      </c>
      <c r="AP2969" t="s">
        <v>45</v>
      </c>
      <c r="AQ2969">
        <v>1986</v>
      </c>
      <c r="AR2969">
        <v>2016</v>
      </c>
      <c r="AS2969" t="s">
        <v>12308</v>
      </c>
      <c r="AT2969">
        <v>0.569472963723477</v>
      </c>
      <c r="AU2969">
        <f t="shared" si="140"/>
        <v>2E-3</v>
      </c>
    </row>
    <row r="2970" spans="1:47" x14ac:dyDescent="0.3">
      <c r="A2970">
        <v>2968</v>
      </c>
      <c r="B2970" t="s">
        <v>12309</v>
      </c>
      <c r="C2970" t="s">
        <v>12285</v>
      </c>
      <c r="D2970">
        <v>740</v>
      </c>
      <c r="E2970" t="s">
        <v>12268</v>
      </c>
      <c r="F2970" t="str">
        <f>VLOOKUP(E2970,country_continent!A:C,2,FALSE)</f>
        <v>Japan</v>
      </c>
      <c r="G2970" t="str">
        <f>VLOOKUP(E2970,country_continent!A:C,3,FALSE)</f>
        <v>Asia</v>
      </c>
      <c r="H2970" t="s">
        <v>12286</v>
      </c>
      <c r="I2970" t="s">
        <v>12307</v>
      </c>
      <c r="J2970" s="3" t="str">
        <f t="shared" si="138"/>
        <v>1897/04/14</v>
      </c>
      <c r="K2970" t="s">
        <v>12310</v>
      </c>
      <c r="L2970" s="3" t="str">
        <f t="shared" si="139"/>
        <v>1897/06/08</v>
      </c>
      <c r="M2970" t="s">
        <v>49</v>
      </c>
      <c r="N2970" t="s">
        <v>49</v>
      </c>
      <c r="O2970" t="s">
        <v>49</v>
      </c>
      <c r="P2970">
        <v>1</v>
      </c>
      <c r="Q2970" t="s">
        <v>50</v>
      </c>
      <c r="R2970" t="s">
        <v>51</v>
      </c>
      <c r="S2970">
        <v>1840</v>
      </c>
      <c r="T2970">
        <v>1900</v>
      </c>
      <c r="Y2970" t="s">
        <v>12288</v>
      </c>
      <c r="Z2970">
        <v>0</v>
      </c>
      <c r="AA2970">
        <v>1</v>
      </c>
      <c r="AB2970">
        <v>0</v>
      </c>
      <c r="AC2970">
        <v>0</v>
      </c>
      <c r="AF2970">
        <v>1897</v>
      </c>
      <c r="AG2970">
        <v>1897</v>
      </c>
      <c r="AO2970" t="b">
        <v>1</v>
      </c>
      <c r="AP2970" t="s">
        <v>45</v>
      </c>
      <c r="AQ2970">
        <v>1986</v>
      </c>
      <c r="AR2970">
        <v>2016</v>
      </c>
      <c r="AS2970" t="s">
        <v>12311</v>
      </c>
      <c r="AT2970">
        <v>0.15058179329226501</v>
      </c>
      <c r="AU2970">
        <f t="shared" si="140"/>
        <v>0</v>
      </c>
    </row>
    <row r="2971" spans="1:47" x14ac:dyDescent="0.3">
      <c r="A2971">
        <v>2969</v>
      </c>
      <c r="B2971" t="s">
        <v>12312</v>
      </c>
      <c r="C2971" t="s">
        <v>12299</v>
      </c>
      <c r="D2971">
        <v>740</v>
      </c>
      <c r="E2971" t="s">
        <v>12268</v>
      </c>
      <c r="F2971" t="str">
        <f>VLOOKUP(E2971,country_continent!A:C,2,FALSE)</f>
        <v>Japan</v>
      </c>
      <c r="G2971" t="str">
        <f>VLOOKUP(E2971,country_continent!A:C,3,FALSE)</f>
        <v>Asia</v>
      </c>
      <c r="H2971" t="s">
        <v>12300</v>
      </c>
      <c r="I2971" t="s">
        <v>12310</v>
      </c>
      <c r="J2971" s="3" t="str">
        <f t="shared" si="138"/>
        <v>1897/06/08</v>
      </c>
      <c r="K2971" t="s">
        <v>12313</v>
      </c>
      <c r="L2971" s="3" t="str">
        <f t="shared" si="139"/>
        <v>1898/01/12</v>
      </c>
      <c r="M2971" t="s">
        <v>49</v>
      </c>
      <c r="N2971" t="s">
        <v>49</v>
      </c>
      <c r="O2971" t="s">
        <v>49</v>
      </c>
      <c r="P2971">
        <v>2</v>
      </c>
      <c r="Q2971" t="s">
        <v>50</v>
      </c>
      <c r="R2971" t="s">
        <v>51</v>
      </c>
      <c r="S2971">
        <v>1835</v>
      </c>
      <c r="T2971">
        <v>1924</v>
      </c>
      <c r="Y2971" t="s">
        <v>12302</v>
      </c>
      <c r="Z2971">
        <v>0</v>
      </c>
      <c r="AA2971">
        <v>1</v>
      </c>
      <c r="AB2971">
        <v>0</v>
      </c>
      <c r="AC2971">
        <v>0</v>
      </c>
      <c r="AF2971">
        <v>1897</v>
      </c>
      <c r="AG2971">
        <v>1898</v>
      </c>
      <c r="AO2971" t="b">
        <v>1</v>
      </c>
      <c r="AP2971" t="s">
        <v>45</v>
      </c>
      <c r="AQ2971">
        <v>1986</v>
      </c>
      <c r="AR2971">
        <v>2016</v>
      </c>
      <c r="AS2971" t="s">
        <v>12314</v>
      </c>
      <c r="AT2971">
        <v>0.59685147159479801</v>
      </c>
      <c r="AU2971">
        <f t="shared" si="140"/>
        <v>2E-3</v>
      </c>
    </row>
    <row r="2972" spans="1:47" x14ac:dyDescent="0.3">
      <c r="A2972">
        <v>2970</v>
      </c>
      <c r="B2972" t="s">
        <v>12315</v>
      </c>
      <c r="C2972" t="s">
        <v>12277</v>
      </c>
      <c r="D2972">
        <v>740</v>
      </c>
      <c r="E2972" t="s">
        <v>12268</v>
      </c>
      <c r="F2972" t="str">
        <f>VLOOKUP(E2972,country_continent!A:C,2,FALSE)</f>
        <v>Japan</v>
      </c>
      <c r="G2972" t="str">
        <f>VLOOKUP(E2972,country_continent!A:C,3,FALSE)</f>
        <v>Asia</v>
      </c>
      <c r="H2972" t="s">
        <v>12278</v>
      </c>
      <c r="I2972" t="s">
        <v>12313</v>
      </c>
      <c r="J2972" s="3" t="str">
        <f t="shared" si="138"/>
        <v>1898/01/12</v>
      </c>
      <c r="K2972" t="s">
        <v>12316</v>
      </c>
      <c r="L2972" s="3" t="str">
        <f t="shared" si="139"/>
        <v>1898/06/30</v>
      </c>
      <c r="M2972" t="s">
        <v>49</v>
      </c>
      <c r="N2972" t="s">
        <v>49</v>
      </c>
      <c r="O2972" t="s">
        <v>49</v>
      </c>
      <c r="P2972">
        <v>2</v>
      </c>
      <c r="Q2972" t="s">
        <v>50</v>
      </c>
      <c r="R2972" t="s">
        <v>51</v>
      </c>
      <c r="S2972">
        <v>1842</v>
      </c>
      <c r="T2972">
        <v>1909</v>
      </c>
      <c r="U2972" t="s">
        <v>12280</v>
      </c>
      <c r="V2972" t="s">
        <v>12281</v>
      </c>
      <c r="Y2972" t="s">
        <v>12282</v>
      </c>
      <c r="Z2972">
        <v>0</v>
      </c>
      <c r="AA2972">
        <v>1</v>
      </c>
      <c r="AB2972">
        <v>0</v>
      </c>
      <c r="AC2972">
        <v>0</v>
      </c>
      <c r="AF2972">
        <v>1898</v>
      </c>
      <c r="AG2972">
        <v>1898</v>
      </c>
      <c r="AO2972" t="b">
        <v>1</v>
      </c>
      <c r="AP2972" t="s">
        <v>45</v>
      </c>
      <c r="AQ2972">
        <v>1986</v>
      </c>
      <c r="AR2972">
        <v>2016</v>
      </c>
      <c r="AS2972" t="s">
        <v>12317</v>
      </c>
      <c r="AT2972">
        <v>0.46269678302532502</v>
      </c>
      <c r="AU2972">
        <f t="shared" si="140"/>
        <v>1E-3</v>
      </c>
    </row>
    <row r="2973" spans="1:47" x14ac:dyDescent="0.3">
      <c r="A2973">
        <v>2971</v>
      </c>
      <c r="B2973" t="s">
        <v>12318</v>
      </c>
      <c r="C2973" t="s">
        <v>12319</v>
      </c>
      <c r="D2973">
        <v>740</v>
      </c>
      <c r="E2973" t="s">
        <v>12268</v>
      </c>
      <c r="F2973" t="str">
        <f>VLOOKUP(E2973,country_continent!A:C,2,FALSE)</f>
        <v>Japan</v>
      </c>
      <c r="G2973" t="str">
        <f>VLOOKUP(E2973,country_continent!A:C,3,FALSE)</f>
        <v>Asia</v>
      </c>
      <c r="H2973" t="s">
        <v>12320</v>
      </c>
      <c r="I2973" t="s">
        <v>12316</v>
      </c>
      <c r="J2973" s="3" t="str">
        <f t="shared" si="138"/>
        <v>1898/06/30</v>
      </c>
      <c r="K2973" t="s">
        <v>5186</v>
      </c>
      <c r="L2973" s="3" t="str">
        <f t="shared" si="139"/>
        <v>1898/10/31</v>
      </c>
      <c r="M2973" t="s">
        <v>49</v>
      </c>
      <c r="N2973" t="s">
        <v>49</v>
      </c>
      <c r="O2973" t="s">
        <v>49</v>
      </c>
      <c r="P2973">
        <v>0</v>
      </c>
      <c r="Q2973" t="s">
        <v>50</v>
      </c>
      <c r="R2973" t="s">
        <v>51</v>
      </c>
      <c r="S2973">
        <v>1838</v>
      </c>
      <c r="T2973">
        <v>1922</v>
      </c>
      <c r="Y2973" t="s">
        <v>12321</v>
      </c>
      <c r="Z2973">
        <v>0</v>
      </c>
      <c r="AA2973">
        <v>1</v>
      </c>
      <c r="AB2973">
        <v>0</v>
      </c>
      <c r="AC2973">
        <v>0</v>
      </c>
      <c r="AF2973">
        <v>1898</v>
      </c>
      <c r="AG2973">
        <v>1898</v>
      </c>
      <c r="AO2973" t="b">
        <v>1</v>
      </c>
      <c r="AP2973" t="s">
        <v>45</v>
      </c>
      <c r="AQ2973">
        <v>1986</v>
      </c>
      <c r="AR2973">
        <v>2016</v>
      </c>
      <c r="AS2973" t="s">
        <v>12322</v>
      </c>
      <c r="AT2973">
        <v>0.33675564681724801</v>
      </c>
      <c r="AU2973">
        <f t="shared" si="140"/>
        <v>1E-3</v>
      </c>
    </row>
    <row r="2974" spans="1:47" x14ac:dyDescent="0.3">
      <c r="A2974">
        <v>2972</v>
      </c>
      <c r="B2974" t="s">
        <v>12323</v>
      </c>
      <c r="C2974" t="s">
        <v>12291</v>
      </c>
      <c r="D2974">
        <v>740</v>
      </c>
      <c r="E2974" t="s">
        <v>12268</v>
      </c>
      <c r="F2974" t="str">
        <f>VLOOKUP(E2974,country_continent!A:C,2,FALSE)</f>
        <v>Japan</v>
      </c>
      <c r="G2974" t="str">
        <f>VLOOKUP(E2974,country_continent!A:C,3,FALSE)</f>
        <v>Asia</v>
      </c>
      <c r="H2974" t="s">
        <v>12292</v>
      </c>
      <c r="I2974" t="s">
        <v>12324</v>
      </c>
      <c r="J2974" s="3" t="str">
        <f t="shared" si="138"/>
        <v>1898/11/07</v>
      </c>
      <c r="K2974" s="1">
        <v>293</v>
      </c>
      <c r="L2974" s="3">
        <f t="shared" si="139"/>
        <v>293</v>
      </c>
      <c r="M2974" t="s">
        <v>49</v>
      </c>
      <c r="N2974" t="s">
        <v>49</v>
      </c>
      <c r="O2974" t="s">
        <v>49</v>
      </c>
      <c r="P2974">
        <v>1</v>
      </c>
      <c r="Q2974" t="s">
        <v>50</v>
      </c>
      <c r="R2974" t="s">
        <v>51</v>
      </c>
      <c r="S2974">
        <v>1838</v>
      </c>
      <c r="T2974">
        <v>1922</v>
      </c>
      <c r="U2974" t="s">
        <v>12294</v>
      </c>
      <c r="V2974" t="s">
        <v>12295</v>
      </c>
      <c r="Y2974" t="s">
        <v>12296</v>
      </c>
      <c r="Z2974">
        <v>0</v>
      </c>
      <c r="AA2974">
        <v>1</v>
      </c>
      <c r="AB2974">
        <v>0</v>
      </c>
      <c r="AC2974">
        <v>0</v>
      </c>
      <c r="AF2974">
        <v>1898</v>
      </c>
      <c r="AG2974">
        <v>1900</v>
      </c>
      <c r="AO2974" t="b">
        <v>1</v>
      </c>
      <c r="AP2974" t="s">
        <v>45</v>
      </c>
      <c r="AQ2974">
        <v>1986</v>
      </c>
      <c r="AR2974">
        <v>2016</v>
      </c>
      <c r="AS2974" t="s">
        <v>12325</v>
      </c>
      <c r="AT2974">
        <v>1.94661190965092</v>
      </c>
      <c r="AU2974">
        <f t="shared" si="140"/>
        <v>5.0000000000000001E-3</v>
      </c>
    </row>
    <row r="2975" spans="1:47" x14ac:dyDescent="0.3">
      <c r="A2975">
        <v>2973</v>
      </c>
      <c r="B2975" t="s">
        <v>12326</v>
      </c>
      <c r="C2975" t="s">
        <v>12277</v>
      </c>
      <c r="D2975">
        <v>740</v>
      </c>
      <c r="E2975" t="s">
        <v>12268</v>
      </c>
      <c r="F2975" t="str">
        <f>VLOOKUP(E2975,country_continent!A:C,2,FALSE)</f>
        <v>Japan</v>
      </c>
      <c r="G2975" t="str">
        <f>VLOOKUP(E2975,country_continent!A:C,3,FALSE)</f>
        <v>Asia</v>
      </c>
      <c r="H2975" t="s">
        <v>12278</v>
      </c>
      <c r="I2975" s="1">
        <v>293</v>
      </c>
      <c r="J2975" s="3">
        <f t="shared" si="138"/>
        <v>293</v>
      </c>
      <c r="K2975" s="1">
        <v>496</v>
      </c>
      <c r="L2975" s="3">
        <f t="shared" si="139"/>
        <v>496</v>
      </c>
      <c r="M2975" t="s">
        <v>49</v>
      </c>
      <c r="N2975" t="s">
        <v>49</v>
      </c>
      <c r="O2975" t="s">
        <v>49</v>
      </c>
      <c r="P2975">
        <v>3</v>
      </c>
      <c r="Q2975" t="s">
        <v>50</v>
      </c>
      <c r="R2975" t="s">
        <v>51</v>
      </c>
      <c r="S2975">
        <v>1842</v>
      </c>
      <c r="T2975">
        <v>1909</v>
      </c>
      <c r="U2975" t="s">
        <v>12280</v>
      </c>
      <c r="V2975" t="s">
        <v>12281</v>
      </c>
      <c r="Y2975" t="s">
        <v>12282</v>
      </c>
      <c r="Z2975">
        <v>0</v>
      </c>
      <c r="AA2975">
        <v>1</v>
      </c>
      <c r="AB2975">
        <v>0</v>
      </c>
      <c r="AC2975">
        <v>0</v>
      </c>
      <c r="AF2975">
        <v>1900</v>
      </c>
      <c r="AG2975">
        <v>1901</v>
      </c>
      <c r="AO2975" t="b">
        <v>1</v>
      </c>
      <c r="AP2975" t="s">
        <v>45</v>
      </c>
      <c r="AQ2975">
        <v>1986</v>
      </c>
      <c r="AR2975">
        <v>2016</v>
      </c>
      <c r="AS2975" t="s">
        <v>12327</v>
      </c>
      <c r="AT2975">
        <v>0.55578370978781599</v>
      </c>
      <c r="AU2975">
        <f t="shared" si="140"/>
        <v>2E-3</v>
      </c>
    </row>
    <row r="2976" spans="1:47" x14ac:dyDescent="0.3">
      <c r="A2976">
        <v>2974</v>
      </c>
      <c r="B2976" t="s">
        <v>12328</v>
      </c>
      <c r="C2976" t="s">
        <v>12329</v>
      </c>
      <c r="D2976">
        <v>740</v>
      </c>
      <c r="E2976" t="s">
        <v>12268</v>
      </c>
      <c r="F2976" t="str">
        <f>VLOOKUP(E2976,country_continent!A:C,2,FALSE)</f>
        <v>Japan</v>
      </c>
      <c r="G2976" t="str">
        <f>VLOOKUP(E2976,country_continent!A:C,3,FALSE)</f>
        <v>Asia</v>
      </c>
      <c r="H2976" t="s">
        <v>12330</v>
      </c>
      <c r="I2976" s="1">
        <v>496</v>
      </c>
      <c r="J2976" s="3">
        <f t="shared" si="138"/>
        <v>496</v>
      </c>
      <c r="K2976" s="1">
        <v>519</v>
      </c>
      <c r="L2976" s="3">
        <f t="shared" si="139"/>
        <v>519</v>
      </c>
      <c r="M2976" t="s">
        <v>49</v>
      </c>
      <c r="N2976" t="s">
        <v>49</v>
      </c>
      <c r="O2976" t="s">
        <v>49</v>
      </c>
      <c r="P2976">
        <v>0</v>
      </c>
      <c r="Q2976" t="s">
        <v>50</v>
      </c>
      <c r="R2976" t="s">
        <v>51</v>
      </c>
      <c r="S2976">
        <v>1849</v>
      </c>
      <c r="T2976">
        <v>1940</v>
      </c>
      <c r="Y2976" t="s">
        <v>12331</v>
      </c>
      <c r="Z2976">
        <v>0</v>
      </c>
      <c r="AA2976">
        <v>1</v>
      </c>
      <c r="AB2976">
        <v>0</v>
      </c>
      <c r="AC2976">
        <v>0</v>
      </c>
      <c r="AF2976">
        <v>1901</v>
      </c>
      <c r="AG2976">
        <v>1901</v>
      </c>
      <c r="AO2976" t="b">
        <v>1</v>
      </c>
      <c r="AP2976" t="s">
        <v>45</v>
      </c>
      <c r="AQ2976">
        <v>1986</v>
      </c>
      <c r="AR2976">
        <v>2016</v>
      </c>
      <c r="AS2976" t="s">
        <v>12332</v>
      </c>
      <c r="AT2976">
        <v>6.2970568104038296E-2</v>
      </c>
      <c r="AU2976">
        <f t="shared" si="140"/>
        <v>0</v>
      </c>
    </row>
    <row r="2977" spans="1:47" x14ac:dyDescent="0.3">
      <c r="A2977">
        <v>2975</v>
      </c>
      <c r="B2977" t="s">
        <v>12333</v>
      </c>
      <c r="C2977" t="s">
        <v>12334</v>
      </c>
      <c r="D2977">
        <v>740</v>
      </c>
      <c r="E2977" t="s">
        <v>12268</v>
      </c>
      <c r="F2977" t="str">
        <f>VLOOKUP(E2977,country_continent!A:C,2,FALSE)</f>
        <v>Japan</v>
      </c>
      <c r="G2977" t="str">
        <f>VLOOKUP(E2977,country_continent!A:C,3,FALSE)</f>
        <v>Asia</v>
      </c>
      <c r="H2977" t="s">
        <v>12335</v>
      </c>
      <c r="I2977" s="1">
        <v>519</v>
      </c>
      <c r="J2977" s="3">
        <f t="shared" si="138"/>
        <v>519</v>
      </c>
      <c r="K2977" s="1">
        <v>2199</v>
      </c>
      <c r="L2977" s="3">
        <f t="shared" si="139"/>
        <v>2199</v>
      </c>
      <c r="M2977" t="s">
        <v>49</v>
      </c>
      <c r="N2977" t="s">
        <v>49</v>
      </c>
      <c r="O2977" t="s">
        <v>49</v>
      </c>
      <c r="P2977">
        <v>0</v>
      </c>
      <c r="Q2977" t="s">
        <v>50</v>
      </c>
      <c r="R2977" t="s">
        <v>51</v>
      </c>
      <c r="S2977">
        <v>1847</v>
      </c>
      <c r="T2977">
        <v>1913</v>
      </c>
      <c r="U2977" t="s">
        <v>12336</v>
      </c>
      <c r="V2977" t="s">
        <v>12337</v>
      </c>
      <c r="Z2977">
        <v>0</v>
      </c>
      <c r="AA2977">
        <v>1</v>
      </c>
      <c r="AB2977">
        <v>0</v>
      </c>
      <c r="AC2977">
        <v>0</v>
      </c>
      <c r="AF2977">
        <v>1901</v>
      </c>
      <c r="AG2977">
        <v>1906</v>
      </c>
      <c r="AO2977" t="b">
        <v>1</v>
      </c>
      <c r="AP2977" t="s">
        <v>45</v>
      </c>
      <c r="AQ2977">
        <v>1986</v>
      </c>
      <c r="AR2977">
        <v>2016</v>
      </c>
      <c r="AS2977" t="s">
        <v>12338</v>
      </c>
      <c r="AT2977">
        <v>4.59958932238193</v>
      </c>
      <c r="AU2977">
        <f t="shared" si="140"/>
        <v>1.2999999999999999E-2</v>
      </c>
    </row>
    <row r="2978" spans="1:47" x14ac:dyDescent="0.3">
      <c r="A2978">
        <v>2976</v>
      </c>
      <c r="B2978" t="s">
        <v>12339</v>
      </c>
      <c r="C2978" t="s">
        <v>12329</v>
      </c>
      <c r="D2978">
        <v>740</v>
      </c>
      <c r="E2978" t="s">
        <v>12268</v>
      </c>
      <c r="F2978" t="str">
        <f>VLOOKUP(E2978,country_continent!A:C,2,FALSE)</f>
        <v>Japan</v>
      </c>
      <c r="G2978" t="str">
        <f>VLOOKUP(E2978,country_continent!A:C,3,FALSE)</f>
        <v>Asia</v>
      </c>
      <c r="H2978" t="s">
        <v>12330</v>
      </c>
      <c r="I2978" s="1">
        <v>2199</v>
      </c>
      <c r="J2978" s="3">
        <f t="shared" si="138"/>
        <v>2199</v>
      </c>
      <c r="K2978" s="1">
        <v>3118</v>
      </c>
      <c r="L2978" s="3">
        <f t="shared" si="139"/>
        <v>3118</v>
      </c>
      <c r="M2978" t="s">
        <v>49</v>
      </c>
      <c r="N2978" t="s">
        <v>49</v>
      </c>
      <c r="O2978" t="s">
        <v>49</v>
      </c>
      <c r="P2978">
        <v>1</v>
      </c>
      <c r="Q2978" t="s">
        <v>50</v>
      </c>
      <c r="R2978" t="s">
        <v>51</v>
      </c>
      <c r="S2978">
        <v>1849</v>
      </c>
      <c r="T2978">
        <v>1940</v>
      </c>
      <c r="Y2978" t="s">
        <v>12331</v>
      </c>
      <c r="Z2978">
        <v>0</v>
      </c>
      <c r="AA2978">
        <v>1</v>
      </c>
      <c r="AB2978">
        <v>0</v>
      </c>
      <c r="AC2978">
        <v>0</v>
      </c>
      <c r="AF2978">
        <v>1906</v>
      </c>
      <c r="AG2978">
        <v>1908</v>
      </c>
      <c r="AO2978" t="b">
        <v>1</v>
      </c>
      <c r="AP2978" t="s">
        <v>45</v>
      </c>
      <c r="AQ2978">
        <v>1986</v>
      </c>
      <c r="AR2978">
        <v>2016</v>
      </c>
      <c r="AS2978" t="s">
        <v>12340</v>
      </c>
      <c r="AT2978">
        <v>2.5160848733744001</v>
      </c>
      <c r="AU2978">
        <f t="shared" si="140"/>
        <v>7.0000000000000001E-3</v>
      </c>
    </row>
    <row r="2979" spans="1:47" x14ac:dyDescent="0.3">
      <c r="A2979">
        <v>2977</v>
      </c>
      <c r="B2979" t="s">
        <v>12341</v>
      </c>
      <c r="C2979" t="s">
        <v>12334</v>
      </c>
      <c r="D2979">
        <v>740</v>
      </c>
      <c r="E2979" t="s">
        <v>12268</v>
      </c>
      <c r="F2979" t="str">
        <f>VLOOKUP(E2979,country_continent!A:C,2,FALSE)</f>
        <v>Japan</v>
      </c>
      <c r="G2979" t="str">
        <f>VLOOKUP(E2979,country_continent!A:C,3,FALSE)</f>
        <v>Asia</v>
      </c>
      <c r="H2979" t="s">
        <v>12335</v>
      </c>
      <c r="I2979" s="1">
        <v>3118</v>
      </c>
      <c r="J2979" s="3">
        <f t="shared" si="138"/>
        <v>3118</v>
      </c>
      <c r="K2979" s="1">
        <v>4260</v>
      </c>
      <c r="L2979" s="3">
        <f t="shared" si="139"/>
        <v>4260</v>
      </c>
      <c r="M2979" t="s">
        <v>49</v>
      </c>
      <c r="N2979" t="s">
        <v>49</v>
      </c>
      <c r="O2979" t="s">
        <v>49</v>
      </c>
      <c r="P2979">
        <v>1</v>
      </c>
      <c r="Q2979" t="s">
        <v>50</v>
      </c>
      <c r="R2979" t="s">
        <v>51</v>
      </c>
      <c r="S2979">
        <v>1847</v>
      </c>
      <c r="T2979">
        <v>1913</v>
      </c>
      <c r="U2979" t="s">
        <v>12336</v>
      </c>
      <c r="V2979" t="s">
        <v>12337</v>
      </c>
      <c r="Z2979">
        <v>0</v>
      </c>
      <c r="AA2979">
        <v>1</v>
      </c>
      <c r="AB2979">
        <v>0</v>
      </c>
      <c r="AC2979">
        <v>0</v>
      </c>
      <c r="AF2979">
        <v>1908</v>
      </c>
      <c r="AG2979">
        <v>1911</v>
      </c>
      <c r="AO2979" t="b">
        <v>1</v>
      </c>
      <c r="AP2979" t="s">
        <v>45</v>
      </c>
      <c r="AQ2979">
        <v>1986</v>
      </c>
      <c r="AR2979">
        <v>2016</v>
      </c>
      <c r="AS2979" t="s">
        <v>12342</v>
      </c>
      <c r="AT2979">
        <v>3.1266255989048499</v>
      </c>
      <c r="AU2979">
        <f t="shared" si="140"/>
        <v>8.9999999999999993E-3</v>
      </c>
    </row>
    <row r="2980" spans="1:47" x14ac:dyDescent="0.3">
      <c r="A2980">
        <v>2978</v>
      </c>
      <c r="B2980" t="s">
        <v>12343</v>
      </c>
      <c r="C2980" t="s">
        <v>12329</v>
      </c>
      <c r="D2980">
        <v>740</v>
      </c>
      <c r="E2980" t="s">
        <v>12268</v>
      </c>
      <c r="F2980" t="str">
        <f>VLOOKUP(E2980,country_continent!A:C,2,FALSE)</f>
        <v>Japan</v>
      </c>
      <c r="G2980" t="str">
        <f>VLOOKUP(E2980,country_continent!A:C,3,FALSE)</f>
        <v>Asia</v>
      </c>
      <c r="H2980" t="s">
        <v>12330</v>
      </c>
      <c r="I2980" s="1">
        <v>4260</v>
      </c>
      <c r="J2980" s="3">
        <f t="shared" si="138"/>
        <v>4260</v>
      </c>
      <c r="K2980" s="1">
        <v>4739</v>
      </c>
      <c r="L2980" s="3">
        <f t="shared" si="139"/>
        <v>4739</v>
      </c>
      <c r="M2980" t="s">
        <v>49</v>
      </c>
      <c r="N2980" t="s">
        <v>49</v>
      </c>
      <c r="O2980" t="s">
        <v>49</v>
      </c>
      <c r="P2980">
        <v>2</v>
      </c>
      <c r="Q2980" t="s">
        <v>50</v>
      </c>
      <c r="R2980" t="s">
        <v>51</v>
      </c>
      <c r="S2980">
        <v>1849</v>
      </c>
      <c r="T2980">
        <v>1940</v>
      </c>
      <c r="Y2980" t="s">
        <v>12331</v>
      </c>
      <c r="Z2980">
        <v>0</v>
      </c>
      <c r="AA2980">
        <v>1</v>
      </c>
      <c r="AB2980">
        <v>0</v>
      </c>
      <c r="AC2980">
        <v>0</v>
      </c>
      <c r="AF2980">
        <v>1911</v>
      </c>
      <c r="AG2980">
        <v>1912</v>
      </c>
      <c r="AO2980" t="b">
        <v>1</v>
      </c>
      <c r="AP2980" t="s">
        <v>45</v>
      </c>
      <c r="AQ2980">
        <v>1986</v>
      </c>
      <c r="AR2980">
        <v>2016</v>
      </c>
      <c r="AS2980" t="s">
        <v>12344</v>
      </c>
      <c r="AT2980">
        <v>1.3114305270362701</v>
      </c>
      <c r="AU2980">
        <f t="shared" si="140"/>
        <v>4.0000000000000001E-3</v>
      </c>
    </row>
    <row r="2981" spans="1:47" x14ac:dyDescent="0.3">
      <c r="A2981">
        <v>2979</v>
      </c>
      <c r="B2981" t="s">
        <v>12345</v>
      </c>
      <c r="C2981" t="s">
        <v>12334</v>
      </c>
      <c r="D2981">
        <v>740</v>
      </c>
      <c r="E2981" t="s">
        <v>12268</v>
      </c>
      <c r="F2981" t="str">
        <f>VLOOKUP(E2981,country_continent!A:C,2,FALSE)</f>
        <v>Japan</v>
      </c>
      <c r="G2981" t="str">
        <f>VLOOKUP(E2981,country_continent!A:C,3,FALSE)</f>
        <v>Asia</v>
      </c>
      <c r="H2981" t="s">
        <v>12335</v>
      </c>
      <c r="I2981" s="1">
        <v>4739</v>
      </c>
      <c r="J2981" s="3">
        <f t="shared" si="138"/>
        <v>4739</v>
      </c>
      <c r="K2981" s="1">
        <v>4800</v>
      </c>
      <c r="L2981" s="3">
        <f t="shared" si="139"/>
        <v>4800</v>
      </c>
      <c r="M2981" t="s">
        <v>49</v>
      </c>
      <c r="N2981" t="s">
        <v>49</v>
      </c>
      <c r="O2981" t="s">
        <v>49</v>
      </c>
      <c r="P2981">
        <v>2</v>
      </c>
      <c r="Q2981" t="s">
        <v>50</v>
      </c>
      <c r="R2981" t="s">
        <v>51</v>
      </c>
      <c r="S2981">
        <v>1847</v>
      </c>
      <c r="T2981">
        <v>1913</v>
      </c>
      <c r="U2981" t="s">
        <v>12336</v>
      </c>
      <c r="V2981" t="s">
        <v>12337</v>
      </c>
      <c r="W2981" s="1">
        <v>5032</v>
      </c>
      <c r="X2981" s="2">
        <v>5032</v>
      </c>
      <c r="Z2981">
        <v>0</v>
      </c>
      <c r="AA2981">
        <v>1</v>
      </c>
      <c r="AB2981">
        <v>0</v>
      </c>
      <c r="AC2981">
        <v>0</v>
      </c>
      <c r="AF2981">
        <v>1912</v>
      </c>
      <c r="AG2981">
        <v>1913</v>
      </c>
      <c r="AO2981" t="b">
        <v>1</v>
      </c>
      <c r="AP2981" t="s">
        <v>45</v>
      </c>
      <c r="AQ2981">
        <v>1986</v>
      </c>
      <c r="AR2981">
        <v>2016</v>
      </c>
      <c r="AS2981" t="s">
        <v>12346</v>
      </c>
      <c r="AT2981">
        <v>0.167008898015058</v>
      </c>
      <c r="AU2981">
        <f t="shared" si="140"/>
        <v>0</v>
      </c>
    </row>
    <row r="2982" spans="1:47" x14ac:dyDescent="0.3">
      <c r="A2982">
        <v>2980</v>
      </c>
      <c r="B2982" t="s">
        <v>12347</v>
      </c>
      <c r="C2982" t="s">
        <v>12348</v>
      </c>
      <c r="D2982">
        <v>740</v>
      </c>
      <c r="E2982" t="s">
        <v>12268</v>
      </c>
      <c r="F2982" t="str">
        <f>VLOOKUP(E2982,country_continent!A:C,2,FALSE)</f>
        <v>Japan</v>
      </c>
      <c r="G2982" t="str">
        <f>VLOOKUP(E2982,country_continent!A:C,3,FALSE)</f>
        <v>Asia</v>
      </c>
      <c r="H2982" t="s">
        <v>12349</v>
      </c>
      <c r="I2982" s="1">
        <v>4800</v>
      </c>
      <c r="J2982" s="3">
        <f t="shared" si="138"/>
        <v>4800</v>
      </c>
      <c r="K2982" s="1">
        <v>5220</v>
      </c>
      <c r="L2982" s="3">
        <f t="shared" si="139"/>
        <v>5220</v>
      </c>
      <c r="M2982" t="s">
        <v>49</v>
      </c>
      <c r="N2982" t="s">
        <v>49</v>
      </c>
      <c r="O2982" t="s">
        <v>49</v>
      </c>
      <c r="P2982">
        <v>0</v>
      </c>
      <c r="Q2982" t="s">
        <v>50</v>
      </c>
      <c r="R2982" t="s">
        <v>51</v>
      </c>
      <c r="S2982">
        <v>1852</v>
      </c>
      <c r="T2982">
        <v>1933</v>
      </c>
      <c r="Y2982" t="s">
        <v>12350</v>
      </c>
      <c r="Z2982">
        <v>0</v>
      </c>
      <c r="AA2982">
        <v>1</v>
      </c>
      <c r="AB2982">
        <v>0</v>
      </c>
      <c r="AC2982">
        <v>0</v>
      </c>
      <c r="AF2982">
        <v>1913</v>
      </c>
      <c r="AG2982">
        <v>1914</v>
      </c>
      <c r="AO2982" t="b">
        <v>1</v>
      </c>
      <c r="AP2982" t="s">
        <v>45</v>
      </c>
      <c r="AQ2982">
        <v>1986</v>
      </c>
      <c r="AR2982">
        <v>2016</v>
      </c>
      <c r="AS2982" t="s">
        <v>12351</v>
      </c>
      <c r="AT2982">
        <v>1.14989733059548</v>
      </c>
      <c r="AU2982">
        <f t="shared" si="140"/>
        <v>3.0000000000000001E-3</v>
      </c>
    </row>
    <row r="2983" spans="1:47" x14ac:dyDescent="0.3">
      <c r="A2983">
        <v>2981</v>
      </c>
      <c r="B2983" t="s">
        <v>12352</v>
      </c>
      <c r="C2983" t="s">
        <v>12319</v>
      </c>
      <c r="D2983">
        <v>740</v>
      </c>
      <c r="E2983" t="s">
        <v>12268</v>
      </c>
      <c r="F2983" t="str">
        <f>VLOOKUP(E2983,country_continent!A:C,2,FALSE)</f>
        <v>Japan</v>
      </c>
      <c r="G2983" t="str">
        <f>VLOOKUP(E2983,country_continent!A:C,3,FALSE)</f>
        <v>Asia</v>
      </c>
      <c r="H2983" t="s">
        <v>12320</v>
      </c>
      <c r="I2983" s="1">
        <v>5220</v>
      </c>
      <c r="J2983" s="3">
        <f t="shared" si="138"/>
        <v>5220</v>
      </c>
      <c r="K2983" s="1">
        <v>6127</v>
      </c>
      <c r="L2983" s="3">
        <f t="shared" si="139"/>
        <v>6127</v>
      </c>
      <c r="M2983" t="s">
        <v>49</v>
      </c>
      <c r="N2983" t="s">
        <v>49</v>
      </c>
      <c r="O2983" t="s">
        <v>49</v>
      </c>
      <c r="P2983">
        <v>1</v>
      </c>
      <c r="Q2983" t="s">
        <v>50</v>
      </c>
      <c r="R2983" t="s">
        <v>51</v>
      </c>
      <c r="S2983">
        <v>1838</v>
      </c>
      <c r="T2983">
        <v>1922</v>
      </c>
      <c r="Y2983" t="s">
        <v>12321</v>
      </c>
      <c r="Z2983">
        <v>0</v>
      </c>
      <c r="AA2983">
        <v>1</v>
      </c>
      <c r="AB2983">
        <v>0</v>
      </c>
      <c r="AC2983">
        <v>0</v>
      </c>
      <c r="AF2983">
        <v>1914</v>
      </c>
      <c r="AG2983">
        <v>1916</v>
      </c>
      <c r="AO2983" t="b">
        <v>1</v>
      </c>
      <c r="AP2983" t="s">
        <v>45</v>
      </c>
      <c r="AQ2983">
        <v>1986</v>
      </c>
      <c r="AR2983">
        <v>2016</v>
      </c>
      <c r="AS2983" t="s">
        <v>12353</v>
      </c>
      <c r="AT2983">
        <v>2.48323066392881</v>
      </c>
      <c r="AU2983">
        <f t="shared" si="140"/>
        <v>7.0000000000000001E-3</v>
      </c>
    </row>
    <row r="2984" spans="1:47" x14ac:dyDescent="0.3">
      <c r="A2984">
        <v>2982</v>
      </c>
      <c r="B2984" t="s">
        <v>12354</v>
      </c>
      <c r="C2984" t="s">
        <v>12355</v>
      </c>
      <c r="D2984">
        <v>740</v>
      </c>
      <c r="E2984" t="s">
        <v>12268</v>
      </c>
      <c r="F2984" t="str">
        <f>VLOOKUP(E2984,country_continent!A:C,2,FALSE)</f>
        <v>Japan</v>
      </c>
      <c r="G2984" t="str">
        <f>VLOOKUP(E2984,country_continent!A:C,3,FALSE)</f>
        <v>Asia</v>
      </c>
      <c r="H2984" t="s">
        <v>12356</v>
      </c>
      <c r="I2984" s="1">
        <v>6127</v>
      </c>
      <c r="J2984" s="3">
        <f t="shared" si="138"/>
        <v>6127</v>
      </c>
      <c r="K2984" s="1">
        <v>6847</v>
      </c>
      <c r="L2984" s="3">
        <f t="shared" si="139"/>
        <v>6847</v>
      </c>
      <c r="M2984" t="s">
        <v>49</v>
      </c>
      <c r="N2984" t="s">
        <v>49</v>
      </c>
      <c r="O2984" t="s">
        <v>49</v>
      </c>
      <c r="P2984">
        <v>0</v>
      </c>
      <c r="Q2984" t="s">
        <v>50</v>
      </c>
      <c r="R2984" t="s">
        <v>51</v>
      </c>
      <c r="S2984">
        <v>1852</v>
      </c>
      <c r="T2984">
        <v>1919</v>
      </c>
      <c r="Y2984" t="s">
        <v>12357</v>
      </c>
      <c r="Z2984">
        <v>0</v>
      </c>
      <c r="AA2984">
        <v>1</v>
      </c>
      <c r="AB2984">
        <v>0</v>
      </c>
      <c r="AC2984">
        <v>0</v>
      </c>
      <c r="AF2984">
        <v>1916</v>
      </c>
      <c r="AG2984">
        <v>1918</v>
      </c>
      <c r="AO2984" t="b">
        <v>1</v>
      </c>
      <c r="AP2984" t="s">
        <v>45</v>
      </c>
      <c r="AQ2984">
        <v>1986</v>
      </c>
      <c r="AR2984">
        <v>2016</v>
      </c>
      <c r="AS2984" t="s">
        <v>12358</v>
      </c>
      <c r="AT2984">
        <v>1.97125256673511</v>
      </c>
      <c r="AU2984">
        <f t="shared" si="140"/>
        <v>5.0000000000000001E-3</v>
      </c>
    </row>
    <row r="2985" spans="1:47" x14ac:dyDescent="0.3">
      <c r="A2985">
        <v>2983</v>
      </c>
      <c r="B2985" t="s">
        <v>12359</v>
      </c>
      <c r="C2985" t="s">
        <v>12360</v>
      </c>
      <c r="D2985">
        <v>740</v>
      </c>
      <c r="E2985" t="s">
        <v>12268</v>
      </c>
      <c r="F2985" t="str">
        <f>VLOOKUP(E2985,country_continent!A:C,2,FALSE)</f>
        <v>Japan</v>
      </c>
      <c r="G2985" t="str">
        <f>VLOOKUP(E2985,country_continent!A:C,3,FALSE)</f>
        <v>Asia</v>
      </c>
      <c r="H2985" t="s">
        <v>12361</v>
      </c>
      <c r="I2985" s="1">
        <v>6847</v>
      </c>
      <c r="J2985" s="3">
        <f t="shared" si="138"/>
        <v>6847</v>
      </c>
      <c r="K2985" s="1">
        <v>7979</v>
      </c>
      <c r="L2985" s="3">
        <f t="shared" si="139"/>
        <v>7979</v>
      </c>
      <c r="M2985" t="s">
        <v>49</v>
      </c>
      <c r="N2985" t="s">
        <v>67</v>
      </c>
      <c r="O2985" t="s">
        <v>68</v>
      </c>
      <c r="P2985">
        <v>0</v>
      </c>
      <c r="Q2985" t="s">
        <v>69</v>
      </c>
      <c r="R2985" t="s">
        <v>51</v>
      </c>
      <c r="S2985">
        <v>1856</v>
      </c>
      <c r="T2985">
        <v>1921</v>
      </c>
      <c r="U2985" t="s">
        <v>12362</v>
      </c>
      <c r="V2985" t="s">
        <v>12363</v>
      </c>
      <c r="Y2985" t="s">
        <v>12364</v>
      </c>
      <c r="Z2985">
        <v>0</v>
      </c>
      <c r="AA2985">
        <v>3</v>
      </c>
      <c r="AB2985">
        <v>11</v>
      </c>
      <c r="AC2985">
        <v>3</v>
      </c>
      <c r="AF2985">
        <v>1918</v>
      </c>
      <c r="AG2985">
        <v>1921</v>
      </c>
      <c r="AO2985" t="b">
        <v>1</v>
      </c>
      <c r="AP2985" t="s">
        <v>45</v>
      </c>
      <c r="AQ2985">
        <v>1986</v>
      </c>
      <c r="AR2985">
        <v>2016</v>
      </c>
      <c r="AS2985" t="s">
        <v>12365</v>
      </c>
      <c r="AT2985">
        <v>3.0992470910335301</v>
      </c>
      <c r="AU2985">
        <f t="shared" si="140"/>
        <v>8.0000000000000002E-3</v>
      </c>
    </row>
    <row r="2986" spans="1:47" x14ac:dyDescent="0.3">
      <c r="A2986">
        <v>2984</v>
      </c>
      <c r="B2986" t="s">
        <v>12366</v>
      </c>
      <c r="C2986" t="s">
        <v>12367</v>
      </c>
      <c r="D2986">
        <v>740</v>
      </c>
      <c r="E2986" t="s">
        <v>12268</v>
      </c>
      <c r="F2986" t="str">
        <f>VLOOKUP(E2986,country_continent!A:C,2,FALSE)</f>
        <v>Japan</v>
      </c>
      <c r="G2986" t="str">
        <f>VLOOKUP(E2986,country_continent!A:C,3,FALSE)</f>
        <v>Asia</v>
      </c>
      <c r="H2986" t="s">
        <v>12368</v>
      </c>
      <c r="I2986" s="1">
        <v>7979</v>
      </c>
      <c r="J2986" s="3">
        <f t="shared" si="138"/>
        <v>7979</v>
      </c>
      <c r="K2986" s="1">
        <v>7988</v>
      </c>
      <c r="L2986" s="3">
        <f t="shared" si="139"/>
        <v>7988</v>
      </c>
      <c r="M2986" t="s">
        <v>49</v>
      </c>
      <c r="N2986" t="s">
        <v>49</v>
      </c>
      <c r="O2986" t="s">
        <v>49</v>
      </c>
      <c r="P2986">
        <v>0</v>
      </c>
      <c r="Q2986" t="s">
        <v>50</v>
      </c>
      <c r="R2986" t="s">
        <v>51</v>
      </c>
      <c r="S2986">
        <v>1865</v>
      </c>
      <c r="T2986">
        <v>1936</v>
      </c>
      <c r="Z2986">
        <v>0</v>
      </c>
      <c r="AA2986">
        <v>1</v>
      </c>
      <c r="AB2986">
        <v>0</v>
      </c>
      <c r="AC2986">
        <v>0</v>
      </c>
      <c r="AF2986">
        <v>1921</v>
      </c>
      <c r="AG2986">
        <v>1921</v>
      </c>
      <c r="AO2986" t="b">
        <v>1</v>
      </c>
      <c r="AP2986" t="s">
        <v>45</v>
      </c>
      <c r="AQ2986">
        <v>1986</v>
      </c>
      <c r="AR2986">
        <v>2016</v>
      </c>
      <c r="AS2986" t="s">
        <v>12369</v>
      </c>
      <c r="AT2986">
        <v>2.4640657084188899E-2</v>
      </c>
      <c r="AU2986">
        <f t="shared" si="140"/>
        <v>0</v>
      </c>
    </row>
    <row r="2987" spans="1:47" x14ac:dyDescent="0.3">
      <c r="A2987">
        <v>2985</v>
      </c>
      <c r="B2987" t="s">
        <v>12370</v>
      </c>
      <c r="C2987" t="s">
        <v>12371</v>
      </c>
      <c r="D2987">
        <v>740</v>
      </c>
      <c r="E2987" t="s">
        <v>12268</v>
      </c>
      <c r="F2987" t="str">
        <f>VLOOKUP(E2987,country_continent!A:C,2,FALSE)</f>
        <v>Japan</v>
      </c>
      <c r="G2987" t="str">
        <f>VLOOKUP(E2987,country_continent!A:C,3,FALSE)</f>
        <v>Asia</v>
      </c>
      <c r="H2987" t="s">
        <v>12372</v>
      </c>
      <c r="I2987" s="1">
        <v>7988</v>
      </c>
      <c r="J2987" s="3">
        <f t="shared" si="138"/>
        <v>7988</v>
      </c>
      <c r="K2987" s="1">
        <v>8198</v>
      </c>
      <c r="L2987" s="3">
        <f t="shared" si="139"/>
        <v>8198</v>
      </c>
      <c r="M2987" t="s">
        <v>49</v>
      </c>
      <c r="N2987" t="s">
        <v>49</v>
      </c>
      <c r="O2987" t="s">
        <v>49</v>
      </c>
      <c r="P2987">
        <v>0</v>
      </c>
      <c r="Q2987" t="s">
        <v>50</v>
      </c>
      <c r="R2987" t="s">
        <v>51</v>
      </c>
      <c r="S2987">
        <v>1854</v>
      </c>
      <c r="T2987">
        <v>1936</v>
      </c>
      <c r="Y2987" t="s">
        <v>12373</v>
      </c>
      <c r="Z2987">
        <v>0</v>
      </c>
      <c r="AA2987">
        <v>1</v>
      </c>
      <c r="AB2987">
        <v>0</v>
      </c>
      <c r="AC2987">
        <v>0</v>
      </c>
      <c r="AF2987">
        <v>1921</v>
      </c>
      <c r="AG2987">
        <v>1922</v>
      </c>
      <c r="AO2987" t="b">
        <v>1</v>
      </c>
      <c r="AP2987" t="s">
        <v>45</v>
      </c>
      <c r="AQ2987">
        <v>1986</v>
      </c>
      <c r="AR2987">
        <v>2016</v>
      </c>
      <c r="AS2987" t="s">
        <v>12374</v>
      </c>
      <c r="AT2987">
        <v>0.57494866529774102</v>
      </c>
      <c r="AU2987">
        <f t="shared" si="140"/>
        <v>2E-3</v>
      </c>
    </row>
    <row r="2988" spans="1:47" x14ac:dyDescent="0.3">
      <c r="A2988">
        <v>2986</v>
      </c>
      <c r="B2988" t="s">
        <v>12375</v>
      </c>
      <c r="C2988" t="s">
        <v>12376</v>
      </c>
      <c r="D2988">
        <v>740</v>
      </c>
      <c r="E2988" t="s">
        <v>12268</v>
      </c>
      <c r="F2988" t="str">
        <f>VLOOKUP(E2988,country_continent!A:C,2,FALSE)</f>
        <v>Japan</v>
      </c>
      <c r="G2988" t="str">
        <f>VLOOKUP(E2988,country_continent!A:C,3,FALSE)</f>
        <v>Asia</v>
      </c>
      <c r="H2988" t="s">
        <v>12377</v>
      </c>
      <c r="I2988" s="1">
        <v>8198</v>
      </c>
      <c r="J2988" s="3">
        <f t="shared" si="138"/>
        <v>8198</v>
      </c>
      <c r="K2988" s="1">
        <v>8637</v>
      </c>
      <c r="L2988" s="3">
        <f t="shared" si="139"/>
        <v>8637</v>
      </c>
      <c r="M2988" t="s">
        <v>49</v>
      </c>
      <c r="N2988" t="s">
        <v>110</v>
      </c>
      <c r="O2988" t="s">
        <v>49</v>
      </c>
      <c r="P2988">
        <v>0</v>
      </c>
      <c r="Q2988" t="s">
        <v>111</v>
      </c>
      <c r="R2988" t="s">
        <v>51</v>
      </c>
      <c r="S2988">
        <v>1859</v>
      </c>
      <c r="T2988">
        <v>1923</v>
      </c>
      <c r="Z2988">
        <v>0</v>
      </c>
      <c r="AA2988">
        <v>2</v>
      </c>
      <c r="AB2988">
        <v>0</v>
      </c>
      <c r="AC2988">
        <v>-777</v>
      </c>
      <c r="AF2988">
        <v>1922</v>
      </c>
      <c r="AG2988">
        <v>1923</v>
      </c>
      <c r="AO2988" t="b">
        <v>1</v>
      </c>
      <c r="AP2988" t="s">
        <v>45</v>
      </c>
      <c r="AQ2988">
        <v>1986</v>
      </c>
      <c r="AR2988">
        <v>2016</v>
      </c>
      <c r="AS2988" t="s">
        <v>12378</v>
      </c>
      <c r="AT2988">
        <v>1.20191649555099</v>
      </c>
      <c r="AU2988">
        <f t="shared" si="140"/>
        <v>3.0000000000000001E-3</v>
      </c>
    </row>
    <row r="2989" spans="1:47" x14ac:dyDescent="0.3">
      <c r="A2989">
        <v>2987</v>
      </c>
      <c r="B2989" t="s">
        <v>12379</v>
      </c>
      <c r="C2989" t="s">
        <v>12367</v>
      </c>
      <c r="D2989">
        <v>740</v>
      </c>
      <c r="E2989" t="s">
        <v>12268</v>
      </c>
      <c r="F2989" t="str">
        <f>VLOOKUP(E2989,country_continent!A:C,2,FALSE)</f>
        <v>Japan</v>
      </c>
      <c r="G2989" t="str">
        <f>VLOOKUP(E2989,country_continent!A:C,3,FALSE)</f>
        <v>Asia</v>
      </c>
      <c r="H2989" t="s">
        <v>12368</v>
      </c>
      <c r="I2989" s="1">
        <v>8637</v>
      </c>
      <c r="J2989" s="3">
        <f t="shared" si="138"/>
        <v>8637</v>
      </c>
      <c r="K2989" s="1">
        <v>8656</v>
      </c>
      <c r="L2989" s="3">
        <f t="shared" si="139"/>
        <v>8656</v>
      </c>
      <c r="M2989" t="s">
        <v>49</v>
      </c>
      <c r="N2989" t="s">
        <v>49</v>
      </c>
      <c r="O2989" t="s">
        <v>49</v>
      </c>
      <c r="P2989">
        <v>1</v>
      </c>
      <c r="Q2989" t="s">
        <v>50</v>
      </c>
      <c r="R2989" t="s">
        <v>51</v>
      </c>
      <c r="S2989">
        <v>1865</v>
      </c>
      <c r="T2989">
        <v>1936</v>
      </c>
      <c r="Z2989">
        <v>0</v>
      </c>
      <c r="AA2989">
        <v>1</v>
      </c>
      <c r="AB2989">
        <v>0</v>
      </c>
      <c r="AC2989">
        <v>0</v>
      </c>
      <c r="AF2989">
        <v>1923</v>
      </c>
      <c r="AG2989">
        <v>1923</v>
      </c>
      <c r="AO2989" t="b">
        <v>1</v>
      </c>
      <c r="AP2989" t="s">
        <v>45</v>
      </c>
      <c r="AQ2989">
        <v>1986</v>
      </c>
      <c r="AR2989">
        <v>2016</v>
      </c>
      <c r="AS2989" t="s">
        <v>12380</v>
      </c>
      <c r="AT2989">
        <v>5.20191649555099E-2</v>
      </c>
      <c r="AU2989">
        <f t="shared" si="140"/>
        <v>0</v>
      </c>
    </row>
    <row r="2990" spans="1:47" x14ac:dyDescent="0.3">
      <c r="A2990">
        <v>2988</v>
      </c>
      <c r="B2990" t="s">
        <v>12381</v>
      </c>
      <c r="C2990" t="s">
        <v>12348</v>
      </c>
      <c r="D2990">
        <v>740</v>
      </c>
      <c r="E2990" t="s">
        <v>12268</v>
      </c>
      <c r="F2990" t="str">
        <f>VLOOKUP(E2990,country_continent!A:C,2,FALSE)</f>
        <v>Japan</v>
      </c>
      <c r="G2990" t="str">
        <f>VLOOKUP(E2990,country_continent!A:C,3,FALSE)</f>
        <v>Asia</v>
      </c>
      <c r="H2990" t="s">
        <v>12349</v>
      </c>
      <c r="I2990" s="1">
        <v>8656</v>
      </c>
      <c r="J2990" s="3">
        <f t="shared" si="138"/>
        <v>8656</v>
      </c>
      <c r="K2990" s="1">
        <v>8764</v>
      </c>
      <c r="L2990" s="3">
        <f t="shared" si="139"/>
        <v>8764</v>
      </c>
      <c r="M2990" t="s">
        <v>49</v>
      </c>
      <c r="N2990" t="s">
        <v>49</v>
      </c>
      <c r="O2990" t="s">
        <v>49</v>
      </c>
      <c r="P2990">
        <v>1</v>
      </c>
      <c r="Q2990" t="s">
        <v>50</v>
      </c>
      <c r="R2990" t="s">
        <v>51</v>
      </c>
      <c r="S2990">
        <v>1852</v>
      </c>
      <c r="T2990">
        <v>1933</v>
      </c>
      <c r="Y2990" t="s">
        <v>12350</v>
      </c>
      <c r="Z2990">
        <v>0</v>
      </c>
      <c r="AA2990">
        <v>1</v>
      </c>
      <c r="AB2990">
        <v>0</v>
      </c>
      <c r="AC2990">
        <v>0</v>
      </c>
      <c r="AF2990">
        <v>1923</v>
      </c>
      <c r="AG2990">
        <v>1923</v>
      </c>
      <c r="AO2990" t="b">
        <v>1</v>
      </c>
      <c r="AP2990" t="s">
        <v>45</v>
      </c>
      <c r="AQ2990">
        <v>1986</v>
      </c>
      <c r="AR2990">
        <v>2016</v>
      </c>
      <c r="AS2990" t="s">
        <v>12382</v>
      </c>
      <c r="AT2990">
        <v>0.29568788501026599</v>
      </c>
      <c r="AU2990">
        <f t="shared" si="140"/>
        <v>1E-3</v>
      </c>
    </row>
    <row r="2991" spans="1:47" x14ac:dyDescent="0.3">
      <c r="A2991">
        <v>2989</v>
      </c>
      <c r="B2991" t="s">
        <v>12383</v>
      </c>
      <c r="C2991" t="s">
        <v>12384</v>
      </c>
      <c r="D2991">
        <v>740</v>
      </c>
      <c r="E2991" t="s">
        <v>12268</v>
      </c>
      <c r="F2991" t="str">
        <f>VLOOKUP(E2991,country_continent!A:C,2,FALSE)</f>
        <v>Japan</v>
      </c>
      <c r="G2991" t="str">
        <f>VLOOKUP(E2991,country_continent!A:C,3,FALSE)</f>
        <v>Asia</v>
      </c>
      <c r="H2991" t="s">
        <v>12385</v>
      </c>
      <c r="I2991" s="1">
        <v>8764</v>
      </c>
      <c r="J2991" s="3">
        <f t="shared" si="138"/>
        <v>8764</v>
      </c>
      <c r="K2991" s="1">
        <v>8929</v>
      </c>
      <c r="L2991" s="3">
        <f t="shared" si="139"/>
        <v>8929</v>
      </c>
      <c r="M2991" t="s">
        <v>49</v>
      </c>
      <c r="N2991" t="s">
        <v>49</v>
      </c>
      <c r="O2991" t="s">
        <v>49</v>
      </c>
      <c r="P2991">
        <v>0</v>
      </c>
      <c r="Q2991" t="s">
        <v>50</v>
      </c>
      <c r="R2991" t="s">
        <v>51</v>
      </c>
      <c r="S2991">
        <v>1850</v>
      </c>
      <c r="T2991">
        <v>1942</v>
      </c>
      <c r="Y2991" t="s">
        <v>12386</v>
      </c>
      <c r="Z2991">
        <v>0</v>
      </c>
      <c r="AA2991">
        <v>1</v>
      </c>
      <c r="AB2991">
        <v>0</v>
      </c>
      <c r="AC2991">
        <v>0</v>
      </c>
      <c r="AF2991">
        <v>1923</v>
      </c>
      <c r="AG2991">
        <v>1924</v>
      </c>
      <c r="AO2991" t="b">
        <v>1</v>
      </c>
      <c r="AP2991" t="s">
        <v>45</v>
      </c>
      <c r="AQ2991">
        <v>1986</v>
      </c>
      <c r="AR2991">
        <v>2016</v>
      </c>
      <c r="AS2991" t="s">
        <v>12387</v>
      </c>
      <c r="AT2991">
        <v>0.45174537987679603</v>
      </c>
      <c r="AU2991">
        <f t="shared" si="140"/>
        <v>1E-3</v>
      </c>
    </row>
    <row r="2992" spans="1:47" x14ac:dyDescent="0.3">
      <c r="A2992">
        <v>2990</v>
      </c>
      <c r="B2992" t="s">
        <v>12388</v>
      </c>
      <c r="C2992" t="s">
        <v>12389</v>
      </c>
      <c r="D2992">
        <v>740</v>
      </c>
      <c r="E2992" t="s">
        <v>12268</v>
      </c>
      <c r="F2992" t="str">
        <f>VLOOKUP(E2992,country_continent!A:C,2,FALSE)</f>
        <v>Japan</v>
      </c>
      <c r="G2992" t="str">
        <f>VLOOKUP(E2992,country_continent!A:C,3,FALSE)</f>
        <v>Asia</v>
      </c>
      <c r="H2992" t="s">
        <v>12390</v>
      </c>
      <c r="I2992" s="1">
        <v>8929</v>
      </c>
      <c r="J2992" s="3">
        <f t="shared" si="138"/>
        <v>8929</v>
      </c>
      <c r="K2992" s="1">
        <v>9525</v>
      </c>
      <c r="L2992" s="3">
        <f t="shared" si="139"/>
        <v>9525</v>
      </c>
      <c r="M2992" t="s">
        <v>49</v>
      </c>
      <c r="N2992" t="s">
        <v>110</v>
      </c>
      <c r="O2992" t="s">
        <v>49</v>
      </c>
      <c r="P2992">
        <v>0</v>
      </c>
      <c r="Q2992" t="s">
        <v>111</v>
      </c>
      <c r="R2992" t="s">
        <v>51</v>
      </c>
      <c r="S2992">
        <v>1860</v>
      </c>
      <c r="T2992">
        <v>1926</v>
      </c>
      <c r="U2992" t="s">
        <v>12391</v>
      </c>
      <c r="V2992" t="s">
        <v>12392</v>
      </c>
      <c r="Y2992" t="s">
        <v>12393</v>
      </c>
      <c r="Z2992">
        <v>0</v>
      </c>
      <c r="AA2992">
        <v>2</v>
      </c>
      <c r="AB2992">
        <v>0</v>
      </c>
      <c r="AC2992">
        <v>-777</v>
      </c>
      <c r="AF2992">
        <v>1924</v>
      </c>
      <c r="AG2992">
        <v>1926</v>
      </c>
      <c r="AO2992" t="b">
        <v>1</v>
      </c>
      <c r="AP2992" t="s">
        <v>45</v>
      </c>
      <c r="AQ2992">
        <v>1986</v>
      </c>
      <c r="AR2992">
        <v>2016</v>
      </c>
      <c r="AS2992" t="s">
        <v>12394</v>
      </c>
      <c r="AT2992">
        <v>1.63175906913073</v>
      </c>
      <c r="AU2992">
        <f t="shared" si="140"/>
        <v>4.0000000000000001E-3</v>
      </c>
    </row>
    <row r="2993" spans="1:47" x14ac:dyDescent="0.3">
      <c r="A2993">
        <v>2991</v>
      </c>
      <c r="B2993" t="s">
        <v>12395</v>
      </c>
      <c r="C2993" t="s">
        <v>12396</v>
      </c>
      <c r="D2993">
        <v>740</v>
      </c>
      <c r="E2993" t="s">
        <v>12268</v>
      </c>
      <c r="F2993" t="str">
        <f>VLOOKUP(E2993,country_continent!A:C,2,FALSE)</f>
        <v>Japan</v>
      </c>
      <c r="G2993" t="str">
        <f>VLOOKUP(E2993,country_continent!A:C,3,FALSE)</f>
        <v>Asia</v>
      </c>
      <c r="H2993" t="s">
        <v>12397</v>
      </c>
      <c r="I2993" s="1">
        <v>9526</v>
      </c>
      <c r="J2993" s="3">
        <f t="shared" si="138"/>
        <v>9526</v>
      </c>
      <c r="K2993" s="1">
        <v>9969</v>
      </c>
      <c r="L2993" s="3">
        <f t="shared" si="139"/>
        <v>9969</v>
      </c>
      <c r="M2993" t="s">
        <v>49</v>
      </c>
      <c r="N2993" t="s">
        <v>49</v>
      </c>
      <c r="O2993" t="s">
        <v>49</v>
      </c>
      <c r="P2993">
        <v>0</v>
      </c>
      <c r="Q2993" t="s">
        <v>50</v>
      </c>
      <c r="R2993" t="s">
        <v>51</v>
      </c>
      <c r="S2993">
        <v>1866</v>
      </c>
      <c r="T2993">
        <v>1949</v>
      </c>
      <c r="U2993" t="s">
        <v>12398</v>
      </c>
      <c r="V2993" t="s">
        <v>12399</v>
      </c>
      <c r="Y2993" t="s">
        <v>12400</v>
      </c>
      <c r="Z2993">
        <v>0</v>
      </c>
      <c r="AA2993">
        <v>1</v>
      </c>
      <c r="AB2993">
        <v>0</v>
      </c>
      <c r="AC2993">
        <v>0</v>
      </c>
      <c r="AF2993">
        <v>1926</v>
      </c>
      <c r="AG2993">
        <v>1927</v>
      </c>
      <c r="AO2993" t="b">
        <v>1</v>
      </c>
      <c r="AP2993" t="s">
        <v>45</v>
      </c>
      <c r="AQ2993">
        <v>1986</v>
      </c>
      <c r="AR2993">
        <v>2016</v>
      </c>
      <c r="AS2993" t="s">
        <v>12401</v>
      </c>
      <c r="AT2993">
        <v>1.2128678986995201</v>
      </c>
      <c r="AU2993">
        <f t="shared" si="140"/>
        <v>3.0000000000000001E-3</v>
      </c>
    </row>
    <row r="2994" spans="1:47" x14ac:dyDescent="0.3">
      <c r="A2994">
        <v>2992</v>
      </c>
      <c r="B2994" t="s">
        <v>12402</v>
      </c>
      <c r="C2994" t="s">
        <v>12403</v>
      </c>
      <c r="D2994">
        <v>740</v>
      </c>
      <c r="E2994" t="s">
        <v>12268</v>
      </c>
      <c r="F2994" t="str">
        <f>VLOOKUP(E2994,country_continent!A:C,2,FALSE)</f>
        <v>Japan</v>
      </c>
      <c r="G2994" t="str">
        <f>VLOOKUP(E2994,country_continent!A:C,3,FALSE)</f>
        <v>Asia</v>
      </c>
      <c r="H2994" t="s">
        <v>12404</v>
      </c>
      <c r="I2994" s="1">
        <v>9969</v>
      </c>
      <c r="J2994" s="3">
        <f t="shared" si="138"/>
        <v>9969</v>
      </c>
      <c r="K2994" s="1">
        <v>10776</v>
      </c>
      <c r="L2994" s="3">
        <f t="shared" si="139"/>
        <v>10776</v>
      </c>
      <c r="M2994" t="s">
        <v>49</v>
      </c>
      <c r="N2994" t="s">
        <v>49</v>
      </c>
      <c r="O2994" t="s">
        <v>49</v>
      </c>
      <c r="P2994">
        <v>0</v>
      </c>
      <c r="Q2994" t="s">
        <v>50</v>
      </c>
      <c r="R2994" t="s">
        <v>51</v>
      </c>
      <c r="S2994">
        <v>1864</v>
      </c>
      <c r="T2994">
        <v>1929</v>
      </c>
      <c r="Y2994" t="s">
        <v>12405</v>
      </c>
      <c r="Z2994">
        <v>0</v>
      </c>
      <c r="AA2994">
        <v>1</v>
      </c>
      <c r="AB2994">
        <v>0</v>
      </c>
      <c r="AC2994">
        <v>0</v>
      </c>
      <c r="AF2994">
        <v>1927</v>
      </c>
      <c r="AG2994">
        <v>1929</v>
      </c>
      <c r="AO2994" t="b">
        <v>1</v>
      </c>
      <c r="AP2994" t="s">
        <v>45</v>
      </c>
      <c r="AQ2994">
        <v>1986</v>
      </c>
      <c r="AR2994">
        <v>2016</v>
      </c>
      <c r="AS2994" t="s">
        <v>12406</v>
      </c>
      <c r="AT2994">
        <v>2.2094455852156001</v>
      </c>
      <c r="AU2994">
        <f t="shared" si="140"/>
        <v>6.0000000000000001E-3</v>
      </c>
    </row>
    <row r="2995" spans="1:47" x14ac:dyDescent="0.3">
      <c r="A2995">
        <v>2993</v>
      </c>
      <c r="B2995" t="s">
        <v>12407</v>
      </c>
      <c r="C2995" t="s">
        <v>12408</v>
      </c>
      <c r="D2995">
        <v>740</v>
      </c>
      <c r="E2995" t="s">
        <v>12268</v>
      </c>
      <c r="F2995" t="str">
        <f>VLOOKUP(E2995,country_continent!A:C,2,FALSE)</f>
        <v>Japan</v>
      </c>
      <c r="G2995" t="str">
        <f>VLOOKUP(E2995,country_continent!A:C,3,FALSE)</f>
        <v>Asia</v>
      </c>
      <c r="H2995" t="s">
        <v>12409</v>
      </c>
      <c r="I2995" s="1">
        <v>10776</v>
      </c>
      <c r="J2995" s="3">
        <f t="shared" si="138"/>
        <v>10776</v>
      </c>
      <c r="K2995" s="1">
        <v>11276</v>
      </c>
      <c r="L2995" s="3">
        <f t="shared" si="139"/>
        <v>11276</v>
      </c>
      <c r="M2995" t="s">
        <v>49</v>
      </c>
      <c r="N2995" t="s">
        <v>67</v>
      </c>
      <c r="O2995" t="s">
        <v>68</v>
      </c>
      <c r="P2995">
        <v>0</v>
      </c>
      <c r="Q2995" t="s">
        <v>69</v>
      </c>
      <c r="R2995" t="s">
        <v>51</v>
      </c>
      <c r="S2995">
        <v>1870</v>
      </c>
      <c r="T2995">
        <v>1931</v>
      </c>
      <c r="W2995" s="1">
        <v>11560</v>
      </c>
      <c r="X2995" s="2">
        <v>11560</v>
      </c>
      <c r="Y2995" t="s">
        <v>12410</v>
      </c>
      <c r="Z2995">
        <v>0</v>
      </c>
      <c r="AA2995">
        <v>3</v>
      </c>
      <c r="AB2995">
        <v>11</v>
      </c>
      <c r="AC2995">
        <v>3</v>
      </c>
      <c r="AF2995">
        <v>1929</v>
      </c>
      <c r="AG2995">
        <v>1930</v>
      </c>
      <c r="AO2995" t="b">
        <v>1</v>
      </c>
      <c r="AP2995" t="s">
        <v>45</v>
      </c>
      <c r="AQ2995">
        <v>1986</v>
      </c>
      <c r="AR2995">
        <v>2016</v>
      </c>
      <c r="AS2995" t="s">
        <v>12411</v>
      </c>
      <c r="AT2995">
        <v>1.3689253935660499</v>
      </c>
      <c r="AU2995">
        <f t="shared" si="140"/>
        <v>4.0000000000000001E-3</v>
      </c>
    </row>
    <row r="2996" spans="1:47" x14ac:dyDescent="0.3">
      <c r="A2996">
        <v>2994</v>
      </c>
      <c r="B2996" t="s">
        <v>12412</v>
      </c>
      <c r="C2996" t="s">
        <v>12413</v>
      </c>
      <c r="D2996">
        <v>740</v>
      </c>
      <c r="E2996" t="s">
        <v>12268</v>
      </c>
      <c r="F2996" t="str">
        <f>VLOOKUP(E2996,country_continent!A:C,2,FALSE)</f>
        <v>Japan</v>
      </c>
      <c r="G2996" t="str">
        <f>VLOOKUP(E2996,country_continent!A:C,3,FALSE)</f>
        <v>Asia</v>
      </c>
      <c r="H2996" t="s">
        <v>12414</v>
      </c>
      <c r="I2996" s="1">
        <v>11276</v>
      </c>
      <c r="J2996" s="3">
        <f t="shared" si="138"/>
        <v>11276</v>
      </c>
      <c r="K2996" s="1">
        <v>11426</v>
      </c>
      <c r="L2996" s="3">
        <f t="shared" si="139"/>
        <v>11426</v>
      </c>
      <c r="M2996" t="s">
        <v>49</v>
      </c>
      <c r="N2996" t="s">
        <v>49</v>
      </c>
      <c r="O2996" t="s">
        <v>49</v>
      </c>
      <c r="P2996">
        <v>0</v>
      </c>
      <c r="Q2996" t="s">
        <v>50</v>
      </c>
      <c r="R2996" t="s">
        <v>51</v>
      </c>
      <c r="S2996">
        <v>1872</v>
      </c>
      <c r="T2996">
        <v>1951</v>
      </c>
      <c r="U2996" t="s">
        <v>12415</v>
      </c>
      <c r="V2996" t="s">
        <v>12416</v>
      </c>
      <c r="W2996" s="1">
        <v>18697</v>
      </c>
      <c r="X2996" s="2">
        <v>18697</v>
      </c>
      <c r="Y2996" t="s">
        <v>12417</v>
      </c>
      <c r="Z2996">
        <v>0</v>
      </c>
      <c r="AA2996">
        <v>1</v>
      </c>
      <c r="AB2996">
        <v>0</v>
      </c>
      <c r="AC2996">
        <v>0</v>
      </c>
      <c r="AF2996">
        <v>1930</v>
      </c>
      <c r="AG2996">
        <v>1931</v>
      </c>
      <c r="AO2996" t="b">
        <v>1</v>
      </c>
      <c r="AP2996" t="s">
        <v>45</v>
      </c>
      <c r="AQ2996">
        <v>1986</v>
      </c>
      <c r="AR2996">
        <v>2016</v>
      </c>
      <c r="AS2996" t="s">
        <v>12418</v>
      </c>
      <c r="AT2996">
        <v>0.41067761806981501</v>
      </c>
      <c r="AU2996">
        <f t="shared" si="140"/>
        <v>1E-3</v>
      </c>
    </row>
    <row r="2997" spans="1:47" x14ac:dyDescent="0.3">
      <c r="A2997">
        <v>2995</v>
      </c>
      <c r="B2997" t="s">
        <v>12419</v>
      </c>
      <c r="C2997" t="s">
        <v>12396</v>
      </c>
      <c r="D2997">
        <v>740</v>
      </c>
      <c r="E2997" t="s">
        <v>12268</v>
      </c>
      <c r="F2997" t="str">
        <f>VLOOKUP(E2997,country_continent!A:C,2,FALSE)</f>
        <v>Japan</v>
      </c>
      <c r="G2997" t="str">
        <f>VLOOKUP(E2997,country_continent!A:C,3,FALSE)</f>
        <v>Asia</v>
      </c>
      <c r="H2997" t="s">
        <v>12397</v>
      </c>
      <c r="I2997" s="1">
        <v>11426</v>
      </c>
      <c r="J2997" s="3">
        <f t="shared" si="138"/>
        <v>11426</v>
      </c>
      <c r="K2997" s="1">
        <v>11668</v>
      </c>
      <c r="L2997" s="3">
        <f t="shared" si="139"/>
        <v>11668</v>
      </c>
      <c r="M2997" t="s">
        <v>49</v>
      </c>
      <c r="N2997" t="s">
        <v>49</v>
      </c>
      <c r="O2997" t="s">
        <v>49</v>
      </c>
      <c r="P2997">
        <v>1</v>
      </c>
      <c r="Q2997" t="s">
        <v>50</v>
      </c>
      <c r="R2997" t="s">
        <v>51</v>
      </c>
      <c r="S2997">
        <v>1866</v>
      </c>
      <c r="T2997">
        <v>1949</v>
      </c>
      <c r="U2997" t="s">
        <v>12398</v>
      </c>
      <c r="V2997" t="s">
        <v>12399</v>
      </c>
      <c r="Y2997" t="s">
        <v>12400</v>
      </c>
      <c r="Z2997">
        <v>0</v>
      </c>
      <c r="AA2997">
        <v>1</v>
      </c>
      <c r="AB2997">
        <v>0</v>
      </c>
      <c r="AC2997">
        <v>0</v>
      </c>
      <c r="AF2997">
        <v>1931</v>
      </c>
      <c r="AG2997">
        <v>1931</v>
      </c>
      <c r="AO2997" t="b">
        <v>1</v>
      </c>
      <c r="AP2997" t="s">
        <v>45</v>
      </c>
      <c r="AQ2997">
        <v>1986</v>
      </c>
      <c r="AR2997">
        <v>2016</v>
      </c>
      <c r="AS2997" t="s">
        <v>12420</v>
      </c>
      <c r="AT2997">
        <v>0.66255989048596797</v>
      </c>
      <c r="AU2997">
        <f t="shared" si="140"/>
        <v>2E-3</v>
      </c>
    </row>
    <row r="2998" spans="1:47" x14ac:dyDescent="0.3">
      <c r="A2998">
        <v>2996</v>
      </c>
      <c r="B2998" t="s">
        <v>12421</v>
      </c>
      <c r="C2998" t="s">
        <v>12422</v>
      </c>
      <c r="D2998">
        <v>740</v>
      </c>
      <c r="E2998" t="s">
        <v>12268</v>
      </c>
      <c r="F2998" t="str">
        <f>VLOOKUP(E2998,country_continent!A:C,2,FALSE)</f>
        <v>Japan</v>
      </c>
      <c r="G2998" t="str">
        <f>VLOOKUP(E2998,country_continent!A:C,3,FALSE)</f>
        <v>Asia</v>
      </c>
      <c r="H2998" t="s">
        <v>12423</v>
      </c>
      <c r="I2998" s="1">
        <v>11670</v>
      </c>
      <c r="J2998" s="3">
        <f t="shared" si="138"/>
        <v>11670</v>
      </c>
      <c r="K2998" s="1">
        <v>11824</v>
      </c>
      <c r="L2998" s="3">
        <f t="shared" si="139"/>
        <v>11824</v>
      </c>
      <c r="M2998" t="s">
        <v>49</v>
      </c>
      <c r="N2998" t="s">
        <v>67</v>
      </c>
      <c r="O2998" t="s">
        <v>433</v>
      </c>
      <c r="P2998">
        <v>0</v>
      </c>
      <c r="Q2998" t="s">
        <v>69</v>
      </c>
      <c r="R2998" t="s">
        <v>51</v>
      </c>
      <c r="S2998">
        <v>1855</v>
      </c>
      <c r="T2998">
        <v>1932</v>
      </c>
      <c r="Y2998" t="s">
        <v>12424</v>
      </c>
      <c r="Z2998">
        <v>0</v>
      </c>
      <c r="AA2998">
        <v>3</v>
      </c>
      <c r="AB2998">
        <v>4</v>
      </c>
      <c r="AC2998">
        <v>3</v>
      </c>
      <c r="AF2998">
        <v>1931</v>
      </c>
      <c r="AG2998">
        <v>1932</v>
      </c>
      <c r="AO2998" t="b">
        <v>1</v>
      </c>
      <c r="AP2998" t="s">
        <v>45</v>
      </c>
      <c r="AQ2998">
        <v>1986</v>
      </c>
      <c r="AR2998">
        <v>2016</v>
      </c>
      <c r="AS2998" t="s">
        <v>12425</v>
      </c>
      <c r="AT2998">
        <v>0.421629021218343</v>
      </c>
      <c r="AU2998">
        <f t="shared" si="140"/>
        <v>1E-3</v>
      </c>
    </row>
    <row r="2999" spans="1:47" x14ac:dyDescent="0.3">
      <c r="A2999">
        <v>2997</v>
      </c>
      <c r="B2999" t="s">
        <v>12426</v>
      </c>
      <c r="C2999" t="s">
        <v>12371</v>
      </c>
      <c r="D2999">
        <v>740</v>
      </c>
      <c r="E2999" t="s">
        <v>12268</v>
      </c>
      <c r="F2999" t="str">
        <f>VLOOKUP(E2999,country_continent!A:C,2,FALSE)</f>
        <v>Japan</v>
      </c>
      <c r="G2999" t="str">
        <f>VLOOKUP(E2999,country_continent!A:C,3,FALSE)</f>
        <v>Asia</v>
      </c>
      <c r="H2999" t="s">
        <v>12372</v>
      </c>
      <c r="I2999" s="1">
        <v>11825</v>
      </c>
      <c r="J2999" s="3">
        <f t="shared" si="138"/>
        <v>11825</v>
      </c>
      <c r="K2999" s="1">
        <v>11835</v>
      </c>
      <c r="L2999" s="3">
        <f t="shared" si="139"/>
        <v>11835</v>
      </c>
      <c r="M2999" t="s">
        <v>49</v>
      </c>
      <c r="N2999" t="s">
        <v>49</v>
      </c>
      <c r="O2999" t="s">
        <v>49</v>
      </c>
      <c r="P2999">
        <v>1</v>
      </c>
      <c r="Q2999" t="s">
        <v>50</v>
      </c>
      <c r="R2999" t="s">
        <v>51</v>
      </c>
      <c r="S2999">
        <v>1854</v>
      </c>
      <c r="T2999">
        <v>1936</v>
      </c>
      <c r="Y2999" t="s">
        <v>12373</v>
      </c>
      <c r="Z2999">
        <v>0</v>
      </c>
      <c r="AA2999">
        <v>1</v>
      </c>
      <c r="AB2999">
        <v>0</v>
      </c>
      <c r="AC2999">
        <v>0</v>
      </c>
      <c r="AF2999">
        <v>1932</v>
      </c>
      <c r="AG2999">
        <v>1932</v>
      </c>
      <c r="AO2999" t="b">
        <v>1</v>
      </c>
      <c r="AP2999" t="s">
        <v>45</v>
      </c>
      <c r="AQ2999">
        <v>1986</v>
      </c>
      <c r="AR2999">
        <v>2016</v>
      </c>
      <c r="AS2999" t="s">
        <v>12427</v>
      </c>
      <c r="AT2999">
        <v>2.7378507871321001E-2</v>
      </c>
      <c r="AU2999">
        <f t="shared" si="140"/>
        <v>0</v>
      </c>
    </row>
    <row r="3000" spans="1:47" x14ac:dyDescent="0.3">
      <c r="A3000">
        <v>2998</v>
      </c>
      <c r="B3000" t="s">
        <v>12428</v>
      </c>
      <c r="C3000" t="s">
        <v>12429</v>
      </c>
      <c r="D3000">
        <v>740</v>
      </c>
      <c r="E3000" t="s">
        <v>12268</v>
      </c>
      <c r="F3000" t="str">
        <f>VLOOKUP(E3000,country_continent!A:C,2,FALSE)</f>
        <v>Japan</v>
      </c>
      <c r="G3000" t="str">
        <f>VLOOKUP(E3000,country_continent!A:C,3,FALSE)</f>
        <v>Asia</v>
      </c>
      <c r="H3000" t="s">
        <v>12430</v>
      </c>
      <c r="I3000" s="1">
        <v>11835</v>
      </c>
      <c r="J3000" s="3">
        <f t="shared" si="138"/>
        <v>11835</v>
      </c>
      <c r="K3000" s="1">
        <v>12607</v>
      </c>
      <c r="L3000" s="3">
        <f t="shared" si="139"/>
        <v>12607</v>
      </c>
      <c r="M3000" t="s">
        <v>49</v>
      </c>
      <c r="N3000" t="s">
        <v>49</v>
      </c>
      <c r="O3000" t="s">
        <v>49</v>
      </c>
      <c r="P3000">
        <v>0</v>
      </c>
      <c r="Q3000" t="s">
        <v>50</v>
      </c>
      <c r="R3000" t="s">
        <v>51</v>
      </c>
      <c r="S3000">
        <v>1858</v>
      </c>
      <c r="T3000">
        <v>1936</v>
      </c>
      <c r="Y3000" t="s">
        <v>12431</v>
      </c>
      <c r="Z3000">
        <v>0</v>
      </c>
      <c r="AA3000">
        <v>1</v>
      </c>
      <c r="AB3000">
        <v>0</v>
      </c>
      <c r="AC3000">
        <v>0</v>
      </c>
      <c r="AF3000">
        <v>1932</v>
      </c>
      <c r="AG3000">
        <v>1934</v>
      </c>
      <c r="AO3000" t="b">
        <v>1</v>
      </c>
      <c r="AP3000" t="s">
        <v>45</v>
      </c>
      <c r="AQ3000">
        <v>1986</v>
      </c>
      <c r="AR3000">
        <v>2016</v>
      </c>
      <c r="AS3000" t="s">
        <v>12432</v>
      </c>
      <c r="AT3000">
        <v>2.1136208076659799</v>
      </c>
      <c r="AU3000">
        <f t="shared" si="140"/>
        <v>6.0000000000000001E-3</v>
      </c>
    </row>
    <row r="3001" spans="1:47" x14ac:dyDescent="0.3">
      <c r="A3001">
        <v>2999</v>
      </c>
      <c r="B3001" t="s">
        <v>12433</v>
      </c>
      <c r="C3001" t="s">
        <v>12434</v>
      </c>
      <c r="D3001">
        <v>740</v>
      </c>
      <c r="E3001" t="s">
        <v>12268</v>
      </c>
      <c r="F3001" t="str">
        <f>VLOOKUP(E3001,country_continent!A:C,2,FALSE)</f>
        <v>Japan</v>
      </c>
      <c r="G3001" t="str">
        <f>VLOOKUP(E3001,country_continent!A:C,3,FALSE)</f>
        <v>Asia</v>
      </c>
      <c r="H3001" t="s">
        <v>12435</v>
      </c>
      <c r="I3001" s="1">
        <v>12607</v>
      </c>
      <c r="J3001" s="3">
        <f t="shared" si="138"/>
        <v>12607</v>
      </c>
      <c r="K3001" s="1">
        <v>13215</v>
      </c>
      <c r="L3001" s="3">
        <f t="shared" si="139"/>
        <v>13215</v>
      </c>
      <c r="M3001" t="s">
        <v>49</v>
      </c>
      <c r="N3001" t="s">
        <v>49</v>
      </c>
      <c r="O3001" t="s">
        <v>49</v>
      </c>
      <c r="P3001">
        <v>0</v>
      </c>
      <c r="Q3001" t="s">
        <v>50</v>
      </c>
      <c r="R3001" t="s">
        <v>51</v>
      </c>
      <c r="S3001">
        <v>1868</v>
      </c>
      <c r="T3001">
        <v>1952</v>
      </c>
      <c r="Y3001" t="s">
        <v>12436</v>
      </c>
      <c r="Z3001">
        <v>0</v>
      </c>
      <c r="AA3001">
        <v>1</v>
      </c>
      <c r="AB3001">
        <v>0</v>
      </c>
      <c r="AC3001">
        <v>0</v>
      </c>
      <c r="AF3001">
        <v>1934</v>
      </c>
      <c r="AG3001">
        <v>1936</v>
      </c>
      <c r="AO3001" t="b">
        <v>1</v>
      </c>
      <c r="AP3001" t="s">
        <v>45</v>
      </c>
      <c r="AQ3001">
        <v>1986</v>
      </c>
      <c r="AR3001">
        <v>2016</v>
      </c>
      <c r="AS3001" t="s">
        <v>12437</v>
      </c>
      <c r="AT3001">
        <v>1.6646132785763099</v>
      </c>
      <c r="AU3001">
        <f t="shared" si="140"/>
        <v>5.0000000000000001E-3</v>
      </c>
    </row>
    <row r="3002" spans="1:47" x14ac:dyDescent="0.3">
      <c r="A3002">
        <v>3000</v>
      </c>
      <c r="B3002" t="s">
        <v>12438</v>
      </c>
      <c r="C3002" t="s">
        <v>12439</v>
      </c>
      <c r="D3002">
        <v>740</v>
      </c>
      <c r="E3002" t="s">
        <v>12268</v>
      </c>
      <c r="F3002" t="str">
        <f>VLOOKUP(E3002,country_continent!A:C,2,FALSE)</f>
        <v>Japan</v>
      </c>
      <c r="G3002" t="str">
        <f>VLOOKUP(E3002,country_continent!A:C,3,FALSE)</f>
        <v>Asia</v>
      </c>
      <c r="H3002" t="s">
        <v>12440</v>
      </c>
      <c r="I3002" s="1">
        <v>13218</v>
      </c>
      <c r="J3002" s="3">
        <f t="shared" si="138"/>
        <v>13218</v>
      </c>
      <c r="K3002" s="1">
        <v>13538</v>
      </c>
      <c r="L3002" s="3">
        <f t="shared" si="139"/>
        <v>13538</v>
      </c>
      <c r="M3002" t="s">
        <v>49</v>
      </c>
      <c r="N3002" t="s">
        <v>49</v>
      </c>
      <c r="O3002" t="s">
        <v>49</v>
      </c>
      <c r="P3002">
        <v>0</v>
      </c>
      <c r="Q3002" t="s">
        <v>50</v>
      </c>
      <c r="R3002" t="s">
        <v>51</v>
      </c>
      <c r="S3002">
        <v>1878</v>
      </c>
      <c r="T3002">
        <v>1948</v>
      </c>
      <c r="Y3002" t="s">
        <v>12441</v>
      </c>
      <c r="Z3002">
        <v>0</v>
      </c>
      <c r="AA3002">
        <v>1</v>
      </c>
      <c r="AB3002">
        <v>0</v>
      </c>
      <c r="AC3002">
        <v>0</v>
      </c>
      <c r="AF3002">
        <v>1936</v>
      </c>
      <c r="AG3002">
        <v>1937</v>
      </c>
      <c r="AO3002" t="b">
        <v>1</v>
      </c>
      <c r="AP3002" t="s">
        <v>45</v>
      </c>
      <c r="AQ3002">
        <v>1986</v>
      </c>
      <c r="AR3002">
        <v>2016</v>
      </c>
      <c r="AS3002" t="s">
        <v>12442</v>
      </c>
      <c r="AT3002">
        <v>0.87611225188227204</v>
      </c>
      <c r="AU3002">
        <f t="shared" si="140"/>
        <v>2E-3</v>
      </c>
    </row>
    <row r="3003" spans="1:47" x14ac:dyDescent="0.3">
      <c r="A3003">
        <v>3001</v>
      </c>
      <c r="B3003" t="s">
        <v>12443</v>
      </c>
      <c r="C3003" t="s">
        <v>12444</v>
      </c>
      <c r="D3003">
        <v>740</v>
      </c>
      <c r="E3003" t="s">
        <v>12268</v>
      </c>
      <c r="F3003" t="str">
        <f>VLOOKUP(E3003,country_continent!A:C,2,FALSE)</f>
        <v>Japan</v>
      </c>
      <c r="G3003" t="str">
        <f>VLOOKUP(E3003,country_continent!A:C,3,FALSE)</f>
        <v>Asia</v>
      </c>
      <c r="H3003" t="s">
        <v>12445</v>
      </c>
      <c r="I3003" s="1">
        <v>13548</v>
      </c>
      <c r="J3003" s="3">
        <f t="shared" si="138"/>
        <v>13548</v>
      </c>
      <c r="K3003" s="1">
        <v>13666</v>
      </c>
      <c r="L3003" s="3">
        <f t="shared" si="139"/>
        <v>13666</v>
      </c>
      <c r="M3003" t="s">
        <v>49</v>
      </c>
      <c r="N3003" t="s">
        <v>49</v>
      </c>
      <c r="O3003" t="s">
        <v>49</v>
      </c>
      <c r="P3003">
        <v>0</v>
      </c>
      <c r="Q3003" t="s">
        <v>50</v>
      </c>
      <c r="R3003" t="s">
        <v>51</v>
      </c>
      <c r="S3003">
        <v>1876</v>
      </c>
      <c r="T3003">
        <v>1943</v>
      </c>
      <c r="Y3003" t="s">
        <v>12446</v>
      </c>
      <c r="Z3003">
        <v>0</v>
      </c>
      <c r="AA3003">
        <v>1</v>
      </c>
      <c r="AB3003">
        <v>0</v>
      </c>
      <c r="AC3003">
        <v>0</v>
      </c>
      <c r="AF3003">
        <v>1937</v>
      </c>
      <c r="AG3003">
        <v>1937</v>
      </c>
      <c r="AO3003" t="b">
        <v>1</v>
      </c>
      <c r="AP3003" t="s">
        <v>45</v>
      </c>
      <c r="AQ3003">
        <v>1986</v>
      </c>
      <c r="AR3003">
        <v>2016</v>
      </c>
      <c r="AS3003" t="s">
        <v>12447</v>
      </c>
      <c r="AT3003">
        <v>0.32306639288158701</v>
      </c>
      <c r="AU3003">
        <f t="shared" si="140"/>
        <v>1E-3</v>
      </c>
    </row>
    <row r="3004" spans="1:47" x14ac:dyDescent="0.3">
      <c r="A3004">
        <v>3002</v>
      </c>
      <c r="B3004" t="s">
        <v>12448</v>
      </c>
      <c r="C3004" t="s">
        <v>12449</v>
      </c>
      <c r="D3004">
        <v>740</v>
      </c>
      <c r="E3004" t="s">
        <v>12268</v>
      </c>
      <c r="F3004" t="str">
        <f>VLOOKUP(E3004,country_continent!A:C,2,FALSE)</f>
        <v>Japan</v>
      </c>
      <c r="G3004" t="str">
        <f>VLOOKUP(E3004,country_continent!A:C,3,FALSE)</f>
        <v>Asia</v>
      </c>
      <c r="H3004" t="s">
        <v>12450</v>
      </c>
      <c r="I3004" s="1">
        <v>13666</v>
      </c>
      <c r="J3004" s="3">
        <f t="shared" si="138"/>
        <v>13666</v>
      </c>
      <c r="K3004" s="1">
        <v>14250</v>
      </c>
      <c r="L3004" s="3">
        <f t="shared" si="139"/>
        <v>14250</v>
      </c>
      <c r="M3004" t="s">
        <v>49</v>
      </c>
      <c r="N3004" t="s">
        <v>49</v>
      </c>
      <c r="O3004" t="s">
        <v>49</v>
      </c>
      <c r="P3004">
        <v>0</v>
      </c>
      <c r="Q3004" t="s">
        <v>50</v>
      </c>
      <c r="R3004" t="s">
        <v>51</v>
      </c>
      <c r="S3004">
        <v>1891</v>
      </c>
      <c r="T3004">
        <v>1945</v>
      </c>
      <c r="Y3004" t="s">
        <v>12451</v>
      </c>
      <c r="Z3004">
        <v>0</v>
      </c>
      <c r="AA3004">
        <v>1</v>
      </c>
      <c r="AB3004">
        <v>0</v>
      </c>
      <c r="AC3004">
        <v>0</v>
      </c>
      <c r="AD3004" t="s">
        <v>12452</v>
      </c>
      <c r="AE3004">
        <v>0</v>
      </c>
      <c r="AF3004">
        <v>1937</v>
      </c>
      <c r="AG3004">
        <v>1939</v>
      </c>
      <c r="AO3004" t="b">
        <v>1</v>
      </c>
      <c r="AP3004" t="s">
        <v>45</v>
      </c>
      <c r="AQ3004">
        <v>1986</v>
      </c>
      <c r="AR3004">
        <v>2016</v>
      </c>
      <c r="AS3004" t="s">
        <v>12453</v>
      </c>
      <c r="AT3004">
        <v>1.5989048596851401</v>
      </c>
      <c r="AU3004">
        <f t="shared" si="140"/>
        <v>4.0000000000000001E-3</v>
      </c>
    </row>
    <row r="3005" spans="1:47" x14ac:dyDescent="0.3">
      <c r="A3005">
        <v>3003</v>
      </c>
      <c r="B3005" t="s">
        <v>12454</v>
      </c>
      <c r="C3005" t="s">
        <v>12455</v>
      </c>
      <c r="D3005">
        <v>740</v>
      </c>
      <c r="E3005" t="s">
        <v>12268</v>
      </c>
      <c r="F3005" t="str">
        <f>VLOOKUP(E3005,country_continent!A:C,2,FALSE)</f>
        <v>Japan</v>
      </c>
      <c r="G3005" t="str">
        <f>VLOOKUP(E3005,country_continent!A:C,3,FALSE)</f>
        <v>Asia</v>
      </c>
      <c r="H3005" t="s">
        <v>12456</v>
      </c>
      <c r="I3005" s="1">
        <v>14250</v>
      </c>
      <c r="J3005" s="3">
        <f t="shared" si="138"/>
        <v>14250</v>
      </c>
      <c r="K3005" s="1">
        <v>14486</v>
      </c>
      <c r="L3005" s="3">
        <f t="shared" si="139"/>
        <v>14486</v>
      </c>
      <c r="M3005" t="s">
        <v>49</v>
      </c>
      <c r="N3005" t="s">
        <v>49</v>
      </c>
      <c r="O3005" t="s">
        <v>49</v>
      </c>
      <c r="P3005">
        <v>0</v>
      </c>
      <c r="Q3005" t="s">
        <v>50</v>
      </c>
      <c r="R3005" t="s">
        <v>51</v>
      </c>
      <c r="S3005">
        <v>1867</v>
      </c>
      <c r="T3005">
        <v>1952</v>
      </c>
      <c r="Y3005" t="s">
        <v>12457</v>
      </c>
      <c r="Z3005">
        <v>0</v>
      </c>
      <c r="AA3005">
        <v>1</v>
      </c>
      <c r="AB3005">
        <v>0</v>
      </c>
      <c r="AC3005">
        <v>0</v>
      </c>
      <c r="AF3005">
        <v>1939</v>
      </c>
      <c r="AG3005">
        <v>1939</v>
      </c>
      <c r="AO3005" t="b">
        <v>1</v>
      </c>
      <c r="AP3005" t="s">
        <v>45</v>
      </c>
      <c r="AQ3005">
        <v>1986</v>
      </c>
      <c r="AR3005">
        <v>2016</v>
      </c>
      <c r="AS3005" t="s">
        <v>12458</v>
      </c>
      <c r="AT3005">
        <v>0.64613278576317501</v>
      </c>
      <c r="AU3005">
        <f t="shared" si="140"/>
        <v>2E-3</v>
      </c>
    </row>
    <row r="3006" spans="1:47" x14ac:dyDescent="0.3">
      <c r="A3006">
        <v>3004</v>
      </c>
      <c r="B3006" t="s">
        <v>12459</v>
      </c>
      <c r="C3006" t="s">
        <v>12460</v>
      </c>
      <c r="D3006">
        <v>740</v>
      </c>
      <c r="E3006" t="s">
        <v>12268</v>
      </c>
      <c r="F3006" t="str">
        <f>VLOOKUP(E3006,country_continent!A:C,2,FALSE)</f>
        <v>Japan</v>
      </c>
      <c r="G3006" t="str">
        <f>VLOOKUP(E3006,country_continent!A:C,3,FALSE)</f>
        <v>Asia</v>
      </c>
      <c r="H3006" t="s">
        <v>12461</v>
      </c>
      <c r="I3006" s="1">
        <v>14487</v>
      </c>
      <c r="J3006" s="3">
        <f t="shared" si="138"/>
        <v>14487</v>
      </c>
      <c r="K3006" s="1">
        <v>14624</v>
      </c>
      <c r="L3006" s="3">
        <f t="shared" si="139"/>
        <v>14624</v>
      </c>
      <c r="M3006" t="s">
        <v>49</v>
      </c>
      <c r="N3006" t="s">
        <v>49</v>
      </c>
      <c r="O3006" t="s">
        <v>49</v>
      </c>
      <c r="P3006">
        <v>0</v>
      </c>
      <c r="Q3006" t="s">
        <v>50</v>
      </c>
      <c r="R3006" t="s">
        <v>51</v>
      </c>
      <c r="S3006">
        <v>1875</v>
      </c>
      <c r="T3006">
        <v>1953</v>
      </c>
      <c r="Y3006" t="s">
        <v>12462</v>
      </c>
      <c r="Z3006">
        <v>0</v>
      </c>
      <c r="AA3006">
        <v>1</v>
      </c>
      <c r="AB3006">
        <v>0</v>
      </c>
      <c r="AC3006">
        <v>0</v>
      </c>
      <c r="AF3006">
        <v>1939</v>
      </c>
      <c r="AG3006">
        <v>1940</v>
      </c>
      <c r="AO3006" t="b">
        <v>1</v>
      </c>
      <c r="AP3006" t="s">
        <v>45</v>
      </c>
      <c r="AQ3006">
        <v>1986</v>
      </c>
      <c r="AR3006">
        <v>2016</v>
      </c>
      <c r="AS3006" t="s">
        <v>12463</v>
      </c>
      <c r="AT3006">
        <v>0.37508555783709702</v>
      </c>
      <c r="AU3006">
        <f t="shared" si="140"/>
        <v>1E-3</v>
      </c>
    </row>
    <row r="3007" spans="1:47" x14ac:dyDescent="0.3">
      <c r="A3007">
        <v>3005</v>
      </c>
      <c r="B3007" t="s">
        <v>12464</v>
      </c>
      <c r="C3007" t="s">
        <v>12465</v>
      </c>
      <c r="D3007">
        <v>740</v>
      </c>
      <c r="E3007" t="s">
        <v>12268</v>
      </c>
      <c r="F3007" t="str">
        <f>VLOOKUP(E3007,country_continent!A:C,2,FALSE)</f>
        <v>Japan</v>
      </c>
      <c r="G3007" t="str">
        <f>VLOOKUP(E3007,country_continent!A:C,3,FALSE)</f>
        <v>Asia</v>
      </c>
      <c r="H3007" t="s">
        <v>12466</v>
      </c>
      <c r="I3007" s="1">
        <v>14624</v>
      </c>
      <c r="J3007" s="3">
        <f t="shared" si="138"/>
        <v>14624</v>
      </c>
      <c r="K3007" s="1">
        <v>14808</v>
      </c>
      <c r="L3007" s="3">
        <f t="shared" si="139"/>
        <v>14808</v>
      </c>
      <c r="M3007" t="s">
        <v>49</v>
      </c>
      <c r="N3007" t="s">
        <v>49</v>
      </c>
      <c r="O3007" t="s">
        <v>49</v>
      </c>
      <c r="P3007">
        <v>0</v>
      </c>
      <c r="Q3007" t="s">
        <v>50</v>
      </c>
      <c r="R3007" t="s">
        <v>51</v>
      </c>
      <c r="S3007">
        <v>1873</v>
      </c>
      <c r="T3007">
        <v>1948</v>
      </c>
      <c r="U3007" t="s">
        <v>12467</v>
      </c>
      <c r="V3007" t="s">
        <v>12468</v>
      </c>
      <c r="Z3007">
        <v>0</v>
      </c>
      <c r="AA3007">
        <v>1</v>
      </c>
      <c r="AB3007">
        <v>0</v>
      </c>
      <c r="AC3007">
        <v>0</v>
      </c>
      <c r="AF3007">
        <v>1940</v>
      </c>
      <c r="AG3007">
        <v>1940</v>
      </c>
      <c r="AO3007" t="b">
        <v>1</v>
      </c>
      <c r="AP3007" t="s">
        <v>45</v>
      </c>
      <c r="AQ3007">
        <v>1986</v>
      </c>
      <c r="AR3007">
        <v>2016</v>
      </c>
      <c r="AS3007" t="s">
        <v>12469</v>
      </c>
      <c r="AT3007">
        <v>0.50376454483230604</v>
      </c>
      <c r="AU3007">
        <f t="shared" si="140"/>
        <v>1E-3</v>
      </c>
    </row>
    <row r="3008" spans="1:47" x14ac:dyDescent="0.3">
      <c r="A3008">
        <v>3006</v>
      </c>
      <c r="B3008" t="s">
        <v>12470</v>
      </c>
      <c r="C3008" t="s">
        <v>12449</v>
      </c>
      <c r="D3008">
        <v>740</v>
      </c>
      <c r="E3008" t="s">
        <v>12268</v>
      </c>
      <c r="F3008" t="str">
        <f>VLOOKUP(E3008,country_continent!A:C,2,FALSE)</f>
        <v>Japan</v>
      </c>
      <c r="G3008" t="str">
        <f>VLOOKUP(E3008,country_continent!A:C,3,FALSE)</f>
        <v>Asia</v>
      </c>
      <c r="H3008" t="s">
        <v>12450</v>
      </c>
      <c r="I3008" s="1">
        <v>14808</v>
      </c>
      <c r="J3008" s="3">
        <f t="shared" si="138"/>
        <v>14808</v>
      </c>
      <c r="K3008" s="1">
        <v>15266</v>
      </c>
      <c r="L3008" s="3">
        <f t="shared" si="139"/>
        <v>15266</v>
      </c>
      <c r="M3008" t="s">
        <v>49</v>
      </c>
      <c r="N3008" t="s">
        <v>49</v>
      </c>
      <c r="O3008" t="s">
        <v>49</v>
      </c>
      <c r="P3008">
        <v>1</v>
      </c>
      <c r="Q3008" t="s">
        <v>50</v>
      </c>
      <c r="R3008" t="s">
        <v>51</v>
      </c>
      <c r="S3008">
        <v>1891</v>
      </c>
      <c r="T3008">
        <v>1945</v>
      </c>
      <c r="Y3008" t="s">
        <v>12451</v>
      </c>
      <c r="Z3008">
        <v>0</v>
      </c>
      <c r="AA3008">
        <v>1</v>
      </c>
      <c r="AB3008">
        <v>0</v>
      </c>
      <c r="AC3008">
        <v>0</v>
      </c>
      <c r="AD3008" t="s">
        <v>12452</v>
      </c>
      <c r="AE3008">
        <v>0</v>
      </c>
      <c r="AF3008">
        <v>1940</v>
      </c>
      <c r="AG3008">
        <v>1941</v>
      </c>
      <c r="AO3008" t="b">
        <v>1</v>
      </c>
      <c r="AP3008" t="s">
        <v>45</v>
      </c>
      <c r="AQ3008">
        <v>1986</v>
      </c>
      <c r="AR3008">
        <v>2016</v>
      </c>
      <c r="AS3008" t="s">
        <v>12471</v>
      </c>
      <c r="AT3008">
        <v>1.2539356605065</v>
      </c>
      <c r="AU3008">
        <f t="shared" si="140"/>
        <v>3.0000000000000001E-3</v>
      </c>
    </row>
    <row r="3009" spans="1:47" x14ac:dyDescent="0.3">
      <c r="A3009">
        <v>3007</v>
      </c>
      <c r="B3009" t="s">
        <v>12472</v>
      </c>
      <c r="C3009" t="s">
        <v>12473</v>
      </c>
      <c r="D3009">
        <v>740</v>
      </c>
      <c r="E3009" t="s">
        <v>12268</v>
      </c>
      <c r="F3009" t="str">
        <f>VLOOKUP(E3009,country_continent!A:C,2,FALSE)</f>
        <v>Japan</v>
      </c>
      <c r="G3009" t="str">
        <f>VLOOKUP(E3009,country_continent!A:C,3,FALSE)</f>
        <v>Asia</v>
      </c>
      <c r="H3009" t="s">
        <v>12474</v>
      </c>
      <c r="I3009" s="1">
        <v>15266</v>
      </c>
      <c r="J3009" s="3">
        <f t="shared" si="138"/>
        <v>15266</v>
      </c>
      <c r="K3009" s="1">
        <v>16271</v>
      </c>
      <c r="L3009" s="3">
        <f t="shared" si="139"/>
        <v>16271</v>
      </c>
      <c r="M3009" t="s">
        <v>49</v>
      </c>
      <c r="N3009" t="s">
        <v>49</v>
      </c>
      <c r="O3009" t="s">
        <v>49</v>
      </c>
      <c r="P3009">
        <v>0</v>
      </c>
      <c r="Q3009" t="s">
        <v>50</v>
      </c>
      <c r="R3009" t="s">
        <v>51</v>
      </c>
      <c r="S3009">
        <v>1883</v>
      </c>
      <c r="T3009">
        <v>1948</v>
      </c>
      <c r="U3009" t="s">
        <v>12475</v>
      </c>
      <c r="V3009" t="s">
        <v>12476</v>
      </c>
      <c r="Z3009">
        <v>0</v>
      </c>
      <c r="AA3009">
        <v>1</v>
      </c>
      <c r="AB3009">
        <v>0</v>
      </c>
      <c r="AC3009">
        <v>0</v>
      </c>
      <c r="AF3009">
        <v>1941</v>
      </c>
      <c r="AG3009">
        <v>1944</v>
      </c>
      <c r="AO3009" t="b">
        <v>1</v>
      </c>
      <c r="AP3009" t="s">
        <v>45</v>
      </c>
      <c r="AQ3009">
        <v>1986</v>
      </c>
      <c r="AR3009">
        <v>2016</v>
      </c>
      <c r="AS3009" t="s">
        <v>12477</v>
      </c>
      <c r="AT3009">
        <v>2.7515400410677602</v>
      </c>
      <c r="AU3009">
        <f t="shared" si="140"/>
        <v>8.0000000000000002E-3</v>
      </c>
    </row>
    <row r="3010" spans="1:47" x14ac:dyDescent="0.3">
      <c r="A3010">
        <v>3008</v>
      </c>
      <c r="B3010" t="s">
        <v>12478</v>
      </c>
      <c r="C3010" t="s">
        <v>12479</v>
      </c>
      <c r="D3010">
        <v>740</v>
      </c>
      <c r="E3010" t="s">
        <v>12268</v>
      </c>
      <c r="F3010" t="str">
        <f>VLOOKUP(E3010,country_continent!A:C,2,FALSE)</f>
        <v>Japan</v>
      </c>
      <c r="G3010" t="str">
        <f>VLOOKUP(E3010,country_continent!A:C,3,FALSE)</f>
        <v>Asia</v>
      </c>
      <c r="H3010" t="s">
        <v>12480</v>
      </c>
      <c r="I3010" s="1">
        <v>16271</v>
      </c>
      <c r="J3010" s="3">
        <f t="shared" si="138"/>
        <v>16271</v>
      </c>
      <c r="K3010" s="1">
        <v>16532</v>
      </c>
      <c r="L3010" s="3">
        <f t="shared" si="139"/>
        <v>16532</v>
      </c>
      <c r="M3010" t="s">
        <v>49</v>
      </c>
      <c r="N3010" t="s">
        <v>49</v>
      </c>
      <c r="O3010" t="s">
        <v>49</v>
      </c>
      <c r="P3010">
        <v>0</v>
      </c>
      <c r="Q3010" t="s">
        <v>463</v>
      </c>
      <c r="R3010" t="s">
        <v>51</v>
      </c>
      <c r="S3010">
        <v>1880</v>
      </c>
      <c r="T3010">
        <v>1950</v>
      </c>
      <c r="Y3010" t="s">
        <v>12481</v>
      </c>
      <c r="Z3010">
        <v>0</v>
      </c>
      <c r="AA3010">
        <v>1</v>
      </c>
      <c r="AB3010">
        <v>0</v>
      </c>
      <c r="AC3010">
        <v>2</v>
      </c>
      <c r="AF3010">
        <v>1944</v>
      </c>
      <c r="AG3010">
        <v>1945</v>
      </c>
      <c r="AO3010" t="b">
        <v>1</v>
      </c>
      <c r="AP3010" t="s">
        <v>45</v>
      </c>
      <c r="AQ3010">
        <v>1986</v>
      </c>
      <c r="AR3010">
        <v>2016</v>
      </c>
      <c r="AS3010" t="s">
        <v>12482</v>
      </c>
      <c r="AT3010">
        <v>0.71457905544147804</v>
      </c>
      <c r="AU3010">
        <f t="shared" si="140"/>
        <v>2E-3</v>
      </c>
    </row>
    <row r="3011" spans="1:47" x14ac:dyDescent="0.3">
      <c r="A3011">
        <v>3009</v>
      </c>
      <c r="B3011" t="s">
        <v>12483</v>
      </c>
      <c r="C3011" t="s">
        <v>12484</v>
      </c>
      <c r="D3011">
        <v>740</v>
      </c>
      <c r="E3011" t="s">
        <v>12268</v>
      </c>
      <c r="F3011" t="str">
        <f>VLOOKUP(E3011,country_continent!A:C,2,FALSE)</f>
        <v>Japan</v>
      </c>
      <c r="G3011" t="str">
        <f>VLOOKUP(E3011,country_continent!A:C,3,FALSE)</f>
        <v>Asia</v>
      </c>
      <c r="H3011" t="s">
        <v>12485</v>
      </c>
      <c r="I3011" s="1">
        <v>16534</v>
      </c>
      <c r="J3011" s="3">
        <f t="shared" ref="J3011:J3074" si="141">IF(ISNUMBER(SEARCH("-", I3011)), SUBSTITUTE(I3011, "-", "/"), I3011)</f>
        <v>16534</v>
      </c>
      <c r="K3011" s="1">
        <v>16666</v>
      </c>
      <c r="L3011" s="3">
        <f t="shared" ref="L3011:L3074" si="142">IF(ISNUMBER(SEARCH("-", K3011)), SUBSTITUTE(K3011, "-", "/"), K3011)</f>
        <v>16666</v>
      </c>
      <c r="M3011" t="s">
        <v>49</v>
      </c>
      <c r="N3011" t="s">
        <v>633</v>
      </c>
      <c r="O3011" t="s">
        <v>634</v>
      </c>
      <c r="P3011">
        <v>0</v>
      </c>
      <c r="Q3011" t="s">
        <v>463</v>
      </c>
      <c r="R3011" t="s">
        <v>51</v>
      </c>
      <c r="S3011">
        <v>1867</v>
      </c>
      <c r="T3011">
        <v>1948</v>
      </c>
      <c r="U3011" t="s">
        <v>12486</v>
      </c>
      <c r="V3011" t="s">
        <v>12487</v>
      </c>
      <c r="Z3011">
        <v>0</v>
      </c>
      <c r="AA3011">
        <v>4</v>
      </c>
      <c r="AB3011">
        <v>9</v>
      </c>
      <c r="AC3011">
        <v>2</v>
      </c>
      <c r="AF3011">
        <v>1945</v>
      </c>
      <c r="AG3011">
        <v>1945</v>
      </c>
      <c r="AO3011" t="b">
        <v>1</v>
      </c>
      <c r="AP3011" t="s">
        <v>45</v>
      </c>
      <c r="AQ3011">
        <v>1986</v>
      </c>
      <c r="AR3011">
        <v>2016</v>
      </c>
      <c r="AS3011" t="s">
        <v>12488</v>
      </c>
      <c r="AT3011">
        <v>0.36139630390143701</v>
      </c>
      <c r="AU3011">
        <f t="shared" si="140"/>
        <v>1E-3</v>
      </c>
    </row>
    <row r="3012" spans="1:47" x14ac:dyDescent="0.3">
      <c r="A3012">
        <v>3010</v>
      </c>
      <c r="B3012" t="s">
        <v>12489</v>
      </c>
      <c r="C3012" t="s">
        <v>12490</v>
      </c>
      <c r="D3012">
        <v>740</v>
      </c>
      <c r="E3012" t="s">
        <v>12268</v>
      </c>
      <c r="F3012" t="str">
        <f>VLOOKUP(E3012,country_continent!A:C,2,FALSE)</f>
        <v>Japan</v>
      </c>
      <c r="G3012" t="str">
        <f>VLOOKUP(E3012,country_continent!A:C,3,FALSE)</f>
        <v>Asia</v>
      </c>
      <c r="H3012" t="s">
        <v>12491</v>
      </c>
      <c r="I3012" s="1">
        <v>16682</v>
      </c>
      <c r="J3012" s="3">
        <f t="shared" si="141"/>
        <v>16682</v>
      </c>
      <c r="K3012" s="1">
        <v>18729</v>
      </c>
      <c r="L3012" s="3">
        <f t="shared" si="142"/>
        <v>18729</v>
      </c>
      <c r="M3012" t="s">
        <v>637</v>
      </c>
      <c r="N3012" t="s">
        <v>49</v>
      </c>
      <c r="O3012" t="s">
        <v>49</v>
      </c>
      <c r="P3012">
        <v>0</v>
      </c>
      <c r="Q3012" t="s">
        <v>50</v>
      </c>
      <c r="R3012" t="s">
        <v>51</v>
      </c>
      <c r="S3012">
        <v>1880</v>
      </c>
      <c r="T3012">
        <v>1964</v>
      </c>
      <c r="U3012" t="s">
        <v>12492</v>
      </c>
      <c r="V3012" t="s">
        <v>12493</v>
      </c>
      <c r="W3012" s="1">
        <v>23472</v>
      </c>
      <c r="X3012" s="2">
        <v>23472</v>
      </c>
      <c r="Z3012">
        <v>2</v>
      </c>
      <c r="AA3012">
        <v>1</v>
      </c>
      <c r="AB3012">
        <v>0</v>
      </c>
      <c r="AC3012">
        <v>0</v>
      </c>
      <c r="AF3012">
        <v>1945</v>
      </c>
      <c r="AG3012">
        <v>1951</v>
      </c>
      <c r="AO3012" t="b">
        <v>1</v>
      </c>
      <c r="AP3012" t="s">
        <v>45</v>
      </c>
      <c r="AQ3012">
        <v>1986</v>
      </c>
      <c r="AR3012">
        <v>2016</v>
      </c>
      <c r="AS3012" t="s">
        <v>12494</v>
      </c>
      <c r="AT3012">
        <v>5.6043805612594104</v>
      </c>
      <c r="AU3012">
        <f t="shared" ref="AU3012:AU3075" si="143">ROUND(AT3012/365,3)</f>
        <v>1.4999999999999999E-2</v>
      </c>
    </row>
    <row r="3013" spans="1:47" x14ac:dyDescent="0.3">
      <c r="A3013">
        <v>3011</v>
      </c>
      <c r="B3013" t="s">
        <v>12495</v>
      </c>
      <c r="C3013" t="s">
        <v>12496</v>
      </c>
      <c r="D3013">
        <v>740</v>
      </c>
      <c r="E3013" t="s">
        <v>12268</v>
      </c>
      <c r="F3013" t="str">
        <f>VLOOKUP(E3013,country_continent!A:C,2,FALSE)</f>
        <v>Japan</v>
      </c>
      <c r="G3013" t="str">
        <f>VLOOKUP(E3013,country_continent!A:C,3,FALSE)</f>
        <v>Asia</v>
      </c>
      <c r="H3013" t="s">
        <v>12497</v>
      </c>
      <c r="I3013" s="1">
        <v>18729</v>
      </c>
      <c r="J3013" s="3">
        <f t="shared" si="141"/>
        <v>18729</v>
      </c>
      <c r="K3013" s="1">
        <v>19112</v>
      </c>
      <c r="L3013" s="3">
        <f t="shared" si="142"/>
        <v>19112</v>
      </c>
      <c r="M3013" t="s">
        <v>49</v>
      </c>
      <c r="N3013" t="s">
        <v>49</v>
      </c>
      <c r="O3013" t="s">
        <v>49</v>
      </c>
      <c r="P3013">
        <v>0</v>
      </c>
      <c r="Q3013" t="s">
        <v>50</v>
      </c>
      <c r="R3013" t="s">
        <v>51</v>
      </c>
      <c r="S3013">
        <v>1895</v>
      </c>
      <c r="T3013">
        <v>1993</v>
      </c>
      <c r="U3013" t="s">
        <v>12498</v>
      </c>
      <c r="V3013" t="s">
        <v>12499</v>
      </c>
      <c r="W3013" s="1">
        <v>34176</v>
      </c>
      <c r="X3013" s="2">
        <v>34176</v>
      </c>
      <c r="Y3013" t="s">
        <v>12500</v>
      </c>
      <c r="Z3013">
        <v>0</v>
      </c>
      <c r="AA3013">
        <v>1</v>
      </c>
      <c r="AB3013">
        <v>0</v>
      </c>
      <c r="AC3013">
        <v>0</v>
      </c>
      <c r="AF3013">
        <v>1951</v>
      </c>
      <c r="AG3013">
        <v>1952</v>
      </c>
      <c r="AN3013">
        <v>10</v>
      </c>
      <c r="AO3013" t="b">
        <v>1</v>
      </c>
      <c r="AP3013" t="s">
        <v>45</v>
      </c>
      <c r="AQ3013">
        <v>1986</v>
      </c>
      <c r="AR3013">
        <v>2016</v>
      </c>
      <c r="AS3013" t="s">
        <v>12501</v>
      </c>
      <c r="AT3013">
        <v>1.04859685147159</v>
      </c>
      <c r="AU3013">
        <f t="shared" si="143"/>
        <v>3.0000000000000001E-3</v>
      </c>
    </row>
    <row r="3014" spans="1:47" x14ac:dyDescent="0.3">
      <c r="A3014">
        <v>3012</v>
      </c>
      <c r="B3014" t="s">
        <v>12502</v>
      </c>
      <c r="C3014" t="s">
        <v>12503</v>
      </c>
      <c r="D3014">
        <v>740</v>
      </c>
      <c r="E3014" t="s">
        <v>12268</v>
      </c>
      <c r="F3014" t="str">
        <f>VLOOKUP(E3014,country_continent!A:C,2,FALSE)</f>
        <v>Japan</v>
      </c>
      <c r="G3014" t="str">
        <f>VLOOKUP(E3014,country_continent!A:C,3,FALSE)</f>
        <v>Asia</v>
      </c>
      <c r="H3014" t="s">
        <v>12504</v>
      </c>
      <c r="I3014" s="1">
        <v>19113</v>
      </c>
      <c r="J3014" s="3">
        <f t="shared" si="141"/>
        <v>19113</v>
      </c>
      <c r="K3014" s="1">
        <v>20065</v>
      </c>
      <c r="L3014" s="3">
        <f t="shared" si="142"/>
        <v>20065</v>
      </c>
      <c r="M3014" t="s">
        <v>49</v>
      </c>
      <c r="N3014" t="s">
        <v>49</v>
      </c>
      <c r="O3014" t="s">
        <v>49</v>
      </c>
      <c r="P3014">
        <v>0</v>
      </c>
      <c r="Q3014" t="s">
        <v>50</v>
      </c>
      <c r="R3014" t="s">
        <v>51</v>
      </c>
      <c r="S3014">
        <v>1878</v>
      </c>
      <c r="T3014">
        <v>1967</v>
      </c>
      <c r="U3014" t="s">
        <v>12505</v>
      </c>
      <c r="V3014" t="s">
        <v>12506</v>
      </c>
      <c r="Y3014" t="s">
        <v>12507</v>
      </c>
      <c r="Z3014">
        <v>0</v>
      </c>
      <c r="AA3014">
        <v>1</v>
      </c>
      <c r="AB3014">
        <v>0</v>
      </c>
      <c r="AC3014">
        <v>0</v>
      </c>
      <c r="AD3014" t="s">
        <v>12508</v>
      </c>
      <c r="AE3014">
        <v>0</v>
      </c>
      <c r="AF3014">
        <v>1952</v>
      </c>
      <c r="AG3014">
        <v>1954</v>
      </c>
      <c r="AN3014">
        <v>10</v>
      </c>
      <c r="AO3014" t="b">
        <v>1</v>
      </c>
      <c r="AP3014" t="s">
        <v>45</v>
      </c>
      <c r="AQ3014">
        <v>1986</v>
      </c>
      <c r="AR3014">
        <v>2016</v>
      </c>
      <c r="AS3014" t="s">
        <v>12509</v>
      </c>
      <c r="AT3014">
        <v>2.6064339493497601</v>
      </c>
      <c r="AU3014">
        <f t="shared" si="143"/>
        <v>7.0000000000000001E-3</v>
      </c>
    </row>
    <row r="3015" spans="1:47" x14ac:dyDescent="0.3">
      <c r="A3015">
        <v>3013</v>
      </c>
      <c r="B3015" t="s">
        <v>12510</v>
      </c>
      <c r="C3015" t="s">
        <v>12511</v>
      </c>
      <c r="D3015">
        <v>740</v>
      </c>
      <c r="E3015" t="s">
        <v>12268</v>
      </c>
      <c r="F3015" t="str">
        <f>VLOOKUP(E3015,country_continent!A:C,2,FALSE)</f>
        <v>Japan</v>
      </c>
      <c r="G3015" t="str">
        <f>VLOOKUP(E3015,country_continent!A:C,3,FALSE)</f>
        <v>Asia</v>
      </c>
      <c r="H3015" t="s">
        <v>12512</v>
      </c>
      <c r="I3015" s="1">
        <v>20067</v>
      </c>
      <c r="J3015" s="3">
        <f t="shared" si="141"/>
        <v>20067</v>
      </c>
      <c r="K3015" s="1">
        <v>20809</v>
      </c>
      <c r="L3015" s="3">
        <f t="shared" si="142"/>
        <v>20809</v>
      </c>
      <c r="M3015" t="s">
        <v>49</v>
      </c>
      <c r="N3015" t="s">
        <v>49</v>
      </c>
      <c r="O3015" t="s">
        <v>49</v>
      </c>
      <c r="P3015">
        <v>0</v>
      </c>
      <c r="Q3015" t="s">
        <v>50</v>
      </c>
      <c r="R3015" t="s">
        <v>51</v>
      </c>
      <c r="S3015">
        <v>1883</v>
      </c>
      <c r="T3015">
        <v>1959</v>
      </c>
      <c r="U3015" t="s">
        <v>5586</v>
      </c>
      <c r="V3015" t="s">
        <v>5587</v>
      </c>
      <c r="Y3015" t="s">
        <v>12513</v>
      </c>
      <c r="Z3015">
        <v>0</v>
      </c>
      <c r="AA3015">
        <v>1</v>
      </c>
      <c r="AB3015">
        <v>0</v>
      </c>
      <c r="AC3015">
        <v>0</v>
      </c>
      <c r="AF3015">
        <v>1954</v>
      </c>
      <c r="AG3015">
        <v>1956</v>
      </c>
      <c r="AN3015">
        <v>10</v>
      </c>
      <c r="AO3015" t="b">
        <v>1</v>
      </c>
      <c r="AP3015" t="s">
        <v>45</v>
      </c>
      <c r="AQ3015">
        <v>1986</v>
      </c>
      <c r="AR3015">
        <v>2016</v>
      </c>
      <c r="AS3015" t="s">
        <v>12514</v>
      </c>
      <c r="AT3015">
        <v>2.0314852840520099</v>
      </c>
      <c r="AU3015">
        <f t="shared" si="143"/>
        <v>6.0000000000000001E-3</v>
      </c>
    </row>
    <row r="3016" spans="1:47" x14ac:dyDescent="0.3">
      <c r="A3016">
        <v>3014</v>
      </c>
      <c r="B3016" t="s">
        <v>12515</v>
      </c>
      <c r="C3016" t="s">
        <v>12516</v>
      </c>
      <c r="D3016">
        <v>740</v>
      </c>
      <c r="E3016" t="s">
        <v>12268</v>
      </c>
      <c r="F3016" t="str">
        <f>VLOOKUP(E3016,country_continent!A:C,2,FALSE)</f>
        <v>Japan</v>
      </c>
      <c r="G3016" t="str">
        <f>VLOOKUP(E3016,country_continent!A:C,3,FALSE)</f>
        <v>Asia</v>
      </c>
      <c r="H3016" t="s">
        <v>12517</v>
      </c>
      <c r="I3016" s="1">
        <v>20812</v>
      </c>
      <c r="J3016" s="3">
        <f t="shared" si="141"/>
        <v>20812</v>
      </c>
      <c r="K3016" s="1">
        <v>20874</v>
      </c>
      <c r="L3016" s="3">
        <f t="shared" si="142"/>
        <v>20874</v>
      </c>
      <c r="M3016" t="s">
        <v>49</v>
      </c>
      <c r="N3016" t="s">
        <v>228</v>
      </c>
      <c r="O3016" t="s">
        <v>49</v>
      </c>
      <c r="P3016">
        <v>0</v>
      </c>
      <c r="Q3016" t="s">
        <v>50</v>
      </c>
      <c r="R3016" t="s">
        <v>51</v>
      </c>
      <c r="S3016">
        <v>1884</v>
      </c>
      <c r="T3016">
        <v>1973</v>
      </c>
      <c r="U3016" t="s">
        <v>11179</v>
      </c>
      <c r="V3016" t="s">
        <v>11180</v>
      </c>
      <c r="Y3016" t="s">
        <v>12518</v>
      </c>
      <c r="Z3016">
        <v>0</v>
      </c>
      <c r="AA3016">
        <v>2.0999998999999998</v>
      </c>
      <c r="AB3016">
        <v>0</v>
      </c>
      <c r="AC3016">
        <v>0</v>
      </c>
      <c r="AF3016">
        <v>1956</v>
      </c>
      <c r="AG3016">
        <v>1957</v>
      </c>
      <c r="AN3016">
        <v>10</v>
      </c>
      <c r="AO3016" t="b">
        <v>1</v>
      </c>
      <c r="AP3016" t="s">
        <v>45</v>
      </c>
      <c r="AQ3016">
        <v>1986</v>
      </c>
      <c r="AR3016">
        <v>2016</v>
      </c>
      <c r="AS3016" t="s">
        <v>12519</v>
      </c>
      <c r="AT3016">
        <v>0.16974674880219001</v>
      </c>
      <c r="AU3016">
        <f t="shared" si="143"/>
        <v>0</v>
      </c>
    </row>
    <row r="3017" spans="1:47" x14ac:dyDescent="0.3">
      <c r="A3017">
        <v>3015</v>
      </c>
      <c r="B3017" t="s">
        <v>12520</v>
      </c>
      <c r="C3017" t="s">
        <v>12521</v>
      </c>
      <c r="D3017">
        <v>740</v>
      </c>
      <c r="E3017" t="s">
        <v>12268</v>
      </c>
      <c r="F3017" t="str">
        <f>VLOOKUP(E3017,country_continent!A:C,2,FALSE)</f>
        <v>Japan</v>
      </c>
      <c r="G3017" t="str">
        <f>VLOOKUP(E3017,country_continent!A:C,3,FALSE)</f>
        <v>Asia</v>
      </c>
      <c r="H3017" t="s">
        <v>12522</v>
      </c>
      <c r="I3017" s="1">
        <v>20876</v>
      </c>
      <c r="J3017" s="3">
        <f t="shared" si="141"/>
        <v>20876</v>
      </c>
      <c r="K3017" s="1">
        <v>22115</v>
      </c>
      <c r="L3017" s="3">
        <f t="shared" si="142"/>
        <v>22115</v>
      </c>
      <c r="M3017" t="s">
        <v>49</v>
      </c>
      <c r="N3017" t="s">
        <v>49</v>
      </c>
      <c r="O3017" t="s">
        <v>49</v>
      </c>
      <c r="P3017">
        <v>0</v>
      </c>
      <c r="Q3017" t="s">
        <v>50</v>
      </c>
      <c r="R3017" t="s">
        <v>51</v>
      </c>
      <c r="S3017">
        <v>1896</v>
      </c>
      <c r="T3017">
        <v>1987</v>
      </c>
      <c r="U3017" t="s">
        <v>12523</v>
      </c>
      <c r="V3017" t="s">
        <v>12524</v>
      </c>
      <c r="Y3017" t="s">
        <v>12525</v>
      </c>
      <c r="Z3017">
        <v>0</v>
      </c>
      <c r="AA3017">
        <v>1</v>
      </c>
      <c r="AB3017">
        <v>0</v>
      </c>
      <c r="AC3017">
        <v>0</v>
      </c>
      <c r="AD3017" t="s">
        <v>12526</v>
      </c>
      <c r="AE3017">
        <v>0</v>
      </c>
      <c r="AF3017">
        <v>1957</v>
      </c>
      <c r="AG3017">
        <v>1960</v>
      </c>
      <c r="AK3017">
        <v>39.700000000000003</v>
      </c>
      <c r="AN3017">
        <v>10</v>
      </c>
      <c r="AO3017" t="b">
        <v>1</v>
      </c>
      <c r="AP3017" t="s">
        <v>45</v>
      </c>
      <c r="AQ3017">
        <v>1986</v>
      </c>
      <c r="AR3017">
        <v>2016</v>
      </c>
      <c r="AS3017" t="s">
        <v>12527</v>
      </c>
      <c r="AT3017">
        <v>3.3921971252566698</v>
      </c>
      <c r="AU3017">
        <f t="shared" si="143"/>
        <v>8.9999999999999993E-3</v>
      </c>
    </row>
    <row r="3018" spans="1:47" x14ac:dyDescent="0.3">
      <c r="A3018">
        <v>3016</v>
      </c>
      <c r="B3018" t="s">
        <v>12528</v>
      </c>
      <c r="C3018" t="s">
        <v>12529</v>
      </c>
      <c r="D3018">
        <v>740</v>
      </c>
      <c r="E3018" t="s">
        <v>12268</v>
      </c>
      <c r="F3018" t="str">
        <f>VLOOKUP(E3018,country_continent!A:C,2,FALSE)</f>
        <v>Japan</v>
      </c>
      <c r="G3018" t="str">
        <f>VLOOKUP(E3018,country_continent!A:C,3,FALSE)</f>
        <v>Asia</v>
      </c>
      <c r="H3018" t="s">
        <v>12530</v>
      </c>
      <c r="I3018" s="1">
        <v>22115</v>
      </c>
      <c r="J3018" s="3">
        <f t="shared" si="141"/>
        <v>22115</v>
      </c>
      <c r="K3018" s="1">
        <v>23675</v>
      </c>
      <c r="L3018" s="3">
        <f t="shared" si="142"/>
        <v>23675</v>
      </c>
      <c r="M3018" t="s">
        <v>49</v>
      </c>
      <c r="N3018" t="s">
        <v>228</v>
      </c>
      <c r="O3018" t="s">
        <v>49</v>
      </c>
      <c r="P3018">
        <v>0</v>
      </c>
      <c r="Q3018" t="s">
        <v>111</v>
      </c>
      <c r="R3018" t="s">
        <v>51</v>
      </c>
      <c r="S3018">
        <v>1899</v>
      </c>
      <c r="T3018">
        <v>1965</v>
      </c>
      <c r="U3018" t="s">
        <v>12531</v>
      </c>
      <c r="V3018" t="s">
        <v>12532</v>
      </c>
      <c r="Y3018" t="s">
        <v>12533</v>
      </c>
      <c r="Z3018">
        <v>0</v>
      </c>
      <c r="AA3018">
        <v>2.0999998999999998</v>
      </c>
      <c r="AB3018">
        <v>0</v>
      </c>
      <c r="AC3018">
        <v>-777</v>
      </c>
      <c r="AF3018">
        <v>1960</v>
      </c>
      <c r="AG3018">
        <v>1964</v>
      </c>
      <c r="AH3018">
        <v>9.21160915382025</v>
      </c>
      <c r="AI3018">
        <v>750</v>
      </c>
      <c r="AJ3018">
        <v>5.7061175321167203</v>
      </c>
      <c r="AK3018">
        <v>33.119999999999997</v>
      </c>
      <c r="AL3018">
        <v>0.96977743481938194</v>
      </c>
      <c r="AN3018">
        <v>10</v>
      </c>
      <c r="AO3018" t="b">
        <v>1</v>
      </c>
      <c r="AP3018" t="s">
        <v>45</v>
      </c>
      <c r="AQ3018">
        <v>1986</v>
      </c>
      <c r="AR3018">
        <v>2016</v>
      </c>
      <c r="AS3018" t="s">
        <v>12534</v>
      </c>
      <c r="AT3018">
        <v>4.2710472279260703</v>
      </c>
      <c r="AU3018">
        <f t="shared" si="143"/>
        <v>1.2E-2</v>
      </c>
    </row>
    <row r="3019" spans="1:47" x14ac:dyDescent="0.3">
      <c r="A3019">
        <v>3017</v>
      </c>
      <c r="B3019" t="s">
        <v>12535</v>
      </c>
      <c r="C3019" t="s">
        <v>12536</v>
      </c>
      <c r="D3019">
        <v>740</v>
      </c>
      <c r="E3019" t="s">
        <v>12268</v>
      </c>
      <c r="F3019" t="str">
        <f>VLOOKUP(E3019,country_continent!A:C,2,FALSE)</f>
        <v>Japan</v>
      </c>
      <c r="G3019" t="str">
        <f>VLOOKUP(E3019,country_continent!A:C,3,FALSE)</f>
        <v>Asia</v>
      </c>
      <c r="H3019" t="s">
        <v>12537</v>
      </c>
      <c r="I3019" s="1">
        <v>23690</v>
      </c>
      <c r="J3019" s="3">
        <f t="shared" si="141"/>
        <v>23690</v>
      </c>
      <c r="K3019" s="1">
        <v>26485</v>
      </c>
      <c r="L3019" s="3">
        <f t="shared" si="142"/>
        <v>26485</v>
      </c>
      <c r="M3019" t="s">
        <v>49</v>
      </c>
      <c r="N3019" t="s">
        <v>49</v>
      </c>
      <c r="O3019" t="s">
        <v>49</v>
      </c>
      <c r="P3019">
        <v>0</v>
      </c>
      <c r="Q3019" t="s">
        <v>50</v>
      </c>
      <c r="R3019" t="s">
        <v>51</v>
      </c>
      <c r="S3019">
        <v>1901</v>
      </c>
      <c r="T3019">
        <v>1975</v>
      </c>
      <c r="U3019" s="1">
        <v>452</v>
      </c>
      <c r="V3019" s="2">
        <v>452</v>
      </c>
      <c r="Y3019" t="s">
        <v>12538</v>
      </c>
      <c r="Z3019">
        <v>0</v>
      </c>
      <c r="AA3019">
        <v>1</v>
      </c>
      <c r="AB3019">
        <v>0</v>
      </c>
      <c r="AC3019">
        <v>0</v>
      </c>
      <c r="AD3019" t="s">
        <v>12539</v>
      </c>
      <c r="AE3019">
        <v>1</v>
      </c>
      <c r="AF3019">
        <v>1964</v>
      </c>
      <c r="AG3019">
        <v>1972</v>
      </c>
      <c r="AH3019">
        <v>7.3473467436245796</v>
      </c>
      <c r="AI3019">
        <v>1603.3333333333301</v>
      </c>
      <c r="AJ3019">
        <v>6.4862545331010404</v>
      </c>
      <c r="AK3019">
        <v>20.3333333333333</v>
      </c>
      <c r="AL3019">
        <v>1.2364257798113101</v>
      </c>
      <c r="AM3019">
        <v>0.19608405606613299</v>
      </c>
      <c r="AN3019">
        <v>10</v>
      </c>
      <c r="AO3019" t="b">
        <v>1</v>
      </c>
      <c r="AP3019" t="s">
        <v>45</v>
      </c>
      <c r="AQ3019">
        <v>1986</v>
      </c>
      <c r="AR3019">
        <v>2016</v>
      </c>
      <c r="AS3019" t="s">
        <v>12540</v>
      </c>
      <c r="AT3019">
        <v>7.6522929500342203</v>
      </c>
      <c r="AU3019">
        <f t="shared" si="143"/>
        <v>2.1000000000000001E-2</v>
      </c>
    </row>
    <row r="3020" spans="1:47" x14ac:dyDescent="0.3">
      <c r="A3020">
        <v>3018</v>
      </c>
      <c r="B3020" t="s">
        <v>12541</v>
      </c>
      <c r="C3020" t="s">
        <v>12542</v>
      </c>
      <c r="D3020">
        <v>740</v>
      </c>
      <c r="E3020" t="s">
        <v>12268</v>
      </c>
      <c r="F3020" t="str">
        <f>VLOOKUP(E3020,country_continent!A:C,2,FALSE)</f>
        <v>Japan</v>
      </c>
      <c r="G3020" t="str">
        <f>VLOOKUP(E3020,country_continent!A:C,3,FALSE)</f>
        <v>Asia</v>
      </c>
      <c r="H3020" t="s">
        <v>12543</v>
      </c>
      <c r="I3020" s="1">
        <v>26486</v>
      </c>
      <c r="J3020" s="3">
        <f t="shared" si="141"/>
        <v>26486</v>
      </c>
      <c r="K3020" s="1">
        <v>27372</v>
      </c>
      <c r="L3020" s="3">
        <f t="shared" si="142"/>
        <v>27372</v>
      </c>
      <c r="M3020" t="s">
        <v>49</v>
      </c>
      <c r="N3020" t="s">
        <v>49</v>
      </c>
      <c r="O3020" t="s">
        <v>49</v>
      </c>
      <c r="P3020">
        <v>0</v>
      </c>
      <c r="Q3020" t="s">
        <v>463</v>
      </c>
      <c r="R3020" t="s">
        <v>51</v>
      </c>
      <c r="S3020">
        <v>1918</v>
      </c>
      <c r="T3020">
        <v>1993</v>
      </c>
      <c r="U3020" s="1">
        <v>6699</v>
      </c>
      <c r="V3020" s="2">
        <v>6699</v>
      </c>
      <c r="Y3020" t="s">
        <v>12544</v>
      </c>
      <c r="Z3020">
        <v>0</v>
      </c>
      <c r="AA3020">
        <v>1</v>
      </c>
      <c r="AB3020">
        <v>0</v>
      </c>
      <c r="AC3020">
        <v>2</v>
      </c>
      <c r="AF3020">
        <v>1972</v>
      </c>
      <c r="AG3020">
        <v>1974</v>
      </c>
      <c r="AH3020">
        <v>3.6328947062834902</v>
      </c>
      <c r="AI3020">
        <v>3636.6666666666601</v>
      </c>
      <c r="AJ3020">
        <v>13.0399560679689</v>
      </c>
      <c r="AK3020">
        <v>14.9</v>
      </c>
      <c r="AL3020">
        <v>1.37918331354358</v>
      </c>
      <c r="AM3020">
        <v>0.21992005421865199</v>
      </c>
      <c r="AN3020">
        <v>10</v>
      </c>
      <c r="AO3020" t="b">
        <v>1</v>
      </c>
      <c r="AP3020" t="s">
        <v>45</v>
      </c>
      <c r="AQ3020">
        <v>1986</v>
      </c>
      <c r="AR3020">
        <v>2016</v>
      </c>
      <c r="AS3020" t="s">
        <v>12545</v>
      </c>
      <c r="AT3020">
        <v>2.4257357973990401</v>
      </c>
      <c r="AU3020">
        <f t="shared" si="143"/>
        <v>7.0000000000000001E-3</v>
      </c>
    </row>
    <row r="3021" spans="1:47" x14ac:dyDescent="0.3">
      <c r="A3021">
        <v>3019</v>
      </c>
      <c r="B3021" t="s">
        <v>12546</v>
      </c>
      <c r="C3021" t="s">
        <v>12547</v>
      </c>
      <c r="D3021">
        <v>740</v>
      </c>
      <c r="E3021" t="s">
        <v>12268</v>
      </c>
      <c r="F3021" t="str">
        <f>VLOOKUP(E3021,country_continent!A:C,2,FALSE)</f>
        <v>Japan</v>
      </c>
      <c r="G3021" t="str">
        <f>VLOOKUP(E3021,country_continent!A:C,3,FALSE)</f>
        <v>Asia</v>
      </c>
      <c r="H3021" t="s">
        <v>12548</v>
      </c>
      <c r="I3021" s="1">
        <v>27372</v>
      </c>
      <c r="J3021" s="3">
        <f t="shared" si="141"/>
        <v>27372</v>
      </c>
      <c r="K3021" s="1">
        <v>28118</v>
      </c>
      <c r="L3021" s="3">
        <f t="shared" si="142"/>
        <v>28118</v>
      </c>
      <c r="M3021" t="s">
        <v>49</v>
      </c>
      <c r="N3021" t="s">
        <v>49</v>
      </c>
      <c r="O3021" t="s">
        <v>49</v>
      </c>
      <c r="P3021">
        <v>0</v>
      </c>
      <c r="Q3021" t="s">
        <v>50</v>
      </c>
      <c r="R3021" t="s">
        <v>51</v>
      </c>
      <c r="S3021">
        <v>1907</v>
      </c>
      <c r="T3021">
        <v>1988</v>
      </c>
      <c r="U3021" s="1">
        <v>2633</v>
      </c>
      <c r="V3021" s="2">
        <v>2633</v>
      </c>
      <c r="Y3021" t="s">
        <v>12549</v>
      </c>
      <c r="Z3021">
        <v>0</v>
      </c>
      <c r="AA3021">
        <v>1</v>
      </c>
      <c r="AB3021">
        <v>0</v>
      </c>
      <c r="AC3021">
        <v>0</v>
      </c>
      <c r="AF3021">
        <v>1974</v>
      </c>
      <c r="AG3021">
        <v>1976</v>
      </c>
      <c r="AH3021">
        <v>0.708258179921604</v>
      </c>
      <c r="AI3021">
        <v>5066.6666666666597</v>
      </c>
      <c r="AJ3021">
        <v>11.998459254084599</v>
      </c>
      <c r="AK3021">
        <v>13.3</v>
      </c>
      <c r="AL3021">
        <v>1.22461646055393</v>
      </c>
      <c r="AM3021">
        <v>0.270389211000652</v>
      </c>
      <c r="AN3021">
        <v>10</v>
      </c>
      <c r="AO3021" t="b">
        <v>1</v>
      </c>
      <c r="AP3021" t="s">
        <v>45</v>
      </c>
      <c r="AQ3021">
        <v>1986</v>
      </c>
      <c r="AR3021">
        <v>2016</v>
      </c>
      <c r="AS3021" t="s">
        <v>12550</v>
      </c>
      <c r="AT3021">
        <v>2.0424366872005399</v>
      </c>
      <c r="AU3021">
        <f t="shared" si="143"/>
        <v>6.0000000000000001E-3</v>
      </c>
    </row>
    <row r="3022" spans="1:47" x14ac:dyDescent="0.3">
      <c r="A3022">
        <v>3020</v>
      </c>
      <c r="B3022" t="s">
        <v>12551</v>
      </c>
      <c r="C3022" t="s">
        <v>12552</v>
      </c>
      <c r="D3022">
        <v>740</v>
      </c>
      <c r="E3022" t="s">
        <v>12268</v>
      </c>
      <c r="F3022" t="str">
        <f>VLOOKUP(E3022,country_continent!A:C,2,FALSE)</f>
        <v>Japan</v>
      </c>
      <c r="G3022" t="str">
        <f>VLOOKUP(E3022,country_continent!A:C,3,FALSE)</f>
        <v>Asia</v>
      </c>
      <c r="H3022" t="s">
        <v>12553</v>
      </c>
      <c r="I3022" s="1">
        <v>28118</v>
      </c>
      <c r="J3022" s="3">
        <f t="shared" si="141"/>
        <v>28118</v>
      </c>
      <c r="K3022" s="1">
        <v>28831</v>
      </c>
      <c r="L3022" s="3">
        <f t="shared" si="142"/>
        <v>28831</v>
      </c>
      <c r="M3022" t="s">
        <v>49</v>
      </c>
      <c r="N3022" t="s">
        <v>49</v>
      </c>
      <c r="O3022" t="s">
        <v>49</v>
      </c>
      <c r="P3022">
        <v>0</v>
      </c>
      <c r="Q3022" t="s">
        <v>50</v>
      </c>
      <c r="R3022" t="s">
        <v>51</v>
      </c>
      <c r="S3022">
        <v>1905</v>
      </c>
      <c r="T3022">
        <v>1995</v>
      </c>
      <c r="U3022" s="1">
        <v>1841</v>
      </c>
      <c r="V3022" s="2">
        <v>1841</v>
      </c>
      <c r="Y3022" t="s">
        <v>12554</v>
      </c>
      <c r="Z3022">
        <v>0</v>
      </c>
      <c r="AA3022">
        <v>1</v>
      </c>
      <c r="AB3022">
        <v>0</v>
      </c>
      <c r="AC3022">
        <v>0</v>
      </c>
      <c r="AD3022" t="s">
        <v>12555</v>
      </c>
      <c r="AE3022">
        <v>0</v>
      </c>
      <c r="AF3022">
        <v>1976</v>
      </c>
      <c r="AG3022">
        <v>1978</v>
      </c>
      <c r="AH3022">
        <v>3.5232463091041701</v>
      </c>
      <c r="AI3022">
        <v>6350</v>
      </c>
      <c r="AJ3022">
        <v>6.4535838021436698</v>
      </c>
      <c r="AK3022">
        <v>11.8</v>
      </c>
      <c r="AL3022">
        <v>0.98320783749707397</v>
      </c>
      <c r="AM3022">
        <v>0.20979159732180999</v>
      </c>
      <c r="AN3022">
        <v>10</v>
      </c>
      <c r="AO3022" t="b">
        <v>1</v>
      </c>
      <c r="AP3022" t="s">
        <v>45</v>
      </c>
      <c r="AQ3022">
        <v>1986</v>
      </c>
      <c r="AR3022">
        <v>2016</v>
      </c>
      <c r="AS3022" t="s">
        <v>12556</v>
      </c>
      <c r="AT3022">
        <v>1.9520876112251799</v>
      </c>
      <c r="AU3022">
        <f t="shared" si="143"/>
        <v>5.0000000000000001E-3</v>
      </c>
    </row>
    <row r="3023" spans="1:47" x14ac:dyDescent="0.3">
      <c r="A3023">
        <v>3021</v>
      </c>
      <c r="B3023" t="s">
        <v>12557</v>
      </c>
      <c r="C3023" t="s">
        <v>12558</v>
      </c>
      <c r="D3023">
        <v>740</v>
      </c>
      <c r="E3023" t="s">
        <v>12268</v>
      </c>
      <c r="F3023" t="str">
        <f>VLOOKUP(E3023,country_continent!A:C,2,FALSE)</f>
        <v>Japan</v>
      </c>
      <c r="G3023" t="str">
        <f>VLOOKUP(E3023,country_continent!A:C,3,FALSE)</f>
        <v>Asia</v>
      </c>
      <c r="H3023" t="s">
        <v>12559</v>
      </c>
      <c r="I3023" s="1">
        <v>28831</v>
      </c>
      <c r="J3023" s="3">
        <f t="shared" si="141"/>
        <v>28831</v>
      </c>
      <c r="K3023" s="1">
        <v>29384</v>
      </c>
      <c r="L3023" s="3">
        <f t="shared" si="142"/>
        <v>29384</v>
      </c>
      <c r="M3023" t="s">
        <v>49</v>
      </c>
      <c r="N3023" t="s">
        <v>110</v>
      </c>
      <c r="O3023" t="s">
        <v>49</v>
      </c>
      <c r="P3023">
        <v>0</v>
      </c>
      <c r="Q3023" t="s">
        <v>111</v>
      </c>
      <c r="R3023" t="s">
        <v>51</v>
      </c>
      <c r="S3023">
        <v>1910</v>
      </c>
      <c r="T3023">
        <v>1980</v>
      </c>
      <c r="U3023" s="1">
        <v>3724</v>
      </c>
      <c r="V3023" s="2">
        <v>3724</v>
      </c>
      <c r="Y3023" t="s">
        <v>12560</v>
      </c>
      <c r="Z3023">
        <v>0</v>
      </c>
      <c r="AA3023">
        <v>2</v>
      </c>
      <c r="AB3023">
        <v>0</v>
      </c>
      <c r="AC3023">
        <v>-777</v>
      </c>
      <c r="AF3023">
        <v>1978</v>
      </c>
      <c r="AG3023">
        <v>1980</v>
      </c>
      <c r="AH3023">
        <v>3.6411547596259202</v>
      </c>
      <c r="AI3023">
        <v>9373.3333333333303</v>
      </c>
      <c r="AJ3023">
        <v>4.26445773893888</v>
      </c>
      <c r="AK3023">
        <v>10.5</v>
      </c>
      <c r="AL3023">
        <v>0.84826631827466203</v>
      </c>
      <c r="AM3023">
        <v>0.185573567511327</v>
      </c>
      <c r="AN3023">
        <v>10</v>
      </c>
      <c r="AO3023" t="b">
        <v>1</v>
      </c>
      <c r="AP3023" t="s">
        <v>45</v>
      </c>
      <c r="AQ3023">
        <v>1986</v>
      </c>
      <c r="AR3023">
        <v>2016</v>
      </c>
      <c r="AS3023" t="s">
        <v>12561</v>
      </c>
      <c r="AT3023">
        <v>1.51403148528405</v>
      </c>
      <c r="AU3023">
        <f t="shared" si="143"/>
        <v>4.0000000000000001E-3</v>
      </c>
    </row>
    <row r="3024" spans="1:47" x14ac:dyDescent="0.3">
      <c r="A3024">
        <v>3022</v>
      </c>
      <c r="B3024" t="s">
        <v>12562</v>
      </c>
      <c r="C3024" t="s">
        <v>12563</v>
      </c>
      <c r="D3024">
        <v>740</v>
      </c>
      <c r="E3024" t="s">
        <v>12268</v>
      </c>
      <c r="F3024" t="str">
        <f>VLOOKUP(E3024,country_continent!A:C,2,FALSE)</f>
        <v>Japan</v>
      </c>
      <c r="G3024" t="str">
        <f>VLOOKUP(E3024,country_continent!A:C,3,FALSE)</f>
        <v>Asia</v>
      </c>
      <c r="H3024" t="s">
        <v>12564</v>
      </c>
      <c r="I3024" s="1">
        <v>29384</v>
      </c>
      <c r="J3024" s="3">
        <f t="shared" si="141"/>
        <v>29384</v>
      </c>
      <c r="K3024" s="1">
        <v>29419</v>
      </c>
      <c r="L3024" s="3">
        <f t="shared" si="142"/>
        <v>29419</v>
      </c>
      <c r="M3024" t="s">
        <v>49</v>
      </c>
      <c r="N3024" t="s">
        <v>49</v>
      </c>
      <c r="O3024" t="s">
        <v>49</v>
      </c>
      <c r="P3024">
        <v>0</v>
      </c>
      <c r="Q3024" t="s">
        <v>50</v>
      </c>
      <c r="R3024" t="s">
        <v>51</v>
      </c>
      <c r="S3024">
        <v>1913</v>
      </c>
      <c r="T3024">
        <v>1994</v>
      </c>
      <c r="U3024" s="1">
        <v>5098</v>
      </c>
      <c r="V3024" s="2">
        <v>5098</v>
      </c>
      <c r="Y3024" t="s">
        <v>12565</v>
      </c>
      <c r="Z3024">
        <v>0</v>
      </c>
      <c r="AA3024">
        <v>1</v>
      </c>
      <c r="AB3024">
        <v>0</v>
      </c>
      <c r="AC3024">
        <v>0</v>
      </c>
      <c r="AF3024">
        <v>1980</v>
      </c>
      <c r="AG3024">
        <v>1980</v>
      </c>
      <c r="AH3024">
        <v>2.0104158573361199</v>
      </c>
      <c r="AI3024">
        <v>11000</v>
      </c>
      <c r="AJ3024">
        <v>5.4379838963539502</v>
      </c>
      <c r="AK3024">
        <v>9.9</v>
      </c>
      <c r="AL3024">
        <v>0.78815347588554197</v>
      </c>
      <c r="AM3024">
        <v>0.16089795426304199</v>
      </c>
      <c r="AN3024">
        <v>10</v>
      </c>
      <c r="AO3024" t="b">
        <v>1</v>
      </c>
      <c r="AP3024" t="s">
        <v>45</v>
      </c>
      <c r="AQ3024">
        <v>1986</v>
      </c>
      <c r="AR3024">
        <v>2016</v>
      </c>
      <c r="AS3024" t="s">
        <v>12566</v>
      </c>
      <c r="AT3024">
        <v>9.5824777549623499E-2</v>
      </c>
      <c r="AU3024">
        <f t="shared" si="143"/>
        <v>0</v>
      </c>
    </row>
    <row r="3025" spans="1:47" x14ac:dyDescent="0.3">
      <c r="A3025">
        <v>3023</v>
      </c>
      <c r="B3025" t="s">
        <v>12567</v>
      </c>
      <c r="C3025" t="s">
        <v>12568</v>
      </c>
      <c r="D3025">
        <v>740</v>
      </c>
      <c r="E3025" t="s">
        <v>12268</v>
      </c>
      <c r="F3025" t="str">
        <f>VLOOKUP(E3025,country_continent!A:C,2,FALSE)</f>
        <v>Japan</v>
      </c>
      <c r="G3025" t="str">
        <f>VLOOKUP(E3025,country_continent!A:C,3,FALSE)</f>
        <v>Asia</v>
      </c>
      <c r="H3025" t="s">
        <v>12569</v>
      </c>
      <c r="I3025" s="1">
        <v>29419</v>
      </c>
      <c r="J3025" s="3">
        <f t="shared" si="141"/>
        <v>29419</v>
      </c>
      <c r="K3025" s="1">
        <v>30281</v>
      </c>
      <c r="L3025" s="3">
        <f t="shared" si="142"/>
        <v>30281</v>
      </c>
      <c r="M3025" t="s">
        <v>49</v>
      </c>
      <c r="N3025" t="s">
        <v>49</v>
      </c>
      <c r="O3025" t="s">
        <v>49</v>
      </c>
      <c r="P3025">
        <v>0</v>
      </c>
      <c r="Q3025" t="s">
        <v>50</v>
      </c>
      <c r="R3025" t="s">
        <v>51</v>
      </c>
      <c r="S3025">
        <v>1911</v>
      </c>
      <c r="T3025">
        <v>2004</v>
      </c>
      <c r="U3025" s="1">
        <v>4029</v>
      </c>
      <c r="V3025" s="2">
        <v>4029</v>
      </c>
      <c r="Y3025" t="s">
        <v>12570</v>
      </c>
      <c r="Z3025">
        <v>0</v>
      </c>
      <c r="AA3025">
        <v>1</v>
      </c>
      <c r="AB3025">
        <v>0</v>
      </c>
      <c r="AC3025">
        <v>0</v>
      </c>
      <c r="AF3025">
        <v>1980</v>
      </c>
      <c r="AG3025">
        <v>1982</v>
      </c>
      <c r="AH3025">
        <v>2.69337252345683</v>
      </c>
      <c r="AI3025">
        <v>10996.666666666601</v>
      </c>
      <c r="AJ3025">
        <v>3.3517230478181399</v>
      </c>
      <c r="AK3025">
        <v>9.3333333333333304</v>
      </c>
      <c r="AL3025">
        <v>0.73675682044145796</v>
      </c>
      <c r="AM3025">
        <v>0.142926365284373</v>
      </c>
      <c r="AN3025">
        <v>10</v>
      </c>
      <c r="AO3025" t="b">
        <v>1</v>
      </c>
      <c r="AP3025" t="s">
        <v>45</v>
      </c>
      <c r="AQ3025">
        <v>1986</v>
      </c>
      <c r="AR3025">
        <v>2016</v>
      </c>
      <c r="AS3025" t="s">
        <v>12571</v>
      </c>
      <c r="AT3025">
        <v>2.36002737850787</v>
      </c>
      <c r="AU3025">
        <f t="shared" si="143"/>
        <v>6.0000000000000001E-3</v>
      </c>
    </row>
    <row r="3026" spans="1:47" x14ac:dyDescent="0.3">
      <c r="A3026">
        <v>3024</v>
      </c>
      <c r="B3026" t="s">
        <v>12572</v>
      </c>
      <c r="C3026" t="s">
        <v>12573</v>
      </c>
      <c r="D3026">
        <v>740</v>
      </c>
      <c r="E3026" t="s">
        <v>12268</v>
      </c>
      <c r="F3026" t="str">
        <f>VLOOKUP(E3026,country_continent!A:C,2,FALSE)</f>
        <v>Japan</v>
      </c>
      <c r="G3026" t="str">
        <f>VLOOKUP(E3026,country_continent!A:C,3,FALSE)</f>
        <v>Asia</v>
      </c>
      <c r="H3026" t="s">
        <v>12574</v>
      </c>
      <c r="I3026" s="1">
        <v>30281</v>
      </c>
      <c r="J3026" s="3">
        <f t="shared" si="141"/>
        <v>30281</v>
      </c>
      <c r="K3026" s="1">
        <v>32087</v>
      </c>
      <c r="L3026" s="3">
        <f t="shared" si="142"/>
        <v>32087</v>
      </c>
      <c r="M3026" t="s">
        <v>49</v>
      </c>
      <c r="N3026" t="s">
        <v>49</v>
      </c>
      <c r="O3026" t="s">
        <v>49</v>
      </c>
      <c r="P3026">
        <v>0</v>
      </c>
      <c r="Q3026" t="s">
        <v>50</v>
      </c>
      <c r="R3026" t="s">
        <v>51</v>
      </c>
      <c r="S3026">
        <v>1918</v>
      </c>
      <c r="T3026">
        <v>-777</v>
      </c>
      <c r="U3026" s="1">
        <v>6722</v>
      </c>
      <c r="V3026" s="2">
        <v>6722</v>
      </c>
      <c r="Y3026" t="s">
        <v>12575</v>
      </c>
      <c r="Z3026">
        <v>0</v>
      </c>
      <c r="AA3026">
        <v>1</v>
      </c>
      <c r="AB3026">
        <v>0</v>
      </c>
      <c r="AC3026">
        <v>0</v>
      </c>
      <c r="AF3026">
        <v>1982</v>
      </c>
      <c r="AG3026">
        <v>1987</v>
      </c>
      <c r="AH3026">
        <v>3.4347856270352102</v>
      </c>
      <c r="AI3026">
        <v>12638.333333333299</v>
      </c>
      <c r="AJ3026">
        <v>1.1364568848302801</v>
      </c>
      <c r="AK3026">
        <v>7.7333333333333298</v>
      </c>
      <c r="AL3026">
        <v>0.61298083603143605</v>
      </c>
      <c r="AM3026">
        <v>8.3939535782953698E-2</v>
      </c>
      <c r="AN3026">
        <v>10</v>
      </c>
      <c r="AO3026" t="b">
        <v>1</v>
      </c>
      <c r="AP3026" t="s">
        <v>45</v>
      </c>
      <c r="AQ3026">
        <v>1986</v>
      </c>
      <c r="AR3026">
        <v>2016</v>
      </c>
      <c r="AS3026" t="s">
        <v>12576</v>
      </c>
      <c r="AT3026">
        <v>4.9445585215605696</v>
      </c>
      <c r="AU3026">
        <f t="shared" si="143"/>
        <v>1.4E-2</v>
      </c>
    </row>
    <row r="3027" spans="1:47" x14ac:dyDescent="0.3">
      <c r="A3027">
        <v>3025</v>
      </c>
      <c r="B3027" t="s">
        <v>12577</v>
      </c>
      <c r="C3027" t="s">
        <v>12578</v>
      </c>
      <c r="D3027">
        <v>740</v>
      </c>
      <c r="E3027" t="s">
        <v>12268</v>
      </c>
      <c r="F3027" t="str">
        <f>VLOOKUP(E3027,country_continent!A:C,2,FALSE)</f>
        <v>Japan</v>
      </c>
      <c r="G3027" t="str">
        <f>VLOOKUP(E3027,country_continent!A:C,3,FALSE)</f>
        <v>Asia</v>
      </c>
      <c r="H3027" t="s">
        <v>12579</v>
      </c>
      <c r="I3027" s="1">
        <v>32087</v>
      </c>
      <c r="J3027" s="3">
        <f t="shared" si="141"/>
        <v>32087</v>
      </c>
      <c r="K3027" s="1">
        <v>32661</v>
      </c>
      <c r="L3027" s="3">
        <f t="shared" si="142"/>
        <v>32661</v>
      </c>
      <c r="M3027" t="s">
        <v>49</v>
      </c>
      <c r="N3027" t="s">
        <v>49</v>
      </c>
      <c r="O3027" t="s">
        <v>49</v>
      </c>
      <c r="P3027">
        <v>0</v>
      </c>
      <c r="Q3027" t="s">
        <v>50</v>
      </c>
      <c r="R3027" t="s">
        <v>51</v>
      </c>
      <c r="S3027">
        <v>1924</v>
      </c>
      <c r="T3027">
        <v>2000</v>
      </c>
      <c r="U3027" s="1">
        <v>8823</v>
      </c>
      <c r="V3027" s="2">
        <v>8823</v>
      </c>
      <c r="Y3027" t="s">
        <v>12580</v>
      </c>
      <c r="Z3027">
        <v>0</v>
      </c>
      <c r="AA3027">
        <v>1</v>
      </c>
      <c r="AB3027">
        <v>0</v>
      </c>
      <c r="AC3027">
        <v>0</v>
      </c>
      <c r="AF3027">
        <v>1987</v>
      </c>
      <c r="AG3027">
        <v>1989</v>
      </c>
      <c r="AH3027">
        <v>4.9571764337739603</v>
      </c>
      <c r="AI3027">
        <v>23683.333333333299</v>
      </c>
      <c r="AJ3027">
        <v>0.83834794990259298</v>
      </c>
      <c r="AK3027">
        <v>6.5999999999999899</v>
      </c>
      <c r="AL3027">
        <v>0.432635667891419</v>
      </c>
      <c r="AM3027">
        <v>3.74544272649305E-2</v>
      </c>
      <c r="AN3027">
        <v>10</v>
      </c>
      <c r="AO3027" t="b">
        <v>1</v>
      </c>
      <c r="AP3027" t="s">
        <v>45</v>
      </c>
      <c r="AQ3027">
        <v>1986</v>
      </c>
      <c r="AR3027">
        <v>2016</v>
      </c>
      <c r="AS3027" t="s">
        <v>12581</v>
      </c>
      <c r="AT3027">
        <v>1.5715263518138201</v>
      </c>
      <c r="AU3027">
        <f t="shared" si="143"/>
        <v>4.0000000000000001E-3</v>
      </c>
    </row>
    <row r="3028" spans="1:47" x14ac:dyDescent="0.3">
      <c r="A3028">
        <v>3026</v>
      </c>
      <c r="B3028" t="s">
        <v>12582</v>
      </c>
      <c r="C3028" t="s">
        <v>12583</v>
      </c>
      <c r="D3028">
        <v>740</v>
      </c>
      <c r="E3028" t="s">
        <v>12268</v>
      </c>
      <c r="F3028" t="str">
        <f>VLOOKUP(E3028,country_continent!A:C,2,FALSE)</f>
        <v>Japan</v>
      </c>
      <c r="G3028" t="str">
        <f>VLOOKUP(E3028,country_continent!A:C,3,FALSE)</f>
        <v>Asia</v>
      </c>
      <c r="H3028" t="s">
        <v>12584</v>
      </c>
      <c r="I3028" s="1">
        <v>32661</v>
      </c>
      <c r="J3028" s="3">
        <f t="shared" si="141"/>
        <v>32661</v>
      </c>
      <c r="K3028" s="1">
        <v>32729</v>
      </c>
      <c r="L3028" s="3">
        <f t="shared" si="142"/>
        <v>32729</v>
      </c>
      <c r="M3028" t="s">
        <v>49</v>
      </c>
      <c r="N3028" t="s">
        <v>49</v>
      </c>
      <c r="O3028" t="s">
        <v>49</v>
      </c>
      <c r="P3028">
        <v>0</v>
      </c>
      <c r="Q3028" t="s">
        <v>50</v>
      </c>
      <c r="R3028" t="s">
        <v>51</v>
      </c>
      <c r="S3028">
        <v>1922</v>
      </c>
      <c r="T3028">
        <v>1998</v>
      </c>
      <c r="U3028" s="1">
        <v>8275</v>
      </c>
      <c r="V3028" s="2">
        <v>8275</v>
      </c>
      <c r="Y3028" t="s">
        <v>12585</v>
      </c>
      <c r="Z3028">
        <v>0</v>
      </c>
      <c r="AA3028">
        <v>1</v>
      </c>
      <c r="AB3028">
        <v>0</v>
      </c>
      <c r="AC3028">
        <v>0</v>
      </c>
      <c r="AF3028">
        <v>1989</v>
      </c>
      <c r="AG3028">
        <v>1989</v>
      </c>
      <c r="AH3028">
        <v>4.5071701596382301</v>
      </c>
      <c r="AI3028">
        <v>27480</v>
      </c>
      <c r="AJ3028">
        <v>2.0690402463724999</v>
      </c>
      <c r="AK3028">
        <v>6.4</v>
      </c>
      <c r="AL3028">
        <v>0.399761164504292</v>
      </c>
      <c r="AM3028">
        <v>3.9902704693498499E-2</v>
      </c>
      <c r="AN3028">
        <v>10</v>
      </c>
      <c r="AO3028" t="b">
        <v>1</v>
      </c>
      <c r="AP3028" t="s">
        <v>45</v>
      </c>
      <c r="AQ3028">
        <v>1986</v>
      </c>
      <c r="AR3028">
        <v>2016</v>
      </c>
      <c r="AS3028" t="s">
        <v>12586</v>
      </c>
      <c r="AT3028">
        <v>0.186173853524982</v>
      </c>
      <c r="AU3028">
        <f t="shared" si="143"/>
        <v>1E-3</v>
      </c>
    </row>
    <row r="3029" spans="1:47" x14ac:dyDescent="0.3">
      <c r="A3029">
        <v>3027</v>
      </c>
      <c r="B3029" t="s">
        <v>12587</v>
      </c>
      <c r="C3029" t="s">
        <v>12588</v>
      </c>
      <c r="D3029">
        <v>740</v>
      </c>
      <c r="E3029" t="s">
        <v>12268</v>
      </c>
      <c r="F3029" t="str">
        <f>VLOOKUP(E3029,country_continent!A:C,2,FALSE)</f>
        <v>Japan</v>
      </c>
      <c r="G3029" t="str">
        <f>VLOOKUP(E3029,country_continent!A:C,3,FALSE)</f>
        <v>Asia</v>
      </c>
      <c r="H3029" t="s">
        <v>12589</v>
      </c>
      <c r="I3029" s="1">
        <v>32729</v>
      </c>
      <c r="J3029" s="3">
        <f t="shared" si="141"/>
        <v>32729</v>
      </c>
      <c r="K3029" s="1">
        <v>33548</v>
      </c>
      <c r="L3029" s="3">
        <f t="shared" si="142"/>
        <v>33548</v>
      </c>
      <c r="M3029" t="s">
        <v>49</v>
      </c>
      <c r="N3029" t="s">
        <v>49</v>
      </c>
      <c r="O3029" t="s">
        <v>49</v>
      </c>
      <c r="P3029">
        <v>0</v>
      </c>
      <c r="Q3029" t="s">
        <v>50</v>
      </c>
      <c r="R3029" t="s">
        <v>51</v>
      </c>
      <c r="S3029">
        <v>1931</v>
      </c>
      <c r="T3029">
        <v>-777</v>
      </c>
      <c r="U3029" s="1">
        <v>11325</v>
      </c>
      <c r="V3029" s="2">
        <v>11325</v>
      </c>
      <c r="Y3029" t="s">
        <v>12590</v>
      </c>
      <c r="Z3029">
        <v>0</v>
      </c>
      <c r="AA3029">
        <v>1</v>
      </c>
      <c r="AB3029">
        <v>0</v>
      </c>
      <c r="AC3029">
        <v>0</v>
      </c>
      <c r="AF3029">
        <v>1989</v>
      </c>
      <c r="AG3029">
        <v>1991</v>
      </c>
      <c r="AH3029">
        <v>4.0394419989106698</v>
      </c>
      <c r="AI3029">
        <v>28313.333333333299</v>
      </c>
      <c r="AJ3029">
        <v>2.5126717907914302</v>
      </c>
      <c r="AK3029">
        <v>6.3</v>
      </c>
      <c r="AL3029">
        <v>0.37478796078329801</v>
      </c>
      <c r="AM3029">
        <v>3.5238910474811098E-2</v>
      </c>
      <c r="AN3029">
        <v>10</v>
      </c>
      <c r="AO3029" t="b">
        <v>1</v>
      </c>
      <c r="AP3029" t="s">
        <v>45</v>
      </c>
      <c r="AQ3029">
        <v>1986</v>
      </c>
      <c r="AR3029">
        <v>2016</v>
      </c>
      <c r="AS3029" t="s">
        <v>12591</v>
      </c>
      <c r="AT3029">
        <v>2.2422997946611898</v>
      </c>
      <c r="AU3029">
        <f t="shared" si="143"/>
        <v>6.0000000000000001E-3</v>
      </c>
    </row>
    <row r="3030" spans="1:47" x14ac:dyDescent="0.3">
      <c r="A3030">
        <v>3028</v>
      </c>
      <c r="B3030" t="s">
        <v>12592</v>
      </c>
      <c r="C3030" t="s">
        <v>12593</v>
      </c>
      <c r="D3030">
        <v>740</v>
      </c>
      <c r="E3030" t="s">
        <v>12268</v>
      </c>
      <c r="F3030" t="str">
        <f>VLOOKUP(E3030,country_continent!A:C,2,FALSE)</f>
        <v>Japan</v>
      </c>
      <c r="G3030" t="str">
        <f>VLOOKUP(E3030,country_continent!A:C,3,FALSE)</f>
        <v>Asia</v>
      </c>
      <c r="H3030" t="s">
        <v>12594</v>
      </c>
      <c r="I3030" s="1">
        <v>33548</v>
      </c>
      <c r="J3030" s="3">
        <f t="shared" si="141"/>
        <v>33548</v>
      </c>
      <c r="K3030" s="1">
        <v>34190</v>
      </c>
      <c r="L3030" s="3">
        <f t="shared" si="142"/>
        <v>34190</v>
      </c>
      <c r="M3030" t="s">
        <v>49</v>
      </c>
      <c r="N3030" t="s">
        <v>49</v>
      </c>
      <c r="O3030" t="s">
        <v>49</v>
      </c>
      <c r="P3030">
        <v>0</v>
      </c>
      <c r="Q3030" t="s">
        <v>50</v>
      </c>
      <c r="R3030" t="s">
        <v>51</v>
      </c>
      <c r="S3030">
        <v>1919</v>
      </c>
      <c r="T3030">
        <v>2007</v>
      </c>
      <c r="U3030" s="1">
        <v>7221</v>
      </c>
      <c r="V3030" s="2">
        <v>7221</v>
      </c>
      <c r="Y3030" t="s">
        <v>12595</v>
      </c>
      <c r="Z3030">
        <v>0</v>
      </c>
      <c r="AA3030">
        <v>1</v>
      </c>
      <c r="AB3030">
        <v>0</v>
      </c>
      <c r="AC3030">
        <v>0</v>
      </c>
      <c r="AF3030">
        <v>1991</v>
      </c>
      <c r="AG3030">
        <v>1993</v>
      </c>
      <c r="AH3030">
        <v>0.95428781380211503</v>
      </c>
      <c r="AI3030">
        <v>31396.666666666599</v>
      </c>
      <c r="AJ3030">
        <v>1.70341707335168</v>
      </c>
      <c r="AK3030">
        <v>6.1</v>
      </c>
      <c r="AL3030">
        <v>0.36272660627470599</v>
      </c>
      <c r="AM3030">
        <v>2.5507394408886799E-2</v>
      </c>
      <c r="AN3030">
        <v>10</v>
      </c>
      <c r="AO3030" t="b">
        <v>1</v>
      </c>
      <c r="AP3030" t="s">
        <v>45</v>
      </c>
      <c r="AQ3030">
        <v>1986</v>
      </c>
      <c r="AR3030">
        <v>2016</v>
      </c>
      <c r="AS3030" t="s">
        <v>12596</v>
      </c>
      <c r="AT3030">
        <v>1.7577002053388</v>
      </c>
      <c r="AU3030">
        <f t="shared" si="143"/>
        <v>5.0000000000000001E-3</v>
      </c>
    </row>
    <row r="3031" spans="1:47" x14ac:dyDescent="0.3">
      <c r="A3031">
        <v>3029</v>
      </c>
      <c r="B3031" t="s">
        <v>12597</v>
      </c>
      <c r="C3031" t="s">
        <v>12598</v>
      </c>
      <c r="D3031">
        <v>740</v>
      </c>
      <c r="E3031" t="s">
        <v>12268</v>
      </c>
      <c r="F3031" t="str">
        <f>VLOOKUP(E3031,country_continent!A:C,2,FALSE)</f>
        <v>Japan</v>
      </c>
      <c r="G3031" t="str">
        <f>VLOOKUP(E3031,country_continent!A:C,3,FALSE)</f>
        <v>Asia</v>
      </c>
      <c r="H3031" t="s">
        <v>12599</v>
      </c>
      <c r="I3031" s="1">
        <v>34190</v>
      </c>
      <c r="J3031" s="3">
        <f t="shared" si="141"/>
        <v>34190</v>
      </c>
      <c r="K3031" s="1">
        <v>34449</v>
      </c>
      <c r="L3031" s="3">
        <f t="shared" si="142"/>
        <v>34449</v>
      </c>
      <c r="M3031" t="s">
        <v>49</v>
      </c>
      <c r="N3031" t="s">
        <v>49</v>
      </c>
      <c r="O3031" t="s">
        <v>49</v>
      </c>
      <c r="P3031">
        <v>0</v>
      </c>
      <c r="Q3031" t="s">
        <v>50</v>
      </c>
      <c r="R3031" t="s">
        <v>51</v>
      </c>
      <c r="S3031">
        <v>1938</v>
      </c>
      <c r="T3031">
        <v>-777</v>
      </c>
      <c r="U3031" s="1">
        <v>13894</v>
      </c>
      <c r="V3031" s="2">
        <v>13894</v>
      </c>
      <c r="Y3031" t="s">
        <v>12600</v>
      </c>
      <c r="Z3031">
        <v>0</v>
      </c>
      <c r="AA3031">
        <v>1</v>
      </c>
      <c r="AB3031">
        <v>0</v>
      </c>
      <c r="AC3031">
        <v>0</v>
      </c>
      <c r="AD3031" t="s">
        <v>12601</v>
      </c>
      <c r="AE3031">
        <v>1</v>
      </c>
      <c r="AF3031">
        <v>1993</v>
      </c>
      <c r="AG3031">
        <v>1994</v>
      </c>
      <c r="AH3031">
        <v>1.0091728455286299E-2</v>
      </c>
      <c r="AI3031">
        <v>35860</v>
      </c>
      <c r="AJ3031">
        <v>0.35760963582509198</v>
      </c>
      <c r="AK3031">
        <v>5.95</v>
      </c>
      <c r="AL3031">
        <v>0.30167998155870102</v>
      </c>
      <c r="AM3031">
        <v>2.0470698958176301E-2</v>
      </c>
      <c r="AN3031">
        <v>10</v>
      </c>
      <c r="AO3031" t="b">
        <v>1</v>
      </c>
      <c r="AP3031" t="s">
        <v>45</v>
      </c>
      <c r="AQ3031">
        <v>1986</v>
      </c>
      <c r="AR3031">
        <v>2016</v>
      </c>
      <c r="AS3031" t="s">
        <v>12602</v>
      </c>
      <c r="AT3031">
        <v>0.70910335386721401</v>
      </c>
      <c r="AU3031">
        <f t="shared" si="143"/>
        <v>2E-3</v>
      </c>
    </row>
    <row r="3032" spans="1:47" x14ac:dyDescent="0.3">
      <c r="A3032">
        <v>3030</v>
      </c>
      <c r="B3032" t="s">
        <v>12603</v>
      </c>
      <c r="C3032" t="s">
        <v>12604</v>
      </c>
      <c r="D3032">
        <v>740</v>
      </c>
      <c r="E3032" t="s">
        <v>12268</v>
      </c>
      <c r="F3032" t="str">
        <f>VLOOKUP(E3032,country_continent!A:C,2,FALSE)</f>
        <v>Japan</v>
      </c>
      <c r="G3032" t="str">
        <f>VLOOKUP(E3032,country_continent!A:C,3,FALSE)</f>
        <v>Asia</v>
      </c>
      <c r="H3032" t="s">
        <v>12605</v>
      </c>
      <c r="I3032" s="1">
        <v>34449</v>
      </c>
      <c r="J3032" s="3">
        <f t="shared" si="141"/>
        <v>34449</v>
      </c>
      <c r="K3032" s="1">
        <v>34514</v>
      </c>
      <c r="L3032" s="3">
        <f t="shared" si="142"/>
        <v>34514</v>
      </c>
      <c r="M3032" t="s">
        <v>49</v>
      </c>
      <c r="N3032" t="s">
        <v>49</v>
      </c>
      <c r="O3032" t="s">
        <v>49</v>
      </c>
      <c r="P3032">
        <v>0</v>
      </c>
      <c r="Q3032" t="s">
        <v>50</v>
      </c>
      <c r="R3032" t="s">
        <v>51</v>
      </c>
      <c r="S3032">
        <v>1935</v>
      </c>
      <c r="T3032">
        <v>-777</v>
      </c>
      <c r="U3032" s="1">
        <v>13020</v>
      </c>
      <c r="V3032" s="2">
        <v>13020</v>
      </c>
      <c r="Y3032" t="s">
        <v>12606</v>
      </c>
      <c r="Z3032">
        <v>0</v>
      </c>
      <c r="AA3032">
        <v>1</v>
      </c>
      <c r="AB3032">
        <v>0</v>
      </c>
      <c r="AC3032">
        <v>0</v>
      </c>
      <c r="AF3032">
        <v>1994</v>
      </c>
      <c r="AG3032">
        <v>1994</v>
      </c>
      <c r="AH3032">
        <v>0.80155968514658504</v>
      </c>
      <c r="AI3032">
        <v>37630</v>
      </c>
      <c r="AJ3032">
        <v>0.18680862925910399</v>
      </c>
      <c r="AK3032">
        <v>5.9</v>
      </c>
      <c r="AL3032">
        <v>0.27919236397367198</v>
      </c>
      <c r="AM3032">
        <v>1.8282039617782499E-2</v>
      </c>
      <c r="AN3032">
        <v>10</v>
      </c>
      <c r="AO3032" t="b">
        <v>1</v>
      </c>
      <c r="AP3032" t="s">
        <v>45</v>
      </c>
      <c r="AQ3032">
        <v>1986</v>
      </c>
      <c r="AR3032">
        <v>2016</v>
      </c>
      <c r="AS3032" t="s">
        <v>12607</v>
      </c>
      <c r="AT3032">
        <v>0.17796030116358599</v>
      </c>
      <c r="AU3032">
        <f t="shared" si="143"/>
        <v>0</v>
      </c>
    </row>
    <row r="3033" spans="1:47" x14ac:dyDescent="0.3">
      <c r="A3033">
        <v>3031</v>
      </c>
      <c r="B3033" t="s">
        <v>12608</v>
      </c>
      <c r="C3033" t="s">
        <v>12609</v>
      </c>
      <c r="D3033">
        <v>740</v>
      </c>
      <c r="E3033" t="s">
        <v>12268</v>
      </c>
      <c r="F3033" t="str">
        <f>VLOOKUP(E3033,country_continent!A:C,2,FALSE)</f>
        <v>Japan</v>
      </c>
      <c r="G3033" t="str">
        <f>VLOOKUP(E3033,country_continent!A:C,3,FALSE)</f>
        <v>Asia</v>
      </c>
      <c r="H3033" t="s">
        <v>12610</v>
      </c>
      <c r="I3033" s="1">
        <v>34514</v>
      </c>
      <c r="J3033" s="3">
        <f t="shared" si="141"/>
        <v>34514</v>
      </c>
      <c r="K3033" s="1">
        <v>35075</v>
      </c>
      <c r="L3033" s="3">
        <f t="shared" si="142"/>
        <v>35075</v>
      </c>
      <c r="M3033" t="s">
        <v>49</v>
      </c>
      <c r="N3033" t="s">
        <v>49</v>
      </c>
      <c r="O3033" t="s">
        <v>49</v>
      </c>
      <c r="P3033">
        <v>0</v>
      </c>
      <c r="Q3033" t="s">
        <v>50</v>
      </c>
      <c r="R3033" t="s">
        <v>51</v>
      </c>
      <c r="S3033">
        <v>1924</v>
      </c>
      <c r="T3033">
        <v>-777</v>
      </c>
      <c r="Z3033">
        <v>0</v>
      </c>
      <c r="AA3033">
        <v>1</v>
      </c>
      <c r="AB3033">
        <v>0</v>
      </c>
      <c r="AC3033">
        <v>0</v>
      </c>
      <c r="AF3033">
        <v>1994</v>
      </c>
      <c r="AG3033">
        <v>1996</v>
      </c>
      <c r="AH3033">
        <v>2.03074015915039</v>
      </c>
      <c r="AI3033">
        <v>41470</v>
      </c>
      <c r="AJ3033">
        <v>-0.26080858252357503</v>
      </c>
      <c r="AK3033">
        <v>5.7</v>
      </c>
      <c r="AL3033">
        <v>0.24688908994916201</v>
      </c>
      <c r="AM3033">
        <v>1.81288757069153E-2</v>
      </c>
      <c r="AN3033">
        <v>10</v>
      </c>
      <c r="AO3033" t="b">
        <v>1</v>
      </c>
      <c r="AP3033" t="s">
        <v>45</v>
      </c>
      <c r="AQ3033">
        <v>1986</v>
      </c>
      <c r="AR3033">
        <v>2016</v>
      </c>
      <c r="AS3033" t="s">
        <v>12611</v>
      </c>
      <c r="AT3033">
        <v>1.5359342915811001</v>
      </c>
      <c r="AU3033">
        <f t="shared" si="143"/>
        <v>4.0000000000000001E-3</v>
      </c>
    </row>
    <row r="3034" spans="1:47" x14ac:dyDescent="0.3">
      <c r="A3034">
        <v>3032</v>
      </c>
      <c r="B3034" t="s">
        <v>12612</v>
      </c>
      <c r="C3034" t="s">
        <v>12613</v>
      </c>
      <c r="D3034">
        <v>740</v>
      </c>
      <c r="E3034" t="s">
        <v>12268</v>
      </c>
      <c r="F3034" t="str">
        <f>VLOOKUP(E3034,country_continent!A:C,2,FALSE)</f>
        <v>Japan</v>
      </c>
      <c r="G3034" t="str">
        <f>VLOOKUP(E3034,country_continent!A:C,3,FALSE)</f>
        <v>Asia</v>
      </c>
      <c r="H3034" t="s">
        <v>12614</v>
      </c>
      <c r="I3034" s="1">
        <v>35075</v>
      </c>
      <c r="J3034" s="3">
        <f t="shared" si="141"/>
        <v>35075</v>
      </c>
      <c r="K3034" s="1">
        <v>36006</v>
      </c>
      <c r="L3034" s="3">
        <f t="shared" si="142"/>
        <v>36006</v>
      </c>
      <c r="M3034" t="s">
        <v>49</v>
      </c>
      <c r="N3034" t="s">
        <v>49</v>
      </c>
      <c r="O3034" t="s">
        <v>49</v>
      </c>
      <c r="P3034">
        <v>0</v>
      </c>
      <c r="Q3034" t="s">
        <v>50</v>
      </c>
      <c r="R3034" t="s">
        <v>51</v>
      </c>
      <c r="S3034">
        <v>1937</v>
      </c>
      <c r="T3034">
        <v>2006</v>
      </c>
      <c r="U3034" s="1">
        <v>13725</v>
      </c>
      <c r="V3034" s="2">
        <v>13725</v>
      </c>
      <c r="Y3034" t="s">
        <v>12615</v>
      </c>
      <c r="Z3034">
        <v>0</v>
      </c>
      <c r="AA3034">
        <v>1</v>
      </c>
      <c r="AB3034">
        <v>0</v>
      </c>
      <c r="AC3034">
        <v>0</v>
      </c>
      <c r="AF3034">
        <v>1996</v>
      </c>
      <c r="AG3034">
        <v>1998</v>
      </c>
      <c r="AH3034">
        <v>0.70093437045413898</v>
      </c>
      <c r="AI3034">
        <v>39903.333333333299</v>
      </c>
      <c r="AJ3034">
        <v>1.0668391314761499E-2</v>
      </c>
      <c r="AK3034">
        <v>5.2333333333333298</v>
      </c>
      <c r="AL3034">
        <v>0.24562852009452399</v>
      </c>
      <c r="AM3034">
        <v>1.7258276266981901E-2</v>
      </c>
      <c r="AN3034">
        <v>10</v>
      </c>
      <c r="AO3034" t="b">
        <v>1</v>
      </c>
      <c r="AP3034" t="s">
        <v>45</v>
      </c>
      <c r="AQ3034">
        <v>1986</v>
      </c>
      <c r="AR3034">
        <v>2016</v>
      </c>
      <c r="AS3034" t="s">
        <v>12616</v>
      </c>
      <c r="AT3034">
        <v>2.5489390828199801</v>
      </c>
      <c r="AU3034">
        <f t="shared" si="143"/>
        <v>7.0000000000000001E-3</v>
      </c>
    </row>
    <row r="3035" spans="1:47" x14ac:dyDescent="0.3">
      <c r="A3035">
        <v>3033</v>
      </c>
      <c r="B3035" t="s">
        <v>12617</v>
      </c>
      <c r="C3035" t="s">
        <v>12618</v>
      </c>
      <c r="D3035">
        <v>740</v>
      </c>
      <c r="E3035" t="s">
        <v>12268</v>
      </c>
      <c r="F3035" t="str">
        <f>VLOOKUP(E3035,country_continent!A:C,2,FALSE)</f>
        <v>Japan</v>
      </c>
      <c r="G3035" t="str">
        <f>VLOOKUP(E3035,country_continent!A:C,3,FALSE)</f>
        <v>Asia</v>
      </c>
      <c r="H3035" t="s">
        <v>12619</v>
      </c>
      <c r="I3035" s="1">
        <v>36006</v>
      </c>
      <c r="J3035" s="3">
        <f t="shared" si="141"/>
        <v>36006</v>
      </c>
      <c r="K3035" s="1">
        <v>36618</v>
      </c>
      <c r="L3035" s="3">
        <f t="shared" si="142"/>
        <v>36618</v>
      </c>
      <c r="M3035" t="s">
        <v>49</v>
      </c>
      <c r="N3035" t="s">
        <v>228</v>
      </c>
      <c r="O3035" t="s">
        <v>49</v>
      </c>
      <c r="P3035">
        <v>0</v>
      </c>
      <c r="Q3035" t="s">
        <v>111</v>
      </c>
      <c r="R3035" t="s">
        <v>51</v>
      </c>
      <c r="S3035">
        <v>1937</v>
      </c>
      <c r="T3035">
        <v>2000</v>
      </c>
      <c r="U3035" s="1">
        <v>13689</v>
      </c>
      <c r="V3035" s="2">
        <v>13689</v>
      </c>
      <c r="Z3035">
        <v>0</v>
      </c>
      <c r="AA3035">
        <v>2.0999998999999998</v>
      </c>
      <c r="AB3035">
        <v>0</v>
      </c>
      <c r="AC3035">
        <v>-777</v>
      </c>
      <c r="AF3035">
        <v>1998</v>
      </c>
      <c r="AG3035">
        <v>2000</v>
      </c>
      <c r="AH3035">
        <v>0.179635473589314</v>
      </c>
      <c r="AI3035">
        <v>35380</v>
      </c>
      <c r="AJ3035">
        <v>-0.86799722808220703</v>
      </c>
      <c r="AK3035">
        <v>4.7333333333333298</v>
      </c>
      <c r="AL3035">
        <v>0.20719718749482899</v>
      </c>
      <c r="AM3035">
        <v>1.3819458837870099E-2</v>
      </c>
      <c r="AN3035">
        <v>10</v>
      </c>
      <c r="AO3035" t="b">
        <v>1</v>
      </c>
      <c r="AP3035" t="s">
        <v>45</v>
      </c>
      <c r="AQ3035">
        <v>1986</v>
      </c>
      <c r="AR3035">
        <v>2016</v>
      </c>
      <c r="AS3035" t="s">
        <v>12620</v>
      </c>
      <c r="AT3035">
        <v>1.67556468172484</v>
      </c>
      <c r="AU3035">
        <f t="shared" si="143"/>
        <v>5.0000000000000001E-3</v>
      </c>
    </row>
    <row r="3036" spans="1:47" x14ac:dyDescent="0.3">
      <c r="A3036">
        <v>3034</v>
      </c>
      <c r="B3036" t="s">
        <v>12621</v>
      </c>
      <c r="C3036" t="s">
        <v>12622</v>
      </c>
      <c r="D3036">
        <v>740</v>
      </c>
      <c r="E3036" t="s">
        <v>12268</v>
      </c>
      <c r="F3036" t="str">
        <f>VLOOKUP(E3036,country_continent!A:C,2,FALSE)</f>
        <v>Japan</v>
      </c>
      <c r="G3036" t="str">
        <f>VLOOKUP(E3036,country_continent!A:C,3,FALSE)</f>
        <v>Asia</v>
      </c>
      <c r="H3036" t="s">
        <v>12623</v>
      </c>
      <c r="I3036" s="1">
        <v>36618</v>
      </c>
      <c r="J3036" s="3">
        <f t="shared" si="141"/>
        <v>36618</v>
      </c>
      <c r="K3036" s="1">
        <v>36621</v>
      </c>
      <c r="L3036" s="3">
        <f t="shared" si="142"/>
        <v>36621</v>
      </c>
      <c r="M3036" t="s">
        <v>49</v>
      </c>
      <c r="N3036" t="s">
        <v>49</v>
      </c>
      <c r="O3036" t="s">
        <v>49</v>
      </c>
      <c r="P3036">
        <v>0</v>
      </c>
      <c r="Q3036" t="s">
        <v>50</v>
      </c>
      <c r="R3036" t="s">
        <v>51</v>
      </c>
      <c r="S3036">
        <v>1934</v>
      </c>
      <c r="T3036">
        <v>-777</v>
      </c>
      <c r="Z3036">
        <v>0</v>
      </c>
      <c r="AA3036">
        <v>1</v>
      </c>
      <c r="AB3036">
        <v>0</v>
      </c>
      <c r="AC3036">
        <v>0</v>
      </c>
      <c r="AF3036">
        <v>2000</v>
      </c>
      <c r="AG3036">
        <v>2000</v>
      </c>
      <c r="AH3036">
        <v>2.5928910864396002</v>
      </c>
      <c r="AI3036">
        <v>36810</v>
      </c>
      <c r="AJ3036">
        <v>-1.33626008992121</v>
      </c>
      <c r="AK3036">
        <v>4.5</v>
      </c>
      <c r="AL3036">
        <v>0.167275578113187</v>
      </c>
      <c r="AM3036">
        <v>1.39786461492189E-2</v>
      </c>
      <c r="AN3036">
        <v>10</v>
      </c>
      <c r="AO3036" t="b">
        <v>1</v>
      </c>
      <c r="AP3036" t="s">
        <v>45</v>
      </c>
      <c r="AQ3036">
        <v>1986</v>
      </c>
      <c r="AR3036">
        <v>2016</v>
      </c>
      <c r="AS3036" t="s">
        <v>12624</v>
      </c>
      <c r="AT3036">
        <v>8.2135523613963007E-3</v>
      </c>
      <c r="AU3036">
        <f t="shared" si="143"/>
        <v>0</v>
      </c>
    </row>
    <row r="3037" spans="1:47" x14ac:dyDescent="0.3">
      <c r="A3037">
        <v>3035</v>
      </c>
      <c r="B3037" t="s">
        <v>12625</v>
      </c>
      <c r="C3037" t="s">
        <v>12626</v>
      </c>
      <c r="D3037">
        <v>740</v>
      </c>
      <c r="E3037" t="s">
        <v>12268</v>
      </c>
      <c r="F3037" t="str">
        <f>VLOOKUP(E3037,country_continent!A:C,2,FALSE)</f>
        <v>Japan</v>
      </c>
      <c r="G3037" t="str">
        <f>VLOOKUP(E3037,country_continent!A:C,3,FALSE)</f>
        <v>Asia</v>
      </c>
      <c r="H3037" t="s">
        <v>12627</v>
      </c>
      <c r="I3037" s="1">
        <v>36621</v>
      </c>
      <c r="J3037" s="3">
        <f t="shared" si="141"/>
        <v>36621</v>
      </c>
      <c r="K3037" s="1">
        <v>37007</v>
      </c>
      <c r="L3037" s="3">
        <f t="shared" si="142"/>
        <v>37007</v>
      </c>
      <c r="M3037" t="s">
        <v>49</v>
      </c>
      <c r="N3037" t="s">
        <v>49</v>
      </c>
      <c r="O3037" t="s">
        <v>49</v>
      </c>
      <c r="P3037">
        <v>0</v>
      </c>
      <c r="Q3037" t="s">
        <v>50</v>
      </c>
      <c r="R3037" t="s">
        <v>51</v>
      </c>
      <c r="S3037">
        <v>1937</v>
      </c>
      <c r="T3037">
        <v>-777</v>
      </c>
      <c r="Z3037">
        <v>0</v>
      </c>
      <c r="AA3037">
        <v>1</v>
      </c>
      <c r="AB3037">
        <v>0</v>
      </c>
      <c r="AC3037">
        <v>0</v>
      </c>
      <c r="AF3037">
        <v>2000</v>
      </c>
      <c r="AG3037">
        <v>2001</v>
      </c>
      <c r="AH3037">
        <v>1.36870138826039</v>
      </c>
      <c r="AI3037">
        <v>37095</v>
      </c>
      <c r="AJ3037">
        <v>-1.21056996903477</v>
      </c>
      <c r="AK3037">
        <v>4.4000000000000004</v>
      </c>
      <c r="AL3037">
        <v>0.20411408281712801</v>
      </c>
      <c r="AM3037">
        <v>1.3485456427895601E-2</v>
      </c>
      <c r="AN3037">
        <v>10</v>
      </c>
      <c r="AO3037" t="b">
        <v>1</v>
      </c>
      <c r="AP3037" t="s">
        <v>45</v>
      </c>
      <c r="AQ3037">
        <v>1986</v>
      </c>
      <c r="AR3037">
        <v>2016</v>
      </c>
      <c r="AS3037" t="s">
        <v>12628</v>
      </c>
      <c r="AT3037">
        <v>1.05681040383299</v>
      </c>
      <c r="AU3037">
        <f t="shared" si="143"/>
        <v>3.0000000000000001E-3</v>
      </c>
    </row>
    <row r="3038" spans="1:47" x14ac:dyDescent="0.3">
      <c r="A3038">
        <v>3036</v>
      </c>
      <c r="B3038" t="s">
        <v>12629</v>
      </c>
      <c r="C3038" t="s">
        <v>12630</v>
      </c>
      <c r="D3038">
        <v>740</v>
      </c>
      <c r="E3038" t="s">
        <v>12268</v>
      </c>
      <c r="F3038" t="str">
        <f>VLOOKUP(E3038,country_continent!A:C,2,FALSE)</f>
        <v>Japan</v>
      </c>
      <c r="G3038" t="str">
        <f>VLOOKUP(E3038,country_continent!A:C,3,FALSE)</f>
        <v>Asia</v>
      </c>
      <c r="H3038" t="s">
        <v>12631</v>
      </c>
      <c r="I3038" s="1">
        <v>37007</v>
      </c>
      <c r="J3038" s="3">
        <f t="shared" si="141"/>
        <v>37007</v>
      </c>
      <c r="K3038" s="1">
        <v>38986</v>
      </c>
      <c r="L3038" s="3">
        <f t="shared" si="142"/>
        <v>38986</v>
      </c>
      <c r="M3038" t="s">
        <v>49</v>
      </c>
      <c r="N3038" t="s">
        <v>49</v>
      </c>
      <c r="O3038" t="s">
        <v>49</v>
      </c>
      <c r="P3038">
        <v>0</v>
      </c>
      <c r="Q3038" t="s">
        <v>50</v>
      </c>
      <c r="R3038" t="s">
        <v>51</v>
      </c>
      <c r="S3038">
        <v>1942</v>
      </c>
      <c r="T3038">
        <v>-777</v>
      </c>
      <c r="U3038" s="1">
        <v>15349</v>
      </c>
      <c r="V3038" s="2">
        <v>15349</v>
      </c>
      <c r="Y3038" t="s">
        <v>12632</v>
      </c>
      <c r="Z3038">
        <v>0</v>
      </c>
      <c r="AA3038">
        <v>1</v>
      </c>
      <c r="AB3038">
        <v>0</v>
      </c>
      <c r="AC3038">
        <v>0</v>
      </c>
      <c r="AF3038">
        <v>2001</v>
      </c>
      <c r="AG3038">
        <v>2006</v>
      </c>
      <c r="AH3038">
        <v>1.08773365861024</v>
      </c>
      <c r="AI3038">
        <v>38211.666666666599</v>
      </c>
      <c r="AJ3038">
        <v>-1.21072744010704</v>
      </c>
      <c r="AK3038">
        <v>3.93333333333333</v>
      </c>
      <c r="AL3038">
        <v>0.13231477794246199</v>
      </c>
      <c r="AM3038">
        <v>1.502817508817E-2</v>
      </c>
      <c r="AN3038">
        <v>10</v>
      </c>
      <c r="AO3038" t="b">
        <v>1</v>
      </c>
      <c r="AP3038" t="s">
        <v>45</v>
      </c>
      <c r="AQ3038">
        <v>1986</v>
      </c>
      <c r="AR3038">
        <v>2016</v>
      </c>
      <c r="AS3038" t="s">
        <v>12633</v>
      </c>
      <c r="AT3038">
        <v>5.41820670773442</v>
      </c>
      <c r="AU3038">
        <f t="shared" si="143"/>
        <v>1.4999999999999999E-2</v>
      </c>
    </row>
    <row r="3039" spans="1:47" x14ac:dyDescent="0.3">
      <c r="A3039">
        <v>3037</v>
      </c>
      <c r="B3039" t="s">
        <v>12634</v>
      </c>
      <c r="C3039" t="s">
        <v>12635</v>
      </c>
      <c r="D3039">
        <v>740</v>
      </c>
      <c r="E3039" t="s">
        <v>12268</v>
      </c>
      <c r="F3039" t="str">
        <f>VLOOKUP(E3039,country_continent!A:C,2,FALSE)</f>
        <v>Japan</v>
      </c>
      <c r="G3039" t="str">
        <f>VLOOKUP(E3039,country_continent!A:C,3,FALSE)</f>
        <v>Asia</v>
      </c>
      <c r="H3039" t="s">
        <v>12636</v>
      </c>
      <c r="I3039" s="1">
        <v>38986</v>
      </c>
      <c r="J3039" s="3">
        <f t="shared" si="141"/>
        <v>38986</v>
      </c>
      <c r="K3039" s="1">
        <v>39351</v>
      </c>
      <c r="L3039" s="3">
        <f t="shared" si="142"/>
        <v>39351</v>
      </c>
      <c r="M3039" t="s">
        <v>49</v>
      </c>
      <c r="N3039" t="s">
        <v>49</v>
      </c>
      <c r="O3039" t="s">
        <v>49</v>
      </c>
      <c r="P3039">
        <v>0</v>
      </c>
      <c r="Q3039" t="s">
        <v>50</v>
      </c>
      <c r="R3039" t="s">
        <v>51</v>
      </c>
      <c r="S3039">
        <v>1954</v>
      </c>
      <c r="T3039">
        <v>-777</v>
      </c>
      <c r="U3039" s="1">
        <v>19988</v>
      </c>
      <c r="V3039" s="2">
        <v>19988</v>
      </c>
      <c r="Z3039">
        <v>0</v>
      </c>
      <c r="AA3039">
        <v>1</v>
      </c>
      <c r="AB3039">
        <v>0</v>
      </c>
      <c r="AC3039">
        <v>0</v>
      </c>
      <c r="AF3039">
        <v>2006</v>
      </c>
      <c r="AG3039">
        <v>2007</v>
      </c>
      <c r="AH3039">
        <v>1.33777475447475</v>
      </c>
      <c r="AI3039">
        <v>39950</v>
      </c>
      <c r="AJ3039">
        <v>-0.78363096831621704</v>
      </c>
      <c r="AK3039">
        <v>3.55</v>
      </c>
      <c r="AL3039">
        <v>8.9141218572172207E-2</v>
      </c>
      <c r="AM3039">
        <v>2.0990912033827198E-2</v>
      </c>
      <c r="AN3039">
        <v>10</v>
      </c>
      <c r="AO3039" t="b">
        <v>1</v>
      </c>
      <c r="AP3039" t="s">
        <v>45</v>
      </c>
      <c r="AQ3039">
        <v>1986</v>
      </c>
      <c r="AR3039">
        <v>2016</v>
      </c>
      <c r="AS3039" t="s">
        <v>12637</v>
      </c>
      <c r="AT3039">
        <v>0.99931553730321698</v>
      </c>
      <c r="AU3039">
        <f t="shared" si="143"/>
        <v>3.0000000000000001E-3</v>
      </c>
    </row>
    <row r="3040" spans="1:47" x14ac:dyDescent="0.3">
      <c r="A3040">
        <v>3038</v>
      </c>
      <c r="B3040" t="s">
        <v>12638</v>
      </c>
      <c r="C3040" t="s">
        <v>12639</v>
      </c>
      <c r="D3040">
        <v>740</v>
      </c>
      <c r="E3040" t="s">
        <v>12268</v>
      </c>
      <c r="F3040" t="str">
        <f>VLOOKUP(E3040,country_continent!A:C,2,FALSE)</f>
        <v>Japan</v>
      </c>
      <c r="G3040" t="str">
        <f>VLOOKUP(E3040,country_continent!A:C,3,FALSE)</f>
        <v>Asia</v>
      </c>
      <c r="H3040" t="s">
        <v>12640</v>
      </c>
      <c r="I3040" s="1">
        <v>39351</v>
      </c>
      <c r="J3040" s="3">
        <f t="shared" si="141"/>
        <v>39351</v>
      </c>
      <c r="K3040" s="1">
        <v>39715</v>
      </c>
      <c r="L3040" s="3">
        <f t="shared" si="142"/>
        <v>39715</v>
      </c>
      <c r="M3040" t="s">
        <v>49</v>
      </c>
      <c r="N3040" t="s">
        <v>49</v>
      </c>
      <c r="O3040" t="s">
        <v>49</v>
      </c>
      <c r="P3040">
        <v>0</v>
      </c>
      <c r="Q3040" t="s">
        <v>50</v>
      </c>
      <c r="R3040" t="s">
        <v>51</v>
      </c>
      <c r="S3040">
        <v>1936</v>
      </c>
      <c r="T3040">
        <v>-777</v>
      </c>
      <c r="U3040" s="1">
        <v>13347</v>
      </c>
      <c r="V3040" s="2">
        <v>13347</v>
      </c>
      <c r="Z3040">
        <v>0</v>
      </c>
      <c r="AA3040">
        <v>1</v>
      </c>
      <c r="AB3040">
        <v>0</v>
      </c>
      <c r="AC3040">
        <v>0</v>
      </c>
      <c r="AD3040" t="s">
        <v>12641</v>
      </c>
      <c r="AE3040">
        <v>1</v>
      </c>
      <c r="AF3040">
        <v>2007</v>
      </c>
      <c r="AG3040">
        <v>2008</v>
      </c>
      <c r="AH3040">
        <v>4.7656188609074897E-2</v>
      </c>
      <c r="AI3040">
        <v>39345</v>
      </c>
      <c r="AJ3040">
        <v>-0.80838691791876705</v>
      </c>
      <c r="AK3040">
        <v>3.45</v>
      </c>
      <c r="AL3040">
        <v>8.1667121162053796E-2</v>
      </c>
      <c r="AM3040">
        <v>2.3323393605881499E-2</v>
      </c>
      <c r="AN3040">
        <v>10</v>
      </c>
      <c r="AO3040" t="b">
        <v>1</v>
      </c>
      <c r="AP3040" t="s">
        <v>45</v>
      </c>
      <c r="AQ3040">
        <v>1986</v>
      </c>
      <c r="AR3040">
        <v>2016</v>
      </c>
      <c r="AS3040" t="s">
        <v>12642</v>
      </c>
      <c r="AT3040">
        <v>0.99657768651608403</v>
      </c>
      <c r="AU3040">
        <f t="shared" si="143"/>
        <v>3.0000000000000001E-3</v>
      </c>
    </row>
    <row r="3041" spans="1:47" x14ac:dyDescent="0.3">
      <c r="A3041">
        <v>3039</v>
      </c>
      <c r="B3041" t="s">
        <v>12643</v>
      </c>
      <c r="C3041" t="s">
        <v>12644</v>
      </c>
      <c r="D3041">
        <v>740</v>
      </c>
      <c r="E3041" t="s">
        <v>12268</v>
      </c>
      <c r="F3041" t="str">
        <f>VLOOKUP(E3041,country_continent!A:C,2,FALSE)</f>
        <v>Japan</v>
      </c>
      <c r="G3041" t="str">
        <f>VLOOKUP(E3041,country_continent!A:C,3,FALSE)</f>
        <v>Asia</v>
      </c>
      <c r="H3041" t="s">
        <v>12645</v>
      </c>
      <c r="I3041" s="1">
        <v>39715</v>
      </c>
      <c r="J3041" s="3">
        <f t="shared" si="141"/>
        <v>39715</v>
      </c>
      <c r="K3041" s="1">
        <v>40072</v>
      </c>
      <c r="L3041" s="3">
        <f t="shared" si="142"/>
        <v>40072</v>
      </c>
      <c r="M3041" t="s">
        <v>49</v>
      </c>
      <c r="N3041" t="s">
        <v>49</v>
      </c>
      <c r="O3041" t="s">
        <v>49</v>
      </c>
      <c r="P3041">
        <v>0</v>
      </c>
      <c r="Q3041" t="s">
        <v>50</v>
      </c>
      <c r="R3041" t="s">
        <v>51</v>
      </c>
      <c r="S3041">
        <v>1940</v>
      </c>
      <c r="T3041">
        <v>-777</v>
      </c>
      <c r="U3041" s="1">
        <v>14874</v>
      </c>
      <c r="V3041" s="2">
        <v>14874</v>
      </c>
      <c r="Z3041">
        <v>0</v>
      </c>
      <c r="AA3041">
        <v>1</v>
      </c>
      <c r="AB3041">
        <v>0</v>
      </c>
      <c r="AC3041">
        <v>0</v>
      </c>
      <c r="AD3041" t="s">
        <v>12646</v>
      </c>
      <c r="AE3041">
        <v>1</v>
      </c>
      <c r="AF3041">
        <v>2008</v>
      </c>
      <c r="AG3041">
        <v>2009</v>
      </c>
      <c r="AH3041">
        <v>-3.4767811445880601</v>
      </c>
      <c r="AI3041">
        <v>39305</v>
      </c>
      <c r="AJ3041">
        <v>-0.74054760645527995</v>
      </c>
      <c r="AK3041">
        <v>3.4</v>
      </c>
      <c r="AL3041">
        <v>1.7965381684243401E-2</v>
      </c>
      <c r="AM3041">
        <v>2.1710724401969299E-2</v>
      </c>
      <c r="AN3041">
        <v>10</v>
      </c>
      <c r="AO3041" t="b">
        <v>1</v>
      </c>
      <c r="AP3041" t="s">
        <v>45</v>
      </c>
      <c r="AQ3041">
        <v>1986</v>
      </c>
      <c r="AR3041">
        <v>2016</v>
      </c>
      <c r="AS3041" t="s">
        <v>12647</v>
      </c>
      <c r="AT3041">
        <v>0.97741273100616</v>
      </c>
      <c r="AU3041">
        <f t="shared" si="143"/>
        <v>3.0000000000000001E-3</v>
      </c>
    </row>
    <row r="3042" spans="1:47" x14ac:dyDescent="0.3">
      <c r="A3042">
        <v>3040</v>
      </c>
      <c r="B3042" t="s">
        <v>12648</v>
      </c>
      <c r="C3042" t="s">
        <v>12649</v>
      </c>
      <c r="D3042">
        <v>740</v>
      </c>
      <c r="E3042" t="s">
        <v>12268</v>
      </c>
      <c r="F3042" t="str">
        <f>VLOOKUP(E3042,country_continent!A:C,2,FALSE)</f>
        <v>Japan</v>
      </c>
      <c r="G3042" t="str">
        <f>VLOOKUP(E3042,country_continent!A:C,3,FALSE)</f>
        <v>Asia</v>
      </c>
      <c r="H3042" t="s">
        <v>12650</v>
      </c>
      <c r="I3042" s="1">
        <v>40072</v>
      </c>
      <c r="J3042" s="3">
        <f t="shared" si="141"/>
        <v>40072</v>
      </c>
      <c r="K3042" s="1">
        <v>40337</v>
      </c>
      <c r="L3042" s="3">
        <f t="shared" si="142"/>
        <v>40337</v>
      </c>
      <c r="M3042" t="s">
        <v>49</v>
      </c>
      <c r="N3042" t="s">
        <v>49</v>
      </c>
      <c r="O3042" t="s">
        <v>49</v>
      </c>
      <c r="P3042">
        <v>0</v>
      </c>
      <c r="Q3042" t="s">
        <v>50</v>
      </c>
      <c r="R3042" t="s">
        <v>51</v>
      </c>
      <c r="S3042">
        <v>1947</v>
      </c>
      <c r="T3042">
        <v>-777</v>
      </c>
      <c r="U3042" s="1">
        <v>17209</v>
      </c>
      <c r="V3042" s="2">
        <v>17209</v>
      </c>
      <c r="Z3042">
        <v>0</v>
      </c>
      <c r="AA3042">
        <v>1</v>
      </c>
      <c r="AB3042">
        <v>0</v>
      </c>
      <c r="AC3042">
        <v>0</v>
      </c>
      <c r="AF3042">
        <v>2009</v>
      </c>
      <c r="AG3042">
        <v>2010</v>
      </c>
      <c r="AH3042">
        <v>-0.80111464592669501</v>
      </c>
      <c r="AI3042">
        <v>41570</v>
      </c>
      <c r="AJ3042">
        <v>-1.22515343728802</v>
      </c>
      <c r="AK3042">
        <v>3.3499999999999899</v>
      </c>
      <c r="AL3042">
        <v>2.7329551450773E-3</v>
      </c>
      <c r="AM3042">
        <v>1.9772924085949099E-2</v>
      </c>
      <c r="AN3042">
        <v>10</v>
      </c>
      <c r="AO3042" t="b">
        <v>1</v>
      </c>
      <c r="AP3042" t="s">
        <v>45</v>
      </c>
      <c r="AQ3042">
        <v>1986</v>
      </c>
      <c r="AR3042">
        <v>2016</v>
      </c>
      <c r="AS3042" t="s">
        <v>12651</v>
      </c>
      <c r="AT3042">
        <v>0.72553045859000598</v>
      </c>
      <c r="AU3042">
        <f t="shared" si="143"/>
        <v>2E-3</v>
      </c>
    </row>
    <row r="3043" spans="1:47" x14ac:dyDescent="0.3">
      <c r="A3043">
        <v>3041</v>
      </c>
      <c r="B3043" t="s">
        <v>12652</v>
      </c>
      <c r="C3043" t="s">
        <v>12653</v>
      </c>
      <c r="D3043">
        <v>740</v>
      </c>
      <c r="E3043" t="s">
        <v>12268</v>
      </c>
      <c r="F3043" t="str">
        <f>VLOOKUP(E3043,country_continent!A:C,2,FALSE)</f>
        <v>Japan</v>
      </c>
      <c r="G3043" t="str">
        <f>VLOOKUP(E3043,country_continent!A:C,3,FALSE)</f>
        <v>Asia</v>
      </c>
      <c r="H3043" t="s">
        <v>12654</v>
      </c>
      <c r="I3043" s="1">
        <v>40337</v>
      </c>
      <c r="J3043" s="3">
        <f t="shared" si="141"/>
        <v>40337</v>
      </c>
      <c r="K3043" s="1">
        <v>40788</v>
      </c>
      <c r="L3043" s="3">
        <f t="shared" si="142"/>
        <v>40788</v>
      </c>
      <c r="M3043" t="s">
        <v>49</v>
      </c>
      <c r="N3043" t="s">
        <v>49</v>
      </c>
      <c r="O3043" t="s">
        <v>49</v>
      </c>
      <c r="P3043">
        <v>0</v>
      </c>
      <c r="Q3043" t="s">
        <v>50</v>
      </c>
      <c r="R3043" t="s">
        <v>51</v>
      </c>
      <c r="S3043">
        <v>1946</v>
      </c>
      <c r="T3043">
        <v>-777</v>
      </c>
      <c r="U3043" s="1">
        <v>17085</v>
      </c>
      <c r="V3043" s="2">
        <v>17085</v>
      </c>
      <c r="Z3043">
        <v>0</v>
      </c>
      <c r="AA3043">
        <v>1</v>
      </c>
      <c r="AB3043">
        <v>0</v>
      </c>
      <c r="AC3043">
        <v>0</v>
      </c>
      <c r="AF3043">
        <v>2010</v>
      </c>
      <c r="AG3043">
        <v>2011</v>
      </c>
      <c r="AH3043">
        <v>2.1442374257037899</v>
      </c>
      <c r="AI3043">
        <v>45690</v>
      </c>
      <c r="AJ3043">
        <v>-1.75141110008955</v>
      </c>
      <c r="AK3043">
        <v>3.3</v>
      </c>
      <c r="AL3043">
        <v>-8.3632972445640802E-2</v>
      </c>
      <c r="AM3043">
        <v>2.0886926097124298E-2</v>
      </c>
      <c r="AN3043">
        <v>10</v>
      </c>
      <c r="AO3043" t="b">
        <v>1</v>
      </c>
      <c r="AP3043" t="s">
        <v>45</v>
      </c>
      <c r="AQ3043">
        <v>1986</v>
      </c>
      <c r="AR3043">
        <v>2016</v>
      </c>
      <c r="AS3043" t="s">
        <v>12655</v>
      </c>
      <c r="AT3043">
        <v>1.2347707049965699</v>
      </c>
      <c r="AU3043">
        <f t="shared" si="143"/>
        <v>3.0000000000000001E-3</v>
      </c>
    </row>
    <row r="3044" spans="1:47" x14ac:dyDescent="0.3">
      <c r="A3044">
        <v>3042</v>
      </c>
      <c r="B3044" t="s">
        <v>12656</v>
      </c>
      <c r="C3044" t="s">
        <v>12657</v>
      </c>
      <c r="D3044">
        <v>740</v>
      </c>
      <c r="E3044" t="s">
        <v>12268</v>
      </c>
      <c r="F3044" t="str">
        <f>VLOOKUP(E3044,country_continent!A:C,2,FALSE)</f>
        <v>Japan</v>
      </c>
      <c r="G3044" t="str">
        <f>VLOOKUP(E3044,country_continent!A:C,3,FALSE)</f>
        <v>Asia</v>
      </c>
      <c r="H3044" t="s">
        <v>12658</v>
      </c>
      <c r="I3044" s="1">
        <v>40788</v>
      </c>
      <c r="J3044" s="3">
        <f t="shared" si="141"/>
        <v>40788</v>
      </c>
      <c r="K3044" s="1">
        <v>41269</v>
      </c>
      <c r="L3044" s="3">
        <f t="shared" si="142"/>
        <v>41269</v>
      </c>
      <c r="M3044" t="s">
        <v>49</v>
      </c>
      <c r="N3044" t="s">
        <v>49</v>
      </c>
      <c r="O3044" t="s">
        <v>49</v>
      </c>
      <c r="P3044">
        <v>0</v>
      </c>
      <c r="Q3044" t="s">
        <v>50</v>
      </c>
      <c r="R3044" t="s">
        <v>51</v>
      </c>
      <c r="S3044">
        <v>1957</v>
      </c>
      <c r="T3044">
        <v>-777</v>
      </c>
      <c r="U3044" s="1">
        <v>20960</v>
      </c>
      <c r="V3044" s="2">
        <v>20960</v>
      </c>
      <c r="Z3044">
        <v>0</v>
      </c>
      <c r="AA3044">
        <v>1</v>
      </c>
      <c r="AB3044">
        <v>0</v>
      </c>
      <c r="AC3044">
        <v>0</v>
      </c>
      <c r="AF3044">
        <v>2011</v>
      </c>
      <c r="AG3044">
        <v>2012</v>
      </c>
      <c r="AH3044">
        <v>0.87301923076705601</v>
      </c>
      <c r="AI3044">
        <v>48765</v>
      </c>
      <c r="AJ3044">
        <v>-1.1890866847596999</v>
      </c>
      <c r="AK3044">
        <v>3.2</v>
      </c>
      <c r="AL3044">
        <v>-0.172468581127596</v>
      </c>
      <c r="AM3044">
        <v>2.08835704706733E-2</v>
      </c>
      <c r="AN3044">
        <v>10</v>
      </c>
      <c r="AO3044" t="b">
        <v>1</v>
      </c>
      <c r="AP3044" t="s">
        <v>45</v>
      </c>
      <c r="AQ3044">
        <v>1986</v>
      </c>
      <c r="AR3044">
        <v>2016</v>
      </c>
      <c r="AS3044" t="s">
        <v>12659</v>
      </c>
      <c r="AT3044">
        <v>1.31690622861054</v>
      </c>
      <c r="AU3044">
        <f t="shared" si="143"/>
        <v>4.0000000000000001E-3</v>
      </c>
    </row>
    <row r="3045" spans="1:47" x14ac:dyDescent="0.3">
      <c r="A3045">
        <v>3043</v>
      </c>
      <c r="B3045" t="s">
        <v>12660</v>
      </c>
      <c r="C3045" t="s">
        <v>12635</v>
      </c>
      <c r="D3045">
        <v>740</v>
      </c>
      <c r="E3045" t="s">
        <v>12268</v>
      </c>
      <c r="F3045" t="str">
        <f>VLOOKUP(E3045,country_continent!A:C,2,FALSE)</f>
        <v>Japan</v>
      </c>
      <c r="G3045" t="str">
        <f>VLOOKUP(E3045,country_continent!A:C,3,FALSE)</f>
        <v>Asia</v>
      </c>
      <c r="H3045" t="s">
        <v>12636</v>
      </c>
      <c r="I3045" s="1">
        <v>41269</v>
      </c>
      <c r="J3045" s="3">
        <f t="shared" si="141"/>
        <v>41269</v>
      </c>
      <c r="K3045" s="1">
        <v>42369</v>
      </c>
      <c r="L3045" s="3">
        <f t="shared" si="142"/>
        <v>42369</v>
      </c>
      <c r="M3045" t="s">
        <v>49</v>
      </c>
      <c r="N3045" t="s">
        <v>173</v>
      </c>
      <c r="O3045" t="s">
        <v>173</v>
      </c>
      <c r="P3045">
        <v>1</v>
      </c>
      <c r="Q3045" t="s">
        <v>174</v>
      </c>
      <c r="R3045" t="s">
        <v>51</v>
      </c>
      <c r="S3045">
        <v>1954</v>
      </c>
      <c r="T3045">
        <v>-777</v>
      </c>
      <c r="U3045" s="1">
        <v>19988</v>
      </c>
      <c r="V3045" s="2">
        <v>19988</v>
      </c>
      <c r="Z3045">
        <v>0</v>
      </c>
      <c r="AA3045">
        <v>-888</v>
      </c>
      <c r="AB3045">
        <v>-888</v>
      </c>
      <c r="AC3045">
        <v>-888</v>
      </c>
      <c r="AF3045">
        <v>2012</v>
      </c>
      <c r="AG3045">
        <v>2015</v>
      </c>
      <c r="AH3045">
        <v>1.4467509910178999</v>
      </c>
      <c r="AI3045">
        <v>45682.5</v>
      </c>
      <c r="AJ3045">
        <v>0.67178140142802401</v>
      </c>
      <c r="AK3045">
        <v>2.95</v>
      </c>
      <c r="AL3045">
        <v>-0.135700443781303</v>
      </c>
      <c r="AM3045">
        <v>2.5085613376331702E-2</v>
      </c>
      <c r="AN3045">
        <v>10</v>
      </c>
      <c r="AO3045" t="b">
        <v>1</v>
      </c>
      <c r="AP3045" t="s">
        <v>45</v>
      </c>
      <c r="AQ3045">
        <v>1986</v>
      </c>
      <c r="AR3045">
        <v>2016</v>
      </c>
      <c r="AS3045" t="s">
        <v>12661</v>
      </c>
      <c r="AT3045">
        <v>3.0116358658453102</v>
      </c>
      <c r="AU3045">
        <f t="shared" si="143"/>
        <v>8.0000000000000002E-3</v>
      </c>
    </row>
    <row r="3046" spans="1:47" x14ac:dyDescent="0.3">
      <c r="A3046">
        <v>3044</v>
      </c>
      <c r="B3046" t="s">
        <v>12662</v>
      </c>
      <c r="C3046" t="s">
        <v>12663</v>
      </c>
      <c r="D3046">
        <v>750</v>
      </c>
      <c r="E3046" t="s">
        <v>12664</v>
      </c>
      <c r="F3046" t="str">
        <f>VLOOKUP(E3046,country_continent!A:C,2,FALSE)</f>
        <v>India</v>
      </c>
      <c r="G3046" t="str">
        <f>VLOOKUP(E3046,country_continent!A:C,3,FALSE)</f>
        <v>Asia</v>
      </c>
      <c r="H3046" t="s">
        <v>12665</v>
      </c>
      <c r="I3046" s="1">
        <v>17394</v>
      </c>
      <c r="J3046" s="3">
        <f t="shared" si="141"/>
        <v>17394</v>
      </c>
      <c r="K3046" s="1">
        <v>23524</v>
      </c>
      <c r="L3046" s="3">
        <f t="shared" si="142"/>
        <v>23524</v>
      </c>
      <c r="M3046" t="s">
        <v>49</v>
      </c>
      <c r="N3046" t="s">
        <v>110</v>
      </c>
      <c r="O3046" t="s">
        <v>49</v>
      </c>
      <c r="P3046">
        <v>0</v>
      </c>
      <c r="Q3046" t="s">
        <v>111</v>
      </c>
      <c r="R3046" t="s">
        <v>51</v>
      </c>
      <c r="S3046">
        <v>1889</v>
      </c>
      <c r="T3046">
        <v>1964</v>
      </c>
      <c r="U3046" t="s">
        <v>12666</v>
      </c>
      <c r="V3046" t="s">
        <v>12667</v>
      </c>
      <c r="W3046" s="1">
        <v>23524</v>
      </c>
      <c r="X3046" s="2">
        <v>23524</v>
      </c>
      <c r="Y3046" t="s">
        <v>12668</v>
      </c>
      <c r="Z3046">
        <v>0</v>
      </c>
      <c r="AA3046">
        <v>2</v>
      </c>
      <c r="AB3046">
        <v>0</v>
      </c>
      <c r="AC3046">
        <v>-777</v>
      </c>
      <c r="AD3046" t="s">
        <v>12669</v>
      </c>
      <c r="AE3046">
        <v>0</v>
      </c>
      <c r="AF3046">
        <v>1947</v>
      </c>
      <c r="AG3046">
        <v>1964</v>
      </c>
      <c r="AH3046">
        <v>2.5719401608153598</v>
      </c>
      <c r="AI3046">
        <v>100</v>
      </c>
      <c r="AJ3046">
        <v>5.8640863071571099</v>
      </c>
      <c r="AK3046">
        <v>235.02</v>
      </c>
      <c r="AL3046">
        <v>2.3639931945802499</v>
      </c>
      <c r="AN3046">
        <v>5</v>
      </c>
      <c r="AO3046" t="b">
        <v>1</v>
      </c>
      <c r="AP3046" t="s">
        <v>11970</v>
      </c>
      <c r="AQ3046">
        <v>1951</v>
      </c>
      <c r="AR3046">
        <v>1974</v>
      </c>
      <c r="AS3046" t="s">
        <v>12670</v>
      </c>
      <c r="AT3046">
        <v>16.783025325119699</v>
      </c>
      <c r="AU3046">
        <f t="shared" si="143"/>
        <v>4.5999999999999999E-2</v>
      </c>
    </row>
    <row r="3047" spans="1:47" x14ac:dyDescent="0.3">
      <c r="A3047">
        <v>3045</v>
      </c>
      <c r="B3047" t="s">
        <v>12671</v>
      </c>
      <c r="C3047" t="s">
        <v>12672</v>
      </c>
      <c r="D3047">
        <v>750</v>
      </c>
      <c r="E3047" t="s">
        <v>12664</v>
      </c>
      <c r="F3047" t="str">
        <f>VLOOKUP(E3047,country_continent!A:C,2,FALSE)</f>
        <v>India</v>
      </c>
      <c r="G3047" t="str">
        <f>VLOOKUP(E3047,country_continent!A:C,3,FALSE)</f>
        <v>Asia</v>
      </c>
      <c r="H3047" t="s">
        <v>12673</v>
      </c>
      <c r="I3047" s="1">
        <v>23524</v>
      </c>
      <c r="J3047" s="3">
        <f t="shared" si="141"/>
        <v>23524</v>
      </c>
      <c r="K3047" s="1">
        <v>23537</v>
      </c>
      <c r="L3047" s="3">
        <f t="shared" si="142"/>
        <v>23537</v>
      </c>
      <c r="M3047" t="s">
        <v>49</v>
      </c>
      <c r="N3047" t="s">
        <v>49</v>
      </c>
      <c r="O3047" t="s">
        <v>49</v>
      </c>
      <c r="P3047">
        <v>0</v>
      </c>
      <c r="Q3047" t="s">
        <v>50</v>
      </c>
      <c r="R3047" t="s">
        <v>51</v>
      </c>
      <c r="S3047">
        <v>1898</v>
      </c>
      <c r="T3047">
        <v>1998</v>
      </c>
      <c r="U3047" t="s">
        <v>12674</v>
      </c>
      <c r="V3047" t="s">
        <v>12675</v>
      </c>
      <c r="Y3047" t="s">
        <v>12676</v>
      </c>
      <c r="Z3047">
        <v>0</v>
      </c>
      <c r="AA3047">
        <v>1</v>
      </c>
      <c r="AB3047">
        <v>0</v>
      </c>
      <c r="AC3047">
        <v>0</v>
      </c>
      <c r="AF3047">
        <v>1964</v>
      </c>
      <c r="AG3047">
        <v>1964</v>
      </c>
      <c r="AH3047">
        <v>4.96611887042544</v>
      </c>
      <c r="AI3047">
        <v>110</v>
      </c>
      <c r="AJ3047">
        <v>8.5516769651285003</v>
      </c>
      <c r="AK3047">
        <v>229.3</v>
      </c>
      <c r="AL3047">
        <v>2.3415457820319898</v>
      </c>
      <c r="AN3047">
        <v>5</v>
      </c>
      <c r="AO3047" t="b">
        <v>1</v>
      </c>
      <c r="AP3047" t="s">
        <v>11970</v>
      </c>
      <c r="AQ3047">
        <v>1951</v>
      </c>
      <c r="AR3047">
        <v>1974</v>
      </c>
      <c r="AS3047" t="s">
        <v>12677</v>
      </c>
      <c r="AT3047">
        <v>3.5592060232717299E-2</v>
      </c>
      <c r="AU3047">
        <f t="shared" si="143"/>
        <v>0</v>
      </c>
    </row>
    <row r="3048" spans="1:47" x14ac:dyDescent="0.3">
      <c r="A3048">
        <v>3046</v>
      </c>
      <c r="B3048" t="s">
        <v>12678</v>
      </c>
      <c r="C3048" t="s">
        <v>12679</v>
      </c>
      <c r="D3048">
        <v>750</v>
      </c>
      <c r="E3048" t="s">
        <v>12664</v>
      </c>
      <c r="F3048" t="str">
        <f>VLOOKUP(E3048,country_continent!A:C,2,FALSE)</f>
        <v>India</v>
      </c>
      <c r="G3048" t="str">
        <f>VLOOKUP(E3048,country_continent!A:C,3,FALSE)</f>
        <v>Asia</v>
      </c>
      <c r="H3048" t="s">
        <v>12680</v>
      </c>
      <c r="I3048" s="1">
        <v>23537</v>
      </c>
      <c r="J3048" s="3">
        <f t="shared" si="141"/>
        <v>23537</v>
      </c>
      <c r="K3048" s="1">
        <v>24118</v>
      </c>
      <c r="L3048" s="3">
        <f t="shared" si="142"/>
        <v>24118</v>
      </c>
      <c r="M3048" t="s">
        <v>49</v>
      </c>
      <c r="N3048" t="s">
        <v>110</v>
      </c>
      <c r="O3048" t="s">
        <v>49</v>
      </c>
      <c r="P3048">
        <v>0</v>
      </c>
      <c r="Q3048" t="s">
        <v>111</v>
      </c>
      <c r="R3048" t="s">
        <v>51</v>
      </c>
      <c r="S3048">
        <v>1904</v>
      </c>
      <c r="T3048">
        <v>1966</v>
      </c>
      <c r="U3048" s="1">
        <v>1737</v>
      </c>
      <c r="V3048" s="2">
        <v>1737</v>
      </c>
      <c r="Y3048" t="s">
        <v>12681</v>
      </c>
      <c r="Z3048">
        <v>0</v>
      </c>
      <c r="AA3048">
        <v>2</v>
      </c>
      <c r="AB3048">
        <v>0</v>
      </c>
      <c r="AC3048">
        <v>-777</v>
      </c>
      <c r="AF3048">
        <v>1964</v>
      </c>
      <c r="AG3048">
        <v>1966</v>
      </c>
      <c r="AH3048">
        <v>-0.66934277161581601</v>
      </c>
      <c r="AI3048">
        <v>110</v>
      </c>
      <c r="AJ3048">
        <v>10.040917643777901</v>
      </c>
      <c r="AK3048">
        <v>226.86666666666599</v>
      </c>
      <c r="AL3048">
        <v>2.24410483518374</v>
      </c>
      <c r="AN3048">
        <v>5</v>
      </c>
      <c r="AO3048" t="b">
        <v>1</v>
      </c>
      <c r="AP3048" t="s">
        <v>11970</v>
      </c>
      <c r="AQ3048">
        <v>1951</v>
      </c>
      <c r="AR3048">
        <v>1974</v>
      </c>
      <c r="AS3048" t="s">
        <v>12682</v>
      </c>
      <c r="AT3048">
        <v>1.5906913073237501</v>
      </c>
      <c r="AU3048">
        <f t="shared" si="143"/>
        <v>4.0000000000000001E-3</v>
      </c>
    </row>
    <row r="3049" spans="1:47" x14ac:dyDescent="0.3">
      <c r="A3049">
        <v>3047</v>
      </c>
      <c r="B3049" t="s">
        <v>12683</v>
      </c>
      <c r="C3049" t="s">
        <v>12672</v>
      </c>
      <c r="D3049">
        <v>750</v>
      </c>
      <c r="E3049" t="s">
        <v>12664</v>
      </c>
      <c r="F3049" t="str">
        <f>VLOOKUP(E3049,country_continent!A:C,2,FALSE)</f>
        <v>India</v>
      </c>
      <c r="G3049" t="str">
        <f>VLOOKUP(E3049,country_continent!A:C,3,FALSE)</f>
        <v>Asia</v>
      </c>
      <c r="H3049" t="s">
        <v>12673</v>
      </c>
      <c r="I3049" s="1">
        <v>24118</v>
      </c>
      <c r="J3049" s="3">
        <f t="shared" si="141"/>
        <v>24118</v>
      </c>
      <c r="K3049" s="1">
        <v>24131</v>
      </c>
      <c r="L3049" s="3">
        <f t="shared" si="142"/>
        <v>24131</v>
      </c>
      <c r="M3049" t="s">
        <v>49</v>
      </c>
      <c r="N3049" t="s">
        <v>49</v>
      </c>
      <c r="O3049" t="s">
        <v>49</v>
      </c>
      <c r="P3049">
        <v>1</v>
      </c>
      <c r="Q3049" t="s">
        <v>50</v>
      </c>
      <c r="R3049" t="s">
        <v>51</v>
      </c>
      <c r="S3049">
        <v>1898</v>
      </c>
      <c r="T3049">
        <v>1998</v>
      </c>
      <c r="U3049" t="s">
        <v>12674</v>
      </c>
      <c r="V3049" t="s">
        <v>12675</v>
      </c>
      <c r="Y3049" t="s">
        <v>12676</v>
      </c>
      <c r="Z3049">
        <v>0</v>
      </c>
      <c r="AA3049">
        <v>1</v>
      </c>
      <c r="AB3049">
        <v>0</v>
      </c>
      <c r="AC3049">
        <v>0</v>
      </c>
      <c r="AF3049">
        <v>1966</v>
      </c>
      <c r="AG3049">
        <v>1966</v>
      </c>
      <c r="AH3049">
        <v>-2.1710436861054401</v>
      </c>
      <c r="AI3049">
        <v>110</v>
      </c>
      <c r="AJ3049">
        <v>13.270706558561701</v>
      </c>
      <c r="AK3049">
        <v>224.4</v>
      </c>
      <c r="AL3049">
        <v>2.1396135115564401</v>
      </c>
      <c r="AN3049">
        <v>5</v>
      </c>
      <c r="AO3049" t="b">
        <v>1</v>
      </c>
      <c r="AP3049" t="s">
        <v>11970</v>
      </c>
      <c r="AQ3049">
        <v>1951</v>
      </c>
      <c r="AR3049">
        <v>1974</v>
      </c>
      <c r="AS3049" t="s">
        <v>12677</v>
      </c>
      <c r="AT3049">
        <v>3.5592060232717299E-2</v>
      </c>
      <c r="AU3049">
        <f t="shared" si="143"/>
        <v>0</v>
      </c>
    </row>
    <row r="3050" spans="1:47" x14ac:dyDescent="0.3">
      <c r="A3050">
        <v>3048</v>
      </c>
      <c r="B3050" t="s">
        <v>12684</v>
      </c>
      <c r="C3050" t="s">
        <v>12685</v>
      </c>
      <c r="D3050">
        <v>750</v>
      </c>
      <c r="E3050" t="s">
        <v>12664</v>
      </c>
      <c r="F3050" t="str">
        <f>VLOOKUP(E3050,country_continent!A:C,2,FALSE)</f>
        <v>India</v>
      </c>
      <c r="G3050" t="str">
        <f>VLOOKUP(E3050,country_continent!A:C,3,FALSE)</f>
        <v>Asia</v>
      </c>
      <c r="H3050" t="s">
        <v>12686</v>
      </c>
      <c r="I3050" s="1">
        <v>24131</v>
      </c>
      <c r="J3050" s="3">
        <f t="shared" si="141"/>
        <v>24131</v>
      </c>
      <c r="K3050" s="1">
        <v>28206</v>
      </c>
      <c r="L3050" s="3">
        <f t="shared" si="142"/>
        <v>28206</v>
      </c>
      <c r="M3050" t="s">
        <v>49</v>
      </c>
      <c r="N3050" t="s">
        <v>49</v>
      </c>
      <c r="O3050" t="s">
        <v>49</v>
      </c>
      <c r="P3050">
        <v>0</v>
      </c>
      <c r="Q3050" t="s">
        <v>463</v>
      </c>
      <c r="R3050" t="s">
        <v>299</v>
      </c>
      <c r="S3050">
        <v>1917</v>
      </c>
      <c r="T3050">
        <v>1984</v>
      </c>
      <c r="U3050" s="1">
        <v>6533</v>
      </c>
      <c r="V3050" s="2">
        <v>6533</v>
      </c>
      <c r="W3050" s="1">
        <v>30986</v>
      </c>
      <c r="X3050" s="2">
        <v>30986</v>
      </c>
      <c r="Y3050" t="s">
        <v>12687</v>
      </c>
      <c r="Z3050">
        <v>0</v>
      </c>
      <c r="AA3050">
        <v>1</v>
      </c>
      <c r="AB3050">
        <v>0</v>
      </c>
      <c r="AC3050">
        <v>2</v>
      </c>
      <c r="AD3050" t="s">
        <v>12688</v>
      </c>
      <c r="AE3050">
        <v>1</v>
      </c>
      <c r="AF3050">
        <v>1966</v>
      </c>
      <c r="AG3050">
        <v>1977</v>
      </c>
      <c r="AH3050">
        <v>1.5796558770592699</v>
      </c>
      <c r="AI3050">
        <v>140</v>
      </c>
      <c r="AJ3050">
        <v>7.4866654113745001</v>
      </c>
      <c r="AK3050">
        <v>208.00833333333301</v>
      </c>
      <c r="AL3050">
        <v>2.23356462152246</v>
      </c>
      <c r="AM3050">
        <v>1.90305134607507</v>
      </c>
      <c r="AN3050">
        <v>7.42</v>
      </c>
      <c r="AO3050" t="b">
        <v>1</v>
      </c>
      <c r="AP3050" t="s">
        <v>11970</v>
      </c>
      <c r="AQ3050">
        <v>1951</v>
      </c>
      <c r="AR3050">
        <v>1974</v>
      </c>
      <c r="AS3050" t="s">
        <v>12689</v>
      </c>
      <c r="AT3050">
        <v>11.1567419575633</v>
      </c>
      <c r="AU3050">
        <f t="shared" si="143"/>
        <v>3.1E-2</v>
      </c>
    </row>
    <row r="3051" spans="1:47" x14ac:dyDescent="0.3">
      <c r="A3051">
        <v>3049</v>
      </c>
      <c r="B3051" t="s">
        <v>12690</v>
      </c>
      <c r="C3051" t="s">
        <v>12691</v>
      </c>
      <c r="D3051">
        <v>750</v>
      </c>
      <c r="E3051" t="s">
        <v>12664</v>
      </c>
      <c r="F3051" t="str">
        <f>VLOOKUP(E3051,country_continent!A:C,2,FALSE)</f>
        <v>India</v>
      </c>
      <c r="G3051" t="str">
        <f>VLOOKUP(E3051,country_continent!A:C,3,FALSE)</f>
        <v>Asia</v>
      </c>
      <c r="H3051" t="s">
        <v>12692</v>
      </c>
      <c r="I3051" s="1">
        <v>28208</v>
      </c>
      <c r="J3051" s="3">
        <f t="shared" si="141"/>
        <v>28208</v>
      </c>
      <c r="K3051" s="1">
        <v>29021</v>
      </c>
      <c r="L3051" s="3">
        <f t="shared" si="142"/>
        <v>29021</v>
      </c>
      <c r="M3051" t="s">
        <v>49</v>
      </c>
      <c r="N3051" t="s">
        <v>49</v>
      </c>
      <c r="O3051" t="s">
        <v>49</v>
      </c>
      <c r="P3051">
        <v>0</v>
      </c>
      <c r="Q3051" t="s">
        <v>50</v>
      </c>
      <c r="R3051" t="s">
        <v>51</v>
      </c>
      <c r="S3051">
        <v>1896</v>
      </c>
      <c r="T3051">
        <v>1995</v>
      </c>
      <c r="U3051" t="s">
        <v>12693</v>
      </c>
      <c r="V3051" t="s">
        <v>12694</v>
      </c>
      <c r="W3051" s="1">
        <v>34768</v>
      </c>
      <c r="X3051" s="2">
        <v>34768</v>
      </c>
      <c r="Y3051" t="s">
        <v>12695</v>
      </c>
      <c r="Z3051">
        <v>0</v>
      </c>
      <c r="AA3051">
        <v>1</v>
      </c>
      <c r="AB3051">
        <v>0</v>
      </c>
      <c r="AC3051">
        <v>0</v>
      </c>
      <c r="AF3051">
        <v>1977</v>
      </c>
      <c r="AG3051">
        <v>1979</v>
      </c>
      <c r="AH3051">
        <v>0.21464778402867499</v>
      </c>
      <c r="AI3051">
        <v>210</v>
      </c>
      <c r="AJ3051">
        <v>7.9418516216692696</v>
      </c>
      <c r="AK3051">
        <v>180.166666666666</v>
      </c>
      <c r="AL3051">
        <v>2.3290503079963898</v>
      </c>
      <c r="AM3051">
        <v>3.5591362582743402</v>
      </c>
      <c r="AN3051">
        <v>8</v>
      </c>
      <c r="AO3051" t="b">
        <v>1</v>
      </c>
      <c r="AP3051" t="s">
        <v>11970</v>
      </c>
      <c r="AQ3051">
        <v>1951</v>
      </c>
      <c r="AR3051">
        <v>1974</v>
      </c>
      <c r="AS3051" t="s">
        <v>12696</v>
      </c>
      <c r="AT3051">
        <v>2.2258726899383898</v>
      </c>
      <c r="AU3051">
        <f t="shared" si="143"/>
        <v>6.0000000000000001E-3</v>
      </c>
    </row>
    <row r="3052" spans="1:47" x14ac:dyDescent="0.3">
      <c r="A3052">
        <v>3050</v>
      </c>
      <c r="B3052" t="s">
        <v>12697</v>
      </c>
      <c r="C3052" t="s">
        <v>12698</v>
      </c>
      <c r="D3052">
        <v>750</v>
      </c>
      <c r="E3052" t="s">
        <v>12664</v>
      </c>
      <c r="F3052" t="str">
        <f>VLOOKUP(E3052,country_continent!A:C,2,FALSE)</f>
        <v>India</v>
      </c>
      <c r="G3052" t="str">
        <f>VLOOKUP(E3052,country_continent!A:C,3,FALSE)</f>
        <v>Asia</v>
      </c>
      <c r="H3052" t="s">
        <v>12699</v>
      </c>
      <c r="I3052" s="1">
        <v>29064</v>
      </c>
      <c r="J3052" s="3">
        <f t="shared" si="141"/>
        <v>29064</v>
      </c>
      <c r="K3052" s="1">
        <v>29234</v>
      </c>
      <c r="L3052" s="3">
        <f t="shared" si="142"/>
        <v>29234</v>
      </c>
      <c r="M3052" t="s">
        <v>49</v>
      </c>
      <c r="N3052" t="s">
        <v>49</v>
      </c>
      <c r="O3052" t="s">
        <v>49</v>
      </c>
      <c r="P3052">
        <v>0</v>
      </c>
      <c r="Q3052" t="s">
        <v>50</v>
      </c>
      <c r="R3052" t="s">
        <v>51</v>
      </c>
      <c r="S3052">
        <v>1902</v>
      </c>
      <c r="T3052">
        <v>1987</v>
      </c>
      <c r="U3052" s="1">
        <v>1088</v>
      </c>
      <c r="V3052" s="2">
        <v>1088</v>
      </c>
      <c r="Z3052">
        <v>0</v>
      </c>
      <c r="AA3052">
        <v>1</v>
      </c>
      <c r="AB3052">
        <v>0</v>
      </c>
      <c r="AC3052">
        <v>0</v>
      </c>
      <c r="AF3052">
        <v>1979</v>
      </c>
      <c r="AG3052">
        <v>1980</v>
      </c>
      <c r="AH3052">
        <v>-1.59797700129895</v>
      </c>
      <c r="AI3052">
        <v>250</v>
      </c>
      <c r="AJ3052">
        <v>13.618182007311701</v>
      </c>
      <c r="AK3052">
        <v>171.8</v>
      </c>
      <c r="AL3052">
        <v>2.3551530840011901</v>
      </c>
      <c r="AM3052">
        <v>3.0868349810872902</v>
      </c>
      <c r="AN3052">
        <v>8</v>
      </c>
      <c r="AO3052" t="b">
        <v>1</v>
      </c>
      <c r="AP3052" t="s">
        <v>11970</v>
      </c>
      <c r="AQ3052">
        <v>1951</v>
      </c>
      <c r="AR3052">
        <v>1974</v>
      </c>
      <c r="AS3052" t="s">
        <v>12700</v>
      </c>
      <c r="AT3052">
        <v>0.46543463381245698</v>
      </c>
      <c r="AU3052">
        <f t="shared" si="143"/>
        <v>1E-3</v>
      </c>
    </row>
    <row r="3053" spans="1:47" x14ac:dyDescent="0.3">
      <c r="A3053">
        <v>3051</v>
      </c>
      <c r="B3053" t="s">
        <v>12701</v>
      </c>
      <c r="C3053" t="s">
        <v>12685</v>
      </c>
      <c r="D3053">
        <v>750</v>
      </c>
      <c r="E3053" t="s">
        <v>12664</v>
      </c>
      <c r="F3053" t="str">
        <f>VLOOKUP(E3053,country_continent!A:C,2,FALSE)</f>
        <v>India</v>
      </c>
      <c r="G3053" t="str">
        <f>VLOOKUP(E3053,country_continent!A:C,3,FALSE)</f>
        <v>Asia</v>
      </c>
      <c r="H3053" t="s">
        <v>12686</v>
      </c>
      <c r="I3053" s="1">
        <v>29234</v>
      </c>
      <c r="J3053" s="3">
        <f t="shared" si="141"/>
        <v>29234</v>
      </c>
      <c r="K3053" s="1">
        <v>30986</v>
      </c>
      <c r="L3053" s="3">
        <f t="shared" si="142"/>
        <v>30986</v>
      </c>
      <c r="M3053" t="s">
        <v>49</v>
      </c>
      <c r="N3053" t="s">
        <v>67</v>
      </c>
      <c r="O3053" t="s">
        <v>6580</v>
      </c>
      <c r="P3053">
        <v>1</v>
      </c>
      <c r="Q3053" t="s">
        <v>69</v>
      </c>
      <c r="R3053" t="s">
        <v>299</v>
      </c>
      <c r="S3053">
        <v>1917</v>
      </c>
      <c r="T3053">
        <v>1984</v>
      </c>
      <c r="U3053" s="1">
        <v>6533</v>
      </c>
      <c r="V3053" s="2">
        <v>6533</v>
      </c>
      <c r="W3053" s="1">
        <v>30986</v>
      </c>
      <c r="X3053" s="2">
        <v>30986</v>
      </c>
      <c r="Y3053" t="s">
        <v>12687</v>
      </c>
      <c r="Z3053">
        <v>0</v>
      </c>
      <c r="AA3053">
        <v>3</v>
      </c>
      <c r="AB3053">
        <v>111</v>
      </c>
      <c r="AC3053">
        <v>3</v>
      </c>
      <c r="AD3053" t="s">
        <v>12688</v>
      </c>
      <c r="AE3053">
        <v>1</v>
      </c>
      <c r="AF3053">
        <v>1980</v>
      </c>
      <c r="AG3053">
        <v>1984</v>
      </c>
      <c r="AH3053">
        <v>3.0147452257426202</v>
      </c>
      <c r="AI3053">
        <v>288</v>
      </c>
      <c r="AJ3053">
        <v>9.3815716676078598</v>
      </c>
      <c r="AK3053">
        <v>159.34</v>
      </c>
      <c r="AL3053">
        <v>2.35103091233935</v>
      </c>
      <c r="AM3053">
        <v>3.5436881234172999</v>
      </c>
      <c r="AN3053">
        <v>8</v>
      </c>
      <c r="AO3053" t="b">
        <v>1</v>
      </c>
      <c r="AP3053" t="s">
        <v>11970</v>
      </c>
      <c r="AQ3053">
        <v>1951</v>
      </c>
      <c r="AR3053">
        <v>1974</v>
      </c>
      <c r="AS3053" t="s">
        <v>12702</v>
      </c>
      <c r="AT3053">
        <v>4.7967145790554397</v>
      </c>
      <c r="AU3053">
        <f t="shared" si="143"/>
        <v>1.2999999999999999E-2</v>
      </c>
    </row>
    <row r="3054" spans="1:47" x14ac:dyDescent="0.3">
      <c r="A3054">
        <v>3052</v>
      </c>
      <c r="B3054" t="s">
        <v>12703</v>
      </c>
      <c r="C3054" t="s">
        <v>12704</v>
      </c>
      <c r="D3054">
        <v>750</v>
      </c>
      <c r="E3054" t="s">
        <v>12664</v>
      </c>
      <c r="F3054" t="str">
        <f>VLOOKUP(E3054,country_continent!A:C,2,FALSE)</f>
        <v>India</v>
      </c>
      <c r="G3054" t="str">
        <f>VLOOKUP(E3054,country_continent!A:C,3,FALSE)</f>
        <v>Asia</v>
      </c>
      <c r="H3054" t="s">
        <v>12705</v>
      </c>
      <c r="I3054" s="1">
        <v>30986</v>
      </c>
      <c r="J3054" s="3">
        <f t="shared" si="141"/>
        <v>30986</v>
      </c>
      <c r="K3054" s="1">
        <v>32844</v>
      </c>
      <c r="L3054" s="3">
        <f t="shared" si="142"/>
        <v>32844</v>
      </c>
      <c r="M3054" t="s">
        <v>49</v>
      </c>
      <c r="N3054" t="s">
        <v>49</v>
      </c>
      <c r="O3054" t="s">
        <v>49</v>
      </c>
      <c r="P3054">
        <v>0</v>
      </c>
      <c r="Q3054" t="s">
        <v>50</v>
      </c>
      <c r="R3054" t="s">
        <v>51</v>
      </c>
      <c r="S3054">
        <v>1944</v>
      </c>
      <c r="T3054">
        <v>1991</v>
      </c>
      <c r="U3054" s="1">
        <v>16304</v>
      </c>
      <c r="V3054" s="2">
        <v>16304</v>
      </c>
      <c r="W3054" s="1">
        <v>33379</v>
      </c>
      <c r="X3054" s="2">
        <v>33379</v>
      </c>
      <c r="Y3054" t="s">
        <v>12706</v>
      </c>
      <c r="Z3054">
        <v>0</v>
      </c>
      <c r="AA3054">
        <v>1</v>
      </c>
      <c r="AB3054">
        <v>0</v>
      </c>
      <c r="AC3054">
        <v>0</v>
      </c>
      <c r="AF3054">
        <v>1984</v>
      </c>
      <c r="AG3054">
        <v>1989</v>
      </c>
      <c r="AH3054">
        <v>3.17460219159303</v>
      </c>
      <c r="AI3054">
        <v>343.33333333333297</v>
      </c>
      <c r="AJ3054">
        <v>7.9839393816839497</v>
      </c>
      <c r="AK3054">
        <v>140.23333333333301</v>
      </c>
      <c r="AL3054">
        <v>2.29121076204131</v>
      </c>
      <c r="AM3054">
        <v>2.7058223783492199</v>
      </c>
      <c r="AN3054">
        <v>8</v>
      </c>
      <c r="AO3054" t="b">
        <v>1</v>
      </c>
      <c r="AP3054" t="s">
        <v>11970</v>
      </c>
      <c r="AQ3054">
        <v>1951</v>
      </c>
      <c r="AR3054">
        <v>1974</v>
      </c>
      <c r="AS3054" t="s">
        <v>12707</v>
      </c>
      <c r="AT3054">
        <v>5.0869267624914398</v>
      </c>
      <c r="AU3054">
        <f t="shared" si="143"/>
        <v>1.4E-2</v>
      </c>
    </row>
    <row r="3055" spans="1:47" x14ac:dyDescent="0.3">
      <c r="A3055">
        <v>3053</v>
      </c>
      <c r="B3055" t="s">
        <v>12708</v>
      </c>
      <c r="C3055" t="s">
        <v>12709</v>
      </c>
      <c r="D3055">
        <v>750</v>
      </c>
      <c r="E3055" t="s">
        <v>12664</v>
      </c>
      <c r="F3055" t="str">
        <f>VLOOKUP(E3055,country_continent!A:C,2,FALSE)</f>
        <v>India</v>
      </c>
      <c r="G3055" t="str">
        <f>VLOOKUP(E3055,country_continent!A:C,3,FALSE)</f>
        <v>Asia</v>
      </c>
      <c r="H3055" t="s">
        <v>12710</v>
      </c>
      <c r="I3055" s="1">
        <v>32844</v>
      </c>
      <c r="J3055" s="3">
        <f t="shared" si="141"/>
        <v>32844</v>
      </c>
      <c r="K3055" s="1">
        <v>33187</v>
      </c>
      <c r="L3055" s="3">
        <f t="shared" si="142"/>
        <v>33187</v>
      </c>
      <c r="M3055" t="s">
        <v>49</v>
      </c>
      <c r="N3055" t="s">
        <v>49</v>
      </c>
      <c r="O3055" t="s">
        <v>49</v>
      </c>
      <c r="P3055">
        <v>0</v>
      </c>
      <c r="Q3055" t="s">
        <v>50</v>
      </c>
      <c r="R3055" t="s">
        <v>51</v>
      </c>
      <c r="S3055">
        <v>1931</v>
      </c>
      <c r="T3055">
        <v>2008</v>
      </c>
      <c r="U3055" s="1">
        <v>11499</v>
      </c>
      <c r="V3055" s="2">
        <v>11499</v>
      </c>
      <c r="Z3055">
        <v>0</v>
      </c>
      <c r="AA3055">
        <v>1</v>
      </c>
      <c r="AB3055">
        <v>0</v>
      </c>
      <c r="AC3055">
        <v>0</v>
      </c>
      <c r="AF3055">
        <v>1989</v>
      </c>
      <c r="AG3055">
        <v>1990</v>
      </c>
      <c r="AH3055">
        <v>3.4147702118554899</v>
      </c>
      <c r="AI3055">
        <v>390</v>
      </c>
      <c r="AJ3055">
        <v>9.5525563595927192</v>
      </c>
      <c r="AK3055">
        <v>128.4</v>
      </c>
      <c r="AL3055">
        <v>2.2239021449164298</v>
      </c>
      <c r="AM3055">
        <v>3.1150585405712801</v>
      </c>
      <c r="AN3055">
        <v>8</v>
      </c>
      <c r="AO3055" t="b">
        <v>1</v>
      </c>
      <c r="AP3055" t="s">
        <v>11970</v>
      </c>
      <c r="AQ3055">
        <v>1951</v>
      </c>
      <c r="AR3055">
        <v>1974</v>
      </c>
      <c r="AS3055" t="s">
        <v>12711</v>
      </c>
      <c r="AT3055">
        <v>0.93908281998631005</v>
      </c>
      <c r="AU3055">
        <f t="shared" si="143"/>
        <v>3.0000000000000001E-3</v>
      </c>
    </row>
    <row r="3056" spans="1:47" x14ac:dyDescent="0.3">
      <c r="A3056">
        <v>3054</v>
      </c>
      <c r="B3056" t="s">
        <v>12712</v>
      </c>
      <c r="C3056" t="s">
        <v>12713</v>
      </c>
      <c r="D3056">
        <v>750</v>
      </c>
      <c r="E3056" t="s">
        <v>12664</v>
      </c>
      <c r="F3056" t="str">
        <f>VLOOKUP(E3056,country_continent!A:C,2,FALSE)</f>
        <v>India</v>
      </c>
      <c r="G3056" t="str">
        <f>VLOOKUP(E3056,country_continent!A:C,3,FALSE)</f>
        <v>Asia</v>
      </c>
      <c r="H3056" t="s">
        <v>12714</v>
      </c>
      <c r="I3056" s="1">
        <v>33187</v>
      </c>
      <c r="J3056" s="3">
        <f t="shared" si="141"/>
        <v>33187</v>
      </c>
      <c r="K3056" s="1">
        <v>33410</v>
      </c>
      <c r="L3056" s="3">
        <f t="shared" si="142"/>
        <v>33410</v>
      </c>
      <c r="M3056" t="s">
        <v>49</v>
      </c>
      <c r="N3056" t="s">
        <v>49</v>
      </c>
      <c r="O3056" t="s">
        <v>49</v>
      </c>
      <c r="P3056">
        <v>0</v>
      </c>
      <c r="Q3056" t="s">
        <v>50</v>
      </c>
      <c r="R3056" t="s">
        <v>51</v>
      </c>
      <c r="S3056">
        <v>1927</v>
      </c>
      <c r="T3056">
        <v>2007</v>
      </c>
      <c r="U3056" s="1">
        <v>9969</v>
      </c>
      <c r="V3056" s="2">
        <v>9969</v>
      </c>
      <c r="Z3056">
        <v>0</v>
      </c>
      <c r="AA3056">
        <v>1</v>
      </c>
      <c r="AB3056">
        <v>0</v>
      </c>
      <c r="AC3056">
        <v>0</v>
      </c>
      <c r="AF3056">
        <v>1990</v>
      </c>
      <c r="AG3056">
        <v>1991</v>
      </c>
      <c r="AH3056">
        <v>1.05661764507782</v>
      </c>
      <c r="AI3056">
        <v>370</v>
      </c>
      <c r="AJ3056">
        <v>12.2100613954845</v>
      </c>
      <c r="AK3056">
        <v>124.7</v>
      </c>
      <c r="AL3056">
        <v>2.19045378650886</v>
      </c>
      <c r="AM3056">
        <v>3.24939262471834</v>
      </c>
      <c r="AN3056">
        <v>8</v>
      </c>
      <c r="AO3056" t="b">
        <v>1</v>
      </c>
      <c r="AP3056" t="s">
        <v>11970</v>
      </c>
      <c r="AQ3056">
        <v>1951</v>
      </c>
      <c r="AR3056">
        <v>1974</v>
      </c>
      <c r="AS3056" t="s">
        <v>12715</v>
      </c>
      <c r="AT3056">
        <v>0.61054072553045802</v>
      </c>
      <c r="AU3056">
        <f t="shared" si="143"/>
        <v>2E-3</v>
      </c>
    </row>
    <row r="3057" spans="1:47" x14ac:dyDescent="0.3">
      <c r="A3057">
        <v>3055</v>
      </c>
      <c r="B3057" t="s">
        <v>12716</v>
      </c>
      <c r="C3057" t="s">
        <v>12717</v>
      </c>
      <c r="D3057">
        <v>750</v>
      </c>
      <c r="E3057" t="s">
        <v>12664</v>
      </c>
      <c r="F3057" t="str">
        <f>VLOOKUP(E3057,country_continent!A:C,2,FALSE)</f>
        <v>India</v>
      </c>
      <c r="G3057" t="str">
        <f>VLOOKUP(E3057,country_continent!A:C,3,FALSE)</f>
        <v>Asia</v>
      </c>
      <c r="H3057" t="s">
        <v>12718</v>
      </c>
      <c r="I3057" s="1">
        <v>33410</v>
      </c>
      <c r="J3057" s="3">
        <f t="shared" si="141"/>
        <v>33410</v>
      </c>
      <c r="K3057" s="1">
        <v>35201</v>
      </c>
      <c r="L3057" s="3">
        <f t="shared" si="142"/>
        <v>35201</v>
      </c>
      <c r="M3057" t="s">
        <v>49</v>
      </c>
      <c r="N3057" t="s">
        <v>49</v>
      </c>
      <c r="O3057" t="s">
        <v>49</v>
      </c>
      <c r="P3057">
        <v>0</v>
      </c>
      <c r="Q3057" t="s">
        <v>50</v>
      </c>
      <c r="R3057" t="s">
        <v>51</v>
      </c>
      <c r="S3057">
        <v>1921</v>
      </c>
      <c r="T3057">
        <v>2004</v>
      </c>
      <c r="U3057" s="1">
        <v>7850</v>
      </c>
      <c r="V3057" s="2">
        <v>7850</v>
      </c>
      <c r="W3057" s="1">
        <v>38344</v>
      </c>
      <c r="X3057" s="2">
        <v>38344</v>
      </c>
      <c r="Y3057" t="s">
        <v>12719</v>
      </c>
      <c r="Z3057">
        <v>0</v>
      </c>
      <c r="AA3057">
        <v>1</v>
      </c>
      <c r="AB3057">
        <v>0</v>
      </c>
      <c r="AC3057">
        <v>0</v>
      </c>
      <c r="AF3057">
        <v>1991</v>
      </c>
      <c r="AG3057">
        <v>1996</v>
      </c>
      <c r="AH3057">
        <v>3.3461238888115901</v>
      </c>
      <c r="AI3057">
        <v>356.666666666666</v>
      </c>
      <c r="AJ3057">
        <v>9.8660865733525895</v>
      </c>
      <c r="AK3057">
        <v>114.466666666666</v>
      </c>
      <c r="AL3057">
        <v>2.0754503629955199</v>
      </c>
      <c r="AM3057">
        <v>2.5768814020362099</v>
      </c>
      <c r="AN3057">
        <v>8</v>
      </c>
      <c r="AO3057" t="b">
        <v>1</v>
      </c>
      <c r="AP3057" t="s">
        <v>11970</v>
      </c>
      <c r="AQ3057">
        <v>1951</v>
      </c>
      <c r="AR3057">
        <v>1974</v>
      </c>
      <c r="AS3057" t="s">
        <v>12720</v>
      </c>
      <c r="AT3057">
        <v>4.9034907597535904</v>
      </c>
      <c r="AU3057">
        <f t="shared" si="143"/>
        <v>1.2999999999999999E-2</v>
      </c>
    </row>
    <row r="3058" spans="1:47" x14ac:dyDescent="0.3">
      <c r="A3058">
        <v>3056</v>
      </c>
      <c r="B3058" t="s">
        <v>12721</v>
      </c>
      <c r="C3058" t="s">
        <v>12722</v>
      </c>
      <c r="D3058">
        <v>750</v>
      </c>
      <c r="E3058" t="s">
        <v>12664</v>
      </c>
      <c r="F3058" t="str">
        <f>VLOOKUP(E3058,country_continent!A:C,2,FALSE)</f>
        <v>India</v>
      </c>
      <c r="G3058" t="str">
        <f>VLOOKUP(E3058,country_continent!A:C,3,FALSE)</f>
        <v>Asia</v>
      </c>
      <c r="H3058" t="s">
        <v>12723</v>
      </c>
      <c r="I3058" s="1">
        <v>35201</v>
      </c>
      <c r="J3058" s="3">
        <f t="shared" si="141"/>
        <v>35201</v>
      </c>
      <c r="K3058" s="1">
        <v>35217</v>
      </c>
      <c r="L3058" s="3">
        <f t="shared" si="142"/>
        <v>35217</v>
      </c>
      <c r="M3058" t="s">
        <v>49</v>
      </c>
      <c r="N3058" t="s">
        <v>49</v>
      </c>
      <c r="O3058" t="s">
        <v>49</v>
      </c>
      <c r="P3058">
        <v>0</v>
      </c>
      <c r="Q3058" t="s">
        <v>50</v>
      </c>
      <c r="R3058" t="s">
        <v>51</v>
      </c>
      <c r="S3058">
        <v>1924</v>
      </c>
      <c r="T3058">
        <v>-777</v>
      </c>
      <c r="Z3058">
        <v>0</v>
      </c>
      <c r="AA3058">
        <v>1</v>
      </c>
      <c r="AB3058">
        <v>0</v>
      </c>
      <c r="AC3058">
        <v>0</v>
      </c>
      <c r="AF3058">
        <v>1996</v>
      </c>
      <c r="AG3058">
        <v>1996</v>
      </c>
      <c r="AH3058">
        <v>5.4222614105989599</v>
      </c>
      <c r="AI3058">
        <v>400</v>
      </c>
      <c r="AJ3058">
        <v>7.5750182894882201</v>
      </c>
      <c r="AK3058">
        <v>106</v>
      </c>
      <c r="AL3058">
        <v>1.99775909414655</v>
      </c>
      <c r="AM3058">
        <v>2.4848703695672798</v>
      </c>
      <c r="AN3058">
        <v>8</v>
      </c>
      <c r="AO3058" t="b">
        <v>1</v>
      </c>
      <c r="AP3058" t="s">
        <v>11970</v>
      </c>
      <c r="AQ3058">
        <v>1951</v>
      </c>
      <c r="AR3058">
        <v>1974</v>
      </c>
      <c r="AS3058" t="s">
        <v>12724</v>
      </c>
      <c r="AT3058">
        <v>4.3805612594113599E-2</v>
      </c>
      <c r="AU3058">
        <f t="shared" si="143"/>
        <v>0</v>
      </c>
    </row>
    <row r="3059" spans="1:47" x14ac:dyDescent="0.3">
      <c r="A3059">
        <v>3057</v>
      </c>
      <c r="B3059" t="s">
        <v>12725</v>
      </c>
      <c r="C3059" t="s">
        <v>12726</v>
      </c>
      <c r="D3059">
        <v>750</v>
      </c>
      <c r="E3059" t="s">
        <v>12664</v>
      </c>
      <c r="F3059" t="str">
        <f>VLOOKUP(E3059,country_continent!A:C,2,FALSE)</f>
        <v>India</v>
      </c>
      <c r="G3059" t="str">
        <f>VLOOKUP(E3059,country_continent!A:C,3,FALSE)</f>
        <v>Asia</v>
      </c>
      <c r="H3059" t="s">
        <v>12727</v>
      </c>
      <c r="I3059" s="1">
        <v>35217</v>
      </c>
      <c r="J3059" s="3">
        <f t="shared" si="141"/>
        <v>35217</v>
      </c>
      <c r="K3059" s="1">
        <v>35541</v>
      </c>
      <c r="L3059" s="3">
        <f t="shared" si="142"/>
        <v>35541</v>
      </c>
      <c r="M3059" t="s">
        <v>49</v>
      </c>
      <c r="N3059" t="s">
        <v>49</v>
      </c>
      <c r="O3059" t="s">
        <v>49</v>
      </c>
      <c r="P3059">
        <v>0</v>
      </c>
      <c r="Q3059" t="s">
        <v>50</v>
      </c>
      <c r="R3059" t="s">
        <v>51</v>
      </c>
      <c r="S3059">
        <v>1933</v>
      </c>
      <c r="T3059">
        <v>-777</v>
      </c>
      <c r="U3059" s="1">
        <v>12192</v>
      </c>
      <c r="V3059" s="2">
        <v>12192</v>
      </c>
      <c r="Y3059" t="s">
        <v>12728</v>
      </c>
      <c r="Z3059">
        <v>0</v>
      </c>
      <c r="AA3059">
        <v>1</v>
      </c>
      <c r="AB3059">
        <v>0</v>
      </c>
      <c r="AC3059">
        <v>0</v>
      </c>
      <c r="AF3059">
        <v>1996</v>
      </c>
      <c r="AG3059">
        <v>1997</v>
      </c>
      <c r="AH3059">
        <v>3.7230031504058001</v>
      </c>
      <c r="AI3059">
        <v>405</v>
      </c>
      <c r="AJ3059">
        <v>7.02564477444181</v>
      </c>
      <c r="AK3059">
        <v>104.25</v>
      </c>
      <c r="AL3059">
        <v>1.9820921388797701</v>
      </c>
      <c r="AM3059">
        <v>2.3455307372835299</v>
      </c>
      <c r="AN3059">
        <v>8</v>
      </c>
      <c r="AO3059" t="b">
        <v>1</v>
      </c>
      <c r="AP3059" t="s">
        <v>11970</v>
      </c>
      <c r="AQ3059">
        <v>1951</v>
      </c>
      <c r="AR3059">
        <v>1974</v>
      </c>
      <c r="AS3059" t="s">
        <v>12729</v>
      </c>
      <c r="AT3059">
        <v>0.88706365503079998</v>
      </c>
      <c r="AU3059">
        <f t="shared" si="143"/>
        <v>2E-3</v>
      </c>
    </row>
    <row r="3060" spans="1:47" x14ac:dyDescent="0.3">
      <c r="A3060">
        <v>3058</v>
      </c>
      <c r="B3060" t="s">
        <v>12730</v>
      </c>
      <c r="C3060" t="s">
        <v>12731</v>
      </c>
      <c r="D3060">
        <v>750</v>
      </c>
      <c r="E3060" t="s">
        <v>12664</v>
      </c>
      <c r="F3060" t="str">
        <f>VLOOKUP(E3060,country_continent!A:C,2,FALSE)</f>
        <v>India</v>
      </c>
      <c r="G3060" t="str">
        <f>VLOOKUP(E3060,country_continent!A:C,3,FALSE)</f>
        <v>Asia</v>
      </c>
      <c r="H3060" t="s">
        <v>12732</v>
      </c>
      <c r="I3060" s="1">
        <v>35541</v>
      </c>
      <c r="J3060" s="3">
        <f t="shared" si="141"/>
        <v>35541</v>
      </c>
      <c r="K3060" s="1">
        <v>35873</v>
      </c>
      <c r="L3060" s="3">
        <f t="shared" si="142"/>
        <v>35873</v>
      </c>
      <c r="M3060" t="s">
        <v>49</v>
      </c>
      <c r="N3060" t="s">
        <v>49</v>
      </c>
      <c r="O3060" t="s">
        <v>49</v>
      </c>
      <c r="P3060">
        <v>0</v>
      </c>
      <c r="Q3060" t="s">
        <v>50</v>
      </c>
      <c r="R3060" t="s">
        <v>51</v>
      </c>
      <c r="S3060">
        <v>1919</v>
      </c>
      <c r="T3060">
        <v>-777</v>
      </c>
      <c r="U3060" s="1">
        <v>7278</v>
      </c>
      <c r="V3060" s="2">
        <v>7278</v>
      </c>
      <c r="W3060" s="1">
        <v>41243</v>
      </c>
      <c r="X3060" s="2">
        <v>41243</v>
      </c>
      <c r="Y3060" t="s">
        <v>12733</v>
      </c>
      <c r="Z3060">
        <v>0</v>
      </c>
      <c r="AA3060">
        <v>1</v>
      </c>
      <c r="AB3060">
        <v>0</v>
      </c>
      <c r="AC3060">
        <v>0</v>
      </c>
      <c r="AF3060">
        <v>1997</v>
      </c>
      <c r="AG3060">
        <v>1998</v>
      </c>
      <c r="AH3060">
        <v>3.0861198737747202</v>
      </c>
      <c r="AI3060">
        <v>410</v>
      </c>
      <c r="AJ3060">
        <v>7.2432193919797001</v>
      </c>
      <c r="AK3060">
        <v>100.7</v>
      </c>
      <c r="AL3060">
        <v>1.9511945140200599</v>
      </c>
      <c r="AM3060">
        <v>1.9975121943799401</v>
      </c>
      <c r="AN3060">
        <v>8.5</v>
      </c>
      <c r="AO3060" t="b">
        <v>1</v>
      </c>
      <c r="AP3060" t="s">
        <v>11970</v>
      </c>
      <c r="AQ3060">
        <v>1951</v>
      </c>
      <c r="AR3060">
        <v>1974</v>
      </c>
      <c r="AS3060" t="s">
        <v>12734</v>
      </c>
      <c r="AT3060">
        <v>0.90896646132785697</v>
      </c>
      <c r="AU3060">
        <f t="shared" si="143"/>
        <v>2E-3</v>
      </c>
    </row>
    <row r="3061" spans="1:47" x14ac:dyDescent="0.3">
      <c r="A3061">
        <v>3059</v>
      </c>
      <c r="B3061" t="s">
        <v>12735</v>
      </c>
      <c r="C3061" t="s">
        <v>12722</v>
      </c>
      <c r="D3061">
        <v>750</v>
      </c>
      <c r="E3061" t="s">
        <v>12664</v>
      </c>
      <c r="F3061" t="str">
        <f>VLOOKUP(E3061,country_continent!A:C,2,FALSE)</f>
        <v>India</v>
      </c>
      <c r="G3061" t="str">
        <f>VLOOKUP(E3061,country_continent!A:C,3,FALSE)</f>
        <v>Asia</v>
      </c>
      <c r="H3061" t="s">
        <v>12723</v>
      </c>
      <c r="I3061" s="1">
        <v>35873</v>
      </c>
      <c r="J3061" s="3">
        <f t="shared" si="141"/>
        <v>35873</v>
      </c>
      <c r="K3061" s="1">
        <v>38129</v>
      </c>
      <c r="L3061" s="3">
        <f t="shared" si="142"/>
        <v>38129</v>
      </c>
      <c r="M3061" t="s">
        <v>49</v>
      </c>
      <c r="N3061" t="s">
        <v>49</v>
      </c>
      <c r="O3061" t="s">
        <v>49</v>
      </c>
      <c r="P3061">
        <v>1</v>
      </c>
      <c r="Q3061" t="s">
        <v>50</v>
      </c>
      <c r="R3061" t="s">
        <v>51</v>
      </c>
      <c r="S3061">
        <v>1924</v>
      </c>
      <c r="T3061">
        <v>-777</v>
      </c>
      <c r="Z3061">
        <v>0</v>
      </c>
      <c r="AA3061">
        <v>1</v>
      </c>
      <c r="AB3061">
        <v>0</v>
      </c>
      <c r="AC3061">
        <v>0</v>
      </c>
      <c r="AF3061">
        <v>1998</v>
      </c>
      <c r="AG3061">
        <v>2004</v>
      </c>
      <c r="AH3061">
        <v>4.2541405393817104</v>
      </c>
      <c r="AI3061">
        <v>474.28571428571399</v>
      </c>
      <c r="AJ3061">
        <v>4.4640063307945299</v>
      </c>
      <c r="AK3061">
        <v>88.157142857142802</v>
      </c>
      <c r="AL3061">
        <v>1.8338923245898699</v>
      </c>
      <c r="AM3061">
        <v>2.32583336632413</v>
      </c>
      <c r="AN3061">
        <v>9</v>
      </c>
      <c r="AO3061" t="b">
        <v>1</v>
      </c>
      <c r="AP3061" t="s">
        <v>11970</v>
      </c>
      <c r="AQ3061">
        <v>1951</v>
      </c>
      <c r="AR3061">
        <v>1974</v>
      </c>
      <c r="AS3061" t="s">
        <v>12736</v>
      </c>
      <c r="AT3061">
        <v>6.1765913757700197</v>
      </c>
      <c r="AU3061">
        <f t="shared" si="143"/>
        <v>1.7000000000000001E-2</v>
      </c>
    </row>
    <row r="3062" spans="1:47" x14ac:dyDescent="0.3">
      <c r="A3062">
        <v>3060</v>
      </c>
      <c r="B3062" t="s">
        <v>12737</v>
      </c>
      <c r="C3062" t="s">
        <v>12738</v>
      </c>
      <c r="D3062">
        <v>750</v>
      </c>
      <c r="E3062" t="s">
        <v>12664</v>
      </c>
      <c r="F3062" t="str">
        <f>VLOOKUP(E3062,country_continent!A:C,2,FALSE)</f>
        <v>India</v>
      </c>
      <c r="G3062" t="str">
        <f>VLOOKUP(E3062,country_continent!A:C,3,FALSE)</f>
        <v>Asia</v>
      </c>
      <c r="H3062" t="s">
        <v>12739</v>
      </c>
      <c r="I3062" s="1">
        <v>38129</v>
      </c>
      <c r="J3062" s="3">
        <f t="shared" si="141"/>
        <v>38129</v>
      </c>
      <c r="K3062" s="1">
        <v>41785</v>
      </c>
      <c r="L3062" s="3">
        <f t="shared" si="142"/>
        <v>41785</v>
      </c>
      <c r="M3062" t="s">
        <v>49</v>
      </c>
      <c r="N3062" t="s">
        <v>49</v>
      </c>
      <c r="O3062" t="s">
        <v>49</v>
      </c>
      <c r="P3062">
        <v>0</v>
      </c>
      <c r="Q3062" t="s">
        <v>50</v>
      </c>
      <c r="R3062" t="s">
        <v>51</v>
      </c>
      <c r="S3062">
        <v>1932</v>
      </c>
      <c r="T3062">
        <v>-777</v>
      </c>
      <c r="U3062" s="1">
        <v>11958</v>
      </c>
      <c r="V3062" s="2">
        <v>11958</v>
      </c>
      <c r="Z3062">
        <v>0</v>
      </c>
      <c r="AA3062">
        <v>1</v>
      </c>
      <c r="AB3062">
        <v>0</v>
      </c>
      <c r="AC3062">
        <v>0</v>
      </c>
      <c r="AF3062">
        <v>2004</v>
      </c>
      <c r="AG3062">
        <v>2014</v>
      </c>
      <c r="AH3062">
        <v>5.3082093889920996</v>
      </c>
      <c r="AI3062">
        <v>1105.45454545454</v>
      </c>
      <c r="AJ3062">
        <v>7.2399332891186301</v>
      </c>
      <c r="AK3062">
        <v>61.609090909090902</v>
      </c>
      <c r="AL3062">
        <v>1.4663072472141401</v>
      </c>
      <c r="AM3062">
        <v>4.18081647370526</v>
      </c>
      <c r="AN3062">
        <v>9</v>
      </c>
      <c r="AO3062" t="b">
        <v>1</v>
      </c>
      <c r="AP3062" t="s">
        <v>11970</v>
      </c>
      <c r="AQ3062">
        <v>1951</v>
      </c>
      <c r="AR3062">
        <v>1974</v>
      </c>
      <c r="AS3062" t="s">
        <v>12740</v>
      </c>
      <c r="AT3062">
        <v>10.009582477754901</v>
      </c>
      <c r="AU3062">
        <f t="shared" si="143"/>
        <v>2.7E-2</v>
      </c>
    </row>
    <row r="3063" spans="1:47" x14ac:dyDescent="0.3">
      <c r="A3063">
        <v>3061</v>
      </c>
      <c r="B3063" t="s">
        <v>12741</v>
      </c>
      <c r="C3063" t="s">
        <v>12742</v>
      </c>
      <c r="D3063">
        <v>750</v>
      </c>
      <c r="E3063" t="s">
        <v>12664</v>
      </c>
      <c r="F3063" t="str">
        <f>VLOOKUP(E3063,country_continent!A:C,2,FALSE)</f>
        <v>India</v>
      </c>
      <c r="G3063" t="str">
        <f>VLOOKUP(E3063,country_continent!A:C,3,FALSE)</f>
        <v>Asia</v>
      </c>
      <c r="H3063" t="s">
        <v>12743</v>
      </c>
      <c r="I3063" s="1">
        <v>41788</v>
      </c>
      <c r="J3063" s="3">
        <f t="shared" si="141"/>
        <v>41788</v>
      </c>
      <c r="K3063" s="1">
        <v>42369</v>
      </c>
      <c r="L3063" s="3">
        <f t="shared" si="142"/>
        <v>42369</v>
      </c>
      <c r="M3063" t="s">
        <v>49</v>
      </c>
      <c r="N3063" t="s">
        <v>173</v>
      </c>
      <c r="O3063" t="s">
        <v>173</v>
      </c>
      <c r="P3063">
        <v>0</v>
      </c>
      <c r="Q3063" t="s">
        <v>174</v>
      </c>
      <c r="R3063" t="s">
        <v>51</v>
      </c>
      <c r="S3063">
        <v>1950</v>
      </c>
      <c r="T3063">
        <v>-777</v>
      </c>
      <c r="U3063" s="1">
        <v>18523</v>
      </c>
      <c r="V3063" s="2">
        <v>18523</v>
      </c>
      <c r="Z3063">
        <v>0</v>
      </c>
      <c r="AA3063">
        <v>-888</v>
      </c>
      <c r="AB3063">
        <v>-888</v>
      </c>
      <c r="AC3063">
        <v>-888</v>
      </c>
      <c r="AF3063">
        <v>2014</v>
      </c>
      <c r="AG3063">
        <v>2015</v>
      </c>
      <c r="AH3063">
        <v>6.38982404401471</v>
      </c>
      <c r="AI3063">
        <v>1560</v>
      </c>
      <c r="AJ3063">
        <v>2.80567251277993</v>
      </c>
      <c r="AK3063">
        <v>44.95</v>
      </c>
      <c r="AL3063">
        <v>1.2270729525484101</v>
      </c>
      <c r="AM3063">
        <v>2.2956649377804301</v>
      </c>
      <c r="AN3063">
        <v>9</v>
      </c>
      <c r="AO3063" t="b">
        <v>1</v>
      </c>
      <c r="AP3063" t="s">
        <v>11970</v>
      </c>
      <c r="AQ3063">
        <v>1951</v>
      </c>
      <c r="AR3063">
        <v>1974</v>
      </c>
      <c r="AS3063" t="s">
        <v>12682</v>
      </c>
      <c r="AT3063">
        <v>1.5906913073237501</v>
      </c>
      <c r="AU3063">
        <f t="shared" si="143"/>
        <v>4.0000000000000001E-3</v>
      </c>
    </row>
    <row r="3064" spans="1:47" x14ac:dyDescent="0.3">
      <c r="A3064">
        <v>3062</v>
      </c>
      <c r="B3064" t="s">
        <v>12744</v>
      </c>
      <c r="C3064" t="s">
        <v>12745</v>
      </c>
      <c r="D3064">
        <v>760</v>
      </c>
      <c r="E3064" t="s">
        <v>12746</v>
      </c>
      <c r="F3064" t="str">
        <f>VLOOKUP(E3064,country_continent!A:C,2,FALSE)</f>
        <v>Bhutan</v>
      </c>
      <c r="G3064" t="str">
        <f>VLOOKUP(E3064,country_continent!A:C,3,FALSE)</f>
        <v>Asia</v>
      </c>
      <c r="H3064" t="s">
        <v>12747</v>
      </c>
      <c r="I3064" s="1">
        <v>9730</v>
      </c>
      <c r="J3064" s="3">
        <f t="shared" si="141"/>
        <v>9730</v>
      </c>
      <c r="K3064" s="1">
        <v>19077</v>
      </c>
      <c r="L3064" s="3">
        <f t="shared" si="142"/>
        <v>19077</v>
      </c>
      <c r="M3064" t="s">
        <v>49</v>
      </c>
      <c r="N3064" t="s">
        <v>110</v>
      </c>
      <c r="O3064" t="s">
        <v>49</v>
      </c>
      <c r="P3064">
        <v>0</v>
      </c>
      <c r="Q3064" t="s">
        <v>111</v>
      </c>
      <c r="R3064" t="s">
        <v>51</v>
      </c>
      <c r="S3064">
        <v>1902</v>
      </c>
      <c r="T3064">
        <v>1952</v>
      </c>
      <c r="W3064" s="1">
        <v>19077</v>
      </c>
      <c r="X3064" s="2">
        <v>19077</v>
      </c>
      <c r="Z3064">
        <v>0</v>
      </c>
      <c r="AA3064">
        <v>2</v>
      </c>
      <c r="AB3064">
        <v>0</v>
      </c>
      <c r="AC3064">
        <v>-777</v>
      </c>
      <c r="AF3064">
        <v>1926</v>
      </c>
      <c r="AG3064">
        <v>1952</v>
      </c>
      <c r="AO3064" t="b">
        <v>0</v>
      </c>
      <c r="AT3064">
        <v>9347</v>
      </c>
      <c r="AU3064">
        <f t="shared" si="143"/>
        <v>25.608000000000001</v>
      </c>
    </row>
    <row r="3065" spans="1:47" x14ac:dyDescent="0.3">
      <c r="A3065">
        <v>3063</v>
      </c>
      <c r="B3065" t="s">
        <v>12748</v>
      </c>
      <c r="C3065" t="s">
        <v>12749</v>
      </c>
      <c r="D3065">
        <v>760</v>
      </c>
      <c r="E3065" t="s">
        <v>12746</v>
      </c>
      <c r="F3065" t="str">
        <f>VLOOKUP(E3065,country_continent!A:C,2,FALSE)</f>
        <v>Bhutan</v>
      </c>
      <c r="G3065" t="str">
        <f>VLOOKUP(E3065,country_continent!A:C,3,FALSE)</f>
        <v>Asia</v>
      </c>
      <c r="H3065" t="s">
        <v>12750</v>
      </c>
      <c r="I3065" s="1">
        <v>19077</v>
      </c>
      <c r="J3065" s="3">
        <f t="shared" si="141"/>
        <v>19077</v>
      </c>
      <c r="K3065" s="1">
        <v>26501</v>
      </c>
      <c r="L3065" s="3">
        <f t="shared" si="142"/>
        <v>26501</v>
      </c>
      <c r="M3065" t="s">
        <v>49</v>
      </c>
      <c r="N3065" t="s">
        <v>110</v>
      </c>
      <c r="O3065" t="s">
        <v>49</v>
      </c>
      <c r="P3065">
        <v>0</v>
      </c>
      <c r="Q3065" t="s">
        <v>111</v>
      </c>
      <c r="R3065" t="s">
        <v>51</v>
      </c>
      <c r="S3065">
        <v>1929</v>
      </c>
      <c r="T3065">
        <v>1972</v>
      </c>
      <c r="W3065" s="1">
        <v>26501</v>
      </c>
      <c r="X3065" s="2">
        <v>26501</v>
      </c>
      <c r="Y3065" t="s">
        <v>12751</v>
      </c>
      <c r="Z3065">
        <v>0</v>
      </c>
      <c r="AA3065">
        <v>2</v>
      </c>
      <c r="AB3065">
        <v>0</v>
      </c>
      <c r="AC3065">
        <v>-777</v>
      </c>
      <c r="AF3065">
        <v>1952</v>
      </c>
      <c r="AG3065">
        <v>1972</v>
      </c>
      <c r="AO3065" t="b">
        <v>0</v>
      </c>
      <c r="AT3065">
        <v>7424</v>
      </c>
      <c r="AU3065">
        <f t="shared" si="143"/>
        <v>20.34</v>
      </c>
    </row>
    <row r="3066" spans="1:47" x14ac:dyDescent="0.3">
      <c r="A3066">
        <v>3064</v>
      </c>
      <c r="B3066" t="s">
        <v>12752</v>
      </c>
      <c r="C3066" t="s">
        <v>12753</v>
      </c>
      <c r="D3066">
        <v>760</v>
      </c>
      <c r="E3066" t="s">
        <v>12746</v>
      </c>
      <c r="F3066" t="str">
        <f>VLOOKUP(E3066,country_continent!A:C,2,FALSE)</f>
        <v>Bhutan</v>
      </c>
      <c r="G3066" t="str">
        <f>VLOOKUP(E3066,country_continent!A:C,3,FALSE)</f>
        <v>Asia</v>
      </c>
      <c r="H3066" t="s">
        <v>12754</v>
      </c>
      <c r="I3066" s="1">
        <v>26501</v>
      </c>
      <c r="J3066" s="3">
        <f t="shared" si="141"/>
        <v>26501</v>
      </c>
      <c r="K3066" s="1">
        <v>35996</v>
      </c>
      <c r="L3066" s="3">
        <f t="shared" si="142"/>
        <v>35996</v>
      </c>
      <c r="M3066" t="s">
        <v>49</v>
      </c>
      <c r="N3066" t="s">
        <v>49</v>
      </c>
      <c r="O3066" t="s">
        <v>49</v>
      </c>
      <c r="P3066">
        <v>0</v>
      </c>
      <c r="Q3066" t="s">
        <v>50</v>
      </c>
      <c r="R3066" t="s">
        <v>51</v>
      </c>
      <c r="S3066">
        <v>1955</v>
      </c>
      <c r="T3066">
        <v>-777</v>
      </c>
      <c r="U3066" s="1">
        <v>20404</v>
      </c>
      <c r="V3066" s="2">
        <v>20404</v>
      </c>
      <c r="Y3066" t="s">
        <v>12755</v>
      </c>
      <c r="Z3066">
        <v>0</v>
      </c>
      <c r="AA3066">
        <v>1</v>
      </c>
      <c r="AB3066">
        <v>0</v>
      </c>
      <c r="AC3066">
        <v>0</v>
      </c>
      <c r="AF3066">
        <v>1972</v>
      </c>
      <c r="AG3066">
        <v>1998</v>
      </c>
      <c r="AO3066" t="b">
        <v>0</v>
      </c>
      <c r="AT3066">
        <v>9495</v>
      </c>
      <c r="AU3066">
        <f t="shared" si="143"/>
        <v>26.013999999999999</v>
      </c>
    </row>
    <row r="3067" spans="1:47" x14ac:dyDescent="0.3">
      <c r="A3067">
        <v>3065</v>
      </c>
      <c r="B3067" t="s">
        <v>12756</v>
      </c>
      <c r="C3067" t="s">
        <v>12757</v>
      </c>
      <c r="D3067">
        <v>760</v>
      </c>
      <c r="E3067" t="s">
        <v>12746</v>
      </c>
      <c r="F3067" t="str">
        <f>VLOOKUP(E3067,country_continent!A:C,2,FALSE)</f>
        <v>Bhutan</v>
      </c>
      <c r="G3067" t="str">
        <f>VLOOKUP(E3067,country_continent!A:C,3,FALSE)</f>
        <v>Asia</v>
      </c>
      <c r="H3067" t="s">
        <v>12758</v>
      </c>
      <c r="I3067" s="1">
        <v>35996</v>
      </c>
      <c r="J3067" s="3">
        <f t="shared" si="141"/>
        <v>35996</v>
      </c>
      <c r="K3067" s="1">
        <v>36350</v>
      </c>
      <c r="L3067" s="3">
        <f t="shared" si="142"/>
        <v>36350</v>
      </c>
      <c r="M3067" t="s">
        <v>49</v>
      </c>
      <c r="N3067" t="s">
        <v>49</v>
      </c>
      <c r="O3067" t="s">
        <v>49</v>
      </c>
      <c r="P3067">
        <v>0</v>
      </c>
      <c r="Q3067" t="s">
        <v>50</v>
      </c>
      <c r="R3067" t="s">
        <v>51</v>
      </c>
      <c r="S3067">
        <v>1952</v>
      </c>
      <c r="T3067">
        <v>-777</v>
      </c>
      <c r="Z3067">
        <v>0</v>
      </c>
      <c r="AA3067">
        <v>1</v>
      </c>
      <c r="AB3067">
        <v>0</v>
      </c>
      <c r="AC3067">
        <v>0</v>
      </c>
      <c r="AF3067">
        <v>1998</v>
      </c>
      <c r="AG3067">
        <v>1999</v>
      </c>
      <c r="AO3067" t="b">
        <v>0</v>
      </c>
      <c r="AT3067">
        <v>354</v>
      </c>
      <c r="AU3067">
        <f t="shared" si="143"/>
        <v>0.97</v>
      </c>
    </row>
    <row r="3068" spans="1:47" x14ac:dyDescent="0.3">
      <c r="A3068">
        <v>3066</v>
      </c>
      <c r="B3068" t="s">
        <v>12759</v>
      </c>
      <c r="C3068" t="s">
        <v>12760</v>
      </c>
      <c r="D3068">
        <v>760</v>
      </c>
      <c r="E3068" t="s">
        <v>12746</v>
      </c>
      <c r="F3068" t="str">
        <f>VLOOKUP(E3068,country_continent!A:C,2,FALSE)</f>
        <v>Bhutan</v>
      </c>
      <c r="G3068" t="str">
        <f>VLOOKUP(E3068,country_continent!A:C,3,FALSE)</f>
        <v>Asia</v>
      </c>
      <c r="H3068" t="s">
        <v>12761</v>
      </c>
      <c r="I3068" s="1">
        <v>36350</v>
      </c>
      <c r="J3068" s="3">
        <f t="shared" si="141"/>
        <v>36350</v>
      </c>
      <c r="K3068" s="1">
        <v>36727</v>
      </c>
      <c r="L3068" s="3">
        <f t="shared" si="142"/>
        <v>36727</v>
      </c>
      <c r="M3068" t="s">
        <v>49</v>
      </c>
      <c r="N3068" t="s">
        <v>49</v>
      </c>
      <c r="O3068" t="s">
        <v>49</v>
      </c>
      <c r="P3068">
        <v>0</v>
      </c>
      <c r="Q3068" t="s">
        <v>50</v>
      </c>
      <c r="R3068" t="s">
        <v>51</v>
      </c>
      <c r="S3068">
        <v>1953</v>
      </c>
      <c r="T3068">
        <v>-777</v>
      </c>
      <c r="Z3068">
        <v>0</v>
      </c>
      <c r="AA3068">
        <v>1</v>
      </c>
      <c r="AB3068">
        <v>0</v>
      </c>
      <c r="AC3068">
        <v>0</v>
      </c>
      <c r="AF3068">
        <v>1999</v>
      </c>
      <c r="AG3068">
        <v>2000</v>
      </c>
      <c r="AO3068" t="b">
        <v>0</v>
      </c>
      <c r="AT3068">
        <v>377</v>
      </c>
      <c r="AU3068">
        <f t="shared" si="143"/>
        <v>1.0329999999999999</v>
      </c>
    </row>
    <row r="3069" spans="1:47" x14ac:dyDescent="0.3">
      <c r="A3069">
        <v>3067</v>
      </c>
      <c r="B3069" t="s">
        <v>12762</v>
      </c>
      <c r="C3069" t="s">
        <v>12763</v>
      </c>
      <c r="D3069">
        <v>760</v>
      </c>
      <c r="E3069" t="s">
        <v>12746</v>
      </c>
      <c r="F3069" t="str">
        <f>VLOOKUP(E3069,country_continent!A:C,2,FALSE)</f>
        <v>Bhutan</v>
      </c>
      <c r="G3069" t="str">
        <f>VLOOKUP(E3069,country_continent!A:C,3,FALSE)</f>
        <v>Asia</v>
      </c>
      <c r="H3069" t="s">
        <v>12764</v>
      </c>
      <c r="I3069" s="1">
        <v>36727</v>
      </c>
      <c r="J3069" s="3">
        <f t="shared" si="141"/>
        <v>36727</v>
      </c>
      <c r="K3069" s="1">
        <v>37111</v>
      </c>
      <c r="L3069" s="3">
        <f t="shared" si="142"/>
        <v>37111</v>
      </c>
      <c r="M3069" t="s">
        <v>49</v>
      </c>
      <c r="N3069" t="s">
        <v>49</v>
      </c>
      <c r="O3069" t="s">
        <v>49</v>
      </c>
      <c r="P3069">
        <v>0</v>
      </c>
      <c r="Q3069" t="s">
        <v>50</v>
      </c>
      <c r="R3069" t="s">
        <v>51</v>
      </c>
      <c r="S3069">
        <v>1952</v>
      </c>
      <c r="T3069">
        <v>-777</v>
      </c>
      <c r="Z3069">
        <v>0</v>
      </c>
      <c r="AA3069">
        <v>1</v>
      </c>
      <c r="AB3069">
        <v>0</v>
      </c>
      <c r="AC3069">
        <v>0</v>
      </c>
      <c r="AF3069">
        <v>2000</v>
      </c>
      <c r="AG3069">
        <v>2001</v>
      </c>
      <c r="AO3069" t="b">
        <v>0</v>
      </c>
      <c r="AT3069">
        <v>384</v>
      </c>
      <c r="AU3069">
        <f t="shared" si="143"/>
        <v>1.052</v>
      </c>
    </row>
    <row r="3070" spans="1:47" x14ac:dyDescent="0.3">
      <c r="A3070">
        <v>3068</v>
      </c>
      <c r="B3070" t="s">
        <v>12765</v>
      </c>
      <c r="C3070" t="s">
        <v>12766</v>
      </c>
      <c r="D3070">
        <v>760</v>
      </c>
      <c r="E3070" t="s">
        <v>12746</v>
      </c>
      <c r="F3070" t="str">
        <f>VLOOKUP(E3070,country_continent!A:C,2,FALSE)</f>
        <v>Bhutan</v>
      </c>
      <c r="G3070" t="str">
        <f>VLOOKUP(E3070,country_continent!A:C,3,FALSE)</f>
        <v>Asia</v>
      </c>
      <c r="H3070" t="s">
        <v>12767</v>
      </c>
      <c r="I3070" s="1">
        <v>37111</v>
      </c>
      <c r="J3070" s="3">
        <f t="shared" si="141"/>
        <v>37111</v>
      </c>
      <c r="K3070" s="1">
        <v>37482</v>
      </c>
      <c r="L3070" s="3">
        <f t="shared" si="142"/>
        <v>37482</v>
      </c>
      <c r="M3070" t="s">
        <v>49</v>
      </c>
      <c r="N3070" t="s">
        <v>49</v>
      </c>
      <c r="O3070" t="s">
        <v>49</v>
      </c>
      <c r="P3070">
        <v>0</v>
      </c>
      <c r="Q3070" t="s">
        <v>50</v>
      </c>
      <c r="R3070" t="s">
        <v>51</v>
      </c>
      <c r="S3070">
        <v>1950</v>
      </c>
      <c r="T3070">
        <v>-777</v>
      </c>
      <c r="Z3070">
        <v>0</v>
      </c>
      <c r="AA3070">
        <v>1</v>
      </c>
      <c r="AB3070">
        <v>0</v>
      </c>
      <c r="AC3070">
        <v>0</v>
      </c>
      <c r="AF3070">
        <v>2001</v>
      </c>
      <c r="AG3070">
        <v>2002</v>
      </c>
      <c r="AO3070" t="b">
        <v>0</v>
      </c>
      <c r="AT3070">
        <v>371</v>
      </c>
      <c r="AU3070">
        <f t="shared" si="143"/>
        <v>1.016</v>
      </c>
    </row>
    <row r="3071" spans="1:47" x14ac:dyDescent="0.3">
      <c r="A3071">
        <v>3069</v>
      </c>
      <c r="B3071" t="s">
        <v>12768</v>
      </c>
      <c r="C3071" t="s">
        <v>12769</v>
      </c>
      <c r="D3071">
        <v>760</v>
      </c>
      <c r="E3071" t="s">
        <v>12746</v>
      </c>
      <c r="F3071" t="str">
        <f>VLOOKUP(E3071,country_continent!A:C,2,FALSE)</f>
        <v>Bhutan</v>
      </c>
      <c r="G3071" t="str">
        <f>VLOOKUP(E3071,country_continent!A:C,3,FALSE)</f>
        <v>Asia</v>
      </c>
      <c r="H3071" t="s">
        <v>12770</v>
      </c>
      <c r="I3071" s="1">
        <v>37482</v>
      </c>
      <c r="J3071" s="3">
        <f t="shared" si="141"/>
        <v>37482</v>
      </c>
      <c r="K3071" s="1">
        <v>37863</v>
      </c>
      <c r="L3071" s="3">
        <f t="shared" si="142"/>
        <v>37863</v>
      </c>
      <c r="M3071" t="s">
        <v>49</v>
      </c>
      <c r="N3071" t="s">
        <v>49</v>
      </c>
      <c r="O3071" t="s">
        <v>49</v>
      </c>
      <c r="P3071">
        <v>0</v>
      </c>
      <c r="Q3071" t="s">
        <v>50</v>
      </c>
      <c r="R3071" t="s">
        <v>51</v>
      </c>
      <c r="S3071">
        <v>1951</v>
      </c>
      <c r="T3071">
        <v>-777</v>
      </c>
      <c r="Z3071">
        <v>0</v>
      </c>
      <c r="AA3071">
        <v>1</v>
      </c>
      <c r="AB3071">
        <v>0</v>
      </c>
      <c r="AC3071">
        <v>0</v>
      </c>
      <c r="AF3071">
        <v>2002</v>
      </c>
      <c r="AG3071">
        <v>2003</v>
      </c>
      <c r="AO3071" t="b">
        <v>0</v>
      </c>
      <c r="AT3071">
        <v>381</v>
      </c>
      <c r="AU3071">
        <f t="shared" si="143"/>
        <v>1.044</v>
      </c>
    </row>
    <row r="3072" spans="1:47" x14ac:dyDescent="0.3">
      <c r="A3072">
        <v>3070</v>
      </c>
      <c r="B3072" t="s">
        <v>12771</v>
      </c>
      <c r="C3072" t="s">
        <v>12757</v>
      </c>
      <c r="D3072">
        <v>760</v>
      </c>
      <c r="E3072" t="s">
        <v>12746</v>
      </c>
      <c r="F3072" t="str">
        <f>VLOOKUP(E3072,country_continent!A:C,2,FALSE)</f>
        <v>Bhutan</v>
      </c>
      <c r="G3072" t="str">
        <f>VLOOKUP(E3072,country_continent!A:C,3,FALSE)</f>
        <v>Asia</v>
      </c>
      <c r="H3072" t="s">
        <v>12758</v>
      </c>
      <c r="I3072" s="1">
        <v>37863</v>
      </c>
      <c r="J3072" s="3">
        <f t="shared" si="141"/>
        <v>37863</v>
      </c>
      <c r="K3072" s="1">
        <v>38217</v>
      </c>
      <c r="L3072" s="3">
        <f t="shared" si="142"/>
        <v>38217</v>
      </c>
      <c r="M3072" t="s">
        <v>49</v>
      </c>
      <c r="N3072" t="s">
        <v>49</v>
      </c>
      <c r="O3072" t="s">
        <v>49</v>
      </c>
      <c r="P3072">
        <v>1</v>
      </c>
      <c r="Q3072" t="s">
        <v>50</v>
      </c>
      <c r="R3072" t="s">
        <v>51</v>
      </c>
      <c r="S3072">
        <v>1952</v>
      </c>
      <c r="T3072">
        <v>-777</v>
      </c>
      <c r="Z3072">
        <v>0</v>
      </c>
      <c r="AA3072">
        <v>1</v>
      </c>
      <c r="AB3072">
        <v>0</v>
      </c>
      <c r="AC3072">
        <v>0</v>
      </c>
      <c r="AF3072">
        <v>2003</v>
      </c>
      <c r="AG3072">
        <v>2004</v>
      </c>
      <c r="AO3072" t="b">
        <v>0</v>
      </c>
      <c r="AT3072">
        <v>354</v>
      </c>
      <c r="AU3072">
        <f t="shared" si="143"/>
        <v>0.97</v>
      </c>
    </row>
    <row r="3073" spans="1:47" x14ac:dyDescent="0.3">
      <c r="A3073">
        <v>3071</v>
      </c>
      <c r="B3073" t="s">
        <v>12772</v>
      </c>
      <c r="C3073" t="s">
        <v>12763</v>
      </c>
      <c r="D3073">
        <v>760</v>
      </c>
      <c r="E3073" t="s">
        <v>12746</v>
      </c>
      <c r="F3073" t="str">
        <f>VLOOKUP(E3073,country_continent!A:C,2,FALSE)</f>
        <v>Bhutan</v>
      </c>
      <c r="G3073" t="str">
        <f>VLOOKUP(E3073,country_continent!A:C,3,FALSE)</f>
        <v>Asia</v>
      </c>
      <c r="H3073" t="s">
        <v>12764</v>
      </c>
      <c r="I3073" s="1">
        <v>38217</v>
      </c>
      <c r="J3073" s="3">
        <f t="shared" si="141"/>
        <v>38217</v>
      </c>
      <c r="K3073" s="1">
        <v>38600</v>
      </c>
      <c r="L3073" s="3">
        <f t="shared" si="142"/>
        <v>38600</v>
      </c>
      <c r="M3073" t="s">
        <v>49</v>
      </c>
      <c r="N3073" t="s">
        <v>49</v>
      </c>
      <c r="O3073" t="s">
        <v>49</v>
      </c>
      <c r="P3073">
        <v>1</v>
      </c>
      <c r="Q3073" t="s">
        <v>50</v>
      </c>
      <c r="R3073" t="s">
        <v>51</v>
      </c>
      <c r="S3073">
        <v>1952</v>
      </c>
      <c r="T3073">
        <v>-777</v>
      </c>
      <c r="Z3073">
        <v>0</v>
      </c>
      <c r="AA3073">
        <v>1</v>
      </c>
      <c r="AB3073">
        <v>0</v>
      </c>
      <c r="AC3073">
        <v>0</v>
      </c>
      <c r="AF3073">
        <v>2004</v>
      </c>
      <c r="AG3073">
        <v>2005</v>
      </c>
      <c r="AO3073" t="b">
        <v>0</v>
      </c>
      <c r="AT3073">
        <v>383</v>
      </c>
      <c r="AU3073">
        <f t="shared" si="143"/>
        <v>1.0489999999999999</v>
      </c>
    </row>
    <row r="3074" spans="1:47" x14ac:dyDescent="0.3">
      <c r="A3074">
        <v>3072</v>
      </c>
      <c r="B3074" t="s">
        <v>12773</v>
      </c>
      <c r="C3074" t="s">
        <v>12760</v>
      </c>
      <c r="D3074">
        <v>760</v>
      </c>
      <c r="E3074" t="s">
        <v>12746</v>
      </c>
      <c r="F3074" t="str">
        <f>VLOOKUP(E3074,country_continent!A:C,2,FALSE)</f>
        <v>Bhutan</v>
      </c>
      <c r="G3074" t="str">
        <f>VLOOKUP(E3074,country_continent!A:C,3,FALSE)</f>
        <v>Asia</v>
      </c>
      <c r="H3074" t="s">
        <v>12761</v>
      </c>
      <c r="I3074" s="1">
        <v>38600</v>
      </c>
      <c r="J3074" s="3">
        <f t="shared" si="141"/>
        <v>38600</v>
      </c>
      <c r="K3074" s="1">
        <v>38967</v>
      </c>
      <c r="L3074" s="3">
        <f t="shared" si="142"/>
        <v>38967</v>
      </c>
      <c r="M3074" t="s">
        <v>49</v>
      </c>
      <c r="N3074" t="s">
        <v>49</v>
      </c>
      <c r="O3074" t="s">
        <v>49</v>
      </c>
      <c r="P3074">
        <v>1</v>
      </c>
      <c r="Q3074" t="s">
        <v>50</v>
      </c>
      <c r="R3074" t="s">
        <v>51</v>
      </c>
      <c r="S3074">
        <v>1953</v>
      </c>
      <c r="T3074">
        <v>-777</v>
      </c>
      <c r="Z3074">
        <v>0</v>
      </c>
      <c r="AA3074">
        <v>1</v>
      </c>
      <c r="AB3074">
        <v>0</v>
      </c>
      <c r="AC3074">
        <v>0</v>
      </c>
      <c r="AF3074">
        <v>2005</v>
      </c>
      <c r="AG3074">
        <v>2006</v>
      </c>
      <c r="AO3074" t="b">
        <v>0</v>
      </c>
      <c r="AT3074">
        <v>367</v>
      </c>
      <c r="AU3074">
        <f t="shared" si="143"/>
        <v>1.0049999999999999</v>
      </c>
    </row>
    <row r="3075" spans="1:47" x14ac:dyDescent="0.3">
      <c r="A3075">
        <v>3073</v>
      </c>
      <c r="B3075" t="s">
        <v>12774</v>
      </c>
      <c r="C3075" t="s">
        <v>12766</v>
      </c>
      <c r="D3075">
        <v>760</v>
      </c>
      <c r="E3075" t="s">
        <v>12746</v>
      </c>
      <c r="F3075" t="str">
        <f>VLOOKUP(E3075,country_continent!A:C,2,FALSE)</f>
        <v>Bhutan</v>
      </c>
      <c r="G3075" t="str">
        <f>VLOOKUP(E3075,country_continent!A:C,3,FALSE)</f>
        <v>Asia</v>
      </c>
      <c r="H3075" t="s">
        <v>12767</v>
      </c>
      <c r="I3075" s="1">
        <v>38967</v>
      </c>
      <c r="J3075" s="3">
        <f t="shared" ref="J3075:J3138" si="144">IF(ISNUMBER(SEARCH("-", I3075)), SUBSTITUTE(I3075, "-", "/"), I3075)</f>
        <v>38967</v>
      </c>
      <c r="K3075" s="1">
        <v>39294</v>
      </c>
      <c r="L3075" s="3">
        <f t="shared" ref="L3075:L3138" si="145">IF(ISNUMBER(SEARCH("-", K3075)), SUBSTITUTE(K3075, "-", "/"), K3075)</f>
        <v>39294</v>
      </c>
      <c r="M3075" t="s">
        <v>49</v>
      </c>
      <c r="N3075" t="s">
        <v>49</v>
      </c>
      <c r="O3075" t="s">
        <v>49</v>
      </c>
      <c r="P3075">
        <v>1</v>
      </c>
      <c r="Q3075" t="s">
        <v>50</v>
      </c>
      <c r="R3075" t="s">
        <v>51</v>
      </c>
      <c r="S3075">
        <v>1950</v>
      </c>
      <c r="T3075">
        <v>-777</v>
      </c>
      <c r="Z3075">
        <v>0</v>
      </c>
      <c r="AA3075">
        <v>1</v>
      </c>
      <c r="AB3075">
        <v>0</v>
      </c>
      <c r="AC3075">
        <v>0</v>
      </c>
      <c r="AF3075">
        <v>2006</v>
      </c>
      <c r="AG3075">
        <v>2007</v>
      </c>
      <c r="AO3075" t="b">
        <v>0</v>
      </c>
      <c r="AT3075">
        <v>327</v>
      </c>
      <c r="AU3075">
        <f t="shared" si="143"/>
        <v>0.89600000000000002</v>
      </c>
    </row>
    <row r="3076" spans="1:47" x14ac:dyDescent="0.3">
      <c r="A3076">
        <v>3074</v>
      </c>
      <c r="B3076" t="s">
        <v>12775</v>
      </c>
      <c r="C3076" t="s">
        <v>12769</v>
      </c>
      <c r="D3076">
        <v>760</v>
      </c>
      <c r="E3076" t="s">
        <v>12746</v>
      </c>
      <c r="F3076" t="str">
        <f>VLOOKUP(E3076,country_continent!A:C,2,FALSE)</f>
        <v>Bhutan</v>
      </c>
      <c r="G3076" t="str">
        <f>VLOOKUP(E3076,country_continent!A:C,3,FALSE)</f>
        <v>Asia</v>
      </c>
      <c r="H3076" t="s">
        <v>12770</v>
      </c>
      <c r="I3076" s="1">
        <v>39294</v>
      </c>
      <c r="J3076" s="3">
        <f t="shared" si="144"/>
        <v>39294</v>
      </c>
      <c r="K3076" s="1">
        <v>39547</v>
      </c>
      <c r="L3076" s="3">
        <f t="shared" si="145"/>
        <v>39547</v>
      </c>
      <c r="M3076" t="s">
        <v>49</v>
      </c>
      <c r="N3076" t="s">
        <v>49</v>
      </c>
      <c r="O3076" t="s">
        <v>49</v>
      </c>
      <c r="P3076">
        <v>1</v>
      </c>
      <c r="Q3076" t="s">
        <v>50</v>
      </c>
      <c r="R3076" t="s">
        <v>51</v>
      </c>
      <c r="S3076">
        <v>1951</v>
      </c>
      <c r="T3076">
        <v>-777</v>
      </c>
      <c r="Z3076">
        <v>0</v>
      </c>
      <c r="AA3076">
        <v>1</v>
      </c>
      <c r="AB3076">
        <v>0</v>
      </c>
      <c r="AC3076">
        <v>0</v>
      </c>
      <c r="AF3076">
        <v>2007</v>
      </c>
      <c r="AG3076">
        <v>2008</v>
      </c>
      <c r="AO3076" t="b">
        <v>0</v>
      </c>
      <c r="AT3076">
        <v>253</v>
      </c>
      <c r="AU3076">
        <f t="shared" ref="AU3076:AU3139" si="146">ROUND(AT3076/365,3)</f>
        <v>0.69299999999999995</v>
      </c>
    </row>
    <row r="3077" spans="1:47" x14ac:dyDescent="0.3">
      <c r="A3077">
        <v>3075</v>
      </c>
      <c r="B3077" t="s">
        <v>12776</v>
      </c>
      <c r="C3077" t="s">
        <v>12757</v>
      </c>
      <c r="D3077">
        <v>760</v>
      </c>
      <c r="E3077" t="s">
        <v>12746</v>
      </c>
      <c r="F3077" t="str">
        <f>VLOOKUP(E3077,country_continent!A:C,2,FALSE)</f>
        <v>Bhutan</v>
      </c>
      <c r="G3077" t="str">
        <f>VLOOKUP(E3077,country_continent!A:C,3,FALSE)</f>
        <v>Asia</v>
      </c>
      <c r="H3077" t="s">
        <v>12758</v>
      </c>
      <c r="I3077" s="1">
        <v>39547</v>
      </c>
      <c r="J3077" s="3">
        <f t="shared" si="144"/>
        <v>39547</v>
      </c>
      <c r="K3077" s="1">
        <v>41485</v>
      </c>
      <c r="L3077" s="3">
        <f t="shared" si="145"/>
        <v>41485</v>
      </c>
      <c r="M3077" t="s">
        <v>49</v>
      </c>
      <c r="N3077" t="s">
        <v>49</v>
      </c>
      <c r="O3077" t="s">
        <v>49</v>
      </c>
      <c r="P3077">
        <v>2</v>
      </c>
      <c r="Q3077" t="s">
        <v>50</v>
      </c>
      <c r="R3077" t="s">
        <v>51</v>
      </c>
      <c r="S3077">
        <v>1952</v>
      </c>
      <c r="T3077">
        <v>-777</v>
      </c>
      <c r="Z3077">
        <v>0</v>
      </c>
      <c r="AA3077">
        <v>1</v>
      </c>
      <c r="AB3077">
        <v>0</v>
      </c>
      <c r="AC3077">
        <v>0</v>
      </c>
      <c r="AF3077">
        <v>2008</v>
      </c>
      <c r="AG3077">
        <v>2013</v>
      </c>
      <c r="AO3077" t="b">
        <v>0</v>
      </c>
      <c r="AT3077">
        <v>1938</v>
      </c>
      <c r="AU3077">
        <f t="shared" si="146"/>
        <v>5.31</v>
      </c>
    </row>
    <row r="3078" spans="1:47" x14ac:dyDescent="0.3">
      <c r="A3078">
        <v>3076</v>
      </c>
      <c r="B3078" t="s">
        <v>12777</v>
      </c>
      <c r="C3078" t="s">
        <v>12778</v>
      </c>
      <c r="D3078">
        <v>760</v>
      </c>
      <c r="E3078" t="s">
        <v>12746</v>
      </c>
      <c r="F3078" t="str">
        <f>VLOOKUP(E3078,country_continent!A:C,2,FALSE)</f>
        <v>Bhutan</v>
      </c>
      <c r="G3078" t="str">
        <f>VLOOKUP(E3078,country_continent!A:C,3,FALSE)</f>
        <v>Asia</v>
      </c>
      <c r="H3078" t="s">
        <v>12779</v>
      </c>
      <c r="I3078" s="1">
        <v>41485</v>
      </c>
      <c r="J3078" s="3">
        <f t="shared" si="144"/>
        <v>41485</v>
      </c>
      <c r="K3078" s="1">
        <v>42369</v>
      </c>
      <c r="L3078" s="3">
        <f t="shared" si="145"/>
        <v>42369</v>
      </c>
      <c r="M3078" t="s">
        <v>49</v>
      </c>
      <c r="N3078" t="s">
        <v>173</v>
      </c>
      <c r="O3078" t="s">
        <v>173</v>
      </c>
      <c r="P3078">
        <v>0</v>
      </c>
      <c r="Q3078" t="s">
        <v>174</v>
      </c>
      <c r="R3078" t="s">
        <v>51</v>
      </c>
      <c r="S3078">
        <v>1965</v>
      </c>
      <c r="T3078">
        <v>-777</v>
      </c>
      <c r="U3078" s="1">
        <v>24004</v>
      </c>
      <c r="V3078" s="2">
        <v>24004</v>
      </c>
      <c r="Z3078">
        <v>0</v>
      </c>
      <c r="AA3078">
        <v>-888</v>
      </c>
      <c r="AB3078">
        <v>-888</v>
      </c>
      <c r="AC3078">
        <v>-888</v>
      </c>
      <c r="AF3078">
        <v>2013</v>
      </c>
      <c r="AG3078">
        <v>2015</v>
      </c>
      <c r="AO3078" t="b">
        <v>0</v>
      </c>
      <c r="AT3078">
        <v>884</v>
      </c>
      <c r="AU3078">
        <f t="shared" si="146"/>
        <v>2.4220000000000002</v>
      </c>
    </row>
    <row r="3079" spans="1:47" x14ac:dyDescent="0.3">
      <c r="A3079">
        <v>3077</v>
      </c>
      <c r="B3079" t="s">
        <v>12780</v>
      </c>
      <c r="C3079" t="s">
        <v>12781</v>
      </c>
      <c r="D3079">
        <v>770</v>
      </c>
      <c r="E3079" t="s">
        <v>12782</v>
      </c>
      <c r="F3079" t="str">
        <f>VLOOKUP(E3079,country_continent!A:C,2,FALSE)</f>
        <v>Pakistan</v>
      </c>
      <c r="G3079" t="str">
        <f>VLOOKUP(E3079,country_continent!A:C,3,FALSE)</f>
        <v>Asia</v>
      </c>
      <c r="H3079" t="s">
        <v>12783</v>
      </c>
      <c r="I3079" s="1">
        <v>17394</v>
      </c>
      <c r="J3079" s="3">
        <f t="shared" si="144"/>
        <v>17394</v>
      </c>
      <c r="K3079" s="1">
        <v>17787</v>
      </c>
      <c r="L3079" s="3">
        <f t="shared" si="145"/>
        <v>17787</v>
      </c>
      <c r="M3079" t="s">
        <v>49</v>
      </c>
      <c r="N3079" t="s">
        <v>110</v>
      </c>
      <c r="O3079" t="s">
        <v>49</v>
      </c>
      <c r="P3079">
        <v>0</v>
      </c>
      <c r="Q3079" t="s">
        <v>111</v>
      </c>
      <c r="R3079" t="s">
        <v>51</v>
      </c>
      <c r="S3079">
        <v>1876</v>
      </c>
      <c r="T3079">
        <v>1948</v>
      </c>
      <c r="U3079" t="s">
        <v>12784</v>
      </c>
      <c r="V3079" t="s">
        <v>12785</v>
      </c>
      <c r="W3079" s="1">
        <v>17787</v>
      </c>
      <c r="X3079" s="2">
        <v>17787</v>
      </c>
      <c r="Z3079">
        <v>0</v>
      </c>
      <c r="AA3079">
        <v>2</v>
      </c>
      <c r="AB3079">
        <v>0</v>
      </c>
      <c r="AC3079">
        <v>-777</v>
      </c>
      <c r="AF3079">
        <v>1947</v>
      </c>
      <c r="AG3079">
        <v>1948</v>
      </c>
      <c r="AN3079">
        <v>2</v>
      </c>
      <c r="AO3079" t="b">
        <v>0</v>
      </c>
      <c r="AT3079">
        <v>393</v>
      </c>
      <c r="AU3079">
        <f t="shared" si="146"/>
        <v>1.077</v>
      </c>
    </row>
    <row r="3080" spans="1:47" x14ac:dyDescent="0.3">
      <c r="A3080">
        <v>3078</v>
      </c>
      <c r="B3080" t="s">
        <v>12786</v>
      </c>
      <c r="C3080" t="s">
        <v>12787</v>
      </c>
      <c r="D3080">
        <v>770</v>
      </c>
      <c r="E3080" t="s">
        <v>12782</v>
      </c>
      <c r="F3080" t="str">
        <f>VLOOKUP(E3080,country_continent!A:C,2,FALSE)</f>
        <v>Pakistan</v>
      </c>
      <c r="G3080" t="str">
        <f>VLOOKUP(E3080,country_continent!A:C,3,FALSE)</f>
        <v>Asia</v>
      </c>
      <c r="H3080" t="s">
        <v>12788</v>
      </c>
      <c r="I3080" s="1">
        <v>17787</v>
      </c>
      <c r="J3080" s="3">
        <f t="shared" si="144"/>
        <v>17787</v>
      </c>
      <c r="K3080" s="1">
        <v>18917</v>
      </c>
      <c r="L3080" s="3">
        <f t="shared" si="145"/>
        <v>18917</v>
      </c>
      <c r="M3080" t="s">
        <v>49</v>
      </c>
      <c r="N3080" t="s">
        <v>67</v>
      </c>
      <c r="O3080" t="s">
        <v>68</v>
      </c>
      <c r="P3080">
        <v>0</v>
      </c>
      <c r="Q3080" t="s">
        <v>69</v>
      </c>
      <c r="R3080" t="s">
        <v>51</v>
      </c>
      <c r="S3080">
        <v>1895</v>
      </c>
      <c r="T3080">
        <v>1951</v>
      </c>
      <c r="U3080" t="s">
        <v>12789</v>
      </c>
      <c r="V3080" t="s">
        <v>12790</v>
      </c>
      <c r="W3080" s="1">
        <v>18917</v>
      </c>
      <c r="X3080" s="2">
        <v>18917</v>
      </c>
      <c r="Y3080" t="s">
        <v>12791</v>
      </c>
      <c r="Z3080">
        <v>0</v>
      </c>
      <c r="AA3080">
        <v>3</v>
      </c>
      <c r="AB3080">
        <v>11</v>
      </c>
      <c r="AC3080">
        <v>3</v>
      </c>
      <c r="AF3080">
        <v>1948</v>
      </c>
      <c r="AG3080">
        <v>1951</v>
      </c>
      <c r="AN3080">
        <v>3.75</v>
      </c>
      <c r="AO3080" t="b">
        <v>0</v>
      </c>
      <c r="AT3080">
        <v>1130</v>
      </c>
      <c r="AU3080">
        <f t="shared" si="146"/>
        <v>3.0960000000000001</v>
      </c>
    </row>
    <row r="3081" spans="1:47" x14ac:dyDescent="0.3">
      <c r="A3081">
        <v>3079</v>
      </c>
      <c r="B3081" t="s">
        <v>12792</v>
      </c>
      <c r="C3081" t="s">
        <v>12793</v>
      </c>
      <c r="D3081">
        <v>770</v>
      </c>
      <c r="E3081" t="s">
        <v>12782</v>
      </c>
      <c r="F3081" t="str">
        <f>VLOOKUP(E3081,country_continent!A:C,2,FALSE)</f>
        <v>Pakistan</v>
      </c>
      <c r="G3081" t="str">
        <f>VLOOKUP(E3081,country_continent!A:C,3,FALSE)</f>
        <v>Asia</v>
      </c>
      <c r="H3081" t="s">
        <v>12794</v>
      </c>
      <c r="I3081" s="1">
        <v>18918</v>
      </c>
      <c r="J3081" s="3">
        <f t="shared" si="144"/>
        <v>18918</v>
      </c>
      <c r="K3081" s="1">
        <v>19466</v>
      </c>
      <c r="L3081" s="3">
        <f t="shared" si="145"/>
        <v>19466</v>
      </c>
      <c r="M3081" t="s">
        <v>49</v>
      </c>
      <c r="N3081" t="s">
        <v>49</v>
      </c>
      <c r="O3081" t="s">
        <v>49</v>
      </c>
      <c r="P3081">
        <v>0</v>
      </c>
      <c r="Q3081" t="s">
        <v>50</v>
      </c>
      <c r="R3081" t="s">
        <v>51</v>
      </c>
      <c r="S3081">
        <v>1894</v>
      </c>
      <c r="T3081">
        <v>1964</v>
      </c>
      <c r="U3081" t="s">
        <v>12795</v>
      </c>
      <c r="V3081" t="s">
        <v>12796</v>
      </c>
      <c r="Y3081" t="s">
        <v>12797</v>
      </c>
      <c r="Z3081">
        <v>0</v>
      </c>
      <c r="AA3081">
        <v>1</v>
      </c>
      <c r="AB3081">
        <v>0</v>
      </c>
      <c r="AC3081">
        <v>0</v>
      </c>
      <c r="AF3081">
        <v>1951</v>
      </c>
      <c r="AG3081">
        <v>1953</v>
      </c>
      <c r="AN3081">
        <v>5</v>
      </c>
      <c r="AO3081" t="b">
        <v>0</v>
      </c>
      <c r="AT3081">
        <v>548</v>
      </c>
      <c r="AU3081">
        <f t="shared" si="146"/>
        <v>1.5009999999999999</v>
      </c>
    </row>
    <row r="3082" spans="1:47" x14ac:dyDescent="0.3">
      <c r="A3082">
        <v>3080</v>
      </c>
      <c r="B3082" t="s">
        <v>12798</v>
      </c>
      <c r="C3082" t="s">
        <v>12799</v>
      </c>
      <c r="D3082">
        <v>770</v>
      </c>
      <c r="E3082" t="s">
        <v>12782</v>
      </c>
      <c r="F3082" t="str">
        <f>VLOOKUP(E3082,country_continent!A:C,2,FALSE)</f>
        <v>Pakistan</v>
      </c>
      <c r="G3082" t="str">
        <f>VLOOKUP(E3082,country_continent!A:C,3,FALSE)</f>
        <v>Asia</v>
      </c>
      <c r="H3082" t="s">
        <v>12800</v>
      </c>
      <c r="I3082" s="1">
        <v>19466</v>
      </c>
      <c r="J3082" s="3">
        <f t="shared" si="144"/>
        <v>19466</v>
      </c>
      <c r="K3082" s="1">
        <v>20309</v>
      </c>
      <c r="L3082" s="3">
        <f t="shared" si="145"/>
        <v>20309</v>
      </c>
      <c r="M3082" t="s">
        <v>49</v>
      </c>
      <c r="N3082" t="s">
        <v>49</v>
      </c>
      <c r="O3082" t="s">
        <v>49</v>
      </c>
      <c r="P3082">
        <v>0</v>
      </c>
      <c r="Q3082" t="s">
        <v>50</v>
      </c>
      <c r="R3082" t="s">
        <v>51</v>
      </c>
      <c r="S3082">
        <v>1909</v>
      </c>
      <c r="T3082">
        <v>1963</v>
      </c>
      <c r="U3082" s="1">
        <v>3580</v>
      </c>
      <c r="V3082" s="2">
        <v>3580</v>
      </c>
      <c r="Y3082" t="s">
        <v>12801</v>
      </c>
      <c r="Z3082">
        <v>0</v>
      </c>
      <c r="AA3082">
        <v>1</v>
      </c>
      <c r="AB3082">
        <v>0</v>
      </c>
      <c r="AC3082">
        <v>0</v>
      </c>
      <c r="AF3082">
        <v>1953</v>
      </c>
      <c r="AG3082">
        <v>1955</v>
      </c>
      <c r="AN3082">
        <v>5</v>
      </c>
      <c r="AO3082" t="b">
        <v>0</v>
      </c>
      <c r="AT3082">
        <v>843</v>
      </c>
      <c r="AU3082">
        <f t="shared" si="146"/>
        <v>2.31</v>
      </c>
    </row>
    <row r="3083" spans="1:47" x14ac:dyDescent="0.3">
      <c r="A3083">
        <v>3081</v>
      </c>
      <c r="B3083" t="s">
        <v>12802</v>
      </c>
      <c r="C3083" t="s">
        <v>12803</v>
      </c>
      <c r="D3083">
        <v>770</v>
      </c>
      <c r="E3083" t="s">
        <v>12782</v>
      </c>
      <c r="F3083" t="str">
        <f>VLOOKUP(E3083,country_continent!A:C,2,FALSE)</f>
        <v>Pakistan</v>
      </c>
      <c r="G3083" t="str">
        <f>VLOOKUP(E3083,country_continent!A:C,3,FALSE)</f>
        <v>Asia</v>
      </c>
      <c r="H3083" t="s">
        <v>12804</v>
      </c>
      <c r="I3083" s="1">
        <v>20312</v>
      </c>
      <c r="J3083" s="3">
        <f t="shared" si="144"/>
        <v>20312</v>
      </c>
      <c r="K3083" s="1">
        <v>20710</v>
      </c>
      <c r="L3083" s="3">
        <f t="shared" si="145"/>
        <v>20710</v>
      </c>
      <c r="M3083" t="s">
        <v>49</v>
      </c>
      <c r="N3083" t="s">
        <v>49</v>
      </c>
      <c r="O3083" t="s">
        <v>49</v>
      </c>
      <c r="P3083">
        <v>0</v>
      </c>
      <c r="Q3083" t="s">
        <v>50</v>
      </c>
      <c r="R3083" t="s">
        <v>51</v>
      </c>
      <c r="S3083">
        <v>1905</v>
      </c>
      <c r="T3083">
        <v>1980</v>
      </c>
      <c r="U3083" s="1">
        <v>2023</v>
      </c>
      <c r="V3083" s="2">
        <v>2023</v>
      </c>
      <c r="W3083" s="1">
        <v>29556</v>
      </c>
      <c r="X3083" s="2">
        <v>29556</v>
      </c>
      <c r="Y3083" t="s">
        <v>12805</v>
      </c>
      <c r="Z3083">
        <v>0</v>
      </c>
      <c r="AA3083">
        <v>1</v>
      </c>
      <c r="AB3083">
        <v>0</v>
      </c>
      <c r="AC3083">
        <v>0</v>
      </c>
      <c r="AF3083">
        <v>1955</v>
      </c>
      <c r="AG3083">
        <v>1956</v>
      </c>
      <c r="AN3083">
        <v>6.5</v>
      </c>
      <c r="AO3083" t="b">
        <v>0</v>
      </c>
      <c r="AT3083">
        <v>398</v>
      </c>
      <c r="AU3083">
        <f t="shared" si="146"/>
        <v>1.0900000000000001</v>
      </c>
    </row>
    <row r="3084" spans="1:47" x14ac:dyDescent="0.3">
      <c r="A3084">
        <v>3082</v>
      </c>
      <c r="B3084" t="s">
        <v>12806</v>
      </c>
      <c r="C3084" t="s">
        <v>12807</v>
      </c>
      <c r="D3084">
        <v>770</v>
      </c>
      <c r="E3084" t="s">
        <v>12782</v>
      </c>
      <c r="F3084" t="str">
        <f>VLOOKUP(E3084,country_continent!A:C,2,FALSE)</f>
        <v>Pakistan</v>
      </c>
      <c r="G3084" t="str">
        <f>VLOOKUP(E3084,country_continent!A:C,3,FALSE)</f>
        <v>Asia</v>
      </c>
      <c r="H3084" t="s">
        <v>12808</v>
      </c>
      <c r="I3084" s="1">
        <v>20710</v>
      </c>
      <c r="J3084" s="3">
        <f t="shared" si="144"/>
        <v>20710</v>
      </c>
      <c r="K3084" s="1">
        <v>21110</v>
      </c>
      <c r="L3084" s="3">
        <f t="shared" si="145"/>
        <v>21110</v>
      </c>
      <c r="M3084" t="s">
        <v>49</v>
      </c>
      <c r="N3084" t="s">
        <v>49</v>
      </c>
      <c r="O3084" t="s">
        <v>49</v>
      </c>
      <c r="P3084">
        <v>0</v>
      </c>
      <c r="Q3084" t="s">
        <v>50</v>
      </c>
      <c r="R3084" t="s">
        <v>51</v>
      </c>
      <c r="S3084">
        <v>1893</v>
      </c>
      <c r="T3084">
        <v>1963</v>
      </c>
      <c r="U3084" t="s">
        <v>12809</v>
      </c>
      <c r="V3084" t="s">
        <v>12810</v>
      </c>
      <c r="Z3084">
        <v>0</v>
      </c>
      <c r="AA3084">
        <v>1</v>
      </c>
      <c r="AB3084">
        <v>0</v>
      </c>
      <c r="AC3084">
        <v>0</v>
      </c>
      <c r="AF3084">
        <v>1956</v>
      </c>
      <c r="AG3084">
        <v>1957</v>
      </c>
      <c r="AN3084">
        <v>8</v>
      </c>
      <c r="AO3084" t="b">
        <v>0</v>
      </c>
      <c r="AT3084">
        <v>400</v>
      </c>
      <c r="AU3084">
        <f t="shared" si="146"/>
        <v>1.0960000000000001</v>
      </c>
    </row>
    <row r="3085" spans="1:47" x14ac:dyDescent="0.3">
      <c r="A3085">
        <v>3083</v>
      </c>
      <c r="B3085" t="s">
        <v>12811</v>
      </c>
      <c r="C3085" t="s">
        <v>12812</v>
      </c>
      <c r="D3085">
        <v>770</v>
      </c>
      <c r="E3085" t="s">
        <v>12782</v>
      </c>
      <c r="F3085" t="str">
        <f>VLOOKUP(E3085,country_continent!A:C,2,FALSE)</f>
        <v>Pakistan</v>
      </c>
      <c r="G3085" t="str">
        <f>VLOOKUP(E3085,country_continent!A:C,3,FALSE)</f>
        <v>Asia</v>
      </c>
      <c r="H3085" t="s">
        <v>12813</v>
      </c>
      <c r="I3085" s="1">
        <v>21110</v>
      </c>
      <c r="J3085" s="3">
        <f t="shared" si="144"/>
        <v>21110</v>
      </c>
      <c r="K3085" s="1">
        <v>21170</v>
      </c>
      <c r="L3085" s="3">
        <f t="shared" si="145"/>
        <v>21170</v>
      </c>
      <c r="M3085" t="s">
        <v>49</v>
      </c>
      <c r="N3085" t="s">
        <v>49</v>
      </c>
      <c r="O3085" t="s">
        <v>49</v>
      </c>
      <c r="P3085">
        <v>0</v>
      </c>
      <c r="Q3085" t="s">
        <v>50</v>
      </c>
      <c r="R3085" t="s">
        <v>51</v>
      </c>
      <c r="S3085">
        <v>1897</v>
      </c>
      <c r="T3085">
        <v>1960</v>
      </c>
      <c r="Z3085">
        <v>0</v>
      </c>
      <c r="AA3085">
        <v>1</v>
      </c>
      <c r="AB3085">
        <v>0</v>
      </c>
      <c r="AC3085">
        <v>0</v>
      </c>
      <c r="AF3085">
        <v>1957</v>
      </c>
      <c r="AG3085">
        <v>1957</v>
      </c>
      <c r="AN3085">
        <v>8</v>
      </c>
      <c r="AO3085" t="b">
        <v>0</v>
      </c>
      <c r="AT3085">
        <v>60</v>
      </c>
      <c r="AU3085">
        <f t="shared" si="146"/>
        <v>0.16400000000000001</v>
      </c>
    </row>
    <row r="3086" spans="1:47" x14ac:dyDescent="0.3">
      <c r="A3086">
        <v>3084</v>
      </c>
      <c r="B3086" t="s">
        <v>12814</v>
      </c>
      <c r="C3086" t="s">
        <v>12815</v>
      </c>
      <c r="D3086">
        <v>770</v>
      </c>
      <c r="E3086" t="s">
        <v>12782</v>
      </c>
      <c r="F3086" t="str">
        <f>VLOOKUP(E3086,country_continent!A:C,2,FALSE)</f>
        <v>Pakistan</v>
      </c>
      <c r="G3086" t="str">
        <f>VLOOKUP(E3086,country_continent!A:C,3,FALSE)</f>
        <v>Asia</v>
      </c>
      <c r="H3086" t="s">
        <v>12816</v>
      </c>
      <c r="I3086" s="1">
        <v>21170</v>
      </c>
      <c r="J3086" s="3">
        <f t="shared" si="144"/>
        <v>21170</v>
      </c>
      <c r="K3086" s="1">
        <v>21465</v>
      </c>
      <c r="L3086" s="3">
        <f t="shared" si="145"/>
        <v>21465</v>
      </c>
      <c r="M3086" t="s">
        <v>49</v>
      </c>
      <c r="N3086" t="s">
        <v>67</v>
      </c>
      <c r="O3086" t="s">
        <v>2001</v>
      </c>
      <c r="P3086">
        <v>0</v>
      </c>
      <c r="Q3086" t="s">
        <v>50</v>
      </c>
      <c r="R3086" t="s">
        <v>51</v>
      </c>
      <c r="S3086">
        <v>1893</v>
      </c>
      <c r="T3086">
        <v>1970</v>
      </c>
      <c r="U3086" t="s">
        <v>12817</v>
      </c>
      <c r="V3086" t="s">
        <v>12818</v>
      </c>
      <c r="Y3086" t="s">
        <v>12819</v>
      </c>
      <c r="Z3086">
        <v>0</v>
      </c>
      <c r="AA3086">
        <v>3</v>
      </c>
      <c r="AB3086">
        <v>8</v>
      </c>
      <c r="AC3086">
        <v>0</v>
      </c>
      <c r="AF3086">
        <v>1957</v>
      </c>
      <c r="AG3086">
        <v>1958</v>
      </c>
      <c r="AN3086">
        <v>0.5</v>
      </c>
      <c r="AO3086" t="b">
        <v>0</v>
      </c>
      <c r="AT3086">
        <v>295</v>
      </c>
      <c r="AU3086">
        <f t="shared" si="146"/>
        <v>0.80800000000000005</v>
      </c>
    </row>
    <row r="3087" spans="1:47" x14ac:dyDescent="0.3">
      <c r="A3087">
        <v>3085</v>
      </c>
      <c r="B3087" t="s">
        <v>12820</v>
      </c>
      <c r="C3087" t="s">
        <v>12821</v>
      </c>
      <c r="D3087">
        <v>770</v>
      </c>
      <c r="E3087" t="s">
        <v>12782</v>
      </c>
      <c r="F3087" t="str">
        <f>VLOOKUP(E3087,country_continent!A:C,2,FALSE)</f>
        <v>Pakistan</v>
      </c>
      <c r="G3087" t="str">
        <f>VLOOKUP(E3087,country_continent!A:C,3,FALSE)</f>
        <v>Asia</v>
      </c>
      <c r="H3087" t="s">
        <v>12822</v>
      </c>
      <c r="I3087" s="1">
        <v>21465</v>
      </c>
      <c r="J3087" s="3">
        <f t="shared" si="144"/>
        <v>21465</v>
      </c>
      <c r="K3087" s="1">
        <v>25287</v>
      </c>
      <c r="L3087" s="3">
        <f t="shared" si="145"/>
        <v>25287</v>
      </c>
      <c r="M3087" t="s">
        <v>67</v>
      </c>
      <c r="N3087" t="s">
        <v>67</v>
      </c>
      <c r="O3087" t="s">
        <v>613</v>
      </c>
      <c r="P3087">
        <v>0</v>
      </c>
      <c r="Q3087" t="s">
        <v>50</v>
      </c>
      <c r="R3087" t="s">
        <v>51</v>
      </c>
      <c r="S3087">
        <v>1907</v>
      </c>
      <c r="T3087">
        <v>1974</v>
      </c>
      <c r="U3087" s="1">
        <v>2691</v>
      </c>
      <c r="V3087" s="2">
        <v>2691</v>
      </c>
      <c r="W3087" s="1">
        <v>27138</v>
      </c>
      <c r="X3087" s="2">
        <v>27138</v>
      </c>
      <c r="Y3087" t="s">
        <v>12823</v>
      </c>
      <c r="Z3087">
        <v>1</v>
      </c>
      <c r="AA3087">
        <v>3</v>
      </c>
      <c r="AB3087">
        <v>2</v>
      </c>
      <c r="AC3087">
        <v>0</v>
      </c>
      <c r="AF3087">
        <v>1958</v>
      </c>
      <c r="AG3087">
        <v>1969</v>
      </c>
      <c r="AH3087">
        <v>3.9067962438329298</v>
      </c>
      <c r="AI3087">
        <v>117.5</v>
      </c>
      <c r="AJ3087">
        <v>2.8507369547646699</v>
      </c>
      <c r="AK3087">
        <v>217.81</v>
      </c>
      <c r="AL3087">
        <v>2.7339647194927901</v>
      </c>
      <c r="AN3087">
        <v>-1.67</v>
      </c>
      <c r="AO3087" t="b">
        <v>0</v>
      </c>
      <c r="AT3087">
        <v>3822</v>
      </c>
      <c r="AU3087">
        <f t="shared" si="146"/>
        <v>10.471</v>
      </c>
    </row>
    <row r="3088" spans="1:47" x14ac:dyDescent="0.3">
      <c r="A3088">
        <v>3086</v>
      </c>
      <c r="B3088" t="s">
        <v>12824</v>
      </c>
      <c r="C3088" t="s">
        <v>12825</v>
      </c>
      <c r="D3088">
        <v>770</v>
      </c>
      <c r="E3088" t="s">
        <v>12782</v>
      </c>
      <c r="F3088" t="str">
        <f>VLOOKUP(E3088,country_continent!A:C,2,FALSE)</f>
        <v>Pakistan</v>
      </c>
      <c r="G3088" t="str">
        <f>VLOOKUP(E3088,country_continent!A:C,3,FALSE)</f>
        <v>Asia</v>
      </c>
      <c r="H3088" t="s">
        <v>12826</v>
      </c>
      <c r="I3088" s="1">
        <v>25293</v>
      </c>
      <c r="J3088" s="3">
        <f t="shared" si="144"/>
        <v>25293</v>
      </c>
      <c r="K3088" s="1">
        <v>26287</v>
      </c>
      <c r="L3088" s="3">
        <f t="shared" si="145"/>
        <v>26287</v>
      </c>
      <c r="M3088" t="s">
        <v>67</v>
      </c>
      <c r="N3088" t="s">
        <v>67</v>
      </c>
      <c r="O3088" t="s">
        <v>376</v>
      </c>
      <c r="P3088">
        <v>0</v>
      </c>
      <c r="Q3088" t="s">
        <v>463</v>
      </c>
      <c r="R3088" t="s">
        <v>51</v>
      </c>
      <c r="S3088">
        <v>1917</v>
      </c>
      <c r="T3088">
        <v>1980</v>
      </c>
      <c r="U3088" s="1">
        <v>6245</v>
      </c>
      <c r="V3088" s="2">
        <v>6245</v>
      </c>
      <c r="Y3088" t="s">
        <v>12827</v>
      </c>
      <c r="Z3088">
        <v>1</v>
      </c>
      <c r="AA3088">
        <v>3</v>
      </c>
      <c r="AB3088">
        <v>6</v>
      </c>
      <c r="AC3088">
        <v>2</v>
      </c>
      <c r="AF3088">
        <v>1969</v>
      </c>
      <c r="AG3088">
        <v>1971</v>
      </c>
      <c r="AH3088">
        <v>2.82105056115978</v>
      </c>
      <c r="AI3088">
        <v>163.333333333333</v>
      </c>
      <c r="AJ3088">
        <v>3.9714716447016798</v>
      </c>
      <c r="AK3088">
        <v>190.266666666666</v>
      </c>
      <c r="AL3088">
        <v>2.8318945988890598</v>
      </c>
      <c r="AM3088">
        <v>0.81402853904387995</v>
      </c>
      <c r="AN3088">
        <v>0.33</v>
      </c>
      <c r="AO3088" t="b">
        <v>0</v>
      </c>
      <c r="AT3088">
        <v>994</v>
      </c>
      <c r="AU3088">
        <f t="shared" si="146"/>
        <v>2.7229999999999999</v>
      </c>
    </row>
    <row r="3089" spans="1:47" x14ac:dyDescent="0.3">
      <c r="A3089">
        <v>3087</v>
      </c>
      <c r="B3089" t="s">
        <v>12828</v>
      </c>
      <c r="C3089" t="s">
        <v>12829</v>
      </c>
      <c r="D3089">
        <v>770</v>
      </c>
      <c r="E3089" t="s">
        <v>12782</v>
      </c>
      <c r="F3089" t="str">
        <f>VLOOKUP(E3089,country_continent!A:C,2,FALSE)</f>
        <v>Pakistan</v>
      </c>
      <c r="G3089" t="str">
        <f>VLOOKUP(E3089,country_continent!A:C,3,FALSE)</f>
        <v>Asia</v>
      </c>
      <c r="H3089" t="s">
        <v>12830</v>
      </c>
      <c r="I3089" s="1">
        <v>26287</v>
      </c>
      <c r="J3089" s="3">
        <f t="shared" si="144"/>
        <v>26287</v>
      </c>
      <c r="K3089" s="1">
        <v>28311</v>
      </c>
      <c r="L3089" s="3">
        <f t="shared" si="145"/>
        <v>28311</v>
      </c>
      <c r="M3089" t="s">
        <v>49</v>
      </c>
      <c r="N3089" t="s">
        <v>67</v>
      </c>
      <c r="O3089" t="s">
        <v>376</v>
      </c>
      <c r="P3089">
        <v>0</v>
      </c>
      <c r="Q3089" t="s">
        <v>69</v>
      </c>
      <c r="R3089" t="s">
        <v>51</v>
      </c>
      <c r="S3089">
        <v>1928</v>
      </c>
      <c r="T3089">
        <v>1979</v>
      </c>
      <c r="U3089" s="1">
        <v>10232</v>
      </c>
      <c r="V3089" s="2">
        <v>10232</v>
      </c>
      <c r="W3089" s="1">
        <v>28949</v>
      </c>
      <c r="X3089" s="2">
        <v>28949</v>
      </c>
      <c r="Y3089" t="s">
        <v>12831</v>
      </c>
      <c r="Z3089">
        <v>0</v>
      </c>
      <c r="AA3089">
        <v>3</v>
      </c>
      <c r="AB3089">
        <v>6</v>
      </c>
      <c r="AC3089">
        <v>3</v>
      </c>
      <c r="AD3089" t="s">
        <v>12832</v>
      </c>
      <c r="AE3089">
        <v>0</v>
      </c>
      <c r="AF3089">
        <v>1971</v>
      </c>
      <c r="AG3089">
        <v>1977</v>
      </c>
      <c r="AH3089">
        <v>0.599678901413079</v>
      </c>
      <c r="AI3089">
        <v>165.71428571428501</v>
      </c>
      <c r="AJ3089">
        <v>13.8753522386518</v>
      </c>
      <c r="AK3089">
        <v>178.728571428571</v>
      </c>
      <c r="AL3089">
        <v>2.93740273337316</v>
      </c>
      <c r="AM3089">
        <v>3.30146149593272</v>
      </c>
      <c r="AN3089">
        <v>4.1399999999999997</v>
      </c>
      <c r="AO3089" t="b">
        <v>0</v>
      </c>
      <c r="AT3089">
        <v>2024</v>
      </c>
      <c r="AU3089">
        <f t="shared" si="146"/>
        <v>5.5449999999999999</v>
      </c>
    </row>
    <row r="3090" spans="1:47" x14ac:dyDescent="0.3">
      <c r="A3090">
        <v>3088</v>
      </c>
      <c r="B3090" t="s">
        <v>12833</v>
      </c>
      <c r="C3090" t="s">
        <v>12834</v>
      </c>
      <c r="D3090">
        <v>770</v>
      </c>
      <c r="E3090" t="s">
        <v>12782</v>
      </c>
      <c r="F3090" t="str">
        <f>VLOOKUP(E3090,country_continent!A:C,2,FALSE)</f>
        <v>Pakistan</v>
      </c>
      <c r="G3090" t="str">
        <f>VLOOKUP(E3090,country_continent!A:C,3,FALSE)</f>
        <v>Asia</v>
      </c>
      <c r="H3090" t="s">
        <v>12835</v>
      </c>
      <c r="I3090" s="1">
        <v>28311</v>
      </c>
      <c r="J3090" s="3">
        <f t="shared" si="144"/>
        <v>28311</v>
      </c>
      <c r="K3090" s="1">
        <v>32372</v>
      </c>
      <c r="L3090" s="3">
        <f t="shared" si="145"/>
        <v>32372</v>
      </c>
      <c r="M3090" t="s">
        <v>67</v>
      </c>
      <c r="N3090" t="s">
        <v>67</v>
      </c>
      <c r="O3090" t="s">
        <v>6580</v>
      </c>
      <c r="P3090">
        <v>0</v>
      </c>
      <c r="Q3090" t="s">
        <v>69</v>
      </c>
      <c r="R3090" t="s">
        <v>51</v>
      </c>
      <c r="S3090">
        <v>1924</v>
      </c>
      <c r="T3090">
        <v>1988</v>
      </c>
      <c r="U3090" s="1">
        <v>8991</v>
      </c>
      <c r="V3090" s="2">
        <v>8991</v>
      </c>
      <c r="W3090" s="1">
        <v>32372</v>
      </c>
      <c r="X3090" s="2">
        <v>32372</v>
      </c>
      <c r="Y3090" t="s">
        <v>12836</v>
      </c>
      <c r="Z3090">
        <v>1</v>
      </c>
      <c r="AA3090">
        <v>3</v>
      </c>
      <c r="AB3090">
        <v>111</v>
      </c>
      <c r="AC3090">
        <v>3</v>
      </c>
      <c r="AF3090">
        <v>1977</v>
      </c>
      <c r="AG3090">
        <v>1988</v>
      </c>
      <c r="AH3090">
        <v>2.97257530937696</v>
      </c>
      <c r="AI3090">
        <v>306.666666666666</v>
      </c>
      <c r="AJ3090">
        <v>7.6141630390918102</v>
      </c>
      <c r="AK3090">
        <v>158.78333333333299</v>
      </c>
      <c r="AL3090">
        <v>3.47867872391316</v>
      </c>
      <c r="AM3090">
        <v>2.4182383173022601</v>
      </c>
      <c r="AN3090">
        <v>-5</v>
      </c>
      <c r="AO3090" t="b">
        <v>0</v>
      </c>
      <c r="AT3090">
        <v>4061</v>
      </c>
      <c r="AU3090">
        <f t="shared" si="146"/>
        <v>11.125999999999999</v>
      </c>
    </row>
    <row r="3091" spans="1:47" x14ac:dyDescent="0.3">
      <c r="A3091">
        <v>3089</v>
      </c>
      <c r="B3091" t="s">
        <v>12837</v>
      </c>
      <c r="C3091" t="s">
        <v>12838</v>
      </c>
      <c r="D3091">
        <v>770</v>
      </c>
      <c r="E3091" t="s">
        <v>12782</v>
      </c>
      <c r="F3091" t="str">
        <f>VLOOKUP(E3091,country_continent!A:C,2,FALSE)</f>
        <v>Pakistan</v>
      </c>
      <c r="G3091" t="str">
        <f>VLOOKUP(E3091,country_continent!A:C,3,FALSE)</f>
        <v>Asia</v>
      </c>
      <c r="H3091" t="s">
        <v>12839</v>
      </c>
      <c r="I3091" s="1">
        <v>32372</v>
      </c>
      <c r="J3091" s="3">
        <f t="shared" si="144"/>
        <v>32372</v>
      </c>
      <c r="K3091" s="1">
        <v>32479</v>
      </c>
      <c r="L3091" s="3">
        <f t="shared" si="145"/>
        <v>32479</v>
      </c>
      <c r="M3091" t="s">
        <v>49</v>
      </c>
      <c r="N3091" t="s">
        <v>49</v>
      </c>
      <c r="O3091" t="s">
        <v>49</v>
      </c>
      <c r="P3091">
        <v>0</v>
      </c>
      <c r="Q3091" t="s">
        <v>50</v>
      </c>
      <c r="R3091" t="s">
        <v>51</v>
      </c>
      <c r="S3091">
        <v>1915</v>
      </c>
      <c r="T3091">
        <v>2006</v>
      </c>
      <c r="W3091" s="1">
        <v>39018</v>
      </c>
      <c r="X3091" s="2">
        <v>39018</v>
      </c>
      <c r="Y3091" t="s">
        <v>12840</v>
      </c>
      <c r="Z3091">
        <v>0</v>
      </c>
      <c r="AA3091">
        <v>1</v>
      </c>
      <c r="AB3091">
        <v>0</v>
      </c>
      <c r="AC3091">
        <v>0</v>
      </c>
      <c r="AF3091">
        <v>1988</v>
      </c>
      <c r="AG3091">
        <v>1988</v>
      </c>
      <c r="AH3091">
        <v>4.0676007088283503</v>
      </c>
      <c r="AI3091">
        <v>370</v>
      </c>
      <c r="AJ3091">
        <v>9.6175606497802306</v>
      </c>
      <c r="AK3091">
        <v>145.1</v>
      </c>
      <c r="AL3091">
        <v>3.3614858237025902</v>
      </c>
      <c r="AM3091">
        <v>0.94820025639237604</v>
      </c>
      <c r="AN3091">
        <v>8</v>
      </c>
      <c r="AO3091" t="b">
        <v>0</v>
      </c>
      <c r="AT3091">
        <v>107</v>
      </c>
      <c r="AU3091">
        <f t="shared" si="146"/>
        <v>0.29299999999999998</v>
      </c>
    </row>
    <row r="3092" spans="1:47" x14ac:dyDescent="0.3">
      <c r="A3092">
        <v>3090</v>
      </c>
      <c r="B3092" t="s">
        <v>12841</v>
      </c>
      <c r="C3092" t="s">
        <v>12842</v>
      </c>
      <c r="D3092">
        <v>770</v>
      </c>
      <c r="E3092" t="s">
        <v>12782</v>
      </c>
      <c r="F3092" t="str">
        <f>VLOOKUP(E3092,country_continent!A:C,2,FALSE)</f>
        <v>Pakistan</v>
      </c>
      <c r="G3092" t="str">
        <f>VLOOKUP(E3092,country_continent!A:C,3,FALSE)</f>
        <v>Asia</v>
      </c>
      <c r="H3092" t="s">
        <v>12843</v>
      </c>
      <c r="I3092" s="1">
        <v>32479</v>
      </c>
      <c r="J3092" s="3">
        <f t="shared" si="144"/>
        <v>32479</v>
      </c>
      <c r="K3092" s="1">
        <v>33091</v>
      </c>
      <c r="L3092" s="3">
        <f t="shared" si="145"/>
        <v>33091</v>
      </c>
      <c r="M3092" t="s">
        <v>49</v>
      </c>
      <c r="N3092" t="s">
        <v>49</v>
      </c>
      <c r="O3092" t="s">
        <v>49</v>
      </c>
      <c r="P3092">
        <v>0</v>
      </c>
      <c r="Q3092" t="s">
        <v>50</v>
      </c>
      <c r="R3092" t="s">
        <v>299</v>
      </c>
      <c r="S3092">
        <v>1953</v>
      </c>
      <c r="T3092">
        <v>2007</v>
      </c>
      <c r="U3092" s="1">
        <v>19531</v>
      </c>
      <c r="V3092" s="2">
        <v>19531</v>
      </c>
      <c r="Y3092" t="s">
        <v>12844</v>
      </c>
      <c r="Z3092">
        <v>0</v>
      </c>
      <c r="AA3092">
        <v>1</v>
      </c>
      <c r="AB3092">
        <v>0</v>
      </c>
      <c r="AC3092">
        <v>0</v>
      </c>
      <c r="AD3092" t="s">
        <v>12845</v>
      </c>
      <c r="AE3092">
        <v>1</v>
      </c>
      <c r="AF3092">
        <v>1988</v>
      </c>
      <c r="AG3092">
        <v>1990</v>
      </c>
      <c r="AH3092">
        <v>2.2256250083835099</v>
      </c>
      <c r="AI3092">
        <v>370</v>
      </c>
      <c r="AJ3092">
        <v>8.2182026116278202</v>
      </c>
      <c r="AK3092">
        <v>142.433333333333</v>
      </c>
      <c r="AL3092">
        <v>3.3241988419941899</v>
      </c>
      <c r="AM3092">
        <v>1.5057186314046</v>
      </c>
      <c r="AN3092">
        <v>8</v>
      </c>
      <c r="AO3092" t="b">
        <v>0</v>
      </c>
      <c r="AT3092">
        <v>612</v>
      </c>
      <c r="AU3092">
        <f t="shared" si="146"/>
        <v>1.677</v>
      </c>
    </row>
    <row r="3093" spans="1:47" x14ac:dyDescent="0.3">
      <c r="A3093">
        <v>3091</v>
      </c>
      <c r="B3093" t="s">
        <v>12846</v>
      </c>
      <c r="C3093" t="s">
        <v>12847</v>
      </c>
      <c r="D3093">
        <v>770</v>
      </c>
      <c r="E3093" t="s">
        <v>12782</v>
      </c>
      <c r="F3093" t="str">
        <f>VLOOKUP(E3093,country_continent!A:C,2,FALSE)</f>
        <v>Pakistan</v>
      </c>
      <c r="G3093" t="str">
        <f>VLOOKUP(E3093,country_continent!A:C,3,FALSE)</f>
        <v>Asia</v>
      </c>
      <c r="H3093" t="s">
        <v>12848</v>
      </c>
      <c r="I3093" s="1">
        <v>33091</v>
      </c>
      <c r="J3093" s="3">
        <f t="shared" si="144"/>
        <v>33091</v>
      </c>
      <c r="K3093" s="1">
        <v>33183</v>
      </c>
      <c r="L3093" s="3">
        <f t="shared" si="145"/>
        <v>33183</v>
      </c>
      <c r="M3093" t="s">
        <v>49</v>
      </c>
      <c r="N3093" t="s">
        <v>49</v>
      </c>
      <c r="O3093" t="s">
        <v>49</v>
      </c>
      <c r="P3093">
        <v>0</v>
      </c>
      <c r="Q3093" t="s">
        <v>50</v>
      </c>
      <c r="R3093" t="s">
        <v>51</v>
      </c>
      <c r="S3093">
        <v>1931</v>
      </c>
      <c r="T3093">
        <v>2009</v>
      </c>
      <c r="Z3093">
        <v>0</v>
      </c>
      <c r="AA3093">
        <v>1</v>
      </c>
      <c r="AB3093">
        <v>0</v>
      </c>
      <c r="AC3093">
        <v>0</v>
      </c>
      <c r="AF3093">
        <v>1990</v>
      </c>
      <c r="AG3093">
        <v>1990</v>
      </c>
      <c r="AH3093">
        <v>1.0242118115140999</v>
      </c>
      <c r="AI3093">
        <v>370</v>
      </c>
      <c r="AJ3093">
        <v>6.4519991679097899</v>
      </c>
      <c r="AK3093">
        <v>139.80000000000001</v>
      </c>
      <c r="AL3093">
        <v>3.3430485418944702</v>
      </c>
      <c r="AM3093">
        <v>2.1197786541449899</v>
      </c>
      <c r="AN3093">
        <v>8</v>
      </c>
      <c r="AO3093" t="b">
        <v>0</v>
      </c>
      <c r="AT3093">
        <v>92</v>
      </c>
      <c r="AU3093">
        <f t="shared" si="146"/>
        <v>0.252</v>
      </c>
    </row>
    <row r="3094" spans="1:47" x14ac:dyDescent="0.3">
      <c r="A3094">
        <v>3092</v>
      </c>
      <c r="B3094" t="s">
        <v>12849</v>
      </c>
      <c r="C3094" t="s">
        <v>12850</v>
      </c>
      <c r="D3094">
        <v>770</v>
      </c>
      <c r="E3094" t="s">
        <v>12782</v>
      </c>
      <c r="F3094" t="str">
        <f>VLOOKUP(E3094,country_continent!A:C,2,FALSE)</f>
        <v>Pakistan</v>
      </c>
      <c r="G3094" t="str">
        <f>VLOOKUP(E3094,country_continent!A:C,3,FALSE)</f>
        <v>Asia</v>
      </c>
      <c r="H3094" t="s">
        <v>12851</v>
      </c>
      <c r="I3094" s="1">
        <v>33183</v>
      </c>
      <c r="J3094" s="3">
        <f t="shared" si="144"/>
        <v>33183</v>
      </c>
      <c r="K3094" s="1">
        <v>34077</v>
      </c>
      <c r="L3094" s="3">
        <f t="shared" si="145"/>
        <v>34077</v>
      </c>
      <c r="M3094" t="s">
        <v>49</v>
      </c>
      <c r="N3094" t="s">
        <v>67</v>
      </c>
      <c r="O3094" t="s">
        <v>2001</v>
      </c>
      <c r="P3094">
        <v>0</v>
      </c>
      <c r="Q3094" t="s">
        <v>50</v>
      </c>
      <c r="R3094" t="s">
        <v>51</v>
      </c>
      <c r="S3094">
        <v>1949</v>
      </c>
      <c r="T3094">
        <v>-777</v>
      </c>
      <c r="U3094" s="1">
        <v>18257</v>
      </c>
      <c r="V3094" s="2">
        <v>18257</v>
      </c>
      <c r="Y3094" t="s">
        <v>12852</v>
      </c>
      <c r="Z3094">
        <v>0</v>
      </c>
      <c r="AA3094">
        <v>3</v>
      </c>
      <c r="AB3094">
        <v>8</v>
      </c>
      <c r="AC3094">
        <v>0</v>
      </c>
      <c r="AF3094">
        <v>1990</v>
      </c>
      <c r="AG3094">
        <v>1993</v>
      </c>
      <c r="AH3094">
        <v>1.5776275108886499</v>
      </c>
      <c r="AI3094">
        <v>385</v>
      </c>
      <c r="AJ3094">
        <v>9.7460940779826402</v>
      </c>
      <c r="AK3094">
        <v>135.54999999999899</v>
      </c>
      <c r="AL3094">
        <v>3.07113739890911</v>
      </c>
      <c r="AM3094">
        <v>1.4402660596442101</v>
      </c>
      <c r="AN3094">
        <v>8</v>
      </c>
      <c r="AO3094" t="b">
        <v>0</v>
      </c>
      <c r="AT3094">
        <v>894</v>
      </c>
      <c r="AU3094">
        <f t="shared" si="146"/>
        <v>2.4489999999999998</v>
      </c>
    </row>
    <row r="3095" spans="1:47" x14ac:dyDescent="0.3">
      <c r="A3095">
        <v>3093</v>
      </c>
      <c r="B3095" t="s">
        <v>12853</v>
      </c>
      <c r="C3095" t="s">
        <v>12854</v>
      </c>
      <c r="D3095">
        <v>770</v>
      </c>
      <c r="E3095" t="s">
        <v>12782</v>
      </c>
      <c r="F3095" t="str">
        <f>VLOOKUP(E3095,country_continent!A:C,2,FALSE)</f>
        <v>Pakistan</v>
      </c>
      <c r="G3095" t="str">
        <f>VLOOKUP(E3095,country_continent!A:C,3,FALSE)</f>
        <v>Asia</v>
      </c>
      <c r="H3095" t="s">
        <v>12855</v>
      </c>
      <c r="I3095" s="1">
        <v>34077</v>
      </c>
      <c r="J3095" s="3">
        <f t="shared" si="144"/>
        <v>34077</v>
      </c>
      <c r="K3095" s="1">
        <v>34115</v>
      </c>
      <c r="L3095" s="3">
        <f t="shared" si="145"/>
        <v>34115</v>
      </c>
      <c r="M3095" t="s">
        <v>67</v>
      </c>
      <c r="N3095" t="s">
        <v>49</v>
      </c>
      <c r="O3095" t="s">
        <v>49</v>
      </c>
      <c r="P3095">
        <v>0</v>
      </c>
      <c r="Q3095" t="s">
        <v>50</v>
      </c>
      <c r="R3095" t="s">
        <v>51</v>
      </c>
      <c r="S3095">
        <v>1922</v>
      </c>
      <c r="T3095">
        <v>-777</v>
      </c>
      <c r="Z3095">
        <v>1</v>
      </c>
      <c r="AA3095">
        <v>1</v>
      </c>
      <c r="AB3095">
        <v>0</v>
      </c>
      <c r="AC3095">
        <v>0</v>
      </c>
      <c r="AF3095">
        <v>1993</v>
      </c>
      <c r="AG3095">
        <v>1993</v>
      </c>
      <c r="AH3095">
        <v>-1.02474092628784</v>
      </c>
      <c r="AI3095">
        <v>400</v>
      </c>
      <c r="AJ3095">
        <v>8.8385531276965708</v>
      </c>
      <c r="AK3095">
        <v>131.1</v>
      </c>
      <c r="AL3095">
        <v>2.7725055318492</v>
      </c>
      <c r="AM3095">
        <v>1.07963865492736</v>
      </c>
      <c r="AN3095">
        <v>8</v>
      </c>
      <c r="AO3095" t="b">
        <v>0</v>
      </c>
      <c r="AT3095">
        <v>38</v>
      </c>
      <c r="AU3095">
        <f t="shared" si="146"/>
        <v>0.104</v>
      </c>
    </row>
    <row r="3096" spans="1:47" x14ac:dyDescent="0.3">
      <c r="A3096">
        <v>3094</v>
      </c>
      <c r="B3096" t="s">
        <v>12856</v>
      </c>
      <c r="C3096" t="s">
        <v>12850</v>
      </c>
      <c r="D3096">
        <v>770</v>
      </c>
      <c r="E3096" t="s">
        <v>12782</v>
      </c>
      <c r="F3096" t="str">
        <f>VLOOKUP(E3096,country_continent!A:C,2,FALSE)</f>
        <v>Pakistan</v>
      </c>
      <c r="G3096" t="str">
        <f>VLOOKUP(E3096,country_continent!A:C,3,FALSE)</f>
        <v>Asia</v>
      </c>
      <c r="H3096" t="s">
        <v>12851</v>
      </c>
      <c r="I3096" s="1">
        <v>34115</v>
      </c>
      <c r="J3096" s="3">
        <f t="shared" si="144"/>
        <v>34115</v>
      </c>
      <c r="K3096" s="1">
        <v>34168</v>
      </c>
      <c r="L3096" s="3">
        <f t="shared" si="145"/>
        <v>34168</v>
      </c>
      <c r="M3096" t="s">
        <v>49</v>
      </c>
      <c r="N3096" t="s">
        <v>49</v>
      </c>
      <c r="O3096" t="s">
        <v>49</v>
      </c>
      <c r="P3096">
        <v>1</v>
      </c>
      <c r="Q3096" t="s">
        <v>50</v>
      </c>
      <c r="R3096" t="s">
        <v>51</v>
      </c>
      <c r="S3096">
        <v>1949</v>
      </c>
      <c r="T3096">
        <v>-777</v>
      </c>
      <c r="U3096" s="1">
        <v>18257</v>
      </c>
      <c r="V3096" s="2">
        <v>18257</v>
      </c>
      <c r="Y3096" t="s">
        <v>12852</v>
      </c>
      <c r="Z3096">
        <v>0</v>
      </c>
      <c r="AA3096">
        <v>1</v>
      </c>
      <c r="AB3096">
        <v>0</v>
      </c>
      <c r="AC3096">
        <v>0</v>
      </c>
      <c r="AF3096">
        <v>1993</v>
      </c>
      <c r="AG3096">
        <v>1993</v>
      </c>
      <c r="AH3096">
        <v>-1.02474092628784</v>
      </c>
      <c r="AI3096">
        <v>400</v>
      </c>
      <c r="AJ3096">
        <v>8.8385531276965708</v>
      </c>
      <c r="AK3096">
        <v>131.1</v>
      </c>
      <c r="AL3096">
        <v>2.7725055318492</v>
      </c>
      <c r="AM3096">
        <v>1.07963865492736</v>
      </c>
      <c r="AN3096">
        <v>8</v>
      </c>
      <c r="AO3096" t="b">
        <v>0</v>
      </c>
      <c r="AT3096">
        <v>53</v>
      </c>
      <c r="AU3096">
        <f t="shared" si="146"/>
        <v>0.14499999999999999</v>
      </c>
    </row>
    <row r="3097" spans="1:47" x14ac:dyDescent="0.3">
      <c r="A3097">
        <v>3095</v>
      </c>
      <c r="B3097" t="s">
        <v>12857</v>
      </c>
      <c r="C3097" t="s">
        <v>12858</v>
      </c>
      <c r="D3097">
        <v>770</v>
      </c>
      <c r="E3097" t="s">
        <v>12782</v>
      </c>
      <c r="F3097" t="str">
        <f>VLOOKUP(E3097,country_continent!A:C,2,FALSE)</f>
        <v>Pakistan</v>
      </c>
      <c r="G3097" t="str">
        <f>VLOOKUP(E3097,country_continent!A:C,3,FALSE)</f>
        <v>Asia</v>
      </c>
      <c r="H3097" t="s">
        <v>12859</v>
      </c>
      <c r="I3097" s="1">
        <v>34169</v>
      </c>
      <c r="J3097" s="3">
        <f t="shared" si="144"/>
        <v>34169</v>
      </c>
      <c r="K3097" s="1">
        <v>34261</v>
      </c>
      <c r="L3097" s="3">
        <f t="shared" si="145"/>
        <v>34261</v>
      </c>
      <c r="M3097" t="s">
        <v>49</v>
      </c>
      <c r="N3097" t="s">
        <v>49</v>
      </c>
      <c r="O3097" t="s">
        <v>49</v>
      </c>
      <c r="P3097">
        <v>0</v>
      </c>
      <c r="Q3097" t="s">
        <v>50</v>
      </c>
      <c r="R3097" t="s">
        <v>51</v>
      </c>
      <c r="S3097">
        <v>1930</v>
      </c>
      <c r="T3097">
        <v>-777</v>
      </c>
      <c r="Z3097">
        <v>0</v>
      </c>
      <c r="AA3097">
        <v>1</v>
      </c>
      <c r="AB3097">
        <v>0</v>
      </c>
      <c r="AC3097">
        <v>0</v>
      </c>
      <c r="AF3097">
        <v>1993</v>
      </c>
      <c r="AG3097">
        <v>1993</v>
      </c>
      <c r="AH3097">
        <v>-1.02474092628784</v>
      </c>
      <c r="AI3097">
        <v>400</v>
      </c>
      <c r="AJ3097">
        <v>8.8385531276965708</v>
      </c>
      <c r="AK3097">
        <v>131.1</v>
      </c>
      <c r="AL3097">
        <v>2.7725055318492</v>
      </c>
      <c r="AM3097">
        <v>1.07963865492736</v>
      </c>
      <c r="AN3097">
        <v>8</v>
      </c>
      <c r="AO3097" t="b">
        <v>0</v>
      </c>
      <c r="AT3097">
        <v>92</v>
      </c>
      <c r="AU3097">
        <f t="shared" si="146"/>
        <v>0.252</v>
      </c>
    </row>
    <row r="3098" spans="1:47" x14ac:dyDescent="0.3">
      <c r="A3098">
        <v>3096</v>
      </c>
      <c r="B3098" t="s">
        <v>12860</v>
      </c>
      <c r="C3098" t="s">
        <v>12842</v>
      </c>
      <c r="D3098">
        <v>770</v>
      </c>
      <c r="E3098" t="s">
        <v>12782</v>
      </c>
      <c r="F3098" t="str">
        <f>VLOOKUP(E3098,country_continent!A:C,2,FALSE)</f>
        <v>Pakistan</v>
      </c>
      <c r="G3098" t="str">
        <f>VLOOKUP(E3098,country_continent!A:C,3,FALSE)</f>
        <v>Asia</v>
      </c>
      <c r="H3098" t="s">
        <v>12843</v>
      </c>
      <c r="I3098" s="1">
        <v>34261</v>
      </c>
      <c r="J3098" s="3">
        <f t="shared" si="144"/>
        <v>34261</v>
      </c>
      <c r="K3098" s="1">
        <v>35374</v>
      </c>
      <c r="L3098" s="3">
        <f t="shared" si="145"/>
        <v>35374</v>
      </c>
      <c r="M3098" t="s">
        <v>49</v>
      </c>
      <c r="N3098" t="s">
        <v>67</v>
      </c>
      <c r="O3098" t="s">
        <v>2001</v>
      </c>
      <c r="P3098">
        <v>1</v>
      </c>
      <c r="Q3098" t="s">
        <v>50</v>
      </c>
      <c r="R3098" t="s">
        <v>299</v>
      </c>
      <c r="S3098">
        <v>1953</v>
      </c>
      <c r="T3098">
        <v>2007</v>
      </c>
      <c r="U3098" s="1">
        <v>19531</v>
      </c>
      <c r="V3098" s="2">
        <v>19531</v>
      </c>
      <c r="Y3098" t="s">
        <v>12844</v>
      </c>
      <c r="Z3098">
        <v>0</v>
      </c>
      <c r="AA3098">
        <v>3</v>
      </c>
      <c r="AB3098">
        <v>8</v>
      </c>
      <c r="AC3098">
        <v>0</v>
      </c>
      <c r="AD3098" t="s">
        <v>12845</v>
      </c>
      <c r="AE3098">
        <v>1</v>
      </c>
      <c r="AF3098">
        <v>1993</v>
      </c>
      <c r="AG3098">
        <v>1996</v>
      </c>
      <c r="AH3098">
        <v>0.89148661297964404</v>
      </c>
      <c r="AI3098">
        <v>417.5</v>
      </c>
      <c r="AJ3098">
        <v>10.8117659097112</v>
      </c>
      <c r="AK3098">
        <v>126.25</v>
      </c>
      <c r="AL3098">
        <v>2.8665509281317298</v>
      </c>
      <c r="AM3098">
        <v>1.1780832593576001</v>
      </c>
      <c r="AN3098">
        <v>8</v>
      </c>
      <c r="AO3098" t="b">
        <v>0</v>
      </c>
      <c r="AT3098">
        <v>1113</v>
      </c>
      <c r="AU3098">
        <f t="shared" si="146"/>
        <v>3.0489999999999999</v>
      </c>
    </row>
    <row r="3099" spans="1:47" x14ac:dyDescent="0.3">
      <c r="A3099">
        <v>3097</v>
      </c>
      <c r="B3099" t="s">
        <v>12861</v>
      </c>
      <c r="C3099" t="s">
        <v>12862</v>
      </c>
      <c r="D3099">
        <v>770</v>
      </c>
      <c r="E3099" t="s">
        <v>12782</v>
      </c>
      <c r="F3099" t="str">
        <f>VLOOKUP(E3099,country_continent!A:C,2,FALSE)</f>
        <v>Pakistan</v>
      </c>
      <c r="G3099" t="str">
        <f>VLOOKUP(E3099,country_continent!A:C,3,FALSE)</f>
        <v>Asia</v>
      </c>
      <c r="H3099" t="s">
        <v>11659</v>
      </c>
      <c r="I3099" s="1">
        <v>35374</v>
      </c>
      <c r="J3099" s="3">
        <f t="shared" si="144"/>
        <v>35374</v>
      </c>
      <c r="K3099" s="1">
        <v>35478</v>
      </c>
      <c r="L3099" s="3">
        <f t="shared" si="145"/>
        <v>35478</v>
      </c>
      <c r="M3099" t="s">
        <v>67</v>
      </c>
      <c r="N3099" t="s">
        <v>49</v>
      </c>
      <c r="O3099" t="s">
        <v>49</v>
      </c>
      <c r="P3099">
        <v>0</v>
      </c>
      <c r="Q3099" t="s">
        <v>50</v>
      </c>
      <c r="R3099" t="s">
        <v>51</v>
      </c>
      <c r="S3099">
        <v>1916</v>
      </c>
      <c r="T3099">
        <v>2003</v>
      </c>
      <c r="Y3099" t="s">
        <v>12863</v>
      </c>
      <c r="Z3099">
        <v>1</v>
      </c>
      <c r="AA3099">
        <v>1</v>
      </c>
      <c r="AB3099">
        <v>0</v>
      </c>
      <c r="AC3099">
        <v>0</v>
      </c>
      <c r="AF3099">
        <v>1996</v>
      </c>
      <c r="AG3099">
        <v>1997</v>
      </c>
      <c r="AH3099">
        <v>1.8133579785185799E-2</v>
      </c>
      <c r="AI3099">
        <v>435</v>
      </c>
      <c r="AJ3099">
        <v>10.878562316632999</v>
      </c>
      <c r="AK3099">
        <v>119.5</v>
      </c>
      <c r="AL3099">
        <v>2.8694801089689501</v>
      </c>
      <c r="AM3099">
        <v>1.29615723751852</v>
      </c>
      <c r="AN3099">
        <v>7.5</v>
      </c>
      <c r="AO3099" t="b">
        <v>0</v>
      </c>
      <c r="AT3099">
        <v>104</v>
      </c>
      <c r="AU3099">
        <f t="shared" si="146"/>
        <v>0.28499999999999998</v>
      </c>
    </row>
    <row r="3100" spans="1:47" x14ac:dyDescent="0.3">
      <c r="A3100">
        <v>3098</v>
      </c>
      <c r="B3100" t="s">
        <v>12864</v>
      </c>
      <c r="C3100" t="s">
        <v>12850</v>
      </c>
      <c r="D3100">
        <v>770</v>
      </c>
      <c r="E3100" t="s">
        <v>12782</v>
      </c>
      <c r="F3100" t="str">
        <f>VLOOKUP(E3100,country_continent!A:C,2,FALSE)</f>
        <v>Pakistan</v>
      </c>
      <c r="G3100" t="str">
        <f>VLOOKUP(E3100,country_continent!A:C,3,FALSE)</f>
        <v>Asia</v>
      </c>
      <c r="H3100" t="s">
        <v>12851</v>
      </c>
      <c r="I3100" s="1">
        <v>35478</v>
      </c>
      <c r="J3100" s="3">
        <f t="shared" si="144"/>
        <v>35478</v>
      </c>
      <c r="K3100" s="1">
        <v>36445</v>
      </c>
      <c r="L3100" s="3">
        <f t="shared" si="145"/>
        <v>36445</v>
      </c>
      <c r="M3100" t="s">
        <v>49</v>
      </c>
      <c r="N3100" t="s">
        <v>67</v>
      </c>
      <c r="O3100" t="s">
        <v>376</v>
      </c>
      <c r="P3100">
        <v>2</v>
      </c>
      <c r="Q3100" t="s">
        <v>463</v>
      </c>
      <c r="R3100" t="s">
        <v>51</v>
      </c>
      <c r="S3100">
        <v>1949</v>
      </c>
      <c r="T3100">
        <v>-777</v>
      </c>
      <c r="U3100" s="1">
        <v>18257</v>
      </c>
      <c r="V3100" s="2">
        <v>18257</v>
      </c>
      <c r="Y3100" t="s">
        <v>12852</v>
      </c>
      <c r="Z3100">
        <v>0</v>
      </c>
      <c r="AA3100">
        <v>3</v>
      </c>
      <c r="AB3100">
        <v>6</v>
      </c>
      <c r="AC3100">
        <v>2</v>
      </c>
      <c r="AF3100">
        <v>1997</v>
      </c>
      <c r="AG3100">
        <v>1999</v>
      </c>
      <c r="AH3100">
        <v>-0.38954991321320098</v>
      </c>
      <c r="AI3100">
        <v>416.666666666666</v>
      </c>
      <c r="AJ3100">
        <v>8.92394590603719</v>
      </c>
      <c r="AK3100">
        <v>114.5</v>
      </c>
      <c r="AL3100">
        <v>2.77049770800906</v>
      </c>
      <c r="AM3100">
        <v>1.28017335491924</v>
      </c>
      <c r="AN3100">
        <v>2.67</v>
      </c>
      <c r="AO3100" t="b">
        <v>0</v>
      </c>
      <c r="AT3100">
        <v>967</v>
      </c>
      <c r="AU3100">
        <f t="shared" si="146"/>
        <v>2.649</v>
      </c>
    </row>
    <row r="3101" spans="1:47" x14ac:dyDescent="0.3">
      <c r="A3101">
        <v>3099</v>
      </c>
      <c r="B3101" t="s">
        <v>12865</v>
      </c>
      <c r="C3101" t="s">
        <v>12866</v>
      </c>
      <c r="D3101">
        <v>770</v>
      </c>
      <c r="E3101" t="s">
        <v>12782</v>
      </c>
      <c r="F3101" t="str">
        <f>VLOOKUP(E3101,country_continent!A:C,2,FALSE)</f>
        <v>Pakistan</v>
      </c>
      <c r="G3101" t="str">
        <f>VLOOKUP(E3101,country_continent!A:C,3,FALSE)</f>
        <v>Asia</v>
      </c>
      <c r="H3101" t="s">
        <v>12867</v>
      </c>
      <c r="I3101" s="1">
        <v>36447</v>
      </c>
      <c r="J3101" s="3">
        <f t="shared" si="144"/>
        <v>36447</v>
      </c>
      <c r="K3101" s="1">
        <v>39678</v>
      </c>
      <c r="L3101" s="3">
        <f t="shared" si="145"/>
        <v>39678</v>
      </c>
      <c r="M3101" t="s">
        <v>67</v>
      </c>
      <c r="N3101" t="s">
        <v>49</v>
      </c>
      <c r="O3101" t="s">
        <v>49</v>
      </c>
      <c r="P3101">
        <v>0</v>
      </c>
      <c r="Q3101" t="s">
        <v>362</v>
      </c>
      <c r="R3101" t="s">
        <v>51</v>
      </c>
      <c r="S3101">
        <v>1943</v>
      </c>
      <c r="T3101">
        <v>-777</v>
      </c>
      <c r="Z3101">
        <v>1</v>
      </c>
      <c r="AA3101">
        <v>1</v>
      </c>
      <c r="AB3101">
        <v>0</v>
      </c>
      <c r="AC3101">
        <v>1</v>
      </c>
      <c r="AF3101">
        <v>1999</v>
      </c>
      <c r="AG3101">
        <v>2008</v>
      </c>
      <c r="AH3101">
        <v>2.0716960808481102</v>
      </c>
      <c r="AI3101">
        <v>705</v>
      </c>
      <c r="AJ3101">
        <v>12.741641505764999</v>
      </c>
      <c r="AK3101">
        <v>100.15</v>
      </c>
      <c r="AL3101">
        <v>2.57206326275324</v>
      </c>
      <c r="AM3101">
        <v>2.21992468062964</v>
      </c>
      <c r="AN3101">
        <v>-3.6</v>
      </c>
      <c r="AO3101" t="b">
        <v>0</v>
      </c>
      <c r="AT3101">
        <v>3231</v>
      </c>
      <c r="AU3101">
        <f t="shared" si="146"/>
        <v>8.8520000000000003</v>
      </c>
    </row>
    <row r="3102" spans="1:47" x14ac:dyDescent="0.3">
      <c r="A3102">
        <v>3100</v>
      </c>
      <c r="B3102" t="s">
        <v>12868</v>
      </c>
      <c r="C3102" t="s">
        <v>12869</v>
      </c>
      <c r="D3102">
        <v>770</v>
      </c>
      <c r="E3102" t="s">
        <v>12782</v>
      </c>
      <c r="F3102" t="str">
        <f>VLOOKUP(E3102,country_continent!A:C,2,FALSE)</f>
        <v>Pakistan</v>
      </c>
      <c r="G3102" t="str">
        <f>VLOOKUP(E3102,country_continent!A:C,3,FALSE)</f>
        <v>Asia</v>
      </c>
      <c r="H3102" t="s">
        <v>12870</v>
      </c>
      <c r="I3102" s="1">
        <v>39678</v>
      </c>
      <c r="J3102" s="3">
        <f t="shared" si="144"/>
        <v>39678</v>
      </c>
      <c r="K3102" s="1">
        <v>39700</v>
      </c>
      <c r="L3102" s="3">
        <f t="shared" si="145"/>
        <v>39700</v>
      </c>
      <c r="M3102" t="s">
        <v>49</v>
      </c>
      <c r="N3102" t="s">
        <v>49</v>
      </c>
      <c r="O3102" t="s">
        <v>49</v>
      </c>
      <c r="P3102">
        <v>0</v>
      </c>
      <c r="Q3102" t="s">
        <v>50</v>
      </c>
      <c r="R3102" t="s">
        <v>51</v>
      </c>
      <c r="S3102">
        <v>1950</v>
      </c>
      <c r="T3102">
        <v>-777</v>
      </c>
      <c r="Z3102">
        <v>0</v>
      </c>
      <c r="AA3102">
        <v>1</v>
      </c>
      <c r="AB3102">
        <v>0</v>
      </c>
      <c r="AC3102">
        <v>0</v>
      </c>
      <c r="AF3102">
        <v>2008</v>
      </c>
      <c r="AG3102">
        <v>2008</v>
      </c>
      <c r="AH3102">
        <v>-0.57721209900880399</v>
      </c>
      <c r="AI3102">
        <v>1000</v>
      </c>
      <c r="AJ3102">
        <v>10.9204672720775</v>
      </c>
      <c r="AK3102">
        <v>91</v>
      </c>
      <c r="AL3102">
        <v>2.6771569312075498</v>
      </c>
      <c r="AM3102">
        <v>2.30185926464357</v>
      </c>
      <c r="AN3102">
        <v>5</v>
      </c>
      <c r="AO3102" t="b">
        <v>0</v>
      </c>
      <c r="AT3102">
        <v>22</v>
      </c>
      <c r="AU3102">
        <f t="shared" si="146"/>
        <v>0.06</v>
      </c>
    </row>
    <row r="3103" spans="1:47" x14ac:dyDescent="0.3">
      <c r="A3103">
        <v>3101</v>
      </c>
      <c r="B3103" t="s">
        <v>12871</v>
      </c>
      <c r="C3103" t="s">
        <v>12872</v>
      </c>
      <c r="D3103">
        <v>770</v>
      </c>
      <c r="E3103" t="s">
        <v>12782</v>
      </c>
      <c r="F3103" t="str">
        <f>VLOOKUP(E3103,country_continent!A:C,2,FALSE)</f>
        <v>Pakistan</v>
      </c>
      <c r="G3103" t="str">
        <f>VLOOKUP(E3103,country_continent!A:C,3,FALSE)</f>
        <v>Asia</v>
      </c>
      <c r="H3103" t="s">
        <v>12873</v>
      </c>
      <c r="I3103" s="1">
        <v>39700</v>
      </c>
      <c r="J3103" s="3">
        <f t="shared" si="144"/>
        <v>39700</v>
      </c>
      <c r="K3103" s="1">
        <v>41430</v>
      </c>
      <c r="L3103" s="3">
        <f t="shared" si="145"/>
        <v>41430</v>
      </c>
      <c r="M3103" t="s">
        <v>49</v>
      </c>
      <c r="N3103" t="s">
        <v>49</v>
      </c>
      <c r="O3103" t="s">
        <v>49</v>
      </c>
      <c r="P3103">
        <v>0</v>
      </c>
      <c r="Q3103" t="s">
        <v>50</v>
      </c>
      <c r="R3103" t="s">
        <v>51</v>
      </c>
      <c r="S3103">
        <v>1955</v>
      </c>
      <c r="T3103">
        <v>-777</v>
      </c>
      <c r="Z3103">
        <v>0</v>
      </c>
      <c r="AA3103">
        <v>1</v>
      </c>
      <c r="AB3103">
        <v>0</v>
      </c>
      <c r="AC3103">
        <v>0</v>
      </c>
      <c r="AD3103" t="s">
        <v>12874</v>
      </c>
      <c r="AE3103">
        <v>1</v>
      </c>
      <c r="AF3103">
        <v>2008</v>
      </c>
      <c r="AG3103">
        <v>2013</v>
      </c>
      <c r="AH3103">
        <v>0.58280258445517297</v>
      </c>
      <c r="AI3103">
        <v>1060</v>
      </c>
      <c r="AJ3103">
        <v>11.2660194167154</v>
      </c>
      <c r="AK3103">
        <v>85.866666666666603</v>
      </c>
      <c r="AL3103">
        <v>2.2432650700388099</v>
      </c>
      <c r="AM3103">
        <v>2.2910405245793499</v>
      </c>
      <c r="AN3103">
        <v>5.83</v>
      </c>
      <c r="AO3103" t="b">
        <v>0</v>
      </c>
      <c r="AT3103">
        <v>1730</v>
      </c>
      <c r="AU3103">
        <f t="shared" si="146"/>
        <v>4.74</v>
      </c>
    </row>
    <row r="3104" spans="1:47" x14ac:dyDescent="0.3">
      <c r="A3104">
        <v>3102</v>
      </c>
      <c r="B3104" t="s">
        <v>12875</v>
      </c>
      <c r="C3104" t="s">
        <v>12876</v>
      </c>
      <c r="D3104">
        <v>770</v>
      </c>
      <c r="E3104" t="s">
        <v>12782</v>
      </c>
      <c r="F3104" t="str">
        <f>VLOOKUP(E3104,country_continent!A:C,2,FALSE)</f>
        <v>Pakistan</v>
      </c>
      <c r="G3104" t="str">
        <f>VLOOKUP(E3104,country_continent!A:C,3,FALSE)</f>
        <v>Asia</v>
      </c>
      <c r="H3104" t="s">
        <v>12877</v>
      </c>
      <c r="I3104" s="1">
        <v>41430</v>
      </c>
      <c r="J3104" s="3">
        <f t="shared" si="144"/>
        <v>41430</v>
      </c>
      <c r="K3104" s="1">
        <v>42369</v>
      </c>
      <c r="L3104" s="3">
        <f t="shared" si="145"/>
        <v>42369</v>
      </c>
      <c r="M3104" t="s">
        <v>49</v>
      </c>
      <c r="N3104" t="s">
        <v>173</v>
      </c>
      <c r="O3104" t="s">
        <v>173</v>
      </c>
      <c r="P3104">
        <v>0</v>
      </c>
      <c r="Q3104" t="s">
        <v>174</v>
      </c>
      <c r="R3104" t="s">
        <v>51</v>
      </c>
      <c r="S3104">
        <v>1949</v>
      </c>
      <c r="T3104">
        <v>-777</v>
      </c>
      <c r="U3104" s="1">
        <v>18257</v>
      </c>
      <c r="V3104" s="2">
        <v>18257</v>
      </c>
      <c r="Z3104">
        <v>0</v>
      </c>
      <c r="AA3104">
        <v>-888</v>
      </c>
      <c r="AB3104">
        <v>-888</v>
      </c>
      <c r="AC3104">
        <v>-888</v>
      </c>
      <c r="AF3104">
        <v>2013</v>
      </c>
      <c r="AG3104">
        <v>2015</v>
      </c>
      <c r="AH3104">
        <v>2.67160518271145</v>
      </c>
      <c r="AI3104">
        <v>1246.6666666666599</v>
      </c>
      <c r="AJ3104">
        <v>6.3449509136769304</v>
      </c>
      <c r="AK3104">
        <v>78</v>
      </c>
      <c r="AL3104">
        <v>1.51001644604202</v>
      </c>
      <c r="AM3104">
        <v>1.7889230749543701</v>
      </c>
      <c r="AN3104">
        <v>7</v>
      </c>
      <c r="AO3104" t="b">
        <v>0</v>
      </c>
      <c r="AT3104">
        <v>939</v>
      </c>
      <c r="AU3104">
        <f t="shared" si="146"/>
        <v>2.573</v>
      </c>
    </row>
    <row r="3105" spans="1:47" x14ac:dyDescent="0.3">
      <c r="A3105">
        <v>3103</v>
      </c>
      <c r="B3105" t="s">
        <v>12878</v>
      </c>
      <c r="C3105" t="s">
        <v>12879</v>
      </c>
      <c r="D3105">
        <v>771</v>
      </c>
      <c r="E3105" t="s">
        <v>12880</v>
      </c>
      <c r="F3105" t="str">
        <f>VLOOKUP(E3105,country_continent!A:C,2,FALSE)</f>
        <v>Bangladesh</v>
      </c>
      <c r="G3105" t="str">
        <f>VLOOKUP(E3105,country_continent!A:C,3,FALSE)</f>
        <v>Asia</v>
      </c>
      <c r="H3105" t="s">
        <v>12881</v>
      </c>
      <c r="I3105" s="1">
        <v>26034</v>
      </c>
      <c r="J3105" s="3">
        <f t="shared" si="144"/>
        <v>26034</v>
      </c>
      <c r="K3105" s="1">
        <v>26308</v>
      </c>
      <c r="L3105" s="3">
        <f t="shared" si="145"/>
        <v>26308</v>
      </c>
      <c r="M3105" t="s">
        <v>49</v>
      </c>
      <c r="N3105" t="s">
        <v>49</v>
      </c>
      <c r="O3105" t="s">
        <v>49</v>
      </c>
      <c r="P3105">
        <v>0</v>
      </c>
      <c r="Q3105" t="s">
        <v>50</v>
      </c>
      <c r="R3105" t="s">
        <v>51</v>
      </c>
      <c r="S3105">
        <v>1925</v>
      </c>
      <c r="T3105">
        <v>1975</v>
      </c>
      <c r="Z3105">
        <v>0</v>
      </c>
      <c r="AA3105">
        <v>1</v>
      </c>
      <c r="AB3105">
        <v>0</v>
      </c>
      <c r="AC3105">
        <v>0</v>
      </c>
      <c r="AF3105">
        <v>1971</v>
      </c>
      <c r="AG3105">
        <v>1972</v>
      </c>
      <c r="AO3105" t="b">
        <v>0</v>
      </c>
      <c r="AT3105">
        <v>274</v>
      </c>
      <c r="AU3105">
        <f t="shared" si="146"/>
        <v>0.751</v>
      </c>
    </row>
    <row r="3106" spans="1:47" x14ac:dyDescent="0.3">
      <c r="A3106">
        <v>3104</v>
      </c>
      <c r="B3106" t="s">
        <v>12882</v>
      </c>
      <c r="C3106" t="s">
        <v>12883</v>
      </c>
      <c r="D3106">
        <v>771</v>
      </c>
      <c r="E3106" t="s">
        <v>12880</v>
      </c>
      <c r="F3106" t="str">
        <f>VLOOKUP(E3106,country_continent!A:C,2,FALSE)</f>
        <v>Bangladesh</v>
      </c>
      <c r="G3106" t="str">
        <f>VLOOKUP(E3106,country_continent!A:C,3,FALSE)</f>
        <v>Asia</v>
      </c>
      <c r="H3106" t="s">
        <v>12884</v>
      </c>
      <c r="I3106" s="1">
        <v>26311</v>
      </c>
      <c r="J3106" s="3">
        <f t="shared" si="144"/>
        <v>26311</v>
      </c>
      <c r="K3106" s="1">
        <v>27621</v>
      </c>
      <c r="L3106" s="3">
        <f t="shared" si="145"/>
        <v>27621</v>
      </c>
      <c r="M3106" t="s">
        <v>49</v>
      </c>
      <c r="N3106" t="s">
        <v>67</v>
      </c>
      <c r="O3106" t="s">
        <v>376</v>
      </c>
      <c r="P3106">
        <v>0</v>
      </c>
      <c r="Q3106" t="s">
        <v>69</v>
      </c>
      <c r="R3106" t="s">
        <v>51</v>
      </c>
      <c r="S3106">
        <v>1920</v>
      </c>
      <c r="T3106">
        <v>1975</v>
      </c>
      <c r="U3106" s="1">
        <v>7382</v>
      </c>
      <c r="V3106" s="2">
        <v>7382</v>
      </c>
      <c r="W3106" s="1">
        <v>27621</v>
      </c>
      <c r="X3106" s="2">
        <v>27621</v>
      </c>
      <c r="Y3106" t="s">
        <v>12885</v>
      </c>
      <c r="Z3106">
        <v>0</v>
      </c>
      <c r="AA3106">
        <v>3</v>
      </c>
      <c r="AB3106">
        <v>6</v>
      </c>
      <c r="AC3106">
        <v>3</v>
      </c>
      <c r="AD3106" t="s">
        <v>12886</v>
      </c>
      <c r="AE3106">
        <v>0</v>
      </c>
      <c r="AF3106">
        <v>1972</v>
      </c>
      <c r="AG3106">
        <v>1975</v>
      </c>
      <c r="AO3106" t="b">
        <v>0</v>
      </c>
      <c r="AT3106">
        <v>1310</v>
      </c>
      <c r="AU3106">
        <f t="shared" si="146"/>
        <v>3.589</v>
      </c>
    </row>
    <row r="3107" spans="1:47" x14ac:dyDescent="0.3">
      <c r="A3107">
        <v>3105</v>
      </c>
      <c r="B3107" t="s">
        <v>12887</v>
      </c>
      <c r="C3107" t="s">
        <v>12888</v>
      </c>
      <c r="D3107">
        <v>771</v>
      </c>
      <c r="E3107" t="s">
        <v>12880</v>
      </c>
      <c r="F3107" t="str">
        <f>VLOOKUP(E3107,country_continent!A:C,2,FALSE)</f>
        <v>Bangladesh</v>
      </c>
      <c r="G3107" t="str">
        <f>VLOOKUP(E3107,country_continent!A:C,3,FALSE)</f>
        <v>Asia</v>
      </c>
      <c r="H3107" t="s">
        <v>12889</v>
      </c>
      <c r="I3107" s="1">
        <v>27621</v>
      </c>
      <c r="J3107" s="3">
        <f t="shared" si="144"/>
        <v>27621</v>
      </c>
      <c r="K3107" s="1">
        <v>27704</v>
      </c>
      <c r="L3107" s="3">
        <f t="shared" si="145"/>
        <v>27704</v>
      </c>
      <c r="M3107" t="s">
        <v>67</v>
      </c>
      <c r="N3107" t="s">
        <v>67</v>
      </c>
      <c r="O3107" t="s">
        <v>376</v>
      </c>
      <c r="P3107">
        <v>0</v>
      </c>
      <c r="Q3107" t="s">
        <v>463</v>
      </c>
      <c r="R3107" t="s">
        <v>51</v>
      </c>
      <c r="S3107">
        <v>1918</v>
      </c>
      <c r="T3107">
        <v>1996</v>
      </c>
      <c r="Z3107">
        <v>1</v>
      </c>
      <c r="AA3107">
        <v>3</v>
      </c>
      <c r="AB3107">
        <v>6</v>
      </c>
      <c r="AC3107">
        <v>2</v>
      </c>
      <c r="AF3107">
        <v>1975</v>
      </c>
      <c r="AG3107">
        <v>1975</v>
      </c>
      <c r="AO3107" t="b">
        <v>0</v>
      </c>
      <c r="AT3107">
        <v>83</v>
      </c>
      <c r="AU3107">
        <f t="shared" si="146"/>
        <v>0.22700000000000001</v>
      </c>
    </row>
    <row r="3108" spans="1:47" x14ac:dyDescent="0.3">
      <c r="A3108">
        <v>3106</v>
      </c>
      <c r="B3108" t="s">
        <v>12890</v>
      </c>
      <c r="C3108" t="s">
        <v>12891</v>
      </c>
      <c r="D3108">
        <v>771</v>
      </c>
      <c r="E3108" t="s">
        <v>12880</v>
      </c>
      <c r="F3108" t="str">
        <f>VLOOKUP(E3108,country_continent!A:C,2,FALSE)</f>
        <v>Bangladesh</v>
      </c>
      <c r="G3108" t="str">
        <f>VLOOKUP(E3108,country_continent!A:C,3,FALSE)</f>
        <v>Asia</v>
      </c>
      <c r="H3108" t="s">
        <v>12892</v>
      </c>
      <c r="I3108" s="1">
        <v>27704</v>
      </c>
      <c r="J3108" s="3">
        <f t="shared" si="144"/>
        <v>27704</v>
      </c>
      <c r="K3108" s="1">
        <v>29736</v>
      </c>
      <c r="L3108" s="3">
        <f t="shared" si="145"/>
        <v>29736</v>
      </c>
      <c r="M3108" t="s">
        <v>67</v>
      </c>
      <c r="N3108" t="s">
        <v>67</v>
      </c>
      <c r="O3108" t="s">
        <v>376</v>
      </c>
      <c r="P3108">
        <v>0</v>
      </c>
      <c r="Q3108" t="s">
        <v>69</v>
      </c>
      <c r="R3108" t="s">
        <v>51</v>
      </c>
      <c r="S3108">
        <v>1936</v>
      </c>
      <c r="T3108">
        <v>1981</v>
      </c>
      <c r="U3108" s="1">
        <v>13168</v>
      </c>
      <c r="V3108" s="2">
        <v>13168</v>
      </c>
      <c r="W3108" s="1">
        <v>29736</v>
      </c>
      <c r="X3108" s="2">
        <v>29736</v>
      </c>
      <c r="Y3108" t="s">
        <v>12893</v>
      </c>
      <c r="Z3108">
        <v>1</v>
      </c>
      <c r="AA3108">
        <v>3</v>
      </c>
      <c r="AB3108">
        <v>6</v>
      </c>
      <c r="AC3108">
        <v>3</v>
      </c>
      <c r="AD3108" t="s">
        <v>12894</v>
      </c>
      <c r="AE3108">
        <v>0</v>
      </c>
      <c r="AF3108">
        <v>1975</v>
      </c>
      <c r="AG3108">
        <v>1981</v>
      </c>
      <c r="AO3108" t="b">
        <v>0</v>
      </c>
      <c r="AT3108">
        <v>2032</v>
      </c>
      <c r="AU3108">
        <f t="shared" si="146"/>
        <v>5.5670000000000002</v>
      </c>
    </row>
    <row r="3109" spans="1:47" x14ac:dyDescent="0.3">
      <c r="A3109">
        <v>3107</v>
      </c>
      <c r="B3109" t="s">
        <v>12895</v>
      </c>
      <c r="C3109" t="s">
        <v>12896</v>
      </c>
      <c r="D3109">
        <v>771</v>
      </c>
      <c r="E3109" t="s">
        <v>12880</v>
      </c>
      <c r="F3109" t="str">
        <f>VLOOKUP(E3109,country_continent!A:C,2,FALSE)</f>
        <v>Bangladesh</v>
      </c>
      <c r="G3109" t="str">
        <f>VLOOKUP(E3109,country_continent!A:C,3,FALSE)</f>
        <v>Asia</v>
      </c>
      <c r="H3109" t="s">
        <v>12897</v>
      </c>
      <c r="I3109" s="1">
        <v>29736</v>
      </c>
      <c r="J3109" s="3">
        <f t="shared" si="144"/>
        <v>29736</v>
      </c>
      <c r="K3109" s="1">
        <v>30030</v>
      </c>
      <c r="L3109" s="3">
        <f t="shared" si="145"/>
        <v>30030</v>
      </c>
      <c r="M3109" t="s">
        <v>49</v>
      </c>
      <c r="N3109" t="s">
        <v>67</v>
      </c>
      <c r="O3109" t="s">
        <v>376</v>
      </c>
      <c r="P3109">
        <v>0</v>
      </c>
      <c r="Q3109" t="s">
        <v>50</v>
      </c>
      <c r="R3109" t="s">
        <v>51</v>
      </c>
      <c r="S3109">
        <v>1906</v>
      </c>
      <c r="T3109">
        <v>1985</v>
      </c>
      <c r="Z3109">
        <v>0</v>
      </c>
      <c r="AA3109">
        <v>3</v>
      </c>
      <c r="AB3109">
        <v>6</v>
      </c>
      <c r="AC3109">
        <v>0</v>
      </c>
      <c r="AF3109">
        <v>1981</v>
      </c>
      <c r="AG3109">
        <v>1982</v>
      </c>
      <c r="AO3109" t="b">
        <v>0</v>
      </c>
      <c r="AT3109">
        <v>294</v>
      </c>
      <c r="AU3109">
        <f t="shared" si="146"/>
        <v>0.80500000000000005</v>
      </c>
    </row>
    <row r="3110" spans="1:47" x14ac:dyDescent="0.3">
      <c r="A3110">
        <v>3108</v>
      </c>
      <c r="B3110" t="s">
        <v>12898</v>
      </c>
      <c r="C3110" t="s">
        <v>12899</v>
      </c>
      <c r="D3110">
        <v>771</v>
      </c>
      <c r="E3110" t="s">
        <v>12880</v>
      </c>
      <c r="F3110" t="str">
        <f>VLOOKUP(E3110,country_continent!A:C,2,FALSE)</f>
        <v>Bangladesh</v>
      </c>
      <c r="G3110" t="str">
        <f>VLOOKUP(E3110,country_continent!A:C,3,FALSE)</f>
        <v>Asia</v>
      </c>
      <c r="H3110" t="s">
        <v>12900</v>
      </c>
      <c r="I3110" s="1">
        <v>30037</v>
      </c>
      <c r="J3110" s="3">
        <f t="shared" si="144"/>
        <v>30037</v>
      </c>
      <c r="K3110" s="1">
        <v>33213</v>
      </c>
      <c r="L3110" s="3">
        <f t="shared" si="145"/>
        <v>33213</v>
      </c>
      <c r="M3110" t="s">
        <v>67</v>
      </c>
      <c r="N3110" t="s">
        <v>67</v>
      </c>
      <c r="O3110" t="s">
        <v>613</v>
      </c>
      <c r="P3110">
        <v>0</v>
      </c>
      <c r="Q3110" t="s">
        <v>463</v>
      </c>
      <c r="R3110" t="s">
        <v>51</v>
      </c>
      <c r="S3110">
        <v>1930</v>
      </c>
      <c r="T3110">
        <v>-777</v>
      </c>
      <c r="U3110" s="1">
        <v>10990</v>
      </c>
      <c r="V3110" s="2">
        <v>10990</v>
      </c>
      <c r="Z3110">
        <v>1</v>
      </c>
      <c r="AA3110">
        <v>3</v>
      </c>
      <c r="AB3110">
        <v>2</v>
      </c>
      <c r="AC3110">
        <v>2</v>
      </c>
      <c r="AF3110">
        <v>1982</v>
      </c>
      <c r="AG3110">
        <v>1990</v>
      </c>
      <c r="AO3110" t="b">
        <v>0</v>
      </c>
      <c r="AT3110">
        <v>3176</v>
      </c>
      <c r="AU3110">
        <f t="shared" si="146"/>
        <v>8.7010000000000005</v>
      </c>
    </row>
    <row r="3111" spans="1:47" x14ac:dyDescent="0.3">
      <c r="A3111">
        <v>3109</v>
      </c>
      <c r="B3111" t="s">
        <v>12901</v>
      </c>
      <c r="C3111" t="s">
        <v>12902</v>
      </c>
      <c r="D3111">
        <v>771</v>
      </c>
      <c r="E3111" t="s">
        <v>12880</v>
      </c>
      <c r="F3111" t="str">
        <f>VLOOKUP(E3111,country_continent!A:C,2,FALSE)</f>
        <v>Bangladesh</v>
      </c>
      <c r="G3111" t="str">
        <f>VLOOKUP(E3111,country_continent!A:C,3,FALSE)</f>
        <v>Asia</v>
      </c>
      <c r="H3111" t="s">
        <v>12903</v>
      </c>
      <c r="I3111" s="1">
        <v>33213</v>
      </c>
      <c r="J3111" s="3">
        <f t="shared" si="144"/>
        <v>33213</v>
      </c>
      <c r="K3111" s="1">
        <v>33317</v>
      </c>
      <c r="L3111" s="3">
        <f t="shared" si="145"/>
        <v>33317</v>
      </c>
      <c r="M3111" t="s">
        <v>67</v>
      </c>
      <c r="N3111" t="s">
        <v>49</v>
      </c>
      <c r="O3111" t="s">
        <v>49</v>
      </c>
      <c r="P3111">
        <v>0</v>
      </c>
      <c r="Q3111" t="s">
        <v>50</v>
      </c>
      <c r="R3111" t="s">
        <v>51</v>
      </c>
      <c r="S3111">
        <v>1930</v>
      </c>
      <c r="T3111">
        <v>-777</v>
      </c>
      <c r="U3111" s="1">
        <v>10990</v>
      </c>
      <c r="V3111" s="2">
        <v>10990</v>
      </c>
      <c r="Y3111" t="s">
        <v>12904</v>
      </c>
      <c r="Z3111">
        <v>1</v>
      </c>
      <c r="AA3111">
        <v>1</v>
      </c>
      <c r="AB3111">
        <v>0</v>
      </c>
      <c r="AC3111">
        <v>0</v>
      </c>
      <c r="AF3111">
        <v>1990</v>
      </c>
      <c r="AG3111">
        <v>1991</v>
      </c>
      <c r="AO3111" t="b">
        <v>0</v>
      </c>
      <c r="AT3111">
        <v>104</v>
      </c>
      <c r="AU3111">
        <f t="shared" si="146"/>
        <v>0.28499999999999998</v>
      </c>
    </row>
    <row r="3112" spans="1:47" x14ac:dyDescent="0.3">
      <c r="A3112">
        <v>3110</v>
      </c>
      <c r="B3112" t="s">
        <v>12905</v>
      </c>
      <c r="C3112" t="s">
        <v>12906</v>
      </c>
      <c r="D3112">
        <v>771</v>
      </c>
      <c r="E3112" t="s">
        <v>12880</v>
      </c>
      <c r="F3112" t="str">
        <f>VLOOKUP(E3112,country_continent!A:C,2,FALSE)</f>
        <v>Bangladesh</v>
      </c>
      <c r="G3112" t="str">
        <f>VLOOKUP(E3112,country_continent!A:C,3,FALSE)</f>
        <v>Asia</v>
      </c>
      <c r="H3112" t="s">
        <v>12907</v>
      </c>
      <c r="I3112" s="1">
        <v>33317</v>
      </c>
      <c r="J3112" s="3">
        <f t="shared" si="144"/>
        <v>33317</v>
      </c>
      <c r="K3112" s="1">
        <v>35154</v>
      </c>
      <c r="L3112" s="3">
        <f t="shared" si="145"/>
        <v>35154</v>
      </c>
      <c r="M3112" t="s">
        <v>49</v>
      </c>
      <c r="N3112" t="s">
        <v>49</v>
      </c>
      <c r="O3112" t="s">
        <v>49</v>
      </c>
      <c r="P3112">
        <v>0</v>
      </c>
      <c r="Q3112" t="s">
        <v>50</v>
      </c>
      <c r="R3112" t="s">
        <v>299</v>
      </c>
      <c r="S3112">
        <v>1945</v>
      </c>
      <c r="T3112">
        <v>-777</v>
      </c>
      <c r="Z3112">
        <v>0</v>
      </c>
      <c r="AA3112">
        <v>1</v>
      </c>
      <c r="AB3112">
        <v>0</v>
      </c>
      <c r="AC3112">
        <v>0</v>
      </c>
      <c r="AD3112" t="s">
        <v>12908</v>
      </c>
      <c r="AE3112">
        <v>1</v>
      </c>
      <c r="AF3112">
        <v>1991</v>
      </c>
      <c r="AG3112">
        <v>1996</v>
      </c>
      <c r="AO3112" t="b">
        <v>0</v>
      </c>
      <c r="AT3112">
        <v>1837</v>
      </c>
      <c r="AU3112">
        <f t="shared" si="146"/>
        <v>5.0330000000000004</v>
      </c>
    </row>
    <row r="3113" spans="1:47" x14ac:dyDescent="0.3">
      <c r="A3113">
        <v>3111</v>
      </c>
      <c r="B3113" t="s">
        <v>12909</v>
      </c>
      <c r="C3113" t="s">
        <v>12910</v>
      </c>
      <c r="D3113">
        <v>771</v>
      </c>
      <c r="E3113" t="s">
        <v>12880</v>
      </c>
      <c r="F3113" t="str">
        <f>VLOOKUP(E3113,country_continent!A:C,2,FALSE)</f>
        <v>Bangladesh</v>
      </c>
      <c r="G3113" t="str">
        <f>VLOOKUP(E3113,country_continent!A:C,3,FALSE)</f>
        <v>Asia</v>
      </c>
      <c r="H3113" t="s">
        <v>12911</v>
      </c>
      <c r="I3113" s="1">
        <v>35154</v>
      </c>
      <c r="J3113" s="3">
        <f t="shared" si="144"/>
        <v>35154</v>
      </c>
      <c r="K3113" s="1">
        <v>35239</v>
      </c>
      <c r="L3113" s="3">
        <f t="shared" si="145"/>
        <v>35239</v>
      </c>
      <c r="M3113" t="s">
        <v>49</v>
      </c>
      <c r="N3113" t="s">
        <v>49</v>
      </c>
      <c r="O3113" t="s">
        <v>49</v>
      </c>
      <c r="P3113">
        <v>0</v>
      </c>
      <c r="Q3113" t="s">
        <v>50</v>
      </c>
      <c r="R3113" t="s">
        <v>51</v>
      </c>
      <c r="S3113">
        <v>1930</v>
      </c>
      <c r="T3113">
        <v>-777</v>
      </c>
      <c r="Y3113" t="s">
        <v>12912</v>
      </c>
      <c r="Z3113">
        <v>0</v>
      </c>
      <c r="AA3113">
        <v>1</v>
      </c>
      <c r="AB3113">
        <v>0</v>
      </c>
      <c r="AC3113">
        <v>0</v>
      </c>
      <c r="AF3113">
        <v>1996</v>
      </c>
      <c r="AG3113">
        <v>1996</v>
      </c>
      <c r="AO3113" t="b">
        <v>0</v>
      </c>
      <c r="AT3113">
        <v>85</v>
      </c>
      <c r="AU3113">
        <f t="shared" si="146"/>
        <v>0.23300000000000001</v>
      </c>
    </row>
    <row r="3114" spans="1:47" x14ac:dyDescent="0.3">
      <c r="A3114">
        <v>3112</v>
      </c>
      <c r="B3114" t="s">
        <v>12913</v>
      </c>
      <c r="C3114" t="s">
        <v>12914</v>
      </c>
      <c r="D3114">
        <v>771</v>
      </c>
      <c r="E3114" t="s">
        <v>12880</v>
      </c>
      <c r="F3114" t="str">
        <f>VLOOKUP(E3114,country_continent!A:C,2,FALSE)</f>
        <v>Bangladesh</v>
      </c>
      <c r="G3114" t="str">
        <f>VLOOKUP(E3114,country_continent!A:C,3,FALSE)</f>
        <v>Asia</v>
      </c>
      <c r="H3114" t="s">
        <v>12915</v>
      </c>
      <c r="I3114" s="1">
        <v>35239</v>
      </c>
      <c r="J3114" s="3">
        <f t="shared" si="144"/>
        <v>35239</v>
      </c>
      <c r="K3114" s="1">
        <v>37087</v>
      </c>
      <c r="L3114" s="3">
        <f t="shared" si="145"/>
        <v>37087</v>
      </c>
      <c r="M3114" t="s">
        <v>49</v>
      </c>
      <c r="N3114" t="s">
        <v>49</v>
      </c>
      <c r="O3114" t="s">
        <v>49</v>
      </c>
      <c r="P3114">
        <v>0</v>
      </c>
      <c r="Q3114" t="s">
        <v>50</v>
      </c>
      <c r="R3114" t="s">
        <v>299</v>
      </c>
      <c r="S3114">
        <v>1947</v>
      </c>
      <c r="T3114">
        <v>-777</v>
      </c>
      <c r="Z3114">
        <v>0</v>
      </c>
      <c r="AA3114">
        <v>1</v>
      </c>
      <c r="AB3114">
        <v>0</v>
      </c>
      <c r="AC3114">
        <v>0</v>
      </c>
      <c r="AD3114" t="s">
        <v>12916</v>
      </c>
      <c r="AE3114">
        <v>1</v>
      </c>
      <c r="AF3114">
        <v>1996</v>
      </c>
      <c r="AG3114">
        <v>2001</v>
      </c>
      <c r="AO3114" t="b">
        <v>0</v>
      </c>
      <c r="AT3114">
        <v>1848</v>
      </c>
      <c r="AU3114">
        <f t="shared" si="146"/>
        <v>5.0629999999999997</v>
      </c>
    </row>
    <row r="3115" spans="1:47" x14ac:dyDescent="0.3">
      <c r="A3115">
        <v>3113</v>
      </c>
      <c r="B3115" t="s">
        <v>12917</v>
      </c>
      <c r="C3115" t="s">
        <v>12918</v>
      </c>
      <c r="D3115">
        <v>771</v>
      </c>
      <c r="E3115" t="s">
        <v>12880</v>
      </c>
      <c r="F3115" t="str">
        <f>VLOOKUP(E3115,country_continent!A:C,2,FALSE)</f>
        <v>Bangladesh</v>
      </c>
      <c r="G3115" t="str">
        <f>VLOOKUP(E3115,country_continent!A:C,3,FALSE)</f>
        <v>Asia</v>
      </c>
      <c r="H3115" t="s">
        <v>12919</v>
      </c>
      <c r="I3115" s="1">
        <v>37087</v>
      </c>
      <c r="J3115" s="3">
        <f t="shared" si="144"/>
        <v>37087</v>
      </c>
      <c r="K3115" s="1">
        <v>37174</v>
      </c>
      <c r="L3115" s="3">
        <f t="shared" si="145"/>
        <v>37174</v>
      </c>
      <c r="M3115" t="s">
        <v>49</v>
      </c>
      <c r="N3115" t="s">
        <v>49</v>
      </c>
      <c r="O3115" t="s">
        <v>49</v>
      </c>
      <c r="P3115">
        <v>0</v>
      </c>
      <c r="Q3115" t="s">
        <v>50</v>
      </c>
      <c r="R3115" t="s">
        <v>51</v>
      </c>
      <c r="S3115">
        <v>1936</v>
      </c>
      <c r="T3115">
        <v>-777</v>
      </c>
      <c r="Z3115">
        <v>0</v>
      </c>
      <c r="AA3115">
        <v>1</v>
      </c>
      <c r="AB3115">
        <v>0</v>
      </c>
      <c r="AC3115">
        <v>0</v>
      </c>
      <c r="AF3115">
        <v>2001</v>
      </c>
      <c r="AG3115">
        <v>2001</v>
      </c>
      <c r="AO3115" t="b">
        <v>0</v>
      </c>
      <c r="AT3115">
        <v>87</v>
      </c>
      <c r="AU3115">
        <f t="shared" si="146"/>
        <v>0.23799999999999999</v>
      </c>
    </row>
    <row r="3116" spans="1:47" x14ac:dyDescent="0.3">
      <c r="A3116">
        <v>3114</v>
      </c>
      <c r="B3116" t="s">
        <v>12920</v>
      </c>
      <c r="C3116" t="s">
        <v>12906</v>
      </c>
      <c r="D3116">
        <v>771</v>
      </c>
      <c r="E3116" t="s">
        <v>12880</v>
      </c>
      <c r="F3116" t="str">
        <f>VLOOKUP(E3116,country_continent!A:C,2,FALSE)</f>
        <v>Bangladesh</v>
      </c>
      <c r="G3116" t="str">
        <f>VLOOKUP(E3116,country_continent!A:C,3,FALSE)</f>
        <v>Asia</v>
      </c>
      <c r="H3116" t="s">
        <v>12907</v>
      </c>
      <c r="I3116" s="1">
        <v>37174</v>
      </c>
      <c r="J3116" s="3">
        <f t="shared" si="144"/>
        <v>37174</v>
      </c>
      <c r="K3116" s="1">
        <v>39019</v>
      </c>
      <c r="L3116" s="3">
        <f t="shared" si="145"/>
        <v>39019</v>
      </c>
      <c r="M3116" t="s">
        <v>49</v>
      </c>
      <c r="N3116" t="s">
        <v>49</v>
      </c>
      <c r="O3116" t="s">
        <v>49</v>
      </c>
      <c r="P3116">
        <v>1</v>
      </c>
      <c r="Q3116" t="s">
        <v>463</v>
      </c>
      <c r="R3116" t="s">
        <v>299</v>
      </c>
      <c r="S3116">
        <v>1945</v>
      </c>
      <c r="T3116">
        <v>-777</v>
      </c>
      <c r="Z3116">
        <v>0</v>
      </c>
      <c r="AA3116">
        <v>1</v>
      </c>
      <c r="AB3116">
        <v>0</v>
      </c>
      <c r="AC3116">
        <v>2</v>
      </c>
      <c r="AD3116" t="s">
        <v>12908</v>
      </c>
      <c r="AE3116">
        <v>1</v>
      </c>
      <c r="AF3116">
        <v>2001</v>
      </c>
      <c r="AG3116">
        <v>2006</v>
      </c>
      <c r="AO3116" t="b">
        <v>0</v>
      </c>
      <c r="AT3116">
        <v>1845</v>
      </c>
      <c r="AU3116">
        <f t="shared" si="146"/>
        <v>5.0549999999999997</v>
      </c>
    </row>
    <row r="3117" spans="1:47" x14ac:dyDescent="0.3">
      <c r="A3117">
        <v>3115</v>
      </c>
      <c r="B3117" t="s">
        <v>12921</v>
      </c>
      <c r="C3117" t="s">
        <v>12922</v>
      </c>
      <c r="D3117">
        <v>771</v>
      </c>
      <c r="E3117" t="s">
        <v>12880</v>
      </c>
      <c r="F3117" t="str">
        <f>VLOOKUP(E3117,country_continent!A:C,2,FALSE)</f>
        <v>Bangladesh</v>
      </c>
      <c r="G3117" t="str">
        <f>VLOOKUP(E3117,country_continent!A:C,3,FALSE)</f>
        <v>Asia</v>
      </c>
      <c r="H3117" t="s">
        <v>12923</v>
      </c>
      <c r="I3117" s="1">
        <v>39019</v>
      </c>
      <c r="J3117" s="3">
        <f t="shared" si="144"/>
        <v>39019</v>
      </c>
      <c r="K3117" s="1">
        <v>39094</v>
      </c>
      <c r="L3117" s="3">
        <f t="shared" si="145"/>
        <v>39094</v>
      </c>
      <c r="M3117" t="s">
        <v>49</v>
      </c>
      <c r="N3117" t="s">
        <v>67</v>
      </c>
      <c r="O3117" t="s">
        <v>613</v>
      </c>
      <c r="P3117">
        <v>0</v>
      </c>
      <c r="Q3117" t="s">
        <v>50</v>
      </c>
      <c r="R3117" t="s">
        <v>51</v>
      </c>
      <c r="S3117">
        <v>1931</v>
      </c>
      <c r="T3117">
        <v>-777</v>
      </c>
      <c r="Z3117">
        <v>0</v>
      </c>
      <c r="AA3117">
        <v>3</v>
      </c>
      <c r="AB3117">
        <v>2</v>
      </c>
      <c r="AC3117">
        <v>0</v>
      </c>
      <c r="AF3117">
        <v>2006</v>
      </c>
      <c r="AG3117">
        <v>2007</v>
      </c>
      <c r="AO3117" t="b">
        <v>0</v>
      </c>
      <c r="AT3117">
        <v>75</v>
      </c>
      <c r="AU3117">
        <f t="shared" si="146"/>
        <v>0.20499999999999999</v>
      </c>
    </row>
    <row r="3118" spans="1:47" x14ac:dyDescent="0.3">
      <c r="A3118">
        <v>3116</v>
      </c>
      <c r="B3118" t="s">
        <v>12924</v>
      </c>
      <c r="C3118" t="s">
        <v>12925</v>
      </c>
      <c r="D3118">
        <v>771</v>
      </c>
      <c r="E3118" t="s">
        <v>12880</v>
      </c>
      <c r="F3118" t="str">
        <f>VLOOKUP(E3118,country_continent!A:C,2,FALSE)</f>
        <v>Bangladesh</v>
      </c>
      <c r="G3118" t="str">
        <f>VLOOKUP(E3118,country_continent!A:C,3,FALSE)</f>
        <v>Asia</v>
      </c>
      <c r="H3118" t="s">
        <v>12926</v>
      </c>
      <c r="I3118" s="1">
        <v>39094</v>
      </c>
      <c r="J3118" s="3">
        <f t="shared" si="144"/>
        <v>39094</v>
      </c>
      <c r="K3118" s="1">
        <v>39819</v>
      </c>
      <c r="L3118" s="3">
        <f t="shared" si="145"/>
        <v>39819</v>
      </c>
      <c r="M3118" t="s">
        <v>49</v>
      </c>
      <c r="N3118" t="s">
        <v>49</v>
      </c>
      <c r="O3118" t="s">
        <v>49</v>
      </c>
      <c r="P3118">
        <v>0</v>
      </c>
      <c r="Q3118" t="s">
        <v>50</v>
      </c>
      <c r="R3118" t="s">
        <v>51</v>
      </c>
      <c r="S3118">
        <v>1940</v>
      </c>
      <c r="T3118">
        <v>-777</v>
      </c>
      <c r="Z3118">
        <v>0</v>
      </c>
      <c r="AA3118">
        <v>1</v>
      </c>
      <c r="AB3118">
        <v>0</v>
      </c>
      <c r="AC3118">
        <v>0</v>
      </c>
      <c r="AF3118">
        <v>2007</v>
      </c>
      <c r="AG3118">
        <v>2009</v>
      </c>
      <c r="AO3118" t="b">
        <v>0</v>
      </c>
      <c r="AT3118">
        <v>725</v>
      </c>
      <c r="AU3118">
        <f t="shared" si="146"/>
        <v>1.986</v>
      </c>
    </row>
    <row r="3119" spans="1:47" x14ac:dyDescent="0.3">
      <c r="A3119">
        <v>3117</v>
      </c>
      <c r="B3119" t="s">
        <v>12927</v>
      </c>
      <c r="C3119" t="s">
        <v>12914</v>
      </c>
      <c r="D3119">
        <v>771</v>
      </c>
      <c r="E3119" t="s">
        <v>12880</v>
      </c>
      <c r="F3119" t="str">
        <f>VLOOKUP(E3119,country_continent!A:C,2,FALSE)</f>
        <v>Bangladesh</v>
      </c>
      <c r="G3119" t="str">
        <f>VLOOKUP(E3119,country_continent!A:C,3,FALSE)</f>
        <v>Asia</v>
      </c>
      <c r="H3119" t="s">
        <v>12915</v>
      </c>
      <c r="I3119" s="1">
        <v>39819</v>
      </c>
      <c r="J3119" s="3">
        <f t="shared" si="144"/>
        <v>39819</v>
      </c>
      <c r="K3119" s="1">
        <v>42369</v>
      </c>
      <c r="L3119" s="3">
        <f t="shared" si="145"/>
        <v>42369</v>
      </c>
      <c r="M3119" t="s">
        <v>49</v>
      </c>
      <c r="N3119" t="s">
        <v>173</v>
      </c>
      <c r="O3119" t="s">
        <v>173</v>
      </c>
      <c r="P3119">
        <v>1</v>
      </c>
      <c r="Q3119" t="s">
        <v>174</v>
      </c>
      <c r="R3119" t="s">
        <v>299</v>
      </c>
      <c r="S3119">
        <v>1947</v>
      </c>
      <c r="T3119">
        <v>-777</v>
      </c>
      <c r="U3119" s="1">
        <v>17438</v>
      </c>
      <c r="V3119" s="2">
        <v>17438</v>
      </c>
      <c r="Z3119">
        <v>0</v>
      </c>
      <c r="AA3119">
        <v>-888</v>
      </c>
      <c r="AB3119">
        <v>-888</v>
      </c>
      <c r="AC3119">
        <v>-888</v>
      </c>
      <c r="AD3119" t="s">
        <v>12916</v>
      </c>
      <c r="AE3119">
        <v>1</v>
      </c>
      <c r="AF3119">
        <v>2009</v>
      </c>
      <c r="AG3119">
        <v>2015</v>
      </c>
      <c r="AO3119" t="b">
        <v>0</v>
      </c>
      <c r="AT3119">
        <v>2550</v>
      </c>
      <c r="AU3119">
        <f t="shared" si="146"/>
        <v>6.9859999999999998</v>
      </c>
    </row>
    <row r="3120" spans="1:47" x14ac:dyDescent="0.3">
      <c r="A3120">
        <v>3118</v>
      </c>
      <c r="B3120" t="s">
        <v>12928</v>
      </c>
      <c r="C3120" t="s">
        <v>12929</v>
      </c>
      <c r="D3120">
        <v>775</v>
      </c>
      <c r="E3120" t="s">
        <v>12930</v>
      </c>
      <c r="F3120" t="str">
        <f>VLOOKUP(E3120,country_continent!A:C,2,FALSE)</f>
        <v>Myanmar (Burma)</v>
      </c>
      <c r="G3120" t="str">
        <f>VLOOKUP(E3120,country_continent!A:C,3,FALSE)</f>
        <v>Asia</v>
      </c>
      <c r="H3120" t="s">
        <v>12931</v>
      </c>
      <c r="I3120" t="s">
        <v>12932</v>
      </c>
      <c r="J3120" s="3" t="str">
        <f t="shared" si="144"/>
        <v>1853/02/18</v>
      </c>
      <c r="K3120" t="s">
        <v>12933</v>
      </c>
      <c r="L3120" s="3" t="str">
        <f t="shared" si="145"/>
        <v>1878/10/01</v>
      </c>
      <c r="M3120" t="s">
        <v>67</v>
      </c>
      <c r="N3120" t="s">
        <v>110</v>
      </c>
      <c r="O3120" t="s">
        <v>49</v>
      </c>
      <c r="P3120">
        <v>0</v>
      </c>
      <c r="Q3120" t="s">
        <v>111</v>
      </c>
      <c r="R3120" t="s">
        <v>51</v>
      </c>
      <c r="S3120">
        <v>1808</v>
      </c>
      <c r="T3120">
        <v>1878</v>
      </c>
      <c r="U3120" t="s">
        <v>12935</v>
      </c>
      <c r="V3120" t="s">
        <v>12936</v>
      </c>
      <c r="W3120" t="s">
        <v>12933</v>
      </c>
      <c r="X3120" t="s">
        <v>12934</v>
      </c>
      <c r="Z3120">
        <v>1</v>
      </c>
      <c r="AA3120">
        <v>2</v>
      </c>
      <c r="AB3120">
        <v>0</v>
      </c>
      <c r="AC3120">
        <v>-777</v>
      </c>
      <c r="AF3120">
        <v>1853</v>
      </c>
      <c r="AG3120">
        <v>1878</v>
      </c>
      <c r="AO3120" t="b">
        <v>0</v>
      </c>
      <c r="AT3120">
        <v>9356</v>
      </c>
      <c r="AU3120">
        <f t="shared" si="146"/>
        <v>25.632999999999999</v>
      </c>
    </row>
    <row r="3121" spans="1:47" x14ac:dyDescent="0.3">
      <c r="A3121">
        <v>3119</v>
      </c>
      <c r="B3121" t="s">
        <v>12937</v>
      </c>
      <c r="C3121" t="s">
        <v>12938</v>
      </c>
      <c r="D3121">
        <v>775</v>
      </c>
      <c r="E3121" t="s">
        <v>12930</v>
      </c>
      <c r="F3121" t="str">
        <f>VLOOKUP(E3121,country_continent!A:C,2,FALSE)</f>
        <v>Myanmar (Burma)</v>
      </c>
      <c r="G3121" t="str">
        <f>VLOOKUP(E3121,country_continent!A:C,3,FALSE)</f>
        <v>Asia</v>
      </c>
      <c r="H3121" t="s">
        <v>12939</v>
      </c>
      <c r="I3121" t="s">
        <v>12933</v>
      </c>
      <c r="J3121" s="3" t="str">
        <f t="shared" si="144"/>
        <v>1878/10/01</v>
      </c>
      <c r="K3121" t="s">
        <v>12940</v>
      </c>
      <c r="L3121" s="3" t="str">
        <f t="shared" si="145"/>
        <v>1885/11/29</v>
      </c>
      <c r="M3121" t="s">
        <v>49</v>
      </c>
      <c r="N3121" t="s">
        <v>633</v>
      </c>
      <c r="O3121" t="s">
        <v>347</v>
      </c>
      <c r="P3121">
        <v>0</v>
      </c>
      <c r="Q3121" t="s">
        <v>362</v>
      </c>
      <c r="R3121" t="s">
        <v>51</v>
      </c>
      <c r="S3121">
        <v>1859</v>
      </c>
      <c r="T3121">
        <v>1916</v>
      </c>
      <c r="Z3121">
        <v>0</v>
      </c>
      <c r="AA3121">
        <v>4</v>
      </c>
      <c r="AB3121">
        <v>-999</v>
      </c>
      <c r="AC3121">
        <v>1</v>
      </c>
      <c r="AF3121">
        <v>1878</v>
      </c>
      <c r="AG3121">
        <v>1885</v>
      </c>
      <c r="AO3121" t="b">
        <v>0</v>
      </c>
      <c r="AT3121">
        <v>2616</v>
      </c>
      <c r="AU3121">
        <f t="shared" si="146"/>
        <v>7.1669999999999998</v>
      </c>
    </row>
    <row r="3122" spans="1:47" x14ac:dyDescent="0.3">
      <c r="A3122">
        <v>3120</v>
      </c>
      <c r="B3122" t="s">
        <v>12941</v>
      </c>
      <c r="C3122" t="s">
        <v>12942</v>
      </c>
      <c r="D3122">
        <v>775</v>
      </c>
      <c r="E3122" t="s">
        <v>12930</v>
      </c>
      <c r="F3122" t="str">
        <f>VLOOKUP(E3122,country_continent!A:C,2,FALSE)</f>
        <v>Myanmar (Burma)</v>
      </c>
      <c r="G3122" t="str">
        <f>VLOOKUP(E3122,country_continent!A:C,3,FALSE)</f>
        <v>Asia</v>
      </c>
      <c r="H3122" t="s">
        <v>12943</v>
      </c>
      <c r="I3122" t="s">
        <v>12940</v>
      </c>
      <c r="J3122" s="3" t="str">
        <f t="shared" si="144"/>
        <v>1885/11/29</v>
      </c>
      <c r="K3122" t="s">
        <v>5601</v>
      </c>
      <c r="L3122" s="3" t="str">
        <f t="shared" si="145"/>
        <v>1886/01/01</v>
      </c>
      <c r="M3122" t="s">
        <v>49</v>
      </c>
      <c r="N3122" t="s">
        <v>633</v>
      </c>
      <c r="O3122" t="s">
        <v>347</v>
      </c>
      <c r="P3122">
        <v>0</v>
      </c>
      <c r="Q3122" t="s">
        <v>362</v>
      </c>
      <c r="R3122" t="s">
        <v>51</v>
      </c>
      <c r="S3122">
        <v>-999</v>
      </c>
      <c r="T3122">
        <v>-999</v>
      </c>
      <c r="Z3122">
        <v>0</v>
      </c>
      <c r="AA3122">
        <v>4</v>
      </c>
      <c r="AB3122">
        <v>-999</v>
      </c>
      <c r="AC3122">
        <v>1</v>
      </c>
      <c r="AF3122">
        <v>1885</v>
      </c>
      <c r="AG3122">
        <v>1886</v>
      </c>
      <c r="AO3122" t="b">
        <v>0</v>
      </c>
      <c r="AT3122">
        <v>33</v>
      </c>
      <c r="AU3122">
        <f t="shared" si="146"/>
        <v>0.09</v>
      </c>
    </row>
    <row r="3123" spans="1:47" x14ac:dyDescent="0.3">
      <c r="A3123">
        <v>3121</v>
      </c>
      <c r="B3123" t="s">
        <v>12944</v>
      </c>
      <c r="C3123" t="s">
        <v>12945</v>
      </c>
      <c r="D3123">
        <v>775</v>
      </c>
      <c r="E3123" t="s">
        <v>12930</v>
      </c>
      <c r="F3123" t="str">
        <f>VLOOKUP(E3123,country_continent!A:C,2,FALSE)</f>
        <v>Myanmar (Burma)</v>
      </c>
      <c r="G3123" t="str">
        <f>VLOOKUP(E3123,country_continent!A:C,3,FALSE)</f>
        <v>Asia</v>
      </c>
      <c r="H3123" t="s">
        <v>12946</v>
      </c>
      <c r="I3123" s="1">
        <v>17536</v>
      </c>
      <c r="J3123" s="3">
        <f t="shared" si="144"/>
        <v>17536</v>
      </c>
      <c r="K3123" s="1">
        <v>20618</v>
      </c>
      <c r="L3123" s="3">
        <f t="shared" si="145"/>
        <v>20618</v>
      </c>
      <c r="M3123" t="s">
        <v>49</v>
      </c>
      <c r="N3123" t="s">
        <v>49</v>
      </c>
      <c r="O3123" t="s">
        <v>49</v>
      </c>
      <c r="P3123">
        <v>0</v>
      </c>
      <c r="Q3123" t="s">
        <v>50</v>
      </c>
      <c r="R3123" t="s">
        <v>51</v>
      </c>
      <c r="S3123">
        <v>1907</v>
      </c>
      <c r="T3123">
        <v>1995</v>
      </c>
      <c r="U3123" s="1">
        <v>2702</v>
      </c>
      <c r="V3123" s="2">
        <v>2702</v>
      </c>
      <c r="W3123" s="1">
        <v>34744</v>
      </c>
      <c r="X3123" s="2">
        <v>34744</v>
      </c>
      <c r="Y3123" t="s">
        <v>12947</v>
      </c>
      <c r="Z3123">
        <v>0</v>
      </c>
      <c r="AA3123">
        <v>1</v>
      </c>
      <c r="AB3123">
        <v>0</v>
      </c>
      <c r="AC3123">
        <v>0</v>
      </c>
      <c r="AF3123">
        <v>1948</v>
      </c>
      <c r="AG3123">
        <v>1956</v>
      </c>
      <c r="AO3123" t="b">
        <v>0</v>
      </c>
      <c r="AT3123">
        <v>3082</v>
      </c>
      <c r="AU3123">
        <f t="shared" si="146"/>
        <v>8.4440000000000008</v>
      </c>
    </row>
    <row r="3124" spans="1:47" x14ac:dyDescent="0.3">
      <c r="A3124">
        <v>3122</v>
      </c>
      <c r="B3124" t="s">
        <v>12948</v>
      </c>
      <c r="C3124" t="s">
        <v>12949</v>
      </c>
      <c r="D3124">
        <v>775</v>
      </c>
      <c r="E3124" t="s">
        <v>12930</v>
      </c>
      <c r="F3124" t="str">
        <f>VLOOKUP(E3124,country_continent!A:C,2,FALSE)</f>
        <v>Myanmar (Burma)</v>
      </c>
      <c r="G3124" t="str">
        <f>VLOOKUP(E3124,country_continent!A:C,3,FALSE)</f>
        <v>Asia</v>
      </c>
      <c r="H3124" t="s">
        <v>12950</v>
      </c>
      <c r="I3124" s="1">
        <v>20618</v>
      </c>
      <c r="J3124" s="3">
        <f t="shared" si="144"/>
        <v>20618</v>
      </c>
      <c r="K3124" s="1">
        <v>20880</v>
      </c>
      <c r="L3124" s="3">
        <f t="shared" si="145"/>
        <v>20880</v>
      </c>
      <c r="M3124" t="s">
        <v>49</v>
      </c>
      <c r="N3124" t="s">
        <v>49</v>
      </c>
      <c r="O3124" t="s">
        <v>49</v>
      </c>
      <c r="P3124">
        <v>0</v>
      </c>
      <c r="Q3124" t="s">
        <v>50</v>
      </c>
      <c r="R3124" t="s">
        <v>51</v>
      </c>
      <c r="S3124">
        <v>1915</v>
      </c>
      <c r="T3124">
        <v>1987</v>
      </c>
      <c r="U3124" s="1">
        <v>5588</v>
      </c>
      <c r="V3124" s="2">
        <v>5588</v>
      </c>
      <c r="Y3124" t="s">
        <v>12951</v>
      </c>
      <c r="Z3124">
        <v>0</v>
      </c>
      <c r="AA3124">
        <v>1</v>
      </c>
      <c r="AB3124">
        <v>0</v>
      </c>
      <c r="AC3124">
        <v>0</v>
      </c>
      <c r="AF3124">
        <v>1956</v>
      </c>
      <c r="AG3124">
        <v>1957</v>
      </c>
      <c r="AO3124" t="b">
        <v>0</v>
      </c>
      <c r="AT3124">
        <v>262</v>
      </c>
      <c r="AU3124">
        <f t="shared" si="146"/>
        <v>0.71799999999999997</v>
      </c>
    </row>
    <row r="3125" spans="1:47" x14ac:dyDescent="0.3">
      <c r="A3125">
        <v>3123</v>
      </c>
      <c r="B3125" t="s">
        <v>12952</v>
      </c>
      <c r="C3125" t="s">
        <v>12945</v>
      </c>
      <c r="D3125">
        <v>775</v>
      </c>
      <c r="E3125" t="s">
        <v>12930</v>
      </c>
      <c r="F3125" t="str">
        <f>VLOOKUP(E3125,country_continent!A:C,2,FALSE)</f>
        <v>Myanmar (Burma)</v>
      </c>
      <c r="G3125" t="str">
        <f>VLOOKUP(E3125,country_continent!A:C,3,FALSE)</f>
        <v>Asia</v>
      </c>
      <c r="H3125" t="s">
        <v>12946</v>
      </c>
      <c r="I3125" s="1">
        <v>20880</v>
      </c>
      <c r="J3125" s="3">
        <f t="shared" si="144"/>
        <v>20880</v>
      </c>
      <c r="K3125" s="1">
        <v>21487</v>
      </c>
      <c r="L3125" s="3">
        <f t="shared" si="145"/>
        <v>21487</v>
      </c>
      <c r="M3125" t="s">
        <v>49</v>
      </c>
      <c r="N3125" t="s">
        <v>49</v>
      </c>
      <c r="O3125" t="s">
        <v>49</v>
      </c>
      <c r="P3125">
        <v>1</v>
      </c>
      <c r="Q3125" t="s">
        <v>50</v>
      </c>
      <c r="R3125" t="s">
        <v>51</v>
      </c>
      <c r="S3125">
        <v>1907</v>
      </c>
      <c r="T3125">
        <v>1995</v>
      </c>
      <c r="U3125" s="1">
        <v>2702</v>
      </c>
      <c r="V3125" s="2">
        <v>2702</v>
      </c>
      <c r="W3125" s="1">
        <v>34744</v>
      </c>
      <c r="X3125" s="2">
        <v>34744</v>
      </c>
      <c r="Y3125" t="s">
        <v>12947</v>
      </c>
      <c r="Z3125">
        <v>0</v>
      </c>
      <c r="AA3125">
        <v>1</v>
      </c>
      <c r="AB3125">
        <v>0</v>
      </c>
      <c r="AC3125">
        <v>0</v>
      </c>
      <c r="AF3125">
        <v>1957</v>
      </c>
      <c r="AG3125">
        <v>1958</v>
      </c>
      <c r="AO3125" t="b">
        <v>0</v>
      </c>
      <c r="AT3125">
        <v>607</v>
      </c>
      <c r="AU3125">
        <f t="shared" si="146"/>
        <v>1.663</v>
      </c>
    </row>
    <row r="3126" spans="1:47" x14ac:dyDescent="0.3">
      <c r="A3126">
        <v>3124</v>
      </c>
      <c r="B3126" t="s">
        <v>12953</v>
      </c>
      <c r="C3126" t="s">
        <v>12954</v>
      </c>
      <c r="D3126">
        <v>775</v>
      </c>
      <c r="E3126" t="s">
        <v>12930</v>
      </c>
      <c r="F3126" t="str">
        <f>VLOOKUP(E3126,country_continent!A:C,2,FALSE)</f>
        <v>Myanmar (Burma)</v>
      </c>
      <c r="G3126" t="str">
        <f>VLOOKUP(E3126,country_continent!A:C,3,FALSE)</f>
        <v>Asia</v>
      </c>
      <c r="H3126" t="s">
        <v>12955</v>
      </c>
      <c r="I3126" s="1">
        <v>21487</v>
      </c>
      <c r="J3126" s="3">
        <f t="shared" si="144"/>
        <v>21487</v>
      </c>
      <c r="K3126" s="1">
        <v>21990</v>
      </c>
      <c r="L3126" s="3">
        <f t="shared" si="145"/>
        <v>21990</v>
      </c>
      <c r="M3126" t="s">
        <v>49</v>
      </c>
      <c r="N3126" t="s">
        <v>49</v>
      </c>
      <c r="O3126" t="s">
        <v>49</v>
      </c>
      <c r="P3126">
        <v>0</v>
      </c>
      <c r="Q3126" t="s">
        <v>50</v>
      </c>
      <c r="R3126" t="s">
        <v>51</v>
      </c>
      <c r="S3126">
        <v>1911</v>
      </c>
      <c r="T3126">
        <v>2002</v>
      </c>
      <c r="U3126" s="1">
        <v>4162</v>
      </c>
      <c r="V3126" s="2">
        <v>4162</v>
      </c>
      <c r="W3126" s="1">
        <v>37595</v>
      </c>
      <c r="X3126" s="2">
        <v>37595</v>
      </c>
      <c r="Y3126" t="s">
        <v>12956</v>
      </c>
      <c r="Z3126">
        <v>0</v>
      </c>
      <c r="AA3126">
        <v>1</v>
      </c>
      <c r="AB3126">
        <v>0</v>
      </c>
      <c r="AC3126">
        <v>0</v>
      </c>
      <c r="AF3126">
        <v>1958</v>
      </c>
      <c r="AG3126">
        <v>1960</v>
      </c>
      <c r="AO3126" t="b">
        <v>0</v>
      </c>
      <c r="AT3126">
        <v>503</v>
      </c>
      <c r="AU3126">
        <f t="shared" si="146"/>
        <v>1.3779999999999999</v>
      </c>
    </row>
    <row r="3127" spans="1:47" x14ac:dyDescent="0.3">
      <c r="A3127">
        <v>3125</v>
      </c>
      <c r="B3127" t="s">
        <v>12957</v>
      </c>
      <c r="C3127" t="s">
        <v>12945</v>
      </c>
      <c r="D3127">
        <v>775</v>
      </c>
      <c r="E3127" t="s">
        <v>12930</v>
      </c>
      <c r="F3127" t="str">
        <f>VLOOKUP(E3127,country_continent!A:C,2,FALSE)</f>
        <v>Myanmar (Burma)</v>
      </c>
      <c r="G3127" t="str">
        <f>VLOOKUP(E3127,country_continent!A:C,3,FALSE)</f>
        <v>Asia</v>
      </c>
      <c r="H3127" t="s">
        <v>12946</v>
      </c>
      <c r="I3127" s="1">
        <v>22010</v>
      </c>
      <c r="J3127" s="3">
        <f t="shared" si="144"/>
        <v>22010</v>
      </c>
      <c r="K3127" s="1">
        <v>22707</v>
      </c>
      <c r="L3127" s="3">
        <f t="shared" si="145"/>
        <v>22707</v>
      </c>
      <c r="M3127" t="s">
        <v>49</v>
      </c>
      <c r="N3127" t="s">
        <v>67</v>
      </c>
      <c r="O3127" t="s">
        <v>376</v>
      </c>
      <c r="P3127">
        <v>2</v>
      </c>
      <c r="Q3127" t="s">
        <v>463</v>
      </c>
      <c r="R3127" t="s">
        <v>51</v>
      </c>
      <c r="S3127">
        <v>1907</v>
      </c>
      <c r="T3127">
        <v>1995</v>
      </c>
      <c r="U3127" s="1">
        <v>2702</v>
      </c>
      <c r="V3127" s="2">
        <v>2702</v>
      </c>
      <c r="W3127" s="1">
        <v>34744</v>
      </c>
      <c r="X3127" s="2">
        <v>34744</v>
      </c>
      <c r="Y3127" t="s">
        <v>12947</v>
      </c>
      <c r="Z3127">
        <v>0</v>
      </c>
      <c r="AA3127">
        <v>3</v>
      </c>
      <c r="AB3127">
        <v>6</v>
      </c>
      <c r="AC3127">
        <v>2</v>
      </c>
      <c r="AF3127">
        <v>1960</v>
      </c>
      <c r="AG3127">
        <v>1962</v>
      </c>
      <c r="AO3127" t="b">
        <v>0</v>
      </c>
      <c r="AT3127">
        <v>697</v>
      </c>
      <c r="AU3127">
        <f t="shared" si="146"/>
        <v>1.91</v>
      </c>
    </row>
    <row r="3128" spans="1:47" x14ac:dyDescent="0.3">
      <c r="A3128">
        <v>3126</v>
      </c>
      <c r="B3128" t="s">
        <v>12958</v>
      </c>
      <c r="C3128" t="s">
        <v>12954</v>
      </c>
      <c r="D3128">
        <v>775</v>
      </c>
      <c r="E3128" t="s">
        <v>12930</v>
      </c>
      <c r="F3128" t="str">
        <f>VLOOKUP(E3128,country_continent!A:C,2,FALSE)</f>
        <v>Myanmar (Burma)</v>
      </c>
      <c r="G3128" t="str">
        <f>VLOOKUP(E3128,country_continent!A:C,3,FALSE)</f>
        <v>Asia</v>
      </c>
      <c r="H3128" t="s">
        <v>12955</v>
      </c>
      <c r="I3128" s="1">
        <v>22707</v>
      </c>
      <c r="J3128" s="3">
        <f t="shared" si="144"/>
        <v>22707</v>
      </c>
      <c r="K3128" s="1">
        <v>32349</v>
      </c>
      <c r="L3128" s="3">
        <f t="shared" si="145"/>
        <v>32349</v>
      </c>
      <c r="M3128" t="s">
        <v>67</v>
      </c>
      <c r="N3128" t="s">
        <v>49</v>
      </c>
      <c r="O3128" t="s">
        <v>49</v>
      </c>
      <c r="P3128">
        <v>1</v>
      </c>
      <c r="Q3128" t="s">
        <v>50</v>
      </c>
      <c r="R3128" t="s">
        <v>51</v>
      </c>
      <c r="S3128">
        <v>1911</v>
      </c>
      <c r="T3128">
        <v>2002</v>
      </c>
      <c r="U3128" s="1">
        <v>4162</v>
      </c>
      <c r="V3128" s="2">
        <v>4162</v>
      </c>
      <c r="W3128" s="1">
        <v>37595</v>
      </c>
      <c r="X3128" s="2">
        <v>37595</v>
      </c>
      <c r="Y3128" t="s">
        <v>12956</v>
      </c>
      <c r="Z3128">
        <v>1</v>
      </c>
      <c r="AA3128">
        <v>1</v>
      </c>
      <c r="AB3128">
        <v>0</v>
      </c>
      <c r="AC3128">
        <v>0</v>
      </c>
      <c r="AF3128">
        <v>1962</v>
      </c>
      <c r="AG3128">
        <v>1988</v>
      </c>
      <c r="AO3128" t="b">
        <v>0</v>
      </c>
      <c r="AT3128">
        <v>9642</v>
      </c>
      <c r="AU3128">
        <f t="shared" si="146"/>
        <v>26.416</v>
      </c>
    </row>
    <row r="3129" spans="1:47" x14ac:dyDescent="0.3">
      <c r="A3129">
        <v>3127</v>
      </c>
      <c r="B3129" t="s">
        <v>12959</v>
      </c>
      <c r="C3129" t="s">
        <v>12960</v>
      </c>
      <c r="D3129">
        <v>775</v>
      </c>
      <c r="E3129" t="s">
        <v>12930</v>
      </c>
      <c r="F3129" t="str">
        <f>VLOOKUP(E3129,country_continent!A:C,2,FALSE)</f>
        <v>Myanmar (Burma)</v>
      </c>
      <c r="G3129" t="str">
        <f>VLOOKUP(E3129,country_continent!A:C,3,FALSE)</f>
        <v>Asia</v>
      </c>
      <c r="H3129" t="s">
        <v>12961</v>
      </c>
      <c r="I3129" s="1">
        <v>32349</v>
      </c>
      <c r="J3129" s="3">
        <f t="shared" si="144"/>
        <v>32349</v>
      </c>
      <c r="K3129" s="1">
        <v>32367</v>
      </c>
      <c r="L3129" s="3">
        <f t="shared" si="145"/>
        <v>32367</v>
      </c>
      <c r="M3129" t="s">
        <v>67</v>
      </c>
      <c r="N3129" t="s">
        <v>49</v>
      </c>
      <c r="O3129" t="s">
        <v>49</v>
      </c>
      <c r="P3129">
        <v>0</v>
      </c>
      <c r="Q3129" t="s">
        <v>50</v>
      </c>
      <c r="R3129" t="s">
        <v>51</v>
      </c>
      <c r="S3129">
        <v>1924</v>
      </c>
      <c r="T3129">
        <v>2004</v>
      </c>
      <c r="Z3129">
        <v>1</v>
      </c>
      <c r="AA3129">
        <v>1</v>
      </c>
      <c r="AB3129">
        <v>0</v>
      </c>
      <c r="AC3129">
        <v>0</v>
      </c>
      <c r="AF3129">
        <v>1988</v>
      </c>
      <c r="AG3129">
        <v>1988</v>
      </c>
      <c r="AO3129" t="b">
        <v>0</v>
      </c>
      <c r="AT3129">
        <v>18</v>
      </c>
      <c r="AU3129">
        <f t="shared" si="146"/>
        <v>4.9000000000000002E-2</v>
      </c>
    </row>
    <row r="3130" spans="1:47" x14ac:dyDescent="0.3">
      <c r="A3130">
        <v>3128</v>
      </c>
      <c r="B3130" t="s">
        <v>12962</v>
      </c>
      <c r="C3130" t="s">
        <v>12963</v>
      </c>
      <c r="D3130">
        <v>775</v>
      </c>
      <c r="E3130" t="s">
        <v>12930</v>
      </c>
      <c r="F3130" t="str">
        <f>VLOOKUP(E3130,country_continent!A:C,2,FALSE)</f>
        <v>Myanmar (Burma)</v>
      </c>
      <c r="G3130" t="str">
        <f>VLOOKUP(E3130,country_continent!A:C,3,FALSE)</f>
        <v>Asia</v>
      </c>
      <c r="H3130" t="s">
        <v>12964</v>
      </c>
      <c r="I3130" s="1">
        <v>32374</v>
      </c>
      <c r="J3130" s="3">
        <f t="shared" si="144"/>
        <v>32374</v>
      </c>
      <c r="K3130" s="1">
        <v>32404</v>
      </c>
      <c r="L3130" s="3">
        <f t="shared" si="145"/>
        <v>32404</v>
      </c>
      <c r="M3130" t="s">
        <v>49</v>
      </c>
      <c r="N3130" t="s">
        <v>67</v>
      </c>
      <c r="O3130" t="s">
        <v>376</v>
      </c>
      <c r="P3130">
        <v>0</v>
      </c>
      <c r="Q3130" t="s">
        <v>50</v>
      </c>
      <c r="R3130" t="s">
        <v>51</v>
      </c>
      <c r="S3130">
        <v>1925</v>
      </c>
      <c r="T3130">
        <v>1994</v>
      </c>
      <c r="U3130" s="1">
        <v>9143</v>
      </c>
      <c r="V3130" s="2">
        <v>9143</v>
      </c>
      <c r="W3130" s="1">
        <v>34517</v>
      </c>
      <c r="X3130" s="2">
        <v>34517</v>
      </c>
      <c r="Y3130" t="s">
        <v>12965</v>
      </c>
      <c r="Z3130">
        <v>0</v>
      </c>
      <c r="AA3130">
        <v>3</v>
      </c>
      <c r="AB3130">
        <v>6</v>
      </c>
      <c r="AC3130">
        <v>0</v>
      </c>
      <c r="AF3130">
        <v>1988</v>
      </c>
      <c r="AG3130">
        <v>1988</v>
      </c>
      <c r="AO3130" t="b">
        <v>0</v>
      </c>
      <c r="AT3130">
        <v>30</v>
      </c>
      <c r="AU3130">
        <f t="shared" si="146"/>
        <v>8.2000000000000003E-2</v>
      </c>
    </row>
    <row r="3131" spans="1:47" x14ac:dyDescent="0.3">
      <c r="A3131">
        <v>3129</v>
      </c>
      <c r="B3131" t="s">
        <v>12966</v>
      </c>
      <c r="C3131" t="s">
        <v>12967</v>
      </c>
      <c r="D3131">
        <v>775</v>
      </c>
      <c r="E3131" t="s">
        <v>12930</v>
      </c>
      <c r="F3131" t="str">
        <f>VLOOKUP(E3131,country_continent!A:C,2,FALSE)</f>
        <v>Myanmar (Burma)</v>
      </c>
      <c r="G3131" t="str">
        <f>VLOOKUP(E3131,country_continent!A:C,3,FALSE)</f>
        <v>Asia</v>
      </c>
      <c r="H3131" t="s">
        <v>12968</v>
      </c>
      <c r="I3131" s="1">
        <v>32404</v>
      </c>
      <c r="J3131" s="3">
        <f t="shared" si="144"/>
        <v>32404</v>
      </c>
      <c r="K3131" s="1">
        <v>33717</v>
      </c>
      <c r="L3131" s="3">
        <f t="shared" si="145"/>
        <v>33717</v>
      </c>
      <c r="M3131" t="s">
        <v>67</v>
      </c>
      <c r="N3131" t="s">
        <v>228</v>
      </c>
      <c r="O3131" t="s">
        <v>49</v>
      </c>
      <c r="P3131">
        <v>0</v>
      </c>
      <c r="Q3131" t="s">
        <v>50</v>
      </c>
      <c r="R3131" t="s">
        <v>51</v>
      </c>
      <c r="S3131">
        <v>1928</v>
      </c>
      <c r="T3131">
        <v>1997</v>
      </c>
      <c r="U3131" s="1">
        <v>10567</v>
      </c>
      <c r="V3131" s="2">
        <v>10567</v>
      </c>
      <c r="Z3131">
        <v>1</v>
      </c>
      <c r="AA3131">
        <v>2.0999998999999998</v>
      </c>
      <c r="AB3131">
        <v>0</v>
      </c>
      <c r="AC3131">
        <v>0</v>
      </c>
      <c r="AF3131">
        <v>1988</v>
      </c>
      <c r="AG3131">
        <v>1992</v>
      </c>
      <c r="AO3131" t="b">
        <v>0</v>
      </c>
      <c r="AT3131">
        <v>1313</v>
      </c>
      <c r="AU3131">
        <f t="shared" si="146"/>
        <v>3.597</v>
      </c>
    </row>
    <row r="3132" spans="1:47" x14ac:dyDescent="0.3">
      <c r="A3132">
        <v>3130</v>
      </c>
      <c r="B3132" t="s">
        <v>12969</v>
      </c>
      <c r="C3132" t="s">
        <v>12970</v>
      </c>
      <c r="D3132">
        <v>775</v>
      </c>
      <c r="E3132" t="s">
        <v>12930</v>
      </c>
      <c r="F3132" t="str">
        <f>VLOOKUP(E3132,country_continent!A:C,2,FALSE)</f>
        <v>Myanmar (Burma)</v>
      </c>
      <c r="G3132" t="str">
        <f>VLOOKUP(E3132,country_continent!A:C,3,FALSE)</f>
        <v>Asia</v>
      </c>
      <c r="H3132" t="s">
        <v>12971</v>
      </c>
      <c r="I3132" s="1">
        <v>33717</v>
      </c>
      <c r="J3132" s="3">
        <f t="shared" si="144"/>
        <v>33717</v>
      </c>
      <c r="K3132" s="1">
        <v>40632</v>
      </c>
      <c r="L3132" s="3">
        <f t="shared" si="145"/>
        <v>40632</v>
      </c>
      <c r="M3132" t="s">
        <v>49</v>
      </c>
      <c r="N3132" t="s">
        <v>49</v>
      </c>
      <c r="O3132" t="s">
        <v>49</v>
      </c>
      <c r="P3132">
        <v>0</v>
      </c>
      <c r="Q3132" t="s">
        <v>50</v>
      </c>
      <c r="R3132" t="s">
        <v>51</v>
      </c>
      <c r="S3132">
        <v>1933</v>
      </c>
      <c r="T3132">
        <v>-777</v>
      </c>
      <c r="U3132" s="1">
        <v>12087</v>
      </c>
      <c r="V3132" s="2">
        <v>12087</v>
      </c>
      <c r="Z3132">
        <v>0</v>
      </c>
      <c r="AA3132">
        <v>1</v>
      </c>
      <c r="AB3132">
        <v>0</v>
      </c>
      <c r="AC3132">
        <v>0</v>
      </c>
      <c r="AF3132">
        <v>1992</v>
      </c>
      <c r="AG3132">
        <v>2011</v>
      </c>
      <c r="AO3132" t="b">
        <v>0</v>
      </c>
      <c r="AT3132">
        <v>6915</v>
      </c>
      <c r="AU3132">
        <f t="shared" si="146"/>
        <v>18.945</v>
      </c>
    </row>
    <row r="3133" spans="1:47" x14ac:dyDescent="0.3">
      <c r="A3133">
        <v>3131</v>
      </c>
      <c r="B3133" t="s">
        <v>12972</v>
      </c>
      <c r="C3133" t="s">
        <v>12973</v>
      </c>
      <c r="D3133">
        <v>775</v>
      </c>
      <c r="E3133" t="s">
        <v>12930</v>
      </c>
      <c r="F3133" t="str">
        <f>VLOOKUP(E3133,country_continent!A:C,2,FALSE)</f>
        <v>Myanmar (Burma)</v>
      </c>
      <c r="G3133" t="str">
        <f>VLOOKUP(E3133,country_continent!A:C,3,FALSE)</f>
        <v>Asia</v>
      </c>
      <c r="H3133" t="s">
        <v>12974</v>
      </c>
      <c r="I3133" s="1">
        <v>40632</v>
      </c>
      <c r="J3133" s="3">
        <f t="shared" si="144"/>
        <v>40632</v>
      </c>
      <c r="K3133" s="1">
        <v>42369</v>
      </c>
      <c r="L3133" s="3">
        <f t="shared" si="145"/>
        <v>42369</v>
      </c>
      <c r="M3133" t="s">
        <v>49</v>
      </c>
      <c r="N3133" t="s">
        <v>173</v>
      </c>
      <c r="O3133" t="s">
        <v>173</v>
      </c>
      <c r="P3133">
        <v>0</v>
      </c>
      <c r="Q3133" t="s">
        <v>174</v>
      </c>
      <c r="R3133" t="s">
        <v>51</v>
      </c>
      <c r="S3133">
        <v>1945</v>
      </c>
      <c r="T3133">
        <v>-777</v>
      </c>
      <c r="U3133" s="1">
        <v>16547</v>
      </c>
      <c r="V3133" s="2">
        <v>16547</v>
      </c>
      <c r="Z3133">
        <v>0</v>
      </c>
      <c r="AA3133">
        <v>-888</v>
      </c>
      <c r="AB3133">
        <v>-888</v>
      </c>
      <c r="AC3133">
        <v>-888</v>
      </c>
      <c r="AF3133">
        <v>2011</v>
      </c>
      <c r="AG3133">
        <v>2015</v>
      </c>
      <c r="AO3133" t="b">
        <v>0</v>
      </c>
      <c r="AT3133">
        <v>1737</v>
      </c>
      <c r="AU3133">
        <f t="shared" si="146"/>
        <v>4.7590000000000003</v>
      </c>
    </row>
    <row r="3134" spans="1:47" x14ac:dyDescent="0.3">
      <c r="A3134">
        <v>3132</v>
      </c>
      <c r="B3134" t="s">
        <v>12975</v>
      </c>
      <c r="C3134" t="s">
        <v>12976</v>
      </c>
      <c r="D3134">
        <v>780</v>
      </c>
      <c r="E3134" t="s">
        <v>12977</v>
      </c>
      <c r="F3134" t="str">
        <f>VLOOKUP(E3134,country_continent!A:C,2,FALSE)</f>
        <v>Sri Lanka (Ceylon)</v>
      </c>
      <c r="G3134" t="str">
        <f>VLOOKUP(E3134,country_continent!A:C,3,FALSE)</f>
        <v>Asia</v>
      </c>
      <c r="H3134" t="s">
        <v>12978</v>
      </c>
      <c r="I3134" s="1">
        <v>17567</v>
      </c>
      <c r="J3134" s="3">
        <f t="shared" si="144"/>
        <v>17567</v>
      </c>
      <c r="K3134" s="1">
        <v>19075</v>
      </c>
      <c r="L3134" s="3">
        <f t="shared" si="145"/>
        <v>19075</v>
      </c>
      <c r="M3134" t="s">
        <v>49</v>
      </c>
      <c r="N3134" t="s">
        <v>110</v>
      </c>
      <c r="O3134" t="s">
        <v>49</v>
      </c>
      <c r="P3134">
        <v>0</v>
      </c>
      <c r="Q3134" t="s">
        <v>111</v>
      </c>
      <c r="R3134" t="s">
        <v>51</v>
      </c>
      <c r="S3134">
        <v>1884</v>
      </c>
      <c r="T3134">
        <v>1952</v>
      </c>
      <c r="U3134" t="s">
        <v>12979</v>
      </c>
      <c r="V3134" t="s">
        <v>12980</v>
      </c>
      <c r="Y3134" t="s">
        <v>12981</v>
      </c>
      <c r="Z3134">
        <v>0</v>
      </c>
      <c r="AA3134">
        <v>2</v>
      </c>
      <c r="AB3134">
        <v>0</v>
      </c>
      <c r="AC3134">
        <v>-777</v>
      </c>
      <c r="AD3134" t="s">
        <v>12982</v>
      </c>
      <c r="AE3134">
        <v>0</v>
      </c>
      <c r="AF3134">
        <v>1948</v>
      </c>
      <c r="AG3134">
        <v>1952</v>
      </c>
      <c r="AO3134" t="b">
        <v>0</v>
      </c>
      <c r="AT3134">
        <v>1508</v>
      </c>
      <c r="AU3134">
        <f t="shared" si="146"/>
        <v>4.1319999999999997</v>
      </c>
    </row>
    <row r="3135" spans="1:47" x14ac:dyDescent="0.3">
      <c r="A3135">
        <v>3133</v>
      </c>
      <c r="B3135" t="s">
        <v>12983</v>
      </c>
      <c r="C3135" t="s">
        <v>12984</v>
      </c>
      <c r="D3135">
        <v>780</v>
      </c>
      <c r="E3135" t="s">
        <v>12977</v>
      </c>
      <c r="F3135" t="str">
        <f>VLOOKUP(E3135,country_continent!A:C,2,FALSE)</f>
        <v>Sri Lanka (Ceylon)</v>
      </c>
      <c r="G3135" t="str">
        <f>VLOOKUP(E3135,country_continent!A:C,3,FALSE)</f>
        <v>Asia</v>
      </c>
      <c r="H3135" t="s">
        <v>12985</v>
      </c>
      <c r="I3135" s="1">
        <v>19079</v>
      </c>
      <c r="J3135" s="3">
        <f t="shared" si="144"/>
        <v>19079</v>
      </c>
      <c r="K3135" s="1">
        <v>19644</v>
      </c>
      <c r="L3135" s="3">
        <f t="shared" si="145"/>
        <v>19644</v>
      </c>
      <c r="M3135" t="s">
        <v>49</v>
      </c>
      <c r="N3135" t="s">
        <v>228</v>
      </c>
      <c r="O3135" t="s">
        <v>49</v>
      </c>
      <c r="P3135">
        <v>0</v>
      </c>
      <c r="Q3135" t="s">
        <v>50</v>
      </c>
      <c r="R3135" t="s">
        <v>51</v>
      </c>
      <c r="S3135">
        <v>1911</v>
      </c>
      <c r="T3135">
        <v>1973</v>
      </c>
      <c r="U3135" s="1">
        <v>4188</v>
      </c>
      <c r="V3135" s="2">
        <v>4188</v>
      </c>
      <c r="Y3135" t="s">
        <v>12986</v>
      </c>
      <c r="Z3135">
        <v>0</v>
      </c>
      <c r="AA3135">
        <v>2.0999998999999998</v>
      </c>
      <c r="AB3135">
        <v>0</v>
      </c>
      <c r="AC3135">
        <v>0</v>
      </c>
      <c r="AD3135" t="s">
        <v>12987</v>
      </c>
      <c r="AE3135">
        <v>1</v>
      </c>
      <c r="AF3135">
        <v>1952</v>
      </c>
      <c r="AG3135">
        <v>1953</v>
      </c>
      <c r="AO3135" t="b">
        <v>0</v>
      </c>
      <c r="AT3135">
        <v>565</v>
      </c>
      <c r="AU3135">
        <f t="shared" si="146"/>
        <v>1.548</v>
      </c>
    </row>
    <row r="3136" spans="1:47" x14ac:dyDescent="0.3">
      <c r="A3136">
        <v>3134</v>
      </c>
      <c r="B3136" t="s">
        <v>12988</v>
      </c>
      <c r="C3136" t="s">
        <v>12989</v>
      </c>
      <c r="D3136">
        <v>780</v>
      </c>
      <c r="E3136" t="s">
        <v>12977</v>
      </c>
      <c r="F3136" t="str">
        <f>VLOOKUP(E3136,country_continent!A:C,2,FALSE)</f>
        <v>Sri Lanka (Ceylon)</v>
      </c>
      <c r="G3136" t="str">
        <f>VLOOKUP(E3136,country_continent!A:C,3,FALSE)</f>
        <v>Asia</v>
      </c>
      <c r="H3136" t="s">
        <v>12990</v>
      </c>
      <c r="I3136" s="1">
        <v>19644</v>
      </c>
      <c r="J3136" s="3">
        <f t="shared" si="144"/>
        <v>19644</v>
      </c>
      <c r="K3136" s="1">
        <v>20556</v>
      </c>
      <c r="L3136" s="3">
        <f t="shared" si="145"/>
        <v>20556</v>
      </c>
      <c r="M3136" t="s">
        <v>49</v>
      </c>
      <c r="N3136" t="s">
        <v>49</v>
      </c>
      <c r="O3136" t="s">
        <v>49</v>
      </c>
      <c r="P3136">
        <v>0</v>
      </c>
      <c r="Q3136" t="s">
        <v>362</v>
      </c>
      <c r="R3136" t="s">
        <v>51</v>
      </c>
      <c r="S3136">
        <v>1897</v>
      </c>
      <c r="T3136">
        <v>1980</v>
      </c>
      <c r="Y3136" t="s">
        <v>12991</v>
      </c>
      <c r="Z3136">
        <v>0</v>
      </c>
      <c r="AA3136">
        <v>1</v>
      </c>
      <c r="AB3136">
        <v>0</v>
      </c>
      <c r="AC3136">
        <v>1</v>
      </c>
      <c r="AF3136">
        <v>1953</v>
      </c>
      <c r="AG3136">
        <v>1956</v>
      </c>
      <c r="AO3136" t="b">
        <v>0</v>
      </c>
      <c r="AT3136">
        <v>912</v>
      </c>
      <c r="AU3136">
        <f t="shared" si="146"/>
        <v>2.4990000000000001</v>
      </c>
    </row>
    <row r="3137" spans="1:47" x14ac:dyDescent="0.3">
      <c r="A3137">
        <v>3135</v>
      </c>
      <c r="B3137" t="s">
        <v>12992</v>
      </c>
      <c r="C3137" t="s">
        <v>12993</v>
      </c>
      <c r="D3137">
        <v>780</v>
      </c>
      <c r="E3137" t="s">
        <v>12977</v>
      </c>
      <c r="F3137" t="str">
        <f>VLOOKUP(E3137,country_continent!A:C,2,FALSE)</f>
        <v>Sri Lanka (Ceylon)</v>
      </c>
      <c r="G3137" t="str">
        <f>VLOOKUP(E3137,country_continent!A:C,3,FALSE)</f>
        <v>Asia</v>
      </c>
      <c r="H3137" t="s">
        <v>12994</v>
      </c>
      <c r="I3137" s="1">
        <v>20557</v>
      </c>
      <c r="J3137" s="3">
        <f t="shared" si="144"/>
        <v>20557</v>
      </c>
      <c r="K3137" s="1">
        <v>21819</v>
      </c>
      <c r="L3137" s="3">
        <f t="shared" si="145"/>
        <v>21819</v>
      </c>
      <c r="M3137" t="s">
        <v>49</v>
      </c>
      <c r="N3137" t="s">
        <v>67</v>
      </c>
      <c r="O3137" t="s">
        <v>68</v>
      </c>
      <c r="P3137">
        <v>0</v>
      </c>
      <c r="Q3137" t="s">
        <v>69</v>
      </c>
      <c r="R3137" t="s">
        <v>51</v>
      </c>
      <c r="S3137">
        <v>1899</v>
      </c>
      <c r="T3137">
        <v>1959</v>
      </c>
      <c r="U3137" t="s">
        <v>12995</v>
      </c>
      <c r="V3137" t="s">
        <v>12996</v>
      </c>
      <c r="W3137" s="1">
        <v>21819</v>
      </c>
      <c r="X3137" s="2">
        <v>21819</v>
      </c>
      <c r="Z3137">
        <v>0</v>
      </c>
      <c r="AA3137">
        <v>3</v>
      </c>
      <c r="AB3137">
        <v>11</v>
      </c>
      <c r="AC3137">
        <v>3</v>
      </c>
      <c r="AD3137" t="s">
        <v>12997</v>
      </c>
      <c r="AE3137">
        <v>0</v>
      </c>
      <c r="AF3137">
        <v>1956</v>
      </c>
      <c r="AG3137">
        <v>1959</v>
      </c>
      <c r="AO3137" t="b">
        <v>0</v>
      </c>
      <c r="AT3137">
        <v>1262</v>
      </c>
      <c r="AU3137">
        <f t="shared" si="146"/>
        <v>3.4580000000000002</v>
      </c>
    </row>
    <row r="3138" spans="1:47" x14ac:dyDescent="0.3">
      <c r="A3138">
        <v>3136</v>
      </c>
      <c r="B3138" t="s">
        <v>12998</v>
      </c>
      <c r="C3138" t="s">
        <v>12999</v>
      </c>
      <c r="D3138">
        <v>780</v>
      </c>
      <c r="E3138" t="s">
        <v>12977</v>
      </c>
      <c r="F3138" t="str">
        <f>VLOOKUP(E3138,country_continent!A:C,2,FALSE)</f>
        <v>Sri Lanka (Ceylon)</v>
      </c>
      <c r="G3138" t="str">
        <f>VLOOKUP(E3138,country_continent!A:C,3,FALSE)</f>
        <v>Asia</v>
      </c>
      <c r="H3138" t="s">
        <v>13000</v>
      </c>
      <c r="I3138" s="1">
        <v>21819</v>
      </c>
      <c r="J3138" s="3">
        <f t="shared" si="144"/>
        <v>21819</v>
      </c>
      <c r="K3138" s="1">
        <v>21996</v>
      </c>
      <c r="L3138" s="3">
        <f t="shared" si="145"/>
        <v>21996</v>
      </c>
      <c r="M3138" t="s">
        <v>49</v>
      </c>
      <c r="N3138" t="s">
        <v>49</v>
      </c>
      <c r="O3138" t="s">
        <v>49</v>
      </c>
      <c r="P3138">
        <v>0</v>
      </c>
      <c r="Q3138" t="s">
        <v>50</v>
      </c>
      <c r="R3138" t="s">
        <v>51</v>
      </c>
      <c r="S3138">
        <v>1902</v>
      </c>
      <c r="T3138">
        <v>1997</v>
      </c>
      <c r="U3138" s="1">
        <v>1026</v>
      </c>
      <c r="V3138" s="2">
        <v>1026</v>
      </c>
      <c r="Y3138" t="s">
        <v>13001</v>
      </c>
      <c r="Z3138">
        <v>0</v>
      </c>
      <c r="AA3138">
        <v>1</v>
      </c>
      <c r="AB3138">
        <v>0</v>
      </c>
      <c r="AC3138">
        <v>0</v>
      </c>
      <c r="AF3138">
        <v>1959</v>
      </c>
      <c r="AG3138">
        <v>1960</v>
      </c>
      <c r="AO3138" t="b">
        <v>0</v>
      </c>
      <c r="AT3138">
        <v>177</v>
      </c>
      <c r="AU3138">
        <f t="shared" si="146"/>
        <v>0.48499999999999999</v>
      </c>
    </row>
    <row r="3139" spans="1:47" x14ac:dyDescent="0.3">
      <c r="A3139">
        <v>3137</v>
      </c>
      <c r="B3139" t="s">
        <v>13002</v>
      </c>
      <c r="C3139" t="s">
        <v>12984</v>
      </c>
      <c r="D3139">
        <v>780</v>
      </c>
      <c r="E3139" t="s">
        <v>12977</v>
      </c>
      <c r="F3139" t="str">
        <f>VLOOKUP(E3139,country_continent!A:C,2,FALSE)</f>
        <v>Sri Lanka (Ceylon)</v>
      </c>
      <c r="G3139" t="str">
        <f>VLOOKUP(E3139,country_continent!A:C,3,FALSE)</f>
        <v>Asia</v>
      </c>
      <c r="H3139" t="s">
        <v>12985</v>
      </c>
      <c r="I3139" s="1">
        <v>21996</v>
      </c>
      <c r="J3139" s="3">
        <f t="shared" ref="J3139:J3202" si="147">IF(ISNUMBER(SEARCH("-", I3139)), SUBSTITUTE(I3139, "-", "/"), I3139)</f>
        <v>21996</v>
      </c>
      <c r="K3139" s="1">
        <v>22119</v>
      </c>
      <c r="L3139" s="3">
        <f t="shared" ref="L3139:L3202" si="148">IF(ISNUMBER(SEARCH("-", K3139)), SUBSTITUTE(K3139, "-", "/"), K3139)</f>
        <v>22119</v>
      </c>
      <c r="M3139" t="s">
        <v>49</v>
      </c>
      <c r="N3139" t="s">
        <v>49</v>
      </c>
      <c r="O3139" t="s">
        <v>49</v>
      </c>
      <c r="P3139">
        <v>1</v>
      </c>
      <c r="Q3139" t="s">
        <v>50</v>
      </c>
      <c r="R3139" t="s">
        <v>51</v>
      </c>
      <c r="S3139">
        <v>1911</v>
      </c>
      <c r="T3139">
        <v>1973</v>
      </c>
      <c r="U3139" s="1">
        <v>4188</v>
      </c>
      <c r="V3139" s="2">
        <v>4188</v>
      </c>
      <c r="Y3139" t="s">
        <v>12986</v>
      </c>
      <c r="Z3139">
        <v>0</v>
      </c>
      <c r="AA3139">
        <v>1</v>
      </c>
      <c r="AB3139">
        <v>0</v>
      </c>
      <c r="AC3139">
        <v>0</v>
      </c>
      <c r="AD3139" t="s">
        <v>12987</v>
      </c>
      <c r="AE3139">
        <v>1</v>
      </c>
      <c r="AF3139">
        <v>1960</v>
      </c>
      <c r="AG3139">
        <v>1960</v>
      </c>
      <c r="AO3139" t="b">
        <v>0</v>
      </c>
      <c r="AT3139">
        <v>123</v>
      </c>
      <c r="AU3139">
        <f t="shared" si="146"/>
        <v>0.33700000000000002</v>
      </c>
    </row>
    <row r="3140" spans="1:47" x14ac:dyDescent="0.3">
      <c r="A3140">
        <v>3138</v>
      </c>
      <c r="B3140" t="s">
        <v>13003</v>
      </c>
      <c r="C3140" t="s">
        <v>13004</v>
      </c>
      <c r="D3140">
        <v>780</v>
      </c>
      <c r="E3140" t="s">
        <v>12977</v>
      </c>
      <c r="F3140" t="str">
        <f>VLOOKUP(E3140,country_continent!A:C,2,FALSE)</f>
        <v>Sri Lanka (Ceylon)</v>
      </c>
      <c r="G3140" t="str">
        <f>VLOOKUP(E3140,country_continent!A:C,3,FALSE)</f>
        <v>Asia</v>
      </c>
      <c r="H3140" t="s">
        <v>13005</v>
      </c>
      <c r="I3140" s="1">
        <v>22119</v>
      </c>
      <c r="J3140" s="3">
        <f t="shared" si="147"/>
        <v>22119</v>
      </c>
      <c r="K3140" s="1">
        <v>23826</v>
      </c>
      <c r="L3140" s="3">
        <f t="shared" si="148"/>
        <v>23826</v>
      </c>
      <c r="M3140" t="s">
        <v>49</v>
      </c>
      <c r="N3140" t="s">
        <v>49</v>
      </c>
      <c r="O3140" t="s">
        <v>49</v>
      </c>
      <c r="P3140">
        <v>0</v>
      </c>
      <c r="Q3140" t="s">
        <v>50</v>
      </c>
      <c r="R3140" t="s">
        <v>299</v>
      </c>
      <c r="S3140">
        <v>1916</v>
      </c>
      <c r="T3140">
        <v>2000</v>
      </c>
      <c r="U3140" s="1">
        <v>5952</v>
      </c>
      <c r="V3140" s="2">
        <v>5952</v>
      </c>
      <c r="W3140" s="1">
        <v>36809</v>
      </c>
      <c r="X3140" s="2">
        <v>36809</v>
      </c>
      <c r="Y3140" t="s">
        <v>13006</v>
      </c>
      <c r="Z3140">
        <v>0</v>
      </c>
      <c r="AA3140">
        <v>1</v>
      </c>
      <c r="AB3140">
        <v>0</v>
      </c>
      <c r="AC3140">
        <v>0</v>
      </c>
      <c r="AD3140" t="s">
        <v>13007</v>
      </c>
      <c r="AE3140">
        <v>1</v>
      </c>
      <c r="AF3140">
        <v>1960</v>
      </c>
      <c r="AG3140">
        <v>1965</v>
      </c>
      <c r="AO3140" t="b">
        <v>0</v>
      </c>
      <c r="AT3140">
        <v>1707</v>
      </c>
      <c r="AU3140">
        <f t="shared" ref="AU3140:AU3203" si="149">ROUND(AT3140/365,3)</f>
        <v>4.6769999999999996</v>
      </c>
    </row>
    <row r="3141" spans="1:47" x14ac:dyDescent="0.3">
      <c r="A3141">
        <v>3139</v>
      </c>
      <c r="B3141" t="s">
        <v>13008</v>
      </c>
      <c r="C3141" t="s">
        <v>12984</v>
      </c>
      <c r="D3141">
        <v>780</v>
      </c>
      <c r="E3141" t="s">
        <v>12977</v>
      </c>
      <c r="F3141" t="str">
        <f>VLOOKUP(E3141,country_continent!A:C,2,FALSE)</f>
        <v>Sri Lanka (Ceylon)</v>
      </c>
      <c r="G3141" t="str">
        <f>VLOOKUP(E3141,country_continent!A:C,3,FALSE)</f>
        <v>Asia</v>
      </c>
      <c r="H3141" t="s">
        <v>12985</v>
      </c>
      <c r="I3141" s="1">
        <v>23826</v>
      </c>
      <c r="J3141" s="3">
        <f t="shared" si="147"/>
        <v>23826</v>
      </c>
      <c r="K3141" s="1">
        <v>25716</v>
      </c>
      <c r="L3141" s="3">
        <f t="shared" si="148"/>
        <v>25716</v>
      </c>
      <c r="M3141" t="s">
        <v>49</v>
      </c>
      <c r="N3141" t="s">
        <v>49</v>
      </c>
      <c r="O3141" t="s">
        <v>49</v>
      </c>
      <c r="P3141">
        <v>2</v>
      </c>
      <c r="Q3141" t="s">
        <v>50</v>
      </c>
      <c r="R3141" t="s">
        <v>51</v>
      </c>
      <c r="S3141">
        <v>1911</v>
      </c>
      <c r="T3141">
        <v>1973</v>
      </c>
      <c r="U3141" s="1">
        <v>4188</v>
      </c>
      <c r="V3141" s="2">
        <v>4188</v>
      </c>
      <c r="Y3141" t="s">
        <v>12986</v>
      </c>
      <c r="Z3141">
        <v>0</v>
      </c>
      <c r="AA3141">
        <v>1</v>
      </c>
      <c r="AB3141">
        <v>0</v>
      </c>
      <c r="AC3141">
        <v>0</v>
      </c>
      <c r="AD3141" t="s">
        <v>12987</v>
      </c>
      <c r="AE3141">
        <v>1</v>
      </c>
      <c r="AF3141">
        <v>1965</v>
      </c>
      <c r="AG3141">
        <v>1970</v>
      </c>
      <c r="AO3141" t="b">
        <v>0</v>
      </c>
      <c r="AT3141">
        <v>1890</v>
      </c>
      <c r="AU3141">
        <f t="shared" si="149"/>
        <v>5.1779999999999999</v>
      </c>
    </row>
    <row r="3142" spans="1:47" x14ac:dyDescent="0.3">
      <c r="A3142">
        <v>3140</v>
      </c>
      <c r="B3142" t="s">
        <v>13009</v>
      </c>
      <c r="C3142" t="s">
        <v>13004</v>
      </c>
      <c r="D3142">
        <v>780</v>
      </c>
      <c r="E3142" t="s">
        <v>12977</v>
      </c>
      <c r="F3142" t="str">
        <f>VLOOKUP(E3142,country_continent!A:C,2,FALSE)</f>
        <v>Sri Lanka (Ceylon)</v>
      </c>
      <c r="G3142" t="str">
        <f>VLOOKUP(E3142,country_continent!A:C,3,FALSE)</f>
        <v>Asia</v>
      </c>
      <c r="H3142" t="s">
        <v>13005</v>
      </c>
      <c r="I3142" s="1">
        <v>25719</v>
      </c>
      <c r="J3142" s="3">
        <f t="shared" si="147"/>
        <v>25719</v>
      </c>
      <c r="K3142" s="1">
        <v>28329</v>
      </c>
      <c r="L3142" s="3">
        <f t="shared" si="148"/>
        <v>28329</v>
      </c>
      <c r="M3142" t="s">
        <v>49</v>
      </c>
      <c r="N3142" t="s">
        <v>49</v>
      </c>
      <c r="O3142" t="s">
        <v>49</v>
      </c>
      <c r="P3142">
        <v>1</v>
      </c>
      <c r="Q3142" t="s">
        <v>50</v>
      </c>
      <c r="R3142" t="s">
        <v>299</v>
      </c>
      <c r="S3142">
        <v>1916</v>
      </c>
      <c r="T3142">
        <v>2000</v>
      </c>
      <c r="U3142" s="1">
        <v>5952</v>
      </c>
      <c r="V3142" s="2">
        <v>5952</v>
      </c>
      <c r="W3142" s="1">
        <v>36809</v>
      </c>
      <c r="X3142" s="2">
        <v>36809</v>
      </c>
      <c r="Y3142" t="s">
        <v>13006</v>
      </c>
      <c r="Z3142">
        <v>0</v>
      </c>
      <c r="AA3142">
        <v>1</v>
      </c>
      <c r="AB3142">
        <v>0</v>
      </c>
      <c r="AC3142">
        <v>0</v>
      </c>
      <c r="AD3142" t="s">
        <v>13007</v>
      </c>
      <c r="AE3142">
        <v>1</v>
      </c>
      <c r="AF3142">
        <v>1970</v>
      </c>
      <c r="AG3142">
        <v>1977</v>
      </c>
      <c r="AO3142" t="b">
        <v>0</v>
      </c>
      <c r="AT3142">
        <v>2610</v>
      </c>
      <c r="AU3142">
        <f t="shared" si="149"/>
        <v>7.1509999999999998</v>
      </c>
    </row>
    <row r="3143" spans="1:47" x14ac:dyDescent="0.3">
      <c r="A3143">
        <v>3141</v>
      </c>
      <c r="B3143" t="s">
        <v>13010</v>
      </c>
      <c r="C3143" t="s">
        <v>13011</v>
      </c>
      <c r="D3143">
        <v>780</v>
      </c>
      <c r="E3143" t="s">
        <v>12977</v>
      </c>
      <c r="F3143" t="str">
        <f>VLOOKUP(E3143,country_continent!A:C,2,FALSE)</f>
        <v>Sri Lanka (Ceylon)</v>
      </c>
      <c r="G3143" t="str">
        <f>VLOOKUP(E3143,country_continent!A:C,3,FALSE)</f>
        <v>Asia</v>
      </c>
      <c r="H3143" t="s">
        <v>13012</v>
      </c>
      <c r="I3143" s="1">
        <v>28329</v>
      </c>
      <c r="J3143" s="3">
        <f t="shared" si="147"/>
        <v>28329</v>
      </c>
      <c r="K3143" s="1">
        <v>32510</v>
      </c>
      <c r="L3143" s="3">
        <f t="shared" si="148"/>
        <v>32510</v>
      </c>
      <c r="M3143" t="s">
        <v>49</v>
      </c>
      <c r="N3143" t="s">
        <v>49</v>
      </c>
      <c r="O3143" t="s">
        <v>49</v>
      </c>
      <c r="P3143">
        <v>0</v>
      </c>
      <c r="Q3143" t="s">
        <v>50</v>
      </c>
      <c r="R3143" t="s">
        <v>51</v>
      </c>
      <c r="S3143">
        <v>1906</v>
      </c>
      <c r="T3143">
        <v>1996</v>
      </c>
      <c r="U3143" s="1">
        <v>2452</v>
      </c>
      <c r="V3143" s="2">
        <v>2452</v>
      </c>
      <c r="W3143" s="1">
        <v>35370</v>
      </c>
      <c r="X3143" s="2">
        <v>35370</v>
      </c>
      <c r="Y3143" t="s">
        <v>13013</v>
      </c>
      <c r="Z3143">
        <v>0</v>
      </c>
      <c r="AA3143">
        <v>1</v>
      </c>
      <c r="AB3143">
        <v>0</v>
      </c>
      <c r="AC3143">
        <v>0</v>
      </c>
      <c r="AF3143">
        <v>1977</v>
      </c>
      <c r="AG3143">
        <v>1989</v>
      </c>
      <c r="AO3143" t="b">
        <v>0</v>
      </c>
      <c r="AT3143">
        <v>4181</v>
      </c>
      <c r="AU3143">
        <f t="shared" si="149"/>
        <v>11.455</v>
      </c>
    </row>
    <row r="3144" spans="1:47" x14ac:dyDescent="0.3">
      <c r="A3144">
        <v>3142</v>
      </c>
      <c r="B3144" t="s">
        <v>13014</v>
      </c>
      <c r="C3144" t="s">
        <v>13015</v>
      </c>
      <c r="D3144">
        <v>780</v>
      </c>
      <c r="E3144" t="s">
        <v>12977</v>
      </c>
      <c r="F3144" t="str">
        <f>VLOOKUP(E3144,country_continent!A:C,2,FALSE)</f>
        <v>Sri Lanka (Ceylon)</v>
      </c>
      <c r="G3144" t="str">
        <f>VLOOKUP(E3144,country_continent!A:C,3,FALSE)</f>
        <v>Asia</v>
      </c>
      <c r="H3144" t="s">
        <v>13016</v>
      </c>
      <c r="I3144" s="1">
        <v>32510</v>
      </c>
      <c r="J3144" s="3">
        <f t="shared" si="147"/>
        <v>32510</v>
      </c>
      <c r="K3144" s="1">
        <v>34090</v>
      </c>
      <c r="L3144" s="3">
        <f t="shared" si="148"/>
        <v>34090</v>
      </c>
      <c r="M3144" t="s">
        <v>49</v>
      </c>
      <c r="N3144" t="s">
        <v>67</v>
      </c>
      <c r="O3144" t="s">
        <v>6580</v>
      </c>
      <c r="P3144">
        <v>0</v>
      </c>
      <c r="Q3144" t="s">
        <v>69</v>
      </c>
      <c r="R3144" t="s">
        <v>51</v>
      </c>
      <c r="S3144">
        <v>1924</v>
      </c>
      <c r="T3144">
        <v>1993</v>
      </c>
      <c r="U3144" s="1">
        <v>8941</v>
      </c>
      <c r="V3144" s="2">
        <v>8941</v>
      </c>
      <c r="W3144" s="1">
        <v>34090</v>
      </c>
      <c r="X3144" s="2">
        <v>34090</v>
      </c>
      <c r="Y3144" t="s">
        <v>13017</v>
      </c>
      <c r="Z3144">
        <v>0</v>
      </c>
      <c r="AA3144">
        <v>3</v>
      </c>
      <c r="AB3144">
        <v>111</v>
      </c>
      <c r="AC3144">
        <v>3</v>
      </c>
      <c r="AF3144">
        <v>1989</v>
      </c>
      <c r="AG3144">
        <v>1993</v>
      </c>
      <c r="AO3144" t="b">
        <v>0</v>
      </c>
      <c r="AT3144">
        <v>1580</v>
      </c>
      <c r="AU3144">
        <f t="shared" si="149"/>
        <v>4.3289999999999997</v>
      </c>
    </row>
    <row r="3145" spans="1:47" x14ac:dyDescent="0.3">
      <c r="A3145">
        <v>3143</v>
      </c>
      <c r="B3145" t="s">
        <v>13018</v>
      </c>
      <c r="C3145" t="s">
        <v>13019</v>
      </c>
      <c r="D3145">
        <v>780</v>
      </c>
      <c r="E3145" t="s">
        <v>12977</v>
      </c>
      <c r="F3145" t="str">
        <f>VLOOKUP(E3145,country_continent!A:C,2,FALSE)</f>
        <v>Sri Lanka (Ceylon)</v>
      </c>
      <c r="G3145" t="str">
        <f>VLOOKUP(E3145,country_continent!A:C,3,FALSE)</f>
        <v>Asia</v>
      </c>
      <c r="H3145" t="s">
        <v>13020</v>
      </c>
      <c r="I3145" s="1">
        <v>34090</v>
      </c>
      <c r="J3145" s="3">
        <f t="shared" si="147"/>
        <v>34090</v>
      </c>
      <c r="K3145" s="1">
        <v>34650</v>
      </c>
      <c r="L3145" s="3">
        <f t="shared" si="148"/>
        <v>34650</v>
      </c>
      <c r="M3145" t="s">
        <v>49</v>
      </c>
      <c r="N3145" t="s">
        <v>49</v>
      </c>
      <c r="O3145" t="s">
        <v>49</v>
      </c>
      <c r="P3145">
        <v>0</v>
      </c>
      <c r="Q3145" t="s">
        <v>50</v>
      </c>
      <c r="R3145" t="s">
        <v>51</v>
      </c>
      <c r="S3145">
        <v>1922</v>
      </c>
      <c r="T3145">
        <v>2008</v>
      </c>
      <c r="U3145" s="1">
        <v>8082</v>
      </c>
      <c r="V3145" s="2">
        <v>8082</v>
      </c>
      <c r="Z3145">
        <v>0</v>
      </c>
      <c r="AA3145">
        <v>1</v>
      </c>
      <c r="AB3145">
        <v>0</v>
      </c>
      <c r="AC3145">
        <v>0</v>
      </c>
      <c r="AF3145">
        <v>1993</v>
      </c>
      <c r="AG3145">
        <v>1994</v>
      </c>
      <c r="AO3145" t="b">
        <v>0</v>
      </c>
      <c r="AT3145">
        <v>560</v>
      </c>
      <c r="AU3145">
        <f t="shared" si="149"/>
        <v>1.534</v>
      </c>
    </row>
    <row r="3146" spans="1:47" x14ac:dyDescent="0.3">
      <c r="A3146">
        <v>3144</v>
      </c>
      <c r="B3146" t="s">
        <v>13021</v>
      </c>
      <c r="C3146" t="s">
        <v>13022</v>
      </c>
      <c r="D3146">
        <v>780</v>
      </c>
      <c r="E3146" t="s">
        <v>12977</v>
      </c>
      <c r="F3146" t="str">
        <f>VLOOKUP(E3146,country_continent!A:C,2,FALSE)</f>
        <v>Sri Lanka (Ceylon)</v>
      </c>
      <c r="G3146" t="str">
        <f>VLOOKUP(E3146,country_continent!A:C,3,FALSE)</f>
        <v>Asia</v>
      </c>
      <c r="H3146" t="s">
        <v>13023</v>
      </c>
      <c r="I3146" s="1">
        <v>34650</v>
      </c>
      <c r="J3146" s="3">
        <f t="shared" si="147"/>
        <v>34650</v>
      </c>
      <c r="K3146" s="1">
        <v>38675</v>
      </c>
      <c r="L3146" s="3">
        <f t="shared" si="148"/>
        <v>38675</v>
      </c>
      <c r="M3146" t="s">
        <v>49</v>
      </c>
      <c r="N3146" t="s">
        <v>49</v>
      </c>
      <c r="O3146" t="s">
        <v>49</v>
      </c>
      <c r="P3146">
        <v>0</v>
      </c>
      <c r="Q3146" t="s">
        <v>50</v>
      </c>
      <c r="R3146" t="s">
        <v>299</v>
      </c>
      <c r="S3146">
        <v>1945</v>
      </c>
      <c r="T3146">
        <v>-777</v>
      </c>
      <c r="U3146" s="1">
        <v>16617</v>
      </c>
      <c r="V3146" s="2">
        <v>16617</v>
      </c>
      <c r="Y3146" t="s">
        <v>13024</v>
      </c>
      <c r="Z3146">
        <v>0</v>
      </c>
      <c r="AA3146">
        <v>1</v>
      </c>
      <c r="AB3146">
        <v>0</v>
      </c>
      <c r="AC3146">
        <v>0</v>
      </c>
      <c r="AD3146" t="s">
        <v>13025</v>
      </c>
      <c r="AE3146">
        <v>1</v>
      </c>
      <c r="AF3146">
        <v>1994</v>
      </c>
      <c r="AG3146">
        <v>2005</v>
      </c>
      <c r="AO3146" t="b">
        <v>0</v>
      </c>
      <c r="AT3146">
        <v>4025</v>
      </c>
      <c r="AU3146">
        <f t="shared" si="149"/>
        <v>11.026999999999999</v>
      </c>
    </row>
    <row r="3147" spans="1:47" x14ac:dyDescent="0.3">
      <c r="A3147">
        <v>3145</v>
      </c>
      <c r="B3147" t="s">
        <v>13026</v>
      </c>
      <c r="C3147" t="s">
        <v>13027</v>
      </c>
      <c r="D3147">
        <v>780</v>
      </c>
      <c r="E3147" t="s">
        <v>12977</v>
      </c>
      <c r="F3147" t="str">
        <f>VLOOKUP(E3147,country_continent!A:C,2,FALSE)</f>
        <v>Sri Lanka (Ceylon)</v>
      </c>
      <c r="G3147" t="str">
        <f>VLOOKUP(E3147,country_continent!A:C,3,FALSE)</f>
        <v>Asia</v>
      </c>
      <c r="H3147" t="s">
        <v>13028</v>
      </c>
      <c r="I3147" s="1">
        <v>38675</v>
      </c>
      <c r="J3147" s="3">
        <f t="shared" si="147"/>
        <v>38675</v>
      </c>
      <c r="K3147" s="1">
        <v>42013</v>
      </c>
      <c r="L3147" s="3">
        <f t="shared" si="148"/>
        <v>42013</v>
      </c>
      <c r="M3147" t="s">
        <v>49</v>
      </c>
      <c r="N3147" t="s">
        <v>49</v>
      </c>
      <c r="O3147" t="s">
        <v>49</v>
      </c>
      <c r="P3147">
        <v>0</v>
      </c>
      <c r="Q3147" t="s">
        <v>312</v>
      </c>
      <c r="R3147" t="s">
        <v>299</v>
      </c>
      <c r="S3147">
        <v>1945</v>
      </c>
      <c r="T3147">
        <v>-777</v>
      </c>
      <c r="U3147" s="1">
        <v>16759</v>
      </c>
      <c r="V3147" s="2">
        <v>16759</v>
      </c>
      <c r="Z3147">
        <v>0</v>
      </c>
      <c r="AA3147">
        <v>1</v>
      </c>
      <c r="AB3147">
        <v>0</v>
      </c>
      <c r="AC3147">
        <v>-999</v>
      </c>
      <c r="AF3147">
        <v>2005</v>
      </c>
      <c r="AG3147">
        <v>2015</v>
      </c>
      <c r="AO3147" t="b">
        <v>0</v>
      </c>
      <c r="AT3147">
        <v>3338</v>
      </c>
      <c r="AU3147">
        <f t="shared" si="149"/>
        <v>9.1449999999999996</v>
      </c>
    </row>
    <row r="3148" spans="1:47" x14ac:dyDescent="0.3">
      <c r="A3148">
        <v>3146</v>
      </c>
      <c r="B3148" t="s">
        <v>13029</v>
      </c>
      <c r="C3148" t="s">
        <v>13030</v>
      </c>
      <c r="D3148">
        <v>780</v>
      </c>
      <c r="E3148" t="s">
        <v>12977</v>
      </c>
      <c r="F3148" t="str">
        <f>VLOOKUP(E3148,country_continent!A:C,2,FALSE)</f>
        <v>Sri Lanka (Ceylon)</v>
      </c>
      <c r="G3148" t="str">
        <f>VLOOKUP(E3148,country_continent!A:C,3,FALSE)</f>
        <v>Asia</v>
      </c>
      <c r="H3148" t="s">
        <v>13031</v>
      </c>
      <c r="I3148" s="1">
        <v>42013</v>
      </c>
      <c r="J3148" s="3">
        <f t="shared" si="147"/>
        <v>42013</v>
      </c>
      <c r="K3148" s="1">
        <v>42369</v>
      </c>
      <c r="L3148" s="3">
        <f t="shared" si="148"/>
        <v>42369</v>
      </c>
      <c r="M3148" t="s">
        <v>49</v>
      </c>
      <c r="N3148" t="s">
        <v>173</v>
      </c>
      <c r="O3148" t="s">
        <v>173</v>
      </c>
      <c r="P3148">
        <v>0</v>
      </c>
      <c r="Q3148" t="s">
        <v>174</v>
      </c>
      <c r="R3148" t="s">
        <v>299</v>
      </c>
      <c r="S3148">
        <v>1951</v>
      </c>
      <c r="T3148">
        <v>-777</v>
      </c>
      <c r="U3148" s="1">
        <v>18843</v>
      </c>
      <c r="V3148" s="2">
        <v>18843</v>
      </c>
      <c r="Z3148">
        <v>0</v>
      </c>
      <c r="AA3148">
        <v>-888</v>
      </c>
      <c r="AB3148">
        <v>-888</v>
      </c>
      <c r="AC3148">
        <v>-888</v>
      </c>
      <c r="AF3148">
        <v>2015</v>
      </c>
      <c r="AG3148">
        <v>2015</v>
      </c>
      <c r="AO3148" t="b">
        <v>0</v>
      </c>
      <c r="AT3148">
        <v>356</v>
      </c>
      <c r="AU3148">
        <f t="shared" si="149"/>
        <v>0.97499999999999998</v>
      </c>
    </row>
    <row r="3149" spans="1:47" x14ac:dyDescent="0.3">
      <c r="A3149">
        <v>3147</v>
      </c>
      <c r="B3149" t="s">
        <v>13032</v>
      </c>
      <c r="C3149" t="s">
        <v>13033</v>
      </c>
      <c r="D3149">
        <v>781</v>
      </c>
      <c r="E3149" t="s">
        <v>13034</v>
      </c>
      <c r="F3149" t="str">
        <f>VLOOKUP(E3149,country_continent!A:C,2,FALSE)</f>
        <v>Maldives</v>
      </c>
      <c r="G3149" t="str">
        <f>VLOOKUP(E3149,country_continent!A:C,3,FALSE)</f>
        <v>Asia</v>
      </c>
      <c r="H3149" t="s">
        <v>13035</v>
      </c>
      <c r="I3149" s="1">
        <v>19604</v>
      </c>
      <c r="J3149" s="3">
        <f t="shared" si="147"/>
        <v>19604</v>
      </c>
      <c r="K3149" s="1">
        <v>21166</v>
      </c>
      <c r="L3149" s="3">
        <f t="shared" si="148"/>
        <v>21166</v>
      </c>
      <c r="M3149" t="s">
        <v>49</v>
      </c>
      <c r="N3149" t="s">
        <v>67</v>
      </c>
      <c r="O3149" t="s">
        <v>613</v>
      </c>
      <c r="P3149">
        <v>0</v>
      </c>
      <c r="Q3149" t="s">
        <v>50</v>
      </c>
      <c r="R3149" t="s">
        <v>51</v>
      </c>
      <c r="S3149">
        <v>1889</v>
      </c>
      <c r="T3149">
        <v>1975</v>
      </c>
      <c r="Z3149">
        <v>0</v>
      </c>
      <c r="AA3149">
        <v>3</v>
      </c>
      <c r="AB3149">
        <v>2</v>
      </c>
      <c r="AC3149">
        <v>0</v>
      </c>
      <c r="AF3149">
        <v>1953</v>
      </c>
      <c r="AG3149">
        <v>1957</v>
      </c>
      <c r="AO3149" t="b">
        <v>1</v>
      </c>
      <c r="AP3149" t="s">
        <v>4202</v>
      </c>
      <c r="AQ3149">
        <v>1965</v>
      </c>
      <c r="AR3149">
        <v>2016</v>
      </c>
      <c r="AS3149" t="s">
        <v>13036</v>
      </c>
      <c r="AT3149">
        <v>4.2765229295003397</v>
      </c>
      <c r="AU3149">
        <f t="shared" si="149"/>
        <v>1.2E-2</v>
      </c>
    </row>
    <row r="3150" spans="1:47" x14ac:dyDescent="0.3">
      <c r="A3150">
        <v>3148</v>
      </c>
      <c r="B3150" t="s">
        <v>13037</v>
      </c>
      <c r="C3150" t="s">
        <v>13038</v>
      </c>
      <c r="D3150">
        <v>781</v>
      </c>
      <c r="E3150" t="s">
        <v>13034</v>
      </c>
      <c r="F3150" t="str">
        <f>VLOOKUP(E3150,country_continent!A:C,2,FALSE)</f>
        <v>Maldives</v>
      </c>
      <c r="G3150" t="str">
        <f>VLOOKUP(E3150,country_continent!A:C,3,FALSE)</f>
        <v>Asia</v>
      </c>
      <c r="H3150" t="s">
        <v>13039</v>
      </c>
      <c r="I3150" s="1">
        <v>21166</v>
      </c>
      <c r="J3150" s="3">
        <f t="shared" si="147"/>
        <v>21166</v>
      </c>
      <c r="K3150" s="1">
        <v>28805</v>
      </c>
      <c r="L3150" s="3">
        <f t="shared" si="148"/>
        <v>28805</v>
      </c>
      <c r="M3150" t="s">
        <v>49</v>
      </c>
      <c r="N3150" t="s">
        <v>228</v>
      </c>
      <c r="O3150" t="s">
        <v>49</v>
      </c>
      <c r="P3150">
        <v>0</v>
      </c>
      <c r="Q3150" t="s">
        <v>362</v>
      </c>
      <c r="R3150" t="s">
        <v>51</v>
      </c>
      <c r="S3150">
        <v>1926</v>
      </c>
      <c r="T3150">
        <v>2008</v>
      </c>
      <c r="U3150" s="1">
        <v>9742</v>
      </c>
      <c r="V3150" s="2">
        <v>9742</v>
      </c>
      <c r="Y3150" t="s">
        <v>13040</v>
      </c>
      <c r="Z3150">
        <v>0</v>
      </c>
      <c r="AA3150">
        <v>2.0999998999999998</v>
      </c>
      <c r="AB3150">
        <v>0</v>
      </c>
      <c r="AC3150">
        <v>1</v>
      </c>
      <c r="AF3150">
        <v>1957</v>
      </c>
      <c r="AG3150">
        <v>1978</v>
      </c>
      <c r="AO3150" t="b">
        <v>1</v>
      </c>
      <c r="AP3150" t="s">
        <v>4202</v>
      </c>
      <c r="AQ3150">
        <v>1965</v>
      </c>
      <c r="AR3150">
        <v>2016</v>
      </c>
      <c r="AS3150" t="s">
        <v>13041</v>
      </c>
      <c r="AT3150">
        <v>20.914442162902098</v>
      </c>
      <c r="AU3150">
        <f t="shared" si="149"/>
        <v>5.7000000000000002E-2</v>
      </c>
    </row>
    <row r="3151" spans="1:47" x14ac:dyDescent="0.3">
      <c r="A3151">
        <v>3149</v>
      </c>
      <c r="B3151" t="s">
        <v>13042</v>
      </c>
      <c r="C3151" t="s">
        <v>13043</v>
      </c>
      <c r="D3151">
        <v>781</v>
      </c>
      <c r="E3151" t="s">
        <v>13034</v>
      </c>
      <c r="F3151" t="str">
        <f>VLOOKUP(E3151,country_continent!A:C,2,FALSE)</f>
        <v>Maldives</v>
      </c>
      <c r="G3151" t="str">
        <f>VLOOKUP(E3151,country_continent!A:C,3,FALSE)</f>
        <v>Asia</v>
      </c>
      <c r="H3151" t="s">
        <v>13044</v>
      </c>
      <c r="I3151" s="1">
        <v>28805</v>
      </c>
      <c r="J3151" s="3">
        <f t="shared" si="147"/>
        <v>28805</v>
      </c>
      <c r="K3151" s="1">
        <v>39763</v>
      </c>
      <c r="L3151" s="3">
        <f t="shared" si="148"/>
        <v>39763</v>
      </c>
      <c r="M3151" t="s">
        <v>49</v>
      </c>
      <c r="N3151" t="s">
        <v>49</v>
      </c>
      <c r="O3151" t="s">
        <v>49</v>
      </c>
      <c r="P3151">
        <v>0</v>
      </c>
      <c r="Q3151" t="s">
        <v>50</v>
      </c>
      <c r="R3151" t="s">
        <v>51</v>
      </c>
      <c r="S3151">
        <v>1937</v>
      </c>
      <c r="T3151">
        <v>-777</v>
      </c>
      <c r="U3151" s="1">
        <v>13878</v>
      </c>
      <c r="V3151" s="2">
        <v>13878</v>
      </c>
      <c r="Y3151" t="s">
        <v>13045</v>
      </c>
      <c r="Z3151">
        <v>0</v>
      </c>
      <c r="AA3151">
        <v>1</v>
      </c>
      <c r="AB3151">
        <v>0</v>
      </c>
      <c r="AC3151">
        <v>0</v>
      </c>
      <c r="AD3151" t="s">
        <v>13046</v>
      </c>
      <c r="AE3151">
        <v>0</v>
      </c>
      <c r="AF3151">
        <v>1978</v>
      </c>
      <c r="AG3151">
        <v>2008</v>
      </c>
      <c r="AO3151" t="b">
        <v>1</v>
      </c>
      <c r="AP3151" t="s">
        <v>4202</v>
      </c>
      <c r="AQ3151">
        <v>1965</v>
      </c>
      <c r="AR3151">
        <v>2016</v>
      </c>
      <c r="AS3151" t="s">
        <v>13047</v>
      </c>
      <c r="AT3151">
        <v>30.0013689253935</v>
      </c>
      <c r="AU3151">
        <f t="shared" si="149"/>
        <v>8.2000000000000003E-2</v>
      </c>
    </row>
    <row r="3152" spans="1:47" x14ac:dyDescent="0.3">
      <c r="A3152">
        <v>3150</v>
      </c>
      <c r="B3152" t="s">
        <v>13048</v>
      </c>
      <c r="C3152" t="s">
        <v>13049</v>
      </c>
      <c r="D3152">
        <v>781</v>
      </c>
      <c r="E3152" t="s">
        <v>13034</v>
      </c>
      <c r="F3152" t="str">
        <f>VLOOKUP(E3152,country_continent!A:C,2,FALSE)</f>
        <v>Maldives</v>
      </c>
      <c r="G3152" t="str">
        <f>VLOOKUP(E3152,country_continent!A:C,3,FALSE)</f>
        <v>Asia</v>
      </c>
      <c r="H3152" t="s">
        <v>13050</v>
      </c>
      <c r="I3152" s="1">
        <v>39763</v>
      </c>
      <c r="J3152" s="3">
        <f t="shared" si="147"/>
        <v>39763</v>
      </c>
      <c r="K3152" s="1">
        <v>40946</v>
      </c>
      <c r="L3152" s="3">
        <f t="shared" si="148"/>
        <v>40946</v>
      </c>
      <c r="M3152" t="s">
        <v>49</v>
      </c>
      <c r="N3152" t="s">
        <v>49</v>
      </c>
      <c r="O3152" t="s">
        <v>49</v>
      </c>
      <c r="P3152">
        <v>0</v>
      </c>
      <c r="Q3152" t="s">
        <v>463</v>
      </c>
      <c r="R3152" t="s">
        <v>51</v>
      </c>
      <c r="S3152">
        <v>1953</v>
      </c>
      <c r="T3152">
        <v>-777</v>
      </c>
      <c r="Z3152">
        <v>0</v>
      </c>
      <c r="AA3152">
        <v>1</v>
      </c>
      <c r="AB3152">
        <v>0</v>
      </c>
      <c r="AC3152">
        <v>2</v>
      </c>
      <c r="AF3152">
        <v>2008</v>
      </c>
      <c r="AG3152">
        <v>2012</v>
      </c>
      <c r="AO3152" t="b">
        <v>1</v>
      </c>
      <c r="AP3152" t="s">
        <v>4202</v>
      </c>
      <c r="AQ3152">
        <v>1965</v>
      </c>
      <c r="AR3152">
        <v>2016</v>
      </c>
      <c r="AS3152" t="s">
        <v>13051</v>
      </c>
      <c r="AT3152">
        <v>3.23887748117727</v>
      </c>
      <c r="AU3152">
        <f t="shared" si="149"/>
        <v>8.9999999999999993E-3</v>
      </c>
    </row>
    <row r="3153" spans="1:47" x14ac:dyDescent="0.3">
      <c r="A3153">
        <v>3151</v>
      </c>
      <c r="B3153" t="s">
        <v>13052</v>
      </c>
      <c r="C3153" t="s">
        <v>13053</v>
      </c>
      <c r="D3153">
        <v>781</v>
      </c>
      <c r="E3153" t="s">
        <v>13034</v>
      </c>
      <c r="F3153" t="str">
        <f>VLOOKUP(E3153,country_continent!A:C,2,FALSE)</f>
        <v>Maldives</v>
      </c>
      <c r="G3153" t="str">
        <f>VLOOKUP(E3153,country_continent!A:C,3,FALSE)</f>
        <v>Asia</v>
      </c>
      <c r="H3153" t="s">
        <v>13054</v>
      </c>
      <c r="I3153" s="1">
        <v>40946</v>
      </c>
      <c r="J3153" s="3">
        <f t="shared" si="147"/>
        <v>40946</v>
      </c>
      <c r="K3153" s="1">
        <v>41595</v>
      </c>
      <c r="L3153" s="3">
        <f t="shared" si="148"/>
        <v>41595</v>
      </c>
      <c r="M3153" t="s">
        <v>49</v>
      </c>
      <c r="N3153" t="s">
        <v>49</v>
      </c>
      <c r="O3153" t="s">
        <v>49</v>
      </c>
      <c r="P3153">
        <v>0</v>
      </c>
      <c r="Q3153" t="s">
        <v>50</v>
      </c>
      <c r="R3153" t="s">
        <v>51</v>
      </c>
      <c r="S3153">
        <v>1953</v>
      </c>
      <c r="T3153">
        <v>-777</v>
      </c>
      <c r="U3153" s="1">
        <v>19362</v>
      </c>
      <c r="V3153" s="2">
        <v>19362</v>
      </c>
      <c r="Z3153">
        <v>0</v>
      </c>
      <c r="AA3153">
        <v>1</v>
      </c>
      <c r="AB3153">
        <v>0</v>
      </c>
      <c r="AC3153">
        <v>0</v>
      </c>
      <c r="AF3153">
        <v>2012</v>
      </c>
      <c r="AG3153">
        <v>2013</v>
      </c>
      <c r="AO3153" t="b">
        <v>1</v>
      </c>
      <c r="AP3153" t="s">
        <v>4202</v>
      </c>
      <c r="AQ3153">
        <v>1965</v>
      </c>
      <c r="AR3153">
        <v>2016</v>
      </c>
      <c r="AS3153" t="s">
        <v>13055</v>
      </c>
      <c r="AT3153">
        <v>1.77686516084873</v>
      </c>
      <c r="AU3153">
        <f t="shared" si="149"/>
        <v>5.0000000000000001E-3</v>
      </c>
    </row>
    <row r="3154" spans="1:47" x14ac:dyDescent="0.3">
      <c r="A3154">
        <v>3152</v>
      </c>
      <c r="B3154" t="s">
        <v>13056</v>
      </c>
      <c r="C3154" t="s">
        <v>13057</v>
      </c>
      <c r="D3154">
        <v>781</v>
      </c>
      <c r="E3154" t="s">
        <v>13034</v>
      </c>
      <c r="F3154" t="str">
        <f>VLOOKUP(E3154,country_continent!A:C,2,FALSE)</f>
        <v>Maldives</v>
      </c>
      <c r="G3154" t="str">
        <f>VLOOKUP(E3154,country_continent!A:C,3,FALSE)</f>
        <v>Asia</v>
      </c>
      <c r="H3154" t="s">
        <v>13058</v>
      </c>
      <c r="I3154" s="1">
        <v>41595</v>
      </c>
      <c r="J3154" s="3">
        <f t="shared" si="147"/>
        <v>41595</v>
      </c>
      <c r="K3154" s="1">
        <v>42369</v>
      </c>
      <c r="L3154" s="3">
        <f t="shared" si="148"/>
        <v>42369</v>
      </c>
      <c r="M3154" t="s">
        <v>49</v>
      </c>
      <c r="N3154" t="s">
        <v>173</v>
      </c>
      <c r="O3154" t="s">
        <v>173</v>
      </c>
      <c r="P3154">
        <v>0</v>
      </c>
      <c r="Q3154" t="s">
        <v>174</v>
      </c>
      <c r="R3154" t="s">
        <v>51</v>
      </c>
      <c r="S3154">
        <v>1959</v>
      </c>
      <c r="T3154">
        <v>-777</v>
      </c>
      <c r="U3154" s="1">
        <v>21691</v>
      </c>
      <c r="V3154" s="2">
        <v>21691</v>
      </c>
      <c r="Z3154">
        <v>0</v>
      </c>
      <c r="AA3154">
        <v>-888</v>
      </c>
      <c r="AB3154">
        <v>-888</v>
      </c>
      <c r="AC3154">
        <v>-888</v>
      </c>
      <c r="AD3154" t="s">
        <v>13059</v>
      </c>
      <c r="AE3154">
        <v>1</v>
      </c>
      <c r="AF3154">
        <v>2013</v>
      </c>
      <c r="AG3154">
        <v>2015</v>
      </c>
      <c r="AO3154" t="b">
        <v>1</v>
      </c>
      <c r="AP3154" t="s">
        <v>4202</v>
      </c>
      <c r="AQ3154">
        <v>1965</v>
      </c>
      <c r="AR3154">
        <v>2016</v>
      </c>
      <c r="AS3154" t="s">
        <v>13060</v>
      </c>
      <c r="AT3154">
        <v>2.1190965092402401</v>
      </c>
      <c r="AU3154">
        <f t="shared" si="149"/>
        <v>6.0000000000000001E-3</v>
      </c>
    </row>
    <row r="3155" spans="1:47" x14ac:dyDescent="0.3">
      <c r="A3155">
        <v>3153</v>
      </c>
      <c r="B3155" t="s">
        <v>13061</v>
      </c>
      <c r="C3155" t="s">
        <v>13062</v>
      </c>
      <c r="D3155">
        <v>790</v>
      </c>
      <c r="E3155" t="s">
        <v>13063</v>
      </c>
      <c r="F3155" t="str">
        <f>VLOOKUP(E3155,country_continent!A:C,2,FALSE)</f>
        <v>Nepal</v>
      </c>
      <c r="G3155" t="str">
        <f>VLOOKUP(E3155,country_continent!A:C,3,FALSE)</f>
        <v>Asia</v>
      </c>
      <c r="H3155" t="s">
        <v>13064</v>
      </c>
      <c r="I3155" t="s">
        <v>13065</v>
      </c>
      <c r="J3155" s="3" t="str">
        <f t="shared" si="147"/>
        <v>1846/09/17</v>
      </c>
      <c r="K3155" t="s">
        <v>13066</v>
      </c>
      <c r="L3155" s="3" t="str">
        <f t="shared" si="148"/>
        <v>1877/02/25</v>
      </c>
      <c r="M3155" t="s">
        <v>49</v>
      </c>
      <c r="N3155" t="s">
        <v>110</v>
      </c>
      <c r="O3155" t="s">
        <v>49</v>
      </c>
      <c r="P3155">
        <v>0</v>
      </c>
      <c r="Q3155" t="s">
        <v>111</v>
      </c>
      <c r="R3155" t="s">
        <v>51</v>
      </c>
      <c r="S3155">
        <v>1817</v>
      </c>
      <c r="T3155">
        <v>1877</v>
      </c>
      <c r="U3155" t="s">
        <v>13068</v>
      </c>
      <c r="V3155" t="s">
        <v>13069</v>
      </c>
      <c r="W3155" t="s">
        <v>13066</v>
      </c>
      <c r="X3155" t="s">
        <v>13067</v>
      </c>
      <c r="Z3155">
        <v>0</v>
      </c>
      <c r="AA3155">
        <v>2</v>
      </c>
      <c r="AB3155">
        <v>0</v>
      </c>
      <c r="AC3155">
        <v>-777</v>
      </c>
      <c r="AF3155">
        <v>1846</v>
      </c>
      <c r="AG3155">
        <v>1877</v>
      </c>
      <c r="AO3155" t="b">
        <v>1</v>
      </c>
      <c r="AP3155" t="s">
        <v>12664</v>
      </c>
      <c r="AQ3155">
        <v>1949</v>
      </c>
      <c r="AR3155">
        <v>1974</v>
      </c>
      <c r="AS3155" t="s">
        <v>13070</v>
      </c>
      <c r="AT3155">
        <v>30.442162902121801</v>
      </c>
      <c r="AU3155">
        <f t="shared" si="149"/>
        <v>8.3000000000000004E-2</v>
      </c>
    </row>
    <row r="3156" spans="1:47" x14ac:dyDescent="0.3">
      <c r="A3156">
        <v>3154</v>
      </c>
      <c r="B3156" t="s">
        <v>13071</v>
      </c>
      <c r="C3156" t="s">
        <v>13072</v>
      </c>
      <c r="D3156">
        <v>790</v>
      </c>
      <c r="E3156" t="s">
        <v>13063</v>
      </c>
      <c r="F3156" t="str">
        <f>VLOOKUP(E3156,country_continent!A:C,2,FALSE)</f>
        <v>Nepal</v>
      </c>
      <c r="G3156" t="str">
        <f>VLOOKUP(E3156,country_continent!A:C,3,FALSE)</f>
        <v>Asia</v>
      </c>
      <c r="H3156" t="s">
        <v>13073</v>
      </c>
      <c r="I3156" t="s">
        <v>13074</v>
      </c>
      <c r="J3156" s="3" t="str">
        <f t="shared" si="147"/>
        <v>1877/02/27</v>
      </c>
      <c r="K3156" t="s">
        <v>13075</v>
      </c>
      <c r="L3156" s="3" t="str">
        <f t="shared" si="148"/>
        <v>1885/11/21</v>
      </c>
      <c r="M3156" t="s">
        <v>49</v>
      </c>
      <c r="N3156" t="s">
        <v>67</v>
      </c>
      <c r="O3156" t="s">
        <v>347</v>
      </c>
      <c r="P3156">
        <v>0</v>
      </c>
      <c r="Q3156" t="s">
        <v>69</v>
      </c>
      <c r="R3156" t="s">
        <v>51</v>
      </c>
      <c r="S3156">
        <v>1825</v>
      </c>
      <c r="T3156">
        <v>1885</v>
      </c>
      <c r="Z3156">
        <v>0</v>
      </c>
      <c r="AA3156">
        <v>3</v>
      </c>
      <c r="AB3156">
        <v>-999</v>
      </c>
      <c r="AC3156">
        <v>3</v>
      </c>
      <c r="AF3156">
        <v>1877</v>
      </c>
      <c r="AG3156">
        <v>1885</v>
      </c>
      <c r="AO3156" t="b">
        <v>1</v>
      </c>
      <c r="AP3156" t="s">
        <v>12664</v>
      </c>
      <c r="AQ3156">
        <v>1949</v>
      </c>
      <c r="AR3156">
        <v>1974</v>
      </c>
      <c r="AS3156" t="s">
        <v>13076</v>
      </c>
      <c r="AT3156">
        <v>8.7310061601642701</v>
      </c>
      <c r="AU3156">
        <f t="shared" si="149"/>
        <v>2.4E-2</v>
      </c>
    </row>
    <row r="3157" spans="1:47" x14ac:dyDescent="0.3">
      <c r="A3157">
        <v>3155</v>
      </c>
      <c r="B3157" t="s">
        <v>13077</v>
      </c>
      <c r="C3157" t="s">
        <v>13078</v>
      </c>
      <c r="D3157">
        <v>790</v>
      </c>
      <c r="E3157" t="s">
        <v>13063</v>
      </c>
      <c r="F3157" t="str">
        <f>VLOOKUP(E3157,country_continent!A:C,2,FALSE)</f>
        <v>Nepal</v>
      </c>
      <c r="G3157" t="str">
        <f>VLOOKUP(E3157,country_continent!A:C,3,FALSE)</f>
        <v>Asia</v>
      </c>
      <c r="H3157" t="s">
        <v>13079</v>
      </c>
      <c r="I3157" t="s">
        <v>13080</v>
      </c>
      <c r="J3157" s="3" t="str">
        <f t="shared" si="147"/>
        <v>1885/11/23</v>
      </c>
      <c r="K3157" s="1">
        <v>430</v>
      </c>
      <c r="L3157" s="3">
        <f t="shared" si="148"/>
        <v>430</v>
      </c>
      <c r="M3157" t="s">
        <v>49</v>
      </c>
      <c r="N3157" t="s">
        <v>110</v>
      </c>
      <c r="O3157" t="s">
        <v>49</v>
      </c>
      <c r="P3157">
        <v>0</v>
      </c>
      <c r="Q3157" t="s">
        <v>111</v>
      </c>
      <c r="R3157" t="s">
        <v>51</v>
      </c>
      <c r="S3157">
        <v>1852</v>
      </c>
      <c r="T3157">
        <v>1901</v>
      </c>
      <c r="W3157" s="1">
        <v>430</v>
      </c>
      <c r="X3157" s="2">
        <v>430</v>
      </c>
      <c r="Z3157">
        <v>0</v>
      </c>
      <c r="AA3157">
        <v>2</v>
      </c>
      <c r="AB3157">
        <v>0</v>
      </c>
      <c r="AC3157">
        <v>-777</v>
      </c>
      <c r="AF3157">
        <v>1885</v>
      </c>
      <c r="AG3157">
        <v>1901</v>
      </c>
      <c r="AO3157" t="b">
        <v>1</v>
      </c>
      <c r="AP3157" t="s">
        <v>12664</v>
      </c>
      <c r="AQ3157">
        <v>1949</v>
      </c>
      <c r="AR3157">
        <v>1974</v>
      </c>
      <c r="AS3157" t="s">
        <v>13081</v>
      </c>
      <c r="AT3157">
        <v>15.2772073921971</v>
      </c>
      <c r="AU3157">
        <f t="shared" si="149"/>
        <v>4.2000000000000003E-2</v>
      </c>
    </row>
    <row r="3158" spans="1:47" x14ac:dyDescent="0.3">
      <c r="A3158">
        <v>3156</v>
      </c>
      <c r="B3158" t="s">
        <v>13082</v>
      </c>
      <c r="C3158" t="s">
        <v>13083</v>
      </c>
      <c r="D3158">
        <v>790</v>
      </c>
      <c r="E3158" t="s">
        <v>13063</v>
      </c>
      <c r="F3158" t="str">
        <f>VLOOKUP(E3158,country_continent!A:C,2,FALSE)</f>
        <v>Nepal</v>
      </c>
      <c r="G3158" t="str">
        <f>VLOOKUP(E3158,country_continent!A:C,3,FALSE)</f>
        <v>Asia</v>
      </c>
      <c r="H3158" t="s">
        <v>13084</v>
      </c>
      <c r="I3158" s="1">
        <v>440</v>
      </c>
      <c r="J3158" s="3">
        <f t="shared" si="147"/>
        <v>440</v>
      </c>
      <c r="K3158" s="1">
        <v>543</v>
      </c>
      <c r="L3158" s="3">
        <f t="shared" si="148"/>
        <v>543</v>
      </c>
      <c r="M3158" t="s">
        <v>49</v>
      </c>
      <c r="N3158" t="s">
        <v>67</v>
      </c>
      <c r="O3158" t="s">
        <v>347</v>
      </c>
      <c r="P3158">
        <v>0</v>
      </c>
      <c r="Q3158" t="s">
        <v>362</v>
      </c>
      <c r="R3158" t="s">
        <v>51</v>
      </c>
      <c r="S3158">
        <v>1862</v>
      </c>
      <c r="T3158">
        <v>1914</v>
      </c>
      <c r="Z3158">
        <v>0</v>
      </c>
      <c r="AA3158">
        <v>3</v>
      </c>
      <c r="AB3158">
        <v>-999</v>
      </c>
      <c r="AC3158">
        <v>1</v>
      </c>
      <c r="AF3158">
        <v>1901</v>
      </c>
      <c r="AG3158">
        <v>1901</v>
      </c>
      <c r="AO3158" t="b">
        <v>1</v>
      </c>
      <c r="AP3158" t="s">
        <v>12664</v>
      </c>
      <c r="AQ3158">
        <v>1949</v>
      </c>
      <c r="AR3158">
        <v>1974</v>
      </c>
      <c r="AS3158" t="s">
        <v>13085</v>
      </c>
      <c r="AT3158">
        <v>0.28199863107460599</v>
      </c>
      <c r="AU3158">
        <f t="shared" si="149"/>
        <v>1E-3</v>
      </c>
    </row>
    <row r="3159" spans="1:47" x14ac:dyDescent="0.3">
      <c r="A3159">
        <v>3157</v>
      </c>
      <c r="B3159" t="s">
        <v>13086</v>
      </c>
      <c r="C3159" t="s">
        <v>13087</v>
      </c>
      <c r="D3159">
        <v>790</v>
      </c>
      <c r="E3159" t="s">
        <v>13063</v>
      </c>
      <c r="F3159" t="str">
        <f>VLOOKUP(E3159,country_continent!A:C,2,FALSE)</f>
        <v>Nepal</v>
      </c>
      <c r="G3159" t="str">
        <f>VLOOKUP(E3159,country_continent!A:C,3,FALSE)</f>
        <v>Asia</v>
      </c>
      <c r="H3159" t="s">
        <v>13088</v>
      </c>
      <c r="I3159" s="1">
        <v>543</v>
      </c>
      <c r="J3159" s="3">
        <f t="shared" si="147"/>
        <v>543</v>
      </c>
      <c r="K3159" s="1">
        <v>10766</v>
      </c>
      <c r="L3159" s="3">
        <f t="shared" si="148"/>
        <v>10766</v>
      </c>
      <c r="M3159" t="s">
        <v>67</v>
      </c>
      <c r="N3159" t="s">
        <v>110</v>
      </c>
      <c r="O3159" t="s">
        <v>49</v>
      </c>
      <c r="P3159">
        <v>0</v>
      </c>
      <c r="Q3159" t="s">
        <v>111</v>
      </c>
      <c r="R3159" t="s">
        <v>51</v>
      </c>
      <c r="S3159">
        <v>1863</v>
      </c>
      <c r="T3159">
        <v>1929</v>
      </c>
      <c r="W3159" s="1">
        <v>10766</v>
      </c>
      <c r="X3159" s="2">
        <v>10766</v>
      </c>
      <c r="Z3159">
        <v>1</v>
      </c>
      <c r="AA3159">
        <v>2</v>
      </c>
      <c r="AB3159">
        <v>0</v>
      </c>
      <c r="AC3159">
        <v>-777</v>
      </c>
      <c r="AF3159">
        <v>1901</v>
      </c>
      <c r="AG3159">
        <v>1929</v>
      </c>
      <c r="AO3159" t="b">
        <v>1</v>
      </c>
      <c r="AP3159" t="s">
        <v>12664</v>
      </c>
      <c r="AQ3159">
        <v>1949</v>
      </c>
      <c r="AR3159">
        <v>1974</v>
      </c>
      <c r="AS3159" t="s">
        <v>13089</v>
      </c>
      <c r="AT3159">
        <v>27.989048596851401</v>
      </c>
      <c r="AU3159">
        <f t="shared" si="149"/>
        <v>7.6999999999999999E-2</v>
      </c>
    </row>
    <row r="3160" spans="1:47" x14ac:dyDescent="0.3">
      <c r="A3160">
        <v>3158</v>
      </c>
      <c r="B3160" t="s">
        <v>13090</v>
      </c>
      <c r="C3160" t="s">
        <v>13091</v>
      </c>
      <c r="D3160">
        <v>790</v>
      </c>
      <c r="E3160" t="s">
        <v>13063</v>
      </c>
      <c r="F3160" t="str">
        <f>VLOOKUP(E3160,country_continent!A:C,2,FALSE)</f>
        <v>Nepal</v>
      </c>
      <c r="G3160" t="str">
        <f>VLOOKUP(E3160,country_continent!A:C,3,FALSE)</f>
        <v>Asia</v>
      </c>
      <c r="H3160" t="s">
        <v>13092</v>
      </c>
      <c r="I3160" s="1">
        <v>10766</v>
      </c>
      <c r="J3160" s="3">
        <f t="shared" si="147"/>
        <v>10766</v>
      </c>
      <c r="K3160" s="1">
        <v>11933</v>
      </c>
      <c r="L3160" s="3">
        <f t="shared" si="148"/>
        <v>11933</v>
      </c>
      <c r="M3160" t="s">
        <v>49</v>
      </c>
      <c r="N3160" t="s">
        <v>110</v>
      </c>
      <c r="O3160" t="s">
        <v>49</v>
      </c>
      <c r="P3160">
        <v>0</v>
      </c>
      <c r="Q3160" t="s">
        <v>111</v>
      </c>
      <c r="R3160" t="s">
        <v>51</v>
      </c>
      <c r="S3160">
        <v>1869</v>
      </c>
      <c r="T3160">
        <v>1932</v>
      </c>
      <c r="W3160" s="1">
        <v>11933</v>
      </c>
      <c r="X3160" s="2">
        <v>11933</v>
      </c>
      <c r="Z3160">
        <v>0</v>
      </c>
      <c r="AA3160">
        <v>2</v>
      </c>
      <c r="AB3160">
        <v>0</v>
      </c>
      <c r="AC3160">
        <v>-777</v>
      </c>
      <c r="AF3160">
        <v>1929</v>
      </c>
      <c r="AG3160">
        <v>1932</v>
      </c>
      <c r="AO3160" t="b">
        <v>1</v>
      </c>
      <c r="AP3160" t="s">
        <v>12664</v>
      </c>
      <c r="AQ3160">
        <v>1949</v>
      </c>
      <c r="AR3160">
        <v>1974</v>
      </c>
      <c r="AS3160" t="s">
        <v>13093</v>
      </c>
      <c r="AT3160">
        <v>3.1950718685831601</v>
      </c>
      <c r="AU3160">
        <f t="shared" si="149"/>
        <v>8.9999999999999993E-3</v>
      </c>
    </row>
    <row r="3161" spans="1:47" x14ac:dyDescent="0.3">
      <c r="A3161">
        <v>3159</v>
      </c>
      <c r="B3161" t="s">
        <v>13094</v>
      </c>
      <c r="C3161" t="s">
        <v>13095</v>
      </c>
      <c r="D3161">
        <v>790</v>
      </c>
      <c r="E3161" t="s">
        <v>13063</v>
      </c>
      <c r="F3161" t="str">
        <f>VLOOKUP(E3161,country_continent!A:C,2,FALSE)</f>
        <v>Nepal</v>
      </c>
      <c r="G3161" t="str">
        <f>VLOOKUP(E3161,country_continent!A:C,3,FALSE)</f>
        <v>Asia</v>
      </c>
      <c r="H3161" t="s">
        <v>13096</v>
      </c>
      <c r="I3161" s="1">
        <v>11933</v>
      </c>
      <c r="J3161" s="3">
        <f t="shared" si="147"/>
        <v>11933</v>
      </c>
      <c r="K3161" s="1">
        <v>16769</v>
      </c>
      <c r="L3161" s="3">
        <f t="shared" si="148"/>
        <v>16769</v>
      </c>
      <c r="M3161" t="s">
        <v>49</v>
      </c>
      <c r="N3161" t="s">
        <v>49</v>
      </c>
      <c r="O3161" t="s">
        <v>49</v>
      </c>
      <c r="P3161">
        <v>0</v>
      </c>
      <c r="Q3161" t="s">
        <v>50</v>
      </c>
      <c r="R3161" t="s">
        <v>51</v>
      </c>
      <c r="S3161">
        <v>1875</v>
      </c>
      <c r="T3161">
        <v>1952</v>
      </c>
      <c r="Z3161">
        <v>0</v>
      </c>
      <c r="AA3161">
        <v>1</v>
      </c>
      <c r="AB3161">
        <v>0</v>
      </c>
      <c r="AC3161">
        <v>0</v>
      </c>
      <c r="AF3161">
        <v>1932</v>
      </c>
      <c r="AG3161">
        <v>1945</v>
      </c>
      <c r="AO3161" t="b">
        <v>1</v>
      </c>
      <c r="AP3161" t="s">
        <v>12664</v>
      </c>
      <c r="AQ3161">
        <v>1949</v>
      </c>
      <c r="AR3161">
        <v>1974</v>
      </c>
      <c r="AS3161" t="s">
        <v>13097</v>
      </c>
      <c r="AT3161">
        <v>13.240246406570799</v>
      </c>
      <c r="AU3161">
        <f t="shared" si="149"/>
        <v>3.5999999999999997E-2</v>
      </c>
    </row>
    <row r="3162" spans="1:47" x14ac:dyDescent="0.3">
      <c r="A3162">
        <v>3160</v>
      </c>
      <c r="B3162" t="s">
        <v>13098</v>
      </c>
      <c r="C3162" t="s">
        <v>13099</v>
      </c>
      <c r="D3162">
        <v>790</v>
      </c>
      <c r="E3162" t="s">
        <v>13063</v>
      </c>
      <c r="F3162" t="str">
        <f>VLOOKUP(E3162,country_continent!A:C,2,FALSE)</f>
        <v>Nepal</v>
      </c>
      <c r="G3162" t="str">
        <f>VLOOKUP(E3162,country_continent!A:C,3,FALSE)</f>
        <v>Asia</v>
      </c>
      <c r="H3162" t="s">
        <v>13100</v>
      </c>
      <c r="I3162" s="1">
        <v>16769</v>
      </c>
      <c r="J3162" s="3">
        <f t="shared" si="147"/>
        <v>16769</v>
      </c>
      <c r="K3162" s="1">
        <v>17572</v>
      </c>
      <c r="L3162" s="3">
        <f t="shared" si="148"/>
        <v>17572</v>
      </c>
      <c r="M3162" t="s">
        <v>49</v>
      </c>
      <c r="N3162" t="s">
        <v>110</v>
      </c>
      <c r="O3162" t="s">
        <v>49</v>
      </c>
      <c r="P3162">
        <v>0</v>
      </c>
      <c r="Q3162" t="s">
        <v>111</v>
      </c>
      <c r="R3162" t="s">
        <v>51</v>
      </c>
      <c r="S3162">
        <v>1882</v>
      </c>
      <c r="T3162">
        <v>1948</v>
      </c>
      <c r="W3162" s="1">
        <v>17572</v>
      </c>
      <c r="X3162" s="2">
        <v>17572</v>
      </c>
      <c r="Z3162">
        <v>0</v>
      </c>
      <c r="AA3162">
        <v>2</v>
      </c>
      <c r="AB3162">
        <v>0</v>
      </c>
      <c r="AC3162">
        <v>-777</v>
      </c>
      <c r="AF3162">
        <v>1945</v>
      </c>
      <c r="AG3162">
        <v>1948</v>
      </c>
      <c r="AO3162" t="b">
        <v>1</v>
      </c>
      <c r="AP3162" t="s">
        <v>12664</v>
      </c>
      <c r="AQ3162">
        <v>1949</v>
      </c>
      <c r="AR3162">
        <v>1974</v>
      </c>
      <c r="AS3162" t="s">
        <v>13101</v>
      </c>
      <c r="AT3162">
        <v>2.19849418206707</v>
      </c>
      <c r="AU3162">
        <f t="shared" si="149"/>
        <v>6.0000000000000001E-3</v>
      </c>
    </row>
    <row r="3163" spans="1:47" x14ac:dyDescent="0.3">
      <c r="A3163">
        <v>3161</v>
      </c>
      <c r="B3163" t="s">
        <v>13102</v>
      </c>
      <c r="C3163" t="s">
        <v>13103</v>
      </c>
      <c r="D3163">
        <v>790</v>
      </c>
      <c r="E3163" t="s">
        <v>13063</v>
      </c>
      <c r="F3163" t="str">
        <f>VLOOKUP(E3163,country_continent!A:C,2,FALSE)</f>
        <v>Nepal</v>
      </c>
      <c r="G3163" t="str">
        <f>VLOOKUP(E3163,country_continent!A:C,3,FALSE)</f>
        <v>Asia</v>
      </c>
      <c r="H3163" t="s">
        <v>13104</v>
      </c>
      <c r="I3163" s="1">
        <v>17572</v>
      </c>
      <c r="J3163" s="3">
        <f t="shared" si="147"/>
        <v>17572</v>
      </c>
      <c r="K3163" s="1">
        <v>18677</v>
      </c>
      <c r="L3163" s="3">
        <f t="shared" si="148"/>
        <v>18677</v>
      </c>
      <c r="M3163" t="s">
        <v>49</v>
      </c>
      <c r="N3163" t="s">
        <v>67</v>
      </c>
      <c r="O3163" t="s">
        <v>2001</v>
      </c>
      <c r="P3163">
        <v>0</v>
      </c>
      <c r="Q3163" t="s">
        <v>362</v>
      </c>
      <c r="R3163" t="s">
        <v>51</v>
      </c>
      <c r="S3163">
        <v>1885</v>
      </c>
      <c r="T3163">
        <v>1967</v>
      </c>
      <c r="U3163" t="s">
        <v>13105</v>
      </c>
      <c r="V3163" t="s">
        <v>13106</v>
      </c>
      <c r="Z3163">
        <v>0</v>
      </c>
      <c r="AA3163">
        <v>3</v>
      </c>
      <c r="AB3163">
        <v>8</v>
      </c>
      <c r="AC3163">
        <v>1</v>
      </c>
      <c r="AF3163">
        <v>1948</v>
      </c>
      <c r="AG3163">
        <v>1951</v>
      </c>
      <c r="AO3163" t="b">
        <v>1</v>
      </c>
      <c r="AP3163" t="s">
        <v>12664</v>
      </c>
      <c r="AQ3163">
        <v>1949</v>
      </c>
      <c r="AR3163">
        <v>1974</v>
      </c>
      <c r="AS3163" t="s">
        <v>13107</v>
      </c>
      <c r="AT3163">
        <v>3.0253251197809701</v>
      </c>
      <c r="AU3163">
        <f t="shared" si="149"/>
        <v>8.0000000000000002E-3</v>
      </c>
    </row>
    <row r="3164" spans="1:47" x14ac:dyDescent="0.3">
      <c r="A3164">
        <v>3162</v>
      </c>
      <c r="B3164" t="s">
        <v>13108</v>
      </c>
      <c r="C3164" t="s">
        <v>13109</v>
      </c>
      <c r="D3164">
        <v>790</v>
      </c>
      <c r="E3164" t="s">
        <v>13063</v>
      </c>
      <c r="F3164" t="str">
        <f>VLOOKUP(E3164,country_continent!A:C,2,FALSE)</f>
        <v>Nepal</v>
      </c>
      <c r="G3164" t="str">
        <f>VLOOKUP(E3164,country_continent!A:C,3,FALSE)</f>
        <v>Asia</v>
      </c>
      <c r="H3164" t="s">
        <v>13110</v>
      </c>
      <c r="I3164" s="1">
        <v>18677</v>
      </c>
      <c r="J3164" s="3">
        <f t="shared" si="147"/>
        <v>18677</v>
      </c>
      <c r="K3164" s="1">
        <v>20161</v>
      </c>
      <c r="L3164" s="3">
        <f t="shared" si="148"/>
        <v>20161</v>
      </c>
      <c r="M3164" t="s">
        <v>67</v>
      </c>
      <c r="N3164" t="s">
        <v>110</v>
      </c>
      <c r="O3164" t="s">
        <v>49</v>
      </c>
      <c r="P3164">
        <v>0</v>
      </c>
      <c r="Q3164" t="s">
        <v>111</v>
      </c>
      <c r="R3164" t="s">
        <v>51</v>
      </c>
      <c r="S3164">
        <v>1906</v>
      </c>
      <c r="T3164">
        <v>1955</v>
      </c>
      <c r="W3164" s="1">
        <v>20161</v>
      </c>
      <c r="X3164" s="2">
        <v>20161</v>
      </c>
      <c r="Y3164" t="s">
        <v>13111</v>
      </c>
      <c r="Z3164">
        <v>1</v>
      </c>
      <c r="AA3164">
        <v>2</v>
      </c>
      <c r="AB3164">
        <v>0</v>
      </c>
      <c r="AC3164">
        <v>-777</v>
      </c>
      <c r="AF3164">
        <v>1951</v>
      </c>
      <c r="AG3164">
        <v>1955</v>
      </c>
      <c r="AO3164" t="b">
        <v>1</v>
      </c>
      <c r="AP3164" t="s">
        <v>12664</v>
      </c>
      <c r="AQ3164">
        <v>1949</v>
      </c>
      <c r="AR3164">
        <v>1974</v>
      </c>
      <c r="AS3164" t="s">
        <v>13112</v>
      </c>
      <c r="AT3164">
        <v>4.0629705681040296</v>
      </c>
      <c r="AU3164">
        <f t="shared" si="149"/>
        <v>1.0999999999999999E-2</v>
      </c>
    </row>
    <row r="3165" spans="1:47" x14ac:dyDescent="0.3">
      <c r="A3165">
        <v>3163</v>
      </c>
      <c r="B3165" t="s">
        <v>13113</v>
      </c>
      <c r="C3165" t="s">
        <v>13114</v>
      </c>
      <c r="D3165">
        <v>790</v>
      </c>
      <c r="E3165" t="s">
        <v>13063</v>
      </c>
      <c r="F3165" t="str">
        <f>VLOOKUP(E3165,country_continent!A:C,2,FALSE)</f>
        <v>Nepal</v>
      </c>
      <c r="G3165" t="str">
        <f>VLOOKUP(E3165,country_continent!A:C,3,FALSE)</f>
        <v>Asia</v>
      </c>
      <c r="H3165" t="s">
        <v>13115</v>
      </c>
      <c r="I3165" s="1">
        <v>20162</v>
      </c>
      <c r="J3165" s="3">
        <f t="shared" si="147"/>
        <v>20162</v>
      </c>
      <c r="K3165" s="1">
        <v>26329</v>
      </c>
      <c r="L3165" s="3">
        <f t="shared" si="148"/>
        <v>26329</v>
      </c>
      <c r="M3165" t="s">
        <v>49</v>
      </c>
      <c r="N3165" t="s">
        <v>110</v>
      </c>
      <c r="O3165" t="s">
        <v>49</v>
      </c>
      <c r="P3165">
        <v>0</v>
      </c>
      <c r="Q3165" t="s">
        <v>111</v>
      </c>
      <c r="R3165" t="s">
        <v>51</v>
      </c>
      <c r="S3165">
        <v>1920</v>
      </c>
      <c r="T3165">
        <v>1972</v>
      </c>
      <c r="U3165" s="1">
        <v>7468</v>
      </c>
      <c r="V3165" s="2">
        <v>7468</v>
      </c>
      <c r="W3165" s="1">
        <v>26329</v>
      </c>
      <c r="X3165" s="2">
        <v>26329</v>
      </c>
      <c r="Y3165" t="s">
        <v>13116</v>
      </c>
      <c r="Z3165">
        <v>0</v>
      </c>
      <c r="AA3165">
        <v>2</v>
      </c>
      <c r="AB3165">
        <v>0</v>
      </c>
      <c r="AC3165">
        <v>-777</v>
      </c>
      <c r="AF3165">
        <v>1955</v>
      </c>
      <c r="AG3165">
        <v>1972</v>
      </c>
      <c r="AO3165" t="b">
        <v>1</v>
      </c>
      <c r="AP3165" t="s">
        <v>12664</v>
      </c>
      <c r="AQ3165">
        <v>1949</v>
      </c>
      <c r="AR3165">
        <v>1974</v>
      </c>
      <c r="AS3165" t="s">
        <v>13117</v>
      </c>
      <c r="AT3165">
        <v>16.884325804243598</v>
      </c>
      <c r="AU3165">
        <f t="shared" si="149"/>
        <v>4.5999999999999999E-2</v>
      </c>
    </row>
    <row r="3166" spans="1:47" x14ac:dyDescent="0.3">
      <c r="A3166">
        <v>3164</v>
      </c>
      <c r="B3166" t="s">
        <v>13118</v>
      </c>
      <c r="C3166" t="s">
        <v>13119</v>
      </c>
      <c r="D3166">
        <v>790</v>
      </c>
      <c r="E3166" t="s">
        <v>13063</v>
      </c>
      <c r="F3166" t="str">
        <f>VLOOKUP(E3166,country_continent!A:C,2,FALSE)</f>
        <v>Nepal</v>
      </c>
      <c r="G3166" t="str">
        <f>VLOOKUP(E3166,country_continent!A:C,3,FALSE)</f>
        <v>Asia</v>
      </c>
      <c r="H3166" t="s">
        <v>13120</v>
      </c>
      <c r="I3166" s="1">
        <v>26329</v>
      </c>
      <c r="J3166" s="3">
        <f t="shared" si="147"/>
        <v>26329</v>
      </c>
      <c r="K3166" s="1">
        <v>33186</v>
      </c>
      <c r="L3166" s="3">
        <f t="shared" si="148"/>
        <v>33186</v>
      </c>
      <c r="M3166" t="s">
        <v>49</v>
      </c>
      <c r="N3166" t="s">
        <v>49</v>
      </c>
      <c r="O3166" t="s">
        <v>49</v>
      </c>
      <c r="P3166">
        <v>0</v>
      </c>
      <c r="Q3166" t="s">
        <v>50</v>
      </c>
      <c r="R3166" t="s">
        <v>51</v>
      </c>
      <c r="S3166">
        <v>1946</v>
      </c>
      <c r="T3166">
        <v>2001</v>
      </c>
      <c r="U3166" s="1">
        <v>17164</v>
      </c>
      <c r="V3166" s="2">
        <v>17164</v>
      </c>
      <c r="W3166" s="1">
        <v>37043</v>
      </c>
      <c r="X3166" s="2">
        <v>37043</v>
      </c>
      <c r="Y3166" t="s">
        <v>13121</v>
      </c>
      <c r="Z3166">
        <v>0</v>
      </c>
      <c r="AA3166">
        <v>1</v>
      </c>
      <c r="AB3166">
        <v>0</v>
      </c>
      <c r="AC3166">
        <v>0</v>
      </c>
      <c r="AF3166">
        <v>1972</v>
      </c>
      <c r="AG3166">
        <v>1990</v>
      </c>
      <c r="AO3166" t="b">
        <v>1</v>
      </c>
      <c r="AP3166" t="s">
        <v>12664</v>
      </c>
      <c r="AQ3166">
        <v>1949</v>
      </c>
      <c r="AR3166">
        <v>1974</v>
      </c>
      <c r="AS3166" t="s">
        <v>13122</v>
      </c>
      <c r="AT3166">
        <v>18.773442847364802</v>
      </c>
      <c r="AU3166">
        <f t="shared" si="149"/>
        <v>5.0999999999999997E-2</v>
      </c>
    </row>
    <row r="3167" spans="1:47" x14ac:dyDescent="0.3">
      <c r="A3167">
        <v>3165</v>
      </c>
      <c r="B3167" t="s">
        <v>13123</v>
      </c>
      <c r="C3167" t="s">
        <v>13124</v>
      </c>
      <c r="D3167">
        <v>790</v>
      </c>
      <c r="E3167" t="s">
        <v>13063</v>
      </c>
      <c r="F3167" t="str">
        <f>VLOOKUP(E3167,country_continent!A:C,2,FALSE)</f>
        <v>Nepal</v>
      </c>
      <c r="G3167" t="str">
        <f>VLOOKUP(E3167,country_continent!A:C,3,FALSE)</f>
        <v>Asia</v>
      </c>
      <c r="H3167" t="s">
        <v>13125</v>
      </c>
      <c r="I3167" s="1">
        <v>33186</v>
      </c>
      <c r="J3167" s="3">
        <f t="shared" si="147"/>
        <v>33186</v>
      </c>
      <c r="K3167" s="1">
        <v>33384</v>
      </c>
      <c r="L3167" s="3">
        <f t="shared" si="148"/>
        <v>33384</v>
      </c>
      <c r="M3167" t="s">
        <v>49</v>
      </c>
      <c r="N3167" t="s">
        <v>49</v>
      </c>
      <c r="O3167" t="s">
        <v>49</v>
      </c>
      <c r="P3167">
        <v>0</v>
      </c>
      <c r="Q3167" t="s">
        <v>50</v>
      </c>
      <c r="R3167" t="s">
        <v>51</v>
      </c>
      <c r="S3167">
        <v>1924</v>
      </c>
      <c r="T3167">
        <v>2011</v>
      </c>
      <c r="Z3167">
        <v>0</v>
      </c>
      <c r="AA3167">
        <v>1</v>
      </c>
      <c r="AB3167">
        <v>0</v>
      </c>
      <c r="AC3167">
        <v>0</v>
      </c>
      <c r="AF3167">
        <v>1990</v>
      </c>
      <c r="AG3167">
        <v>1991</v>
      </c>
      <c r="AO3167" t="b">
        <v>1</v>
      </c>
      <c r="AP3167" t="s">
        <v>12664</v>
      </c>
      <c r="AQ3167">
        <v>1949</v>
      </c>
      <c r="AR3167">
        <v>1974</v>
      </c>
      <c r="AS3167" t="s">
        <v>13126</v>
      </c>
      <c r="AT3167">
        <v>0.54209445585215599</v>
      </c>
      <c r="AU3167">
        <f t="shared" si="149"/>
        <v>1E-3</v>
      </c>
    </row>
    <row r="3168" spans="1:47" x14ac:dyDescent="0.3">
      <c r="A3168">
        <v>3166</v>
      </c>
      <c r="B3168" t="s">
        <v>13127</v>
      </c>
      <c r="C3168" t="s">
        <v>13128</v>
      </c>
      <c r="D3168">
        <v>790</v>
      </c>
      <c r="E3168" t="s">
        <v>13063</v>
      </c>
      <c r="F3168" t="str">
        <f>VLOOKUP(E3168,country_continent!A:C,2,FALSE)</f>
        <v>Nepal</v>
      </c>
      <c r="G3168" t="str">
        <f>VLOOKUP(E3168,country_continent!A:C,3,FALSE)</f>
        <v>Asia</v>
      </c>
      <c r="H3168" t="s">
        <v>13129</v>
      </c>
      <c r="I3168" s="1">
        <v>33384</v>
      </c>
      <c r="J3168" s="3">
        <f t="shared" si="147"/>
        <v>33384</v>
      </c>
      <c r="K3168" s="1">
        <v>34668</v>
      </c>
      <c r="L3168" s="3">
        <f t="shared" si="148"/>
        <v>34668</v>
      </c>
      <c r="M3168" t="s">
        <v>49</v>
      </c>
      <c r="N3168" t="s">
        <v>49</v>
      </c>
      <c r="O3168" t="s">
        <v>49</v>
      </c>
      <c r="P3168">
        <v>0</v>
      </c>
      <c r="Q3168" t="s">
        <v>50</v>
      </c>
      <c r="R3168" t="s">
        <v>51</v>
      </c>
      <c r="S3168">
        <v>1925</v>
      </c>
      <c r="T3168">
        <v>2010</v>
      </c>
      <c r="Z3168">
        <v>0</v>
      </c>
      <c r="AA3168">
        <v>1</v>
      </c>
      <c r="AB3168">
        <v>0</v>
      </c>
      <c r="AC3168">
        <v>0</v>
      </c>
      <c r="AF3168">
        <v>1991</v>
      </c>
      <c r="AG3168">
        <v>1994</v>
      </c>
      <c r="AO3168" t="b">
        <v>1</v>
      </c>
      <c r="AP3168" t="s">
        <v>12664</v>
      </c>
      <c r="AQ3168">
        <v>1949</v>
      </c>
      <c r="AR3168">
        <v>1974</v>
      </c>
      <c r="AS3168" t="s">
        <v>13130</v>
      </c>
      <c r="AT3168">
        <v>3.5154004106776102</v>
      </c>
      <c r="AU3168">
        <f t="shared" si="149"/>
        <v>0.01</v>
      </c>
    </row>
    <row r="3169" spans="1:47" x14ac:dyDescent="0.3">
      <c r="A3169">
        <v>3167</v>
      </c>
      <c r="B3169" t="s">
        <v>13131</v>
      </c>
      <c r="C3169" t="s">
        <v>13132</v>
      </c>
      <c r="D3169">
        <v>790</v>
      </c>
      <c r="E3169" t="s">
        <v>13063</v>
      </c>
      <c r="F3169" t="str">
        <f>VLOOKUP(E3169,country_continent!A:C,2,FALSE)</f>
        <v>Nepal</v>
      </c>
      <c r="G3169" t="str">
        <f>VLOOKUP(E3169,country_continent!A:C,3,FALSE)</f>
        <v>Asia</v>
      </c>
      <c r="H3169" t="s">
        <v>13133</v>
      </c>
      <c r="I3169" s="1">
        <v>34668</v>
      </c>
      <c r="J3169" s="3">
        <f t="shared" si="147"/>
        <v>34668</v>
      </c>
      <c r="K3169" s="1">
        <v>34954</v>
      </c>
      <c r="L3169" s="3">
        <f t="shared" si="148"/>
        <v>34954</v>
      </c>
      <c r="M3169" t="s">
        <v>49</v>
      </c>
      <c r="N3169" t="s">
        <v>49</v>
      </c>
      <c r="O3169" t="s">
        <v>49</v>
      </c>
      <c r="P3169">
        <v>0</v>
      </c>
      <c r="Q3169" t="s">
        <v>50</v>
      </c>
      <c r="R3169" t="s">
        <v>51</v>
      </c>
      <c r="S3169">
        <v>1920</v>
      </c>
      <c r="T3169">
        <v>1999</v>
      </c>
      <c r="Z3169">
        <v>0</v>
      </c>
      <c r="AA3169">
        <v>1</v>
      </c>
      <c r="AB3169">
        <v>0</v>
      </c>
      <c r="AC3169">
        <v>0</v>
      </c>
      <c r="AF3169">
        <v>1994</v>
      </c>
      <c r="AG3169">
        <v>1995</v>
      </c>
      <c r="AO3169" t="b">
        <v>1</v>
      </c>
      <c r="AP3169" t="s">
        <v>12664</v>
      </c>
      <c r="AQ3169">
        <v>1949</v>
      </c>
      <c r="AR3169">
        <v>1974</v>
      </c>
      <c r="AS3169" t="s">
        <v>13134</v>
      </c>
      <c r="AT3169">
        <v>0.78302532511978096</v>
      </c>
      <c r="AU3169">
        <f t="shared" si="149"/>
        <v>2E-3</v>
      </c>
    </row>
    <row r="3170" spans="1:47" x14ac:dyDescent="0.3">
      <c r="A3170">
        <v>3168</v>
      </c>
      <c r="B3170" t="s">
        <v>13135</v>
      </c>
      <c r="C3170" t="s">
        <v>13136</v>
      </c>
      <c r="D3170">
        <v>790</v>
      </c>
      <c r="E3170" t="s">
        <v>13063</v>
      </c>
      <c r="F3170" t="str">
        <f>VLOOKUP(E3170,country_continent!A:C,2,FALSE)</f>
        <v>Nepal</v>
      </c>
      <c r="G3170" t="str">
        <f>VLOOKUP(E3170,country_continent!A:C,3,FALSE)</f>
        <v>Asia</v>
      </c>
      <c r="H3170" t="s">
        <v>13137</v>
      </c>
      <c r="I3170" s="1">
        <v>34954</v>
      </c>
      <c r="J3170" s="3">
        <f t="shared" si="147"/>
        <v>34954</v>
      </c>
      <c r="K3170" s="1">
        <v>35501</v>
      </c>
      <c r="L3170" s="3">
        <f t="shared" si="148"/>
        <v>35501</v>
      </c>
      <c r="M3170" t="s">
        <v>49</v>
      </c>
      <c r="N3170" t="s">
        <v>49</v>
      </c>
      <c r="O3170" t="s">
        <v>49</v>
      </c>
      <c r="P3170">
        <v>0</v>
      </c>
      <c r="Q3170" t="s">
        <v>50</v>
      </c>
      <c r="R3170" t="s">
        <v>51</v>
      </c>
      <c r="S3170">
        <v>1946</v>
      </c>
      <c r="T3170">
        <v>-777</v>
      </c>
      <c r="Z3170">
        <v>0</v>
      </c>
      <c r="AA3170">
        <v>1</v>
      </c>
      <c r="AB3170">
        <v>0</v>
      </c>
      <c r="AC3170">
        <v>0</v>
      </c>
      <c r="AF3170">
        <v>1995</v>
      </c>
      <c r="AG3170">
        <v>1997</v>
      </c>
      <c r="AO3170" t="b">
        <v>1</v>
      </c>
      <c r="AP3170" t="s">
        <v>12664</v>
      </c>
      <c r="AQ3170">
        <v>1949</v>
      </c>
      <c r="AR3170">
        <v>1974</v>
      </c>
      <c r="AS3170" t="s">
        <v>13138</v>
      </c>
      <c r="AT3170">
        <v>1.49760438056125</v>
      </c>
      <c r="AU3170">
        <f t="shared" si="149"/>
        <v>4.0000000000000001E-3</v>
      </c>
    </row>
    <row r="3171" spans="1:47" x14ac:dyDescent="0.3">
      <c r="A3171">
        <v>3169</v>
      </c>
      <c r="B3171" t="s">
        <v>13139</v>
      </c>
      <c r="C3171" t="s">
        <v>13140</v>
      </c>
      <c r="D3171">
        <v>790</v>
      </c>
      <c r="E3171" t="s">
        <v>13063</v>
      </c>
      <c r="F3171" t="str">
        <f>VLOOKUP(E3171,country_continent!A:C,2,FALSE)</f>
        <v>Nepal</v>
      </c>
      <c r="G3171" t="str">
        <f>VLOOKUP(E3171,country_continent!A:C,3,FALSE)</f>
        <v>Asia</v>
      </c>
      <c r="H3171" t="s">
        <v>13141</v>
      </c>
      <c r="I3171" s="1">
        <v>35501</v>
      </c>
      <c r="J3171" s="3">
        <f t="shared" si="147"/>
        <v>35501</v>
      </c>
      <c r="K3171" s="1">
        <v>35710</v>
      </c>
      <c r="L3171" s="3">
        <f t="shared" si="148"/>
        <v>35710</v>
      </c>
      <c r="M3171" t="s">
        <v>49</v>
      </c>
      <c r="N3171" t="s">
        <v>49</v>
      </c>
      <c r="O3171" t="s">
        <v>49</v>
      </c>
      <c r="P3171">
        <v>0</v>
      </c>
      <c r="Q3171" t="s">
        <v>50</v>
      </c>
      <c r="R3171" t="s">
        <v>51</v>
      </c>
      <c r="S3171">
        <v>1940</v>
      </c>
      <c r="T3171">
        <v>-777</v>
      </c>
      <c r="Z3171">
        <v>0</v>
      </c>
      <c r="AA3171">
        <v>1</v>
      </c>
      <c r="AB3171">
        <v>0</v>
      </c>
      <c r="AC3171">
        <v>0</v>
      </c>
      <c r="AF3171">
        <v>1997</v>
      </c>
      <c r="AG3171">
        <v>1997</v>
      </c>
      <c r="AO3171" t="b">
        <v>1</v>
      </c>
      <c r="AP3171" t="s">
        <v>12664</v>
      </c>
      <c r="AQ3171">
        <v>1949</v>
      </c>
      <c r="AR3171">
        <v>1974</v>
      </c>
      <c r="AS3171" t="s">
        <v>13142</v>
      </c>
      <c r="AT3171">
        <v>0.57221081451060896</v>
      </c>
      <c r="AU3171">
        <f t="shared" si="149"/>
        <v>2E-3</v>
      </c>
    </row>
    <row r="3172" spans="1:47" x14ac:dyDescent="0.3">
      <c r="A3172">
        <v>3170</v>
      </c>
      <c r="B3172" t="s">
        <v>13143</v>
      </c>
      <c r="C3172" t="s">
        <v>13144</v>
      </c>
      <c r="D3172">
        <v>790</v>
      </c>
      <c r="E3172" t="s">
        <v>13063</v>
      </c>
      <c r="F3172" t="str">
        <f>VLOOKUP(E3172,country_continent!A:C,2,FALSE)</f>
        <v>Nepal</v>
      </c>
      <c r="G3172" t="str">
        <f>VLOOKUP(E3172,country_continent!A:C,3,FALSE)</f>
        <v>Asia</v>
      </c>
      <c r="H3172" t="s">
        <v>13145</v>
      </c>
      <c r="I3172" s="1">
        <v>35710</v>
      </c>
      <c r="J3172" s="3">
        <f t="shared" si="147"/>
        <v>35710</v>
      </c>
      <c r="K3172" s="1">
        <v>35900</v>
      </c>
      <c r="L3172" s="3">
        <f t="shared" si="148"/>
        <v>35900</v>
      </c>
      <c r="M3172" t="s">
        <v>49</v>
      </c>
      <c r="N3172" t="s">
        <v>49</v>
      </c>
      <c r="O3172" t="s">
        <v>49</v>
      </c>
      <c r="P3172">
        <v>0</v>
      </c>
      <c r="Q3172" t="s">
        <v>50</v>
      </c>
      <c r="R3172" t="s">
        <v>51</v>
      </c>
      <c r="S3172">
        <v>1928</v>
      </c>
      <c r="T3172">
        <v>-777</v>
      </c>
      <c r="Z3172">
        <v>0</v>
      </c>
      <c r="AA3172">
        <v>1</v>
      </c>
      <c r="AB3172">
        <v>0</v>
      </c>
      <c r="AC3172">
        <v>0</v>
      </c>
      <c r="AF3172">
        <v>1997</v>
      </c>
      <c r="AG3172">
        <v>1998</v>
      </c>
      <c r="AO3172" t="b">
        <v>1</v>
      </c>
      <c r="AP3172" t="s">
        <v>12664</v>
      </c>
      <c r="AQ3172">
        <v>1949</v>
      </c>
      <c r="AR3172">
        <v>1974</v>
      </c>
      <c r="AS3172" t="s">
        <v>13146</v>
      </c>
      <c r="AT3172">
        <v>0.520191649555099</v>
      </c>
      <c r="AU3172">
        <f t="shared" si="149"/>
        <v>1E-3</v>
      </c>
    </row>
    <row r="3173" spans="1:47" x14ac:dyDescent="0.3">
      <c r="A3173">
        <v>3171</v>
      </c>
      <c r="B3173" t="s">
        <v>13147</v>
      </c>
      <c r="C3173" t="s">
        <v>13128</v>
      </c>
      <c r="D3173">
        <v>790</v>
      </c>
      <c r="E3173" t="s">
        <v>13063</v>
      </c>
      <c r="F3173" t="str">
        <f>VLOOKUP(E3173,country_continent!A:C,2,FALSE)</f>
        <v>Nepal</v>
      </c>
      <c r="G3173" t="str">
        <f>VLOOKUP(E3173,country_continent!A:C,3,FALSE)</f>
        <v>Asia</v>
      </c>
      <c r="H3173" t="s">
        <v>13129</v>
      </c>
      <c r="I3173" s="1">
        <v>35900</v>
      </c>
      <c r="J3173" s="3">
        <f t="shared" si="147"/>
        <v>35900</v>
      </c>
      <c r="K3173" s="1">
        <v>36311</v>
      </c>
      <c r="L3173" s="3">
        <f t="shared" si="148"/>
        <v>36311</v>
      </c>
      <c r="M3173" t="s">
        <v>49</v>
      </c>
      <c r="N3173" t="s">
        <v>49</v>
      </c>
      <c r="O3173" t="s">
        <v>49</v>
      </c>
      <c r="P3173">
        <v>1</v>
      </c>
      <c r="Q3173" t="s">
        <v>50</v>
      </c>
      <c r="R3173" t="s">
        <v>51</v>
      </c>
      <c r="S3173">
        <v>1925</v>
      </c>
      <c r="T3173">
        <v>2010</v>
      </c>
      <c r="Z3173">
        <v>0</v>
      </c>
      <c r="AA3173">
        <v>1</v>
      </c>
      <c r="AB3173">
        <v>0</v>
      </c>
      <c r="AC3173">
        <v>0</v>
      </c>
      <c r="AF3173">
        <v>1998</v>
      </c>
      <c r="AG3173">
        <v>1999</v>
      </c>
      <c r="AO3173" t="b">
        <v>1</v>
      </c>
      <c r="AP3173" t="s">
        <v>12664</v>
      </c>
      <c r="AQ3173">
        <v>1949</v>
      </c>
      <c r="AR3173">
        <v>1974</v>
      </c>
      <c r="AS3173" t="s">
        <v>13148</v>
      </c>
      <c r="AT3173">
        <v>1.1252566735112901</v>
      </c>
      <c r="AU3173">
        <f t="shared" si="149"/>
        <v>3.0000000000000001E-3</v>
      </c>
    </row>
    <row r="3174" spans="1:47" x14ac:dyDescent="0.3">
      <c r="A3174">
        <v>3172</v>
      </c>
      <c r="B3174" t="s">
        <v>13149</v>
      </c>
      <c r="C3174" t="s">
        <v>13124</v>
      </c>
      <c r="D3174">
        <v>790</v>
      </c>
      <c r="E3174" t="s">
        <v>13063</v>
      </c>
      <c r="F3174" t="str">
        <f>VLOOKUP(E3174,country_continent!A:C,2,FALSE)</f>
        <v>Nepal</v>
      </c>
      <c r="G3174" t="str">
        <f>VLOOKUP(E3174,country_continent!A:C,3,FALSE)</f>
        <v>Asia</v>
      </c>
      <c r="H3174" t="s">
        <v>13125</v>
      </c>
      <c r="I3174" s="1">
        <v>36311</v>
      </c>
      <c r="J3174" s="3">
        <f t="shared" si="147"/>
        <v>36311</v>
      </c>
      <c r="K3174" s="1">
        <v>36607</v>
      </c>
      <c r="L3174" s="3">
        <f t="shared" si="148"/>
        <v>36607</v>
      </c>
      <c r="M3174" t="s">
        <v>49</v>
      </c>
      <c r="N3174" t="s">
        <v>49</v>
      </c>
      <c r="O3174" t="s">
        <v>49</v>
      </c>
      <c r="P3174">
        <v>1</v>
      </c>
      <c r="Q3174" t="s">
        <v>50</v>
      </c>
      <c r="R3174" t="s">
        <v>51</v>
      </c>
      <c r="S3174">
        <v>1924</v>
      </c>
      <c r="T3174">
        <v>2011</v>
      </c>
      <c r="Z3174">
        <v>0</v>
      </c>
      <c r="AA3174">
        <v>1</v>
      </c>
      <c r="AB3174">
        <v>0</v>
      </c>
      <c r="AC3174">
        <v>0</v>
      </c>
      <c r="AF3174">
        <v>1999</v>
      </c>
      <c r="AG3174">
        <v>2000</v>
      </c>
      <c r="AO3174" t="b">
        <v>1</v>
      </c>
      <c r="AP3174" t="s">
        <v>12664</v>
      </c>
      <c r="AQ3174">
        <v>1949</v>
      </c>
      <c r="AR3174">
        <v>1974</v>
      </c>
      <c r="AS3174" t="s">
        <v>13150</v>
      </c>
      <c r="AT3174">
        <v>0.81040383299110197</v>
      </c>
      <c r="AU3174">
        <f t="shared" si="149"/>
        <v>2E-3</v>
      </c>
    </row>
    <row r="3175" spans="1:47" x14ac:dyDescent="0.3">
      <c r="A3175">
        <v>3173</v>
      </c>
      <c r="B3175" t="s">
        <v>13151</v>
      </c>
      <c r="C3175" t="s">
        <v>13128</v>
      </c>
      <c r="D3175">
        <v>790</v>
      </c>
      <c r="E3175" t="s">
        <v>13063</v>
      </c>
      <c r="F3175" t="str">
        <f>VLOOKUP(E3175,country_continent!A:C,2,FALSE)</f>
        <v>Nepal</v>
      </c>
      <c r="G3175" t="str">
        <f>VLOOKUP(E3175,country_continent!A:C,3,FALSE)</f>
        <v>Asia</v>
      </c>
      <c r="H3175" t="s">
        <v>13129</v>
      </c>
      <c r="I3175" s="1">
        <v>36607</v>
      </c>
      <c r="J3175" s="3">
        <f t="shared" si="147"/>
        <v>36607</v>
      </c>
      <c r="K3175" s="1">
        <v>37098</v>
      </c>
      <c r="L3175" s="3">
        <f t="shared" si="148"/>
        <v>37098</v>
      </c>
      <c r="M3175" t="s">
        <v>49</v>
      </c>
      <c r="N3175" t="s">
        <v>49</v>
      </c>
      <c r="O3175" t="s">
        <v>49</v>
      </c>
      <c r="P3175">
        <v>2</v>
      </c>
      <c r="Q3175" t="s">
        <v>50</v>
      </c>
      <c r="R3175" t="s">
        <v>51</v>
      </c>
      <c r="S3175">
        <v>1925</v>
      </c>
      <c r="T3175">
        <v>2010</v>
      </c>
      <c r="Z3175">
        <v>0</v>
      </c>
      <c r="AA3175">
        <v>1</v>
      </c>
      <c r="AB3175">
        <v>0</v>
      </c>
      <c r="AC3175">
        <v>0</v>
      </c>
      <c r="AF3175">
        <v>2000</v>
      </c>
      <c r="AG3175">
        <v>2001</v>
      </c>
      <c r="AO3175" t="b">
        <v>1</v>
      </c>
      <c r="AP3175" t="s">
        <v>12664</v>
      </c>
      <c r="AQ3175">
        <v>1949</v>
      </c>
      <c r="AR3175">
        <v>1974</v>
      </c>
      <c r="AS3175" t="s">
        <v>13152</v>
      </c>
      <c r="AT3175">
        <v>1.34428473648186</v>
      </c>
      <c r="AU3175">
        <f t="shared" si="149"/>
        <v>4.0000000000000001E-3</v>
      </c>
    </row>
    <row r="3176" spans="1:47" x14ac:dyDescent="0.3">
      <c r="A3176">
        <v>3174</v>
      </c>
      <c r="B3176" t="s">
        <v>13153</v>
      </c>
      <c r="C3176" t="s">
        <v>13154</v>
      </c>
      <c r="D3176">
        <v>790</v>
      </c>
      <c r="E3176" t="s">
        <v>13063</v>
      </c>
      <c r="F3176" t="str">
        <f>VLOOKUP(E3176,country_continent!A:C,2,FALSE)</f>
        <v>Nepal</v>
      </c>
      <c r="G3176" t="str">
        <f>VLOOKUP(E3176,country_continent!A:C,3,FALSE)</f>
        <v>Asia</v>
      </c>
      <c r="H3176" t="s">
        <v>13155</v>
      </c>
      <c r="I3176" s="1">
        <v>37098</v>
      </c>
      <c r="J3176" s="3">
        <f t="shared" si="147"/>
        <v>37098</v>
      </c>
      <c r="K3176" s="1">
        <v>37533</v>
      </c>
      <c r="L3176" s="3">
        <f t="shared" si="148"/>
        <v>37533</v>
      </c>
      <c r="M3176" t="s">
        <v>49</v>
      </c>
      <c r="N3176" t="s">
        <v>49</v>
      </c>
      <c r="O3176" t="s">
        <v>49</v>
      </c>
      <c r="P3176">
        <v>1</v>
      </c>
      <c r="Q3176" t="s">
        <v>50</v>
      </c>
      <c r="R3176" t="s">
        <v>51</v>
      </c>
      <c r="S3176">
        <v>1946</v>
      </c>
      <c r="T3176">
        <v>-777</v>
      </c>
      <c r="Z3176">
        <v>0</v>
      </c>
      <c r="AA3176">
        <v>1</v>
      </c>
      <c r="AB3176">
        <v>0</v>
      </c>
      <c r="AC3176">
        <v>0</v>
      </c>
      <c r="AF3176">
        <v>2001</v>
      </c>
      <c r="AG3176">
        <v>2002</v>
      </c>
      <c r="AO3176" t="b">
        <v>1</v>
      </c>
      <c r="AP3176" t="s">
        <v>12664</v>
      </c>
      <c r="AQ3176">
        <v>1949</v>
      </c>
      <c r="AR3176">
        <v>1974</v>
      </c>
      <c r="AS3176" t="s">
        <v>13156</v>
      </c>
      <c r="AT3176">
        <v>1.19096509240246</v>
      </c>
      <c r="AU3176">
        <f t="shared" si="149"/>
        <v>3.0000000000000001E-3</v>
      </c>
    </row>
    <row r="3177" spans="1:47" x14ac:dyDescent="0.3">
      <c r="A3177">
        <v>3175</v>
      </c>
      <c r="B3177" t="s">
        <v>13157</v>
      </c>
      <c r="C3177" t="s">
        <v>13140</v>
      </c>
      <c r="D3177">
        <v>790</v>
      </c>
      <c r="E3177" t="s">
        <v>13063</v>
      </c>
      <c r="F3177" t="str">
        <f>VLOOKUP(E3177,country_continent!A:C,2,FALSE)</f>
        <v>Nepal</v>
      </c>
      <c r="G3177" t="str">
        <f>VLOOKUP(E3177,country_continent!A:C,3,FALSE)</f>
        <v>Asia</v>
      </c>
      <c r="H3177" t="s">
        <v>13141</v>
      </c>
      <c r="I3177" s="1">
        <v>37540</v>
      </c>
      <c r="J3177" s="3">
        <f t="shared" si="147"/>
        <v>37540</v>
      </c>
      <c r="K3177" s="1">
        <v>37777</v>
      </c>
      <c r="L3177" s="3">
        <f t="shared" si="148"/>
        <v>37777</v>
      </c>
      <c r="M3177" t="s">
        <v>49</v>
      </c>
      <c r="N3177" t="s">
        <v>49</v>
      </c>
      <c r="O3177" t="s">
        <v>49</v>
      </c>
      <c r="P3177">
        <v>1</v>
      </c>
      <c r="Q3177" t="s">
        <v>50</v>
      </c>
      <c r="R3177" t="s">
        <v>51</v>
      </c>
      <c r="S3177">
        <v>1940</v>
      </c>
      <c r="T3177">
        <v>-777</v>
      </c>
      <c r="Z3177">
        <v>0</v>
      </c>
      <c r="AA3177">
        <v>1</v>
      </c>
      <c r="AB3177">
        <v>0</v>
      </c>
      <c r="AC3177">
        <v>0</v>
      </c>
      <c r="AF3177">
        <v>2002</v>
      </c>
      <c r="AG3177">
        <v>2003</v>
      </c>
      <c r="AO3177" t="b">
        <v>1</v>
      </c>
      <c r="AP3177" t="s">
        <v>12664</v>
      </c>
      <c r="AQ3177">
        <v>1949</v>
      </c>
      <c r="AR3177">
        <v>1974</v>
      </c>
      <c r="AS3177" t="s">
        <v>13158</v>
      </c>
      <c r="AT3177">
        <v>0.64887063655030797</v>
      </c>
      <c r="AU3177">
        <f t="shared" si="149"/>
        <v>2E-3</v>
      </c>
    </row>
    <row r="3178" spans="1:47" x14ac:dyDescent="0.3">
      <c r="A3178">
        <v>3176</v>
      </c>
      <c r="B3178" t="s">
        <v>13159</v>
      </c>
      <c r="C3178" t="s">
        <v>13160</v>
      </c>
      <c r="D3178">
        <v>790</v>
      </c>
      <c r="E3178" t="s">
        <v>13063</v>
      </c>
      <c r="F3178" t="str">
        <f>VLOOKUP(E3178,country_continent!A:C,2,FALSE)</f>
        <v>Nepal</v>
      </c>
      <c r="G3178" t="str">
        <f>VLOOKUP(E3178,country_continent!A:C,3,FALSE)</f>
        <v>Asia</v>
      </c>
      <c r="H3178" t="s">
        <v>13161</v>
      </c>
      <c r="I3178" s="1">
        <v>37777</v>
      </c>
      <c r="J3178" s="3">
        <f t="shared" si="147"/>
        <v>37777</v>
      </c>
      <c r="K3178" s="1">
        <v>38141</v>
      </c>
      <c r="L3178" s="3">
        <f t="shared" si="148"/>
        <v>38141</v>
      </c>
      <c r="M3178" t="s">
        <v>49</v>
      </c>
      <c r="N3178" t="s">
        <v>49</v>
      </c>
      <c r="O3178" t="s">
        <v>49</v>
      </c>
      <c r="P3178">
        <v>1</v>
      </c>
      <c r="Q3178" t="s">
        <v>50</v>
      </c>
      <c r="R3178" t="s">
        <v>51</v>
      </c>
      <c r="S3178">
        <v>1928</v>
      </c>
      <c r="T3178">
        <v>-777</v>
      </c>
      <c r="Z3178">
        <v>0</v>
      </c>
      <c r="AA3178">
        <v>1</v>
      </c>
      <c r="AB3178">
        <v>0</v>
      </c>
      <c r="AC3178">
        <v>0</v>
      </c>
      <c r="AF3178">
        <v>2003</v>
      </c>
      <c r="AG3178">
        <v>2004</v>
      </c>
      <c r="AO3178" t="b">
        <v>1</v>
      </c>
      <c r="AP3178" t="s">
        <v>12664</v>
      </c>
      <c r="AQ3178">
        <v>1949</v>
      </c>
      <c r="AR3178">
        <v>1974</v>
      </c>
      <c r="AS3178" t="s">
        <v>13162</v>
      </c>
      <c r="AT3178">
        <v>0.99657768651608403</v>
      </c>
      <c r="AU3178">
        <f t="shared" si="149"/>
        <v>3.0000000000000001E-3</v>
      </c>
    </row>
    <row r="3179" spans="1:47" x14ac:dyDescent="0.3">
      <c r="A3179">
        <v>3177</v>
      </c>
      <c r="B3179" t="s">
        <v>13163</v>
      </c>
      <c r="C3179" t="s">
        <v>13154</v>
      </c>
      <c r="D3179">
        <v>790</v>
      </c>
      <c r="E3179" t="s">
        <v>13063</v>
      </c>
      <c r="F3179" t="str">
        <f>VLOOKUP(E3179,country_continent!A:C,2,FALSE)</f>
        <v>Nepal</v>
      </c>
      <c r="G3179" t="str">
        <f>VLOOKUP(E3179,country_continent!A:C,3,FALSE)</f>
        <v>Asia</v>
      </c>
      <c r="H3179" t="s">
        <v>13155</v>
      </c>
      <c r="I3179" s="1">
        <v>38141</v>
      </c>
      <c r="J3179" s="3">
        <f t="shared" si="147"/>
        <v>38141</v>
      </c>
      <c r="K3179" s="1">
        <v>38384</v>
      </c>
      <c r="L3179" s="3">
        <f t="shared" si="148"/>
        <v>38384</v>
      </c>
      <c r="M3179" t="s">
        <v>49</v>
      </c>
      <c r="N3179" t="s">
        <v>49</v>
      </c>
      <c r="O3179" t="s">
        <v>49</v>
      </c>
      <c r="P3179">
        <v>2</v>
      </c>
      <c r="Q3179" t="s">
        <v>50</v>
      </c>
      <c r="R3179" t="s">
        <v>51</v>
      </c>
      <c r="S3179">
        <v>1946</v>
      </c>
      <c r="T3179">
        <v>-777</v>
      </c>
      <c r="U3179" s="1">
        <v>16966</v>
      </c>
      <c r="V3179" s="2">
        <v>16966</v>
      </c>
      <c r="Z3179">
        <v>0</v>
      </c>
      <c r="AA3179">
        <v>1</v>
      </c>
      <c r="AB3179">
        <v>0</v>
      </c>
      <c r="AC3179">
        <v>0</v>
      </c>
      <c r="AF3179">
        <v>2004</v>
      </c>
      <c r="AG3179">
        <v>2005</v>
      </c>
      <c r="AO3179" t="b">
        <v>1</v>
      </c>
      <c r="AP3179" t="s">
        <v>12664</v>
      </c>
      <c r="AQ3179">
        <v>1949</v>
      </c>
      <c r="AR3179">
        <v>1974</v>
      </c>
      <c r="AS3179" t="s">
        <v>13164</v>
      </c>
      <c r="AT3179">
        <v>0.66529774127310004</v>
      </c>
      <c r="AU3179">
        <f t="shared" si="149"/>
        <v>2E-3</v>
      </c>
    </row>
    <row r="3180" spans="1:47" x14ac:dyDescent="0.3">
      <c r="A3180">
        <v>3178</v>
      </c>
      <c r="B3180" t="s">
        <v>13165</v>
      </c>
      <c r="C3180" t="s">
        <v>13166</v>
      </c>
      <c r="D3180">
        <v>790</v>
      </c>
      <c r="E3180" t="s">
        <v>13063</v>
      </c>
      <c r="F3180" t="str">
        <f>VLOOKUP(E3180,country_continent!A:C,2,FALSE)</f>
        <v>Nepal</v>
      </c>
      <c r="G3180" t="str">
        <f>VLOOKUP(E3180,country_continent!A:C,3,FALSE)</f>
        <v>Asia</v>
      </c>
      <c r="H3180" t="s">
        <v>13167</v>
      </c>
      <c r="I3180" s="1">
        <v>38384</v>
      </c>
      <c r="J3180" s="3">
        <f t="shared" si="147"/>
        <v>38384</v>
      </c>
      <c r="K3180" s="1">
        <v>38837</v>
      </c>
      <c r="L3180" s="3">
        <f t="shared" si="148"/>
        <v>38837</v>
      </c>
      <c r="M3180" t="s">
        <v>49</v>
      </c>
      <c r="N3180" t="s">
        <v>67</v>
      </c>
      <c r="O3180" t="s">
        <v>613</v>
      </c>
      <c r="P3180">
        <v>0</v>
      </c>
      <c r="Q3180" t="s">
        <v>50</v>
      </c>
      <c r="R3180" t="s">
        <v>51</v>
      </c>
      <c r="S3180">
        <v>1947</v>
      </c>
      <c r="T3180">
        <v>-777</v>
      </c>
      <c r="U3180" s="1">
        <v>17355</v>
      </c>
      <c r="V3180" s="2">
        <v>17355</v>
      </c>
      <c r="Z3180">
        <v>0</v>
      </c>
      <c r="AA3180">
        <v>3</v>
      </c>
      <c r="AB3180">
        <v>2</v>
      </c>
      <c r="AC3180">
        <v>0</v>
      </c>
      <c r="AF3180">
        <v>2005</v>
      </c>
      <c r="AG3180">
        <v>2006</v>
      </c>
      <c r="AO3180" t="b">
        <v>1</v>
      </c>
      <c r="AP3180" t="s">
        <v>12664</v>
      </c>
      <c r="AQ3180">
        <v>1949</v>
      </c>
      <c r="AR3180">
        <v>1974</v>
      </c>
      <c r="AS3180" t="s">
        <v>13168</v>
      </c>
      <c r="AT3180">
        <v>1.2402464065708401</v>
      </c>
      <c r="AU3180">
        <f t="shared" si="149"/>
        <v>3.0000000000000001E-3</v>
      </c>
    </row>
    <row r="3181" spans="1:47" x14ac:dyDescent="0.3">
      <c r="A3181">
        <v>3179</v>
      </c>
      <c r="B3181" t="s">
        <v>13169</v>
      </c>
      <c r="C3181" t="s">
        <v>13128</v>
      </c>
      <c r="D3181">
        <v>790</v>
      </c>
      <c r="E3181" t="s">
        <v>13063</v>
      </c>
      <c r="F3181" t="str">
        <f>VLOOKUP(E3181,country_continent!A:C,2,FALSE)</f>
        <v>Nepal</v>
      </c>
      <c r="G3181" t="str">
        <f>VLOOKUP(E3181,country_continent!A:C,3,FALSE)</f>
        <v>Asia</v>
      </c>
      <c r="H3181" t="s">
        <v>13129</v>
      </c>
      <c r="I3181" s="1">
        <v>38837</v>
      </c>
      <c r="J3181" s="3">
        <f t="shared" si="147"/>
        <v>38837</v>
      </c>
      <c r="K3181" s="1">
        <v>39678</v>
      </c>
      <c r="L3181" s="3">
        <f t="shared" si="148"/>
        <v>39678</v>
      </c>
      <c r="M3181" t="s">
        <v>49</v>
      </c>
      <c r="N3181" t="s">
        <v>49</v>
      </c>
      <c r="O3181" t="s">
        <v>49</v>
      </c>
      <c r="P3181">
        <v>3</v>
      </c>
      <c r="Q3181" t="s">
        <v>50</v>
      </c>
      <c r="R3181" t="s">
        <v>51</v>
      </c>
      <c r="S3181">
        <v>1925</v>
      </c>
      <c r="T3181">
        <v>2010</v>
      </c>
      <c r="Z3181">
        <v>0</v>
      </c>
      <c r="AA3181">
        <v>1</v>
      </c>
      <c r="AB3181">
        <v>0</v>
      </c>
      <c r="AC3181">
        <v>0</v>
      </c>
      <c r="AF3181">
        <v>2006</v>
      </c>
      <c r="AG3181">
        <v>2008</v>
      </c>
      <c r="AO3181" t="b">
        <v>1</v>
      </c>
      <c r="AP3181" t="s">
        <v>12664</v>
      </c>
      <c r="AQ3181">
        <v>1949</v>
      </c>
      <c r="AR3181">
        <v>1974</v>
      </c>
      <c r="AS3181" t="s">
        <v>13170</v>
      </c>
      <c r="AT3181">
        <v>2.3025325119780899</v>
      </c>
      <c r="AU3181">
        <f t="shared" si="149"/>
        <v>6.0000000000000001E-3</v>
      </c>
    </row>
    <row r="3182" spans="1:47" x14ac:dyDescent="0.3">
      <c r="A3182">
        <v>3180</v>
      </c>
      <c r="B3182" t="s">
        <v>13171</v>
      </c>
      <c r="C3182" t="s">
        <v>13172</v>
      </c>
      <c r="D3182">
        <v>790</v>
      </c>
      <c r="E3182" t="s">
        <v>13063</v>
      </c>
      <c r="F3182" t="str">
        <f>VLOOKUP(E3182,country_continent!A:C,2,FALSE)</f>
        <v>Nepal</v>
      </c>
      <c r="G3182" t="str">
        <f>VLOOKUP(E3182,country_continent!A:C,3,FALSE)</f>
        <v>Asia</v>
      </c>
      <c r="H3182" t="s">
        <v>13173</v>
      </c>
      <c r="I3182" s="1">
        <v>39678</v>
      </c>
      <c r="J3182" s="3">
        <f t="shared" si="147"/>
        <v>39678</v>
      </c>
      <c r="K3182" s="1">
        <v>39958</v>
      </c>
      <c r="L3182" s="3">
        <f t="shared" si="148"/>
        <v>39958</v>
      </c>
      <c r="M3182" t="s">
        <v>49</v>
      </c>
      <c r="N3182" t="s">
        <v>49</v>
      </c>
      <c r="O3182" t="s">
        <v>49</v>
      </c>
      <c r="P3182">
        <v>0</v>
      </c>
      <c r="Q3182" t="s">
        <v>50</v>
      </c>
      <c r="R3182" t="s">
        <v>51</v>
      </c>
      <c r="S3182">
        <v>1954</v>
      </c>
      <c r="T3182">
        <v>-777</v>
      </c>
      <c r="Z3182">
        <v>0</v>
      </c>
      <c r="AA3182">
        <v>1</v>
      </c>
      <c r="AB3182">
        <v>0</v>
      </c>
      <c r="AC3182">
        <v>0</v>
      </c>
      <c r="AF3182">
        <v>2008</v>
      </c>
      <c r="AG3182">
        <v>2009</v>
      </c>
      <c r="AO3182" t="b">
        <v>1</v>
      </c>
      <c r="AP3182" t="s">
        <v>12664</v>
      </c>
      <c r="AQ3182">
        <v>1949</v>
      </c>
      <c r="AR3182">
        <v>1974</v>
      </c>
      <c r="AS3182" t="s">
        <v>13174</v>
      </c>
      <c r="AT3182">
        <v>0.76659822039698799</v>
      </c>
      <c r="AU3182">
        <f t="shared" si="149"/>
        <v>2E-3</v>
      </c>
    </row>
    <row r="3183" spans="1:47" x14ac:dyDescent="0.3">
      <c r="A3183">
        <v>3181</v>
      </c>
      <c r="B3183" t="s">
        <v>13175</v>
      </c>
      <c r="C3183" t="s">
        <v>13176</v>
      </c>
      <c r="D3183">
        <v>790</v>
      </c>
      <c r="E3183" t="s">
        <v>13063</v>
      </c>
      <c r="F3183" t="str">
        <f>VLOOKUP(E3183,country_continent!A:C,2,FALSE)</f>
        <v>Nepal</v>
      </c>
      <c r="G3183" t="str">
        <f>VLOOKUP(E3183,country_continent!A:C,3,FALSE)</f>
        <v>Asia</v>
      </c>
      <c r="H3183" t="s">
        <v>13177</v>
      </c>
      <c r="I3183" s="1">
        <v>39958</v>
      </c>
      <c r="J3183" s="3">
        <f t="shared" si="147"/>
        <v>39958</v>
      </c>
      <c r="K3183" s="1">
        <v>40580</v>
      </c>
      <c r="L3183" s="3">
        <f t="shared" si="148"/>
        <v>40580</v>
      </c>
      <c r="M3183" t="s">
        <v>49</v>
      </c>
      <c r="N3183" t="s">
        <v>49</v>
      </c>
      <c r="O3183" t="s">
        <v>49</v>
      </c>
      <c r="P3183">
        <v>0</v>
      </c>
      <c r="Q3183" t="s">
        <v>50</v>
      </c>
      <c r="R3183" t="s">
        <v>51</v>
      </c>
      <c r="S3183">
        <v>1953</v>
      </c>
      <c r="T3183">
        <v>-777</v>
      </c>
      <c r="Z3183">
        <v>0</v>
      </c>
      <c r="AA3183">
        <v>1</v>
      </c>
      <c r="AB3183">
        <v>0</v>
      </c>
      <c r="AC3183">
        <v>0</v>
      </c>
      <c r="AF3183">
        <v>2009</v>
      </c>
      <c r="AG3183">
        <v>2011</v>
      </c>
      <c r="AO3183" t="b">
        <v>1</v>
      </c>
      <c r="AP3183" t="s">
        <v>12664</v>
      </c>
      <c r="AQ3183">
        <v>1949</v>
      </c>
      <c r="AR3183">
        <v>1974</v>
      </c>
      <c r="AS3183" t="s">
        <v>13178</v>
      </c>
      <c r="AT3183">
        <v>1.70294318959616</v>
      </c>
      <c r="AU3183">
        <f t="shared" si="149"/>
        <v>5.0000000000000001E-3</v>
      </c>
    </row>
    <row r="3184" spans="1:47" x14ac:dyDescent="0.3">
      <c r="A3184">
        <v>3182</v>
      </c>
      <c r="B3184" t="s">
        <v>13179</v>
      </c>
      <c r="C3184" t="s">
        <v>13180</v>
      </c>
      <c r="D3184">
        <v>790</v>
      </c>
      <c r="E3184" t="s">
        <v>13063</v>
      </c>
      <c r="F3184" t="str">
        <f>VLOOKUP(E3184,country_continent!A:C,2,FALSE)</f>
        <v>Nepal</v>
      </c>
      <c r="G3184" t="str">
        <f>VLOOKUP(E3184,country_continent!A:C,3,FALSE)</f>
        <v>Asia</v>
      </c>
      <c r="H3184" t="s">
        <v>13181</v>
      </c>
      <c r="I3184" s="1">
        <v>40580</v>
      </c>
      <c r="J3184" s="3">
        <f t="shared" si="147"/>
        <v>40580</v>
      </c>
      <c r="K3184" s="1">
        <v>40784</v>
      </c>
      <c r="L3184" s="3">
        <f t="shared" si="148"/>
        <v>40784</v>
      </c>
      <c r="M3184" t="s">
        <v>49</v>
      </c>
      <c r="N3184" t="s">
        <v>49</v>
      </c>
      <c r="O3184" t="s">
        <v>49</v>
      </c>
      <c r="P3184">
        <v>0</v>
      </c>
      <c r="Q3184" t="s">
        <v>50</v>
      </c>
      <c r="R3184" t="s">
        <v>51</v>
      </c>
      <c r="S3184">
        <v>1950</v>
      </c>
      <c r="T3184">
        <v>-777</v>
      </c>
      <c r="Z3184">
        <v>0</v>
      </c>
      <c r="AA3184">
        <v>1</v>
      </c>
      <c r="AB3184">
        <v>0</v>
      </c>
      <c r="AC3184">
        <v>0</v>
      </c>
      <c r="AF3184">
        <v>2011</v>
      </c>
      <c r="AG3184">
        <v>2011</v>
      </c>
      <c r="AO3184" t="b">
        <v>1</v>
      </c>
      <c r="AP3184" t="s">
        <v>12664</v>
      </c>
      <c r="AQ3184">
        <v>1949</v>
      </c>
      <c r="AR3184">
        <v>1974</v>
      </c>
      <c r="AS3184" t="s">
        <v>13182</v>
      </c>
      <c r="AT3184">
        <v>0.55852156057494795</v>
      </c>
      <c r="AU3184">
        <f t="shared" si="149"/>
        <v>2E-3</v>
      </c>
    </row>
    <row r="3185" spans="1:47" x14ac:dyDescent="0.3">
      <c r="A3185">
        <v>3183</v>
      </c>
      <c r="B3185" t="s">
        <v>13183</v>
      </c>
      <c r="C3185" t="s">
        <v>13184</v>
      </c>
      <c r="D3185">
        <v>790</v>
      </c>
      <c r="E3185" t="s">
        <v>13063</v>
      </c>
      <c r="F3185" t="str">
        <f>VLOOKUP(E3185,country_continent!A:C,2,FALSE)</f>
        <v>Nepal</v>
      </c>
      <c r="G3185" t="str">
        <f>VLOOKUP(E3185,country_continent!A:C,3,FALSE)</f>
        <v>Asia</v>
      </c>
      <c r="H3185" t="s">
        <v>13185</v>
      </c>
      <c r="I3185" s="1">
        <v>40784</v>
      </c>
      <c r="J3185" s="3">
        <f t="shared" si="147"/>
        <v>40784</v>
      </c>
      <c r="K3185" s="1">
        <v>41347</v>
      </c>
      <c r="L3185" s="3">
        <f t="shared" si="148"/>
        <v>41347</v>
      </c>
      <c r="M3185" t="s">
        <v>49</v>
      </c>
      <c r="N3185" t="s">
        <v>49</v>
      </c>
      <c r="O3185" t="s">
        <v>49</v>
      </c>
      <c r="P3185">
        <v>0</v>
      </c>
      <c r="Q3185" t="s">
        <v>50</v>
      </c>
      <c r="R3185" t="s">
        <v>51</v>
      </c>
      <c r="S3185">
        <v>1954</v>
      </c>
      <c r="T3185">
        <v>-777</v>
      </c>
      <c r="Z3185">
        <v>0</v>
      </c>
      <c r="AA3185">
        <v>1</v>
      </c>
      <c r="AB3185">
        <v>0</v>
      </c>
      <c r="AC3185">
        <v>0</v>
      </c>
      <c r="AF3185">
        <v>2011</v>
      </c>
      <c r="AG3185">
        <v>2013</v>
      </c>
      <c r="AO3185" t="b">
        <v>1</v>
      </c>
      <c r="AP3185" t="s">
        <v>12664</v>
      </c>
      <c r="AQ3185">
        <v>1949</v>
      </c>
      <c r="AR3185">
        <v>1974</v>
      </c>
      <c r="AS3185" t="s">
        <v>13186</v>
      </c>
      <c r="AT3185">
        <v>1.54140999315537</v>
      </c>
      <c r="AU3185">
        <f t="shared" si="149"/>
        <v>4.0000000000000001E-3</v>
      </c>
    </row>
    <row r="3186" spans="1:47" x14ac:dyDescent="0.3">
      <c r="A3186">
        <v>3184</v>
      </c>
      <c r="B3186" t="s">
        <v>13187</v>
      </c>
      <c r="C3186" t="s">
        <v>13188</v>
      </c>
      <c r="D3186">
        <v>790</v>
      </c>
      <c r="E3186" t="s">
        <v>13063</v>
      </c>
      <c r="F3186" t="str">
        <f>VLOOKUP(E3186,country_continent!A:C,2,FALSE)</f>
        <v>Nepal</v>
      </c>
      <c r="G3186" t="str">
        <f>VLOOKUP(E3186,country_continent!A:C,3,FALSE)</f>
        <v>Asia</v>
      </c>
      <c r="H3186" t="s">
        <v>13189</v>
      </c>
      <c r="I3186" s="1">
        <v>41347</v>
      </c>
      <c r="J3186" s="3">
        <f t="shared" si="147"/>
        <v>41347</v>
      </c>
      <c r="K3186" s="1">
        <v>41681</v>
      </c>
      <c r="L3186" s="3">
        <f t="shared" si="148"/>
        <v>41681</v>
      </c>
      <c r="M3186" t="s">
        <v>49</v>
      </c>
      <c r="N3186" t="s">
        <v>49</v>
      </c>
      <c r="O3186" t="s">
        <v>49</v>
      </c>
      <c r="P3186">
        <v>0</v>
      </c>
      <c r="Q3186" t="s">
        <v>50</v>
      </c>
      <c r="R3186" t="s">
        <v>51</v>
      </c>
      <c r="S3186">
        <v>1949</v>
      </c>
      <c r="T3186">
        <v>-777</v>
      </c>
      <c r="U3186" s="1">
        <v>18049</v>
      </c>
      <c r="V3186" s="2">
        <v>18049</v>
      </c>
      <c r="Z3186">
        <v>0</v>
      </c>
      <c r="AA3186">
        <v>1</v>
      </c>
      <c r="AB3186">
        <v>0</v>
      </c>
      <c r="AC3186">
        <v>0</v>
      </c>
      <c r="AF3186">
        <v>2013</v>
      </c>
      <c r="AG3186">
        <v>2014</v>
      </c>
      <c r="AO3186" t="b">
        <v>1</v>
      </c>
      <c r="AP3186" t="s">
        <v>12664</v>
      </c>
      <c r="AQ3186">
        <v>1949</v>
      </c>
      <c r="AR3186">
        <v>1974</v>
      </c>
      <c r="AS3186" t="s">
        <v>13190</v>
      </c>
      <c r="AT3186">
        <v>0.91444216290212099</v>
      </c>
      <c r="AU3186">
        <f t="shared" si="149"/>
        <v>3.0000000000000001E-3</v>
      </c>
    </row>
    <row r="3187" spans="1:47" x14ac:dyDescent="0.3">
      <c r="A3187">
        <v>3185</v>
      </c>
      <c r="B3187" t="s">
        <v>13191</v>
      </c>
      <c r="C3187" t="s">
        <v>13192</v>
      </c>
      <c r="D3187">
        <v>790</v>
      </c>
      <c r="E3187" t="s">
        <v>13063</v>
      </c>
      <c r="F3187" t="str">
        <f>VLOOKUP(E3187,country_continent!A:C,2,FALSE)</f>
        <v>Nepal</v>
      </c>
      <c r="G3187" t="str">
        <f>VLOOKUP(E3187,country_continent!A:C,3,FALSE)</f>
        <v>Asia</v>
      </c>
      <c r="H3187" t="s">
        <v>13193</v>
      </c>
      <c r="I3187" s="1">
        <v>41681</v>
      </c>
      <c r="J3187" s="3">
        <f t="shared" si="147"/>
        <v>41681</v>
      </c>
      <c r="K3187" s="1">
        <v>42287</v>
      </c>
      <c r="L3187" s="3">
        <f t="shared" si="148"/>
        <v>42287</v>
      </c>
      <c r="M3187" t="s">
        <v>49</v>
      </c>
      <c r="N3187" t="s">
        <v>49</v>
      </c>
      <c r="O3187" t="s">
        <v>49</v>
      </c>
      <c r="P3187">
        <v>0</v>
      </c>
      <c r="Q3187" t="s">
        <v>312</v>
      </c>
      <c r="R3187" t="s">
        <v>51</v>
      </c>
      <c r="S3187">
        <v>1939</v>
      </c>
      <c r="T3187">
        <v>-777</v>
      </c>
      <c r="U3187" s="1">
        <v>14469</v>
      </c>
      <c r="V3187" s="2">
        <v>14469</v>
      </c>
      <c r="Z3187">
        <v>0</v>
      </c>
      <c r="AA3187">
        <v>1</v>
      </c>
      <c r="AB3187">
        <v>0</v>
      </c>
      <c r="AC3187">
        <v>-999</v>
      </c>
      <c r="AF3187">
        <v>2014</v>
      </c>
      <c r="AG3187">
        <v>2015</v>
      </c>
      <c r="AO3187" t="b">
        <v>1</v>
      </c>
      <c r="AP3187" t="s">
        <v>12664</v>
      </c>
      <c r="AQ3187">
        <v>1949</v>
      </c>
      <c r="AR3187">
        <v>1974</v>
      </c>
      <c r="AS3187" t="s">
        <v>13194</v>
      </c>
      <c r="AT3187">
        <v>1.65913757700205</v>
      </c>
      <c r="AU3187">
        <f t="shared" si="149"/>
        <v>5.0000000000000001E-3</v>
      </c>
    </row>
    <row r="3188" spans="1:47" x14ac:dyDescent="0.3">
      <c r="A3188">
        <v>3186</v>
      </c>
      <c r="B3188" t="s">
        <v>13195</v>
      </c>
      <c r="C3188" t="s">
        <v>13196</v>
      </c>
      <c r="D3188">
        <v>790</v>
      </c>
      <c r="E3188" t="s">
        <v>13063</v>
      </c>
      <c r="F3188" t="str">
        <f>VLOOKUP(E3188,country_continent!A:C,2,FALSE)</f>
        <v>Nepal</v>
      </c>
      <c r="G3188" t="str">
        <f>VLOOKUP(E3188,country_continent!A:C,3,FALSE)</f>
        <v>Asia</v>
      </c>
      <c r="H3188" t="s">
        <v>13197</v>
      </c>
      <c r="I3188" s="1">
        <v>42287</v>
      </c>
      <c r="J3188" s="3">
        <f t="shared" si="147"/>
        <v>42287</v>
      </c>
      <c r="K3188" s="1">
        <v>42369</v>
      </c>
      <c r="L3188" s="3">
        <f t="shared" si="148"/>
        <v>42369</v>
      </c>
      <c r="M3188" t="s">
        <v>49</v>
      </c>
      <c r="N3188" t="s">
        <v>173</v>
      </c>
      <c r="O3188" t="s">
        <v>173</v>
      </c>
      <c r="P3188">
        <v>0</v>
      </c>
      <c r="Q3188" t="s">
        <v>174</v>
      </c>
      <c r="R3188" t="s">
        <v>51</v>
      </c>
      <c r="S3188">
        <v>1952</v>
      </c>
      <c r="T3188">
        <v>-777</v>
      </c>
      <c r="U3188" s="1">
        <v>19046</v>
      </c>
      <c r="V3188" s="2">
        <v>19046</v>
      </c>
      <c r="Z3188">
        <v>0</v>
      </c>
      <c r="AA3188">
        <v>-888</v>
      </c>
      <c r="AB3188">
        <v>-888</v>
      </c>
      <c r="AC3188">
        <v>-888</v>
      </c>
      <c r="AF3188">
        <v>2015</v>
      </c>
      <c r="AG3188">
        <v>2015</v>
      </c>
      <c r="AO3188" t="b">
        <v>1</v>
      </c>
      <c r="AP3188" t="s">
        <v>12664</v>
      </c>
      <c r="AQ3188">
        <v>1949</v>
      </c>
      <c r="AR3188">
        <v>1974</v>
      </c>
      <c r="AS3188" t="s">
        <v>13198</v>
      </c>
      <c r="AT3188">
        <v>0.22450376454483201</v>
      </c>
      <c r="AU3188">
        <f t="shared" si="149"/>
        <v>1E-3</v>
      </c>
    </row>
    <row r="3189" spans="1:47" x14ac:dyDescent="0.3">
      <c r="A3189">
        <v>3187</v>
      </c>
      <c r="B3189" t="s">
        <v>13199</v>
      </c>
      <c r="C3189" t="s">
        <v>13200</v>
      </c>
      <c r="D3189">
        <v>800</v>
      </c>
      <c r="E3189" t="s">
        <v>13201</v>
      </c>
      <c r="F3189" t="str">
        <f>VLOOKUP(E3189,country_continent!A:C,2,FALSE)</f>
        <v>Thailand</v>
      </c>
      <c r="G3189" t="str">
        <f>VLOOKUP(E3189,country_continent!A:C,3,FALSE)</f>
        <v>Asia</v>
      </c>
      <c r="H3189" t="s">
        <v>13202</v>
      </c>
      <c r="I3189" t="s">
        <v>13203</v>
      </c>
      <c r="J3189" s="3" t="str">
        <f t="shared" si="147"/>
        <v>1868/10/01</v>
      </c>
      <c r="K3189" s="1">
        <v>3949</v>
      </c>
      <c r="L3189" s="3">
        <f t="shared" si="148"/>
        <v>3949</v>
      </c>
      <c r="M3189" t="s">
        <v>49</v>
      </c>
      <c r="N3189" t="s">
        <v>110</v>
      </c>
      <c r="O3189" t="s">
        <v>49</v>
      </c>
      <c r="P3189">
        <v>0</v>
      </c>
      <c r="Q3189" t="s">
        <v>111</v>
      </c>
      <c r="R3189" t="s">
        <v>51</v>
      </c>
      <c r="S3189">
        <v>1853</v>
      </c>
      <c r="T3189">
        <v>1910</v>
      </c>
      <c r="U3189" t="s">
        <v>13204</v>
      </c>
      <c r="V3189" t="s">
        <v>13205</v>
      </c>
      <c r="W3189" s="1">
        <v>3949</v>
      </c>
      <c r="X3189" s="2">
        <v>3949</v>
      </c>
      <c r="Z3189">
        <v>0</v>
      </c>
      <c r="AA3189">
        <v>2</v>
      </c>
      <c r="AB3189">
        <v>0</v>
      </c>
      <c r="AC3189">
        <v>-777</v>
      </c>
      <c r="AF3189">
        <v>1868</v>
      </c>
      <c r="AG3189">
        <v>1910</v>
      </c>
      <c r="AO3189" t="b">
        <v>1</v>
      </c>
      <c r="AP3189" t="s">
        <v>4202</v>
      </c>
      <c r="AQ3189">
        <v>1946</v>
      </c>
      <c r="AR3189">
        <v>1956</v>
      </c>
      <c r="AS3189" t="s">
        <v>13206</v>
      </c>
      <c r="AT3189">
        <v>42.056125941136202</v>
      </c>
      <c r="AU3189">
        <f t="shared" si="149"/>
        <v>0.115</v>
      </c>
    </row>
    <row r="3190" spans="1:47" x14ac:dyDescent="0.3">
      <c r="A3190">
        <v>3188</v>
      </c>
      <c r="B3190" t="s">
        <v>13207</v>
      </c>
      <c r="C3190" t="s">
        <v>13208</v>
      </c>
      <c r="D3190">
        <v>800</v>
      </c>
      <c r="E3190" t="s">
        <v>13201</v>
      </c>
      <c r="F3190" t="str">
        <f>VLOOKUP(E3190,country_continent!A:C,2,FALSE)</f>
        <v>Thailand</v>
      </c>
      <c r="G3190" t="str">
        <f>VLOOKUP(E3190,country_continent!A:C,3,FALSE)</f>
        <v>Asia</v>
      </c>
      <c r="H3190" t="s">
        <v>13209</v>
      </c>
      <c r="I3190" s="1">
        <v>3949</v>
      </c>
      <c r="J3190" s="3">
        <f t="shared" si="147"/>
        <v>3949</v>
      </c>
      <c r="K3190" s="1">
        <v>9462</v>
      </c>
      <c r="L3190" s="3">
        <f t="shared" si="148"/>
        <v>9462</v>
      </c>
      <c r="M3190" t="s">
        <v>49</v>
      </c>
      <c r="N3190" t="s">
        <v>110</v>
      </c>
      <c r="O3190" t="s">
        <v>49</v>
      </c>
      <c r="P3190">
        <v>0</v>
      </c>
      <c r="Q3190" t="s">
        <v>111</v>
      </c>
      <c r="R3190" t="s">
        <v>51</v>
      </c>
      <c r="S3190">
        <v>1881</v>
      </c>
      <c r="T3190">
        <v>1925</v>
      </c>
      <c r="U3190" t="s">
        <v>5572</v>
      </c>
      <c r="V3190" t="s">
        <v>5573</v>
      </c>
      <c r="W3190" s="1">
        <v>9462</v>
      </c>
      <c r="X3190" s="2">
        <v>9462</v>
      </c>
      <c r="Z3190">
        <v>0</v>
      </c>
      <c r="AA3190">
        <v>2</v>
      </c>
      <c r="AB3190">
        <v>0</v>
      </c>
      <c r="AC3190">
        <v>-777</v>
      </c>
      <c r="AF3190">
        <v>1910</v>
      </c>
      <c r="AG3190">
        <v>1925</v>
      </c>
      <c r="AO3190" t="b">
        <v>1</v>
      </c>
      <c r="AP3190" t="s">
        <v>4202</v>
      </c>
      <c r="AQ3190">
        <v>1946</v>
      </c>
      <c r="AR3190">
        <v>1956</v>
      </c>
      <c r="AS3190" t="s">
        <v>13210</v>
      </c>
      <c r="AT3190">
        <v>15.093771389459199</v>
      </c>
      <c r="AU3190">
        <f t="shared" si="149"/>
        <v>4.1000000000000002E-2</v>
      </c>
    </row>
    <row r="3191" spans="1:47" x14ac:dyDescent="0.3">
      <c r="A3191">
        <v>3189</v>
      </c>
      <c r="B3191" t="s">
        <v>13211</v>
      </c>
      <c r="C3191" t="s">
        <v>13212</v>
      </c>
      <c r="D3191">
        <v>800</v>
      </c>
      <c r="E3191" t="s">
        <v>13201</v>
      </c>
      <c r="F3191" t="str">
        <f>VLOOKUP(E3191,country_continent!A:C,2,FALSE)</f>
        <v>Thailand</v>
      </c>
      <c r="G3191" t="str">
        <f>VLOOKUP(E3191,country_continent!A:C,3,FALSE)</f>
        <v>Asia</v>
      </c>
      <c r="H3191" t="s">
        <v>13213</v>
      </c>
      <c r="I3191" s="1">
        <v>9462</v>
      </c>
      <c r="J3191" s="3">
        <f t="shared" si="147"/>
        <v>9462</v>
      </c>
      <c r="K3191" s="1">
        <v>12033</v>
      </c>
      <c r="L3191" s="3">
        <f t="shared" si="148"/>
        <v>12033</v>
      </c>
      <c r="M3191" t="s">
        <v>49</v>
      </c>
      <c r="N3191" t="s">
        <v>67</v>
      </c>
      <c r="O3191" t="s">
        <v>376</v>
      </c>
      <c r="P3191">
        <v>0</v>
      </c>
      <c r="Q3191" t="s">
        <v>50</v>
      </c>
      <c r="R3191" t="s">
        <v>51</v>
      </c>
      <c r="S3191">
        <v>1893</v>
      </c>
      <c r="T3191">
        <v>1941</v>
      </c>
      <c r="U3191" t="s">
        <v>13214</v>
      </c>
      <c r="V3191" t="s">
        <v>13215</v>
      </c>
      <c r="W3191" s="1">
        <v>15126</v>
      </c>
      <c r="X3191" s="2">
        <v>15126</v>
      </c>
      <c r="Y3191" t="s">
        <v>13216</v>
      </c>
      <c r="Z3191">
        <v>0</v>
      </c>
      <c r="AA3191">
        <v>3</v>
      </c>
      <c r="AB3191">
        <v>6</v>
      </c>
      <c r="AC3191">
        <v>0</v>
      </c>
      <c r="AF3191">
        <v>1925</v>
      </c>
      <c r="AG3191">
        <v>1932</v>
      </c>
      <c r="AO3191" t="b">
        <v>1</v>
      </c>
      <c r="AP3191" t="s">
        <v>4202</v>
      </c>
      <c r="AQ3191">
        <v>1946</v>
      </c>
      <c r="AR3191">
        <v>1956</v>
      </c>
      <c r="AS3191" t="s">
        <v>13217</v>
      </c>
      <c r="AT3191">
        <v>7.03901437371663</v>
      </c>
      <c r="AU3191">
        <f t="shared" si="149"/>
        <v>1.9E-2</v>
      </c>
    </row>
    <row r="3192" spans="1:47" x14ac:dyDescent="0.3">
      <c r="A3192">
        <v>3190</v>
      </c>
      <c r="B3192" t="s">
        <v>13218</v>
      </c>
      <c r="C3192" t="s">
        <v>13219</v>
      </c>
      <c r="D3192">
        <v>800</v>
      </c>
      <c r="E3192" t="s">
        <v>13201</v>
      </c>
      <c r="F3192" t="str">
        <f>VLOOKUP(E3192,country_continent!A:C,2,FALSE)</f>
        <v>Thailand</v>
      </c>
      <c r="G3192" t="str">
        <f>VLOOKUP(E3192,country_continent!A:C,3,FALSE)</f>
        <v>Asia</v>
      </c>
      <c r="H3192" t="s">
        <v>13220</v>
      </c>
      <c r="I3192" s="1">
        <v>12033</v>
      </c>
      <c r="J3192" s="3">
        <f t="shared" si="147"/>
        <v>12033</v>
      </c>
      <c r="K3192" s="1">
        <v>12225</v>
      </c>
      <c r="L3192" s="3">
        <f t="shared" si="148"/>
        <v>12225</v>
      </c>
      <c r="M3192" t="s">
        <v>67</v>
      </c>
      <c r="N3192" t="s">
        <v>67</v>
      </c>
      <c r="O3192" t="s">
        <v>376</v>
      </c>
      <c r="P3192">
        <v>0</v>
      </c>
      <c r="Q3192" t="s">
        <v>362</v>
      </c>
      <c r="R3192" t="s">
        <v>51</v>
      </c>
      <c r="S3192">
        <v>1884</v>
      </c>
      <c r="T3192">
        <v>1948</v>
      </c>
      <c r="Y3192" t="s">
        <v>13221</v>
      </c>
      <c r="Z3192">
        <v>1</v>
      </c>
      <c r="AA3192">
        <v>3</v>
      </c>
      <c r="AB3192">
        <v>6</v>
      </c>
      <c r="AC3192">
        <v>1</v>
      </c>
      <c r="AF3192">
        <v>1932</v>
      </c>
      <c r="AG3192">
        <v>1933</v>
      </c>
      <c r="AO3192" t="b">
        <v>1</v>
      </c>
      <c r="AP3192" t="s">
        <v>4202</v>
      </c>
      <c r="AQ3192">
        <v>1946</v>
      </c>
      <c r="AR3192">
        <v>1956</v>
      </c>
      <c r="AS3192" t="s">
        <v>13222</v>
      </c>
      <c r="AT3192">
        <v>0.52566735112936303</v>
      </c>
      <c r="AU3192">
        <f t="shared" si="149"/>
        <v>1E-3</v>
      </c>
    </row>
    <row r="3193" spans="1:47" x14ac:dyDescent="0.3">
      <c r="A3193">
        <v>3191</v>
      </c>
      <c r="B3193" t="s">
        <v>13223</v>
      </c>
      <c r="C3193" t="s">
        <v>13224</v>
      </c>
      <c r="D3193">
        <v>800</v>
      </c>
      <c r="E3193" t="s">
        <v>13201</v>
      </c>
      <c r="F3193" t="str">
        <f>VLOOKUP(E3193,country_continent!A:C,2,FALSE)</f>
        <v>Thailand</v>
      </c>
      <c r="G3193" t="str">
        <f>VLOOKUP(E3193,country_continent!A:C,3,FALSE)</f>
        <v>Asia</v>
      </c>
      <c r="H3193" t="s">
        <v>13225</v>
      </c>
      <c r="I3193" s="1">
        <v>12225</v>
      </c>
      <c r="J3193" s="3">
        <f t="shared" si="147"/>
        <v>12225</v>
      </c>
      <c r="K3193" s="1">
        <v>14235</v>
      </c>
      <c r="L3193" s="3">
        <f t="shared" si="148"/>
        <v>14235</v>
      </c>
      <c r="M3193" t="s">
        <v>67</v>
      </c>
      <c r="N3193" t="s">
        <v>49</v>
      </c>
      <c r="O3193" t="s">
        <v>49</v>
      </c>
      <c r="P3193">
        <v>0</v>
      </c>
      <c r="Q3193" t="s">
        <v>1453</v>
      </c>
      <c r="R3193" t="s">
        <v>51</v>
      </c>
      <c r="S3193">
        <v>1889</v>
      </c>
      <c r="T3193">
        <v>1958</v>
      </c>
      <c r="Z3193">
        <v>1</v>
      </c>
      <c r="AA3193">
        <v>1</v>
      </c>
      <c r="AB3193">
        <v>0</v>
      </c>
      <c r="AC3193">
        <v>-666</v>
      </c>
      <c r="AF3193">
        <v>1933</v>
      </c>
      <c r="AG3193">
        <v>1938</v>
      </c>
      <c r="AO3193" t="b">
        <v>1</v>
      </c>
      <c r="AP3193" t="s">
        <v>4202</v>
      </c>
      <c r="AQ3193">
        <v>1946</v>
      </c>
      <c r="AR3193">
        <v>1956</v>
      </c>
      <c r="AS3193" t="s">
        <v>13226</v>
      </c>
      <c r="AT3193">
        <v>5.5030800821355204</v>
      </c>
      <c r="AU3193">
        <f t="shared" si="149"/>
        <v>1.4999999999999999E-2</v>
      </c>
    </row>
    <row r="3194" spans="1:47" x14ac:dyDescent="0.3">
      <c r="A3194">
        <v>3192</v>
      </c>
      <c r="B3194" t="s">
        <v>13227</v>
      </c>
      <c r="C3194" t="s">
        <v>13228</v>
      </c>
      <c r="D3194">
        <v>800</v>
      </c>
      <c r="E3194" t="s">
        <v>13201</v>
      </c>
      <c r="F3194" t="str">
        <f>VLOOKUP(E3194,country_continent!A:C,2,FALSE)</f>
        <v>Thailand</v>
      </c>
      <c r="G3194" t="str">
        <f>VLOOKUP(E3194,country_continent!A:C,3,FALSE)</f>
        <v>Asia</v>
      </c>
      <c r="H3194" t="s">
        <v>13229</v>
      </c>
      <c r="I3194" s="1">
        <v>14240</v>
      </c>
      <c r="J3194" s="3">
        <f t="shared" si="147"/>
        <v>14240</v>
      </c>
      <c r="K3194" s="1">
        <v>16286</v>
      </c>
      <c r="L3194" s="3">
        <f t="shared" si="148"/>
        <v>16286</v>
      </c>
      <c r="M3194" t="s">
        <v>49</v>
      </c>
      <c r="N3194" t="s">
        <v>49</v>
      </c>
      <c r="O3194" t="s">
        <v>49</v>
      </c>
      <c r="P3194">
        <v>0</v>
      </c>
      <c r="Q3194" t="s">
        <v>50</v>
      </c>
      <c r="R3194" t="s">
        <v>51</v>
      </c>
      <c r="S3194">
        <v>1897</v>
      </c>
      <c r="T3194">
        <v>1964</v>
      </c>
      <c r="U3194" t="s">
        <v>13230</v>
      </c>
      <c r="V3194" t="s">
        <v>13231</v>
      </c>
      <c r="W3194" s="1">
        <v>23539</v>
      </c>
      <c r="X3194" s="2">
        <v>23539</v>
      </c>
      <c r="Y3194" t="s">
        <v>13232</v>
      </c>
      <c r="Z3194">
        <v>0</v>
      </c>
      <c r="AA3194">
        <v>1</v>
      </c>
      <c r="AB3194">
        <v>0</v>
      </c>
      <c r="AC3194">
        <v>0</v>
      </c>
      <c r="AF3194">
        <v>1938</v>
      </c>
      <c r="AG3194">
        <v>1944</v>
      </c>
      <c r="AO3194" t="b">
        <v>1</v>
      </c>
      <c r="AP3194" t="s">
        <v>4202</v>
      </c>
      <c r="AQ3194">
        <v>1946</v>
      </c>
      <c r="AR3194">
        <v>1956</v>
      </c>
      <c r="AS3194" t="s">
        <v>13233</v>
      </c>
      <c r="AT3194">
        <v>5.6016427104722704</v>
      </c>
      <c r="AU3194">
        <f t="shared" si="149"/>
        <v>1.4999999999999999E-2</v>
      </c>
    </row>
    <row r="3195" spans="1:47" x14ac:dyDescent="0.3">
      <c r="A3195">
        <v>3193</v>
      </c>
      <c r="B3195" t="s">
        <v>13234</v>
      </c>
      <c r="C3195" t="s">
        <v>13235</v>
      </c>
      <c r="D3195">
        <v>800</v>
      </c>
      <c r="E3195" t="s">
        <v>13201</v>
      </c>
      <c r="F3195" t="str">
        <f>VLOOKUP(E3195,country_continent!A:C,2,FALSE)</f>
        <v>Thailand</v>
      </c>
      <c r="G3195" t="str">
        <f>VLOOKUP(E3195,country_continent!A:C,3,FALSE)</f>
        <v>Asia</v>
      </c>
      <c r="H3195" t="s">
        <v>13236</v>
      </c>
      <c r="I3195" s="1">
        <v>16286</v>
      </c>
      <c r="J3195" s="3">
        <f t="shared" si="147"/>
        <v>16286</v>
      </c>
      <c r="K3195" s="1">
        <v>17035</v>
      </c>
      <c r="L3195" s="3">
        <f t="shared" si="148"/>
        <v>17035</v>
      </c>
      <c r="M3195" t="s">
        <v>49</v>
      </c>
      <c r="N3195" t="s">
        <v>49</v>
      </c>
      <c r="O3195" t="s">
        <v>49</v>
      </c>
      <c r="P3195">
        <v>0</v>
      </c>
      <c r="Q3195" t="s">
        <v>362</v>
      </c>
      <c r="R3195" t="s">
        <v>51</v>
      </c>
      <c r="S3195">
        <v>1900</v>
      </c>
      <c r="T3195">
        <v>1983</v>
      </c>
      <c r="U3195" s="1">
        <v>132</v>
      </c>
      <c r="V3195" s="2">
        <v>132</v>
      </c>
      <c r="Z3195">
        <v>0</v>
      </c>
      <c r="AA3195">
        <v>1</v>
      </c>
      <c r="AB3195">
        <v>0</v>
      </c>
      <c r="AC3195">
        <v>1</v>
      </c>
      <c r="AF3195">
        <v>1944</v>
      </c>
      <c r="AG3195">
        <v>1946</v>
      </c>
      <c r="AO3195" t="b">
        <v>1</v>
      </c>
      <c r="AP3195" t="s">
        <v>4202</v>
      </c>
      <c r="AQ3195">
        <v>1946</v>
      </c>
      <c r="AR3195">
        <v>1956</v>
      </c>
      <c r="AS3195" t="s">
        <v>13237</v>
      </c>
      <c r="AT3195">
        <v>2.0506502395619401</v>
      </c>
      <c r="AU3195">
        <f t="shared" si="149"/>
        <v>6.0000000000000001E-3</v>
      </c>
    </row>
    <row r="3196" spans="1:47" x14ac:dyDescent="0.3">
      <c r="A3196">
        <v>3194</v>
      </c>
      <c r="B3196" t="s">
        <v>13238</v>
      </c>
      <c r="C3196" t="s">
        <v>13239</v>
      </c>
      <c r="D3196">
        <v>800</v>
      </c>
      <c r="E3196" t="s">
        <v>13201</v>
      </c>
      <c r="F3196" t="str">
        <f>VLOOKUP(E3196,country_continent!A:C,2,FALSE)</f>
        <v>Thailand</v>
      </c>
      <c r="G3196" t="str">
        <f>VLOOKUP(E3196,country_continent!A:C,3,FALSE)</f>
        <v>Asia</v>
      </c>
      <c r="H3196" t="s">
        <v>13240</v>
      </c>
      <c r="I3196" s="1">
        <v>17037</v>
      </c>
      <c r="J3196" s="3">
        <f t="shared" si="147"/>
        <v>17037</v>
      </c>
      <c r="K3196" s="1">
        <v>17479</v>
      </c>
      <c r="L3196" s="3">
        <f t="shared" si="148"/>
        <v>17479</v>
      </c>
      <c r="M3196" t="s">
        <v>49</v>
      </c>
      <c r="N3196" t="s">
        <v>67</v>
      </c>
      <c r="O3196" t="s">
        <v>376</v>
      </c>
      <c r="P3196">
        <v>0</v>
      </c>
      <c r="Q3196" t="s">
        <v>50</v>
      </c>
      <c r="R3196" t="s">
        <v>51</v>
      </c>
      <c r="S3196">
        <v>1901</v>
      </c>
      <c r="T3196">
        <v>1988</v>
      </c>
      <c r="U3196" s="1">
        <v>691</v>
      </c>
      <c r="V3196" s="2">
        <v>691</v>
      </c>
      <c r="W3196" s="1">
        <v>32480</v>
      </c>
      <c r="X3196" s="2">
        <v>32480</v>
      </c>
      <c r="Z3196">
        <v>0</v>
      </c>
      <c r="AA3196">
        <v>3</v>
      </c>
      <c r="AB3196">
        <v>6</v>
      </c>
      <c r="AC3196">
        <v>0</v>
      </c>
      <c r="AF3196">
        <v>1946</v>
      </c>
      <c r="AG3196">
        <v>1947</v>
      </c>
      <c r="AO3196" t="b">
        <v>1</v>
      </c>
      <c r="AP3196" t="s">
        <v>4202</v>
      </c>
      <c r="AQ3196">
        <v>1946</v>
      </c>
      <c r="AR3196">
        <v>1956</v>
      </c>
      <c r="AS3196" t="s">
        <v>13241</v>
      </c>
      <c r="AT3196">
        <v>1.21013004791238</v>
      </c>
      <c r="AU3196">
        <f t="shared" si="149"/>
        <v>3.0000000000000001E-3</v>
      </c>
    </row>
    <row r="3197" spans="1:47" x14ac:dyDescent="0.3">
      <c r="A3197">
        <v>3195</v>
      </c>
      <c r="B3197" t="s">
        <v>13242</v>
      </c>
      <c r="C3197" t="s">
        <v>13228</v>
      </c>
      <c r="D3197">
        <v>800</v>
      </c>
      <c r="E3197" t="s">
        <v>13201</v>
      </c>
      <c r="F3197" t="str">
        <f>VLOOKUP(E3197,country_continent!A:C,2,FALSE)</f>
        <v>Thailand</v>
      </c>
      <c r="G3197" t="str">
        <f>VLOOKUP(E3197,country_continent!A:C,3,FALSE)</f>
        <v>Asia</v>
      </c>
      <c r="H3197" t="s">
        <v>13229</v>
      </c>
      <c r="I3197" s="1">
        <v>17479</v>
      </c>
      <c r="J3197" s="3">
        <f t="shared" si="147"/>
        <v>17479</v>
      </c>
      <c r="K3197" s="1">
        <v>21079</v>
      </c>
      <c r="L3197" s="3">
        <f t="shared" si="148"/>
        <v>21079</v>
      </c>
      <c r="M3197" t="s">
        <v>49</v>
      </c>
      <c r="N3197" t="s">
        <v>67</v>
      </c>
      <c r="O3197" t="s">
        <v>376</v>
      </c>
      <c r="P3197">
        <v>1</v>
      </c>
      <c r="Q3197" t="s">
        <v>362</v>
      </c>
      <c r="R3197" t="s">
        <v>51</v>
      </c>
      <c r="S3197">
        <v>1897</v>
      </c>
      <c r="T3197">
        <v>1964</v>
      </c>
      <c r="U3197" t="s">
        <v>13230</v>
      </c>
      <c r="V3197" t="s">
        <v>13231</v>
      </c>
      <c r="W3197" s="1">
        <v>23539</v>
      </c>
      <c r="X3197" s="2">
        <v>23539</v>
      </c>
      <c r="Y3197" t="s">
        <v>13232</v>
      </c>
      <c r="Z3197">
        <v>0</v>
      </c>
      <c r="AA3197">
        <v>3</v>
      </c>
      <c r="AB3197">
        <v>6</v>
      </c>
      <c r="AC3197">
        <v>1</v>
      </c>
      <c r="AF3197">
        <v>1947</v>
      </c>
      <c r="AG3197">
        <v>1957</v>
      </c>
      <c r="AO3197" t="b">
        <v>1</v>
      </c>
      <c r="AP3197" t="s">
        <v>4202</v>
      </c>
      <c r="AQ3197">
        <v>1946</v>
      </c>
      <c r="AR3197">
        <v>1956</v>
      </c>
      <c r="AS3197" t="s">
        <v>13243</v>
      </c>
      <c r="AT3197">
        <v>9.8562628336755598</v>
      </c>
      <c r="AU3197">
        <f t="shared" si="149"/>
        <v>2.7E-2</v>
      </c>
    </row>
    <row r="3198" spans="1:47" x14ac:dyDescent="0.3">
      <c r="A3198">
        <v>3196</v>
      </c>
      <c r="B3198" t="s">
        <v>13244</v>
      </c>
      <c r="C3198" t="s">
        <v>13245</v>
      </c>
      <c r="D3198">
        <v>800</v>
      </c>
      <c r="E3198" t="s">
        <v>13201</v>
      </c>
      <c r="F3198" t="str">
        <f>VLOOKUP(E3198,country_continent!A:C,2,FALSE)</f>
        <v>Thailand</v>
      </c>
      <c r="G3198" t="str">
        <f>VLOOKUP(E3198,country_continent!A:C,3,FALSE)</f>
        <v>Asia</v>
      </c>
      <c r="H3198" t="s">
        <v>13246</v>
      </c>
      <c r="I3198" s="1">
        <v>21084</v>
      </c>
      <c r="J3198" s="3">
        <f t="shared" si="147"/>
        <v>21084</v>
      </c>
      <c r="K3198" s="1">
        <v>21181</v>
      </c>
      <c r="L3198" s="3">
        <f t="shared" si="148"/>
        <v>21181</v>
      </c>
      <c r="M3198" t="s">
        <v>67</v>
      </c>
      <c r="N3198" t="s">
        <v>49</v>
      </c>
      <c r="O3198" t="s">
        <v>49</v>
      </c>
      <c r="P3198">
        <v>0</v>
      </c>
      <c r="Q3198" t="s">
        <v>362</v>
      </c>
      <c r="R3198" t="s">
        <v>51</v>
      </c>
      <c r="S3198">
        <v>1906</v>
      </c>
      <c r="T3198">
        <v>2000</v>
      </c>
      <c r="U3198" s="1">
        <v>2277</v>
      </c>
      <c r="V3198" s="2">
        <v>2277</v>
      </c>
      <c r="W3198" s="1">
        <v>36797</v>
      </c>
      <c r="X3198" s="2">
        <v>36797</v>
      </c>
      <c r="Y3198" t="s">
        <v>13247</v>
      </c>
      <c r="Z3198">
        <v>1</v>
      </c>
      <c r="AA3198">
        <v>1</v>
      </c>
      <c r="AB3198">
        <v>0</v>
      </c>
      <c r="AC3198">
        <v>1</v>
      </c>
      <c r="AF3198">
        <v>1957</v>
      </c>
      <c r="AG3198">
        <v>1957</v>
      </c>
      <c r="AO3198" t="b">
        <v>1</v>
      </c>
      <c r="AP3198" t="s">
        <v>4202</v>
      </c>
      <c r="AQ3198">
        <v>1946</v>
      </c>
      <c r="AR3198">
        <v>1956</v>
      </c>
      <c r="AS3198" t="s">
        <v>13248</v>
      </c>
      <c r="AT3198">
        <v>0.26557152635181303</v>
      </c>
      <c r="AU3198">
        <f t="shared" si="149"/>
        <v>1E-3</v>
      </c>
    </row>
    <row r="3199" spans="1:47" x14ac:dyDescent="0.3">
      <c r="A3199">
        <v>3197</v>
      </c>
      <c r="B3199" t="s">
        <v>13249</v>
      </c>
      <c r="C3199" t="s">
        <v>13250</v>
      </c>
      <c r="D3199">
        <v>800</v>
      </c>
      <c r="E3199" t="s">
        <v>13201</v>
      </c>
      <c r="F3199" t="str">
        <f>VLOOKUP(E3199,country_continent!A:C,2,FALSE)</f>
        <v>Thailand</v>
      </c>
      <c r="G3199" t="str">
        <f>VLOOKUP(E3199,country_continent!A:C,3,FALSE)</f>
        <v>Asia</v>
      </c>
      <c r="H3199" t="s">
        <v>13251</v>
      </c>
      <c r="I3199" s="1">
        <v>21181</v>
      </c>
      <c r="J3199" s="3">
        <f t="shared" si="147"/>
        <v>21181</v>
      </c>
      <c r="K3199" s="1">
        <v>21478</v>
      </c>
      <c r="L3199" s="3">
        <f t="shared" si="148"/>
        <v>21478</v>
      </c>
      <c r="M3199" t="s">
        <v>49</v>
      </c>
      <c r="N3199" t="s">
        <v>49</v>
      </c>
      <c r="O3199" t="s">
        <v>49</v>
      </c>
      <c r="P3199">
        <v>0</v>
      </c>
      <c r="Q3199" t="s">
        <v>50</v>
      </c>
      <c r="R3199" t="s">
        <v>51</v>
      </c>
      <c r="S3199">
        <v>1911</v>
      </c>
      <c r="T3199">
        <v>2004</v>
      </c>
      <c r="U3199" s="1">
        <v>4241</v>
      </c>
      <c r="V3199" s="2">
        <v>4241</v>
      </c>
      <c r="Y3199" t="s">
        <v>13252</v>
      </c>
      <c r="Z3199">
        <v>0</v>
      </c>
      <c r="AA3199">
        <v>1</v>
      </c>
      <c r="AB3199">
        <v>0</v>
      </c>
      <c r="AC3199">
        <v>0</v>
      </c>
      <c r="AF3199">
        <v>1957</v>
      </c>
      <c r="AG3199">
        <v>1958</v>
      </c>
      <c r="AO3199" t="b">
        <v>1</v>
      </c>
      <c r="AP3199" t="s">
        <v>4202</v>
      </c>
      <c r="AQ3199">
        <v>1946</v>
      </c>
      <c r="AR3199">
        <v>1956</v>
      </c>
      <c r="AS3199" t="s">
        <v>13253</v>
      </c>
      <c r="AT3199">
        <v>0.81314168377823404</v>
      </c>
      <c r="AU3199">
        <f t="shared" si="149"/>
        <v>2E-3</v>
      </c>
    </row>
    <row r="3200" spans="1:47" x14ac:dyDescent="0.3">
      <c r="A3200">
        <v>3198</v>
      </c>
      <c r="B3200" t="s">
        <v>13254</v>
      </c>
      <c r="C3200" t="s">
        <v>13255</v>
      </c>
      <c r="D3200">
        <v>800</v>
      </c>
      <c r="E3200" t="s">
        <v>13201</v>
      </c>
      <c r="F3200" t="str">
        <f>VLOOKUP(E3200,country_continent!A:C,2,FALSE)</f>
        <v>Thailand</v>
      </c>
      <c r="G3200" t="str">
        <f>VLOOKUP(E3200,country_continent!A:C,3,FALSE)</f>
        <v>Asia</v>
      </c>
      <c r="H3200" t="s">
        <v>13256</v>
      </c>
      <c r="I3200" s="1">
        <v>21478</v>
      </c>
      <c r="J3200" s="3">
        <f t="shared" si="147"/>
        <v>21478</v>
      </c>
      <c r="K3200" s="1">
        <v>23353</v>
      </c>
      <c r="L3200" s="3">
        <f t="shared" si="148"/>
        <v>23353</v>
      </c>
      <c r="M3200" t="s">
        <v>67</v>
      </c>
      <c r="N3200" t="s">
        <v>110</v>
      </c>
      <c r="O3200" t="s">
        <v>49</v>
      </c>
      <c r="P3200">
        <v>0</v>
      </c>
      <c r="Q3200" t="s">
        <v>111</v>
      </c>
      <c r="R3200" t="s">
        <v>51</v>
      </c>
      <c r="S3200">
        <v>1908</v>
      </c>
      <c r="T3200">
        <v>1963</v>
      </c>
      <c r="U3200" s="1">
        <v>3090</v>
      </c>
      <c r="V3200" s="2">
        <v>3090</v>
      </c>
      <c r="Z3200">
        <v>1</v>
      </c>
      <c r="AA3200">
        <v>2</v>
      </c>
      <c r="AB3200">
        <v>0</v>
      </c>
      <c r="AC3200">
        <v>-777</v>
      </c>
      <c r="AF3200">
        <v>1958</v>
      </c>
      <c r="AG3200">
        <v>1963</v>
      </c>
      <c r="AO3200" t="b">
        <v>1</v>
      </c>
      <c r="AP3200" t="s">
        <v>4202</v>
      </c>
      <c r="AQ3200">
        <v>1946</v>
      </c>
      <c r="AR3200">
        <v>1956</v>
      </c>
      <c r="AS3200" t="s">
        <v>13257</v>
      </c>
      <c r="AT3200">
        <v>5.1334702258726903</v>
      </c>
      <c r="AU3200">
        <f t="shared" si="149"/>
        <v>1.4E-2</v>
      </c>
    </row>
    <row r="3201" spans="1:47" x14ac:dyDescent="0.3">
      <c r="A3201">
        <v>3199</v>
      </c>
      <c r="B3201" t="s">
        <v>13258</v>
      </c>
      <c r="C3201" t="s">
        <v>13250</v>
      </c>
      <c r="D3201">
        <v>800</v>
      </c>
      <c r="E3201" t="s">
        <v>13201</v>
      </c>
      <c r="F3201" t="str">
        <f>VLOOKUP(E3201,country_continent!A:C,2,FALSE)</f>
        <v>Thailand</v>
      </c>
      <c r="G3201" t="str">
        <f>VLOOKUP(E3201,country_continent!A:C,3,FALSE)</f>
        <v>Asia</v>
      </c>
      <c r="H3201" t="s">
        <v>13251</v>
      </c>
      <c r="I3201" s="1">
        <v>23353</v>
      </c>
      <c r="J3201" s="3">
        <f t="shared" si="147"/>
        <v>23353</v>
      </c>
      <c r="K3201" s="1">
        <v>26950</v>
      </c>
      <c r="L3201" s="3">
        <f t="shared" si="148"/>
        <v>26950</v>
      </c>
      <c r="M3201" t="s">
        <v>49</v>
      </c>
      <c r="N3201" t="s">
        <v>67</v>
      </c>
      <c r="O3201" t="s">
        <v>613</v>
      </c>
      <c r="P3201">
        <v>1</v>
      </c>
      <c r="Q3201" t="s">
        <v>362</v>
      </c>
      <c r="R3201" t="s">
        <v>51</v>
      </c>
      <c r="S3201">
        <v>1911</v>
      </c>
      <c r="T3201">
        <v>2004</v>
      </c>
      <c r="U3201" s="1">
        <v>4241</v>
      </c>
      <c r="V3201" s="2">
        <v>4241</v>
      </c>
      <c r="Y3201" t="s">
        <v>13252</v>
      </c>
      <c r="Z3201">
        <v>0</v>
      </c>
      <c r="AA3201">
        <v>3</v>
      </c>
      <c r="AB3201">
        <v>2</v>
      </c>
      <c r="AC3201">
        <v>1</v>
      </c>
      <c r="AF3201">
        <v>1963</v>
      </c>
      <c r="AG3201">
        <v>1973</v>
      </c>
      <c r="AO3201" t="b">
        <v>1</v>
      </c>
      <c r="AP3201" t="s">
        <v>4202</v>
      </c>
      <c r="AQ3201">
        <v>1946</v>
      </c>
      <c r="AR3201">
        <v>1956</v>
      </c>
      <c r="AS3201" t="s">
        <v>13259</v>
      </c>
      <c r="AT3201">
        <v>9.8480492813141591</v>
      </c>
      <c r="AU3201">
        <f t="shared" si="149"/>
        <v>2.7E-2</v>
      </c>
    </row>
    <row r="3202" spans="1:47" x14ac:dyDescent="0.3">
      <c r="A3202">
        <v>3200</v>
      </c>
      <c r="B3202" t="s">
        <v>13260</v>
      </c>
      <c r="C3202" t="s">
        <v>13261</v>
      </c>
      <c r="D3202">
        <v>800</v>
      </c>
      <c r="E3202" t="s">
        <v>13201</v>
      </c>
      <c r="F3202" t="str">
        <f>VLOOKUP(E3202,country_continent!A:C,2,FALSE)</f>
        <v>Thailand</v>
      </c>
      <c r="G3202" t="str">
        <f>VLOOKUP(E3202,country_continent!A:C,3,FALSE)</f>
        <v>Asia</v>
      </c>
      <c r="H3202" t="s">
        <v>13262</v>
      </c>
      <c r="I3202" s="1">
        <v>26951</v>
      </c>
      <c r="J3202" s="3">
        <f t="shared" si="147"/>
        <v>26951</v>
      </c>
      <c r="K3202" s="1">
        <v>27446</v>
      </c>
      <c r="L3202" s="3">
        <f t="shared" si="148"/>
        <v>27446</v>
      </c>
      <c r="M3202" t="s">
        <v>67</v>
      </c>
      <c r="N3202" t="s">
        <v>49</v>
      </c>
      <c r="O3202" t="s">
        <v>49</v>
      </c>
      <c r="P3202">
        <v>0</v>
      </c>
      <c r="Q3202" t="s">
        <v>50</v>
      </c>
      <c r="R3202" t="s">
        <v>51</v>
      </c>
      <c r="S3202">
        <v>1907</v>
      </c>
      <c r="T3202">
        <v>2002</v>
      </c>
      <c r="U3202" s="1">
        <v>2652</v>
      </c>
      <c r="V3202" s="2">
        <v>2652</v>
      </c>
      <c r="Y3202" t="s">
        <v>13263</v>
      </c>
      <c r="Z3202">
        <v>1</v>
      </c>
      <c r="AA3202">
        <v>1</v>
      </c>
      <c r="AB3202">
        <v>0</v>
      </c>
      <c r="AC3202">
        <v>0</v>
      </c>
      <c r="AF3202">
        <v>1973</v>
      </c>
      <c r="AG3202">
        <v>1975</v>
      </c>
      <c r="AO3202" t="b">
        <v>1</v>
      </c>
      <c r="AP3202" t="s">
        <v>4202</v>
      </c>
      <c r="AQ3202">
        <v>1946</v>
      </c>
      <c r="AR3202">
        <v>1956</v>
      </c>
      <c r="AS3202" t="s">
        <v>13264</v>
      </c>
      <c r="AT3202">
        <v>1.35523613963039</v>
      </c>
      <c r="AU3202">
        <f t="shared" si="149"/>
        <v>4.0000000000000001E-3</v>
      </c>
    </row>
    <row r="3203" spans="1:47" x14ac:dyDescent="0.3">
      <c r="A3203">
        <v>3201</v>
      </c>
      <c r="B3203" t="s">
        <v>13265</v>
      </c>
      <c r="C3203" t="s">
        <v>13266</v>
      </c>
      <c r="D3203">
        <v>800</v>
      </c>
      <c r="E3203" t="s">
        <v>13201</v>
      </c>
      <c r="F3203" t="str">
        <f>VLOOKUP(E3203,country_continent!A:C,2,FALSE)</f>
        <v>Thailand</v>
      </c>
      <c r="G3203" t="str">
        <f>VLOOKUP(E3203,country_continent!A:C,3,FALSE)</f>
        <v>Asia</v>
      </c>
      <c r="H3203" t="s">
        <v>13267</v>
      </c>
      <c r="I3203" s="1">
        <v>27446</v>
      </c>
      <c r="J3203" s="3">
        <f t="shared" ref="J3203:J3265" si="150">IF(ISNUMBER(SEARCH("-", I3203)), SUBSTITUTE(I3203, "-", "/"), I3203)</f>
        <v>27446</v>
      </c>
      <c r="K3203" s="1">
        <v>27459</v>
      </c>
      <c r="L3203" s="3">
        <f t="shared" ref="L3203:L3265" si="151">IF(ISNUMBER(SEARCH("-", K3203)), SUBSTITUTE(K3203, "-", "/"), K3203)</f>
        <v>27459</v>
      </c>
      <c r="M3203" t="s">
        <v>49</v>
      </c>
      <c r="N3203" t="s">
        <v>49</v>
      </c>
      <c r="O3203" t="s">
        <v>49</v>
      </c>
      <c r="P3203">
        <v>0</v>
      </c>
      <c r="Q3203" t="s">
        <v>50</v>
      </c>
      <c r="R3203" t="s">
        <v>51</v>
      </c>
      <c r="S3203">
        <v>1905</v>
      </c>
      <c r="T3203">
        <v>1997</v>
      </c>
      <c r="U3203" s="1">
        <v>1973</v>
      </c>
      <c r="V3203" s="2">
        <v>1973</v>
      </c>
      <c r="W3203" s="1">
        <v>35639</v>
      </c>
      <c r="X3203" s="2">
        <v>35639</v>
      </c>
      <c r="Y3203" t="s">
        <v>13268</v>
      </c>
      <c r="Z3203">
        <v>0</v>
      </c>
      <c r="AA3203">
        <v>1</v>
      </c>
      <c r="AB3203">
        <v>0</v>
      </c>
      <c r="AC3203">
        <v>0</v>
      </c>
      <c r="AF3203">
        <v>1975</v>
      </c>
      <c r="AG3203">
        <v>1975</v>
      </c>
      <c r="AO3203" t="b">
        <v>1</v>
      </c>
      <c r="AP3203" t="s">
        <v>4202</v>
      </c>
      <c r="AQ3203">
        <v>1946</v>
      </c>
      <c r="AR3203">
        <v>1956</v>
      </c>
      <c r="AS3203" t="s">
        <v>13269</v>
      </c>
      <c r="AT3203">
        <v>3.5592060232717299E-2</v>
      </c>
      <c r="AU3203">
        <f t="shared" si="149"/>
        <v>0</v>
      </c>
    </row>
    <row r="3204" spans="1:47" x14ac:dyDescent="0.3">
      <c r="A3204">
        <v>3202</v>
      </c>
      <c r="B3204" t="s">
        <v>13270</v>
      </c>
      <c r="C3204" t="s">
        <v>13271</v>
      </c>
      <c r="D3204">
        <v>800</v>
      </c>
      <c r="E3204" t="s">
        <v>13201</v>
      </c>
      <c r="F3204" t="str">
        <f>VLOOKUP(E3204,country_continent!A:C,2,FALSE)</f>
        <v>Thailand</v>
      </c>
      <c r="G3204" t="str">
        <f>VLOOKUP(E3204,country_continent!A:C,3,FALSE)</f>
        <v>Asia</v>
      </c>
      <c r="H3204" t="s">
        <v>13272</v>
      </c>
      <c r="I3204" s="1">
        <v>27470</v>
      </c>
      <c r="J3204" s="3">
        <f t="shared" si="150"/>
        <v>27470</v>
      </c>
      <c r="K3204" s="1">
        <v>27866</v>
      </c>
      <c r="L3204" s="3">
        <f t="shared" si="151"/>
        <v>27866</v>
      </c>
      <c r="M3204" t="s">
        <v>49</v>
      </c>
      <c r="N3204" t="s">
        <v>49</v>
      </c>
      <c r="O3204" t="s">
        <v>49</v>
      </c>
      <c r="P3204">
        <v>0</v>
      </c>
      <c r="Q3204" t="s">
        <v>50</v>
      </c>
      <c r="R3204" t="s">
        <v>51</v>
      </c>
      <c r="S3204">
        <v>1911</v>
      </c>
      <c r="T3204">
        <v>1995</v>
      </c>
      <c r="U3204" s="1">
        <v>4128</v>
      </c>
      <c r="V3204" s="2">
        <v>4128</v>
      </c>
      <c r="W3204" s="1">
        <v>34981</v>
      </c>
      <c r="X3204" s="2">
        <v>34981</v>
      </c>
      <c r="Y3204" t="s">
        <v>13273</v>
      </c>
      <c r="Z3204">
        <v>0</v>
      </c>
      <c r="AA3204">
        <v>1</v>
      </c>
      <c r="AB3204">
        <v>0</v>
      </c>
      <c r="AC3204">
        <v>0</v>
      </c>
      <c r="AF3204">
        <v>1975</v>
      </c>
      <c r="AG3204">
        <v>1976</v>
      </c>
      <c r="AO3204" t="b">
        <v>1</v>
      </c>
      <c r="AP3204" t="s">
        <v>4202</v>
      </c>
      <c r="AQ3204">
        <v>1946</v>
      </c>
      <c r="AR3204">
        <v>1956</v>
      </c>
      <c r="AS3204" t="s">
        <v>13274</v>
      </c>
      <c r="AT3204">
        <v>1.08418891170431</v>
      </c>
      <c r="AU3204">
        <f t="shared" ref="AU3204:AU3267" si="152">ROUND(AT3204/365,3)</f>
        <v>3.0000000000000001E-3</v>
      </c>
    </row>
    <row r="3205" spans="1:47" x14ac:dyDescent="0.3">
      <c r="A3205">
        <v>3203</v>
      </c>
      <c r="B3205" t="s">
        <v>13275</v>
      </c>
      <c r="C3205" t="s">
        <v>13266</v>
      </c>
      <c r="D3205">
        <v>800</v>
      </c>
      <c r="E3205" t="s">
        <v>13201</v>
      </c>
      <c r="F3205" t="str">
        <f>VLOOKUP(E3205,country_continent!A:C,2,FALSE)</f>
        <v>Thailand</v>
      </c>
      <c r="G3205" t="str">
        <f>VLOOKUP(E3205,country_continent!A:C,3,FALSE)</f>
        <v>Asia</v>
      </c>
      <c r="H3205" t="s">
        <v>13267</v>
      </c>
      <c r="I3205" s="1">
        <v>27870</v>
      </c>
      <c r="J3205" s="3">
        <f t="shared" si="150"/>
        <v>27870</v>
      </c>
      <c r="K3205" s="1">
        <v>28039</v>
      </c>
      <c r="L3205" s="3">
        <f t="shared" si="151"/>
        <v>28039</v>
      </c>
      <c r="M3205" t="s">
        <v>49</v>
      </c>
      <c r="N3205" t="s">
        <v>67</v>
      </c>
      <c r="O3205" t="s">
        <v>376</v>
      </c>
      <c r="P3205">
        <v>1</v>
      </c>
      <c r="Q3205" t="s">
        <v>50</v>
      </c>
      <c r="R3205" t="s">
        <v>51</v>
      </c>
      <c r="S3205">
        <v>1905</v>
      </c>
      <c r="T3205">
        <v>1997</v>
      </c>
      <c r="U3205" s="1">
        <v>1973</v>
      </c>
      <c r="V3205" s="2">
        <v>1973</v>
      </c>
      <c r="W3205" s="1">
        <v>35639</v>
      </c>
      <c r="X3205" s="2">
        <v>35639</v>
      </c>
      <c r="Y3205" t="s">
        <v>13268</v>
      </c>
      <c r="Z3205">
        <v>0</v>
      </c>
      <c r="AA3205">
        <v>3</v>
      </c>
      <c r="AB3205">
        <v>6</v>
      </c>
      <c r="AC3205">
        <v>0</v>
      </c>
      <c r="AF3205">
        <v>1976</v>
      </c>
      <c r="AG3205">
        <v>1976</v>
      </c>
      <c r="AO3205" t="b">
        <v>1</v>
      </c>
      <c r="AP3205" t="s">
        <v>4202</v>
      </c>
      <c r="AQ3205">
        <v>1946</v>
      </c>
      <c r="AR3205">
        <v>1956</v>
      </c>
      <c r="AS3205" t="s">
        <v>13276</v>
      </c>
      <c r="AT3205">
        <v>0.46269678302532502</v>
      </c>
      <c r="AU3205">
        <f t="shared" si="152"/>
        <v>1E-3</v>
      </c>
    </row>
    <row r="3206" spans="1:47" x14ac:dyDescent="0.3">
      <c r="A3206">
        <v>3204</v>
      </c>
      <c r="B3206" t="s">
        <v>13277</v>
      </c>
      <c r="C3206" t="s">
        <v>13278</v>
      </c>
      <c r="D3206">
        <v>800</v>
      </c>
      <c r="E3206" t="s">
        <v>13201</v>
      </c>
      <c r="F3206" t="str">
        <f>VLOOKUP(E3206,country_continent!A:C,2,FALSE)</f>
        <v>Thailand</v>
      </c>
      <c r="G3206" t="str">
        <f>VLOOKUP(E3206,country_continent!A:C,3,FALSE)</f>
        <v>Asia</v>
      </c>
      <c r="H3206" t="s">
        <v>13279</v>
      </c>
      <c r="I3206" s="1">
        <v>28039</v>
      </c>
      <c r="J3206" s="3">
        <f t="shared" si="150"/>
        <v>28039</v>
      </c>
      <c r="K3206" s="1">
        <v>28055</v>
      </c>
      <c r="L3206" s="3">
        <f t="shared" si="151"/>
        <v>28055</v>
      </c>
      <c r="M3206" t="s">
        <v>67</v>
      </c>
      <c r="N3206" t="s">
        <v>49</v>
      </c>
      <c r="O3206" t="s">
        <v>49</v>
      </c>
      <c r="P3206">
        <v>0</v>
      </c>
      <c r="Q3206" t="s">
        <v>50</v>
      </c>
      <c r="R3206" t="s">
        <v>51</v>
      </c>
      <c r="S3206">
        <v>1915</v>
      </c>
      <c r="T3206">
        <v>1980</v>
      </c>
      <c r="U3206" s="1">
        <v>5541</v>
      </c>
      <c r="V3206" s="2">
        <v>5541</v>
      </c>
      <c r="Z3206">
        <v>1</v>
      </c>
      <c r="AA3206">
        <v>1</v>
      </c>
      <c r="AB3206">
        <v>0</v>
      </c>
      <c r="AC3206">
        <v>0</v>
      </c>
      <c r="AF3206">
        <v>1976</v>
      </c>
      <c r="AG3206">
        <v>1976</v>
      </c>
      <c r="AO3206" t="b">
        <v>1</v>
      </c>
      <c r="AP3206" t="s">
        <v>4202</v>
      </c>
      <c r="AQ3206">
        <v>1946</v>
      </c>
      <c r="AR3206">
        <v>1956</v>
      </c>
      <c r="AS3206" t="s">
        <v>13280</v>
      </c>
      <c r="AT3206">
        <v>4.3805612594113599E-2</v>
      </c>
      <c r="AU3206">
        <f t="shared" si="152"/>
        <v>0</v>
      </c>
    </row>
    <row r="3207" spans="1:47" x14ac:dyDescent="0.3">
      <c r="A3207">
        <v>3205</v>
      </c>
      <c r="B3207" t="s">
        <v>13281</v>
      </c>
      <c r="C3207" t="s">
        <v>13282</v>
      </c>
      <c r="D3207">
        <v>800</v>
      </c>
      <c r="E3207" t="s">
        <v>13201</v>
      </c>
      <c r="F3207" t="str">
        <f>VLOOKUP(E3207,country_continent!A:C,2,FALSE)</f>
        <v>Thailand</v>
      </c>
      <c r="G3207" t="str">
        <f>VLOOKUP(E3207,country_continent!A:C,3,FALSE)</f>
        <v>Asia</v>
      </c>
      <c r="H3207" t="s">
        <v>13283</v>
      </c>
      <c r="I3207" s="1">
        <v>28055</v>
      </c>
      <c r="J3207" s="3">
        <f t="shared" si="150"/>
        <v>28055</v>
      </c>
      <c r="K3207" s="1">
        <v>28418</v>
      </c>
      <c r="L3207" s="3">
        <f t="shared" si="151"/>
        <v>28418</v>
      </c>
      <c r="M3207" t="s">
        <v>67</v>
      </c>
      <c r="N3207" t="s">
        <v>67</v>
      </c>
      <c r="O3207" t="s">
        <v>376</v>
      </c>
      <c r="P3207">
        <v>0</v>
      </c>
      <c r="Q3207" t="s">
        <v>50</v>
      </c>
      <c r="R3207" t="s">
        <v>51</v>
      </c>
      <c r="S3207">
        <v>1927</v>
      </c>
      <c r="T3207">
        <v>-777</v>
      </c>
      <c r="Z3207">
        <v>1</v>
      </c>
      <c r="AA3207">
        <v>3</v>
      </c>
      <c r="AB3207">
        <v>6</v>
      </c>
      <c r="AC3207">
        <v>0</v>
      </c>
      <c r="AF3207">
        <v>1976</v>
      </c>
      <c r="AG3207">
        <v>1977</v>
      </c>
      <c r="AO3207" t="b">
        <v>1</v>
      </c>
      <c r="AP3207" t="s">
        <v>4202</v>
      </c>
      <c r="AQ3207">
        <v>1946</v>
      </c>
      <c r="AR3207">
        <v>1956</v>
      </c>
      <c r="AS3207" t="s">
        <v>13284</v>
      </c>
      <c r="AT3207">
        <v>0.99383983572895196</v>
      </c>
      <c r="AU3207">
        <f t="shared" si="152"/>
        <v>3.0000000000000001E-3</v>
      </c>
    </row>
    <row r="3208" spans="1:47" x14ac:dyDescent="0.3">
      <c r="A3208">
        <v>3206</v>
      </c>
      <c r="B3208" t="s">
        <v>13285</v>
      </c>
      <c r="C3208" t="s">
        <v>13278</v>
      </c>
      <c r="D3208">
        <v>800</v>
      </c>
      <c r="E3208" t="s">
        <v>13201</v>
      </c>
      <c r="F3208" t="str">
        <f>VLOOKUP(E3208,country_continent!A:C,2,FALSE)</f>
        <v>Thailand</v>
      </c>
      <c r="G3208" t="str">
        <f>VLOOKUP(E3208,country_continent!A:C,3,FALSE)</f>
        <v>Asia</v>
      </c>
      <c r="H3208" t="s">
        <v>13279</v>
      </c>
      <c r="I3208" s="1">
        <v>28418</v>
      </c>
      <c r="J3208" s="3">
        <f t="shared" si="150"/>
        <v>28418</v>
      </c>
      <c r="K3208" s="1">
        <v>28441</v>
      </c>
      <c r="L3208" s="3">
        <f t="shared" si="151"/>
        <v>28441</v>
      </c>
      <c r="M3208" t="s">
        <v>67</v>
      </c>
      <c r="N3208" t="s">
        <v>49</v>
      </c>
      <c r="O3208" t="s">
        <v>49</v>
      </c>
      <c r="P3208">
        <v>1</v>
      </c>
      <c r="Q3208" t="s">
        <v>50</v>
      </c>
      <c r="R3208" t="s">
        <v>51</v>
      </c>
      <c r="S3208">
        <v>1915</v>
      </c>
      <c r="T3208">
        <v>1980</v>
      </c>
      <c r="U3208" s="1">
        <v>5541</v>
      </c>
      <c r="V3208" s="2">
        <v>5541</v>
      </c>
      <c r="Z3208">
        <v>1</v>
      </c>
      <c r="AA3208">
        <v>1</v>
      </c>
      <c r="AB3208">
        <v>0</v>
      </c>
      <c r="AC3208">
        <v>0</v>
      </c>
      <c r="AF3208">
        <v>1977</v>
      </c>
      <c r="AG3208">
        <v>1977</v>
      </c>
      <c r="AO3208" t="b">
        <v>1</v>
      </c>
      <c r="AP3208" t="s">
        <v>4202</v>
      </c>
      <c r="AQ3208">
        <v>1946</v>
      </c>
      <c r="AR3208">
        <v>1956</v>
      </c>
      <c r="AS3208" t="s">
        <v>13286</v>
      </c>
      <c r="AT3208">
        <v>6.2970568104038296E-2</v>
      </c>
      <c r="AU3208">
        <f t="shared" si="152"/>
        <v>0</v>
      </c>
    </row>
    <row r="3209" spans="1:47" x14ac:dyDescent="0.3">
      <c r="A3209">
        <v>3207</v>
      </c>
      <c r="B3209" t="s">
        <v>13287</v>
      </c>
      <c r="C3209" t="s">
        <v>13288</v>
      </c>
      <c r="D3209">
        <v>800</v>
      </c>
      <c r="E3209" t="s">
        <v>13201</v>
      </c>
      <c r="F3209" t="str">
        <f>VLOOKUP(E3209,country_continent!A:C,2,FALSE)</f>
        <v>Thailand</v>
      </c>
      <c r="G3209" t="str">
        <f>VLOOKUP(E3209,country_continent!A:C,3,FALSE)</f>
        <v>Asia</v>
      </c>
      <c r="H3209" t="s">
        <v>13289</v>
      </c>
      <c r="I3209" s="1">
        <v>28441</v>
      </c>
      <c r="J3209" s="3">
        <f t="shared" si="150"/>
        <v>28441</v>
      </c>
      <c r="K3209" s="1">
        <v>29280</v>
      </c>
      <c r="L3209" s="3">
        <f t="shared" si="151"/>
        <v>29280</v>
      </c>
      <c r="M3209" t="s">
        <v>67</v>
      </c>
      <c r="N3209" t="s">
        <v>49</v>
      </c>
      <c r="O3209" t="s">
        <v>49</v>
      </c>
      <c r="P3209">
        <v>0</v>
      </c>
      <c r="Q3209" t="s">
        <v>50</v>
      </c>
      <c r="R3209" t="s">
        <v>51</v>
      </c>
      <c r="S3209">
        <v>1917</v>
      </c>
      <c r="T3209">
        <v>2003</v>
      </c>
      <c r="U3209" s="1">
        <v>6561</v>
      </c>
      <c r="V3209" s="2">
        <v>6561</v>
      </c>
      <c r="W3209" s="1">
        <v>37978</v>
      </c>
      <c r="X3209" s="2">
        <v>37978</v>
      </c>
      <c r="Y3209" t="s">
        <v>13290</v>
      </c>
      <c r="Z3209">
        <v>1</v>
      </c>
      <c r="AA3209">
        <v>1</v>
      </c>
      <c r="AB3209">
        <v>0</v>
      </c>
      <c r="AC3209">
        <v>0</v>
      </c>
      <c r="AF3209">
        <v>1977</v>
      </c>
      <c r="AG3209">
        <v>1980</v>
      </c>
      <c r="AO3209" t="b">
        <v>1</v>
      </c>
      <c r="AP3209" t="s">
        <v>4202</v>
      </c>
      <c r="AQ3209">
        <v>1946</v>
      </c>
      <c r="AR3209">
        <v>1956</v>
      </c>
      <c r="AS3209" t="s">
        <v>13291</v>
      </c>
      <c r="AT3209">
        <v>2.2970568104038298</v>
      </c>
      <c r="AU3209">
        <f t="shared" si="152"/>
        <v>6.0000000000000001E-3</v>
      </c>
    </row>
    <row r="3210" spans="1:47" x14ac:dyDescent="0.3">
      <c r="A3210">
        <v>3208</v>
      </c>
      <c r="B3210" t="s">
        <v>13292</v>
      </c>
      <c r="C3210" t="s">
        <v>13293</v>
      </c>
      <c r="D3210">
        <v>800</v>
      </c>
      <c r="E3210" t="s">
        <v>13201</v>
      </c>
      <c r="F3210" t="str">
        <f>VLOOKUP(E3210,country_continent!A:C,2,FALSE)</f>
        <v>Thailand</v>
      </c>
      <c r="G3210" t="str">
        <f>VLOOKUP(E3210,country_continent!A:C,3,FALSE)</f>
        <v>Asia</v>
      </c>
      <c r="H3210" t="s">
        <v>13294</v>
      </c>
      <c r="I3210" s="1">
        <v>29283</v>
      </c>
      <c r="J3210" s="3">
        <f t="shared" si="150"/>
        <v>29283</v>
      </c>
      <c r="K3210" s="1">
        <v>32359</v>
      </c>
      <c r="L3210" s="3">
        <f t="shared" si="151"/>
        <v>32359</v>
      </c>
      <c r="M3210" t="s">
        <v>49</v>
      </c>
      <c r="N3210" t="s">
        <v>49</v>
      </c>
      <c r="O3210" t="s">
        <v>49</v>
      </c>
      <c r="P3210">
        <v>0</v>
      </c>
      <c r="Q3210" t="s">
        <v>50</v>
      </c>
      <c r="R3210" t="s">
        <v>51</v>
      </c>
      <c r="S3210">
        <v>1920</v>
      </c>
      <c r="T3210">
        <v>-777</v>
      </c>
      <c r="U3210" s="1">
        <v>7544</v>
      </c>
      <c r="V3210" s="2">
        <v>7544</v>
      </c>
      <c r="Y3210" t="s">
        <v>13295</v>
      </c>
      <c r="Z3210">
        <v>0</v>
      </c>
      <c r="AA3210">
        <v>1</v>
      </c>
      <c r="AB3210">
        <v>0</v>
      </c>
      <c r="AC3210">
        <v>0</v>
      </c>
      <c r="AF3210">
        <v>1980</v>
      </c>
      <c r="AG3210">
        <v>1988</v>
      </c>
      <c r="AO3210" t="b">
        <v>1</v>
      </c>
      <c r="AP3210" t="s">
        <v>4202</v>
      </c>
      <c r="AQ3210">
        <v>1946</v>
      </c>
      <c r="AR3210">
        <v>1956</v>
      </c>
      <c r="AS3210" t="s">
        <v>13296</v>
      </c>
      <c r="AT3210">
        <v>8.4216290212183402</v>
      </c>
      <c r="AU3210">
        <f t="shared" si="152"/>
        <v>2.3E-2</v>
      </c>
    </row>
    <row r="3211" spans="1:47" x14ac:dyDescent="0.3">
      <c r="A3211">
        <v>3209</v>
      </c>
      <c r="B3211" t="s">
        <v>13297</v>
      </c>
      <c r="C3211" t="s">
        <v>13298</v>
      </c>
      <c r="D3211">
        <v>800</v>
      </c>
      <c r="E3211" t="s">
        <v>13201</v>
      </c>
      <c r="F3211" t="str">
        <f>VLOOKUP(E3211,country_continent!A:C,2,FALSE)</f>
        <v>Thailand</v>
      </c>
      <c r="G3211" t="str">
        <f>VLOOKUP(E3211,country_continent!A:C,3,FALSE)</f>
        <v>Asia</v>
      </c>
      <c r="H3211" t="s">
        <v>13299</v>
      </c>
      <c r="I3211" s="1">
        <v>32359</v>
      </c>
      <c r="J3211" s="3">
        <f t="shared" si="150"/>
        <v>32359</v>
      </c>
      <c r="K3211" s="1">
        <v>33292</v>
      </c>
      <c r="L3211" s="3">
        <f t="shared" si="151"/>
        <v>33292</v>
      </c>
      <c r="M3211" t="s">
        <v>49</v>
      </c>
      <c r="N3211" t="s">
        <v>67</v>
      </c>
      <c r="O3211" t="s">
        <v>376</v>
      </c>
      <c r="P3211">
        <v>0</v>
      </c>
      <c r="Q3211" t="s">
        <v>362</v>
      </c>
      <c r="R3211" t="s">
        <v>51</v>
      </c>
      <c r="S3211">
        <v>1922</v>
      </c>
      <c r="T3211">
        <v>1998</v>
      </c>
      <c r="U3211" s="1">
        <v>8151</v>
      </c>
      <c r="V3211" s="2">
        <v>8151</v>
      </c>
      <c r="W3211" s="1">
        <v>35921</v>
      </c>
      <c r="X3211" s="2">
        <v>35921</v>
      </c>
      <c r="Y3211" t="s">
        <v>13300</v>
      </c>
      <c r="Z3211">
        <v>0</v>
      </c>
      <c r="AA3211">
        <v>3</v>
      </c>
      <c r="AB3211">
        <v>6</v>
      </c>
      <c r="AC3211">
        <v>1</v>
      </c>
      <c r="AF3211">
        <v>1988</v>
      </c>
      <c r="AG3211">
        <v>1991</v>
      </c>
      <c r="AO3211" t="b">
        <v>1</v>
      </c>
      <c r="AP3211" t="s">
        <v>4202</v>
      </c>
      <c r="AQ3211">
        <v>1946</v>
      </c>
      <c r="AR3211">
        <v>1956</v>
      </c>
      <c r="AS3211" t="s">
        <v>13301</v>
      </c>
      <c r="AT3211">
        <v>2.55441478439425</v>
      </c>
      <c r="AU3211">
        <f t="shared" si="152"/>
        <v>7.0000000000000001E-3</v>
      </c>
    </row>
    <row r="3212" spans="1:47" x14ac:dyDescent="0.3">
      <c r="A3212">
        <v>3210</v>
      </c>
      <c r="B3212" t="s">
        <v>13302</v>
      </c>
      <c r="C3212" t="s">
        <v>13303</v>
      </c>
      <c r="D3212">
        <v>800</v>
      </c>
      <c r="E3212" t="s">
        <v>13201</v>
      </c>
      <c r="F3212" t="str">
        <f>VLOOKUP(E3212,country_continent!A:C,2,FALSE)</f>
        <v>Thailand</v>
      </c>
      <c r="G3212" t="str">
        <f>VLOOKUP(E3212,country_continent!A:C,3,FALSE)</f>
        <v>Asia</v>
      </c>
      <c r="H3212" t="s">
        <v>13304</v>
      </c>
      <c r="I3212" s="1">
        <v>33304</v>
      </c>
      <c r="J3212" s="3">
        <f t="shared" si="150"/>
        <v>33304</v>
      </c>
      <c r="K3212" s="1">
        <v>33698</v>
      </c>
      <c r="L3212" s="3">
        <f t="shared" si="151"/>
        <v>33698</v>
      </c>
      <c r="M3212" t="s">
        <v>49</v>
      </c>
      <c r="N3212" t="s">
        <v>49</v>
      </c>
      <c r="O3212" t="s">
        <v>49</v>
      </c>
      <c r="P3212">
        <v>0</v>
      </c>
      <c r="Q3212" t="s">
        <v>50</v>
      </c>
      <c r="R3212" t="s">
        <v>51</v>
      </c>
      <c r="S3212">
        <v>1932</v>
      </c>
      <c r="T3212">
        <v>-777</v>
      </c>
      <c r="U3212" s="1">
        <v>11910</v>
      </c>
      <c r="V3212" s="2">
        <v>11910</v>
      </c>
      <c r="Y3212" t="s">
        <v>13305</v>
      </c>
      <c r="Z3212">
        <v>0</v>
      </c>
      <c r="AA3212">
        <v>1</v>
      </c>
      <c r="AB3212">
        <v>0</v>
      </c>
      <c r="AC3212">
        <v>0</v>
      </c>
      <c r="AF3212">
        <v>1991</v>
      </c>
      <c r="AG3212">
        <v>1992</v>
      </c>
      <c r="AO3212" t="b">
        <v>1</v>
      </c>
      <c r="AP3212" t="s">
        <v>4202</v>
      </c>
      <c r="AQ3212">
        <v>1946</v>
      </c>
      <c r="AR3212">
        <v>1956</v>
      </c>
      <c r="AS3212" t="s">
        <v>13306</v>
      </c>
      <c r="AT3212">
        <v>1.0787132101300401</v>
      </c>
      <c r="AU3212">
        <f t="shared" si="152"/>
        <v>3.0000000000000001E-3</v>
      </c>
    </row>
    <row r="3213" spans="1:47" x14ac:dyDescent="0.3">
      <c r="A3213">
        <v>3211</v>
      </c>
      <c r="B3213" t="s">
        <v>13307</v>
      </c>
      <c r="C3213" t="s">
        <v>13308</v>
      </c>
      <c r="D3213">
        <v>800</v>
      </c>
      <c r="E3213" t="s">
        <v>13201</v>
      </c>
      <c r="F3213" t="str">
        <f>VLOOKUP(E3213,country_continent!A:C,2,FALSE)</f>
        <v>Thailand</v>
      </c>
      <c r="G3213" t="str">
        <f>VLOOKUP(E3213,country_continent!A:C,3,FALSE)</f>
        <v>Asia</v>
      </c>
      <c r="H3213" t="s">
        <v>13309</v>
      </c>
      <c r="I3213" s="1">
        <v>33699</v>
      </c>
      <c r="J3213" s="3">
        <f t="shared" si="150"/>
        <v>33699</v>
      </c>
      <c r="K3213" s="1">
        <v>33748</v>
      </c>
      <c r="L3213" s="3">
        <f t="shared" si="151"/>
        <v>33748</v>
      </c>
      <c r="M3213" t="s">
        <v>49</v>
      </c>
      <c r="N3213" t="s">
        <v>49</v>
      </c>
      <c r="O3213" t="s">
        <v>49</v>
      </c>
      <c r="P3213">
        <v>0</v>
      </c>
      <c r="Q3213" t="s">
        <v>50</v>
      </c>
      <c r="R3213" t="s">
        <v>51</v>
      </c>
      <c r="S3213">
        <v>1932</v>
      </c>
      <c r="T3213">
        <v>-777</v>
      </c>
      <c r="Y3213" t="s">
        <v>13310</v>
      </c>
      <c r="Z3213">
        <v>0</v>
      </c>
      <c r="AA3213">
        <v>1</v>
      </c>
      <c r="AB3213">
        <v>0</v>
      </c>
      <c r="AC3213">
        <v>0</v>
      </c>
      <c r="AF3213">
        <v>1992</v>
      </c>
      <c r="AG3213">
        <v>1992</v>
      </c>
      <c r="AO3213" t="b">
        <v>1</v>
      </c>
      <c r="AP3213" t="s">
        <v>4202</v>
      </c>
      <c r="AQ3213">
        <v>1946</v>
      </c>
      <c r="AR3213">
        <v>1956</v>
      </c>
      <c r="AS3213" t="s">
        <v>13311</v>
      </c>
      <c r="AT3213">
        <v>0.13415468856947199</v>
      </c>
      <c r="AU3213">
        <f t="shared" si="152"/>
        <v>0</v>
      </c>
    </row>
    <row r="3214" spans="1:47" x14ac:dyDescent="0.3">
      <c r="A3214">
        <v>3212</v>
      </c>
      <c r="B3214" t="s">
        <v>13312</v>
      </c>
      <c r="C3214" t="s">
        <v>13303</v>
      </c>
      <c r="D3214">
        <v>800</v>
      </c>
      <c r="E3214" t="s">
        <v>13201</v>
      </c>
      <c r="F3214" t="str">
        <f>VLOOKUP(E3214,country_continent!A:C,2,FALSE)</f>
        <v>Thailand</v>
      </c>
      <c r="G3214" t="str">
        <f>VLOOKUP(E3214,country_continent!A:C,3,FALSE)</f>
        <v>Asia</v>
      </c>
      <c r="H3214" t="s">
        <v>13304</v>
      </c>
      <c r="I3214" s="1">
        <v>33765</v>
      </c>
      <c r="J3214" s="3">
        <f t="shared" si="150"/>
        <v>33765</v>
      </c>
      <c r="K3214" s="1">
        <v>33870</v>
      </c>
      <c r="L3214" s="3">
        <f t="shared" si="151"/>
        <v>33870</v>
      </c>
      <c r="M3214" t="s">
        <v>49</v>
      </c>
      <c r="N3214" t="s">
        <v>49</v>
      </c>
      <c r="O3214" t="s">
        <v>49</v>
      </c>
      <c r="P3214">
        <v>1</v>
      </c>
      <c r="Q3214" t="s">
        <v>50</v>
      </c>
      <c r="R3214" t="s">
        <v>51</v>
      </c>
      <c r="S3214">
        <v>1932</v>
      </c>
      <c r="T3214">
        <v>-777</v>
      </c>
      <c r="U3214" s="1">
        <v>11910</v>
      </c>
      <c r="V3214" s="2">
        <v>11910</v>
      </c>
      <c r="Y3214" t="s">
        <v>13305</v>
      </c>
      <c r="Z3214">
        <v>0</v>
      </c>
      <c r="AA3214">
        <v>1</v>
      </c>
      <c r="AB3214">
        <v>0</v>
      </c>
      <c r="AC3214">
        <v>0</v>
      </c>
      <c r="AF3214">
        <v>1992</v>
      </c>
      <c r="AG3214">
        <v>1992</v>
      </c>
      <c r="AO3214" t="b">
        <v>1</v>
      </c>
      <c r="AP3214" t="s">
        <v>4202</v>
      </c>
      <c r="AQ3214">
        <v>1946</v>
      </c>
      <c r="AR3214">
        <v>1956</v>
      </c>
      <c r="AS3214" t="s">
        <v>13313</v>
      </c>
      <c r="AT3214">
        <v>0.28747433264887001</v>
      </c>
      <c r="AU3214">
        <f t="shared" si="152"/>
        <v>1E-3</v>
      </c>
    </row>
    <row r="3215" spans="1:47" x14ac:dyDescent="0.3">
      <c r="A3215">
        <v>3213</v>
      </c>
      <c r="B3215" t="s">
        <v>13314</v>
      </c>
      <c r="C3215" t="s">
        <v>13315</v>
      </c>
      <c r="D3215">
        <v>800</v>
      </c>
      <c r="E3215" t="s">
        <v>13201</v>
      </c>
      <c r="F3215" t="str">
        <f>VLOOKUP(E3215,country_continent!A:C,2,FALSE)</f>
        <v>Thailand</v>
      </c>
      <c r="G3215" t="str">
        <f>VLOOKUP(E3215,country_continent!A:C,3,FALSE)</f>
        <v>Asia</v>
      </c>
      <c r="H3215" t="s">
        <v>13316</v>
      </c>
      <c r="I3215" s="1">
        <v>33870</v>
      </c>
      <c r="J3215" s="3">
        <f t="shared" si="150"/>
        <v>33870</v>
      </c>
      <c r="K3215" s="1">
        <v>34893</v>
      </c>
      <c r="L3215" s="3">
        <f t="shared" si="151"/>
        <v>34893</v>
      </c>
      <c r="M3215" t="s">
        <v>49</v>
      </c>
      <c r="N3215" t="s">
        <v>49</v>
      </c>
      <c r="O3215" t="s">
        <v>49</v>
      </c>
      <c r="P3215">
        <v>0</v>
      </c>
      <c r="Q3215" t="s">
        <v>50</v>
      </c>
      <c r="R3215" t="s">
        <v>51</v>
      </c>
      <c r="S3215">
        <v>1938</v>
      </c>
      <c r="T3215">
        <v>-777</v>
      </c>
      <c r="Z3215">
        <v>0</v>
      </c>
      <c r="AA3215">
        <v>1</v>
      </c>
      <c r="AB3215">
        <v>0</v>
      </c>
      <c r="AC3215">
        <v>0</v>
      </c>
      <c r="AF3215">
        <v>1992</v>
      </c>
      <c r="AG3215">
        <v>1995</v>
      </c>
      <c r="AO3215" t="b">
        <v>1</v>
      </c>
      <c r="AP3215" t="s">
        <v>4202</v>
      </c>
      <c r="AQ3215">
        <v>1946</v>
      </c>
      <c r="AR3215">
        <v>1956</v>
      </c>
      <c r="AS3215" t="s">
        <v>13317</v>
      </c>
      <c r="AT3215">
        <v>2.8008213552361299</v>
      </c>
      <c r="AU3215">
        <f t="shared" si="152"/>
        <v>8.0000000000000002E-3</v>
      </c>
    </row>
    <row r="3216" spans="1:47" x14ac:dyDescent="0.3">
      <c r="A3216">
        <v>3214</v>
      </c>
      <c r="B3216" t="s">
        <v>13318</v>
      </c>
      <c r="C3216" t="s">
        <v>13319</v>
      </c>
      <c r="D3216">
        <v>800</v>
      </c>
      <c r="E3216" t="s">
        <v>13201</v>
      </c>
      <c r="F3216" t="str">
        <f>VLOOKUP(E3216,country_continent!A:C,2,FALSE)</f>
        <v>Thailand</v>
      </c>
      <c r="G3216" t="str">
        <f>VLOOKUP(E3216,country_continent!A:C,3,FALSE)</f>
        <v>Asia</v>
      </c>
      <c r="H3216" t="s">
        <v>13320</v>
      </c>
      <c r="I3216" s="1">
        <v>34893</v>
      </c>
      <c r="J3216" s="3">
        <f t="shared" si="150"/>
        <v>34893</v>
      </c>
      <c r="K3216" s="1">
        <v>35400</v>
      </c>
      <c r="L3216" s="3">
        <f t="shared" si="151"/>
        <v>35400</v>
      </c>
      <c r="M3216" t="s">
        <v>49</v>
      </c>
      <c r="N3216" t="s">
        <v>49</v>
      </c>
      <c r="O3216" t="s">
        <v>49</v>
      </c>
      <c r="P3216">
        <v>0</v>
      </c>
      <c r="Q3216" t="s">
        <v>50</v>
      </c>
      <c r="R3216" t="s">
        <v>51</v>
      </c>
      <c r="S3216">
        <v>1932</v>
      </c>
      <c r="T3216">
        <v>-777</v>
      </c>
      <c r="Z3216">
        <v>0</v>
      </c>
      <c r="AA3216">
        <v>1</v>
      </c>
      <c r="AB3216">
        <v>0</v>
      </c>
      <c r="AC3216">
        <v>0</v>
      </c>
      <c r="AF3216">
        <v>1995</v>
      </c>
      <c r="AG3216">
        <v>1996</v>
      </c>
      <c r="AO3216" t="b">
        <v>1</v>
      </c>
      <c r="AP3216" t="s">
        <v>4202</v>
      </c>
      <c r="AQ3216">
        <v>1946</v>
      </c>
      <c r="AR3216">
        <v>1956</v>
      </c>
      <c r="AS3216" t="s">
        <v>13321</v>
      </c>
      <c r="AT3216">
        <v>1.38809034907597</v>
      </c>
      <c r="AU3216">
        <f t="shared" si="152"/>
        <v>4.0000000000000001E-3</v>
      </c>
    </row>
    <row r="3217" spans="1:47" x14ac:dyDescent="0.3">
      <c r="A3217">
        <v>3215</v>
      </c>
      <c r="B3217" t="s">
        <v>13322</v>
      </c>
      <c r="C3217" t="s">
        <v>13323</v>
      </c>
      <c r="D3217">
        <v>800</v>
      </c>
      <c r="E3217" t="s">
        <v>13201</v>
      </c>
      <c r="F3217" t="str">
        <f>VLOOKUP(E3217,country_continent!A:C,2,FALSE)</f>
        <v>Thailand</v>
      </c>
      <c r="G3217" t="str">
        <f>VLOOKUP(E3217,country_continent!A:C,3,FALSE)</f>
        <v>Asia</v>
      </c>
      <c r="H3217" t="s">
        <v>13324</v>
      </c>
      <c r="I3217" s="1">
        <v>35400</v>
      </c>
      <c r="J3217" s="3">
        <f t="shared" si="150"/>
        <v>35400</v>
      </c>
      <c r="K3217" s="1">
        <v>35743</v>
      </c>
      <c r="L3217" s="3">
        <f t="shared" si="151"/>
        <v>35743</v>
      </c>
      <c r="M3217" t="s">
        <v>49</v>
      </c>
      <c r="N3217" t="s">
        <v>49</v>
      </c>
      <c r="O3217" t="s">
        <v>49</v>
      </c>
      <c r="P3217">
        <v>0</v>
      </c>
      <c r="Q3217" t="s">
        <v>50</v>
      </c>
      <c r="R3217" t="s">
        <v>51</v>
      </c>
      <c r="S3217">
        <v>1932</v>
      </c>
      <c r="T3217">
        <v>-777</v>
      </c>
      <c r="U3217" s="1">
        <v>11824</v>
      </c>
      <c r="V3217" s="2">
        <v>11824</v>
      </c>
      <c r="Y3217" t="s">
        <v>13325</v>
      </c>
      <c r="Z3217">
        <v>0</v>
      </c>
      <c r="AA3217">
        <v>1</v>
      </c>
      <c r="AB3217">
        <v>0</v>
      </c>
      <c r="AC3217">
        <v>0</v>
      </c>
      <c r="AF3217">
        <v>1996</v>
      </c>
      <c r="AG3217">
        <v>1997</v>
      </c>
      <c r="AO3217" t="b">
        <v>1</v>
      </c>
      <c r="AP3217" t="s">
        <v>4202</v>
      </c>
      <c r="AQ3217">
        <v>1946</v>
      </c>
      <c r="AR3217">
        <v>1956</v>
      </c>
      <c r="AS3217" t="s">
        <v>13326</v>
      </c>
      <c r="AT3217">
        <v>0.93908281998631005</v>
      </c>
      <c r="AU3217">
        <f t="shared" si="152"/>
        <v>3.0000000000000001E-3</v>
      </c>
    </row>
    <row r="3218" spans="1:47" x14ac:dyDescent="0.3">
      <c r="A3218">
        <v>3216</v>
      </c>
      <c r="B3218" t="s">
        <v>13327</v>
      </c>
      <c r="C3218" t="s">
        <v>13315</v>
      </c>
      <c r="D3218">
        <v>800</v>
      </c>
      <c r="E3218" t="s">
        <v>13201</v>
      </c>
      <c r="F3218" t="str">
        <f>VLOOKUP(E3218,country_continent!A:C,2,FALSE)</f>
        <v>Thailand</v>
      </c>
      <c r="G3218" t="str">
        <f>VLOOKUP(E3218,country_continent!A:C,3,FALSE)</f>
        <v>Asia</v>
      </c>
      <c r="H3218" t="s">
        <v>13316</v>
      </c>
      <c r="I3218" s="1">
        <v>35743</v>
      </c>
      <c r="J3218" s="3">
        <f t="shared" si="150"/>
        <v>35743</v>
      </c>
      <c r="K3218" s="1">
        <v>36931</v>
      </c>
      <c r="L3218" s="3">
        <f t="shared" si="151"/>
        <v>36931</v>
      </c>
      <c r="M3218" t="s">
        <v>49</v>
      </c>
      <c r="N3218" t="s">
        <v>49</v>
      </c>
      <c r="O3218" t="s">
        <v>49</v>
      </c>
      <c r="P3218">
        <v>1</v>
      </c>
      <c r="Q3218" t="s">
        <v>50</v>
      </c>
      <c r="R3218" t="s">
        <v>51</v>
      </c>
      <c r="S3218">
        <v>1938</v>
      </c>
      <c r="T3218">
        <v>-777</v>
      </c>
      <c r="Z3218">
        <v>0</v>
      </c>
      <c r="AA3218">
        <v>1</v>
      </c>
      <c r="AB3218">
        <v>0</v>
      </c>
      <c r="AC3218">
        <v>0</v>
      </c>
      <c r="AF3218">
        <v>1997</v>
      </c>
      <c r="AG3218">
        <v>2001</v>
      </c>
      <c r="AO3218" t="b">
        <v>1</v>
      </c>
      <c r="AP3218" t="s">
        <v>4202</v>
      </c>
      <c r="AQ3218">
        <v>1946</v>
      </c>
      <c r="AR3218">
        <v>1956</v>
      </c>
      <c r="AS3218" t="s">
        <v>13328</v>
      </c>
      <c r="AT3218">
        <v>3.2525667351129299</v>
      </c>
      <c r="AU3218">
        <f t="shared" si="152"/>
        <v>8.9999999999999993E-3</v>
      </c>
    </row>
    <row r="3219" spans="1:47" x14ac:dyDescent="0.3">
      <c r="A3219">
        <v>3217</v>
      </c>
      <c r="B3219" t="s">
        <v>13329</v>
      </c>
      <c r="C3219" t="s">
        <v>13330</v>
      </c>
      <c r="D3219">
        <v>800</v>
      </c>
      <c r="E3219" t="s">
        <v>13201</v>
      </c>
      <c r="F3219" t="str">
        <f>VLOOKUP(E3219,country_continent!A:C,2,FALSE)</f>
        <v>Thailand</v>
      </c>
      <c r="G3219" t="str">
        <f>VLOOKUP(E3219,country_continent!A:C,3,FALSE)</f>
        <v>Asia</v>
      </c>
      <c r="H3219" t="s">
        <v>13331</v>
      </c>
      <c r="I3219" s="1">
        <v>36932</v>
      </c>
      <c r="J3219" s="3">
        <f t="shared" si="150"/>
        <v>36932</v>
      </c>
      <c r="K3219" s="1">
        <v>38979</v>
      </c>
      <c r="L3219" s="3">
        <f t="shared" si="151"/>
        <v>38979</v>
      </c>
      <c r="M3219" t="s">
        <v>49</v>
      </c>
      <c r="N3219" t="s">
        <v>67</v>
      </c>
      <c r="O3219" t="s">
        <v>376</v>
      </c>
      <c r="P3219">
        <v>0</v>
      </c>
      <c r="Q3219" t="s">
        <v>362</v>
      </c>
      <c r="R3219" t="s">
        <v>51</v>
      </c>
      <c r="S3219">
        <v>1949</v>
      </c>
      <c r="T3219">
        <v>-777</v>
      </c>
      <c r="Z3219">
        <v>0</v>
      </c>
      <c r="AA3219">
        <v>3</v>
      </c>
      <c r="AB3219">
        <v>6</v>
      </c>
      <c r="AC3219">
        <v>1</v>
      </c>
      <c r="AD3219" t="s">
        <v>13332</v>
      </c>
      <c r="AE3219">
        <v>0</v>
      </c>
      <c r="AF3219">
        <v>2001</v>
      </c>
      <c r="AG3219">
        <v>2006</v>
      </c>
      <c r="AO3219" t="b">
        <v>1</v>
      </c>
      <c r="AP3219" t="s">
        <v>4202</v>
      </c>
      <c r="AQ3219">
        <v>1946</v>
      </c>
      <c r="AR3219">
        <v>1956</v>
      </c>
      <c r="AS3219" t="s">
        <v>13333</v>
      </c>
      <c r="AT3219">
        <v>5.6043805612594104</v>
      </c>
      <c r="AU3219">
        <f t="shared" si="152"/>
        <v>1.4999999999999999E-2</v>
      </c>
    </row>
    <row r="3220" spans="1:47" x14ac:dyDescent="0.3">
      <c r="A3220">
        <v>3218</v>
      </c>
      <c r="B3220" t="s">
        <v>13334</v>
      </c>
      <c r="C3220" t="s">
        <v>13335</v>
      </c>
      <c r="D3220">
        <v>800</v>
      </c>
      <c r="E3220" t="s">
        <v>13201</v>
      </c>
      <c r="F3220" t="str">
        <f>VLOOKUP(E3220,country_continent!A:C,2,FALSE)</f>
        <v>Thailand</v>
      </c>
      <c r="G3220" t="str">
        <f>VLOOKUP(E3220,country_continent!A:C,3,FALSE)</f>
        <v>Asia</v>
      </c>
      <c r="H3220" t="s">
        <v>13336</v>
      </c>
      <c r="I3220" s="1">
        <v>38979</v>
      </c>
      <c r="J3220" s="3">
        <f t="shared" si="150"/>
        <v>38979</v>
      </c>
      <c r="K3220" s="1">
        <v>39476</v>
      </c>
      <c r="L3220" s="3">
        <f t="shared" si="151"/>
        <v>39476</v>
      </c>
      <c r="M3220" t="s">
        <v>49</v>
      </c>
      <c r="N3220" t="s">
        <v>49</v>
      </c>
      <c r="O3220" t="s">
        <v>49</v>
      </c>
      <c r="P3220">
        <v>0</v>
      </c>
      <c r="Q3220" t="s">
        <v>50</v>
      </c>
      <c r="R3220" t="s">
        <v>51</v>
      </c>
      <c r="S3220">
        <v>1943</v>
      </c>
      <c r="T3220">
        <v>-777</v>
      </c>
      <c r="Z3220">
        <v>0</v>
      </c>
      <c r="AA3220">
        <v>1</v>
      </c>
      <c r="AB3220">
        <v>0</v>
      </c>
      <c r="AC3220">
        <v>0</v>
      </c>
      <c r="AF3220">
        <v>2006</v>
      </c>
      <c r="AG3220">
        <v>2008</v>
      </c>
      <c r="AO3220" t="b">
        <v>1</v>
      </c>
      <c r="AP3220" t="s">
        <v>4202</v>
      </c>
      <c r="AQ3220">
        <v>1946</v>
      </c>
      <c r="AR3220">
        <v>1956</v>
      </c>
      <c r="AS3220" t="s">
        <v>13337</v>
      </c>
      <c r="AT3220">
        <v>1.3607118412046499</v>
      </c>
      <c r="AU3220">
        <f t="shared" si="152"/>
        <v>4.0000000000000001E-3</v>
      </c>
    </row>
    <row r="3221" spans="1:47" x14ac:dyDescent="0.3">
      <c r="A3221">
        <v>3219</v>
      </c>
      <c r="B3221" t="s">
        <v>13338</v>
      </c>
      <c r="C3221" t="s">
        <v>13339</v>
      </c>
      <c r="D3221">
        <v>800</v>
      </c>
      <c r="E3221" t="s">
        <v>13201</v>
      </c>
      <c r="F3221" t="str">
        <f>VLOOKUP(E3221,country_continent!A:C,2,FALSE)</f>
        <v>Thailand</v>
      </c>
      <c r="G3221" t="str">
        <f>VLOOKUP(E3221,country_continent!A:C,3,FALSE)</f>
        <v>Asia</v>
      </c>
      <c r="H3221" t="s">
        <v>13340</v>
      </c>
      <c r="I3221" s="1">
        <v>39476</v>
      </c>
      <c r="J3221" s="3">
        <f t="shared" si="150"/>
        <v>39476</v>
      </c>
      <c r="K3221" s="1">
        <v>39700</v>
      </c>
      <c r="L3221" s="3">
        <f t="shared" si="151"/>
        <v>39700</v>
      </c>
      <c r="M3221" t="s">
        <v>49</v>
      </c>
      <c r="N3221" t="s">
        <v>49</v>
      </c>
      <c r="O3221" t="s">
        <v>49</v>
      </c>
      <c r="P3221">
        <v>0</v>
      </c>
      <c r="Q3221" t="s">
        <v>50</v>
      </c>
      <c r="R3221" t="s">
        <v>51</v>
      </c>
      <c r="S3221">
        <v>1935</v>
      </c>
      <c r="T3221">
        <v>2009</v>
      </c>
      <c r="Z3221">
        <v>0</v>
      </c>
      <c r="AA3221">
        <v>1</v>
      </c>
      <c r="AB3221">
        <v>0</v>
      </c>
      <c r="AC3221">
        <v>0</v>
      </c>
      <c r="AF3221">
        <v>2008</v>
      </c>
      <c r="AG3221">
        <v>2008</v>
      </c>
      <c r="AO3221" t="b">
        <v>1</v>
      </c>
      <c r="AP3221" t="s">
        <v>4202</v>
      </c>
      <c r="AQ3221">
        <v>1946</v>
      </c>
      <c r="AR3221">
        <v>1956</v>
      </c>
      <c r="AS3221" t="s">
        <v>13341</v>
      </c>
      <c r="AT3221">
        <v>0.61327857631758997</v>
      </c>
      <c r="AU3221">
        <f t="shared" si="152"/>
        <v>2E-3</v>
      </c>
    </row>
    <row r="3222" spans="1:47" x14ac:dyDescent="0.3">
      <c r="A3222">
        <v>3220</v>
      </c>
      <c r="B3222" t="s">
        <v>13342</v>
      </c>
      <c r="C3222" t="s">
        <v>13343</v>
      </c>
      <c r="D3222">
        <v>800</v>
      </c>
      <c r="E3222" t="s">
        <v>13201</v>
      </c>
      <c r="F3222" t="str">
        <f>VLOOKUP(E3222,country_continent!A:C,2,FALSE)</f>
        <v>Thailand</v>
      </c>
      <c r="G3222" t="str">
        <f>VLOOKUP(E3222,country_continent!A:C,3,FALSE)</f>
        <v>Asia</v>
      </c>
      <c r="H3222" t="s">
        <v>13344</v>
      </c>
      <c r="I3222" s="1">
        <v>39700</v>
      </c>
      <c r="J3222" s="3">
        <f t="shared" si="150"/>
        <v>39700</v>
      </c>
      <c r="K3222" s="1">
        <v>39784</v>
      </c>
      <c r="L3222" s="3">
        <f t="shared" si="151"/>
        <v>39784</v>
      </c>
      <c r="M3222" t="s">
        <v>49</v>
      </c>
      <c r="N3222" t="s">
        <v>49</v>
      </c>
      <c r="O3222" t="s">
        <v>49</v>
      </c>
      <c r="P3222">
        <v>0</v>
      </c>
      <c r="Q3222" t="s">
        <v>50</v>
      </c>
      <c r="R3222" t="s">
        <v>51</v>
      </c>
      <c r="S3222">
        <v>1947</v>
      </c>
      <c r="T3222">
        <v>-777</v>
      </c>
      <c r="Z3222">
        <v>0</v>
      </c>
      <c r="AA3222">
        <v>1</v>
      </c>
      <c r="AB3222">
        <v>0</v>
      </c>
      <c r="AC3222">
        <v>0</v>
      </c>
      <c r="AD3222" t="s">
        <v>13345</v>
      </c>
      <c r="AE3222">
        <v>1</v>
      </c>
      <c r="AF3222">
        <v>2008</v>
      </c>
      <c r="AG3222">
        <v>2008</v>
      </c>
      <c r="AO3222" t="b">
        <v>1</v>
      </c>
      <c r="AP3222" t="s">
        <v>4202</v>
      </c>
      <c r="AQ3222">
        <v>1946</v>
      </c>
      <c r="AR3222">
        <v>1956</v>
      </c>
      <c r="AS3222" t="s">
        <v>13346</v>
      </c>
      <c r="AT3222">
        <v>0.229979466119096</v>
      </c>
      <c r="AU3222">
        <f t="shared" si="152"/>
        <v>1E-3</v>
      </c>
    </row>
    <row r="3223" spans="1:47" x14ac:dyDescent="0.3">
      <c r="A3223">
        <v>3221</v>
      </c>
      <c r="B3223" t="s">
        <v>13347</v>
      </c>
      <c r="C3223" t="s">
        <v>13348</v>
      </c>
      <c r="D3223">
        <v>800</v>
      </c>
      <c r="E3223" t="s">
        <v>13201</v>
      </c>
      <c r="F3223" t="str">
        <f>VLOOKUP(E3223,country_continent!A:C,2,FALSE)</f>
        <v>Thailand</v>
      </c>
      <c r="G3223" t="str">
        <f>VLOOKUP(E3223,country_continent!A:C,3,FALSE)</f>
        <v>Asia</v>
      </c>
      <c r="H3223" t="s">
        <v>13349</v>
      </c>
      <c r="I3223" s="1">
        <v>39784</v>
      </c>
      <c r="J3223" s="3">
        <f t="shared" si="150"/>
        <v>39784</v>
      </c>
      <c r="K3223" s="1">
        <v>39797</v>
      </c>
      <c r="L3223" s="3">
        <f t="shared" si="151"/>
        <v>39797</v>
      </c>
      <c r="M3223" t="s">
        <v>49</v>
      </c>
      <c r="N3223" t="s">
        <v>49</v>
      </c>
      <c r="O3223" t="s">
        <v>49</v>
      </c>
      <c r="P3223">
        <v>0</v>
      </c>
      <c r="Q3223" t="s">
        <v>50</v>
      </c>
      <c r="R3223" t="s">
        <v>51</v>
      </c>
      <c r="S3223">
        <v>1936</v>
      </c>
      <c r="T3223">
        <v>-777</v>
      </c>
      <c r="Z3223">
        <v>0</v>
      </c>
      <c r="AA3223">
        <v>1</v>
      </c>
      <c r="AB3223">
        <v>0</v>
      </c>
      <c r="AC3223">
        <v>0</v>
      </c>
      <c r="AF3223">
        <v>2008</v>
      </c>
      <c r="AG3223">
        <v>2008</v>
      </c>
      <c r="AO3223" t="b">
        <v>1</v>
      </c>
      <c r="AP3223" t="s">
        <v>4202</v>
      </c>
      <c r="AQ3223">
        <v>1946</v>
      </c>
      <c r="AR3223">
        <v>1956</v>
      </c>
      <c r="AS3223" t="s">
        <v>13269</v>
      </c>
      <c r="AT3223">
        <v>3.5592060232717299E-2</v>
      </c>
      <c r="AU3223">
        <f t="shared" si="152"/>
        <v>0</v>
      </c>
    </row>
    <row r="3224" spans="1:47" x14ac:dyDescent="0.3">
      <c r="A3224">
        <v>3222</v>
      </c>
      <c r="B3224" t="s">
        <v>13350</v>
      </c>
      <c r="C3224" t="s">
        <v>13351</v>
      </c>
      <c r="D3224">
        <v>800</v>
      </c>
      <c r="E3224" t="s">
        <v>13201</v>
      </c>
      <c r="F3224" t="str">
        <f>VLOOKUP(E3224,country_continent!A:C,2,FALSE)</f>
        <v>Thailand</v>
      </c>
      <c r="G3224" t="str">
        <f>VLOOKUP(E3224,country_continent!A:C,3,FALSE)</f>
        <v>Asia</v>
      </c>
      <c r="H3224" t="s">
        <v>13352</v>
      </c>
      <c r="I3224" s="1">
        <v>39797</v>
      </c>
      <c r="J3224" s="3">
        <f t="shared" si="150"/>
        <v>39797</v>
      </c>
      <c r="K3224" s="1">
        <v>40763</v>
      </c>
      <c r="L3224" s="3">
        <f t="shared" si="151"/>
        <v>40763</v>
      </c>
      <c r="M3224" t="s">
        <v>49</v>
      </c>
      <c r="N3224" t="s">
        <v>49</v>
      </c>
      <c r="O3224" t="s">
        <v>49</v>
      </c>
      <c r="P3224">
        <v>0</v>
      </c>
      <c r="Q3224" t="s">
        <v>50</v>
      </c>
      <c r="R3224" t="s">
        <v>51</v>
      </c>
      <c r="S3224">
        <v>1964</v>
      </c>
      <c r="T3224">
        <v>-777</v>
      </c>
      <c r="Z3224">
        <v>0</v>
      </c>
      <c r="AA3224">
        <v>1</v>
      </c>
      <c r="AB3224">
        <v>0</v>
      </c>
      <c r="AC3224">
        <v>0</v>
      </c>
      <c r="AF3224">
        <v>2008</v>
      </c>
      <c r="AG3224">
        <v>2011</v>
      </c>
      <c r="AO3224" t="b">
        <v>1</v>
      </c>
      <c r="AP3224" t="s">
        <v>4202</v>
      </c>
      <c r="AQ3224">
        <v>1946</v>
      </c>
      <c r="AR3224">
        <v>1956</v>
      </c>
      <c r="AS3224" t="s">
        <v>13353</v>
      </c>
      <c r="AT3224">
        <v>2.64476386036961</v>
      </c>
      <c r="AU3224">
        <f t="shared" si="152"/>
        <v>7.0000000000000001E-3</v>
      </c>
    </row>
    <row r="3225" spans="1:47" x14ac:dyDescent="0.3">
      <c r="A3225">
        <v>3223</v>
      </c>
      <c r="B3225" t="s">
        <v>13354</v>
      </c>
      <c r="C3225" t="s">
        <v>13355</v>
      </c>
      <c r="D3225">
        <v>800</v>
      </c>
      <c r="E3225" t="s">
        <v>13201</v>
      </c>
      <c r="F3225" t="str">
        <f>VLOOKUP(E3225,country_continent!A:C,2,FALSE)</f>
        <v>Thailand</v>
      </c>
      <c r="G3225" t="str">
        <f>VLOOKUP(E3225,country_continent!A:C,3,FALSE)</f>
        <v>Asia</v>
      </c>
      <c r="H3225" t="s">
        <v>13356</v>
      </c>
      <c r="I3225" s="1">
        <v>40763</v>
      </c>
      <c r="J3225" s="3">
        <f t="shared" si="150"/>
        <v>40763</v>
      </c>
      <c r="K3225" s="1">
        <v>41766</v>
      </c>
      <c r="L3225" s="3">
        <f t="shared" si="151"/>
        <v>41766</v>
      </c>
      <c r="M3225" t="s">
        <v>49</v>
      </c>
      <c r="N3225" t="s">
        <v>49</v>
      </c>
      <c r="O3225" t="s">
        <v>49</v>
      </c>
      <c r="P3225">
        <v>0</v>
      </c>
      <c r="Q3225" t="s">
        <v>50</v>
      </c>
      <c r="R3225" t="s">
        <v>299</v>
      </c>
      <c r="S3225">
        <v>1967</v>
      </c>
      <c r="T3225">
        <v>-777</v>
      </c>
      <c r="U3225" s="1">
        <v>24644</v>
      </c>
      <c r="V3225" s="2">
        <v>24644</v>
      </c>
      <c r="Z3225">
        <v>0</v>
      </c>
      <c r="AA3225">
        <v>1</v>
      </c>
      <c r="AB3225">
        <v>0</v>
      </c>
      <c r="AC3225">
        <v>0</v>
      </c>
      <c r="AD3225" t="s">
        <v>13357</v>
      </c>
      <c r="AE3225">
        <v>1</v>
      </c>
      <c r="AF3225">
        <v>2011</v>
      </c>
      <c r="AG3225">
        <v>2014</v>
      </c>
      <c r="AO3225" t="b">
        <v>1</v>
      </c>
      <c r="AP3225" t="s">
        <v>4202</v>
      </c>
      <c r="AQ3225">
        <v>1946</v>
      </c>
      <c r="AR3225">
        <v>1956</v>
      </c>
      <c r="AS3225" t="s">
        <v>13358</v>
      </c>
      <c r="AT3225">
        <v>2.7460643394934898</v>
      </c>
      <c r="AU3225">
        <f t="shared" si="152"/>
        <v>8.0000000000000002E-3</v>
      </c>
    </row>
    <row r="3226" spans="1:47" x14ac:dyDescent="0.3">
      <c r="A3226">
        <v>3224</v>
      </c>
      <c r="B3226" t="s">
        <v>13359</v>
      </c>
      <c r="C3226" t="s">
        <v>13360</v>
      </c>
      <c r="D3226">
        <v>800</v>
      </c>
      <c r="E3226" t="s">
        <v>13201</v>
      </c>
      <c r="F3226" t="str">
        <f>VLOOKUP(E3226,country_continent!A:C,2,FALSE)</f>
        <v>Thailand</v>
      </c>
      <c r="G3226" t="str">
        <f>VLOOKUP(E3226,country_continent!A:C,3,FALSE)</f>
        <v>Asia</v>
      </c>
      <c r="H3226" t="s">
        <v>13361</v>
      </c>
      <c r="I3226" s="1">
        <v>41766</v>
      </c>
      <c r="J3226" s="3">
        <f t="shared" si="150"/>
        <v>41766</v>
      </c>
      <c r="K3226" s="1">
        <v>41781</v>
      </c>
      <c r="L3226" s="3">
        <f t="shared" si="151"/>
        <v>41781</v>
      </c>
      <c r="M3226" t="s">
        <v>49</v>
      </c>
      <c r="N3226" t="s">
        <v>67</v>
      </c>
      <c r="O3226" t="s">
        <v>376</v>
      </c>
      <c r="P3226">
        <v>0</v>
      </c>
      <c r="Q3226" t="s">
        <v>50</v>
      </c>
      <c r="R3226" t="s">
        <v>51</v>
      </c>
      <c r="S3226">
        <v>1948</v>
      </c>
      <c r="T3226">
        <v>-777</v>
      </c>
      <c r="U3226" s="1">
        <v>17557</v>
      </c>
      <c r="V3226" s="2">
        <v>17557</v>
      </c>
      <c r="Z3226">
        <v>0</v>
      </c>
      <c r="AA3226">
        <v>3</v>
      </c>
      <c r="AB3226">
        <v>6</v>
      </c>
      <c r="AC3226">
        <v>0</v>
      </c>
      <c r="AF3226">
        <v>2014</v>
      </c>
      <c r="AG3226">
        <v>2014</v>
      </c>
      <c r="AO3226" t="b">
        <v>1</v>
      </c>
      <c r="AP3226" t="s">
        <v>4202</v>
      </c>
      <c r="AQ3226">
        <v>1946</v>
      </c>
      <c r="AR3226">
        <v>1956</v>
      </c>
      <c r="AS3226" t="s">
        <v>13362</v>
      </c>
      <c r="AT3226">
        <v>4.1067761806981497E-2</v>
      </c>
      <c r="AU3226">
        <f t="shared" si="152"/>
        <v>0</v>
      </c>
    </row>
    <row r="3227" spans="1:47" x14ac:dyDescent="0.3">
      <c r="A3227">
        <v>3225</v>
      </c>
      <c r="B3227" t="s">
        <v>13363</v>
      </c>
      <c r="C3227" t="s">
        <v>13364</v>
      </c>
      <c r="D3227">
        <v>800</v>
      </c>
      <c r="E3227" t="s">
        <v>13201</v>
      </c>
      <c r="F3227" t="str">
        <f>VLOOKUP(E3227,country_continent!A:C,2,FALSE)</f>
        <v>Thailand</v>
      </c>
      <c r="G3227" t="str">
        <f>VLOOKUP(E3227,country_continent!A:C,3,FALSE)</f>
        <v>Asia</v>
      </c>
      <c r="H3227" t="s">
        <v>13365</v>
      </c>
      <c r="I3227" s="1">
        <v>41781</v>
      </c>
      <c r="J3227" s="3">
        <f t="shared" si="150"/>
        <v>41781</v>
      </c>
      <c r="K3227" s="1">
        <v>42369</v>
      </c>
      <c r="L3227" s="3">
        <f t="shared" si="151"/>
        <v>42369</v>
      </c>
      <c r="M3227" t="s">
        <v>67</v>
      </c>
      <c r="N3227" t="s">
        <v>173</v>
      </c>
      <c r="O3227" t="s">
        <v>173</v>
      </c>
      <c r="P3227">
        <v>0</v>
      </c>
      <c r="Q3227" t="s">
        <v>174</v>
      </c>
      <c r="R3227" t="s">
        <v>51</v>
      </c>
      <c r="S3227">
        <v>1954</v>
      </c>
      <c r="T3227">
        <v>-777</v>
      </c>
      <c r="U3227" s="1">
        <v>19804</v>
      </c>
      <c r="V3227" s="2">
        <v>19804</v>
      </c>
      <c r="Z3227">
        <v>1</v>
      </c>
      <c r="AA3227">
        <v>-888</v>
      </c>
      <c r="AB3227">
        <v>-888</v>
      </c>
      <c r="AC3227">
        <v>-888</v>
      </c>
      <c r="AF3227">
        <v>2014</v>
      </c>
      <c r="AG3227">
        <v>2015</v>
      </c>
      <c r="AO3227" t="b">
        <v>1</v>
      </c>
      <c r="AP3227" t="s">
        <v>4202</v>
      </c>
      <c r="AQ3227">
        <v>1946</v>
      </c>
      <c r="AR3227">
        <v>1956</v>
      </c>
      <c r="AS3227" t="s">
        <v>13366</v>
      </c>
      <c r="AT3227">
        <v>1.6098562628336699</v>
      </c>
      <c r="AU3227">
        <f t="shared" si="152"/>
        <v>4.0000000000000001E-3</v>
      </c>
    </row>
    <row r="3228" spans="1:47" x14ac:dyDescent="0.3">
      <c r="A3228">
        <v>3226</v>
      </c>
      <c r="B3228" t="s">
        <v>13367</v>
      </c>
      <c r="C3228" t="s">
        <v>13368</v>
      </c>
      <c r="D3228">
        <v>811</v>
      </c>
      <c r="E3228" t="s">
        <v>13369</v>
      </c>
      <c r="F3228" t="str">
        <f>VLOOKUP(E3228,country_continent!A:C,2,FALSE)</f>
        <v>Cambodia</v>
      </c>
      <c r="G3228" t="str">
        <f>VLOOKUP(E3228,country_continent!A:C,3,FALSE)</f>
        <v>Asia</v>
      </c>
      <c r="H3228" t="s">
        <v>13370</v>
      </c>
      <c r="I3228" s="1">
        <v>19672</v>
      </c>
      <c r="J3228" s="3">
        <f t="shared" si="150"/>
        <v>19672</v>
      </c>
      <c r="K3228" s="1">
        <v>25645</v>
      </c>
      <c r="L3228" s="3">
        <f t="shared" si="151"/>
        <v>25645</v>
      </c>
      <c r="M3228" t="s">
        <v>49</v>
      </c>
      <c r="N3228" t="s">
        <v>67</v>
      </c>
      <c r="O3228" t="s">
        <v>376</v>
      </c>
      <c r="P3228">
        <v>0</v>
      </c>
      <c r="Q3228" t="s">
        <v>362</v>
      </c>
      <c r="R3228" t="s">
        <v>51</v>
      </c>
      <c r="S3228">
        <v>1922</v>
      </c>
      <c r="T3228">
        <v>-777</v>
      </c>
      <c r="U3228" s="1">
        <v>8340</v>
      </c>
      <c r="V3228" s="2">
        <v>8340</v>
      </c>
      <c r="Y3228" t="s">
        <v>13371</v>
      </c>
      <c r="Z3228">
        <v>0</v>
      </c>
      <c r="AA3228">
        <v>3</v>
      </c>
      <c r="AB3228">
        <v>6</v>
      </c>
      <c r="AC3228">
        <v>1</v>
      </c>
      <c r="AF3228">
        <v>1953</v>
      </c>
      <c r="AG3228">
        <v>1970</v>
      </c>
      <c r="AO3228" t="b">
        <v>0</v>
      </c>
      <c r="AT3228">
        <v>5973</v>
      </c>
      <c r="AU3228">
        <f t="shared" si="152"/>
        <v>16.364000000000001</v>
      </c>
    </row>
    <row r="3229" spans="1:47" x14ac:dyDescent="0.3">
      <c r="A3229">
        <v>3227</v>
      </c>
      <c r="B3229" t="s">
        <v>13372</v>
      </c>
      <c r="C3229" t="s">
        <v>13373</v>
      </c>
      <c r="D3229">
        <v>811</v>
      </c>
      <c r="E3229" t="s">
        <v>13369</v>
      </c>
      <c r="F3229" t="str">
        <f>VLOOKUP(E3229,country_continent!A:C,2,FALSE)</f>
        <v>Cambodia</v>
      </c>
      <c r="G3229" t="str">
        <f>VLOOKUP(E3229,country_continent!A:C,3,FALSE)</f>
        <v>Asia</v>
      </c>
      <c r="H3229" t="s">
        <v>13374</v>
      </c>
      <c r="I3229" s="1">
        <v>25645</v>
      </c>
      <c r="J3229" s="3">
        <f t="shared" si="150"/>
        <v>25645</v>
      </c>
      <c r="K3229" s="1">
        <v>27494</v>
      </c>
      <c r="L3229" s="3">
        <f t="shared" si="151"/>
        <v>27494</v>
      </c>
      <c r="M3229" t="s">
        <v>67</v>
      </c>
      <c r="N3229" t="s">
        <v>67</v>
      </c>
      <c r="O3229" t="s">
        <v>433</v>
      </c>
      <c r="P3229">
        <v>0</v>
      </c>
      <c r="Q3229" t="s">
        <v>362</v>
      </c>
      <c r="R3229" t="s">
        <v>51</v>
      </c>
      <c r="S3229">
        <v>1913</v>
      </c>
      <c r="T3229">
        <v>1985</v>
      </c>
      <c r="U3229" s="1">
        <v>5066</v>
      </c>
      <c r="V3229" s="2">
        <v>5066</v>
      </c>
      <c r="W3229" s="1">
        <v>31368</v>
      </c>
      <c r="X3229" s="2">
        <v>31368</v>
      </c>
      <c r="Y3229" t="s">
        <v>13375</v>
      </c>
      <c r="Z3229">
        <v>1</v>
      </c>
      <c r="AA3229">
        <v>3</v>
      </c>
      <c r="AB3229">
        <v>4</v>
      </c>
      <c r="AC3229">
        <v>1</v>
      </c>
      <c r="AF3229">
        <v>1970</v>
      </c>
      <c r="AG3229">
        <v>1975</v>
      </c>
      <c r="AO3229" t="b">
        <v>0</v>
      </c>
      <c r="AT3229">
        <v>1849</v>
      </c>
      <c r="AU3229">
        <f t="shared" si="152"/>
        <v>5.0659999999999998</v>
      </c>
    </row>
    <row r="3230" spans="1:47" x14ac:dyDescent="0.3">
      <c r="A3230">
        <v>3228</v>
      </c>
      <c r="B3230" t="s">
        <v>13376</v>
      </c>
      <c r="C3230" t="s">
        <v>13377</v>
      </c>
      <c r="D3230">
        <v>811</v>
      </c>
      <c r="E3230" t="s">
        <v>13369</v>
      </c>
      <c r="F3230" t="str">
        <f>VLOOKUP(E3230,country_continent!A:C,2,FALSE)</f>
        <v>Cambodia</v>
      </c>
      <c r="G3230" t="str">
        <f>VLOOKUP(E3230,country_continent!A:C,3,FALSE)</f>
        <v>Asia</v>
      </c>
      <c r="H3230" t="s">
        <v>13378</v>
      </c>
      <c r="I3230" s="1">
        <v>27495</v>
      </c>
      <c r="J3230" s="3">
        <f t="shared" si="150"/>
        <v>27495</v>
      </c>
      <c r="K3230" s="1">
        <v>28862</v>
      </c>
      <c r="L3230" s="3">
        <f t="shared" si="151"/>
        <v>28862</v>
      </c>
      <c r="M3230" t="s">
        <v>67</v>
      </c>
      <c r="N3230" t="s">
        <v>633</v>
      </c>
      <c r="O3230" t="s">
        <v>634</v>
      </c>
      <c r="P3230">
        <v>0</v>
      </c>
      <c r="Q3230" t="s">
        <v>50</v>
      </c>
      <c r="R3230" t="s">
        <v>51</v>
      </c>
      <c r="S3230">
        <v>1925</v>
      </c>
      <c r="T3230">
        <v>1998</v>
      </c>
      <c r="U3230" s="1">
        <v>9271</v>
      </c>
      <c r="V3230" s="2">
        <v>9271</v>
      </c>
      <c r="W3230" s="1">
        <v>35900</v>
      </c>
      <c r="X3230" s="2">
        <v>35900</v>
      </c>
      <c r="Y3230" t="s">
        <v>13379</v>
      </c>
      <c r="Z3230">
        <v>1</v>
      </c>
      <c r="AA3230">
        <v>4</v>
      </c>
      <c r="AB3230">
        <v>9</v>
      </c>
      <c r="AC3230">
        <v>0</v>
      </c>
      <c r="AF3230">
        <v>1975</v>
      </c>
      <c r="AG3230">
        <v>1979</v>
      </c>
      <c r="AO3230" t="b">
        <v>0</v>
      </c>
      <c r="AT3230">
        <v>1367</v>
      </c>
      <c r="AU3230">
        <f t="shared" si="152"/>
        <v>3.7450000000000001</v>
      </c>
    </row>
    <row r="3231" spans="1:47" x14ac:dyDescent="0.3">
      <c r="A3231">
        <v>3229</v>
      </c>
      <c r="B3231" t="s">
        <v>13380</v>
      </c>
      <c r="C3231" t="s">
        <v>13381</v>
      </c>
      <c r="D3231">
        <v>811</v>
      </c>
      <c r="E3231" t="s">
        <v>13369</v>
      </c>
      <c r="F3231" t="str">
        <f>VLOOKUP(E3231,country_continent!A:C,2,FALSE)</f>
        <v>Cambodia</v>
      </c>
      <c r="G3231" t="str">
        <f>VLOOKUP(E3231,country_continent!A:C,3,FALSE)</f>
        <v>Asia</v>
      </c>
      <c r="H3231" t="s">
        <v>13382</v>
      </c>
      <c r="I3231" s="1">
        <v>28862</v>
      </c>
      <c r="J3231" s="3">
        <f t="shared" si="150"/>
        <v>28862</v>
      </c>
      <c r="K3231" s="1">
        <v>31061</v>
      </c>
      <c r="L3231" s="3">
        <f t="shared" si="151"/>
        <v>31061</v>
      </c>
      <c r="M3231" t="s">
        <v>49</v>
      </c>
      <c r="N3231" t="s">
        <v>49</v>
      </c>
      <c r="O3231" t="s">
        <v>49</v>
      </c>
      <c r="P3231">
        <v>0</v>
      </c>
      <c r="Q3231" t="s">
        <v>50</v>
      </c>
      <c r="R3231" t="s">
        <v>51</v>
      </c>
      <c r="S3231">
        <v>1934</v>
      </c>
      <c r="T3231">
        <v>-777</v>
      </c>
      <c r="U3231" s="1">
        <v>12564</v>
      </c>
      <c r="V3231" s="2">
        <v>12564</v>
      </c>
      <c r="Z3231">
        <v>0</v>
      </c>
      <c r="AA3231">
        <v>1</v>
      </c>
      <c r="AB3231">
        <v>0</v>
      </c>
      <c r="AC3231">
        <v>0</v>
      </c>
      <c r="AF3231">
        <v>1979</v>
      </c>
      <c r="AG3231">
        <v>1985</v>
      </c>
      <c r="AO3231" t="b">
        <v>0</v>
      </c>
      <c r="AT3231">
        <v>2199</v>
      </c>
      <c r="AU3231">
        <f t="shared" si="152"/>
        <v>6.0250000000000004</v>
      </c>
    </row>
    <row r="3232" spans="1:47" x14ac:dyDescent="0.3">
      <c r="A3232">
        <v>3230</v>
      </c>
      <c r="B3232" t="s">
        <v>13383</v>
      </c>
      <c r="C3232" t="s">
        <v>13384</v>
      </c>
      <c r="D3232">
        <v>811</v>
      </c>
      <c r="E3232" t="s">
        <v>13369</v>
      </c>
      <c r="F3232" t="str">
        <f>VLOOKUP(E3232,country_continent!A:C,2,FALSE)</f>
        <v>Cambodia</v>
      </c>
      <c r="G3232" t="str">
        <f>VLOOKUP(E3232,country_continent!A:C,3,FALSE)</f>
        <v>Asia</v>
      </c>
      <c r="H3232" t="s">
        <v>13385</v>
      </c>
      <c r="I3232" s="1">
        <v>31061</v>
      </c>
      <c r="J3232" s="3">
        <f t="shared" si="150"/>
        <v>31061</v>
      </c>
      <c r="K3232" s="1">
        <v>34233</v>
      </c>
      <c r="L3232" s="3">
        <f t="shared" si="151"/>
        <v>34233</v>
      </c>
      <c r="M3232" t="s">
        <v>49</v>
      </c>
      <c r="N3232" t="s">
        <v>49</v>
      </c>
      <c r="O3232" t="s">
        <v>49</v>
      </c>
      <c r="P3232">
        <v>0</v>
      </c>
      <c r="Q3232" t="s">
        <v>50</v>
      </c>
      <c r="R3232" t="s">
        <v>51</v>
      </c>
      <c r="S3232">
        <v>1952</v>
      </c>
      <c r="T3232">
        <v>-777</v>
      </c>
      <c r="U3232" s="1">
        <v>19211</v>
      </c>
      <c r="V3232" s="2">
        <v>19211</v>
      </c>
      <c r="Y3232" t="s">
        <v>13386</v>
      </c>
      <c r="Z3232">
        <v>0</v>
      </c>
      <c r="AA3232">
        <v>1</v>
      </c>
      <c r="AB3232">
        <v>0</v>
      </c>
      <c r="AC3232">
        <v>0</v>
      </c>
      <c r="AF3232">
        <v>1985</v>
      </c>
      <c r="AG3232">
        <v>1993</v>
      </c>
      <c r="AO3232" t="b">
        <v>0</v>
      </c>
      <c r="AT3232">
        <v>3172</v>
      </c>
      <c r="AU3232">
        <f t="shared" si="152"/>
        <v>8.69</v>
      </c>
    </row>
    <row r="3233" spans="1:47" x14ac:dyDescent="0.3">
      <c r="A3233">
        <v>3231</v>
      </c>
      <c r="B3233" t="s">
        <v>13387</v>
      </c>
      <c r="C3233" t="s">
        <v>13388</v>
      </c>
      <c r="D3233">
        <v>811</v>
      </c>
      <c r="E3233" t="s">
        <v>13369</v>
      </c>
      <c r="F3233" t="str">
        <f>VLOOKUP(E3233,country_continent!A:C,2,FALSE)</f>
        <v>Cambodia</v>
      </c>
      <c r="G3233" t="str">
        <f>VLOOKUP(E3233,country_continent!A:C,3,FALSE)</f>
        <v>Asia</v>
      </c>
      <c r="H3233" t="s">
        <v>13389</v>
      </c>
      <c r="I3233" s="1">
        <v>34233</v>
      </c>
      <c r="J3233" s="3">
        <f t="shared" si="150"/>
        <v>34233</v>
      </c>
      <c r="K3233" s="1">
        <v>35617</v>
      </c>
      <c r="L3233" s="3">
        <f t="shared" si="151"/>
        <v>35617</v>
      </c>
      <c r="M3233" t="s">
        <v>49</v>
      </c>
      <c r="N3233" t="s">
        <v>67</v>
      </c>
      <c r="O3233" t="s">
        <v>2001</v>
      </c>
      <c r="P3233">
        <v>1</v>
      </c>
      <c r="Q3233" t="s">
        <v>362</v>
      </c>
      <c r="R3233" t="s">
        <v>51</v>
      </c>
      <c r="S3233">
        <v>1944</v>
      </c>
      <c r="T3233">
        <v>-777</v>
      </c>
      <c r="Z3233">
        <v>0</v>
      </c>
      <c r="AA3233">
        <v>3</v>
      </c>
      <c r="AB3233">
        <v>8</v>
      </c>
      <c r="AC3233">
        <v>1</v>
      </c>
      <c r="AF3233">
        <v>1993</v>
      </c>
      <c r="AG3233">
        <v>1997</v>
      </c>
      <c r="AO3233" t="b">
        <v>0</v>
      </c>
      <c r="AT3233">
        <v>1384</v>
      </c>
      <c r="AU3233">
        <f t="shared" si="152"/>
        <v>3.7919999999999998</v>
      </c>
    </row>
    <row r="3234" spans="1:47" x14ac:dyDescent="0.3">
      <c r="A3234">
        <v>3232</v>
      </c>
      <c r="B3234" t="s">
        <v>13390</v>
      </c>
      <c r="C3234" t="s">
        <v>13384</v>
      </c>
      <c r="D3234">
        <v>811</v>
      </c>
      <c r="E3234" t="s">
        <v>13369</v>
      </c>
      <c r="F3234" t="str">
        <f>VLOOKUP(E3234,country_continent!A:C,2,FALSE)</f>
        <v>Cambodia</v>
      </c>
      <c r="G3234" t="str">
        <f>VLOOKUP(E3234,country_continent!A:C,3,FALSE)</f>
        <v>Asia</v>
      </c>
      <c r="H3234" t="s">
        <v>13385</v>
      </c>
      <c r="I3234" s="1">
        <v>35617</v>
      </c>
      <c r="J3234" s="3">
        <f t="shared" si="150"/>
        <v>35617</v>
      </c>
      <c r="K3234" s="1">
        <v>42369</v>
      </c>
      <c r="L3234" s="3">
        <f t="shared" si="151"/>
        <v>42369</v>
      </c>
      <c r="M3234" t="s">
        <v>67</v>
      </c>
      <c r="N3234" t="s">
        <v>173</v>
      </c>
      <c r="O3234" t="s">
        <v>173</v>
      </c>
      <c r="P3234">
        <v>2</v>
      </c>
      <c r="Q3234" t="s">
        <v>174</v>
      </c>
      <c r="R3234" t="s">
        <v>51</v>
      </c>
      <c r="S3234">
        <v>1952</v>
      </c>
      <c r="T3234">
        <v>-777</v>
      </c>
      <c r="U3234" s="1">
        <v>19211</v>
      </c>
      <c r="V3234" s="2">
        <v>19211</v>
      </c>
      <c r="Y3234" t="s">
        <v>13386</v>
      </c>
      <c r="Z3234">
        <v>1</v>
      </c>
      <c r="AA3234">
        <v>-888</v>
      </c>
      <c r="AB3234">
        <v>-888</v>
      </c>
      <c r="AC3234">
        <v>-888</v>
      </c>
      <c r="AF3234">
        <v>1997</v>
      </c>
      <c r="AG3234">
        <v>2015</v>
      </c>
      <c r="AO3234" t="b">
        <v>0</v>
      </c>
      <c r="AT3234">
        <v>6752</v>
      </c>
      <c r="AU3234">
        <f t="shared" si="152"/>
        <v>18.498999999999999</v>
      </c>
    </row>
    <row r="3235" spans="1:47" x14ac:dyDescent="0.3">
      <c r="A3235">
        <v>3233</v>
      </c>
      <c r="B3235" t="s">
        <v>13391</v>
      </c>
      <c r="C3235" t="s">
        <v>13392</v>
      </c>
      <c r="D3235">
        <v>812</v>
      </c>
      <c r="E3235" t="s">
        <v>13393</v>
      </c>
      <c r="F3235" t="str">
        <f>VLOOKUP(E3235,country_continent!A:C,2,FALSE)</f>
        <v>Laos</v>
      </c>
      <c r="G3235" t="str">
        <f>VLOOKUP(E3235,country_continent!A:C,3,FALSE)</f>
        <v>Asia</v>
      </c>
      <c r="H3235" t="s">
        <v>13394</v>
      </c>
      <c r="I3235" s="1">
        <v>18953</v>
      </c>
      <c r="J3235" s="3">
        <f t="shared" si="150"/>
        <v>18953</v>
      </c>
      <c r="K3235" s="1">
        <v>20053</v>
      </c>
      <c r="L3235" s="3">
        <f t="shared" si="151"/>
        <v>20053</v>
      </c>
      <c r="M3235" t="s">
        <v>49</v>
      </c>
      <c r="N3235" t="s">
        <v>49</v>
      </c>
      <c r="O3235" t="s">
        <v>49</v>
      </c>
      <c r="P3235">
        <v>0</v>
      </c>
      <c r="Q3235" t="s">
        <v>50</v>
      </c>
      <c r="R3235" t="s">
        <v>51</v>
      </c>
      <c r="S3235">
        <v>1901</v>
      </c>
      <c r="T3235">
        <v>1984</v>
      </c>
      <c r="U3235" s="1">
        <v>646</v>
      </c>
      <c r="V3235" s="2">
        <v>646</v>
      </c>
      <c r="Y3235" t="s">
        <v>13395</v>
      </c>
      <c r="Z3235">
        <v>0</v>
      </c>
      <c r="AA3235">
        <v>1</v>
      </c>
      <c r="AB3235">
        <v>0</v>
      </c>
      <c r="AC3235">
        <v>0</v>
      </c>
      <c r="AD3235" t="s">
        <v>13396</v>
      </c>
      <c r="AE3235">
        <v>0</v>
      </c>
      <c r="AF3235">
        <v>1951</v>
      </c>
      <c r="AG3235">
        <v>1954</v>
      </c>
      <c r="AN3235">
        <v>4</v>
      </c>
      <c r="AO3235" t="b">
        <v>0</v>
      </c>
      <c r="AT3235">
        <v>1100</v>
      </c>
      <c r="AU3235">
        <f t="shared" si="152"/>
        <v>3.0139999999999998</v>
      </c>
    </row>
    <row r="3236" spans="1:47" x14ac:dyDescent="0.3">
      <c r="A3236">
        <v>3234</v>
      </c>
      <c r="B3236" t="s">
        <v>13397</v>
      </c>
      <c r="C3236" t="s">
        <v>13398</v>
      </c>
      <c r="D3236">
        <v>812</v>
      </c>
      <c r="E3236" t="s">
        <v>13393</v>
      </c>
      <c r="F3236" t="str">
        <f>VLOOKUP(E3236,country_continent!A:C,2,FALSE)</f>
        <v>Laos</v>
      </c>
      <c r="G3236" t="str">
        <f>VLOOKUP(E3236,country_continent!A:C,3,FALSE)</f>
        <v>Asia</v>
      </c>
      <c r="H3236" t="s">
        <v>13399</v>
      </c>
      <c r="I3236" s="1">
        <v>20053</v>
      </c>
      <c r="J3236" s="3">
        <f t="shared" si="150"/>
        <v>20053</v>
      </c>
      <c r="K3236" s="1">
        <v>20535</v>
      </c>
      <c r="L3236" s="3">
        <f t="shared" si="151"/>
        <v>20535</v>
      </c>
      <c r="M3236" t="s">
        <v>49</v>
      </c>
      <c r="N3236" t="s">
        <v>49</v>
      </c>
      <c r="O3236" t="s">
        <v>49</v>
      </c>
      <c r="P3236">
        <v>0</v>
      </c>
      <c r="Q3236" t="s">
        <v>50</v>
      </c>
      <c r="R3236" t="s">
        <v>51</v>
      </c>
      <c r="S3236">
        <v>1904</v>
      </c>
      <c r="T3236">
        <v>1959</v>
      </c>
      <c r="Z3236">
        <v>0</v>
      </c>
      <c r="AA3236">
        <v>1</v>
      </c>
      <c r="AB3236">
        <v>0</v>
      </c>
      <c r="AC3236">
        <v>0</v>
      </c>
      <c r="AF3236">
        <v>1954</v>
      </c>
      <c r="AG3236">
        <v>1956</v>
      </c>
      <c r="AN3236">
        <v>4</v>
      </c>
      <c r="AO3236" t="b">
        <v>0</v>
      </c>
      <c r="AT3236">
        <v>482</v>
      </c>
      <c r="AU3236">
        <f t="shared" si="152"/>
        <v>1.321</v>
      </c>
    </row>
    <row r="3237" spans="1:47" x14ac:dyDescent="0.3">
      <c r="A3237">
        <v>3235</v>
      </c>
      <c r="B3237" t="s">
        <v>13400</v>
      </c>
      <c r="C3237" t="s">
        <v>13392</v>
      </c>
      <c r="D3237">
        <v>812</v>
      </c>
      <c r="E3237" t="s">
        <v>13393</v>
      </c>
      <c r="F3237" t="str">
        <f>VLOOKUP(E3237,country_continent!A:C,2,FALSE)</f>
        <v>Laos</v>
      </c>
      <c r="G3237" t="str">
        <f>VLOOKUP(E3237,country_continent!A:C,3,FALSE)</f>
        <v>Asia</v>
      </c>
      <c r="H3237" t="s">
        <v>13394</v>
      </c>
      <c r="I3237" s="1">
        <v>20535</v>
      </c>
      <c r="J3237" s="3">
        <f t="shared" si="150"/>
        <v>20535</v>
      </c>
      <c r="K3237" s="1">
        <v>21388</v>
      </c>
      <c r="L3237" s="3">
        <f t="shared" si="151"/>
        <v>21388</v>
      </c>
      <c r="M3237" t="s">
        <v>49</v>
      </c>
      <c r="N3237" t="s">
        <v>49</v>
      </c>
      <c r="O3237" t="s">
        <v>49</v>
      </c>
      <c r="P3237">
        <v>1</v>
      </c>
      <c r="Q3237" t="s">
        <v>50</v>
      </c>
      <c r="R3237" t="s">
        <v>51</v>
      </c>
      <c r="S3237">
        <v>1901</v>
      </c>
      <c r="T3237">
        <v>1984</v>
      </c>
      <c r="U3237" s="1">
        <v>646</v>
      </c>
      <c r="V3237" s="2">
        <v>646</v>
      </c>
      <c r="Y3237" t="s">
        <v>13395</v>
      </c>
      <c r="Z3237">
        <v>0</v>
      </c>
      <c r="AA3237">
        <v>1</v>
      </c>
      <c r="AB3237">
        <v>0</v>
      </c>
      <c r="AC3237">
        <v>0</v>
      </c>
      <c r="AD3237" t="s">
        <v>13396</v>
      </c>
      <c r="AE3237">
        <v>0</v>
      </c>
      <c r="AF3237">
        <v>1956</v>
      </c>
      <c r="AG3237">
        <v>1958</v>
      </c>
      <c r="AN3237">
        <v>4.33</v>
      </c>
      <c r="AO3237" t="b">
        <v>0</v>
      </c>
      <c r="AT3237">
        <v>853</v>
      </c>
      <c r="AU3237">
        <f t="shared" si="152"/>
        <v>2.3370000000000002</v>
      </c>
    </row>
    <row r="3238" spans="1:47" x14ac:dyDescent="0.3">
      <c r="A3238">
        <v>3236</v>
      </c>
      <c r="B3238" t="s">
        <v>13401</v>
      </c>
      <c r="C3238" t="s">
        <v>13402</v>
      </c>
      <c r="D3238">
        <v>812</v>
      </c>
      <c r="E3238" t="s">
        <v>13393</v>
      </c>
      <c r="F3238" t="str">
        <f>VLOOKUP(E3238,country_continent!A:C,2,FALSE)</f>
        <v>Laos</v>
      </c>
      <c r="G3238" t="str">
        <f>VLOOKUP(E3238,country_continent!A:C,3,FALSE)</f>
        <v>Asia</v>
      </c>
      <c r="H3238" t="s">
        <v>13403</v>
      </c>
      <c r="I3238" s="1">
        <v>21412</v>
      </c>
      <c r="J3238" s="3">
        <f t="shared" si="150"/>
        <v>21412</v>
      </c>
      <c r="K3238" s="1">
        <v>21915</v>
      </c>
      <c r="L3238" s="3">
        <f t="shared" si="151"/>
        <v>21915</v>
      </c>
      <c r="M3238" t="s">
        <v>49</v>
      </c>
      <c r="N3238" t="s">
        <v>67</v>
      </c>
      <c r="O3238" t="s">
        <v>376</v>
      </c>
      <c r="P3238">
        <v>0</v>
      </c>
      <c r="Q3238" t="s">
        <v>50</v>
      </c>
      <c r="R3238" t="s">
        <v>51</v>
      </c>
      <c r="S3238">
        <v>1903</v>
      </c>
      <c r="T3238">
        <v>1983</v>
      </c>
      <c r="U3238" s="1">
        <v>1345</v>
      </c>
      <c r="V3238" s="2">
        <v>1345</v>
      </c>
      <c r="Z3238">
        <v>0</v>
      </c>
      <c r="AA3238">
        <v>3</v>
      </c>
      <c r="AB3238">
        <v>6</v>
      </c>
      <c r="AC3238">
        <v>0</v>
      </c>
      <c r="AF3238">
        <v>1958</v>
      </c>
      <c r="AG3238">
        <v>1959</v>
      </c>
      <c r="AN3238">
        <v>0.5</v>
      </c>
      <c r="AO3238" t="b">
        <v>0</v>
      </c>
      <c r="AT3238">
        <v>503</v>
      </c>
      <c r="AU3238">
        <f t="shared" si="152"/>
        <v>1.3779999999999999</v>
      </c>
    </row>
    <row r="3239" spans="1:47" x14ac:dyDescent="0.3">
      <c r="A3239">
        <v>3237</v>
      </c>
      <c r="B3239" t="s">
        <v>13404</v>
      </c>
      <c r="C3239" t="s">
        <v>13405</v>
      </c>
      <c r="D3239">
        <v>812</v>
      </c>
      <c r="E3239" t="s">
        <v>13393</v>
      </c>
      <c r="F3239" t="str">
        <f>VLOOKUP(E3239,country_continent!A:C,2,FALSE)</f>
        <v>Laos</v>
      </c>
      <c r="G3239" t="str">
        <f>VLOOKUP(E3239,country_continent!A:C,3,FALSE)</f>
        <v>Asia</v>
      </c>
      <c r="H3239" t="s">
        <v>13406</v>
      </c>
      <c r="I3239" s="1">
        <v>21915</v>
      </c>
      <c r="J3239" s="3">
        <f t="shared" si="150"/>
        <v>21915</v>
      </c>
      <c r="K3239" s="1">
        <v>21922</v>
      </c>
      <c r="L3239" s="3">
        <f t="shared" si="151"/>
        <v>21922</v>
      </c>
      <c r="M3239" t="s">
        <v>67</v>
      </c>
      <c r="N3239" t="s">
        <v>49</v>
      </c>
      <c r="O3239" t="s">
        <v>49</v>
      </c>
      <c r="P3239">
        <v>0</v>
      </c>
      <c r="Q3239" t="s">
        <v>50</v>
      </c>
      <c r="R3239" t="s">
        <v>51</v>
      </c>
      <c r="S3239">
        <v>1920</v>
      </c>
      <c r="T3239">
        <v>1985</v>
      </c>
      <c r="U3239" s="1">
        <v>7312</v>
      </c>
      <c r="V3239" s="2">
        <v>7312</v>
      </c>
      <c r="Z3239">
        <v>1</v>
      </c>
      <c r="AA3239">
        <v>1</v>
      </c>
      <c r="AB3239">
        <v>0</v>
      </c>
      <c r="AC3239">
        <v>0</v>
      </c>
      <c r="AF3239">
        <v>1959</v>
      </c>
      <c r="AG3239">
        <v>1960</v>
      </c>
      <c r="AN3239">
        <v>-4</v>
      </c>
      <c r="AO3239" t="b">
        <v>0</v>
      </c>
      <c r="AT3239">
        <v>7</v>
      </c>
      <c r="AU3239">
        <f t="shared" si="152"/>
        <v>1.9E-2</v>
      </c>
    </row>
    <row r="3240" spans="1:47" x14ac:dyDescent="0.3">
      <c r="A3240">
        <v>3238</v>
      </c>
      <c r="B3240" t="s">
        <v>13407</v>
      </c>
      <c r="C3240" t="s">
        <v>13408</v>
      </c>
      <c r="D3240">
        <v>812</v>
      </c>
      <c r="E3240" t="s">
        <v>13393</v>
      </c>
      <c r="F3240" t="str">
        <f>VLOOKUP(E3240,country_continent!A:C,2,FALSE)</f>
        <v>Laos</v>
      </c>
      <c r="G3240" t="str">
        <f>VLOOKUP(E3240,country_continent!A:C,3,FALSE)</f>
        <v>Asia</v>
      </c>
      <c r="H3240" t="s">
        <v>13409</v>
      </c>
      <c r="I3240" s="1">
        <v>21922</v>
      </c>
      <c r="J3240" s="3">
        <f t="shared" si="150"/>
        <v>21922</v>
      </c>
      <c r="K3240" s="1">
        <v>22067</v>
      </c>
      <c r="L3240" s="3">
        <f t="shared" si="151"/>
        <v>22067</v>
      </c>
      <c r="M3240" t="s">
        <v>67</v>
      </c>
      <c r="N3240" t="s">
        <v>49</v>
      </c>
      <c r="O3240" t="s">
        <v>49</v>
      </c>
      <c r="P3240">
        <v>0</v>
      </c>
      <c r="Q3240" t="s">
        <v>1453</v>
      </c>
      <c r="R3240" t="s">
        <v>51</v>
      </c>
      <c r="S3240">
        <v>1892</v>
      </c>
      <c r="T3240">
        <v>1964</v>
      </c>
      <c r="Z3240">
        <v>1</v>
      </c>
      <c r="AA3240">
        <v>1</v>
      </c>
      <c r="AB3240">
        <v>0</v>
      </c>
      <c r="AC3240">
        <v>-666</v>
      </c>
      <c r="AD3240" t="s">
        <v>13410</v>
      </c>
      <c r="AE3240">
        <v>0</v>
      </c>
      <c r="AF3240">
        <v>1960</v>
      </c>
      <c r="AG3240">
        <v>1960</v>
      </c>
      <c r="AN3240">
        <v>-4</v>
      </c>
      <c r="AO3240" t="b">
        <v>0</v>
      </c>
      <c r="AT3240">
        <v>145</v>
      </c>
      <c r="AU3240">
        <f t="shared" si="152"/>
        <v>0.39700000000000002</v>
      </c>
    </row>
    <row r="3241" spans="1:47" x14ac:dyDescent="0.3">
      <c r="A3241">
        <v>3239</v>
      </c>
      <c r="B3241" t="s">
        <v>13411</v>
      </c>
      <c r="C3241" t="s">
        <v>13412</v>
      </c>
      <c r="D3241">
        <v>812</v>
      </c>
      <c r="E3241" t="s">
        <v>13393</v>
      </c>
      <c r="F3241" t="str">
        <f>VLOOKUP(E3241,country_continent!A:C,2,FALSE)</f>
        <v>Laos</v>
      </c>
      <c r="G3241" t="str">
        <f>VLOOKUP(E3241,country_continent!A:C,3,FALSE)</f>
        <v>Asia</v>
      </c>
      <c r="H3241" t="s">
        <v>13413</v>
      </c>
      <c r="I3241" s="1">
        <v>22067</v>
      </c>
      <c r="J3241" s="3">
        <f t="shared" si="150"/>
        <v>22067</v>
      </c>
      <c r="K3241" s="1">
        <v>22137</v>
      </c>
      <c r="L3241" s="3">
        <f t="shared" si="151"/>
        <v>22137</v>
      </c>
      <c r="M3241" t="s">
        <v>67</v>
      </c>
      <c r="N3241" t="s">
        <v>67</v>
      </c>
      <c r="O3241" t="s">
        <v>376</v>
      </c>
      <c r="P3241">
        <v>0</v>
      </c>
      <c r="Q3241" t="s">
        <v>50</v>
      </c>
      <c r="R3241" t="s">
        <v>51</v>
      </c>
      <c r="S3241">
        <v>1913</v>
      </c>
      <c r="T3241">
        <v>1975</v>
      </c>
      <c r="Z3241">
        <v>1</v>
      </c>
      <c r="AA3241">
        <v>3</v>
      </c>
      <c r="AB3241">
        <v>6</v>
      </c>
      <c r="AC3241">
        <v>0</v>
      </c>
      <c r="AD3241" t="s">
        <v>13414</v>
      </c>
      <c r="AE3241">
        <v>1</v>
      </c>
      <c r="AF3241">
        <v>1960</v>
      </c>
      <c r="AG3241">
        <v>1960</v>
      </c>
      <c r="AN3241">
        <v>-4</v>
      </c>
      <c r="AO3241" t="b">
        <v>0</v>
      </c>
      <c r="AT3241">
        <v>70</v>
      </c>
      <c r="AU3241">
        <f t="shared" si="152"/>
        <v>0.192</v>
      </c>
    </row>
    <row r="3242" spans="1:47" x14ac:dyDescent="0.3">
      <c r="A3242">
        <v>3240</v>
      </c>
      <c r="B3242" t="s">
        <v>13415</v>
      </c>
      <c r="C3242" t="s">
        <v>13416</v>
      </c>
      <c r="D3242">
        <v>812</v>
      </c>
      <c r="E3242" t="s">
        <v>13393</v>
      </c>
      <c r="F3242" t="str">
        <f>VLOOKUP(E3242,country_continent!A:C,2,FALSE)</f>
        <v>Laos</v>
      </c>
      <c r="G3242" t="str">
        <f>VLOOKUP(E3242,country_continent!A:C,3,FALSE)</f>
        <v>Asia</v>
      </c>
      <c r="H3242" t="s">
        <v>13417</v>
      </c>
      <c r="I3242" s="1">
        <v>22137</v>
      </c>
      <c r="J3242" s="3">
        <f t="shared" si="150"/>
        <v>22137</v>
      </c>
      <c r="K3242" s="1">
        <v>22143</v>
      </c>
      <c r="L3242" s="3">
        <f t="shared" si="151"/>
        <v>22143</v>
      </c>
      <c r="M3242" t="s">
        <v>67</v>
      </c>
      <c r="N3242" t="s">
        <v>49</v>
      </c>
      <c r="O3242" t="s">
        <v>49</v>
      </c>
      <c r="P3242">
        <v>0</v>
      </c>
      <c r="Q3242" t="s">
        <v>362</v>
      </c>
      <c r="R3242" t="s">
        <v>51</v>
      </c>
      <c r="S3242">
        <v>1934</v>
      </c>
      <c r="T3242">
        <v>2014</v>
      </c>
      <c r="U3242" s="1">
        <v>12484</v>
      </c>
      <c r="V3242" s="2">
        <v>12484</v>
      </c>
      <c r="W3242" s="1">
        <v>41656</v>
      </c>
      <c r="X3242" s="2">
        <v>41656</v>
      </c>
      <c r="Z3242">
        <v>1</v>
      </c>
      <c r="AA3242">
        <v>1</v>
      </c>
      <c r="AB3242">
        <v>0</v>
      </c>
      <c r="AC3242">
        <v>1</v>
      </c>
      <c r="AF3242">
        <v>1960</v>
      </c>
      <c r="AG3242">
        <v>1960</v>
      </c>
      <c r="AN3242">
        <v>-4</v>
      </c>
      <c r="AO3242" t="b">
        <v>0</v>
      </c>
      <c r="AT3242">
        <v>6</v>
      </c>
      <c r="AU3242">
        <f t="shared" si="152"/>
        <v>1.6E-2</v>
      </c>
    </row>
    <row r="3243" spans="1:47" x14ac:dyDescent="0.3">
      <c r="A3243">
        <v>3241</v>
      </c>
      <c r="B3243" t="s">
        <v>13418</v>
      </c>
      <c r="C3243" t="s">
        <v>13392</v>
      </c>
      <c r="D3243">
        <v>812</v>
      </c>
      <c r="E3243" t="s">
        <v>13393</v>
      </c>
      <c r="F3243" t="str">
        <f>VLOOKUP(E3243,country_continent!A:C,2,FALSE)</f>
        <v>Laos</v>
      </c>
      <c r="G3243" t="str">
        <f>VLOOKUP(E3243,country_continent!A:C,3,FALSE)</f>
        <v>Asia</v>
      </c>
      <c r="H3243" t="s">
        <v>13394</v>
      </c>
      <c r="I3243" s="1">
        <v>22143</v>
      </c>
      <c r="J3243" s="3">
        <f t="shared" si="150"/>
        <v>22143</v>
      </c>
      <c r="K3243" s="1">
        <v>22260</v>
      </c>
      <c r="L3243" s="3">
        <f t="shared" si="151"/>
        <v>22260</v>
      </c>
      <c r="M3243" t="s">
        <v>67</v>
      </c>
      <c r="N3243" t="s">
        <v>67</v>
      </c>
      <c r="O3243" t="s">
        <v>376</v>
      </c>
      <c r="P3243">
        <v>2</v>
      </c>
      <c r="Q3243" t="s">
        <v>362</v>
      </c>
      <c r="R3243" t="s">
        <v>51</v>
      </c>
      <c r="S3243">
        <v>1901</v>
      </c>
      <c r="T3243">
        <v>1984</v>
      </c>
      <c r="U3243" s="1">
        <v>646</v>
      </c>
      <c r="V3243" s="2">
        <v>646</v>
      </c>
      <c r="Y3243" t="s">
        <v>13395</v>
      </c>
      <c r="Z3243">
        <v>1</v>
      </c>
      <c r="AA3243">
        <v>3</v>
      </c>
      <c r="AB3243">
        <v>6</v>
      </c>
      <c r="AC3243">
        <v>1</v>
      </c>
      <c r="AD3243" t="s">
        <v>13396</v>
      </c>
      <c r="AE3243">
        <v>1</v>
      </c>
      <c r="AF3243">
        <v>1960</v>
      </c>
      <c r="AG3243">
        <v>1960</v>
      </c>
      <c r="AN3243">
        <v>-4</v>
      </c>
      <c r="AO3243" t="b">
        <v>0</v>
      </c>
      <c r="AT3243">
        <v>117</v>
      </c>
      <c r="AU3243">
        <f t="shared" si="152"/>
        <v>0.32100000000000001</v>
      </c>
    </row>
    <row r="3244" spans="1:47" x14ac:dyDescent="0.3">
      <c r="A3244">
        <v>3242</v>
      </c>
      <c r="B3244" t="s">
        <v>13419</v>
      </c>
      <c r="C3244" t="s">
        <v>13420</v>
      </c>
      <c r="D3244">
        <v>812</v>
      </c>
      <c r="E3244" t="s">
        <v>13393</v>
      </c>
      <c r="F3244" t="str">
        <f>VLOOKUP(E3244,country_continent!A:C,2,FALSE)</f>
        <v>Laos</v>
      </c>
      <c r="G3244" t="str">
        <f>VLOOKUP(E3244,country_continent!A:C,3,FALSE)</f>
        <v>Asia</v>
      </c>
      <c r="H3244" t="s">
        <v>13421</v>
      </c>
      <c r="I3244" s="1">
        <v>22263</v>
      </c>
      <c r="J3244" s="3">
        <f t="shared" si="150"/>
        <v>22263</v>
      </c>
      <c r="K3244" s="1">
        <v>22819</v>
      </c>
      <c r="L3244" s="3">
        <f t="shared" si="151"/>
        <v>22819</v>
      </c>
      <c r="M3244" t="s">
        <v>67</v>
      </c>
      <c r="N3244" t="s">
        <v>49</v>
      </c>
      <c r="O3244" t="s">
        <v>49</v>
      </c>
      <c r="P3244">
        <v>0</v>
      </c>
      <c r="Q3244" t="s">
        <v>50</v>
      </c>
      <c r="R3244" t="s">
        <v>51</v>
      </c>
      <c r="S3244">
        <v>1912</v>
      </c>
      <c r="T3244">
        <v>1980</v>
      </c>
      <c r="U3244" s="1">
        <v>4730</v>
      </c>
      <c r="V3244" s="2">
        <v>4730</v>
      </c>
      <c r="W3244" s="1">
        <v>29297</v>
      </c>
      <c r="X3244" s="2">
        <v>29297</v>
      </c>
      <c r="Y3244" t="s">
        <v>13422</v>
      </c>
      <c r="Z3244">
        <v>1</v>
      </c>
      <c r="AA3244">
        <v>1</v>
      </c>
      <c r="AB3244">
        <v>0</v>
      </c>
      <c r="AC3244">
        <v>0</v>
      </c>
      <c r="AF3244">
        <v>1960</v>
      </c>
      <c r="AG3244">
        <v>1962</v>
      </c>
      <c r="AL3244">
        <v>2.2668334889491</v>
      </c>
      <c r="AN3244">
        <v>-1.33</v>
      </c>
      <c r="AO3244" t="b">
        <v>0</v>
      </c>
      <c r="AT3244">
        <v>556</v>
      </c>
      <c r="AU3244">
        <f t="shared" si="152"/>
        <v>1.5229999999999999</v>
      </c>
    </row>
    <row r="3245" spans="1:47" x14ac:dyDescent="0.3">
      <c r="A3245">
        <v>3243</v>
      </c>
      <c r="B3245" t="s">
        <v>13423</v>
      </c>
      <c r="C3245" t="s">
        <v>13392</v>
      </c>
      <c r="D3245">
        <v>812</v>
      </c>
      <c r="E3245" t="s">
        <v>13393</v>
      </c>
      <c r="F3245" t="str">
        <f>VLOOKUP(E3245,country_continent!A:C,2,FALSE)</f>
        <v>Laos</v>
      </c>
      <c r="G3245" t="str">
        <f>VLOOKUP(E3245,country_continent!A:C,3,FALSE)</f>
        <v>Asia</v>
      </c>
      <c r="H3245" t="s">
        <v>13394</v>
      </c>
      <c r="I3245" s="1">
        <v>22821</v>
      </c>
      <c r="J3245" s="3">
        <f t="shared" si="150"/>
        <v>22821</v>
      </c>
      <c r="K3245" s="1">
        <v>23486</v>
      </c>
      <c r="L3245" s="3">
        <f t="shared" si="151"/>
        <v>23486</v>
      </c>
      <c r="M3245" t="s">
        <v>49</v>
      </c>
      <c r="N3245" t="s">
        <v>67</v>
      </c>
      <c r="O3245" t="s">
        <v>376</v>
      </c>
      <c r="P3245">
        <v>3</v>
      </c>
      <c r="Q3245" t="s">
        <v>463</v>
      </c>
      <c r="R3245" t="s">
        <v>51</v>
      </c>
      <c r="S3245">
        <v>1901</v>
      </c>
      <c r="T3245">
        <v>1984</v>
      </c>
      <c r="U3245" s="1">
        <v>646</v>
      </c>
      <c r="V3245" s="2">
        <v>646</v>
      </c>
      <c r="Y3245" t="s">
        <v>13395</v>
      </c>
      <c r="Z3245">
        <v>0</v>
      </c>
      <c r="AA3245">
        <v>3</v>
      </c>
      <c r="AB3245">
        <v>6</v>
      </c>
      <c r="AC3245">
        <v>2</v>
      </c>
      <c r="AD3245" t="s">
        <v>13396</v>
      </c>
      <c r="AE3245">
        <v>1</v>
      </c>
      <c r="AF3245">
        <v>1962</v>
      </c>
      <c r="AG3245">
        <v>1964</v>
      </c>
      <c r="AL3245">
        <v>2.27171313079229</v>
      </c>
      <c r="AN3245">
        <v>0</v>
      </c>
      <c r="AO3245" t="b">
        <v>0</v>
      </c>
      <c r="AT3245">
        <v>665</v>
      </c>
      <c r="AU3245">
        <f t="shared" si="152"/>
        <v>1.8220000000000001</v>
      </c>
    </row>
    <row r="3246" spans="1:47" x14ac:dyDescent="0.3">
      <c r="A3246">
        <v>3244</v>
      </c>
      <c r="B3246" t="s">
        <v>13424</v>
      </c>
      <c r="C3246" t="s">
        <v>13425</v>
      </c>
      <c r="D3246">
        <v>812</v>
      </c>
      <c r="E3246" t="s">
        <v>13393</v>
      </c>
      <c r="F3246" t="str">
        <f>VLOOKUP(E3246,country_continent!A:C,2,FALSE)</f>
        <v>Laos</v>
      </c>
      <c r="G3246" t="str">
        <f>VLOOKUP(E3246,country_continent!A:C,3,FALSE)</f>
        <v>Asia</v>
      </c>
      <c r="H3246" t="s">
        <v>13426</v>
      </c>
      <c r="I3246" s="1">
        <v>23486</v>
      </c>
      <c r="J3246" s="3">
        <f t="shared" si="150"/>
        <v>23486</v>
      </c>
      <c r="K3246" s="1">
        <v>23487</v>
      </c>
      <c r="L3246" s="3">
        <f t="shared" si="151"/>
        <v>23487</v>
      </c>
      <c r="M3246" t="s">
        <v>67</v>
      </c>
      <c r="N3246" t="s">
        <v>49</v>
      </c>
      <c r="O3246" t="s">
        <v>49</v>
      </c>
      <c r="P3246">
        <v>0</v>
      </c>
      <c r="Q3246" t="s">
        <v>50</v>
      </c>
      <c r="R3246" t="s">
        <v>51</v>
      </c>
      <c r="S3246">
        <v>1926</v>
      </c>
      <c r="T3246">
        <v>1999</v>
      </c>
      <c r="Z3246">
        <v>1</v>
      </c>
      <c r="AA3246">
        <v>1</v>
      </c>
      <c r="AB3246">
        <v>0</v>
      </c>
      <c r="AC3246">
        <v>0</v>
      </c>
      <c r="AD3246" t="s">
        <v>13427</v>
      </c>
      <c r="AE3246">
        <v>1</v>
      </c>
      <c r="AF3246">
        <v>1964</v>
      </c>
      <c r="AG3246">
        <v>1964</v>
      </c>
      <c r="AL3246">
        <v>2.2537424663802001</v>
      </c>
      <c r="AN3246">
        <v>0</v>
      </c>
      <c r="AO3246" t="b">
        <v>0</v>
      </c>
      <c r="AT3246">
        <v>1</v>
      </c>
      <c r="AU3246">
        <f t="shared" si="152"/>
        <v>3.0000000000000001E-3</v>
      </c>
    </row>
    <row r="3247" spans="1:47" x14ac:dyDescent="0.3">
      <c r="A3247">
        <v>3245</v>
      </c>
      <c r="B3247" t="s">
        <v>13428</v>
      </c>
      <c r="C3247" t="s">
        <v>13392</v>
      </c>
      <c r="D3247">
        <v>812</v>
      </c>
      <c r="E3247" t="s">
        <v>13393</v>
      </c>
      <c r="F3247" t="str">
        <f>VLOOKUP(E3247,country_continent!A:C,2,FALSE)</f>
        <v>Laos</v>
      </c>
      <c r="G3247" t="str">
        <f>VLOOKUP(E3247,country_continent!A:C,3,FALSE)</f>
        <v>Asia</v>
      </c>
      <c r="H3247" t="s">
        <v>13394</v>
      </c>
      <c r="I3247" s="1">
        <v>23487</v>
      </c>
      <c r="J3247" s="3">
        <f t="shared" si="150"/>
        <v>23487</v>
      </c>
      <c r="K3247" s="1">
        <v>27730</v>
      </c>
      <c r="L3247" s="3">
        <f t="shared" si="151"/>
        <v>27730</v>
      </c>
      <c r="M3247" t="s">
        <v>49</v>
      </c>
      <c r="N3247" t="s">
        <v>67</v>
      </c>
      <c r="O3247" t="s">
        <v>645</v>
      </c>
      <c r="P3247">
        <v>4</v>
      </c>
      <c r="Q3247" t="s">
        <v>50</v>
      </c>
      <c r="R3247" t="s">
        <v>51</v>
      </c>
      <c r="S3247">
        <v>1901</v>
      </c>
      <c r="T3247">
        <v>1984</v>
      </c>
      <c r="U3247" s="1">
        <v>646</v>
      </c>
      <c r="V3247" s="2">
        <v>646</v>
      </c>
      <c r="Y3247" t="s">
        <v>13395</v>
      </c>
      <c r="Z3247">
        <v>0</v>
      </c>
      <c r="AA3247">
        <v>3</v>
      </c>
      <c r="AB3247">
        <v>3</v>
      </c>
      <c r="AC3247">
        <v>0</v>
      </c>
      <c r="AD3247" t="s">
        <v>13396</v>
      </c>
      <c r="AE3247">
        <v>1</v>
      </c>
      <c r="AF3247">
        <v>1964</v>
      </c>
      <c r="AG3247">
        <v>1975</v>
      </c>
      <c r="AL3247">
        <v>2.3350317290518201</v>
      </c>
      <c r="AN3247">
        <v>-0.83</v>
      </c>
      <c r="AO3247" t="b">
        <v>0</v>
      </c>
      <c r="AT3247">
        <v>4243</v>
      </c>
      <c r="AU3247">
        <f t="shared" si="152"/>
        <v>11.625</v>
      </c>
    </row>
    <row r="3248" spans="1:47" x14ac:dyDescent="0.3">
      <c r="A3248">
        <v>3246</v>
      </c>
      <c r="B3248" t="s">
        <v>13429</v>
      </c>
      <c r="C3248" t="s">
        <v>13430</v>
      </c>
      <c r="D3248">
        <v>812</v>
      </c>
      <c r="E3248" t="s">
        <v>13393</v>
      </c>
      <c r="F3248" t="str">
        <f>VLOOKUP(E3248,country_continent!A:C,2,FALSE)</f>
        <v>Laos</v>
      </c>
      <c r="G3248" t="str">
        <f>VLOOKUP(E3248,country_continent!A:C,3,FALSE)</f>
        <v>Asia</v>
      </c>
      <c r="H3248" t="s">
        <v>13431</v>
      </c>
      <c r="I3248" s="1">
        <v>27730</v>
      </c>
      <c r="J3248" s="3">
        <f t="shared" si="150"/>
        <v>27730</v>
      </c>
      <c r="K3248" s="1">
        <v>33933</v>
      </c>
      <c r="L3248" s="3">
        <f t="shared" si="151"/>
        <v>33933</v>
      </c>
      <c r="M3248" t="s">
        <v>67</v>
      </c>
      <c r="N3248" t="s">
        <v>110</v>
      </c>
      <c r="O3248" t="s">
        <v>49</v>
      </c>
      <c r="P3248">
        <v>0</v>
      </c>
      <c r="Q3248" t="s">
        <v>111</v>
      </c>
      <c r="R3248" t="s">
        <v>51</v>
      </c>
      <c r="S3248">
        <v>1920</v>
      </c>
      <c r="T3248">
        <v>1992</v>
      </c>
      <c r="U3248" s="1">
        <v>7653</v>
      </c>
      <c r="V3248" s="2">
        <v>7653</v>
      </c>
      <c r="W3248" s="1">
        <v>33933</v>
      </c>
      <c r="X3248" s="2">
        <v>33933</v>
      </c>
      <c r="Z3248">
        <v>1</v>
      </c>
      <c r="AA3248">
        <v>2</v>
      </c>
      <c r="AB3248">
        <v>0</v>
      </c>
      <c r="AC3248">
        <v>-777</v>
      </c>
      <c r="AF3248">
        <v>1975</v>
      </c>
      <c r="AG3248">
        <v>1992</v>
      </c>
      <c r="AH3248">
        <v>1.7454798940973999</v>
      </c>
      <c r="AI3248">
        <v>297.142857142857</v>
      </c>
      <c r="AJ3248">
        <v>33.543314455944497</v>
      </c>
      <c r="AK3248">
        <v>179.78666666666601</v>
      </c>
      <c r="AL3248">
        <v>2.4384261300260599</v>
      </c>
      <c r="AM3248">
        <v>5.4704800477330098</v>
      </c>
      <c r="AN3248">
        <v>-7</v>
      </c>
      <c r="AO3248" t="b">
        <v>0</v>
      </c>
      <c r="AT3248">
        <v>6203</v>
      </c>
      <c r="AU3248">
        <f t="shared" si="152"/>
        <v>16.995000000000001</v>
      </c>
    </row>
    <row r="3249" spans="1:47" x14ac:dyDescent="0.3">
      <c r="A3249">
        <v>3247</v>
      </c>
      <c r="B3249" t="s">
        <v>13432</v>
      </c>
      <c r="C3249" t="s">
        <v>13433</v>
      </c>
      <c r="D3249">
        <v>812</v>
      </c>
      <c r="E3249" t="s">
        <v>13393</v>
      </c>
      <c r="F3249" t="str">
        <f>VLOOKUP(E3249,country_continent!A:C,2,FALSE)</f>
        <v>Laos</v>
      </c>
      <c r="G3249" t="str">
        <f>VLOOKUP(E3249,country_continent!A:C,3,FALSE)</f>
        <v>Asia</v>
      </c>
      <c r="H3249" t="s">
        <v>13434</v>
      </c>
      <c r="I3249" s="1">
        <v>33933</v>
      </c>
      <c r="J3249" s="3">
        <f t="shared" si="150"/>
        <v>33933</v>
      </c>
      <c r="K3249" s="1">
        <v>35850</v>
      </c>
      <c r="L3249" s="3">
        <f t="shared" si="151"/>
        <v>35850</v>
      </c>
      <c r="M3249" t="s">
        <v>49</v>
      </c>
      <c r="N3249" t="s">
        <v>49</v>
      </c>
      <c r="O3249" t="s">
        <v>49</v>
      </c>
      <c r="P3249">
        <v>0</v>
      </c>
      <c r="Q3249" t="s">
        <v>50</v>
      </c>
      <c r="R3249" t="s">
        <v>51</v>
      </c>
      <c r="S3249">
        <v>1914</v>
      </c>
      <c r="T3249">
        <v>2008</v>
      </c>
      <c r="Z3249">
        <v>0</v>
      </c>
      <c r="AA3249">
        <v>1</v>
      </c>
      <c r="AB3249">
        <v>0</v>
      </c>
      <c r="AC3249">
        <v>0</v>
      </c>
      <c r="AF3249">
        <v>1992</v>
      </c>
      <c r="AG3249">
        <v>1998</v>
      </c>
      <c r="AH3249">
        <v>3.8191563714393602</v>
      </c>
      <c r="AI3249">
        <v>317.142857142857</v>
      </c>
      <c r="AJ3249">
        <v>23.163552662078999</v>
      </c>
      <c r="AK3249">
        <v>129.42857142857099</v>
      </c>
      <c r="AL3249">
        <v>2.40490734837738</v>
      </c>
      <c r="AM3249">
        <v>7.6347662390602196</v>
      </c>
      <c r="AN3249">
        <v>-7</v>
      </c>
      <c r="AO3249" t="b">
        <v>0</v>
      </c>
      <c r="AT3249">
        <v>1917</v>
      </c>
      <c r="AU3249">
        <f t="shared" si="152"/>
        <v>5.2519999999999998</v>
      </c>
    </row>
    <row r="3250" spans="1:47" x14ac:dyDescent="0.3">
      <c r="A3250">
        <v>3248</v>
      </c>
      <c r="B3250" t="s">
        <v>13435</v>
      </c>
      <c r="C3250" t="s">
        <v>13436</v>
      </c>
      <c r="D3250">
        <v>812</v>
      </c>
      <c r="E3250" t="s">
        <v>13393</v>
      </c>
      <c r="F3250" t="str">
        <f>VLOOKUP(E3250,country_continent!A:C,2,FALSE)</f>
        <v>Laos</v>
      </c>
      <c r="G3250" t="str">
        <f>VLOOKUP(E3250,country_continent!A:C,3,FALSE)</f>
        <v>Asia</v>
      </c>
      <c r="H3250" t="s">
        <v>13437</v>
      </c>
      <c r="I3250" s="1">
        <v>35850</v>
      </c>
      <c r="J3250" s="3">
        <f t="shared" si="150"/>
        <v>35850</v>
      </c>
      <c r="K3250" s="1">
        <v>38876</v>
      </c>
      <c r="L3250" s="3">
        <f t="shared" si="151"/>
        <v>38876</v>
      </c>
      <c r="M3250" t="s">
        <v>49</v>
      </c>
      <c r="N3250" t="s">
        <v>49</v>
      </c>
      <c r="O3250" t="s">
        <v>49</v>
      </c>
      <c r="P3250">
        <v>0</v>
      </c>
      <c r="Q3250" t="s">
        <v>50</v>
      </c>
      <c r="R3250" t="s">
        <v>51</v>
      </c>
      <c r="S3250">
        <v>1924</v>
      </c>
      <c r="T3250">
        <v>-777</v>
      </c>
      <c r="Z3250">
        <v>0</v>
      </c>
      <c r="AA3250">
        <v>1</v>
      </c>
      <c r="AB3250">
        <v>0</v>
      </c>
      <c r="AC3250">
        <v>0</v>
      </c>
      <c r="AF3250">
        <v>1998</v>
      </c>
      <c r="AG3250">
        <v>2006</v>
      </c>
      <c r="AH3250">
        <v>4.6089329966179804</v>
      </c>
      <c r="AI3250">
        <v>347.77777777777698</v>
      </c>
      <c r="AJ3250">
        <v>32.894298060426799</v>
      </c>
      <c r="AK3250">
        <v>99.188888888888897</v>
      </c>
      <c r="AL3250">
        <v>1.6246680649990599</v>
      </c>
      <c r="AM3250">
        <v>6.6342983809246299</v>
      </c>
      <c r="AN3250">
        <v>-7</v>
      </c>
      <c r="AO3250" t="b">
        <v>0</v>
      </c>
      <c r="AT3250">
        <v>3026</v>
      </c>
      <c r="AU3250">
        <f t="shared" si="152"/>
        <v>8.2899999999999991</v>
      </c>
    </row>
    <row r="3251" spans="1:47" x14ac:dyDescent="0.3">
      <c r="A3251">
        <v>3249</v>
      </c>
      <c r="B3251" t="s">
        <v>13438</v>
      </c>
      <c r="C3251" t="s">
        <v>13439</v>
      </c>
      <c r="D3251">
        <v>812</v>
      </c>
      <c r="E3251" t="s">
        <v>13393</v>
      </c>
      <c r="F3251" t="str">
        <f>VLOOKUP(E3251,country_continent!A:C,2,FALSE)</f>
        <v>Laos</v>
      </c>
      <c r="G3251" t="str">
        <f>VLOOKUP(E3251,country_continent!A:C,3,FALSE)</f>
        <v>Asia</v>
      </c>
      <c r="H3251" t="s">
        <v>13440</v>
      </c>
      <c r="I3251" s="1">
        <v>38876</v>
      </c>
      <c r="J3251" s="3">
        <f t="shared" si="150"/>
        <v>38876</v>
      </c>
      <c r="K3251" s="1">
        <v>42369</v>
      </c>
      <c r="L3251" s="3">
        <f t="shared" si="151"/>
        <v>42369</v>
      </c>
      <c r="M3251" t="s">
        <v>49</v>
      </c>
      <c r="N3251" t="s">
        <v>173</v>
      </c>
      <c r="O3251" t="s">
        <v>173</v>
      </c>
      <c r="P3251">
        <v>0</v>
      </c>
      <c r="Q3251" t="s">
        <v>174</v>
      </c>
      <c r="R3251" t="s">
        <v>51</v>
      </c>
      <c r="S3251">
        <v>1936</v>
      </c>
      <c r="T3251">
        <v>-777</v>
      </c>
      <c r="U3251" s="1">
        <v>13215</v>
      </c>
      <c r="V3251" s="2">
        <v>13215</v>
      </c>
      <c r="Z3251">
        <v>0</v>
      </c>
      <c r="AA3251">
        <v>-888</v>
      </c>
      <c r="AB3251">
        <v>-888</v>
      </c>
      <c r="AC3251">
        <v>-888</v>
      </c>
      <c r="AF3251">
        <v>2006</v>
      </c>
      <c r="AG3251">
        <v>2015</v>
      </c>
      <c r="AH3251">
        <v>6.3254840836564004</v>
      </c>
      <c r="AI3251">
        <v>1155</v>
      </c>
      <c r="AJ3251">
        <v>6.5917939624984596</v>
      </c>
      <c r="AK3251">
        <v>66.97</v>
      </c>
      <c r="AL3251">
        <v>1.47391124800013</v>
      </c>
      <c r="AM3251">
        <v>11.850929101907001</v>
      </c>
      <c r="AN3251">
        <v>-7</v>
      </c>
      <c r="AO3251" t="b">
        <v>0</v>
      </c>
      <c r="AT3251">
        <v>3493</v>
      </c>
      <c r="AU3251">
        <f t="shared" si="152"/>
        <v>9.57</v>
      </c>
    </row>
    <row r="3252" spans="1:47" x14ac:dyDescent="0.3">
      <c r="A3252">
        <v>3250</v>
      </c>
      <c r="B3252" t="s">
        <v>13441</v>
      </c>
      <c r="C3252" t="s">
        <v>13442</v>
      </c>
      <c r="D3252">
        <v>815</v>
      </c>
      <c r="E3252" t="s">
        <v>13443</v>
      </c>
      <c r="F3252" t="str">
        <f>VLOOKUP(E3252,country_continent!A:C,2,FALSE)</f>
        <v>Vietnam</v>
      </c>
      <c r="G3252" t="str">
        <f>VLOOKUP(E3252,country_continent!A:C,3,FALSE)</f>
        <v>Asia</v>
      </c>
      <c r="H3252" t="s">
        <v>13444</v>
      </c>
      <c r="I3252" t="s">
        <v>13445</v>
      </c>
      <c r="J3252" s="3" t="str">
        <f t="shared" si="150"/>
        <v>1847/11/10</v>
      </c>
      <c r="K3252" t="s">
        <v>13446</v>
      </c>
      <c r="L3252" s="3" t="str">
        <f t="shared" si="151"/>
        <v>1883/07/17</v>
      </c>
      <c r="M3252" t="s">
        <v>67</v>
      </c>
      <c r="N3252" t="s">
        <v>110</v>
      </c>
      <c r="O3252" t="s">
        <v>49</v>
      </c>
      <c r="P3252">
        <v>0</v>
      </c>
      <c r="Q3252" t="s">
        <v>111</v>
      </c>
      <c r="R3252" t="s">
        <v>51</v>
      </c>
      <c r="S3252">
        <v>1829</v>
      </c>
      <c r="T3252">
        <v>1883</v>
      </c>
      <c r="W3252" t="s">
        <v>13446</v>
      </c>
      <c r="X3252" t="s">
        <v>13447</v>
      </c>
      <c r="Z3252">
        <v>1</v>
      </c>
      <c r="AA3252">
        <v>2</v>
      </c>
      <c r="AB3252">
        <v>0</v>
      </c>
      <c r="AC3252">
        <v>-777</v>
      </c>
      <c r="AF3252">
        <v>1847</v>
      </c>
      <c r="AG3252">
        <v>1883</v>
      </c>
      <c r="AO3252" t="b">
        <v>0</v>
      </c>
      <c r="AT3252">
        <v>13033</v>
      </c>
      <c r="AU3252">
        <f t="shared" si="152"/>
        <v>35.707000000000001</v>
      </c>
    </row>
    <row r="3253" spans="1:47" x14ac:dyDescent="0.3">
      <c r="A3253">
        <v>3251</v>
      </c>
      <c r="B3253" t="s">
        <v>13448</v>
      </c>
      <c r="C3253" t="s">
        <v>13449</v>
      </c>
      <c r="D3253">
        <v>815</v>
      </c>
      <c r="E3253" t="s">
        <v>13443</v>
      </c>
      <c r="F3253" t="str">
        <f>VLOOKUP(E3253,country_continent!A:C,2,FALSE)</f>
        <v>Vietnam</v>
      </c>
      <c r="G3253" t="str">
        <f>VLOOKUP(E3253,country_continent!A:C,3,FALSE)</f>
        <v>Asia</v>
      </c>
      <c r="H3253" t="s">
        <v>13450</v>
      </c>
      <c r="I3253" t="s">
        <v>13451</v>
      </c>
      <c r="J3253" s="3" t="str">
        <f t="shared" si="150"/>
        <v>1883/07/20</v>
      </c>
      <c r="K3253" t="s">
        <v>13452</v>
      </c>
      <c r="L3253" s="3" t="str">
        <f t="shared" si="151"/>
        <v>1883/07/23</v>
      </c>
      <c r="M3253" t="s">
        <v>49</v>
      </c>
      <c r="N3253" t="s">
        <v>67</v>
      </c>
      <c r="O3253" t="s">
        <v>347</v>
      </c>
      <c r="P3253">
        <v>0</v>
      </c>
      <c r="Q3253" t="s">
        <v>69</v>
      </c>
      <c r="R3253" t="s">
        <v>51</v>
      </c>
      <c r="S3253">
        <v>1852</v>
      </c>
      <c r="T3253">
        <v>1883</v>
      </c>
      <c r="W3253" t="s">
        <v>13452</v>
      </c>
      <c r="X3253" t="s">
        <v>13453</v>
      </c>
      <c r="Z3253">
        <v>0</v>
      </c>
      <c r="AA3253">
        <v>3</v>
      </c>
      <c r="AB3253">
        <v>-999</v>
      </c>
      <c r="AC3253">
        <v>3</v>
      </c>
      <c r="AF3253">
        <v>1883</v>
      </c>
      <c r="AG3253">
        <v>1883</v>
      </c>
      <c r="AO3253" t="b">
        <v>0</v>
      </c>
      <c r="AT3253">
        <v>3</v>
      </c>
      <c r="AU3253">
        <f t="shared" si="152"/>
        <v>8.0000000000000002E-3</v>
      </c>
    </row>
    <row r="3254" spans="1:47" x14ac:dyDescent="0.3">
      <c r="A3254">
        <v>3252</v>
      </c>
      <c r="B3254" t="s">
        <v>13454</v>
      </c>
      <c r="C3254" t="s">
        <v>13455</v>
      </c>
      <c r="D3254">
        <v>815</v>
      </c>
      <c r="E3254" t="s">
        <v>13443</v>
      </c>
      <c r="F3254" t="str">
        <f>VLOOKUP(E3254,country_continent!A:C,2,FALSE)</f>
        <v>Vietnam</v>
      </c>
      <c r="G3254" t="str">
        <f>VLOOKUP(E3254,country_continent!A:C,3,FALSE)</f>
        <v>Asia</v>
      </c>
      <c r="H3254" t="s">
        <v>13456</v>
      </c>
      <c r="I3254" t="s">
        <v>13457</v>
      </c>
      <c r="J3254" s="3" t="str">
        <f t="shared" si="150"/>
        <v>1883/07/30</v>
      </c>
      <c r="K3254" t="s">
        <v>13458</v>
      </c>
      <c r="L3254" s="3" t="str">
        <f t="shared" si="151"/>
        <v>1883/11/29</v>
      </c>
      <c r="M3254" t="s">
        <v>67</v>
      </c>
      <c r="N3254" t="s">
        <v>67</v>
      </c>
      <c r="O3254" t="s">
        <v>347</v>
      </c>
      <c r="P3254">
        <v>0</v>
      </c>
      <c r="Q3254" t="s">
        <v>69</v>
      </c>
      <c r="R3254" t="s">
        <v>51</v>
      </c>
      <c r="S3254">
        <v>1847</v>
      </c>
      <c r="T3254">
        <v>1883</v>
      </c>
      <c r="W3254" t="s">
        <v>13458</v>
      </c>
      <c r="X3254" t="s">
        <v>13459</v>
      </c>
      <c r="Z3254">
        <v>1</v>
      </c>
      <c r="AA3254">
        <v>3</v>
      </c>
      <c r="AB3254">
        <v>-999</v>
      </c>
      <c r="AC3254">
        <v>3</v>
      </c>
      <c r="AF3254">
        <v>1883</v>
      </c>
      <c r="AG3254">
        <v>1883</v>
      </c>
      <c r="AO3254" t="b">
        <v>0</v>
      </c>
      <c r="AT3254">
        <v>122</v>
      </c>
      <c r="AU3254">
        <f t="shared" si="152"/>
        <v>0.33400000000000002</v>
      </c>
    </row>
    <row r="3255" spans="1:47" x14ac:dyDescent="0.3">
      <c r="A3255">
        <v>3254</v>
      </c>
      <c r="B3255" t="s">
        <v>13461</v>
      </c>
      <c r="C3255" t="s">
        <v>13462</v>
      </c>
      <c r="D3255">
        <v>815</v>
      </c>
      <c r="E3255" t="s">
        <v>13443</v>
      </c>
      <c r="F3255" t="str">
        <f>VLOOKUP(E3255,country_continent!A:C,2,FALSE)</f>
        <v>Vietnam</v>
      </c>
      <c r="G3255" t="str">
        <f>VLOOKUP(E3255,country_continent!A:C,3,FALSE)</f>
        <v>Asia</v>
      </c>
      <c r="H3255" t="s">
        <v>13463</v>
      </c>
      <c r="I3255" t="s">
        <v>13460</v>
      </c>
      <c r="J3255" s="3" t="str">
        <f t="shared" si="150"/>
        <v>1885/10/14</v>
      </c>
      <c r="K3255" t="s">
        <v>13464</v>
      </c>
      <c r="L3255" s="3" t="str">
        <f t="shared" si="151"/>
        <v>1889/01/28</v>
      </c>
      <c r="M3255" t="s">
        <v>637</v>
      </c>
      <c r="N3255" t="s">
        <v>110</v>
      </c>
      <c r="O3255" t="s">
        <v>49</v>
      </c>
      <c r="P3255">
        <v>0</v>
      </c>
      <c r="Q3255" t="s">
        <v>111</v>
      </c>
      <c r="R3255" t="s">
        <v>51</v>
      </c>
      <c r="S3255">
        <v>1864</v>
      </c>
      <c r="T3255">
        <v>1889</v>
      </c>
      <c r="Z3255">
        <v>2</v>
      </c>
      <c r="AA3255">
        <v>2</v>
      </c>
      <c r="AB3255">
        <v>0</v>
      </c>
      <c r="AC3255">
        <v>-777</v>
      </c>
      <c r="AF3255">
        <v>1885</v>
      </c>
      <c r="AG3255">
        <v>1889</v>
      </c>
      <c r="AO3255" t="b">
        <v>0</v>
      </c>
      <c r="AT3255">
        <v>1202</v>
      </c>
      <c r="AU3255">
        <f t="shared" si="152"/>
        <v>3.2930000000000001</v>
      </c>
    </row>
    <row r="3256" spans="1:47" x14ac:dyDescent="0.3">
      <c r="A3256">
        <v>3255</v>
      </c>
      <c r="B3256" t="s">
        <v>13465</v>
      </c>
      <c r="C3256" t="s">
        <v>13466</v>
      </c>
      <c r="D3256">
        <v>815</v>
      </c>
      <c r="E3256" t="s">
        <v>13443</v>
      </c>
      <c r="F3256" t="str">
        <f>VLOOKUP(E3256,country_continent!A:C,2,FALSE)</f>
        <v>Vietnam</v>
      </c>
      <c r="G3256" t="str">
        <f>VLOOKUP(E3256,country_continent!A:C,3,FALSE)</f>
        <v>Asia</v>
      </c>
      <c r="H3256" t="s">
        <v>13467</v>
      </c>
      <c r="I3256" t="s">
        <v>13468</v>
      </c>
      <c r="J3256" s="3" t="str">
        <f t="shared" si="150"/>
        <v>1889/02/01</v>
      </c>
      <c r="K3256" s="1">
        <v>2803</v>
      </c>
      <c r="L3256" s="3">
        <f t="shared" si="151"/>
        <v>2803</v>
      </c>
      <c r="M3256" t="s">
        <v>49</v>
      </c>
      <c r="N3256" t="s">
        <v>633</v>
      </c>
      <c r="O3256" t="s">
        <v>347</v>
      </c>
      <c r="P3256">
        <v>0</v>
      </c>
      <c r="Q3256" t="s">
        <v>362</v>
      </c>
      <c r="R3256" t="s">
        <v>51</v>
      </c>
      <c r="S3256">
        <v>1878</v>
      </c>
      <c r="T3256">
        <v>1954</v>
      </c>
      <c r="Z3256">
        <v>0</v>
      </c>
      <c r="AA3256">
        <v>4</v>
      </c>
      <c r="AB3256">
        <v>-999</v>
      </c>
      <c r="AC3256">
        <v>1</v>
      </c>
      <c r="AF3256">
        <v>1889</v>
      </c>
      <c r="AG3256">
        <v>1907</v>
      </c>
      <c r="AO3256" t="b">
        <v>0</v>
      </c>
      <c r="AT3256">
        <v>6787</v>
      </c>
      <c r="AU3256">
        <f t="shared" si="152"/>
        <v>18.594999999999999</v>
      </c>
    </row>
    <row r="3257" spans="1:47" x14ac:dyDescent="0.3">
      <c r="A3257">
        <v>3256</v>
      </c>
      <c r="B3257" t="s">
        <v>13469</v>
      </c>
      <c r="C3257" t="s">
        <v>13470</v>
      </c>
      <c r="D3257">
        <v>816</v>
      </c>
      <c r="E3257" t="s">
        <v>13471</v>
      </c>
      <c r="F3257" t="str">
        <f>VLOOKUP(E3257,country_continent!A:C,2,FALSE)</f>
        <v>Democratic Republic of Vietnam</v>
      </c>
      <c r="G3257" t="str">
        <f>VLOOKUP(E3257,country_continent!A:C,3,FALSE)</f>
        <v>Asia</v>
      </c>
      <c r="H3257" t="s">
        <v>13472</v>
      </c>
      <c r="I3257" s="1">
        <v>16682</v>
      </c>
      <c r="J3257" s="3">
        <f t="shared" si="150"/>
        <v>16682</v>
      </c>
      <c r="K3257" s="1">
        <v>25449</v>
      </c>
      <c r="L3257" s="3">
        <f t="shared" si="151"/>
        <v>25449</v>
      </c>
      <c r="M3257" t="s">
        <v>67</v>
      </c>
      <c r="N3257" t="s">
        <v>110</v>
      </c>
      <c r="O3257" t="s">
        <v>49</v>
      </c>
      <c r="P3257">
        <v>0</v>
      </c>
      <c r="Q3257" t="s">
        <v>111</v>
      </c>
      <c r="R3257" t="s">
        <v>51</v>
      </c>
      <c r="S3257">
        <v>1890</v>
      </c>
      <c r="T3257">
        <v>1969</v>
      </c>
      <c r="U3257" t="s">
        <v>13473</v>
      </c>
      <c r="V3257" t="s">
        <v>13474</v>
      </c>
      <c r="W3257" s="1">
        <v>25448</v>
      </c>
      <c r="X3257" s="2">
        <v>25448</v>
      </c>
      <c r="Y3257" t="s">
        <v>13475</v>
      </c>
      <c r="Z3257">
        <v>1</v>
      </c>
      <c r="AA3257">
        <v>2</v>
      </c>
      <c r="AB3257">
        <v>0</v>
      </c>
      <c r="AC3257">
        <v>-777</v>
      </c>
      <c r="AF3257">
        <v>1945</v>
      </c>
      <c r="AG3257">
        <v>1969</v>
      </c>
      <c r="AO3257" t="b">
        <v>0</v>
      </c>
      <c r="AT3257">
        <v>8767</v>
      </c>
      <c r="AU3257">
        <f t="shared" si="152"/>
        <v>24.018999999999998</v>
      </c>
    </row>
    <row r="3258" spans="1:47" x14ac:dyDescent="0.3">
      <c r="A3258">
        <v>3257</v>
      </c>
      <c r="B3258" t="s">
        <v>13476</v>
      </c>
      <c r="C3258" t="s">
        <v>13477</v>
      </c>
      <c r="D3258">
        <v>816</v>
      </c>
      <c r="E3258" t="s">
        <v>13471</v>
      </c>
      <c r="F3258" t="str">
        <f>VLOOKUP(E3258,country_continent!A:C,2,FALSE)</f>
        <v>Democratic Republic of Vietnam</v>
      </c>
      <c r="G3258" t="str">
        <f>VLOOKUP(E3258,country_continent!A:C,3,FALSE)</f>
        <v>Asia</v>
      </c>
      <c r="H3258" t="s">
        <v>13478</v>
      </c>
      <c r="I3258" s="1">
        <v>25449</v>
      </c>
      <c r="J3258" s="3">
        <f t="shared" si="150"/>
        <v>25449</v>
      </c>
      <c r="K3258" s="1">
        <v>31603</v>
      </c>
      <c r="L3258" s="3">
        <f t="shared" si="151"/>
        <v>31603</v>
      </c>
      <c r="M3258" t="s">
        <v>49</v>
      </c>
      <c r="N3258" t="s">
        <v>110</v>
      </c>
      <c r="O3258" t="s">
        <v>49</v>
      </c>
      <c r="P3258">
        <v>0</v>
      </c>
      <c r="Q3258" t="s">
        <v>111</v>
      </c>
      <c r="R3258" t="s">
        <v>51</v>
      </c>
      <c r="S3258">
        <v>1908</v>
      </c>
      <c r="T3258">
        <v>1986</v>
      </c>
      <c r="U3258" s="1">
        <v>3020</v>
      </c>
      <c r="V3258" s="2">
        <v>3020</v>
      </c>
      <c r="W3258" s="1">
        <v>31603</v>
      </c>
      <c r="X3258" s="2">
        <v>31603</v>
      </c>
      <c r="Z3258">
        <v>0</v>
      </c>
      <c r="AA3258">
        <v>2</v>
      </c>
      <c r="AB3258">
        <v>0</v>
      </c>
      <c r="AC3258">
        <v>-777</v>
      </c>
      <c r="AF3258">
        <v>1969</v>
      </c>
      <c r="AG3258">
        <v>1986</v>
      </c>
      <c r="AO3258" t="b">
        <v>0</v>
      </c>
      <c r="AT3258">
        <v>6154</v>
      </c>
      <c r="AU3258">
        <f t="shared" si="152"/>
        <v>16.86</v>
      </c>
    </row>
    <row r="3259" spans="1:47" x14ac:dyDescent="0.3">
      <c r="A3259">
        <v>3258</v>
      </c>
      <c r="B3259" t="s">
        <v>13479</v>
      </c>
      <c r="C3259" t="s">
        <v>13480</v>
      </c>
      <c r="D3259">
        <v>816</v>
      </c>
      <c r="E3259" t="s">
        <v>13471</v>
      </c>
      <c r="F3259" t="str">
        <f>VLOOKUP(E3259,country_continent!A:C,2,FALSE)</f>
        <v>Democratic Republic of Vietnam</v>
      </c>
      <c r="G3259" t="str">
        <f>VLOOKUP(E3259,country_continent!A:C,3,FALSE)</f>
        <v>Asia</v>
      </c>
      <c r="H3259" t="s">
        <v>13481</v>
      </c>
      <c r="I3259" s="1">
        <v>31603</v>
      </c>
      <c r="J3259" s="3">
        <f t="shared" si="150"/>
        <v>31603</v>
      </c>
      <c r="K3259" s="1">
        <v>31764</v>
      </c>
      <c r="L3259" s="3">
        <f t="shared" si="151"/>
        <v>31764</v>
      </c>
      <c r="M3259" t="s">
        <v>49</v>
      </c>
      <c r="N3259" t="s">
        <v>49</v>
      </c>
      <c r="O3259" t="s">
        <v>49</v>
      </c>
      <c r="P3259">
        <v>0</v>
      </c>
      <c r="Q3259" t="s">
        <v>50</v>
      </c>
      <c r="R3259" t="s">
        <v>51</v>
      </c>
      <c r="S3259">
        <v>1907</v>
      </c>
      <c r="T3259">
        <v>1988</v>
      </c>
      <c r="Z3259">
        <v>0</v>
      </c>
      <c r="AA3259">
        <v>1</v>
      </c>
      <c r="AB3259">
        <v>0</v>
      </c>
      <c r="AC3259">
        <v>0</v>
      </c>
      <c r="AF3259">
        <v>1986</v>
      </c>
      <c r="AG3259">
        <v>1986</v>
      </c>
      <c r="AO3259" t="b">
        <v>0</v>
      </c>
      <c r="AT3259">
        <v>161</v>
      </c>
      <c r="AU3259">
        <f t="shared" si="152"/>
        <v>0.441</v>
      </c>
    </row>
    <row r="3260" spans="1:47" x14ac:dyDescent="0.3">
      <c r="A3260">
        <v>3259</v>
      </c>
      <c r="B3260" t="s">
        <v>13482</v>
      </c>
      <c r="C3260" t="s">
        <v>13483</v>
      </c>
      <c r="D3260">
        <v>816</v>
      </c>
      <c r="E3260" t="s">
        <v>13471</v>
      </c>
      <c r="F3260" t="str">
        <f>VLOOKUP(E3260,country_continent!A:C,2,FALSE)</f>
        <v>Democratic Republic of Vietnam</v>
      </c>
      <c r="G3260" t="str">
        <f>VLOOKUP(E3260,country_continent!A:C,3,FALSE)</f>
        <v>Asia</v>
      </c>
      <c r="H3260" t="s">
        <v>13484</v>
      </c>
      <c r="I3260" s="1">
        <v>31764</v>
      </c>
      <c r="J3260" s="3">
        <f t="shared" si="150"/>
        <v>31764</v>
      </c>
      <c r="K3260" s="1">
        <v>33416</v>
      </c>
      <c r="L3260" s="3">
        <f t="shared" si="151"/>
        <v>33416</v>
      </c>
      <c r="M3260" t="s">
        <v>49</v>
      </c>
      <c r="N3260" t="s">
        <v>49</v>
      </c>
      <c r="O3260" t="s">
        <v>49</v>
      </c>
      <c r="P3260">
        <v>0</v>
      </c>
      <c r="Q3260" t="s">
        <v>50</v>
      </c>
      <c r="R3260" t="s">
        <v>51</v>
      </c>
      <c r="S3260">
        <v>1915</v>
      </c>
      <c r="T3260">
        <v>1998</v>
      </c>
      <c r="U3260" s="1">
        <v>5661</v>
      </c>
      <c r="V3260" s="2">
        <v>5661</v>
      </c>
      <c r="W3260" s="1">
        <v>35912</v>
      </c>
      <c r="X3260" s="2">
        <v>35912</v>
      </c>
      <c r="Z3260">
        <v>0</v>
      </c>
      <c r="AA3260">
        <v>1</v>
      </c>
      <c r="AB3260">
        <v>0</v>
      </c>
      <c r="AC3260">
        <v>0</v>
      </c>
      <c r="AF3260">
        <v>1986</v>
      </c>
      <c r="AG3260">
        <v>1991</v>
      </c>
      <c r="AO3260" t="b">
        <v>0</v>
      </c>
      <c r="AT3260">
        <v>1652</v>
      </c>
      <c r="AU3260">
        <f t="shared" si="152"/>
        <v>4.5259999999999998</v>
      </c>
    </row>
    <row r="3261" spans="1:47" x14ac:dyDescent="0.3">
      <c r="A3261">
        <v>3260</v>
      </c>
      <c r="B3261" t="s">
        <v>13485</v>
      </c>
      <c r="C3261" t="s">
        <v>13486</v>
      </c>
      <c r="D3261">
        <v>816</v>
      </c>
      <c r="E3261" t="s">
        <v>13471</v>
      </c>
      <c r="F3261" t="str">
        <f>VLOOKUP(E3261,country_continent!A:C,2,FALSE)</f>
        <v>Democratic Republic of Vietnam</v>
      </c>
      <c r="G3261" t="str">
        <f>VLOOKUP(E3261,country_continent!A:C,3,FALSE)</f>
        <v>Asia</v>
      </c>
      <c r="H3261" t="s">
        <v>13487</v>
      </c>
      <c r="I3261" s="1">
        <v>33416</v>
      </c>
      <c r="J3261" s="3">
        <f t="shared" si="150"/>
        <v>33416</v>
      </c>
      <c r="K3261" s="1">
        <v>35793</v>
      </c>
      <c r="L3261" s="3">
        <f t="shared" si="151"/>
        <v>35793</v>
      </c>
      <c r="M3261" t="s">
        <v>49</v>
      </c>
      <c r="N3261" t="s">
        <v>49</v>
      </c>
      <c r="O3261" t="s">
        <v>49</v>
      </c>
      <c r="P3261">
        <v>0</v>
      </c>
      <c r="Q3261" t="s">
        <v>50</v>
      </c>
      <c r="R3261" t="s">
        <v>51</v>
      </c>
      <c r="S3261">
        <v>1917</v>
      </c>
      <c r="T3261">
        <v>-777</v>
      </c>
      <c r="U3261" s="1">
        <v>6243</v>
      </c>
      <c r="V3261" s="2">
        <v>6243</v>
      </c>
      <c r="Z3261">
        <v>0</v>
      </c>
      <c r="AA3261">
        <v>1</v>
      </c>
      <c r="AB3261">
        <v>0</v>
      </c>
      <c r="AC3261">
        <v>0</v>
      </c>
      <c r="AF3261">
        <v>1991</v>
      </c>
      <c r="AG3261">
        <v>1997</v>
      </c>
      <c r="AO3261" t="b">
        <v>0</v>
      </c>
      <c r="AT3261">
        <v>2377</v>
      </c>
      <c r="AU3261">
        <f t="shared" si="152"/>
        <v>6.5119999999999996</v>
      </c>
    </row>
    <row r="3262" spans="1:47" x14ac:dyDescent="0.3">
      <c r="A3262">
        <v>3261</v>
      </c>
      <c r="B3262" t="s">
        <v>13488</v>
      </c>
      <c r="C3262" t="s">
        <v>13489</v>
      </c>
      <c r="D3262">
        <v>816</v>
      </c>
      <c r="E3262" t="s">
        <v>13471</v>
      </c>
      <c r="F3262" t="str">
        <f>VLOOKUP(E3262,country_continent!A:C,2,FALSE)</f>
        <v>Democratic Republic of Vietnam</v>
      </c>
      <c r="G3262" t="str">
        <f>VLOOKUP(E3262,country_continent!A:C,3,FALSE)</f>
        <v>Asia</v>
      </c>
      <c r="H3262" t="s">
        <v>13490</v>
      </c>
      <c r="I3262" s="1">
        <v>35793</v>
      </c>
      <c r="J3262" s="3">
        <f t="shared" si="150"/>
        <v>35793</v>
      </c>
      <c r="K3262" s="1">
        <v>37003</v>
      </c>
      <c r="L3262" s="3">
        <f t="shared" si="151"/>
        <v>37003</v>
      </c>
      <c r="M3262" t="s">
        <v>49</v>
      </c>
      <c r="N3262" t="s">
        <v>49</v>
      </c>
      <c r="O3262" t="s">
        <v>49</v>
      </c>
      <c r="P3262">
        <v>0</v>
      </c>
      <c r="Q3262" t="s">
        <v>50</v>
      </c>
      <c r="R3262" t="s">
        <v>51</v>
      </c>
      <c r="S3262">
        <v>1931</v>
      </c>
      <c r="T3262">
        <v>-777</v>
      </c>
      <c r="U3262" s="1">
        <v>11684</v>
      </c>
      <c r="V3262" s="2">
        <v>11684</v>
      </c>
      <c r="Y3262" t="s">
        <v>13491</v>
      </c>
      <c r="Z3262">
        <v>0</v>
      </c>
      <c r="AA3262">
        <v>1</v>
      </c>
      <c r="AB3262">
        <v>0</v>
      </c>
      <c r="AC3262">
        <v>0</v>
      </c>
      <c r="AF3262">
        <v>1997</v>
      </c>
      <c r="AG3262">
        <v>2001</v>
      </c>
      <c r="AO3262" t="b">
        <v>0</v>
      </c>
      <c r="AT3262">
        <v>1210</v>
      </c>
      <c r="AU3262">
        <f t="shared" si="152"/>
        <v>3.3149999999999999</v>
      </c>
    </row>
    <row r="3263" spans="1:47" x14ac:dyDescent="0.3">
      <c r="A3263">
        <v>3262</v>
      </c>
      <c r="B3263" t="s">
        <v>13492</v>
      </c>
      <c r="C3263" t="s">
        <v>13493</v>
      </c>
      <c r="D3263">
        <v>816</v>
      </c>
      <c r="E3263" t="s">
        <v>13471</v>
      </c>
      <c r="F3263" t="str">
        <f>VLOOKUP(E3263,country_continent!A:C,2,FALSE)</f>
        <v>Democratic Republic of Vietnam</v>
      </c>
      <c r="G3263" t="str">
        <f>VLOOKUP(E3263,country_continent!A:C,3,FALSE)</f>
        <v>Asia</v>
      </c>
      <c r="H3263" t="s">
        <v>13494</v>
      </c>
      <c r="I3263" s="1">
        <v>37004</v>
      </c>
      <c r="J3263" s="3">
        <f t="shared" si="150"/>
        <v>37004</v>
      </c>
      <c r="K3263" s="1">
        <v>40562</v>
      </c>
      <c r="L3263" s="3">
        <f t="shared" si="151"/>
        <v>40562</v>
      </c>
      <c r="M3263" t="s">
        <v>49</v>
      </c>
      <c r="N3263" t="s">
        <v>49</v>
      </c>
      <c r="O3263" t="s">
        <v>49</v>
      </c>
      <c r="P3263">
        <v>0</v>
      </c>
      <c r="Q3263" t="s">
        <v>50</v>
      </c>
      <c r="R3263" t="s">
        <v>51</v>
      </c>
      <c r="S3263">
        <v>1940</v>
      </c>
      <c r="T3263">
        <v>-777</v>
      </c>
      <c r="U3263" s="1">
        <v>14865</v>
      </c>
      <c r="V3263" s="2">
        <v>14865</v>
      </c>
      <c r="Y3263" t="s">
        <v>13495</v>
      </c>
      <c r="Z3263">
        <v>0</v>
      </c>
      <c r="AA3263">
        <v>1</v>
      </c>
      <c r="AB3263">
        <v>0</v>
      </c>
      <c r="AC3263">
        <v>0</v>
      </c>
      <c r="AF3263">
        <v>2001</v>
      </c>
      <c r="AG3263">
        <v>2011</v>
      </c>
      <c r="AO3263" t="b">
        <v>0</v>
      </c>
      <c r="AT3263">
        <v>3558</v>
      </c>
      <c r="AU3263">
        <f t="shared" si="152"/>
        <v>9.7479999999999993</v>
      </c>
    </row>
    <row r="3264" spans="1:47" x14ac:dyDescent="0.3">
      <c r="A3264">
        <v>3263</v>
      </c>
      <c r="B3264" t="s">
        <v>13496</v>
      </c>
      <c r="C3264" t="s">
        <v>13497</v>
      </c>
      <c r="D3264">
        <v>816</v>
      </c>
      <c r="E3264" t="s">
        <v>13471</v>
      </c>
      <c r="F3264" t="str">
        <f>VLOOKUP(E3264,country_continent!A:C,2,FALSE)</f>
        <v>Democratic Republic of Vietnam</v>
      </c>
      <c r="G3264" t="str">
        <f>VLOOKUP(E3264,country_continent!A:C,3,FALSE)</f>
        <v>Asia</v>
      </c>
      <c r="H3264" t="s">
        <v>13498</v>
      </c>
      <c r="I3264" s="1">
        <v>40562</v>
      </c>
      <c r="J3264" s="3">
        <f t="shared" si="150"/>
        <v>40562</v>
      </c>
      <c r="K3264" s="1">
        <v>42369</v>
      </c>
      <c r="L3264" s="3">
        <f t="shared" si="151"/>
        <v>42369</v>
      </c>
      <c r="M3264" t="s">
        <v>49</v>
      </c>
      <c r="N3264" t="s">
        <v>173</v>
      </c>
      <c r="O3264" t="s">
        <v>173</v>
      </c>
      <c r="P3264">
        <v>0</v>
      </c>
      <c r="Q3264" t="s">
        <v>174</v>
      </c>
      <c r="R3264" t="s">
        <v>51</v>
      </c>
      <c r="S3264">
        <v>1944</v>
      </c>
      <c r="T3264">
        <v>-777</v>
      </c>
      <c r="U3264" s="1">
        <v>16176</v>
      </c>
      <c r="V3264" s="2">
        <v>16176</v>
      </c>
      <c r="Z3264">
        <v>0</v>
      </c>
      <c r="AA3264">
        <v>-888</v>
      </c>
      <c r="AB3264">
        <v>-888</v>
      </c>
      <c r="AC3264">
        <v>-888</v>
      </c>
      <c r="AF3264">
        <v>2011</v>
      </c>
      <c r="AG3264">
        <v>2015</v>
      </c>
      <c r="AO3264" t="b">
        <v>0</v>
      </c>
      <c r="AT3264">
        <v>1807</v>
      </c>
      <c r="AU3264">
        <f t="shared" si="152"/>
        <v>4.9509999999999996</v>
      </c>
    </row>
    <row r="3265" spans="1:47" x14ac:dyDescent="0.3">
      <c r="A3265">
        <v>3264</v>
      </c>
      <c r="B3265" t="s">
        <v>13499</v>
      </c>
      <c r="C3265" t="s">
        <v>13500</v>
      </c>
      <c r="D3265">
        <v>817</v>
      </c>
      <c r="E3265" t="s">
        <v>13501</v>
      </c>
      <c r="F3265" t="str">
        <f>VLOOKUP(E3265,country_continent!A:C,2,FALSE)</f>
        <v>Republic of Vietnam</v>
      </c>
      <c r="G3265" t="str">
        <f>VLOOKUP(E3265,country_continent!A:C,3,FALSE)</f>
        <v>Asia</v>
      </c>
      <c r="H3265" t="s">
        <v>13502</v>
      </c>
      <c r="I3265" s="1">
        <v>19736</v>
      </c>
      <c r="J3265" s="3">
        <f t="shared" si="150"/>
        <v>19736</v>
      </c>
      <c r="K3265" s="1">
        <v>19891</v>
      </c>
      <c r="L3265" s="3">
        <f t="shared" si="151"/>
        <v>19891</v>
      </c>
      <c r="M3265" t="s">
        <v>49</v>
      </c>
      <c r="N3265" t="s">
        <v>49</v>
      </c>
      <c r="O3265" t="s">
        <v>49</v>
      </c>
      <c r="P3265">
        <v>0</v>
      </c>
      <c r="Q3265" t="s">
        <v>1453</v>
      </c>
      <c r="R3265" t="s">
        <v>51</v>
      </c>
      <c r="S3265">
        <v>1915</v>
      </c>
      <c r="T3265">
        <v>1990</v>
      </c>
      <c r="Z3265">
        <v>0</v>
      </c>
      <c r="AA3265">
        <v>1</v>
      </c>
      <c r="AB3265">
        <v>0</v>
      </c>
      <c r="AC3265">
        <v>-666</v>
      </c>
      <c r="AF3265">
        <v>1954</v>
      </c>
      <c r="AG3265">
        <v>1954</v>
      </c>
      <c r="AO3265" t="b">
        <v>0</v>
      </c>
      <c r="AT3265">
        <v>155</v>
      </c>
      <c r="AU3265">
        <f t="shared" si="152"/>
        <v>0.42499999999999999</v>
      </c>
    </row>
    <row r="3266" spans="1:47" x14ac:dyDescent="0.3">
      <c r="A3266">
        <v>3265</v>
      </c>
      <c r="B3266" t="s">
        <v>13503</v>
      </c>
      <c r="C3266" t="s">
        <v>13504</v>
      </c>
      <c r="D3266">
        <v>817</v>
      </c>
      <c r="E3266" t="s">
        <v>13501</v>
      </c>
      <c r="F3266" t="str">
        <f>VLOOKUP(E3266,country_continent!A:C,2,FALSE)</f>
        <v>Republic of Vietnam</v>
      </c>
      <c r="G3266" t="str">
        <f>VLOOKUP(E3266,country_continent!A:C,3,FALSE)</f>
        <v>Asia</v>
      </c>
      <c r="H3266" t="s">
        <v>13505</v>
      </c>
      <c r="I3266" s="1">
        <v>19891</v>
      </c>
      <c r="J3266" s="3">
        <f t="shared" ref="J3266:J3329" si="153">IF(ISNUMBER(SEARCH("-", I3266)), SUBSTITUTE(I3266, "-", "/"), I3266)</f>
        <v>19891</v>
      </c>
      <c r="K3266" s="1">
        <v>19901</v>
      </c>
      <c r="L3266" s="3">
        <f t="shared" ref="L3266:L3329" si="154">IF(ISNUMBER(SEARCH("-", K3266)), SUBSTITUTE(K3266, "-", "/"), K3266)</f>
        <v>19901</v>
      </c>
      <c r="M3266" t="s">
        <v>49</v>
      </c>
      <c r="N3266" t="s">
        <v>49</v>
      </c>
      <c r="O3266" t="s">
        <v>49</v>
      </c>
      <c r="P3266">
        <v>0</v>
      </c>
      <c r="Q3266" t="s">
        <v>50</v>
      </c>
      <c r="R3266" t="s">
        <v>51</v>
      </c>
      <c r="S3266">
        <v>1909</v>
      </c>
      <c r="T3266">
        <v>1979</v>
      </c>
      <c r="Z3266">
        <v>0</v>
      </c>
      <c r="AA3266">
        <v>1</v>
      </c>
      <c r="AB3266">
        <v>0</v>
      </c>
      <c r="AC3266">
        <v>0</v>
      </c>
      <c r="AF3266">
        <v>1954</v>
      </c>
      <c r="AG3266">
        <v>1954</v>
      </c>
      <c r="AO3266" t="b">
        <v>0</v>
      </c>
      <c r="AT3266">
        <v>10</v>
      </c>
      <c r="AU3266">
        <f t="shared" si="152"/>
        <v>2.7E-2</v>
      </c>
    </row>
    <row r="3267" spans="1:47" x14ac:dyDescent="0.3">
      <c r="A3267">
        <v>3266</v>
      </c>
      <c r="B3267" t="s">
        <v>13506</v>
      </c>
      <c r="C3267" t="s">
        <v>13507</v>
      </c>
      <c r="D3267">
        <v>817</v>
      </c>
      <c r="E3267" t="s">
        <v>13501</v>
      </c>
      <c r="F3267" t="str">
        <f>VLOOKUP(E3267,country_continent!A:C,2,FALSE)</f>
        <v>Republic of Vietnam</v>
      </c>
      <c r="G3267" t="str">
        <f>VLOOKUP(E3267,country_continent!A:C,3,FALSE)</f>
        <v>Asia</v>
      </c>
      <c r="H3267" t="s">
        <v>13508</v>
      </c>
      <c r="I3267" s="1">
        <v>19901</v>
      </c>
      <c r="J3267" s="3">
        <f t="shared" si="153"/>
        <v>19901</v>
      </c>
      <c r="K3267" s="1">
        <v>23316</v>
      </c>
      <c r="L3267" s="3">
        <f t="shared" si="154"/>
        <v>23316</v>
      </c>
      <c r="M3267" t="s">
        <v>67</v>
      </c>
      <c r="N3267" t="s">
        <v>67</v>
      </c>
      <c r="O3267" t="s">
        <v>376</v>
      </c>
      <c r="P3267">
        <v>0</v>
      </c>
      <c r="Q3267" t="s">
        <v>69</v>
      </c>
      <c r="R3267" t="s">
        <v>51</v>
      </c>
      <c r="S3267">
        <v>1901</v>
      </c>
      <c r="T3267">
        <v>1963</v>
      </c>
      <c r="U3267" s="1">
        <v>369</v>
      </c>
      <c r="V3267" s="2">
        <v>369</v>
      </c>
      <c r="W3267" s="1">
        <v>23316</v>
      </c>
      <c r="X3267" s="2">
        <v>23316</v>
      </c>
      <c r="Y3267" t="s">
        <v>13509</v>
      </c>
      <c r="Z3267">
        <v>1</v>
      </c>
      <c r="AA3267">
        <v>3</v>
      </c>
      <c r="AB3267">
        <v>6</v>
      </c>
      <c r="AC3267">
        <v>3</v>
      </c>
      <c r="AF3267">
        <v>1954</v>
      </c>
      <c r="AG3267">
        <v>1963</v>
      </c>
      <c r="AO3267" t="b">
        <v>0</v>
      </c>
      <c r="AT3267">
        <v>3415</v>
      </c>
      <c r="AU3267">
        <f t="shared" si="152"/>
        <v>9.3559999999999999</v>
      </c>
    </row>
    <row r="3268" spans="1:47" x14ac:dyDescent="0.3">
      <c r="A3268">
        <v>3267</v>
      </c>
      <c r="B3268" t="s">
        <v>13510</v>
      </c>
      <c r="C3268" t="s">
        <v>13511</v>
      </c>
      <c r="D3268">
        <v>817</v>
      </c>
      <c r="E3268" t="s">
        <v>13501</v>
      </c>
      <c r="F3268" t="str">
        <f>VLOOKUP(E3268,country_continent!A:C,2,FALSE)</f>
        <v>Republic of Vietnam</v>
      </c>
      <c r="G3268" t="str">
        <f>VLOOKUP(E3268,country_continent!A:C,3,FALSE)</f>
        <v>Asia</v>
      </c>
      <c r="H3268" t="s">
        <v>13512</v>
      </c>
      <c r="I3268" s="1">
        <v>23316</v>
      </c>
      <c r="J3268" s="3">
        <f t="shared" si="153"/>
        <v>23316</v>
      </c>
      <c r="K3268" s="1">
        <v>23406</v>
      </c>
      <c r="L3268" s="3">
        <f t="shared" si="154"/>
        <v>23406</v>
      </c>
      <c r="M3268" t="s">
        <v>67</v>
      </c>
      <c r="N3268" t="s">
        <v>67</v>
      </c>
      <c r="O3268" t="s">
        <v>376</v>
      </c>
      <c r="P3268">
        <v>0</v>
      </c>
      <c r="Q3268" t="s">
        <v>362</v>
      </c>
      <c r="R3268" t="s">
        <v>51</v>
      </c>
      <c r="S3268">
        <v>1916</v>
      </c>
      <c r="T3268">
        <v>2001</v>
      </c>
      <c r="U3268" s="1">
        <v>5894</v>
      </c>
      <c r="V3268" s="2">
        <v>5894</v>
      </c>
      <c r="W3268" s="1">
        <v>37109</v>
      </c>
      <c r="X3268" s="2">
        <v>37109</v>
      </c>
      <c r="Z3268">
        <v>1</v>
      </c>
      <c r="AA3268">
        <v>3</v>
      </c>
      <c r="AB3268">
        <v>6</v>
      </c>
      <c r="AC3268">
        <v>1</v>
      </c>
      <c r="AF3268">
        <v>1963</v>
      </c>
      <c r="AG3268">
        <v>1964</v>
      </c>
      <c r="AO3268" t="b">
        <v>0</v>
      </c>
      <c r="AT3268">
        <v>90</v>
      </c>
      <c r="AU3268">
        <f t="shared" ref="AU3268:AU3331" si="155">ROUND(AT3268/365,3)</f>
        <v>0.247</v>
      </c>
    </row>
    <row r="3269" spans="1:47" x14ac:dyDescent="0.3">
      <c r="A3269">
        <v>3268</v>
      </c>
      <c r="B3269" t="s">
        <v>13513</v>
      </c>
      <c r="C3269" t="s">
        <v>13514</v>
      </c>
      <c r="D3269">
        <v>817</v>
      </c>
      <c r="E3269" t="s">
        <v>13501</v>
      </c>
      <c r="F3269" t="str">
        <f>VLOOKUP(E3269,country_continent!A:C,2,FALSE)</f>
        <v>Republic of Vietnam</v>
      </c>
      <c r="G3269" t="str">
        <f>VLOOKUP(E3269,country_continent!A:C,3,FALSE)</f>
        <v>Asia</v>
      </c>
      <c r="H3269" t="s">
        <v>13515</v>
      </c>
      <c r="I3269" s="1">
        <v>23406</v>
      </c>
      <c r="J3269" s="3">
        <f t="shared" si="153"/>
        <v>23406</v>
      </c>
      <c r="K3269" s="1">
        <v>23685</v>
      </c>
      <c r="L3269" s="3">
        <f t="shared" si="154"/>
        <v>23685</v>
      </c>
      <c r="M3269" t="s">
        <v>67</v>
      </c>
      <c r="N3269" t="s">
        <v>67</v>
      </c>
      <c r="O3269" t="s">
        <v>613</v>
      </c>
      <c r="P3269">
        <v>0</v>
      </c>
      <c r="Q3269" t="s">
        <v>362</v>
      </c>
      <c r="R3269" t="s">
        <v>51</v>
      </c>
      <c r="S3269">
        <v>1927</v>
      </c>
      <c r="T3269">
        <v>-777</v>
      </c>
      <c r="U3269" s="1">
        <v>10174</v>
      </c>
      <c r="V3269" s="2">
        <v>10174</v>
      </c>
      <c r="Y3269" t="s">
        <v>13516</v>
      </c>
      <c r="Z3269">
        <v>1</v>
      </c>
      <c r="AA3269">
        <v>3</v>
      </c>
      <c r="AB3269">
        <v>2</v>
      </c>
      <c r="AC3269">
        <v>1</v>
      </c>
      <c r="AF3269">
        <v>1964</v>
      </c>
      <c r="AG3269">
        <v>1964</v>
      </c>
      <c r="AO3269" t="b">
        <v>0</v>
      </c>
      <c r="AT3269">
        <v>279</v>
      </c>
      <c r="AU3269">
        <f t="shared" si="155"/>
        <v>0.76400000000000001</v>
      </c>
    </row>
    <row r="3270" spans="1:47" x14ac:dyDescent="0.3">
      <c r="A3270">
        <v>3269</v>
      </c>
      <c r="B3270" t="s">
        <v>13517</v>
      </c>
      <c r="C3270" t="s">
        <v>13518</v>
      </c>
      <c r="D3270">
        <v>817</v>
      </c>
      <c r="E3270" t="s">
        <v>13501</v>
      </c>
      <c r="F3270" t="str">
        <f>VLOOKUP(E3270,country_continent!A:C,2,FALSE)</f>
        <v>Republic of Vietnam</v>
      </c>
      <c r="G3270" t="str">
        <f>VLOOKUP(E3270,country_continent!A:C,3,FALSE)</f>
        <v>Asia</v>
      </c>
      <c r="H3270" t="s">
        <v>13519</v>
      </c>
      <c r="I3270" s="1">
        <v>23685</v>
      </c>
      <c r="J3270" s="3">
        <f t="shared" si="153"/>
        <v>23685</v>
      </c>
      <c r="K3270" s="1">
        <v>23768</v>
      </c>
      <c r="L3270" s="3">
        <f t="shared" si="154"/>
        <v>23768</v>
      </c>
      <c r="M3270" t="s">
        <v>67</v>
      </c>
      <c r="N3270" t="s">
        <v>67</v>
      </c>
      <c r="O3270" t="s">
        <v>376</v>
      </c>
      <c r="P3270">
        <v>0</v>
      </c>
      <c r="Q3270" t="s">
        <v>50</v>
      </c>
      <c r="R3270" t="s">
        <v>51</v>
      </c>
      <c r="S3270">
        <v>1903</v>
      </c>
      <c r="T3270">
        <v>1982</v>
      </c>
      <c r="U3270" s="1">
        <v>1431</v>
      </c>
      <c r="V3270" s="2">
        <v>1431</v>
      </c>
      <c r="Z3270">
        <v>1</v>
      </c>
      <c r="AA3270">
        <v>3</v>
      </c>
      <c r="AB3270">
        <v>6</v>
      </c>
      <c r="AC3270">
        <v>0</v>
      </c>
      <c r="AF3270">
        <v>1964</v>
      </c>
      <c r="AG3270">
        <v>1965</v>
      </c>
      <c r="AO3270" t="b">
        <v>0</v>
      </c>
      <c r="AT3270">
        <v>83</v>
      </c>
      <c r="AU3270">
        <f t="shared" si="155"/>
        <v>0.22700000000000001</v>
      </c>
    </row>
    <row r="3271" spans="1:47" x14ac:dyDescent="0.3">
      <c r="A3271">
        <v>3270</v>
      </c>
      <c r="B3271" t="s">
        <v>13520</v>
      </c>
      <c r="C3271" t="s">
        <v>13521</v>
      </c>
      <c r="D3271">
        <v>817</v>
      </c>
      <c r="E3271" t="s">
        <v>13501</v>
      </c>
      <c r="F3271" t="str">
        <f>VLOOKUP(E3271,country_continent!A:C,2,FALSE)</f>
        <v>Republic of Vietnam</v>
      </c>
      <c r="G3271" t="str">
        <f>VLOOKUP(E3271,country_continent!A:C,3,FALSE)</f>
        <v>Asia</v>
      </c>
      <c r="H3271" t="s">
        <v>13522</v>
      </c>
      <c r="I3271" s="1">
        <v>23768</v>
      </c>
      <c r="J3271" s="3">
        <f t="shared" si="153"/>
        <v>23768</v>
      </c>
      <c r="K3271" s="1">
        <v>23793</v>
      </c>
      <c r="L3271" s="3">
        <f t="shared" si="154"/>
        <v>23793</v>
      </c>
      <c r="M3271" t="s">
        <v>67</v>
      </c>
      <c r="N3271" t="s">
        <v>67</v>
      </c>
      <c r="O3271" t="s">
        <v>389</v>
      </c>
      <c r="P3271">
        <v>1</v>
      </c>
      <c r="Q3271" t="s">
        <v>362</v>
      </c>
      <c r="R3271" t="s">
        <v>51</v>
      </c>
      <c r="S3271">
        <v>1927</v>
      </c>
      <c r="T3271">
        <v>-777</v>
      </c>
      <c r="U3271" s="1">
        <v>10174</v>
      </c>
      <c r="V3271" s="2">
        <v>10174</v>
      </c>
      <c r="Y3271" t="s">
        <v>13516</v>
      </c>
      <c r="Z3271">
        <v>1</v>
      </c>
      <c r="AA3271">
        <v>3</v>
      </c>
      <c r="AB3271">
        <v>16</v>
      </c>
      <c r="AC3271">
        <v>1</v>
      </c>
      <c r="AF3271">
        <v>1965</v>
      </c>
      <c r="AG3271">
        <v>1965</v>
      </c>
      <c r="AO3271" t="b">
        <v>0</v>
      </c>
      <c r="AT3271">
        <v>25</v>
      </c>
      <c r="AU3271">
        <f t="shared" si="155"/>
        <v>6.8000000000000005E-2</v>
      </c>
    </row>
    <row r="3272" spans="1:47" x14ac:dyDescent="0.3">
      <c r="A3272">
        <v>3271</v>
      </c>
      <c r="B3272" t="s">
        <v>13523</v>
      </c>
      <c r="C3272" t="s">
        <v>13504</v>
      </c>
      <c r="D3272">
        <v>817</v>
      </c>
      <c r="E3272" t="s">
        <v>13501</v>
      </c>
      <c r="F3272" t="str">
        <f>VLOOKUP(E3272,country_continent!A:C,2,FALSE)</f>
        <v>Republic of Vietnam</v>
      </c>
      <c r="G3272" t="str">
        <f>VLOOKUP(E3272,country_continent!A:C,3,FALSE)</f>
        <v>Asia</v>
      </c>
      <c r="H3272" t="s">
        <v>13505</v>
      </c>
      <c r="I3272" s="1">
        <v>23793</v>
      </c>
      <c r="J3272" s="3">
        <f t="shared" si="153"/>
        <v>23793</v>
      </c>
      <c r="K3272" s="1">
        <v>23905</v>
      </c>
      <c r="L3272" s="3">
        <f t="shared" si="154"/>
        <v>23905</v>
      </c>
      <c r="M3272" t="s">
        <v>67</v>
      </c>
      <c r="N3272" t="s">
        <v>67</v>
      </c>
      <c r="O3272" t="s">
        <v>376</v>
      </c>
      <c r="P3272">
        <v>1</v>
      </c>
      <c r="Q3272" t="s">
        <v>50</v>
      </c>
      <c r="R3272" t="s">
        <v>51</v>
      </c>
      <c r="S3272">
        <v>1909</v>
      </c>
      <c r="T3272">
        <v>1979</v>
      </c>
      <c r="Z3272">
        <v>1</v>
      </c>
      <c r="AA3272">
        <v>3</v>
      </c>
      <c r="AB3272">
        <v>6</v>
      </c>
      <c r="AC3272">
        <v>0</v>
      </c>
      <c r="AF3272">
        <v>1965</v>
      </c>
      <c r="AG3272">
        <v>1965</v>
      </c>
      <c r="AO3272" t="b">
        <v>0</v>
      </c>
      <c r="AT3272">
        <v>112</v>
      </c>
      <c r="AU3272">
        <f t="shared" si="155"/>
        <v>0.307</v>
      </c>
    </row>
    <row r="3273" spans="1:47" x14ac:dyDescent="0.3">
      <c r="A3273">
        <v>3272</v>
      </c>
      <c r="B3273" t="s">
        <v>13524</v>
      </c>
      <c r="C3273" t="s">
        <v>13525</v>
      </c>
      <c r="D3273">
        <v>817</v>
      </c>
      <c r="E3273" t="s">
        <v>13501</v>
      </c>
      <c r="F3273" t="str">
        <f>VLOOKUP(E3273,country_continent!A:C,2,FALSE)</f>
        <v>Republic of Vietnam</v>
      </c>
      <c r="G3273" t="str">
        <f>VLOOKUP(E3273,country_continent!A:C,3,FALSE)</f>
        <v>Asia</v>
      </c>
      <c r="H3273" t="s">
        <v>13526</v>
      </c>
      <c r="I3273" s="1">
        <v>23907</v>
      </c>
      <c r="J3273" s="3">
        <f t="shared" si="153"/>
        <v>23907</v>
      </c>
      <c r="K3273" s="1">
        <v>27505</v>
      </c>
      <c r="L3273" s="3">
        <f t="shared" si="154"/>
        <v>27505</v>
      </c>
      <c r="M3273" t="s">
        <v>67</v>
      </c>
      <c r="N3273" t="s">
        <v>633</v>
      </c>
      <c r="O3273" t="s">
        <v>634</v>
      </c>
      <c r="P3273">
        <v>0</v>
      </c>
      <c r="Q3273" t="s">
        <v>362</v>
      </c>
      <c r="R3273" t="s">
        <v>51</v>
      </c>
      <c r="S3273">
        <v>1923</v>
      </c>
      <c r="T3273">
        <v>2001</v>
      </c>
      <c r="U3273" s="1">
        <v>8526</v>
      </c>
      <c r="V3273" s="2">
        <v>8526</v>
      </c>
      <c r="W3273" s="1">
        <v>37163</v>
      </c>
      <c r="X3273" s="2">
        <v>37163</v>
      </c>
      <c r="Z3273">
        <v>1</v>
      </c>
      <c r="AA3273">
        <v>4</v>
      </c>
      <c r="AB3273">
        <v>9</v>
      </c>
      <c r="AC3273">
        <v>1</v>
      </c>
      <c r="AF3273">
        <v>1965</v>
      </c>
      <c r="AG3273">
        <v>1975</v>
      </c>
      <c r="AO3273" t="b">
        <v>0</v>
      </c>
      <c r="AT3273">
        <v>3598</v>
      </c>
      <c r="AU3273">
        <f t="shared" si="155"/>
        <v>9.8580000000000005</v>
      </c>
    </row>
    <row r="3274" spans="1:47" x14ac:dyDescent="0.3">
      <c r="A3274">
        <v>3273</v>
      </c>
      <c r="B3274" t="s">
        <v>13527</v>
      </c>
      <c r="C3274" t="s">
        <v>13511</v>
      </c>
      <c r="D3274">
        <v>817</v>
      </c>
      <c r="E3274" t="s">
        <v>13501</v>
      </c>
      <c r="F3274" t="str">
        <f>VLOOKUP(E3274,country_continent!A:C,2,FALSE)</f>
        <v>Republic of Vietnam</v>
      </c>
      <c r="G3274" t="str">
        <f>VLOOKUP(E3274,country_continent!A:C,3,FALSE)</f>
        <v>Asia</v>
      </c>
      <c r="H3274" t="s">
        <v>13512</v>
      </c>
      <c r="I3274" s="1">
        <v>27512</v>
      </c>
      <c r="J3274" s="3">
        <f t="shared" si="153"/>
        <v>27512</v>
      </c>
      <c r="K3274" s="1">
        <v>27514</v>
      </c>
      <c r="L3274" s="3">
        <f t="shared" si="154"/>
        <v>27514</v>
      </c>
      <c r="M3274" t="s">
        <v>49</v>
      </c>
      <c r="N3274" t="s">
        <v>633</v>
      </c>
      <c r="O3274" t="s">
        <v>634</v>
      </c>
      <c r="P3274">
        <v>1</v>
      </c>
      <c r="Q3274" t="s">
        <v>463</v>
      </c>
      <c r="R3274" t="s">
        <v>51</v>
      </c>
      <c r="S3274">
        <v>1916</v>
      </c>
      <c r="T3274">
        <v>2001</v>
      </c>
      <c r="U3274" s="1">
        <v>5894</v>
      </c>
      <c r="V3274" s="2">
        <v>5894</v>
      </c>
      <c r="W3274" s="1">
        <v>37109</v>
      </c>
      <c r="X3274" s="2">
        <v>37109</v>
      </c>
      <c r="Z3274">
        <v>0</v>
      </c>
      <c r="AA3274">
        <v>4</v>
      </c>
      <c r="AB3274">
        <v>9</v>
      </c>
      <c r="AC3274">
        <v>2</v>
      </c>
      <c r="AF3274">
        <v>1975</v>
      </c>
      <c r="AG3274">
        <v>1975</v>
      </c>
      <c r="AO3274" t="b">
        <v>0</v>
      </c>
      <c r="AT3274">
        <v>2</v>
      </c>
      <c r="AU3274">
        <f t="shared" si="155"/>
        <v>5.0000000000000001E-3</v>
      </c>
    </row>
    <row r="3275" spans="1:47" x14ac:dyDescent="0.3">
      <c r="A3275">
        <v>3274</v>
      </c>
      <c r="B3275" t="s">
        <v>13528</v>
      </c>
      <c r="C3275" t="s">
        <v>13529</v>
      </c>
      <c r="D3275">
        <v>820</v>
      </c>
      <c r="E3275" t="s">
        <v>13530</v>
      </c>
      <c r="F3275" t="str">
        <f>VLOOKUP(E3275,country_continent!A:C,2,FALSE)</f>
        <v>Malaysia</v>
      </c>
      <c r="G3275" t="str">
        <f>VLOOKUP(E3275,country_continent!A:C,3,FALSE)</f>
        <v>Asia</v>
      </c>
      <c r="H3275" t="s">
        <v>13531</v>
      </c>
      <c r="I3275" s="1">
        <v>21063</v>
      </c>
      <c r="J3275" s="3">
        <f t="shared" si="153"/>
        <v>21063</v>
      </c>
      <c r="K3275" s="1">
        <v>21655</v>
      </c>
      <c r="L3275" s="3">
        <f t="shared" si="154"/>
        <v>21655</v>
      </c>
      <c r="M3275" t="s">
        <v>49</v>
      </c>
      <c r="N3275" t="s">
        <v>49</v>
      </c>
      <c r="O3275" t="s">
        <v>49</v>
      </c>
      <c r="P3275">
        <v>0</v>
      </c>
      <c r="Q3275" t="s">
        <v>50</v>
      </c>
      <c r="R3275" t="s">
        <v>51</v>
      </c>
      <c r="S3275">
        <v>1895</v>
      </c>
      <c r="T3275">
        <v>1990</v>
      </c>
      <c r="U3275" t="s">
        <v>13532</v>
      </c>
      <c r="V3275" t="s">
        <v>13533</v>
      </c>
      <c r="W3275" s="1">
        <v>33213</v>
      </c>
      <c r="X3275" s="2">
        <v>33213</v>
      </c>
      <c r="Y3275" t="s">
        <v>13534</v>
      </c>
      <c r="Z3275">
        <v>0</v>
      </c>
      <c r="AA3275">
        <v>1</v>
      </c>
      <c r="AB3275">
        <v>0</v>
      </c>
      <c r="AC3275">
        <v>0</v>
      </c>
      <c r="AF3275">
        <v>1957</v>
      </c>
      <c r="AG3275">
        <v>1959</v>
      </c>
      <c r="AO3275" t="b">
        <v>1</v>
      </c>
      <c r="AP3275" t="s">
        <v>4202</v>
      </c>
      <c r="AQ3275">
        <v>1963</v>
      </c>
      <c r="AR3275">
        <v>1983</v>
      </c>
      <c r="AS3275" t="s">
        <v>13535</v>
      </c>
      <c r="AT3275">
        <v>1.6208076659821999</v>
      </c>
      <c r="AU3275">
        <f t="shared" si="155"/>
        <v>4.0000000000000001E-3</v>
      </c>
    </row>
    <row r="3276" spans="1:47" x14ac:dyDescent="0.3">
      <c r="A3276">
        <v>3275</v>
      </c>
      <c r="B3276" t="s">
        <v>13536</v>
      </c>
      <c r="C3276" t="s">
        <v>13537</v>
      </c>
      <c r="D3276">
        <v>820</v>
      </c>
      <c r="E3276" t="s">
        <v>13530</v>
      </c>
      <c r="F3276" t="str">
        <f>VLOOKUP(E3276,country_continent!A:C,2,FALSE)</f>
        <v>Malaysia</v>
      </c>
      <c r="G3276" t="str">
        <f>VLOOKUP(E3276,country_continent!A:C,3,FALSE)</f>
        <v>Asia</v>
      </c>
      <c r="H3276" t="s">
        <v>13538</v>
      </c>
      <c r="I3276" s="1">
        <v>21655</v>
      </c>
      <c r="J3276" s="3">
        <f t="shared" si="153"/>
        <v>21655</v>
      </c>
      <c r="K3276" s="1">
        <v>21783</v>
      </c>
      <c r="L3276" s="3">
        <f t="shared" si="154"/>
        <v>21783</v>
      </c>
      <c r="M3276" t="s">
        <v>49</v>
      </c>
      <c r="N3276" t="s">
        <v>49</v>
      </c>
      <c r="O3276" t="s">
        <v>49</v>
      </c>
      <c r="P3276">
        <v>0</v>
      </c>
      <c r="Q3276" t="s">
        <v>50</v>
      </c>
      <c r="R3276" t="s">
        <v>51</v>
      </c>
      <c r="S3276">
        <v>1922</v>
      </c>
      <c r="T3276">
        <v>1976</v>
      </c>
      <c r="U3276" s="1">
        <v>8106</v>
      </c>
      <c r="V3276" s="2">
        <v>8106</v>
      </c>
      <c r="W3276" s="1">
        <v>27773</v>
      </c>
      <c r="X3276" s="2">
        <v>27773</v>
      </c>
      <c r="Y3276" t="s">
        <v>13539</v>
      </c>
      <c r="Z3276">
        <v>0</v>
      </c>
      <c r="AA3276">
        <v>1</v>
      </c>
      <c r="AB3276">
        <v>0</v>
      </c>
      <c r="AC3276">
        <v>0</v>
      </c>
      <c r="AD3276" t="s">
        <v>13540</v>
      </c>
      <c r="AE3276">
        <v>0</v>
      </c>
      <c r="AF3276">
        <v>1959</v>
      </c>
      <c r="AG3276">
        <v>1959</v>
      </c>
      <c r="AO3276" t="b">
        <v>1</v>
      </c>
      <c r="AP3276" t="s">
        <v>4202</v>
      </c>
      <c r="AQ3276">
        <v>1963</v>
      </c>
      <c r="AR3276">
        <v>1983</v>
      </c>
      <c r="AS3276" t="s">
        <v>13541</v>
      </c>
      <c r="AT3276">
        <v>0.35044490075290802</v>
      </c>
      <c r="AU3276">
        <f t="shared" si="155"/>
        <v>1E-3</v>
      </c>
    </row>
    <row r="3277" spans="1:47" x14ac:dyDescent="0.3">
      <c r="A3277">
        <v>3276</v>
      </c>
      <c r="B3277" t="s">
        <v>13542</v>
      </c>
      <c r="C3277" t="s">
        <v>13529</v>
      </c>
      <c r="D3277">
        <v>820</v>
      </c>
      <c r="E3277" t="s">
        <v>13530</v>
      </c>
      <c r="F3277" t="str">
        <f>VLOOKUP(E3277,country_continent!A:C,2,FALSE)</f>
        <v>Malaysia</v>
      </c>
      <c r="G3277" t="str">
        <f>VLOOKUP(E3277,country_continent!A:C,3,FALSE)</f>
        <v>Asia</v>
      </c>
      <c r="H3277" t="s">
        <v>13531</v>
      </c>
      <c r="I3277" s="1">
        <v>21783</v>
      </c>
      <c r="J3277" s="3">
        <f t="shared" si="153"/>
        <v>21783</v>
      </c>
      <c r="K3277" s="1">
        <v>25833</v>
      </c>
      <c r="L3277" s="3">
        <f t="shared" si="154"/>
        <v>25833</v>
      </c>
      <c r="M3277" t="s">
        <v>49</v>
      </c>
      <c r="N3277" t="s">
        <v>49</v>
      </c>
      <c r="O3277" t="s">
        <v>49</v>
      </c>
      <c r="P3277">
        <v>1</v>
      </c>
      <c r="Q3277" t="s">
        <v>50</v>
      </c>
      <c r="R3277" t="s">
        <v>51</v>
      </c>
      <c r="S3277">
        <v>1895</v>
      </c>
      <c r="T3277">
        <v>1990</v>
      </c>
      <c r="U3277" t="s">
        <v>13532</v>
      </c>
      <c r="V3277" t="s">
        <v>13533</v>
      </c>
      <c r="W3277" s="1">
        <v>33213</v>
      </c>
      <c r="X3277" s="2">
        <v>33213</v>
      </c>
      <c r="Y3277" t="s">
        <v>13534</v>
      </c>
      <c r="Z3277">
        <v>0</v>
      </c>
      <c r="AA3277">
        <v>1</v>
      </c>
      <c r="AB3277">
        <v>0</v>
      </c>
      <c r="AC3277">
        <v>0</v>
      </c>
      <c r="AF3277">
        <v>1959</v>
      </c>
      <c r="AG3277">
        <v>1970</v>
      </c>
      <c r="AO3277" t="b">
        <v>1</v>
      </c>
      <c r="AP3277" t="s">
        <v>4202</v>
      </c>
      <c r="AQ3277">
        <v>1963</v>
      </c>
      <c r="AR3277">
        <v>1983</v>
      </c>
      <c r="AS3277" t="s">
        <v>13543</v>
      </c>
      <c r="AT3277">
        <v>11.088295687884999</v>
      </c>
      <c r="AU3277">
        <f t="shared" si="155"/>
        <v>0.03</v>
      </c>
    </row>
    <row r="3278" spans="1:47" x14ac:dyDescent="0.3">
      <c r="A3278">
        <v>3277</v>
      </c>
      <c r="B3278" t="s">
        <v>13544</v>
      </c>
      <c r="C3278" t="s">
        <v>13537</v>
      </c>
      <c r="D3278">
        <v>820</v>
      </c>
      <c r="E3278" t="s">
        <v>13530</v>
      </c>
      <c r="F3278" t="str">
        <f>VLOOKUP(E3278,country_continent!A:C,2,FALSE)</f>
        <v>Malaysia</v>
      </c>
      <c r="G3278" t="str">
        <f>VLOOKUP(E3278,country_continent!A:C,3,FALSE)</f>
        <v>Asia</v>
      </c>
      <c r="H3278" t="s">
        <v>13538</v>
      </c>
      <c r="I3278" s="1">
        <v>25833</v>
      </c>
      <c r="J3278" s="3">
        <f t="shared" si="153"/>
        <v>25833</v>
      </c>
      <c r="K3278" s="1">
        <v>27773</v>
      </c>
      <c r="L3278" s="3">
        <f t="shared" si="154"/>
        <v>27773</v>
      </c>
      <c r="M3278" t="s">
        <v>49</v>
      </c>
      <c r="N3278" t="s">
        <v>110</v>
      </c>
      <c r="O3278" t="s">
        <v>49</v>
      </c>
      <c r="P3278">
        <v>1</v>
      </c>
      <c r="Q3278" t="s">
        <v>111</v>
      </c>
      <c r="R3278" t="s">
        <v>51</v>
      </c>
      <c r="S3278">
        <v>1922</v>
      </c>
      <c r="T3278">
        <v>1976</v>
      </c>
      <c r="U3278" s="1">
        <v>8106</v>
      </c>
      <c r="V3278" s="2">
        <v>8106</v>
      </c>
      <c r="W3278" s="1">
        <v>27773</v>
      </c>
      <c r="X3278" s="2">
        <v>27773</v>
      </c>
      <c r="Y3278" t="s">
        <v>13539</v>
      </c>
      <c r="Z3278">
        <v>0</v>
      </c>
      <c r="AA3278">
        <v>2</v>
      </c>
      <c r="AB3278">
        <v>0</v>
      </c>
      <c r="AC3278">
        <v>-777</v>
      </c>
      <c r="AD3278" t="s">
        <v>13540</v>
      </c>
      <c r="AE3278">
        <v>0</v>
      </c>
      <c r="AF3278">
        <v>1970</v>
      </c>
      <c r="AG3278">
        <v>1976</v>
      </c>
      <c r="AO3278" t="b">
        <v>1</v>
      </c>
      <c r="AP3278" t="s">
        <v>4202</v>
      </c>
      <c r="AQ3278">
        <v>1963</v>
      </c>
      <c r="AR3278">
        <v>1983</v>
      </c>
      <c r="AS3278" t="s">
        <v>13545</v>
      </c>
      <c r="AT3278">
        <v>5.3114305270362703</v>
      </c>
      <c r="AU3278">
        <f t="shared" si="155"/>
        <v>1.4999999999999999E-2</v>
      </c>
    </row>
    <row r="3279" spans="1:47" x14ac:dyDescent="0.3">
      <c r="A3279">
        <v>3278</v>
      </c>
      <c r="B3279" t="s">
        <v>13546</v>
      </c>
      <c r="C3279" t="s">
        <v>13547</v>
      </c>
      <c r="D3279">
        <v>820</v>
      </c>
      <c r="E3279" t="s">
        <v>13530</v>
      </c>
      <c r="F3279" t="str">
        <f>VLOOKUP(E3279,country_continent!A:C,2,FALSE)</f>
        <v>Malaysia</v>
      </c>
      <c r="G3279" t="str">
        <f>VLOOKUP(E3279,country_continent!A:C,3,FALSE)</f>
        <v>Asia</v>
      </c>
      <c r="H3279" t="s">
        <v>13548</v>
      </c>
      <c r="I3279" s="1">
        <v>27773</v>
      </c>
      <c r="J3279" s="3">
        <f t="shared" si="153"/>
        <v>27773</v>
      </c>
      <c r="K3279" s="1">
        <v>29783</v>
      </c>
      <c r="L3279" s="3">
        <f t="shared" si="154"/>
        <v>29783</v>
      </c>
      <c r="M3279" t="s">
        <v>49</v>
      </c>
      <c r="N3279" t="s">
        <v>228</v>
      </c>
      <c r="O3279" t="s">
        <v>49</v>
      </c>
      <c r="P3279">
        <v>0</v>
      </c>
      <c r="Q3279" t="s">
        <v>50</v>
      </c>
      <c r="R3279" t="s">
        <v>51</v>
      </c>
      <c r="S3279">
        <v>1922</v>
      </c>
      <c r="T3279">
        <v>1990</v>
      </c>
      <c r="U3279" s="1">
        <v>8089</v>
      </c>
      <c r="V3279" s="2">
        <v>8089</v>
      </c>
      <c r="W3279" s="1">
        <v>33021</v>
      </c>
      <c r="X3279" s="2">
        <v>33021</v>
      </c>
      <c r="Y3279" t="s">
        <v>13549</v>
      </c>
      <c r="Z3279">
        <v>0</v>
      </c>
      <c r="AA3279">
        <v>2.0999998999999998</v>
      </c>
      <c r="AB3279">
        <v>0</v>
      </c>
      <c r="AC3279">
        <v>0</v>
      </c>
      <c r="AF3279">
        <v>1976</v>
      </c>
      <c r="AG3279">
        <v>1981</v>
      </c>
      <c r="AO3279" t="b">
        <v>1</v>
      </c>
      <c r="AP3279" t="s">
        <v>4202</v>
      </c>
      <c r="AQ3279">
        <v>1963</v>
      </c>
      <c r="AR3279">
        <v>1983</v>
      </c>
      <c r="AS3279" t="s">
        <v>13550</v>
      </c>
      <c r="AT3279">
        <v>5.5030800821355204</v>
      </c>
      <c r="AU3279">
        <f t="shared" si="155"/>
        <v>1.4999999999999999E-2</v>
      </c>
    </row>
    <row r="3280" spans="1:47" x14ac:dyDescent="0.3">
      <c r="A3280">
        <v>3279</v>
      </c>
      <c r="B3280" t="s">
        <v>13551</v>
      </c>
      <c r="C3280" t="s">
        <v>13552</v>
      </c>
      <c r="D3280">
        <v>820</v>
      </c>
      <c r="E3280" t="s">
        <v>13530</v>
      </c>
      <c r="F3280" t="str">
        <f>VLOOKUP(E3280,country_continent!A:C,2,FALSE)</f>
        <v>Malaysia</v>
      </c>
      <c r="G3280" t="str">
        <f>VLOOKUP(E3280,country_continent!A:C,3,FALSE)</f>
        <v>Asia</v>
      </c>
      <c r="H3280" t="s">
        <v>13553</v>
      </c>
      <c r="I3280" s="1">
        <v>29783</v>
      </c>
      <c r="J3280" s="3">
        <f t="shared" si="153"/>
        <v>29783</v>
      </c>
      <c r="K3280" s="1">
        <v>37925</v>
      </c>
      <c r="L3280" s="3">
        <f t="shared" si="154"/>
        <v>37925</v>
      </c>
      <c r="M3280" t="s">
        <v>49</v>
      </c>
      <c r="N3280" t="s">
        <v>49</v>
      </c>
      <c r="O3280" t="s">
        <v>49</v>
      </c>
      <c r="P3280">
        <v>0</v>
      </c>
      <c r="Q3280" t="s">
        <v>50</v>
      </c>
      <c r="R3280" t="s">
        <v>51</v>
      </c>
      <c r="S3280">
        <v>1925</v>
      </c>
      <c r="T3280">
        <v>-777</v>
      </c>
      <c r="U3280" s="1">
        <v>9486</v>
      </c>
      <c r="V3280" s="2">
        <v>9486</v>
      </c>
      <c r="Y3280" t="s">
        <v>13554</v>
      </c>
      <c r="Z3280">
        <v>0</v>
      </c>
      <c r="AA3280">
        <v>1</v>
      </c>
      <c r="AB3280">
        <v>0</v>
      </c>
      <c r="AC3280">
        <v>0</v>
      </c>
      <c r="AF3280">
        <v>1981</v>
      </c>
      <c r="AG3280">
        <v>2003</v>
      </c>
      <c r="AO3280" t="b">
        <v>1</v>
      </c>
      <c r="AP3280" t="s">
        <v>4202</v>
      </c>
      <c r="AQ3280">
        <v>1963</v>
      </c>
      <c r="AR3280">
        <v>1983</v>
      </c>
      <c r="AS3280" t="s">
        <v>13555</v>
      </c>
      <c r="AT3280">
        <v>22.291581108829501</v>
      </c>
      <c r="AU3280">
        <f t="shared" si="155"/>
        <v>6.0999999999999999E-2</v>
      </c>
    </row>
    <row r="3281" spans="1:47" x14ac:dyDescent="0.3">
      <c r="A3281">
        <v>3280</v>
      </c>
      <c r="B3281" t="s">
        <v>13556</v>
      </c>
      <c r="C3281" t="s">
        <v>13557</v>
      </c>
      <c r="D3281">
        <v>820</v>
      </c>
      <c r="E3281" t="s">
        <v>13530</v>
      </c>
      <c r="F3281" t="str">
        <f>VLOOKUP(E3281,country_continent!A:C,2,FALSE)</f>
        <v>Malaysia</v>
      </c>
      <c r="G3281" t="str">
        <f>VLOOKUP(E3281,country_continent!A:C,3,FALSE)</f>
        <v>Asia</v>
      </c>
      <c r="H3281" t="s">
        <v>13558</v>
      </c>
      <c r="I3281" s="1">
        <v>37925</v>
      </c>
      <c r="J3281" s="3">
        <f t="shared" si="153"/>
        <v>37925</v>
      </c>
      <c r="K3281" s="1">
        <v>39906</v>
      </c>
      <c r="L3281" s="3">
        <f t="shared" si="154"/>
        <v>39906</v>
      </c>
      <c r="M3281" t="s">
        <v>49</v>
      </c>
      <c r="N3281" t="s">
        <v>49</v>
      </c>
      <c r="O3281" t="s">
        <v>49</v>
      </c>
      <c r="P3281">
        <v>0</v>
      </c>
      <c r="Q3281" t="s">
        <v>50</v>
      </c>
      <c r="R3281" t="s">
        <v>51</v>
      </c>
      <c r="S3281">
        <v>1939</v>
      </c>
      <c r="T3281">
        <v>-777</v>
      </c>
      <c r="U3281" s="1">
        <v>14575</v>
      </c>
      <c r="V3281" s="2">
        <v>14575</v>
      </c>
      <c r="Y3281" t="s">
        <v>13559</v>
      </c>
      <c r="Z3281">
        <v>0</v>
      </c>
      <c r="AA3281">
        <v>1</v>
      </c>
      <c r="AB3281">
        <v>0</v>
      </c>
      <c r="AC3281">
        <v>0</v>
      </c>
      <c r="AF3281">
        <v>2003</v>
      </c>
      <c r="AG3281">
        <v>2009</v>
      </c>
      <c r="AO3281" t="b">
        <v>1</v>
      </c>
      <c r="AP3281" t="s">
        <v>4202</v>
      </c>
      <c r="AQ3281">
        <v>1963</v>
      </c>
      <c r="AR3281">
        <v>1983</v>
      </c>
      <c r="AS3281" t="s">
        <v>13560</v>
      </c>
      <c r="AT3281">
        <v>5.4236824093086904</v>
      </c>
      <c r="AU3281">
        <f t="shared" si="155"/>
        <v>1.4999999999999999E-2</v>
      </c>
    </row>
    <row r="3282" spans="1:47" x14ac:dyDescent="0.3">
      <c r="A3282">
        <v>3281</v>
      </c>
      <c r="B3282" t="s">
        <v>13561</v>
      </c>
      <c r="C3282" t="s">
        <v>13562</v>
      </c>
      <c r="D3282">
        <v>820</v>
      </c>
      <c r="E3282" t="s">
        <v>13530</v>
      </c>
      <c r="F3282" t="str">
        <f>VLOOKUP(E3282,country_continent!A:C,2,FALSE)</f>
        <v>Malaysia</v>
      </c>
      <c r="G3282" t="str">
        <f>VLOOKUP(E3282,country_continent!A:C,3,FALSE)</f>
        <v>Asia</v>
      </c>
      <c r="H3282" t="s">
        <v>13563</v>
      </c>
      <c r="I3282" s="1">
        <v>39906</v>
      </c>
      <c r="J3282" s="3">
        <f t="shared" si="153"/>
        <v>39906</v>
      </c>
      <c r="K3282" s="1">
        <v>42369</v>
      </c>
      <c r="L3282" s="3">
        <f t="shared" si="154"/>
        <v>42369</v>
      </c>
      <c r="M3282" t="s">
        <v>49</v>
      </c>
      <c r="N3282" t="s">
        <v>173</v>
      </c>
      <c r="O3282" t="s">
        <v>173</v>
      </c>
      <c r="P3282">
        <v>0</v>
      </c>
      <c r="Q3282" t="s">
        <v>174</v>
      </c>
      <c r="R3282" t="s">
        <v>51</v>
      </c>
      <c r="S3282">
        <v>1953</v>
      </c>
      <c r="T3282">
        <v>-777</v>
      </c>
      <c r="U3282" s="1">
        <v>19563</v>
      </c>
      <c r="V3282" s="2">
        <v>19563</v>
      </c>
      <c r="Z3282">
        <v>0</v>
      </c>
      <c r="AA3282">
        <v>-888</v>
      </c>
      <c r="AB3282">
        <v>-888</v>
      </c>
      <c r="AC3282">
        <v>-888</v>
      </c>
      <c r="AD3282" t="s">
        <v>13564</v>
      </c>
      <c r="AE3282">
        <v>1</v>
      </c>
      <c r="AF3282">
        <v>2009</v>
      </c>
      <c r="AG3282">
        <v>2015</v>
      </c>
      <c r="AO3282" t="b">
        <v>1</v>
      </c>
      <c r="AP3282" t="s">
        <v>4202</v>
      </c>
      <c r="AQ3282">
        <v>1963</v>
      </c>
      <c r="AR3282">
        <v>1983</v>
      </c>
      <c r="AS3282" t="s">
        <v>13565</v>
      </c>
      <c r="AT3282">
        <v>6.7433264887063604</v>
      </c>
      <c r="AU3282">
        <f t="shared" si="155"/>
        <v>1.7999999999999999E-2</v>
      </c>
    </row>
    <row r="3283" spans="1:47" x14ac:dyDescent="0.3">
      <c r="A3283">
        <v>3282</v>
      </c>
      <c r="B3283" t="s">
        <v>13566</v>
      </c>
      <c r="C3283" t="s">
        <v>13567</v>
      </c>
      <c r="D3283">
        <v>830</v>
      </c>
      <c r="E3283" t="s">
        <v>13568</v>
      </c>
      <c r="F3283" t="str">
        <f>VLOOKUP(E3283,country_continent!A:C,2,FALSE)</f>
        <v>Singapore</v>
      </c>
      <c r="G3283" t="str">
        <f>VLOOKUP(E3283,country_continent!A:C,3,FALSE)</f>
        <v>Asia</v>
      </c>
      <c r="H3283" t="s">
        <v>13569</v>
      </c>
      <c r="I3283" s="1">
        <v>21706</v>
      </c>
      <c r="J3283" s="3">
        <f t="shared" si="153"/>
        <v>21706</v>
      </c>
      <c r="K3283" s="1">
        <v>33205</v>
      </c>
      <c r="L3283" s="3">
        <f t="shared" si="154"/>
        <v>33205</v>
      </c>
      <c r="M3283" t="s">
        <v>49</v>
      </c>
      <c r="N3283" t="s">
        <v>49</v>
      </c>
      <c r="O3283" t="s">
        <v>49</v>
      </c>
      <c r="P3283">
        <v>0</v>
      </c>
      <c r="Q3283" t="s">
        <v>50</v>
      </c>
      <c r="R3283" t="s">
        <v>51</v>
      </c>
      <c r="S3283">
        <v>1923</v>
      </c>
      <c r="T3283">
        <v>-777</v>
      </c>
      <c r="U3283" s="1">
        <v>8660</v>
      </c>
      <c r="V3283" s="2">
        <v>8660</v>
      </c>
      <c r="Y3283" t="s">
        <v>13570</v>
      </c>
      <c r="Z3283">
        <v>0</v>
      </c>
      <c r="AA3283">
        <v>1</v>
      </c>
      <c r="AB3283">
        <v>0</v>
      </c>
      <c r="AC3283">
        <v>0</v>
      </c>
      <c r="AD3283" t="s">
        <v>13571</v>
      </c>
      <c r="AE3283">
        <v>0</v>
      </c>
      <c r="AF3283">
        <v>1959</v>
      </c>
      <c r="AG3283">
        <v>1990</v>
      </c>
      <c r="AO3283" t="b">
        <v>0</v>
      </c>
      <c r="AT3283">
        <v>11499</v>
      </c>
      <c r="AU3283">
        <f t="shared" si="155"/>
        <v>31.504000000000001</v>
      </c>
    </row>
    <row r="3284" spans="1:47" x14ac:dyDescent="0.3">
      <c r="A3284">
        <v>3283</v>
      </c>
      <c r="B3284" t="s">
        <v>13572</v>
      </c>
      <c r="C3284" t="s">
        <v>13573</v>
      </c>
      <c r="D3284">
        <v>830</v>
      </c>
      <c r="E3284" t="s">
        <v>13568</v>
      </c>
      <c r="F3284" t="str">
        <f>VLOOKUP(E3284,country_continent!A:C,2,FALSE)</f>
        <v>Singapore</v>
      </c>
      <c r="G3284" t="str">
        <f>VLOOKUP(E3284,country_continent!A:C,3,FALSE)</f>
        <v>Asia</v>
      </c>
      <c r="H3284" t="s">
        <v>13574</v>
      </c>
      <c r="I3284" s="1">
        <v>33205</v>
      </c>
      <c r="J3284" s="3">
        <f t="shared" si="153"/>
        <v>33205</v>
      </c>
      <c r="K3284" s="1">
        <v>38211</v>
      </c>
      <c r="L3284" s="3">
        <f t="shared" si="154"/>
        <v>38211</v>
      </c>
      <c r="M3284" t="s">
        <v>49</v>
      </c>
      <c r="N3284" t="s">
        <v>49</v>
      </c>
      <c r="O3284" t="s">
        <v>49</v>
      </c>
      <c r="P3284">
        <v>0</v>
      </c>
      <c r="Q3284" t="s">
        <v>50</v>
      </c>
      <c r="R3284" t="s">
        <v>51</v>
      </c>
      <c r="S3284">
        <v>1941</v>
      </c>
      <c r="T3284">
        <v>-777</v>
      </c>
      <c r="U3284" s="1">
        <v>15116</v>
      </c>
      <c r="V3284" s="2">
        <v>15116</v>
      </c>
      <c r="Y3284" t="s">
        <v>13575</v>
      </c>
      <c r="Z3284">
        <v>0</v>
      </c>
      <c r="AA3284">
        <v>1</v>
      </c>
      <c r="AB3284">
        <v>0</v>
      </c>
      <c r="AC3284">
        <v>0</v>
      </c>
      <c r="AF3284">
        <v>1990</v>
      </c>
      <c r="AG3284">
        <v>2004</v>
      </c>
      <c r="AO3284" t="b">
        <v>0</v>
      </c>
      <c r="AT3284">
        <v>5006</v>
      </c>
      <c r="AU3284">
        <f t="shared" si="155"/>
        <v>13.715</v>
      </c>
    </row>
    <row r="3285" spans="1:47" x14ac:dyDescent="0.3">
      <c r="A3285">
        <v>3284</v>
      </c>
      <c r="B3285" t="s">
        <v>13576</v>
      </c>
      <c r="C3285" t="s">
        <v>13577</v>
      </c>
      <c r="D3285">
        <v>830</v>
      </c>
      <c r="E3285" t="s">
        <v>13568</v>
      </c>
      <c r="F3285" t="str">
        <f>VLOOKUP(E3285,country_continent!A:C,2,FALSE)</f>
        <v>Singapore</v>
      </c>
      <c r="G3285" t="str">
        <f>VLOOKUP(E3285,country_continent!A:C,3,FALSE)</f>
        <v>Asia</v>
      </c>
      <c r="H3285" t="s">
        <v>13578</v>
      </c>
      <c r="I3285" s="1">
        <v>38211</v>
      </c>
      <c r="J3285" s="3">
        <f t="shared" si="153"/>
        <v>38211</v>
      </c>
      <c r="K3285" s="1">
        <v>42369</v>
      </c>
      <c r="L3285" s="3">
        <f t="shared" si="154"/>
        <v>42369</v>
      </c>
      <c r="M3285" t="s">
        <v>49</v>
      </c>
      <c r="N3285" t="s">
        <v>173</v>
      </c>
      <c r="O3285" t="s">
        <v>173</v>
      </c>
      <c r="P3285">
        <v>0</v>
      </c>
      <c r="Q3285" t="s">
        <v>174</v>
      </c>
      <c r="R3285" t="s">
        <v>51</v>
      </c>
      <c r="S3285">
        <v>1952</v>
      </c>
      <c r="T3285">
        <v>-777</v>
      </c>
      <c r="U3285" s="1">
        <v>19034</v>
      </c>
      <c r="V3285" s="2">
        <v>19034</v>
      </c>
      <c r="Z3285">
        <v>0</v>
      </c>
      <c r="AA3285">
        <v>-888</v>
      </c>
      <c r="AB3285">
        <v>-888</v>
      </c>
      <c r="AC3285">
        <v>-888</v>
      </c>
      <c r="AD3285" t="s">
        <v>13579</v>
      </c>
      <c r="AE3285">
        <v>1</v>
      </c>
      <c r="AF3285">
        <v>2004</v>
      </c>
      <c r="AG3285">
        <v>2015</v>
      </c>
      <c r="AO3285" t="b">
        <v>0</v>
      </c>
      <c r="AT3285">
        <v>4158</v>
      </c>
      <c r="AU3285">
        <f t="shared" si="155"/>
        <v>11.391999999999999</v>
      </c>
    </row>
    <row r="3286" spans="1:47" x14ac:dyDescent="0.3">
      <c r="A3286">
        <v>3285</v>
      </c>
      <c r="B3286" t="s">
        <v>13580</v>
      </c>
      <c r="C3286" t="s">
        <v>13581</v>
      </c>
      <c r="D3286">
        <v>835</v>
      </c>
      <c r="E3286" t="s">
        <v>13582</v>
      </c>
      <c r="F3286" t="str">
        <f>VLOOKUP(E3286,country_continent!A:C,2,FALSE)</f>
        <v>BRUNEI</v>
      </c>
      <c r="G3286" t="str">
        <f>VLOOKUP(E3286,country_continent!A:C,3,FALSE)</f>
        <v>Asia</v>
      </c>
      <c r="H3286" t="s">
        <v>13583</v>
      </c>
      <c r="I3286" s="1">
        <v>24749</v>
      </c>
      <c r="J3286" s="3">
        <f t="shared" si="153"/>
        <v>24749</v>
      </c>
      <c r="K3286" s="1">
        <v>42369</v>
      </c>
      <c r="L3286" s="3">
        <f t="shared" si="154"/>
        <v>42369</v>
      </c>
      <c r="M3286" t="s">
        <v>49</v>
      </c>
      <c r="N3286" t="s">
        <v>173</v>
      </c>
      <c r="O3286" t="s">
        <v>173</v>
      </c>
      <c r="P3286">
        <v>0</v>
      </c>
      <c r="Q3286" t="s">
        <v>174</v>
      </c>
      <c r="R3286" t="s">
        <v>51</v>
      </c>
      <c r="S3286">
        <v>1946</v>
      </c>
      <c r="T3286">
        <v>-777</v>
      </c>
      <c r="U3286" s="1">
        <v>16998</v>
      </c>
      <c r="V3286" s="2">
        <v>16998</v>
      </c>
      <c r="Y3286" t="s">
        <v>13584</v>
      </c>
      <c r="Z3286">
        <v>0</v>
      </c>
      <c r="AA3286">
        <v>-888</v>
      </c>
      <c r="AB3286">
        <v>-888</v>
      </c>
      <c r="AC3286">
        <v>-888</v>
      </c>
      <c r="AF3286">
        <v>1967</v>
      </c>
      <c r="AG3286">
        <v>2015</v>
      </c>
      <c r="AO3286" t="b">
        <v>0</v>
      </c>
      <c r="AT3286">
        <v>17620</v>
      </c>
      <c r="AU3286">
        <f t="shared" si="155"/>
        <v>48.274000000000001</v>
      </c>
    </row>
    <row r="3287" spans="1:47" x14ac:dyDescent="0.3">
      <c r="A3287">
        <v>3286</v>
      </c>
      <c r="B3287" t="s">
        <v>13585</v>
      </c>
      <c r="C3287" t="s">
        <v>13586</v>
      </c>
      <c r="D3287">
        <v>840</v>
      </c>
      <c r="E3287" t="s">
        <v>13587</v>
      </c>
      <c r="F3287" t="str">
        <f>VLOOKUP(E3287,country_continent!A:C,2,FALSE)</f>
        <v>Philippines</v>
      </c>
      <c r="G3287" t="str">
        <f>VLOOKUP(E3287,country_continent!A:C,3,FALSE)</f>
        <v>Asia</v>
      </c>
      <c r="H3287" t="s">
        <v>13588</v>
      </c>
      <c r="I3287" s="1">
        <v>16987</v>
      </c>
      <c r="J3287" s="3">
        <f t="shared" si="153"/>
        <v>16987</v>
      </c>
      <c r="K3287" s="1">
        <v>17639</v>
      </c>
      <c r="L3287" s="3">
        <f t="shared" si="154"/>
        <v>17639</v>
      </c>
      <c r="M3287" t="s">
        <v>49</v>
      </c>
      <c r="N3287" t="s">
        <v>110</v>
      </c>
      <c r="O3287" t="s">
        <v>49</v>
      </c>
      <c r="P3287">
        <v>0</v>
      </c>
      <c r="Q3287" t="s">
        <v>111</v>
      </c>
      <c r="R3287" t="s">
        <v>51</v>
      </c>
      <c r="S3287">
        <v>1892</v>
      </c>
      <c r="T3287">
        <v>1948</v>
      </c>
      <c r="U3287" t="s">
        <v>5628</v>
      </c>
      <c r="V3287" t="s">
        <v>5629</v>
      </c>
      <c r="W3287" s="1">
        <v>17638</v>
      </c>
      <c r="X3287" s="2">
        <v>17638</v>
      </c>
      <c r="Y3287" t="s">
        <v>13589</v>
      </c>
      <c r="Z3287">
        <v>0</v>
      </c>
      <c r="AA3287">
        <v>2</v>
      </c>
      <c r="AB3287">
        <v>0</v>
      </c>
      <c r="AC3287">
        <v>-777</v>
      </c>
      <c r="AF3287">
        <v>1946</v>
      </c>
      <c r="AG3287">
        <v>1948</v>
      </c>
      <c r="AO3287" t="b">
        <v>1</v>
      </c>
      <c r="AP3287" t="s">
        <v>4202</v>
      </c>
      <c r="AQ3287">
        <v>1946</v>
      </c>
      <c r="AR3287">
        <v>1983</v>
      </c>
      <c r="AS3287" t="s">
        <v>13590</v>
      </c>
      <c r="AT3287">
        <v>1.78507871321013</v>
      </c>
      <c r="AU3287">
        <f t="shared" si="155"/>
        <v>5.0000000000000001E-3</v>
      </c>
    </row>
    <row r="3288" spans="1:47" x14ac:dyDescent="0.3">
      <c r="A3288">
        <v>3287</v>
      </c>
      <c r="B3288" t="s">
        <v>13591</v>
      </c>
      <c r="C3288" t="s">
        <v>13592</v>
      </c>
      <c r="D3288">
        <v>840</v>
      </c>
      <c r="E3288" t="s">
        <v>13587</v>
      </c>
      <c r="F3288" t="str">
        <f>VLOOKUP(E3288,country_continent!A:C,2,FALSE)</f>
        <v>Philippines</v>
      </c>
      <c r="G3288" t="str">
        <f>VLOOKUP(E3288,country_continent!A:C,3,FALSE)</f>
        <v>Asia</v>
      </c>
      <c r="H3288" t="s">
        <v>13593</v>
      </c>
      <c r="I3288" s="1">
        <v>17639</v>
      </c>
      <c r="J3288" s="3">
        <f t="shared" si="153"/>
        <v>17639</v>
      </c>
      <c r="K3288" s="1">
        <v>19723</v>
      </c>
      <c r="L3288" s="3">
        <f t="shared" si="154"/>
        <v>19723</v>
      </c>
      <c r="M3288" t="s">
        <v>49</v>
      </c>
      <c r="N3288" t="s">
        <v>49</v>
      </c>
      <c r="O3288" t="s">
        <v>49</v>
      </c>
      <c r="P3288">
        <v>0</v>
      </c>
      <c r="Q3288" t="s">
        <v>50</v>
      </c>
      <c r="R3288" t="s">
        <v>51</v>
      </c>
      <c r="S3288">
        <v>1890</v>
      </c>
      <c r="T3288">
        <v>1956</v>
      </c>
      <c r="U3288" t="s">
        <v>13594</v>
      </c>
      <c r="V3288" t="s">
        <v>13595</v>
      </c>
      <c r="W3288" s="1">
        <v>20513</v>
      </c>
      <c r="X3288" s="2">
        <v>20513</v>
      </c>
      <c r="Y3288" t="s">
        <v>13596</v>
      </c>
      <c r="Z3288">
        <v>0</v>
      </c>
      <c r="AA3288">
        <v>1</v>
      </c>
      <c r="AB3288">
        <v>0</v>
      </c>
      <c r="AC3288">
        <v>0</v>
      </c>
      <c r="AF3288">
        <v>1948</v>
      </c>
      <c r="AG3288">
        <v>1953</v>
      </c>
      <c r="AO3288" t="b">
        <v>1</v>
      </c>
      <c r="AP3288" t="s">
        <v>4202</v>
      </c>
      <c r="AQ3288">
        <v>1946</v>
      </c>
      <c r="AR3288">
        <v>1983</v>
      </c>
      <c r="AS3288" t="s">
        <v>13597</v>
      </c>
      <c r="AT3288">
        <v>5.7056810403832898</v>
      </c>
      <c r="AU3288">
        <f t="shared" si="155"/>
        <v>1.6E-2</v>
      </c>
    </row>
    <row r="3289" spans="1:47" x14ac:dyDescent="0.3">
      <c r="A3289">
        <v>3288</v>
      </c>
      <c r="B3289" t="s">
        <v>13598</v>
      </c>
      <c r="C3289" t="s">
        <v>13599</v>
      </c>
      <c r="D3289">
        <v>840</v>
      </c>
      <c r="E3289" t="s">
        <v>13587</v>
      </c>
      <c r="F3289" t="str">
        <f>VLOOKUP(E3289,country_continent!A:C,2,FALSE)</f>
        <v>Philippines</v>
      </c>
      <c r="G3289" t="str">
        <f>VLOOKUP(E3289,country_continent!A:C,3,FALSE)</f>
        <v>Asia</v>
      </c>
      <c r="H3289" t="s">
        <v>13600</v>
      </c>
      <c r="I3289" s="1">
        <v>19723</v>
      </c>
      <c r="J3289" s="3">
        <f t="shared" si="153"/>
        <v>19723</v>
      </c>
      <c r="K3289" s="1">
        <v>20896</v>
      </c>
      <c r="L3289" s="3">
        <f t="shared" si="154"/>
        <v>20896</v>
      </c>
      <c r="M3289" t="s">
        <v>49</v>
      </c>
      <c r="N3289" t="s">
        <v>110</v>
      </c>
      <c r="O3289" t="s">
        <v>49</v>
      </c>
      <c r="P3289">
        <v>0</v>
      </c>
      <c r="Q3289" t="s">
        <v>111</v>
      </c>
      <c r="R3289" t="s">
        <v>51</v>
      </c>
      <c r="S3289">
        <v>1907</v>
      </c>
      <c r="T3289">
        <v>1957</v>
      </c>
      <c r="U3289" s="1">
        <v>2800</v>
      </c>
      <c r="V3289" s="2">
        <v>2800</v>
      </c>
      <c r="W3289" s="1">
        <v>20896</v>
      </c>
      <c r="X3289" s="2">
        <v>20896</v>
      </c>
      <c r="Y3289" t="s">
        <v>13601</v>
      </c>
      <c r="Z3289">
        <v>0</v>
      </c>
      <c r="AA3289">
        <v>2</v>
      </c>
      <c r="AB3289">
        <v>0</v>
      </c>
      <c r="AC3289">
        <v>-777</v>
      </c>
      <c r="AF3289">
        <v>1953</v>
      </c>
      <c r="AG3289">
        <v>1957</v>
      </c>
      <c r="AO3289" t="b">
        <v>1</v>
      </c>
      <c r="AP3289" t="s">
        <v>4202</v>
      </c>
      <c r="AQ3289">
        <v>1946</v>
      </c>
      <c r="AR3289">
        <v>1983</v>
      </c>
      <c r="AS3289" t="s">
        <v>13602</v>
      </c>
      <c r="AT3289">
        <v>3.2114989733059498</v>
      </c>
      <c r="AU3289">
        <f t="shared" si="155"/>
        <v>8.9999999999999993E-3</v>
      </c>
    </row>
    <row r="3290" spans="1:47" x14ac:dyDescent="0.3">
      <c r="A3290">
        <v>3289</v>
      </c>
      <c r="B3290" t="s">
        <v>13603</v>
      </c>
      <c r="C3290" t="s">
        <v>13604</v>
      </c>
      <c r="D3290">
        <v>840</v>
      </c>
      <c r="E3290" t="s">
        <v>13587</v>
      </c>
      <c r="F3290" t="str">
        <f>VLOOKUP(E3290,country_continent!A:C,2,FALSE)</f>
        <v>Philippines</v>
      </c>
      <c r="G3290" t="str">
        <f>VLOOKUP(E3290,country_continent!A:C,3,FALSE)</f>
        <v>Asia</v>
      </c>
      <c r="H3290" t="s">
        <v>2638</v>
      </c>
      <c r="I3290" s="1">
        <v>20896</v>
      </c>
      <c r="J3290" s="3">
        <f t="shared" si="153"/>
        <v>20896</v>
      </c>
      <c r="K3290" s="1">
        <v>22599</v>
      </c>
      <c r="L3290" s="3">
        <f t="shared" si="154"/>
        <v>22599</v>
      </c>
      <c r="M3290" t="s">
        <v>49</v>
      </c>
      <c r="N3290" t="s">
        <v>49</v>
      </c>
      <c r="O3290" t="s">
        <v>49</v>
      </c>
      <c r="P3290">
        <v>0</v>
      </c>
      <c r="Q3290" t="s">
        <v>50</v>
      </c>
      <c r="R3290" t="s">
        <v>51</v>
      </c>
      <c r="S3290">
        <v>1896</v>
      </c>
      <c r="T3290">
        <v>1971</v>
      </c>
      <c r="U3290" t="s">
        <v>13605</v>
      </c>
      <c r="V3290" t="s">
        <v>13606</v>
      </c>
      <c r="W3290" s="1">
        <v>26098</v>
      </c>
      <c r="X3290" s="2">
        <v>26098</v>
      </c>
      <c r="Y3290" t="s">
        <v>13607</v>
      </c>
      <c r="Z3290">
        <v>0</v>
      </c>
      <c r="AA3290">
        <v>1</v>
      </c>
      <c r="AB3290">
        <v>0</v>
      </c>
      <c r="AC3290">
        <v>0</v>
      </c>
      <c r="AF3290">
        <v>1957</v>
      </c>
      <c r="AG3290">
        <v>1961</v>
      </c>
      <c r="AO3290" t="b">
        <v>1</v>
      </c>
      <c r="AP3290" t="s">
        <v>4202</v>
      </c>
      <c r="AQ3290">
        <v>1946</v>
      </c>
      <c r="AR3290">
        <v>1983</v>
      </c>
      <c r="AS3290" t="s">
        <v>13608</v>
      </c>
      <c r="AT3290">
        <v>4.6625598904859604</v>
      </c>
      <c r="AU3290">
        <f t="shared" si="155"/>
        <v>1.2999999999999999E-2</v>
      </c>
    </row>
    <row r="3291" spans="1:47" x14ac:dyDescent="0.3">
      <c r="A3291">
        <v>3290</v>
      </c>
      <c r="B3291" t="s">
        <v>13609</v>
      </c>
      <c r="C3291" t="s">
        <v>13610</v>
      </c>
      <c r="D3291">
        <v>840</v>
      </c>
      <c r="E3291" t="s">
        <v>13587</v>
      </c>
      <c r="F3291" t="str">
        <f>VLOOKUP(E3291,country_continent!A:C,2,FALSE)</f>
        <v>Philippines</v>
      </c>
      <c r="G3291" t="str">
        <f>VLOOKUP(E3291,country_continent!A:C,3,FALSE)</f>
        <v>Asia</v>
      </c>
      <c r="H3291" t="s">
        <v>13611</v>
      </c>
      <c r="I3291" s="1">
        <v>22599</v>
      </c>
      <c r="J3291" s="3">
        <f t="shared" si="153"/>
        <v>22599</v>
      </c>
      <c r="K3291" s="1">
        <v>24106</v>
      </c>
      <c r="L3291" s="3">
        <f t="shared" si="154"/>
        <v>24106</v>
      </c>
      <c r="M3291" t="s">
        <v>49</v>
      </c>
      <c r="N3291" t="s">
        <v>49</v>
      </c>
      <c r="O3291" t="s">
        <v>49</v>
      </c>
      <c r="P3291">
        <v>0</v>
      </c>
      <c r="Q3291" t="s">
        <v>50</v>
      </c>
      <c r="R3291" t="s">
        <v>51</v>
      </c>
      <c r="S3291">
        <v>1910</v>
      </c>
      <c r="T3291">
        <v>1997</v>
      </c>
      <c r="U3291" s="1">
        <v>3924</v>
      </c>
      <c r="V3291" s="2">
        <v>3924</v>
      </c>
      <c r="W3291" s="1">
        <v>35541</v>
      </c>
      <c r="X3291" s="2">
        <v>35541</v>
      </c>
      <c r="Y3291" t="s">
        <v>13612</v>
      </c>
      <c r="Z3291">
        <v>0</v>
      </c>
      <c r="AA3291">
        <v>1</v>
      </c>
      <c r="AB3291">
        <v>0</v>
      </c>
      <c r="AC3291">
        <v>0</v>
      </c>
      <c r="AD3291" t="s">
        <v>13613</v>
      </c>
      <c r="AE3291">
        <v>0</v>
      </c>
      <c r="AF3291">
        <v>1961</v>
      </c>
      <c r="AG3291">
        <v>1965</v>
      </c>
      <c r="AO3291" t="b">
        <v>1</v>
      </c>
      <c r="AP3291" t="s">
        <v>4202</v>
      </c>
      <c r="AQ3291">
        <v>1946</v>
      </c>
      <c r="AR3291">
        <v>1983</v>
      </c>
      <c r="AS3291" t="s">
        <v>13614</v>
      </c>
      <c r="AT3291">
        <v>4.1259411362080698</v>
      </c>
      <c r="AU3291">
        <f t="shared" si="155"/>
        <v>1.0999999999999999E-2</v>
      </c>
    </row>
    <row r="3292" spans="1:47" x14ac:dyDescent="0.3">
      <c r="A3292">
        <v>3291</v>
      </c>
      <c r="B3292" t="s">
        <v>13615</v>
      </c>
      <c r="C3292" t="s">
        <v>13616</v>
      </c>
      <c r="D3292">
        <v>840</v>
      </c>
      <c r="E3292" t="s">
        <v>13587</v>
      </c>
      <c r="F3292" t="str">
        <f>VLOOKUP(E3292,country_continent!A:C,2,FALSE)</f>
        <v>Philippines</v>
      </c>
      <c r="G3292" t="str">
        <f>VLOOKUP(E3292,country_continent!A:C,3,FALSE)</f>
        <v>Asia</v>
      </c>
      <c r="H3292" t="s">
        <v>13617</v>
      </c>
      <c r="I3292" s="1">
        <v>24106</v>
      </c>
      <c r="J3292" s="3">
        <f t="shared" si="153"/>
        <v>24106</v>
      </c>
      <c r="K3292" s="1">
        <v>31468</v>
      </c>
      <c r="L3292" s="3">
        <f t="shared" si="154"/>
        <v>31468</v>
      </c>
      <c r="M3292" t="s">
        <v>49</v>
      </c>
      <c r="N3292" t="s">
        <v>67</v>
      </c>
      <c r="O3292" t="s">
        <v>613</v>
      </c>
      <c r="P3292">
        <v>0</v>
      </c>
      <c r="Q3292" t="s">
        <v>362</v>
      </c>
      <c r="R3292" t="s">
        <v>51</v>
      </c>
      <c r="S3292">
        <v>1917</v>
      </c>
      <c r="T3292">
        <v>1989</v>
      </c>
      <c r="U3292" s="1">
        <v>6464</v>
      </c>
      <c r="V3292" s="2">
        <v>6464</v>
      </c>
      <c r="W3292" s="1">
        <v>32779</v>
      </c>
      <c r="X3292" s="2">
        <v>32779</v>
      </c>
      <c r="Y3292" t="s">
        <v>13618</v>
      </c>
      <c r="Z3292">
        <v>0</v>
      </c>
      <c r="AA3292">
        <v>3</v>
      </c>
      <c r="AB3292">
        <v>2</v>
      </c>
      <c r="AC3292">
        <v>1</v>
      </c>
      <c r="AF3292">
        <v>1965</v>
      </c>
      <c r="AG3292">
        <v>1986</v>
      </c>
      <c r="AO3292" t="b">
        <v>1</v>
      </c>
      <c r="AP3292" t="s">
        <v>4202</v>
      </c>
      <c r="AQ3292">
        <v>1946</v>
      </c>
      <c r="AR3292">
        <v>1983</v>
      </c>
      <c r="AS3292" t="s">
        <v>13619</v>
      </c>
      <c r="AT3292">
        <v>20.156057494866499</v>
      </c>
      <c r="AU3292">
        <f t="shared" si="155"/>
        <v>5.5E-2</v>
      </c>
    </row>
    <row r="3293" spans="1:47" x14ac:dyDescent="0.3">
      <c r="A3293">
        <v>3292</v>
      </c>
      <c r="B3293" t="s">
        <v>13620</v>
      </c>
      <c r="C3293" t="s">
        <v>13621</v>
      </c>
      <c r="D3293">
        <v>840</v>
      </c>
      <c r="E3293" t="s">
        <v>13587</v>
      </c>
      <c r="F3293" t="str">
        <f>VLOOKUP(E3293,country_continent!A:C,2,FALSE)</f>
        <v>Philippines</v>
      </c>
      <c r="G3293" t="str">
        <f>VLOOKUP(E3293,country_continent!A:C,3,FALSE)</f>
        <v>Asia</v>
      </c>
      <c r="H3293" t="s">
        <v>13622</v>
      </c>
      <c r="I3293" s="1">
        <v>31468</v>
      </c>
      <c r="J3293" s="3">
        <f t="shared" si="153"/>
        <v>31468</v>
      </c>
      <c r="K3293" s="1">
        <v>33785</v>
      </c>
      <c r="L3293" s="3">
        <f t="shared" si="154"/>
        <v>33785</v>
      </c>
      <c r="M3293" t="s">
        <v>67</v>
      </c>
      <c r="N3293" t="s">
        <v>49</v>
      </c>
      <c r="O3293" t="s">
        <v>49</v>
      </c>
      <c r="P3293">
        <v>0</v>
      </c>
      <c r="Q3293" t="s">
        <v>50</v>
      </c>
      <c r="R3293" t="s">
        <v>299</v>
      </c>
      <c r="S3293">
        <v>1933</v>
      </c>
      <c r="T3293">
        <v>2009</v>
      </c>
      <c r="U3293" s="1">
        <v>12079</v>
      </c>
      <c r="V3293" s="2">
        <v>12079</v>
      </c>
      <c r="Y3293" t="s">
        <v>13623</v>
      </c>
      <c r="Z3293">
        <v>1</v>
      </c>
      <c r="AA3293">
        <v>1</v>
      </c>
      <c r="AB3293">
        <v>0</v>
      </c>
      <c r="AC3293">
        <v>0</v>
      </c>
      <c r="AD3293" t="s">
        <v>13624</v>
      </c>
      <c r="AE3293">
        <v>0</v>
      </c>
      <c r="AF3293">
        <v>1986</v>
      </c>
      <c r="AG3293">
        <v>1992</v>
      </c>
      <c r="AO3293" t="b">
        <v>1</v>
      </c>
      <c r="AP3293" t="s">
        <v>4202</v>
      </c>
      <c r="AQ3293">
        <v>1946</v>
      </c>
      <c r="AR3293">
        <v>1983</v>
      </c>
      <c r="AS3293" t="s">
        <v>13625</v>
      </c>
      <c r="AT3293">
        <v>6.3436002737850696</v>
      </c>
      <c r="AU3293">
        <f t="shared" si="155"/>
        <v>1.7000000000000001E-2</v>
      </c>
    </row>
    <row r="3294" spans="1:47" x14ac:dyDescent="0.3">
      <c r="A3294">
        <v>3293</v>
      </c>
      <c r="B3294" t="s">
        <v>13626</v>
      </c>
      <c r="C3294" t="s">
        <v>13627</v>
      </c>
      <c r="D3294">
        <v>840</v>
      </c>
      <c r="E3294" t="s">
        <v>13587</v>
      </c>
      <c r="F3294" t="str">
        <f>VLOOKUP(E3294,country_continent!A:C,2,FALSE)</f>
        <v>Philippines</v>
      </c>
      <c r="G3294" t="str">
        <f>VLOOKUP(E3294,country_continent!A:C,3,FALSE)</f>
        <v>Asia</v>
      </c>
      <c r="H3294" t="s">
        <v>13628</v>
      </c>
      <c r="I3294" s="1">
        <v>33785</v>
      </c>
      <c r="J3294" s="3">
        <f t="shared" si="153"/>
        <v>33785</v>
      </c>
      <c r="K3294" s="1">
        <v>35976</v>
      </c>
      <c r="L3294" s="3">
        <f t="shared" si="154"/>
        <v>35976</v>
      </c>
      <c r="M3294" t="s">
        <v>49</v>
      </c>
      <c r="N3294" t="s">
        <v>49</v>
      </c>
      <c r="O3294" t="s">
        <v>49</v>
      </c>
      <c r="P3294">
        <v>0</v>
      </c>
      <c r="Q3294" t="s">
        <v>50</v>
      </c>
      <c r="R3294" t="s">
        <v>51</v>
      </c>
      <c r="S3294">
        <v>1928</v>
      </c>
      <c r="T3294">
        <v>-777</v>
      </c>
      <c r="U3294" s="1">
        <v>10305</v>
      </c>
      <c r="V3294" s="2">
        <v>10305</v>
      </c>
      <c r="Z3294">
        <v>0</v>
      </c>
      <c r="AA3294">
        <v>1</v>
      </c>
      <c r="AB3294">
        <v>0</v>
      </c>
      <c r="AC3294">
        <v>0</v>
      </c>
      <c r="AF3294">
        <v>1992</v>
      </c>
      <c r="AG3294">
        <v>1998</v>
      </c>
      <c r="AO3294" t="b">
        <v>1</v>
      </c>
      <c r="AP3294" t="s">
        <v>4202</v>
      </c>
      <c r="AQ3294">
        <v>1946</v>
      </c>
      <c r="AR3294">
        <v>1983</v>
      </c>
      <c r="AS3294" t="s">
        <v>13629</v>
      </c>
      <c r="AT3294">
        <v>5.99863107460643</v>
      </c>
      <c r="AU3294">
        <f t="shared" si="155"/>
        <v>1.6E-2</v>
      </c>
    </row>
    <row r="3295" spans="1:47" x14ac:dyDescent="0.3">
      <c r="A3295">
        <v>3294</v>
      </c>
      <c r="B3295" t="s">
        <v>13630</v>
      </c>
      <c r="C3295" t="s">
        <v>13631</v>
      </c>
      <c r="D3295">
        <v>840</v>
      </c>
      <c r="E3295" t="s">
        <v>13587</v>
      </c>
      <c r="F3295" t="str">
        <f>VLOOKUP(E3295,country_continent!A:C,2,FALSE)</f>
        <v>Philippines</v>
      </c>
      <c r="G3295" t="str">
        <f>VLOOKUP(E3295,country_continent!A:C,3,FALSE)</f>
        <v>Asia</v>
      </c>
      <c r="H3295" t="s">
        <v>13632</v>
      </c>
      <c r="I3295" s="1">
        <v>35976</v>
      </c>
      <c r="J3295" s="3">
        <f t="shared" si="153"/>
        <v>35976</v>
      </c>
      <c r="K3295" s="1">
        <v>36911</v>
      </c>
      <c r="L3295" s="3">
        <f t="shared" si="154"/>
        <v>36911</v>
      </c>
      <c r="M3295" t="s">
        <v>49</v>
      </c>
      <c r="N3295" t="s">
        <v>49</v>
      </c>
      <c r="O3295" t="s">
        <v>49</v>
      </c>
      <c r="P3295">
        <v>0</v>
      </c>
      <c r="Q3295" t="s">
        <v>463</v>
      </c>
      <c r="R3295" t="s">
        <v>51</v>
      </c>
      <c r="S3295">
        <v>1937</v>
      </c>
      <c r="T3295">
        <v>-777</v>
      </c>
      <c r="U3295" s="1">
        <v>13624</v>
      </c>
      <c r="V3295" s="2">
        <v>13624</v>
      </c>
      <c r="Y3295" t="s">
        <v>13633</v>
      </c>
      <c r="Z3295">
        <v>0</v>
      </c>
      <c r="AA3295">
        <v>1</v>
      </c>
      <c r="AB3295">
        <v>0</v>
      </c>
      <c r="AC3295">
        <v>2</v>
      </c>
      <c r="AF3295">
        <v>1998</v>
      </c>
      <c r="AG3295">
        <v>2001</v>
      </c>
      <c r="AO3295" t="b">
        <v>1</v>
      </c>
      <c r="AP3295" t="s">
        <v>4202</v>
      </c>
      <c r="AQ3295">
        <v>1946</v>
      </c>
      <c r="AR3295">
        <v>1983</v>
      </c>
      <c r="AS3295" t="s">
        <v>13634</v>
      </c>
      <c r="AT3295">
        <v>2.5598904859685101</v>
      </c>
      <c r="AU3295">
        <f t="shared" si="155"/>
        <v>7.0000000000000001E-3</v>
      </c>
    </row>
    <row r="3296" spans="1:47" x14ac:dyDescent="0.3">
      <c r="A3296">
        <v>3295</v>
      </c>
      <c r="B3296" t="s">
        <v>13635</v>
      </c>
      <c r="C3296" t="s">
        <v>13636</v>
      </c>
      <c r="D3296">
        <v>840</v>
      </c>
      <c r="E3296" t="s">
        <v>13587</v>
      </c>
      <c r="F3296" t="str">
        <f>VLOOKUP(E3296,country_continent!A:C,2,FALSE)</f>
        <v>Philippines</v>
      </c>
      <c r="G3296" t="str">
        <f>VLOOKUP(E3296,country_continent!A:C,3,FALSE)</f>
        <v>Asia</v>
      </c>
      <c r="H3296" t="s">
        <v>13637</v>
      </c>
      <c r="I3296" s="1">
        <v>36912</v>
      </c>
      <c r="J3296" s="3">
        <f t="shared" si="153"/>
        <v>36912</v>
      </c>
      <c r="K3296" s="1">
        <v>40359</v>
      </c>
      <c r="L3296" s="3">
        <f t="shared" si="154"/>
        <v>40359</v>
      </c>
      <c r="M3296" t="s">
        <v>49</v>
      </c>
      <c r="N3296" t="s">
        <v>49</v>
      </c>
      <c r="O3296" t="s">
        <v>49</v>
      </c>
      <c r="P3296">
        <v>0</v>
      </c>
      <c r="Q3296" t="s">
        <v>463</v>
      </c>
      <c r="R3296" t="s">
        <v>299</v>
      </c>
      <c r="S3296">
        <v>1947</v>
      </c>
      <c r="T3296">
        <v>-777</v>
      </c>
      <c r="U3296" s="1">
        <v>17262</v>
      </c>
      <c r="V3296" s="2">
        <v>17262</v>
      </c>
      <c r="Y3296" t="s">
        <v>13638</v>
      </c>
      <c r="Z3296">
        <v>0</v>
      </c>
      <c r="AA3296">
        <v>1</v>
      </c>
      <c r="AB3296">
        <v>0</v>
      </c>
      <c r="AC3296">
        <v>2</v>
      </c>
      <c r="AD3296" t="s">
        <v>13639</v>
      </c>
      <c r="AE3296">
        <v>1</v>
      </c>
      <c r="AF3296">
        <v>2001</v>
      </c>
      <c r="AG3296">
        <v>2010</v>
      </c>
      <c r="AO3296" t="b">
        <v>1</v>
      </c>
      <c r="AP3296" t="s">
        <v>4202</v>
      </c>
      <c r="AQ3296">
        <v>1946</v>
      </c>
      <c r="AR3296">
        <v>1983</v>
      </c>
      <c r="AS3296" t="s">
        <v>13640</v>
      </c>
      <c r="AT3296">
        <v>9.4373716632443507</v>
      </c>
      <c r="AU3296">
        <f t="shared" si="155"/>
        <v>2.5999999999999999E-2</v>
      </c>
    </row>
    <row r="3297" spans="1:47" x14ac:dyDescent="0.3">
      <c r="A3297">
        <v>3296</v>
      </c>
      <c r="B3297" t="s">
        <v>13641</v>
      </c>
      <c r="C3297" t="s">
        <v>13642</v>
      </c>
      <c r="D3297">
        <v>840</v>
      </c>
      <c r="E3297" t="s">
        <v>13587</v>
      </c>
      <c r="F3297" t="str">
        <f>VLOOKUP(E3297,country_continent!A:C,2,FALSE)</f>
        <v>Philippines</v>
      </c>
      <c r="G3297" t="str">
        <f>VLOOKUP(E3297,country_continent!A:C,3,FALSE)</f>
        <v>Asia</v>
      </c>
      <c r="H3297" t="s">
        <v>13643</v>
      </c>
      <c r="I3297" s="1">
        <v>40359</v>
      </c>
      <c r="J3297" s="3">
        <f t="shared" si="153"/>
        <v>40359</v>
      </c>
      <c r="K3297" s="1">
        <v>42369</v>
      </c>
      <c r="L3297" s="3">
        <f t="shared" si="154"/>
        <v>42369</v>
      </c>
      <c r="M3297" t="s">
        <v>49</v>
      </c>
      <c r="N3297" t="s">
        <v>173</v>
      </c>
      <c r="O3297" t="s">
        <v>173</v>
      </c>
      <c r="P3297">
        <v>0</v>
      </c>
      <c r="Q3297" t="s">
        <v>174</v>
      </c>
      <c r="R3297" t="s">
        <v>51</v>
      </c>
      <c r="S3297">
        <v>1960</v>
      </c>
      <c r="T3297">
        <v>-777</v>
      </c>
      <c r="U3297" s="1">
        <v>21954</v>
      </c>
      <c r="V3297" s="2">
        <v>21954</v>
      </c>
      <c r="Z3297">
        <v>0</v>
      </c>
      <c r="AA3297">
        <v>-888</v>
      </c>
      <c r="AB3297">
        <v>-888</v>
      </c>
      <c r="AC3297">
        <v>-888</v>
      </c>
      <c r="AD3297" t="s">
        <v>13644</v>
      </c>
      <c r="AE3297">
        <v>1</v>
      </c>
      <c r="AF3297">
        <v>2010</v>
      </c>
      <c r="AG3297">
        <v>2015</v>
      </c>
      <c r="AO3297" t="b">
        <v>1</v>
      </c>
      <c r="AP3297" t="s">
        <v>4202</v>
      </c>
      <c r="AQ3297">
        <v>1946</v>
      </c>
      <c r="AR3297">
        <v>1983</v>
      </c>
      <c r="AS3297" t="s">
        <v>13645</v>
      </c>
      <c r="AT3297">
        <v>5.5030800821355204</v>
      </c>
      <c r="AU3297">
        <f t="shared" si="155"/>
        <v>1.4999999999999999E-2</v>
      </c>
    </row>
    <row r="3298" spans="1:47" x14ac:dyDescent="0.3">
      <c r="A3298">
        <v>3297</v>
      </c>
      <c r="B3298" t="s">
        <v>13646</v>
      </c>
      <c r="C3298" t="s">
        <v>13647</v>
      </c>
      <c r="D3298">
        <v>850</v>
      </c>
      <c r="E3298" t="s">
        <v>13648</v>
      </c>
      <c r="F3298" t="str">
        <f>VLOOKUP(E3298,country_continent!A:C,2,FALSE)</f>
        <v>Indonesia</v>
      </c>
      <c r="G3298" t="str">
        <f>VLOOKUP(E3298,country_continent!A:C,3,FALSE)</f>
        <v>Asia</v>
      </c>
      <c r="H3298" t="s">
        <v>13649</v>
      </c>
      <c r="I3298" s="1">
        <v>16666</v>
      </c>
      <c r="J3298" s="3">
        <f t="shared" si="153"/>
        <v>16666</v>
      </c>
      <c r="K3298" s="1">
        <v>17885</v>
      </c>
      <c r="L3298" s="3">
        <f t="shared" si="154"/>
        <v>17885</v>
      </c>
      <c r="M3298" t="s">
        <v>49</v>
      </c>
      <c r="N3298" t="s">
        <v>633</v>
      </c>
      <c r="O3298" t="s">
        <v>634</v>
      </c>
      <c r="P3298">
        <v>0</v>
      </c>
      <c r="Q3298" t="s">
        <v>463</v>
      </c>
      <c r="R3298" t="s">
        <v>51</v>
      </c>
      <c r="S3298">
        <v>1901</v>
      </c>
      <c r="T3298">
        <v>1970</v>
      </c>
      <c r="U3298" s="1">
        <v>523</v>
      </c>
      <c r="V3298" s="2">
        <v>523</v>
      </c>
      <c r="Y3298" t="s">
        <v>13650</v>
      </c>
      <c r="Z3298">
        <v>0</v>
      </c>
      <c r="AA3298">
        <v>4</v>
      </c>
      <c r="AB3298">
        <v>9</v>
      </c>
      <c r="AC3298">
        <v>2</v>
      </c>
      <c r="AD3298" t="s">
        <v>13651</v>
      </c>
      <c r="AE3298">
        <v>0</v>
      </c>
      <c r="AF3298">
        <v>1945</v>
      </c>
      <c r="AG3298">
        <v>1948</v>
      </c>
      <c r="AO3298" t="b">
        <v>1</v>
      </c>
      <c r="AP3298" t="s">
        <v>45</v>
      </c>
      <c r="AQ3298">
        <v>1949</v>
      </c>
      <c r="AR3298">
        <v>1994</v>
      </c>
      <c r="AS3298" t="s">
        <v>13652</v>
      </c>
      <c r="AT3298">
        <v>3.3374401095140298</v>
      </c>
      <c r="AU3298">
        <f t="shared" si="155"/>
        <v>8.9999999999999993E-3</v>
      </c>
    </row>
    <row r="3299" spans="1:47" x14ac:dyDescent="0.3">
      <c r="A3299">
        <v>3298</v>
      </c>
      <c r="B3299" t="s">
        <v>13653</v>
      </c>
      <c r="C3299" t="s">
        <v>13654</v>
      </c>
      <c r="D3299">
        <v>850</v>
      </c>
      <c r="E3299" t="s">
        <v>13648</v>
      </c>
      <c r="F3299" t="str">
        <f>VLOOKUP(E3299,country_continent!A:C,2,FALSE)</f>
        <v>Indonesia</v>
      </c>
      <c r="G3299" t="str">
        <f>VLOOKUP(E3299,country_continent!A:C,3,FALSE)</f>
        <v>Asia</v>
      </c>
      <c r="H3299" t="s">
        <v>13655</v>
      </c>
      <c r="I3299" s="1">
        <v>17885</v>
      </c>
      <c r="J3299" s="3">
        <f t="shared" si="153"/>
        <v>17885</v>
      </c>
      <c r="K3299" s="1">
        <v>18037</v>
      </c>
      <c r="L3299" s="3">
        <f t="shared" si="154"/>
        <v>18037</v>
      </c>
      <c r="M3299" t="s">
        <v>637</v>
      </c>
      <c r="N3299" t="s">
        <v>633</v>
      </c>
      <c r="O3299" t="s">
        <v>6580</v>
      </c>
      <c r="P3299">
        <v>0</v>
      </c>
      <c r="Q3299" t="s">
        <v>362</v>
      </c>
      <c r="R3299" t="s">
        <v>51</v>
      </c>
      <c r="S3299">
        <v>1902</v>
      </c>
      <c r="T3299">
        <v>1977</v>
      </c>
      <c r="U3299" s="1">
        <v>833</v>
      </c>
      <c r="V3299" s="2">
        <v>833</v>
      </c>
      <c r="Y3299" t="s">
        <v>4583</v>
      </c>
      <c r="Z3299">
        <v>2</v>
      </c>
      <c r="AA3299">
        <v>4</v>
      </c>
      <c r="AB3299">
        <v>111</v>
      </c>
      <c r="AC3299">
        <v>1</v>
      </c>
      <c r="AF3299">
        <v>1948</v>
      </c>
      <c r="AG3299">
        <v>1949</v>
      </c>
      <c r="AO3299" t="b">
        <v>1</v>
      </c>
      <c r="AP3299" t="s">
        <v>45</v>
      </c>
      <c r="AQ3299">
        <v>1949</v>
      </c>
      <c r="AR3299">
        <v>1994</v>
      </c>
      <c r="AS3299" t="s">
        <v>13656</v>
      </c>
      <c r="AT3299">
        <v>0.41615331964407898</v>
      </c>
      <c r="AU3299">
        <f t="shared" si="155"/>
        <v>1E-3</v>
      </c>
    </row>
    <row r="3300" spans="1:47" x14ac:dyDescent="0.3">
      <c r="A3300">
        <v>3299</v>
      </c>
      <c r="B3300" t="s">
        <v>13657</v>
      </c>
      <c r="C3300" t="s">
        <v>13658</v>
      </c>
      <c r="D3300">
        <v>850</v>
      </c>
      <c r="E3300" t="s">
        <v>13648</v>
      </c>
      <c r="F3300" t="str">
        <f>VLOOKUP(E3300,country_continent!A:C,2,FALSE)</f>
        <v>Indonesia</v>
      </c>
      <c r="G3300" t="str">
        <f>VLOOKUP(E3300,country_continent!A:C,3,FALSE)</f>
        <v>Asia</v>
      </c>
      <c r="H3300" t="s">
        <v>13659</v>
      </c>
      <c r="I3300" s="1">
        <v>18037</v>
      </c>
      <c r="J3300" s="3">
        <f t="shared" si="153"/>
        <v>18037</v>
      </c>
      <c r="K3300" s="1">
        <v>18259</v>
      </c>
      <c r="L3300" s="3">
        <f t="shared" si="154"/>
        <v>18259</v>
      </c>
      <c r="M3300" t="s">
        <v>637</v>
      </c>
      <c r="N3300" t="s">
        <v>49</v>
      </c>
      <c r="O3300" t="s">
        <v>49</v>
      </c>
      <c r="P3300">
        <v>0</v>
      </c>
      <c r="Q3300" t="s">
        <v>362</v>
      </c>
      <c r="R3300" t="s">
        <v>51</v>
      </c>
      <c r="S3300">
        <v>1902</v>
      </c>
      <c r="T3300">
        <v>1995</v>
      </c>
      <c r="U3300" s="1">
        <v>924</v>
      </c>
      <c r="V3300" s="2">
        <v>924</v>
      </c>
      <c r="Z3300">
        <v>2</v>
      </c>
      <c r="AA3300">
        <v>1</v>
      </c>
      <c r="AB3300">
        <v>0</v>
      </c>
      <c r="AC3300">
        <v>1</v>
      </c>
      <c r="AF3300">
        <v>1949</v>
      </c>
      <c r="AG3300">
        <v>1949</v>
      </c>
      <c r="AO3300" t="b">
        <v>1</v>
      </c>
      <c r="AP3300" t="s">
        <v>45</v>
      </c>
      <c r="AQ3300">
        <v>1949</v>
      </c>
      <c r="AR3300">
        <v>1994</v>
      </c>
      <c r="AS3300" t="s">
        <v>13660</v>
      </c>
      <c r="AT3300">
        <v>0.60780287474332595</v>
      </c>
      <c r="AU3300">
        <f t="shared" si="155"/>
        <v>2E-3</v>
      </c>
    </row>
    <row r="3301" spans="1:47" x14ac:dyDescent="0.3">
      <c r="A3301">
        <v>3300</v>
      </c>
      <c r="B3301" t="s">
        <v>13661</v>
      </c>
      <c r="C3301" t="s">
        <v>13647</v>
      </c>
      <c r="D3301">
        <v>850</v>
      </c>
      <c r="E3301" t="s">
        <v>13648</v>
      </c>
      <c r="F3301" t="str">
        <f>VLOOKUP(E3301,country_continent!A:C,2,FALSE)</f>
        <v>Indonesia</v>
      </c>
      <c r="G3301" t="str">
        <f>VLOOKUP(E3301,country_continent!A:C,3,FALSE)</f>
        <v>Asia</v>
      </c>
      <c r="H3301" t="s">
        <v>13649</v>
      </c>
      <c r="I3301" s="1">
        <v>18259</v>
      </c>
      <c r="J3301" s="3">
        <f t="shared" si="153"/>
        <v>18259</v>
      </c>
      <c r="K3301" s="1">
        <v>24178</v>
      </c>
      <c r="L3301" s="3">
        <f t="shared" si="154"/>
        <v>24178</v>
      </c>
      <c r="M3301" t="s">
        <v>49</v>
      </c>
      <c r="N3301" t="s">
        <v>67</v>
      </c>
      <c r="O3301" t="s">
        <v>376</v>
      </c>
      <c r="P3301">
        <v>1</v>
      </c>
      <c r="Q3301" t="s">
        <v>463</v>
      </c>
      <c r="R3301" t="s">
        <v>51</v>
      </c>
      <c r="S3301">
        <v>1901</v>
      </c>
      <c r="T3301">
        <v>1970</v>
      </c>
      <c r="U3301" s="1">
        <v>523</v>
      </c>
      <c r="V3301" s="2">
        <v>523</v>
      </c>
      <c r="Y3301" t="s">
        <v>13650</v>
      </c>
      <c r="Z3301">
        <v>0</v>
      </c>
      <c r="AA3301">
        <v>3</v>
      </c>
      <c r="AB3301">
        <v>6</v>
      </c>
      <c r="AC3301">
        <v>2</v>
      </c>
      <c r="AD3301" t="s">
        <v>13651</v>
      </c>
      <c r="AE3301">
        <v>0</v>
      </c>
      <c r="AF3301">
        <v>1949</v>
      </c>
      <c r="AG3301">
        <v>1966</v>
      </c>
      <c r="AO3301" t="b">
        <v>1</v>
      </c>
      <c r="AP3301" t="s">
        <v>45</v>
      </c>
      <c r="AQ3301">
        <v>1949</v>
      </c>
      <c r="AR3301">
        <v>1994</v>
      </c>
      <c r="AS3301" t="s">
        <v>13662</v>
      </c>
      <c r="AT3301">
        <v>16.205338809034899</v>
      </c>
      <c r="AU3301">
        <f t="shared" si="155"/>
        <v>4.3999999999999997E-2</v>
      </c>
    </row>
    <row r="3302" spans="1:47" x14ac:dyDescent="0.3">
      <c r="A3302">
        <v>3301</v>
      </c>
      <c r="B3302" t="s">
        <v>13663</v>
      </c>
      <c r="C3302" t="s">
        <v>13664</v>
      </c>
      <c r="D3302">
        <v>850</v>
      </c>
      <c r="E3302" t="s">
        <v>13648</v>
      </c>
      <c r="F3302" t="str">
        <f>VLOOKUP(E3302,country_continent!A:C,2,FALSE)</f>
        <v>Indonesia</v>
      </c>
      <c r="G3302" t="str">
        <f>VLOOKUP(E3302,country_continent!A:C,3,FALSE)</f>
        <v>Asia</v>
      </c>
      <c r="H3302" t="s">
        <v>13665</v>
      </c>
      <c r="I3302" s="1">
        <v>24178</v>
      </c>
      <c r="J3302" s="3">
        <f t="shared" si="153"/>
        <v>24178</v>
      </c>
      <c r="K3302" s="1">
        <v>35936</v>
      </c>
      <c r="L3302" s="3">
        <f t="shared" si="154"/>
        <v>35936</v>
      </c>
      <c r="M3302" t="s">
        <v>67</v>
      </c>
      <c r="N3302" t="s">
        <v>49</v>
      </c>
      <c r="O3302" t="s">
        <v>49</v>
      </c>
      <c r="P3302">
        <v>0</v>
      </c>
      <c r="Q3302" t="s">
        <v>463</v>
      </c>
      <c r="R3302" t="s">
        <v>51</v>
      </c>
      <c r="S3302">
        <v>1921</v>
      </c>
      <c r="T3302">
        <v>2008</v>
      </c>
      <c r="U3302" s="1">
        <v>7722</v>
      </c>
      <c r="V3302" s="2">
        <v>7722</v>
      </c>
      <c r="Z3302">
        <v>1</v>
      </c>
      <c r="AA3302">
        <v>1</v>
      </c>
      <c r="AB3302">
        <v>0</v>
      </c>
      <c r="AC3302">
        <v>2</v>
      </c>
      <c r="AF3302">
        <v>1966</v>
      </c>
      <c r="AG3302">
        <v>1998</v>
      </c>
      <c r="AO3302" t="b">
        <v>1</v>
      </c>
      <c r="AP3302" t="s">
        <v>45</v>
      </c>
      <c r="AQ3302">
        <v>1949</v>
      </c>
      <c r="AR3302">
        <v>1994</v>
      </c>
      <c r="AS3302" t="s">
        <v>13666</v>
      </c>
      <c r="AT3302">
        <v>32.191649555099197</v>
      </c>
      <c r="AU3302">
        <f t="shared" si="155"/>
        <v>8.7999999999999995E-2</v>
      </c>
    </row>
    <row r="3303" spans="1:47" x14ac:dyDescent="0.3">
      <c r="A3303">
        <v>3302</v>
      </c>
      <c r="B3303" t="s">
        <v>13667</v>
      </c>
      <c r="C3303" t="s">
        <v>13668</v>
      </c>
      <c r="D3303">
        <v>850</v>
      </c>
      <c r="E3303" t="s">
        <v>13648</v>
      </c>
      <c r="F3303" t="str">
        <f>VLOOKUP(E3303,country_continent!A:C,2,FALSE)</f>
        <v>Indonesia</v>
      </c>
      <c r="G3303" t="str">
        <f>VLOOKUP(E3303,country_continent!A:C,3,FALSE)</f>
        <v>Asia</v>
      </c>
      <c r="H3303" t="s">
        <v>13669</v>
      </c>
      <c r="I3303" s="1">
        <v>35936</v>
      </c>
      <c r="J3303" s="3">
        <f t="shared" si="153"/>
        <v>35936</v>
      </c>
      <c r="K3303" s="1">
        <v>36453</v>
      </c>
      <c r="L3303" s="3">
        <f t="shared" si="154"/>
        <v>36453</v>
      </c>
      <c r="M3303" t="s">
        <v>49</v>
      </c>
      <c r="N3303" t="s">
        <v>49</v>
      </c>
      <c r="O3303" t="s">
        <v>49</v>
      </c>
      <c r="P3303">
        <v>0</v>
      </c>
      <c r="Q3303" t="s">
        <v>50</v>
      </c>
      <c r="R3303" t="s">
        <v>51</v>
      </c>
      <c r="S3303">
        <v>1936</v>
      </c>
      <c r="T3303">
        <v>-777</v>
      </c>
      <c r="U3303" s="1">
        <v>13326</v>
      </c>
      <c r="V3303" s="2">
        <v>13326</v>
      </c>
      <c r="Z3303">
        <v>0</v>
      </c>
      <c r="AA3303">
        <v>1</v>
      </c>
      <c r="AB3303">
        <v>0</v>
      </c>
      <c r="AC3303">
        <v>0</v>
      </c>
      <c r="AF3303">
        <v>1998</v>
      </c>
      <c r="AG3303">
        <v>1999</v>
      </c>
      <c r="AO3303" t="b">
        <v>1</v>
      </c>
      <c r="AP3303" t="s">
        <v>45</v>
      </c>
      <c r="AQ3303">
        <v>1949</v>
      </c>
      <c r="AR3303">
        <v>1994</v>
      </c>
      <c r="AS3303" t="s">
        <v>13670</v>
      </c>
      <c r="AT3303">
        <v>1.41546885694729</v>
      </c>
      <c r="AU3303">
        <f t="shared" si="155"/>
        <v>4.0000000000000001E-3</v>
      </c>
    </row>
    <row r="3304" spans="1:47" x14ac:dyDescent="0.3">
      <c r="A3304">
        <v>3303</v>
      </c>
      <c r="B3304" t="s">
        <v>13671</v>
      </c>
      <c r="C3304" t="s">
        <v>13672</v>
      </c>
      <c r="D3304">
        <v>850</v>
      </c>
      <c r="E3304" t="s">
        <v>13648</v>
      </c>
      <c r="F3304" t="str">
        <f>VLOOKUP(E3304,country_continent!A:C,2,FALSE)</f>
        <v>Indonesia</v>
      </c>
      <c r="G3304" t="str">
        <f>VLOOKUP(E3304,country_continent!A:C,3,FALSE)</f>
        <v>Asia</v>
      </c>
      <c r="H3304" t="s">
        <v>13673</v>
      </c>
      <c r="I3304" s="1">
        <v>36453</v>
      </c>
      <c r="J3304" s="3">
        <f t="shared" si="153"/>
        <v>36453</v>
      </c>
      <c r="K3304" s="1">
        <v>37095</v>
      </c>
      <c r="L3304" s="3">
        <f t="shared" si="154"/>
        <v>37095</v>
      </c>
      <c r="M3304" t="s">
        <v>49</v>
      </c>
      <c r="N3304" t="s">
        <v>49</v>
      </c>
      <c r="O3304" t="s">
        <v>49</v>
      </c>
      <c r="P3304">
        <v>0</v>
      </c>
      <c r="Q3304" t="s">
        <v>50</v>
      </c>
      <c r="R3304" t="s">
        <v>51</v>
      </c>
      <c r="S3304">
        <v>1940</v>
      </c>
      <c r="T3304">
        <v>2009</v>
      </c>
      <c r="Z3304">
        <v>0</v>
      </c>
      <c r="AA3304">
        <v>1</v>
      </c>
      <c r="AB3304">
        <v>0</v>
      </c>
      <c r="AC3304">
        <v>0</v>
      </c>
      <c r="AF3304">
        <v>1999</v>
      </c>
      <c r="AG3304">
        <v>2001</v>
      </c>
      <c r="AO3304" t="b">
        <v>1</v>
      </c>
      <c r="AP3304" t="s">
        <v>45</v>
      </c>
      <c r="AQ3304">
        <v>1949</v>
      </c>
      <c r="AR3304">
        <v>1994</v>
      </c>
      <c r="AS3304" t="s">
        <v>13674</v>
      </c>
      <c r="AT3304">
        <v>1.7577002053388</v>
      </c>
      <c r="AU3304">
        <f t="shared" si="155"/>
        <v>5.0000000000000001E-3</v>
      </c>
    </row>
    <row r="3305" spans="1:47" x14ac:dyDescent="0.3">
      <c r="A3305">
        <v>3304</v>
      </c>
      <c r="B3305" t="s">
        <v>13675</v>
      </c>
      <c r="C3305" t="s">
        <v>13676</v>
      </c>
      <c r="D3305">
        <v>850</v>
      </c>
      <c r="E3305" t="s">
        <v>13648</v>
      </c>
      <c r="F3305" t="str">
        <f>VLOOKUP(E3305,country_continent!A:C,2,FALSE)</f>
        <v>Indonesia</v>
      </c>
      <c r="G3305" t="str">
        <f>VLOOKUP(E3305,country_continent!A:C,3,FALSE)</f>
        <v>Asia</v>
      </c>
      <c r="H3305" t="s">
        <v>13677</v>
      </c>
      <c r="I3305" s="1">
        <v>37096</v>
      </c>
      <c r="J3305" s="3">
        <f t="shared" si="153"/>
        <v>37096</v>
      </c>
      <c r="K3305" s="1">
        <v>38280</v>
      </c>
      <c r="L3305" s="3">
        <f t="shared" si="154"/>
        <v>38280</v>
      </c>
      <c r="M3305" t="s">
        <v>49</v>
      </c>
      <c r="N3305" t="s">
        <v>49</v>
      </c>
      <c r="O3305" t="s">
        <v>49</v>
      </c>
      <c r="P3305">
        <v>0</v>
      </c>
      <c r="Q3305" t="s">
        <v>50</v>
      </c>
      <c r="R3305" t="s">
        <v>299</v>
      </c>
      <c r="S3305">
        <v>1947</v>
      </c>
      <c r="T3305">
        <v>-777</v>
      </c>
      <c r="Z3305">
        <v>0</v>
      </c>
      <c r="AA3305">
        <v>1</v>
      </c>
      <c r="AB3305">
        <v>0</v>
      </c>
      <c r="AC3305">
        <v>0</v>
      </c>
      <c r="AD3305" t="s">
        <v>13678</v>
      </c>
      <c r="AE3305">
        <v>1</v>
      </c>
      <c r="AF3305">
        <v>2001</v>
      </c>
      <c r="AG3305">
        <v>2004</v>
      </c>
      <c r="AO3305" t="b">
        <v>1</v>
      </c>
      <c r="AP3305" t="s">
        <v>45</v>
      </c>
      <c r="AQ3305">
        <v>1949</v>
      </c>
      <c r="AR3305">
        <v>1994</v>
      </c>
      <c r="AS3305" t="s">
        <v>13679</v>
      </c>
      <c r="AT3305">
        <v>3.2416153319643999</v>
      </c>
      <c r="AU3305">
        <f t="shared" si="155"/>
        <v>8.9999999999999993E-3</v>
      </c>
    </row>
    <row r="3306" spans="1:47" x14ac:dyDescent="0.3">
      <c r="A3306">
        <v>3305</v>
      </c>
      <c r="B3306" t="s">
        <v>13680</v>
      </c>
      <c r="C3306" t="s">
        <v>13681</v>
      </c>
      <c r="D3306">
        <v>850</v>
      </c>
      <c r="E3306" t="s">
        <v>13648</v>
      </c>
      <c r="F3306" t="str">
        <f>VLOOKUP(E3306,country_continent!A:C,2,FALSE)</f>
        <v>Indonesia</v>
      </c>
      <c r="G3306" t="str">
        <f>VLOOKUP(E3306,country_continent!A:C,3,FALSE)</f>
        <v>Asia</v>
      </c>
      <c r="H3306" t="s">
        <v>13682</v>
      </c>
      <c r="I3306" s="1">
        <v>38280</v>
      </c>
      <c r="J3306" s="3">
        <f t="shared" si="153"/>
        <v>38280</v>
      </c>
      <c r="K3306" s="1">
        <v>41932</v>
      </c>
      <c r="L3306" s="3">
        <f t="shared" si="154"/>
        <v>41932</v>
      </c>
      <c r="M3306" t="s">
        <v>49</v>
      </c>
      <c r="N3306" t="s">
        <v>49</v>
      </c>
      <c r="O3306" t="s">
        <v>49</v>
      </c>
      <c r="P3306">
        <v>0</v>
      </c>
      <c r="Q3306" t="s">
        <v>50</v>
      </c>
      <c r="R3306" t="s">
        <v>51</v>
      </c>
      <c r="S3306">
        <v>1949</v>
      </c>
      <c r="T3306">
        <v>-777</v>
      </c>
      <c r="U3306" s="1">
        <v>18150</v>
      </c>
      <c r="V3306" s="2">
        <v>18150</v>
      </c>
      <c r="Z3306">
        <v>0</v>
      </c>
      <c r="AA3306">
        <v>1</v>
      </c>
      <c r="AB3306">
        <v>0</v>
      </c>
      <c r="AC3306">
        <v>0</v>
      </c>
      <c r="AF3306">
        <v>2004</v>
      </c>
      <c r="AG3306">
        <v>2014</v>
      </c>
      <c r="AO3306" t="b">
        <v>1</v>
      </c>
      <c r="AP3306" t="s">
        <v>45</v>
      </c>
      <c r="AQ3306">
        <v>1949</v>
      </c>
      <c r="AR3306">
        <v>1994</v>
      </c>
      <c r="AS3306" t="s">
        <v>13683</v>
      </c>
      <c r="AT3306">
        <v>9.9986310746064309</v>
      </c>
      <c r="AU3306">
        <f t="shared" si="155"/>
        <v>2.7E-2</v>
      </c>
    </row>
    <row r="3307" spans="1:47" x14ac:dyDescent="0.3">
      <c r="A3307">
        <v>3306</v>
      </c>
      <c r="B3307" t="s">
        <v>13684</v>
      </c>
      <c r="C3307" t="s">
        <v>13685</v>
      </c>
      <c r="D3307">
        <v>850</v>
      </c>
      <c r="E3307" t="s">
        <v>13648</v>
      </c>
      <c r="F3307" t="str">
        <f>VLOOKUP(E3307,country_continent!A:C,2,FALSE)</f>
        <v>Indonesia</v>
      </c>
      <c r="G3307" t="str">
        <f>VLOOKUP(E3307,country_continent!A:C,3,FALSE)</f>
        <v>Asia</v>
      </c>
      <c r="H3307" t="s">
        <v>13686</v>
      </c>
      <c r="I3307" s="1">
        <v>41932</v>
      </c>
      <c r="J3307" s="3">
        <f t="shared" si="153"/>
        <v>41932</v>
      </c>
      <c r="K3307" s="1">
        <v>42369</v>
      </c>
      <c r="L3307" s="3">
        <f t="shared" si="154"/>
        <v>42369</v>
      </c>
      <c r="M3307" t="s">
        <v>49</v>
      </c>
      <c r="N3307" t="s">
        <v>173</v>
      </c>
      <c r="O3307" t="s">
        <v>173</v>
      </c>
      <c r="P3307">
        <v>0</v>
      </c>
      <c r="Q3307" t="s">
        <v>174</v>
      </c>
      <c r="R3307" t="s">
        <v>51</v>
      </c>
      <c r="S3307">
        <v>1961</v>
      </c>
      <c r="T3307">
        <v>-777</v>
      </c>
      <c r="U3307" s="1">
        <v>22453</v>
      </c>
      <c r="V3307" s="2">
        <v>22453</v>
      </c>
      <c r="Z3307">
        <v>0</v>
      </c>
      <c r="AA3307">
        <v>-888</v>
      </c>
      <c r="AB3307">
        <v>-888</v>
      </c>
      <c r="AC3307">
        <v>-888</v>
      </c>
      <c r="AF3307">
        <v>2014</v>
      </c>
      <c r="AG3307">
        <v>2015</v>
      </c>
      <c r="AO3307" t="b">
        <v>1</v>
      </c>
      <c r="AP3307" t="s">
        <v>45</v>
      </c>
      <c r="AQ3307">
        <v>1949</v>
      </c>
      <c r="AR3307">
        <v>1994</v>
      </c>
      <c r="AS3307" t="s">
        <v>13687</v>
      </c>
      <c r="AT3307">
        <v>1.1964407939767201</v>
      </c>
      <c r="AU3307">
        <f t="shared" si="155"/>
        <v>3.0000000000000001E-3</v>
      </c>
    </row>
    <row r="3308" spans="1:47" x14ac:dyDescent="0.3">
      <c r="A3308">
        <v>3307</v>
      </c>
      <c r="B3308" t="s">
        <v>13688</v>
      </c>
      <c r="C3308" t="s">
        <v>13689</v>
      </c>
      <c r="D3308">
        <v>860</v>
      </c>
      <c r="E3308" t="s">
        <v>13690</v>
      </c>
      <c r="F3308" t="str">
        <f>VLOOKUP(E3308,country_continent!A:C,2,FALSE)</f>
        <v>East Timor</v>
      </c>
      <c r="G3308" t="str">
        <f>VLOOKUP(E3308,country_continent!A:C,3,FALSE)</f>
        <v>Asia</v>
      </c>
      <c r="H3308" t="s">
        <v>13691</v>
      </c>
      <c r="I3308" s="1">
        <v>37396</v>
      </c>
      <c r="J3308" s="3">
        <f t="shared" si="153"/>
        <v>37396</v>
      </c>
      <c r="K3308" s="1">
        <v>39222</v>
      </c>
      <c r="L3308" s="3">
        <f t="shared" si="154"/>
        <v>39222</v>
      </c>
      <c r="M3308" t="s">
        <v>49</v>
      </c>
      <c r="N3308" t="s">
        <v>49</v>
      </c>
      <c r="O3308" t="s">
        <v>49</v>
      </c>
      <c r="P3308">
        <v>0</v>
      </c>
      <c r="Q3308" t="s">
        <v>50</v>
      </c>
      <c r="R3308" t="s">
        <v>51</v>
      </c>
      <c r="S3308">
        <v>1946</v>
      </c>
      <c r="T3308">
        <v>-777</v>
      </c>
      <c r="U3308" s="1">
        <v>16973</v>
      </c>
      <c r="V3308" s="2">
        <v>16973</v>
      </c>
      <c r="Y3308" t="s">
        <v>13692</v>
      </c>
      <c r="Z3308">
        <v>0</v>
      </c>
      <c r="AA3308">
        <v>1</v>
      </c>
      <c r="AB3308">
        <v>0</v>
      </c>
      <c r="AC3308">
        <v>0</v>
      </c>
      <c r="AF3308">
        <v>2002</v>
      </c>
      <c r="AG3308">
        <v>2007</v>
      </c>
      <c r="AO3308" t="b">
        <v>0</v>
      </c>
      <c r="AT3308">
        <v>1826</v>
      </c>
      <c r="AU3308">
        <f t="shared" si="155"/>
        <v>5.0030000000000001</v>
      </c>
    </row>
    <row r="3309" spans="1:47" x14ac:dyDescent="0.3">
      <c r="A3309">
        <v>3308</v>
      </c>
      <c r="B3309" t="s">
        <v>13693</v>
      </c>
      <c r="C3309" t="s">
        <v>13694</v>
      </c>
      <c r="D3309">
        <v>860</v>
      </c>
      <c r="E3309" t="s">
        <v>13690</v>
      </c>
      <c r="F3309" t="str">
        <f>VLOOKUP(E3309,country_continent!A:C,2,FALSE)</f>
        <v>East Timor</v>
      </c>
      <c r="G3309" t="str">
        <f>VLOOKUP(E3309,country_continent!A:C,3,FALSE)</f>
        <v>Asia</v>
      </c>
      <c r="H3309" t="s">
        <v>13695</v>
      </c>
      <c r="I3309" s="1">
        <v>39222</v>
      </c>
      <c r="J3309" s="3">
        <f t="shared" si="153"/>
        <v>39222</v>
      </c>
      <c r="K3309" s="1">
        <v>39489</v>
      </c>
      <c r="L3309" s="3">
        <f t="shared" si="154"/>
        <v>39489</v>
      </c>
      <c r="M3309" t="s">
        <v>49</v>
      </c>
      <c r="N3309" t="s">
        <v>228</v>
      </c>
      <c r="O3309" t="s">
        <v>49</v>
      </c>
      <c r="P3309">
        <v>0</v>
      </c>
      <c r="Q3309" t="s">
        <v>50</v>
      </c>
      <c r="R3309" t="s">
        <v>51</v>
      </c>
      <c r="S3309">
        <v>1949</v>
      </c>
      <c r="T3309">
        <v>-777</v>
      </c>
      <c r="U3309" s="1">
        <v>18258</v>
      </c>
      <c r="V3309" s="2">
        <v>18258</v>
      </c>
      <c r="Z3309">
        <v>0</v>
      </c>
      <c r="AA3309">
        <v>2.0999998999999998</v>
      </c>
      <c r="AB3309">
        <v>0</v>
      </c>
      <c r="AC3309">
        <v>0</v>
      </c>
      <c r="AF3309">
        <v>2007</v>
      </c>
      <c r="AG3309">
        <v>2008</v>
      </c>
      <c r="AO3309" t="b">
        <v>0</v>
      </c>
      <c r="AT3309">
        <v>267</v>
      </c>
      <c r="AU3309">
        <f t="shared" si="155"/>
        <v>0.73199999999999998</v>
      </c>
    </row>
    <row r="3310" spans="1:47" x14ac:dyDescent="0.3">
      <c r="A3310">
        <v>3309</v>
      </c>
      <c r="B3310" t="s">
        <v>13696</v>
      </c>
      <c r="C3310" t="s">
        <v>13697</v>
      </c>
      <c r="D3310">
        <v>860</v>
      </c>
      <c r="E3310" t="s">
        <v>13690</v>
      </c>
      <c r="F3310" t="str">
        <f>VLOOKUP(E3310,country_continent!A:C,2,FALSE)</f>
        <v>East Timor</v>
      </c>
      <c r="G3310" t="str">
        <f>VLOOKUP(E3310,country_continent!A:C,3,FALSE)</f>
        <v>Asia</v>
      </c>
      <c r="H3310" t="s">
        <v>13698</v>
      </c>
      <c r="I3310" s="1">
        <v>39491</v>
      </c>
      <c r="J3310" s="3">
        <f t="shared" si="153"/>
        <v>39491</v>
      </c>
      <c r="K3310" s="1">
        <v>39555</v>
      </c>
      <c r="L3310" s="3">
        <f t="shared" si="154"/>
        <v>39555</v>
      </c>
      <c r="M3310" t="s">
        <v>49</v>
      </c>
      <c r="N3310" t="s">
        <v>228</v>
      </c>
      <c r="O3310" t="s">
        <v>49</v>
      </c>
      <c r="P3310">
        <v>0</v>
      </c>
      <c r="Q3310" t="s">
        <v>50</v>
      </c>
      <c r="R3310" t="s">
        <v>51</v>
      </c>
      <c r="S3310">
        <v>1963</v>
      </c>
      <c r="T3310">
        <v>-777</v>
      </c>
      <c r="U3310" s="1">
        <v>23068</v>
      </c>
      <c r="V3310" s="2">
        <v>23068</v>
      </c>
      <c r="W3310" s="1">
        <v>42157</v>
      </c>
      <c r="X3310" s="2">
        <v>42157</v>
      </c>
      <c r="Z3310">
        <v>0</v>
      </c>
      <c r="AA3310">
        <v>2.0999998999999998</v>
      </c>
      <c r="AB3310">
        <v>0</v>
      </c>
      <c r="AC3310">
        <v>0</v>
      </c>
      <c r="AF3310">
        <v>2008</v>
      </c>
      <c r="AG3310">
        <v>2008</v>
      </c>
      <c r="AO3310" t="b">
        <v>0</v>
      </c>
      <c r="AT3310">
        <v>64</v>
      </c>
      <c r="AU3310">
        <f t="shared" si="155"/>
        <v>0.17499999999999999</v>
      </c>
    </row>
    <row r="3311" spans="1:47" x14ac:dyDescent="0.3">
      <c r="A3311">
        <v>3310</v>
      </c>
      <c r="B3311" t="s">
        <v>13699</v>
      </c>
      <c r="C3311" t="s">
        <v>13694</v>
      </c>
      <c r="D3311">
        <v>860</v>
      </c>
      <c r="E3311" t="s">
        <v>13690</v>
      </c>
      <c r="F3311" t="str">
        <f>VLOOKUP(E3311,country_continent!A:C,2,FALSE)</f>
        <v>East Timor</v>
      </c>
      <c r="G3311" t="str">
        <f>VLOOKUP(E3311,country_continent!A:C,3,FALSE)</f>
        <v>Asia</v>
      </c>
      <c r="H3311" t="s">
        <v>13695</v>
      </c>
      <c r="I3311" s="1">
        <v>39555</v>
      </c>
      <c r="J3311" s="3">
        <f t="shared" si="153"/>
        <v>39555</v>
      </c>
      <c r="K3311" s="1">
        <v>41049</v>
      </c>
      <c r="L3311" s="3">
        <f t="shared" si="154"/>
        <v>41049</v>
      </c>
      <c r="M3311" t="s">
        <v>49</v>
      </c>
      <c r="N3311" t="s">
        <v>228</v>
      </c>
      <c r="O3311" t="s">
        <v>49</v>
      </c>
      <c r="P3311">
        <v>1</v>
      </c>
      <c r="Q3311" t="s">
        <v>50</v>
      </c>
      <c r="R3311" t="s">
        <v>51</v>
      </c>
      <c r="S3311">
        <v>1949</v>
      </c>
      <c r="T3311">
        <v>-777</v>
      </c>
      <c r="U3311" s="1">
        <v>18258</v>
      </c>
      <c r="V3311" s="2">
        <v>18258</v>
      </c>
      <c r="Z3311">
        <v>0</v>
      </c>
      <c r="AA3311">
        <v>2.0999998999999998</v>
      </c>
      <c r="AB3311">
        <v>0</v>
      </c>
      <c r="AC3311">
        <v>0</v>
      </c>
      <c r="AF3311">
        <v>2008</v>
      </c>
      <c r="AG3311">
        <v>2012</v>
      </c>
      <c r="AO3311" t="b">
        <v>0</v>
      </c>
      <c r="AT3311">
        <v>1494</v>
      </c>
      <c r="AU3311">
        <f t="shared" si="155"/>
        <v>4.093</v>
      </c>
    </row>
    <row r="3312" spans="1:47" x14ac:dyDescent="0.3">
      <c r="A3312">
        <v>3311</v>
      </c>
      <c r="B3312" t="s">
        <v>13700</v>
      </c>
      <c r="C3312" t="s">
        <v>13701</v>
      </c>
      <c r="D3312">
        <v>860</v>
      </c>
      <c r="E3312" t="s">
        <v>13690</v>
      </c>
      <c r="F3312" t="str">
        <f>VLOOKUP(E3312,country_continent!A:C,2,FALSE)</f>
        <v>East Timor</v>
      </c>
      <c r="G3312" t="str">
        <f>VLOOKUP(E3312,country_continent!A:C,3,FALSE)</f>
        <v>Asia</v>
      </c>
      <c r="H3312" t="s">
        <v>13702</v>
      </c>
      <c r="I3312" s="1">
        <v>41049</v>
      </c>
      <c r="J3312" s="3">
        <f t="shared" si="153"/>
        <v>41049</v>
      </c>
      <c r="K3312" s="1">
        <v>42369</v>
      </c>
      <c r="L3312" s="3">
        <f t="shared" si="154"/>
        <v>42369</v>
      </c>
      <c r="M3312" t="s">
        <v>49</v>
      </c>
      <c r="N3312" t="s">
        <v>173</v>
      </c>
      <c r="O3312" t="s">
        <v>173</v>
      </c>
      <c r="P3312">
        <v>0</v>
      </c>
      <c r="Q3312" t="s">
        <v>174</v>
      </c>
      <c r="R3312" t="s">
        <v>51</v>
      </c>
      <c r="S3312">
        <v>1956</v>
      </c>
      <c r="T3312">
        <v>-777</v>
      </c>
      <c r="U3312" s="1">
        <v>20738</v>
      </c>
      <c r="V3312" s="2">
        <v>20738</v>
      </c>
      <c r="Z3312">
        <v>0</v>
      </c>
      <c r="AA3312">
        <v>-888</v>
      </c>
      <c r="AB3312">
        <v>-888</v>
      </c>
      <c r="AC3312">
        <v>-888</v>
      </c>
      <c r="AF3312">
        <v>2012</v>
      </c>
      <c r="AG3312">
        <v>2015</v>
      </c>
      <c r="AO3312" t="b">
        <v>0</v>
      </c>
      <c r="AT3312">
        <v>1320</v>
      </c>
      <c r="AU3312">
        <f t="shared" si="155"/>
        <v>3.6160000000000001</v>
      </c>
    </row>
    <row r="3313" spans="1:47" x14ac:dyDescent="0.3">
      <c r="A3313">
        <v>3312</v>
      </c>
      <c r="B3313" t="s">
        <v>13703</v>
      </c>
      <c r="C3313" t="s">
        <v>13704</v>
      </c>
      <c r="D3313">
        <v>900</v>
      </c>
      <c r="E3313" t="s">
        <v>13705</v>
      </c>
      <c r="F3313" t="str">
        <f>VLOOKUP(E3313,country_continent!A:C,2,FALSE)</f>
        <v>Australia</v>
      </c>
      <c r="G3313" t="str">
        <f>VLOOKUP(E3313,country_continent!A:C,3,FALSE)</f>
        <v>Oceania</v>
      </c>
      <c r="H3313" t="s">
        <v>13706</v>
      </c>
      <c r="I3313" s="1">
        <v>367</v>
      </c>
      <c r="J3313" s="3">
        <f t="shared" si="153"/>
        <v>367</v>
      </c>
      <c r="K3313" s="1">
        <v>1363</v>
      </c>
      <c r="L3313" s="3">
        <f t="shared" si="154"/>
        <v>1363</v>
      </c>
      <c r="M3313" t="s">
        <v>49</v>
      </c>
      <c r="N3313" t="s">
        <v>49</v>
      </c>
      <c r="O3313" t="s">
        <v>49</v>
      </c>
      <c r="P3313">
        <v>0</v>
      </c>
      <c r="Q3313" t="s">
        <v>50</v>
      </c>
      <c r="R3313" t="s">
        <v>51</v>
      </c>
      <c r="S3313">
        <v>1849</v>
      </c>
      <c r="T3313">
        <v>1920</v>
      </c>
      <c r="U3313" t="s">
        <v>13707</v>
      </c>
      <c r="V3313" t="s">
        <v>13708</v>
      </c>
      <c r="W3313" s="1">
        <v>7312</v>
      </c>
      <c r="X3313" s="2">
        <v>7312</v>
      </c>
      <c r="Y3313" t="s">
        <v>13709</v>
      </c>
      <c r="Z3313">
        <v>0</v>
      </c>
      <c r="AA3313">
        <v>1</v>
      </c>
      <c r="AB3313">
        <v>0</v>
      </c>
      <c r="AC3313">
        <v>0</v>
      </c>
      <c r="AF3313">
        <v>1901</v>
      </c>
      <c r="AG3313">
        <v>1903</v>
      </c>
      <c r="AO3313" t="b">
        <v>1</v>
      </c>
      <c r="AP3313" t="s">
        <v>4986</v>
      </c>
      <c r="AQ3313">
        <v>1944</v>
      </c>
      <c r="AR3313">
        <v>2016</v>
      </c>
      <c r="AS3313" t="s">
        <v>13710</v>
      </c>
      <c r="AT3313">
        <v>2.7268993839835698</v>
      </c>
      <c r="AU3313">
        <f t="shared" si="155"/>
        <v>7.0000000000000001E-3</v>
      </c>
    </row>
    <row r="3314" spans="1:47" x14ac:dyDescent="0.3">
      <c r="A3314">
        <v>3313</v>
      </c>
      <c r="B3314" t="s">
        <v>13711</v>
      </c>
      <c r="C3314" t="s">
        <v>13712</v>
      </c>
      <c r="D3314">
        <v>900</v>
      </c>
      <c r="E3314" t="s">
        <v>13705</v>
      </c>
      <c r="F3314" t="str">
        <f>VLOOKUP(E3314,country_continent!A:C,2,FALSE)</f>
        <v>Australia</v>
      </c>
      <c r="G3314" t="str">
        <f>VLOOKUP(E3314,country_continent!A:C,3,FALSE)</f>
        <v>Oceania</v>
      </c>
      <c r="H3314" t="s">
        <v>13713</v>
      </c>
      <c r="I3314" s="1">
        <v>1363</v>
      </c>
      <c r="J3314" s="3">
        <f t="shared" si="153"/>
        <v>1363</v>
      </c>
      <c r="K3314" s="1">
        <v>1578</v>
      </c>
      <c r="L3314" s="3">
        <f t="shared" si="154"/>
        <v>1578</v>
      </c>
      <c r="M3314" t="s">
        <v>49</v>
      </c>
      <c r="N3314" t="s">
        <v>49</v>
      </c>
      <c r="O3314" t="s">
        <v>49</v>
      </c>
      <c r="P3314">
        <v>0</v>
      </c>
      <c r="Q3314" t="s">
        <v>50</v>
      </c>
      <c r="R3314" t="s">
        <v>51</v>
      </c>
      <c r="S3314">
        <v>1856</v>
      </c>
      <c r="T3314">
        <v>1919</v>
      </c>
      <c r="U3314" t="s">
        <v>13714</v>
      </c>
      <c r="V3314" t="s">
        <v>13715</v>
      </c>
      <c r="W3314" s="1">
        <v>7220</v>
      </c>
      <c r="X3314" s="2">
        <v>7220</v>
      </c>
      <c r="Y3314" t="s">
        <v>13716</v>
      </c>
      <c r="Z3314">
        <v>0</v>
      </c>
      <c r="AA3314">
        <v>1</v>
      </c>
      <c r="AB3314">
        <v>0</v>
      </c>
      <c r="AC3314">
        <v>0</v>
      </c>
      <c r="AF3314">
        <v>1903</v>
      </c>
      <c r="AG3314">
        <v>1904</v>
      </c>
      <c r="AO3314" t="b">
        <v>1</v>
      </c>
      <c r="AP3314" t="s">
        <v>4986</v>
      </c>
      <c r="AQ3314">
        <v>1944</v>
      </c>
      <c r="AR3314">
        <v>2016</v>
      </c>
      <c r="AS3314" t="s">
        <v>13717</v>
      </c>
      <c r="AT3314">
        <v>0.58863791923340103</v>
      </c>
      <c r="AU3314">
        <f t="shared" si="155"/>
        <v>2E-3</v>
      </c>
    </row>
    <row r="3315" spans="1:47" x14ac:dyDescent="0.3">
      <c r="A3315">
        <v>3314</v>
      </c>
      <c r="B3315" t="s">
        <v>13718</v>
      </c>
      <c r="C3315" t="s">
        <v>13719</v>
      </c>
      <c r="D3315">
        <v>900</v>
      </c>
      <c r="E3315" t="s">
        <v>13705</v>
      </c>
      <c r="F3315" t="str">
        <f>VLOOKUP(E3315,country_continent!A:C,2,FALSE)</f>
        <v>Australia</v>
      </c>
      <c r="G3315" t="str">
        <f>VLOOKUP(E3315,country_continent!A:C,3,FALSE)</f>
        <v>Oceania</v>
      </c>
      <c r="H3315" t="s">
        <v>13720</v>
      </c>
      <c r="I3315" s="1">
        <v>1578</v>
      </c>
      <c r="J3315" s="3">
        <f t="shared" si="153"/>
        <v>1578</v>
      </c>
      <c r="K3315" s="1">
        <v>1692</v>
      </c>
      <c r="L3315" s="3">
        <f t="shared" si="154"/>
        <v>1692</v>
      </c>
      <c r="M3315" t="s">
        <v>49</v>
      </c>
      <c r="N3315" t="s">
        <v>49</v>
      </c>
      <c r="O3315" t="s">
        <v>49</v>
      </c>
      <c r="P3315">
        <v>0</v>
      </c>
      <c r="Q3315" t="s">
        <v>50</v>
      </c>
      <c r="R3315" t="s">
        <v>51</v>
      </c>
      <c r="S3315">
        <v>1867</v>
      </c>
      <c r="T3315">
        <v>1941</v>
      </c>
      <c r="U3315" t="s">
        <v>13721</v>
      </c>
      <c r="V3315" t="s">
        <v>13722</v>
      </c>
      <c r="Y3315" t="s">
        <v>13723</v>
      </c>
      <c r="Z3315">
        <v>0</v>
      </c>
      <c r="AA3315">
        <v>1</v>
      </c>
      <c r="AB3315">
        <v>0</v>
      </c>
      <c r="AC3315">
        <v>0</v>
      </c>
      <c r="AF3315">
        <v>1904</v>
      </c>
      <c r="AG3315">
        <v>1904</v>
      </c>
      <c r="AO3315" t="b">
        <v>1</v>
      </c>
      <c r="AP3315" t="s">
        <v>4986</v>
      </c>
      <c r="AQ3315">
        <v>1944</v>
      </c>
      <c r="AR3315">
        <v>2016</v>
      </c>
      <c r="AS3315" t="s">
        <v>13724</v>
      </c>
      <c r="AT3315">
        <v>0.31211498973305901</v>
      </c>
      <c r="AU3315">
        <f t="shared" si="155"/>
        <v>1E-3</v>
      </c>
    </row>
    <row r="3316" spans="1:47" x14ac:dyDescent="0.3">
      <c r="A3316">
        <v>3315</v>
      </c>
      <c r="B3316" t="s">
        <v>13725</v>
      </c>
      <c r="C3316" t="s">
        <v>13726</v>
      </c>
      <c r="D3316">
        <v>900</v>
      </c>
      <c r="E3316" t="s">
        <v>13705</v>
      </c>
      <c r="F3316" t="str">
        <f>VLOOKUP(E3316,country_continent!A:C,2,FALSE)</f>
        <v>Australia</v>
      </c>
      <c r="G3316" t="str">
        <f>VLOOKUP(E3316,country_continent!A:C,3,FALSE)</f>
        <v>Oceania</v>
      </c>
      <c r="H3316" t="s">
        <v>13727</v>
      </c>
      <c r="I3316" s="1">
        <v>1692</v>
      </c>
      <c r="J3316" s="3">
        <f t="shared" si="153"/>
        <v>1692</v>
      </c>
      <c r="K3316" s="1">
        <v>2013</v>
      </c>
      <c r="L3316" s="3">
        <f t="shared" si="154"/>
        <v>2013</v>
      </c>
      <c r="M3316" t="s">
        <v>49</v>
      </c>
      <c r="N3316" t="s">
        <v>49</v>
      </c>
      <c r="O3316" t="s">
        <v>49</v>
      </c>
      <c r="P3316">
        <v>0</v>
      </c>
      <c r="Q3316" t="s">
        <v>50</v>
      </c>
      <c r="R3316" t="s">
        <v>51</v>
      </c>
      <c r="S3316">
        <v>1848</v>
      </c>
      <c r="T3316">
        <v>1918</v>
      </c>
      <c r="U3316" t="s">
        <v>13728</v>
      </c>
      <c r="V3316" t="s">
        <v>13729</v>
      </c>
      <c r="W3316" s="1">
        <v>6830</v>
      </c>
      <c r="X3316" s="2">
        <v>6830</v>
      </c>
      <c r="Z3316">
        <v>0</v>
      </c>
      <c r="AA3316">
        <v>1</v>
      </c>
      <c r="AB3316">
        <v>0</v>
      </c>
      <c r="AC3316">
        <v>0</v>
      </c>
      <c r="AF3316">
        <v>1904</v>
      </c>
      <c r="AG3316">
        <v>1905</v>
      </c>
      <c r="AO3316" t="b">
        <v>1</v>
      </c>
      <c r="AP3316" t="s">
        <v>4986</v>
      </c>
      <c r="AQ3316">
        <v>1944</v>
      </c>
      <c r="AR3316">
        <v>2016</v>
      </c>
      <c r="AS3316" t="s">
        <v>13730</v>
      </c>
      <c r="AT3316">
        <v>0.878850102669404</v>
      </c>
      <c r="AU3316">
        <f t="shared" si="155"/>
        <v>2E-3</v>
      </c>
    </row>
    <row r="3317" spans="1:47" x14ac:dyDescent="0.3">
      <c r="A3317">
        <v>3316</v>
      </c>
      <c r="B3317" t="s">
        <v>13731</v>
      </c>
      <c r="C3317" t="s">
        <v>13712</v>
      </c>
      <c r="D3317">
        <v>900</v>
      </c>
      <c r="E3317" t="s">
        <v>13705</v>
      </c>
      <c r="F3317" t="str">
        <f>VLOOKUP(E3317,country_continent!A:C,2,FALSE)</f>
        <v>Australia</v>
      </c>
      <c r="G3317" t="str">
        <f>VLOOKUP(E3317,country_continent!A:C,3,FALSE)</f>
        <v>Oceania</v>
      </c>
      <c r="H3317" t="s">
        <v>13713</v>
      </c>
      <c r="I3317" s="1">
        <v>2013</v>
      </c>
      <c r="J3317" s="3">
        <f t="shared" si="153"/>
        <v>2013</v>
      </c>
      <c r="K3317" s="1">
        <v>3240</v>
      </c>
      <c r="L3317" s="3">
        <f t="shared" si="154"/>
        <v>3240</v>
      </c>
      <c r="M3317" t="s">
        <v>49</v>
      </c>
      <c r="N3317" t="s">
        <v>49</v>
      </c>
      <c r="O3317" t="s">
        <v>49</v>
      </c>
      <c r="P3317">
        <v>1</v>
      </c>
      <c r="Q3317" t="s">
        <v>50</v>
      </c>
      <c r="R3317" t="s">
        <v>51</v>
      </c>
      <c r="S3317">
        <v>1856</v>
      </c>
      <c r="T3317">
        <v>1919</v>
      </c>
      <c r="U3317" t="s">
        <v>13714</v>
      </c>
      <c r="V3317" t="s">
        <v>13715</v>
      </c>
      <c r="W3317" s="1">
        <v>7220</v>
      </c>
      <c r="X3317" s="2">
        <v>7220</v>
      </c>
      <c r="Y3317" t="s">
        <v>13716</v>
      </c>
      <c r="Z3317">
        <v>0</v>
      </c>
      <c r="AA3317">
        <v>1</v>
      </c>
      <c r="AB3317">
        <v>0</v>
      </c>
      <c r="AC3317">
        <v>0</v>
      </c>
      <c r="AF3317">
        <v>1905</v>
      </c>
      <c r="AG3317">
        <v>1908</v>
      </c>
      <c r="AO3317" t="b">
        <v>1</v>
      </c>
      <c r="AP3317" t="s">
        <v>4986</v>
      </c>
      <c r="AQ3317">
        <v>1944</v>
      </c>
      <c r="AR3317">
        <v>2016</v>
      </c>
      <c r="AS3317" t="s">
        <v>13732</v>
      </c>
      <c r="AT3317">
        <v>3.3593429158110801</v>
      </c>
      <c r="AU3317">
        <f t="shared" si="155"/>
        <v>8.9999999999999993E-3</v>
      </c>
    </row>
    <row r="3318" spans="1:47" x14ac:dyDescent="0.3">
      <c r="A3318">
        <v>3317</v>
      </c>
      <c r="B3318" t="s">
        <v>13733</v>
      </c>
      <c r="C3318" t="s">
        <v>13734</v>
      </c>
      <c r="D3318">
        <v>900</v>
      </c>
      <c r="E3318" t="s">
        <v>13705</v>
      </c>
      <c r="F3318" t="str">
        <f>VLOOKUP(E3318,country_continent!A:C,2,FALSE)</f>
        <v>Australia</v>
      </c>
      <c r="G3318" t="str">
        <f>VLOOKUP(E3318,country_continent!A:C,3,FALSE)</f>
        <v>Oceania</v>
      </c>
      <c r="H3318" t="s">
        <v>13735</v>
      </c>
      <c r="I3318" s="1">
        <v>3240</v>
      </c>
      <c r="J3318" s="3">
        <f t="shared" si="153"/>
        <v>3240</v>
      </c>
      <c r="K3318" s="1">
        <v>3441</v>
      </c>
      <c r="L3318" s="3">
        <f t="shared" si="154"/>
        <v>3441</v>
      </c>
      <c r="M3318" t="s">
        <v>49</v>
      </c>
      <c r="N3318" t="s">
        <v>49</v>
      </c>
      <c r="O3318" t="s">
        <v>49</v>
      </c>
      <c r="P3318">
        <v>0</v>
      </c>
      <c r="Q3318" t="s">
        <v>50</v>
      </c>
      <c r="R3318" t="s">
        <v>51</v>
      </c>
      <c r="S3318">
        <v>1862</v>
      </c>
      <c r="T3318">
        <v>1928</v>
      </c>
      <c r="U3318" t="s">
        <v>13736</v>
      </c>
      <c r="V3318" t="s">
        <v>13737</v>
      </c>
      <c r="W3318" s="1">
        <v>10523</v>
      </c>
      <c r="X3318" s="2">
        <v>10523</v>
      </c>
      <c r="Y3318" t="s">
        <v>13738</v>
      </c>
      <c r="Z3318">
        <v>0</v>
      </c>
      <c r="AA3318">
        <v>1</v>
      </c>
      <c r="AB3318">
        <v>0</v>
      </c>
      <c r="AC3318">
        <v>0</v>
      </c>
      <c r="AF3318">
        <v>1908</v>
      </c>
      <c r="AG3318">
        <v>1909</v>
      </c>
      <c r="AO3318" t="b">
        <v>1</v>
      </c>
      <c r="AP3318" t="s">
        <v>4986</v>
      </c>
      <c r="AQ3318">
        <v>1944</v>
      </c>
      <c r="AR3318">
        <v>2016</v>
      </c>
      <c r="AS3318" t="s">
        <v>13739</v>
      </c>
      <c r="AT3318">
        <v>0.55030800821355197</v>
      </c>
      <c r="AU3318">
        <f t="shared" si="155"/>
        <v>2E-3</v>
      </c>
    </row>
    <row r="3319" spans="1:47" x14ac:dyDescent="0.3">
      <c r="A3319">
        <v>3318</v>
      </c>
      <c r="B3319" t="s">
        <v>13740</v>
      </c>
      <c r="C3319" t="s">
        <v>13712</v>
      </c>
      <c r="D3319">
        <v>900</v>
      </c>
      <c r="E3319" t="s">
        <v>13705</v>
      </c>
      <c r="F3319" t="str">
        <f>VLOOKUP(E3319,country_continent!A:C,2,FALSE)</f>
        <v>Australia</v>
      </c>
      <c r="G3319" t="str">
        <f>VLOOKUP(E3319,country_continent!A:C,3,FALSE)</f>
        <v>Oceania</v>
      </c>
      <c r="H3319" t="s">
        <v>13713</v>
      </c>
      <c r="I3319" s="1">
        <v>3441</v>
      </c>
      <c r="J3319" s="3">
        <f t="shared" si="153"/>
        <v>3441</v>
      </c>
      <c r="K3319" s="1">
        <v>3772</v>
      </c>
      <c r="L3319" s="3">
        <f t="shared" si="154"/>
        <v>3772</v>
      </c>
      <c r="M3319" t="s">
        <v>49</v>
      </c>
      <c r="N3319" t="s">
        <v>49</v>
      </c>
      <c r="O3319" t="s">
        <v>49</v>
      </c>
      <c r="P3319">
        <v>2</v>
      </c>
      <c r="Q3319" t="s">
        <v>50</v>
      </c>
      <c r="R3319" t="s">
        <v>51</v>
      </c>
      <c r="S3319">
        <v>1856</v>
      </c>
      <c r="T3319">
        <v>1919</v>
      </c>
      <c r="U3319" t="s">
        <v>13714</v>
      </c>
      <c r="V3319" t="s">
        <v>13715</v>
      </c>
      <c r="W3319" s="1">
        <v>7220</v>
      </c>
      <c r="X3319" s="2">
        <v>7220</v>
      </c>
      <c r="Y3319" t="s">
        <v>13716</v>
      </c>
      <c r="Z3319">
        <v>0</v>
      </c>
      <c r="AA3319">
        <v>1</v>
      </c>
      <c r="AB3319">
        <v>0</v>
      </c>
      <c r="AC3319">
        <v>0</v>
      </c>
      <c r="AF3319">
        <v>1909</v>
      </c>
      <c r="AG3319">
        <v>1910</v>
      </c>
      <c r="AO3319" t="b">
        <v>1</v>
      </c>
      <c r="AP3319" t="s">
        <v>4986</v>
      </c>
      <c r="AQ3319">
        <v>1944</v>
      </c>
      <c r="AR3319">
        <v>2016</v>
      </c>
      <c r="AS3319" t="s">
        <v>13741</v>
      </c>
      <c r="AT3319">
        <v>0.90622861054072501</v>
      </c>
      <c r="AU3319">
        <f t="shared" si="155"/>
        <v>2E-3</v>
      </c>
    </row>
    <row r="3320" spans="1:47" x14ac:dyDescent="0.3">
      <c r="A3320">
        <v>3319</v>
      </c>
      <c r="B3320" t="s">
        <v>13742</v>
      </c>
      <c r="C3320" t="s">
        <v>13734</v>
      </c>
      <c r="D3320">
        <v>900</v>
      </c>
      <c r="E3320" t="s">
        <v>13705</v>
      </c>
      <c r="F3320" t="str">
        <f>VLOOKUP(E3320,country_continent!A:C,2,FALSE)</f>
        <v>Australia</v>
      </c>
      <c r="G3320" t="str">
        <f>VLOOKUP(E3320,country_continent!A:C,3,FALSE)</f>
        <v>Oceania</v>
      </c>
      <c r="H3320" t="s">
        <v>13735</v>
      </c>
      <c r="I3320" s="1">
        <v>3772</v>
      </c>
      <c r="J3320" s="3">
        <f t="shared" si="153"/>
        <v>3772</v>
      </c>
      <c r="K3320" s="1">
        <v>4863</v>
      </c>
      <c r="L3320" s="3">
        <f t="shared" si="154"/>
        <v>4863</v>
      </c>
      <c r="M3320" t="s">
        <v>49</v>
      </c>
      <c r="N3320" t="s">
        <v>49</v>
      </c>
      <c r="O3320" t="s">
        <v>49</v>
      </c>
      <c r="P3320">
        <v>1</v>
      </c>
      <c r="Q3320" t="s">
        <v>50</v>
      </c>
      <c r="R3320" t="s">
        <v>51</v>
      </c>
      <c r="S3320">
        <v>1862</v>
      </c>
      <c r="T3320">
        <v>1928</v>
      </c>
      <c r="U3320" t="s">
        <v>13736</v>
      </c>
      <c r="V3320" t="s">
        <v>13737</v>
      </c>
      <c r="W3320" s="1">
        <v>10523</v>
      </c>
      <c r="X3320" s="2">
        <v>10523</v>
      </c>
      <c r="Y3320" t="s">
        <v>13738</v>
      </c>
      <c r="Z3320">
        <v>0</v>
      </c>
      <c r="AA3320">
        <v>1</v>
      </c>
      <c r="AB3320">
        <v>0</v>
      </c>
      <c r="AC3320">
        <v>0</v>
      </c>
      <c r="AF3320">
        <v>1910</v>
      </c>
      <c r="AG3320">
        <v>1913</v>
      </c>
      <c r="AO3320" t="b">
        <v>1</v>
      </c>
      <c r="AP3320" t="s">
        <v>4986</v>
      </c>
      <c r="AQ3320">
        <v>1944</v>
      </c>
      <c r="AR3320">
        <v>2016</v>
      </c>
      <c r="AS3320" t="s">
        <v>13743</v>
      </c>
      <c r="AT3320">
        <v>2.9869952087611198</v>
      </c>
      <c r="AU3320">
        <f t="shared" si="155"/>
        <v>8.0000000000000002E-3</v>
      </c>
    </row>
    <row r="3321" spans="1:47" x14ac:dyDescent="0.3">
      <c r="A3321">
        <v>3320</v>
      </c>
      <c r="B3321" t="s">
        <v>13744</v>
      </c>
      <c r="C3321" t="s">
        <v>13745</v>
      </c>
      <c r="D3321">
        <v>900</v>
      </c>
      <c r="E3321" t="s">
        <v>13705</v>
      </c>
      <c r="F3321" t="str">
        <f>VLOOKUP(E3321,country_continent!A:C,2,FALSE)</f>
        <v>Australia</v>
      </c>
      <c r="G3321" t="str">
        <f>VLOOKUP(E3321,country_continent!A:C,3,FALSE)</f>
        <v>Oceania</v>
      </c>
      <c r="H3321" t="s">
        <v>13746</v>
      </c>
      <c r="I3321" s="1">
        <v>4863</v>
      </c>
      <c r="J3321" s="3">
        <f t="shared" si="153"/>
        <v>4863</v>
      </c>
      <c r="K3321" s="1">
        <v>5374</v>
      </c>
      <c r="L3321" s="3">
        <f t="shared" si="154"/>
        <v>5374</v>
      </c>
      <c r="M3321" t="s">
        <v>49</v>
      </c>
      <c r="N3321" t="s">
        <v>49</v>
      </c>
      <c r="O3321" t="s">
        <v>49</v>
      </c>
      <c r="P3321">
        <v>0</v>
      </c>
      <c r="Q3321" t="s">
        <v>50</v>
      </c>
      <c r="R3321" t="s">
        <v>51</v>
      </c>
      <c r="S3321">
        <v>1860</v>
      </c>
      <c r="T3321">
        <v>1947</v>
      </c>
      <c r="U3321" t="s">
        <v>13747</v>
      </c>
      <c r="V3321" t="s">
        <v>13748</v>
      </c>
      <c r="W3321" s="1">
        <v>17378</v>
      </c>
      <c r="X3321" s="2">
        <v>17378</v>
      </c>
      <c r="Y3321" t="s">
        <v>13749</v>
      </c>
      <c r="Z3321">
        <v>0</v>
      </c>
      <c r="AA3321">
        <v>1</v>
      </c>
      <c r="AB3321">
        <v>0</v>
      </c>
      <c r="AC3321">
        <v>0</v>
      </c>
      <c r="AF3321">
        <v>1913</v>
      </c>
      <c r="AG3321">
        <v>1914</v>
      </c>
      <c r="AO3321" t="b">
        <v>1</v>
      </c>
      <c r="AP3321" t="s">
        <v>4986</v>
      </c>
      <c r="AQ3321">
        <v>1944</v>
      </c>
      <c r="AR3321">
        <v>2016</v>
      </c>
      <c r="AS3321" t="s">
        <v>13750</v>
      </c>
      <c r="AT3321">
        <v>1.3990417522245</v>
      </c>
      <c r="AU3321">
        <f t="shared" si="155"/>
        <v>4.0000000000000001E-3</v>
      </c>
    </row>
    <row r="3322" spans="1:47" x14ac:dyDescent="0.3">
      <c r="A3322">
        <v>3321</v>
      </c>
      <c r="B3322" t="s">
        <v>13751</v>
      </c>
      <c r="C3322" t="s">
        <v>13734</v>
      </c>
      <c r="D3322">
        <v>900</v>
      </c>
      <c r="E3322" t="s">
        <v>13705</v>
      </c>
      <c r="F3322" t="str">
        <f>VLOOKUP(E3322,country_continent!A:C,2,FALSE)</f>
        <v>Australia</v>
      </c>
      <c r="G3322" t="str">
        <f>VLOOKUP(E3322,country_continent!A:C,3,FALSE)</f>
        <v>Oceania</v>
      </c>
      <c r="H3322" t="s">
        <v>13735</v>
      </c>
      <c r="I3322" s="1">
        <v>5374</v>
      </c>
      <c r="J3322" s="3">
        <f t="shared" si="153"/>
        <v>5374</v>
      </c>
      <c r="K3322" s="1">
        <v>5779</v>
      </c>
      <c r="L3322" s="3">
        <f t="shared" si="154"/>
        <v>5779</v>
      </c>
      <c r="M3322" t="s">
        <v>49</v>
      </c>
      <c r="N3322" t="s">
        <v>49</v>
      </c>
      <c r="O3322" t="s">
        <v>49</v>
      </c>
      <c r="P3322">
        <v>2</v>
      </c>
      <c r="Q3322" t="s">
        <v>50</v>
      </c>
      <c r="R3322" t="s">
        <v>51</v>
      </c>
      <c r="S3322">
        <v>1862</v>
      </c>
      <c r="T3322">
        <v>1928</v>
      </c>
      <c r="U3322" t="s">
        <v>13736</v>
      </c>
      <c r="V3322" t="s">
        <v>13737</v>
      </c>
      <c r="W3322" s="1">
        <v>10523</v>
      </c>
      <c r="X3322" s="2">
        <v>10523</v>
      </c>
      <c r="Y3322" t="s">
        <v>13738</v>
      </c>
      <c r="Z3322">
        <v>0</v>
      </c>
      <c r="AA3322">
        <v>1</v>
      </c>
      <c r="AB3322">
        <v>0</v>
      </c>
      <c r="AC3322">
        <v>0</v>
      </c>
      <c r="AF3322">
        <v>1914</v>
      </c>
      <c r="AG3322">
        <v>1915</v>
      </c>
      <c r="AO3322" t="b">
        <v>1</v>
      </c>
      <c r="AP3322" t="s">
        <v>4986</v>
      </c>
      <c r="AQ3322">
        <v>1944</v>
      </c>
      <c r="AR3322">
        <v>2016</v>
      </c>
      <c r="AS3322" t="s">
        <v>13752</v>
      </c>
      <c r="AT3322">
        <v>1.1088295687884999</v>
      </c>
      <c r="AU3322">
        <f t="shared" si="155"/>
        <v>3.0000000000000001E-3</v>
      </c>
    </row>
    <row r="3323" spans="1:47" x14ac:dyDescent="0.3">
      <c r="A3323">
        <v>3322</v>
      </c>
      <c r="B3323" t="s">
        <v>13753</v>
      </c>
      <c r="C3323" t="s">
        <v>13754</v>
      </c>
      <c r="D3323">
        <v>900</v>
      </c>
      <c r="E3323" t="s">
        <v>13705</v>
      </c>
      <c r="F3323" t="str">
        <f>VLOOKUP(E3323,country_continent!A:C,2,FALSE)</f>
        <v>Australia</v>
      </c>
      <c r="G3323" t="str">
        <f>VLOOKUP(E3323,country_continent!A:C,3,FALSE)</f>
        <v>Oceania</v>
      </c>
      <c r="H3323" t="s">
        <v>13755</v>
      </c>
      <c r="I3323" s="1">
        <v>5779</v>
      </c>
      <c r="J3323" s="3">
        <f t="shared" si="153"/>
        <v>5779</v>
      </c>
      <c r="K3323" s="1">
        <v>8435</v>
      </c>
      <c r="L3323" s="3">
        <f t="shared" si="154"/>
        <v>8435</v>
      </c>
      <c r="M3323" t="s">
        <v>49</v>
      </c>
      <c r="N3323" t="s">
        <v>49</v>
      </c>
      <c r="O3323" t="s">
        <v>49</v>
      </c>
      <c r="P3323">
        <v>0</v>
      </c>
      <c r="Q3323" t="s">
        <v>50</v>
      </c>
      <c r="R3323" t="s">
        <v>51</v>
      </c>
      <c r="S3323">
        <v>1864</v>
      </c>
      <c r="T3323">
        <v>1952</v>
      </c>
      <c r="U3323" t="s">
        <v>13756</v>
      </c>
      <c r="V3323" t="s">
        <v>13757</v>
      </c>
      <c r="W3323" s="1">
        <v>19295</v>
      </c>
      <c r="X3323" s="2">
        <v>19295</v>
      </c>
      <c r="Y3323" t="s">
        <v>13758</v>
      </c>
      <c r="Z3323">
        <v>0</v>
      </c>
      <c r="AA3323">
        <v>1</v>
      </c>
      <c r="AB3323">
        <v>0</v>
      </c>
      <c r="AC3323">
        <v>0</v>
      </c>
      <c r="AF3323">
        <v>1915</v>
      </c>
      <c r="AG3323">
        <v>1923</v>
      </c>
      <c r="AO3323" t="b">
        <v>1</v>
      </c>
      <c r="AP3323" t="s">
        <v>4986</v>
      </c>
      <c r="AQ3323">
        <v>1944</v>
      </c>
      <c r="AR3323">
        <v>2016</v>
      </c>
      <c r="AS3323" t="s">
        <v>13759</v>
      </c>
      <c r="AT3323">
        <v>7.2717316906228602</v>
      </c>
      <c r="AU3323">
        <f t="shared" si="155"/>
        <v>0.02</v>
      </c>
    </row>
    <row r="3324" spans="1:47" x14ac:dyDescent="0.3">
      <c r="A3324">
        <v>3323</v>
      </c>
      <c r="B3324" t="s">
        <v>13760</v>
      </c>
      <c r="C3324" t="s">
        <v>13761</v>
      </c>
      <c r="D3324">
        <v>900</v>
      </c>
      <c r="E3324" t="s">
        <v>13705</v>
      </c>
      <c r="F3324" t="str">
        <f>VLOOKUP(E3324,country_continent!A:C,2,FALSE)</f>
        <v>Australia</v>
      </c>
      <c r="G3324" t="str">
        <f>VLOOKUP(E3324,country_continent!A:C,3,FALSE)</f>
        <v>Oceania</v>
      </c>
      <c r="H3324" t="s">
        <v>13762</v>
      </c>
      <c r="I3324" s="1">
        <v>8435</v>
      </c>
      <c r="J3324" s="3">
        <f t="shared" si="153"/>
        <v>8435</v>
      </c>
      <c r="K3324" s="1">
        <v>10888</v>
      </c>
      <c r="L3324" s="3">
        <f t="shared" si="154"/>
        <v>10888</v>
      </c>
      <c r="M3324" t="s">
        <v>49</v>
      </c>
      <c r="N3324" t="s">
        <v>49</v>
      </c>
      <c r="O3324" t="s">
        <v>49</v>
      </c>
      <c r="P3324">
        <v>0</v>
      </c>
      <c r="Q3324" t="s">
        <v>50</v>
      </c>
      <c r="R3324" t="s">
        <v>51</v>
      </c>
      <c r="S3324">
        <v>1883</v>
      </c>
      <c r="T3324">
        <v>1967</v>
      </c>
      <c r="U3324" t="s">
        <v>13763</v>
      </c>
      <c r="V3324" t="s">
        <v>13764</v>
      </c>
      <c r="W3324" s="1">
        <v>24709</v>
      </c>
      <c r="X3324" s="2">
        <v>24709</v>
      </c>
      <c r="Y3324" t="s">
        <v>13765</v>
      </c>
      <c r="Z3324">
        <v>0</v>
      </c>
      <c r="AA3324">
        <v>1</v>
      </c>
      <c r="AB3324">
        <v>0</v>
      </c>
      <c r="AC3324">
        <v>0</v>
      </c>
      <c r="AF3324">
        <v>1923</v>
      </c>
      <c r="AG3324">
        <v>1929</v>
      </c>
      <c r="AO3324" t="b">
        <v>1</v>
      </c>
      <c r="AP3324" t="s">
        <v>4986</v>
      </c>
      <c r="AQ3324">
        <v>1944</v>
      </c>
      <c r="AR3324">
        <v>2016</v>
      </c>
      <c r="AS3324" t="s">
        <v>13766</v>
      </c>
      <c r="AT3324">
        <v>6.7159479808350397</v>
      </c>
      <c r="AU3324">
        <f t="shared" si="155"/>
        <v>1.7999999999999999E-2</v>
      </c>
    </row>
    <row r="3325" spans="1:47" x14ac:dyDescent="0.3">
      <c r="A3325">
        <v>3324</v>
      </c>
      <c r="B3325" t="s">
        <v>13767</v>
      </c>
      <c r="C3325" t="s">
        <v>13768</v>
      </c>
      <c r="D3325">
        <v>900</v>
      </c>
      <c r="E3325" t="s">
        <v>13705</v>
      </c>
      <c r="F3325" t="str">
        <f>VLOOKUP(E3325,country_continent!A:C,2,FALSE)</f>
        <v>Australia</v>
      </c>
      <c r="G3325" t="str">
        <f>VLOOKUP(E3325,country_continent!A:C,3,FALSE)</f>
        <v>Oceania</v>
      </c>
      <c r="H3325" t="s">
        <v>13769</v>
      </c>
      <c r="I3325" s="1">
        <v>10888</v>
      </c>
      <c r="J3325" s="3">
        <f t="shared" si="153"/>
        <v>10888</v>
      </c>
      <c r="K3325" s="1">
        <v>11694</v>
      </c>
      <c r="L3325" s="3">
        <f t="shared" si="154"/>
        <v>11694</v>
      </c>
      <c r="M3325" t="s">
        <v>49</v>
      </c>
      <c r="N3325" t="s">
        <v>49</v>
      </c>
      <c r="O3325" t="s">
        <v>49</v>
      </c>
      <c r="P3325">
        <v>0</v>
      </c>
      <c r="Q3325" t="s">
        <v>50</v>
      </c>
      <c r="R3325" t="s">
        <v>51</v>
      </c>
      <c r="S3325">
        <v>1876</v>
      </c>
      <c r="T3325">
        <v>1953</v>
      </c>
      <c r="U3325" t="s">
        <v>3598</v>
      </c>
      <c r="V3325" t="s">
        <v>3599</v>
      </c>
      <c r="Y3325" t="s">
        <v>13770</v>
      </c>
      <c r="Z3325">
        <v>0</v>
      </c>
      <c r="AA3325">
        <v>1</v>
      </c>
      <c r="AB3325">
        <v>0</v>
      </c>
      <c r="AC3325">
        <v>0</v>
      </c>
      <c r="AF3325">
        <v>1929</v>
      </c>
      <c r="AG3325">
        <v>1932</v>
      </c>
      <c r="AO3325" t="b">
        <v>1</v>
      </c>
      <c r="AP3325" t="s">
        <v>4986</v>
      </c>
      <c r="AQ3325">
        <v>1944</v>
      </c>
      <c r="AR3325">
        <v>2016</v>
      </c>
      <c r="AS3325" t="s">
        <v>13771</v>
      </c>
      <c r="AT3325">
        <v>2.2067077344284698</v>
      </c>
      <c r="AU3325">
        <f t="shared" si="155"/>
        <v>6.0000000000000001E-3</v>
      </c>
    </row>
    <row r="3326" spans="1:47" x14ac:dyDescent="0.3">
      <c r="A3326">
        <v>3325</v>
      </c>
      <c r="B3326" t="s">
        <v>13772</v>
      </c>
      <c r="C3326" t="s">
        <v>13773</v>
      </c>
      <c r="D3326">
        <v>900</v>
      </c>
      <c r="E3326" t="s">
        <v>13705</v>
      </c>
      <c r="F3326" t="str">
        <f>VLOOKUP(E3326,country_continent!A:C,2,FALSE)</f>
        <v>Australia</v>
      </c>
      <c r="G3326" t="str">
        <f>VLOOKUP(E3326,country_continent!A:C,3,FALSE)</f>
        <v>Oceania</v>
      </c>
      <c r="H3326" t="s">
        <v>13774</v>
      </c>
      <c r="I3326" s="1">
        <v>11694</v>
      </c>
      <c r="J3326" s="3">
        <f t="shared" si="153"/>
        <v>11694</v>
      </c>
      <c r="K3326" s="1">
        <v>14342</v>
      </c>
      <c r="L3326" s="3">
        <f t="shared" si="154"/>
        <v>14342</v>
      </c>
      <c r="M3326" t="s">
        <v>49</v>
      </c>
      <c r="N3326" t="s">
        <v>110</v>
      </c>
      <c r="O3326" t="s">
        <v>49</v>
      </c>
      <c r="P3326">
        <v>0</v>
      </c>
      <c r="Q3326" t="s">
        <v>111</v>
      </c>
      <c r="R3326" t="s">
        <v>51</v>
      </c>
      <c r="S3326">
        <v>1879</v>
      </c>
      <c r="T3326">
        <v>1939</v>
      </c>
      <c r="U3326" t="s">
        <v>13775</v>
      </c>
      <c r="V3326" t="s">
        <v>13776</v>
      </c>
      <c r="W3326" s="1">
        <v>14342</v>
      </c>
      <c r="X3326" s="2">
        <v>14342</v>
      </c>
      <c r="Y3326" t="s">
        <v>13777</v>
      </c>
      <c r="Z3326">
        <v>0</v>
      </c>
      <c r="AA3326">
        <v>2</v>
      </c>
      <c r="AB3326">
        <v>0</v>
      </c>
      <c r="AC3326">
        <v>-777</v>
      </c>
      <c r="AF3326">
        <v>1932</v>
      </c>
      <c r="AG3326">
        <v>1939</v>
      </c>
      <c r="AO3326" t="b">
        <v>1</v>
      </c>
      <c r="AP3326" t="s">
        <v>4986</v>
      </c>
      <c r="AQ3326">
        <v>1944</v>
      </c>
      <c r="AR3326">
        <v>2016</v>
      </c>
      <c r="AS3326" t="s">
        <v>13778</v>
      </c>
      <c r="AT3326">
        <v>7.2498288843258001</v>
      </c>
      <c r="AU3326">
        <f t="shared" si="155"/>
        <v>0.02</v>
      </c>
    </row>
    <row r="3327" spans="1:47" x14ac:dyDescent="0.3">
      <c r="A3327">
        <v>3326</v>
      </c>
      <c r="B3327" t="s">
        <v>13779</v>
      </c>
      <c r="C3327" t="s">
        <v>13780</v>
      </c>
      <c r="D3327">
        <v>900</v>
      </c>
      <c r="E3327" t="s">
        <v>13705</v>
      </c>
      <c r="F3327" t="str">
        <f>VLOOKUP(E3327,country_continent!A:C,2,FALSE)</f>
        <v>Australia</v>
      </c>
      <c r="G3327" t="str">
        <f>VLOOKUP(E3327,country_continent!A:C,3,FALSE)</f>
        <v>Oceania</v>
      </c>
      <c r="H3327" t="s">
        <v>13781</v>
      </c>
      <c r="I3327" s="1">
        <v>14342</v>
      </c>
      <c r="J3327" s="3">
        <f t="shared" si="153"/>
        <v>14342</v>
      </c>
      <c r="K3327" s="1">
        <v>14361</v>
      </c>
      <c r="L3327" s="3">
        <f t="shared" si="154"/>
        <v>14361</v>
      </c>
      <c r="M3327" t="s">
        <v>49</v>
      </c>
      <c r="N3327" t="s">
        <v>49</v>
      </c>
      <c r="O3327" t="s">
        <v>49</v>
      </c>
      <c r="P3327">
        <v>0</v>
      </c>
      <c r="Q3327" t="s">
        <v>50</v>
      </c>
      <c r="R3327" t="s">
        <v>51</v>
      </c>
      <c r="S3327">
        <v>1888</v>
      </c>
      <c r="T3327">
        <v>1961</v>
      </c>
      <c r="U3327" t="s">
        <v>13782</v>
      </c>
      <c r="V3327" t="s">
        <v>13783</v>
      </c>
      <c r="W3327" s="1">
        <v>22635</v>
      </c>
      <c r="X3327" s="2">
        <v>22635</v>
      </c>
      <c r="Y3327" t="s">
        <v>13784</v>
      </c>
      <c r="Z3327">
        <v>0</v>
      </c>
      <c r="AA3327">
        <v>1</v>
      </c>
      <c r="AB3327">
        <v>0</v>
      </c>
      <c r="AC3327">
        <v>0</v>
      </c>
      <c r="AF3327">
        <v>1939</v>
      </c>
      <c r="AG3327">
        <v>1939</v>
      </c>
      <c r="AO3327" t="b">
        <v>1</v>
      </c>
      <c r="AP3327" t="s">
        <v>4986</v>
      </c>
      <c r="AQ3327">
        <v>1944</v>
      </c>
      <c r="AR3327">
        <v>2016</v>
      </c>
      <c r="AS3327" t="s">
        <v>13785</v>
      </c>
      <c r="AT3327">
        <v>5.20191649555099E-2</v>
      </c>
      <c r="AU3327">
        <f t="shared" si="155"/>
        <v>0</v>
      </c>
    </row>
    <row r="3328" spans="1:47" x14ac:dyDescent="0.3">
      <c r="A3328">
        <v>3327</v>
      </c>
      <c r="B3328" t="s">
        <v>13786</v>
      </c>
      <c r="C3328" t="s">
        <v>13787</v>
      </c>
      <c r="D3328">
        <v>900</v>
      </c>
      <c r="E3328" t="s">
        <v>13705</v>
      </c>
      <c r="F3328" t="str">
        <f>VLOOKUP(E3328,country_continent!A:C,2,FALSE)</f>
        <v>Australia</v>
      </c>
      <c r="G3328" t="str">
        <f>VLOOKUP(E3328,country_continent!A:C,3,FALSE)</f>
        <v>Oceania</v>
      </c>
      <c r="H3328" t="s">
        <v>13788</v>
      </c>
      <c r="I3328" s="1">
        <v>14361</v>
      </c>
      <c r="J3328" s="3">
        <f t="shared" si="153"/>
        <v>14361</v>
      </c>
      <c r="K3328" s="1">
        <v>15217</v>
      </c>
      <c r="L3328" s="3">
        <f t="shared" si="154"/>
        <v>15217</v>
      </c>
      <c r="M3328" t="s">
        <v>49</v>
      </c>
      <c r="N3328" t="s">
        <v>49</v>
      </c>
      <c r="O3328" t="s">
        <v>49</v>
      </c>
      <c r="P3328">
        <v>0</v>
      </c>
      <c r="Q3328" t="s">
        <v>50</v>
      </c>
      <c r="R3328" t="s">
        <v>51</v>
      </c>
      <c r="S3328">
        <v>1894</v>
      </c>
      <c r="T3328">
        <v>1978</v>
      </c>
      <c r="U3328" t="s">
        <v>13789</v>
      </c>
      <c r="V3328" t="s">
        <v>13790</v>
      </c>
      <c r="W3328" s="1">
        <v>28626</v>
      </c>
      <c r="X3328" s="2">
        <v>28626</v>
      </c>
      <c r="Y3328" t="s">
        <v>13791</v>
      </c>
      <c r="Z3328">
        <v>0</v>
      </c>
      <c r="AA3328">
        <v>1</v>
      </c>
      <c r="AB3328">
        <v>0</v>
      </c>
      <c r="AC3328">
        <v>0</v>
      </c>
      <c r="AF3328">
        <v>1939</v>
      </c>
      <c r="AG3328">
        <v>1941</v>
      </c>
      <c r="AO3328" t="b">
        <v>1</v>
      </c>
      <c r="AP3328" t="s">
        <v>4986</v>
      </c>
      <c r="AQ3328">
        <v>1944</v>
      </c>
      <c r="AR3328">
        <v>2016</v>
      </c>
      <c r="AS3328" t="s">
        <v>13792</v>
      </c>
      <c r="AT3328">
        <v>2.3436002737850701</v>
      </c>
      <c r="AU3328">
        <f t="shared" si="155"/>
        <v>6.0000000000000001E-3</v>
      </c>
    </row>
    <row r="3329" spans="1:47" x14ac:dyDescent="0.3">
      <c r="A3329">
        <v>3328</v>
      </c>
      <c r="B3329" t="s">
        <v>13793</v>
      </c>
      <c r="C3329" t="s">
        <v>13794</v>
      </c>
      <c r="D3329">
        <v>900</v>
      </c>
      <c r="E3329" t="s">
        <v>13705</v>
      </c>
      <c r="F3329" t="str">
        <f>VLOOKUP(E3329,country_continent!A:C,2,FALSE)</f>
        <v>Australia</v>
      </c>
      <c r="G3329" t="str">
        <f>VLOOKUP(E3329,country_continent!A:C,3,FALSE)</f>
        <v>Oceania</v>
      </c>
      <c r="H3329" t="s">
        <v>13795</v>
      </c>
      <c r="I3329" s="1">
        <v>15217</v>
      </c>
      <c r="J3329" s="3">
        <f t="shared" si="153"/>
        <v>15217</v>
      </c>
      <c r="K3329" s="1">
        <v>15256</v>
      </c>
      <c r="L3329" s="3">
        <f t="shared" si="154"/>
        <v>15256</v>
      </c>
      <c r="M3329" t="s">
        <v>49</v>
      </c>
      <c r="N3329" t="s">
        <v>49</v>
      </c>
      <c r="O3329" t="s">
        <v>49</v>
      </c>
      <c r="P3329">
        <v>0</v>
      </c>
      <c r="Q3329" t="s">
        <v>50</v>
      </c>
      <c r="R3329" t="s">
        <v>51</v>
      </c>
      <c r="S3329">
        <v>1895</v>
      </c>
      <c r="T3329">
        <v>1973</v>
      </c>
      <c r="U3329" t="s">
        <v>13796</v>
      </c>
      <c r="V3329" t="s">
        <v>13797</v>
      </c>
      <c r="W3329" s="1">
        <v>26775</v>
      </c>
      <c r="X3329" s="2">
        <v>26775</v>
      </c>
      <c r="Y3329" t="s">
        <v>13798</v>
      </c>
      <c r="Z3329">
        <v>0</v>
      </c>
      <c r="AA3329">
        <v>1</v>
      </c>
      <c r="AB3329">
        <v>0</v>
      </c>
      <c r="AC3329">
        <v>0</v>
      </c>
      <c r="AF3329">
        <v>1941</v>
      </c>
      <c r="AG3329">
        <v>1941</v>
      </c>
      <c r="AO3329" t="b">
        <v>1</v>
      </c>
      <c r="AP3329" t="s">
        <v>4986</v>
      </c>
      <c r="AQ3329">
        <v>1944</v>
      </c>
      <c r="AR3329">
        <v>2016</v>
      </c>
      <c r="AS3329" t="s">
        <v>13799</v>
      </c>
      <c r="AT3329">
        <v>0.10677618069815099</v>
      </c>
      <c r="AU3329">
        <f t="shared" si="155"/>
        <v>0</v>
      </c>
    </row>
    <row r="3330" spans="1:47" x14ac:dyDescent="0.3">
      <c r="A3330">
        <v>3329</v>
      </c>
      <c r="B3330" t="s">
        <v>13800</v>
      </c>
      <c r="C3330" t="s">
        <v>13801</v>
      </c>
      <c r="D3330">
        <v>900</v>
      </c>
      <c r="E3330" t="s">
        <v>13705</v>
      </c>
      <c r="F3330" t="str">
        <f>VLOOKUP(E3330,country_continent!A:C,2,FALSE)</f>
        <v>Australia</v>
      </c>
      <c r="G3330" t="str">
        <f>VLOOKUP(E3330,country_continent!A:C,3,FALSE)</f>
        <v>Oceania</v>
      </c>
      <c r="H3330" t="s">
        <v>13802</v>
      </c>
      <c r="I3330" s="1">
        <v>15256</v>
      </c>
      <c r="J3330" s="3">
        <f t="shared" ref="J3330:J3393" si="156">IF(ISNUMBER(SEARCH("-", I3330)), SUBSTITUTE(I3330, "-", "/"), I3330)</f>
        <v>15256</v>
      </c>
      <c r="K3330" s="1">
        <v>16557</v>
      </c>
      <c r="L3330" s="3">
        <f t="shared" ref="L3330:L3393" si="157">IF(ISNUMBER(SEARCH("-", K3330)), SUBSTITUTE(K3330, "-", "/"), K3330)</f>
        <v>16557</v>
      </c>
      <c r="M3330" t="s">
        <v>49</v>
      </c>
      <c r="N3330" t="s">
        <v>228</v>
      </c>
      <c r="O3330" t="s">
        <v>49</v>
      </c>
      <c r="P3330">
        <v>0</v>
      </c>
      <c r="Q3330" t="s">
        <v>111</v>
      </c>
      <c r="R3330" t="s">
        <v>51</v>
      </c>
      <c r="S3330">
        <v>1885</v>
      </c>
      <c r="T3330">
        <v>1945</v>
      </c>
      <c r="U3330" t="s">
        <v>13803</v>
      </c>
      <c r="V3330" t="s">
        <v>13804</v>
      </c>
      <c r="W3330" s="1">
        <v>16623</v>
      </c>
      <c r="X3330" s="2">
        <v>16623</v>
      </c>
      <c r="Y3330" t="s">
        <v>13805</v>
      </c>
      <c r="Z3330">
        <v>0</v>
      </c>
      <c r="AA3330">
        <v>2.0999998999999998</v>
      </c>
      <c r="AB3330">
        <v>0</v>
      </c>
      <c r="AC3330">
        <v>-777</v>
      </c>
      <c r="AF3330">
        <v>1941</v>
      </c>
      <c r="AG3330">
        <v>1945</v>
      </c>
      <c r="AO3330" t="b">
        <v>1</v>
      </c>
      <c r="AP3330" t="s">
        <v>4986</v>
      </c>
      <c r="AQ3330">
        <v>1944</v>
      </c>
      <c r="AR3330">
        <v>2016</v>
      </c>
      <c r="AS3330" t="s">
        <v>13806</v>
      </c>
      <c r="AT3330">
        <v>3.5619438740588598</v>
      </c>
      <c r="AU3330">
        <f t="shared" si="155"/>
        <v>0.01</v>
      </c>
    </row>
    <row r="3331" spans="1:47" x14ac:dyDescent="0.3">
      <c r="A3331">
        <v>3330</v>
      </c>
      <c r="B3331" t="s">
        <v>13807</v>
      </c>
      <c r="C3331" t="s">
        <v>13808</v>
      </c>
      <c r="D3331">
        <v>900</v>
      </c>
      <c r="E3331" t="s">
        <v>13705</v>
      </c>
      <c r="F3331" t="str">
        <f>VLOOKUP(E3331,country_continent!A:C,2,FALSE)</f>
        <v>Australia</v>
      </c>
      <c r="G3331" t="str">
        <f>VLOOKUP(E3331,country_continent!A:C,3,FALSE)</f>
        <v>Oceania</v>
      </c>
      <c r="H3331" t="s">
        <v>13809</v>
      </c>
      <c r="I3331" s="1">
        <v>16557</v>
      </c>
      <c r="J3331" s="3">
        <f t="shared" si="156"/>
        <v>16557</v>
      </c>
      <c r="K3331" s="1">
        <v>16631</v>
      </c>
      <c r="L3331" s="3">
        <f t="shared" si="157"/>
        <v>16631</v>
      </c>
      <c r="M3331" t="s">
        <v>49</v>
      </c>
      <c r="N3331" t="s">
        <v>49</v>
      </c>
      <c r="O3331" t="s">
        <v>49</v>
      </c>
      <c r="P3331">
        <v>0</v>
      </c>
      <c r="Q3331" t="s">
        <v>50</v>
      </c>
      <c r="R3331" t="s">
        <v>51</v>
      </c>
      <c r="S3331">
        <v>1890</v>
      </c>
      <c r="T3331">
        <v>1983</v>
      </c>
      <c r="U3331" t="s">
        <v>13810</v>
      </c>
      <c r="V3331" t="s">
        <v>13811</v>
      </c>
      <c r="W3331" s="1">
        <v>30344</v>
      </c>
      <c r="X3331" s="2">
        <v>30344</v>
      </c>
      <c r="Y3331" t="s">
        <v>13812</v>
      </c>
      <c r="Z3331">
        <v>0</v>
      </c>
      <c r="AA3331">
        <v>1</v>
      </c>
      <c r="AB3331">
        <v>0</v>
      </c>
      <c r="AC3331">
        <v>0</v>
      </c>
      <c r="AF3331">
        <v>1945</v>
      </c>
      <c r="AG3331">
        <v>1945</v>
      </c>
      <c r="AO3331" t="b">
        <v>1</v>
      </c>
      <c r="AP3331" t="s">
        <v>4986</v>
      </c>
      <c r="AQ3331">
        <v>1944</v>
      </c>
      <c r="AR3331">
        <v>2016</v>
      </c>
      <c r="AS3331" t="s">
        <v>13813</v>
      </c>
      <c r="AT3331">
        <v>0.20260095824777499</v>
      </c>
      <c r="AU3331">
        <f t="shared" si="155"/>
        <v>1E-3</v>
      </c>
    </row>
    <row r="3332" spans="1:47" x14ac:dyDescent="0.3">
      <c r="A3332">
        <v>3331</v>
      </c>
      <c r="B3332" t="s">
        <v>13814</v>
      </c>
      <c r="C3332" t="s">
        <v>13815</v>
      </c>
      <c r="D3332">
        <v>900</v>
      </c>
      <c r="E3332" t="s">
        <v>13705</v>
      </c>
      <c r="F3332" t="str">
        <f>VLOOKUP(E3332,country_continent!A:C,2,FALSE)</f>
        <v>Australia</v>
      </c>
      <c r="G3332" t="str">
        <f>VLOOKUP(E3332,country_continent!A:C,3,FALSE)</f>
        <v>Oceania</v>
      </c>
      <c r="H3332" t="s">
        <v>13816</v>
      </c>
      <c r="I3332" s="1">
        <v>16631</v>
      </c>
      <c r="J3332" s="3">
        <f t="shared" si="156"/>
        <v>16631</v>
      </c>
      <c r="K3332" s="1">
        <v>18251</v>
      </c>
      <c r="L3332" s="3">
        <f t="shared" si="157"/>
        <v>18251</v>
      </c>
      <c r="M3332" t="s">
        <v>49</v>
      </c>
      <c r="N3332" t="s">
        <v>49</v>
      </c>
      <c r="O3332" t="s">
        <v>49</v>
      </c>
      <c r="P3332">
        <v>0</v>
      </c>
      <c r="Q3332" t="s">
        <v>50</v>
      </c>
      <c r="R3332" t="s">
        <v>51</v>
      </c>
      <c r="S3332">
        <v>1885</v>
      </c>
      <c r="T3332">
        <v>1951</v>
      </c>
      <c r="U3332" t="s">
        <v>13817</v>
      </c>
      <c r="V3332" t="s">
        <v>13818</v>
      </c>
      <c r="W3332" s="1">
        <v>18792</v>
      </c>
      <c r="X3332" s="2">
        <v>18792</v>
      </c>
      <c r="Y3332" t="s">
        <v>13819</v>
      </c>
      <c r="Z3332">
        <v>0</v>
      </c>
      <c r="AA3332">
        <v>1</v>
      </c>
      <c r="AB3332">
        <v>0</v>
      </c>
      <c r="AC3332">
        <v>0</v>
      </c>
      <c r="AF3332">
        <v>1945</v>
      </c>
      <c r="AG3332">
        <v>1949</v>
      </c>
      <c r="AO3332" t="b">
        <v>1</v>
      </c>
      <c r="AP3332" t="s">
        <v>4986</v>
      </c>
      <c r="AQ3332">
        <v>1944</v>
      </c>
      <c r="AR3332">
        <v>2016</v>
      </c>
      <c r="AS3332" t="s">
        <v>13820</v>
      </c>
      <c r="AT3332">
        <v>4.4353182751539997</v>
      </c>
      <c r="AU3332">
        <f t="shared" ref="AU3332:AU3395" si="158">ROUND(AT3332/365,3)</f>
        <v>1.2E-2</v>
      </c>
    </row>
    <row r="3333" spans="1:47" x14ac:dyDescent="0.3">
      <c r="A3333">
        <v>3332</v>
      </c>
      <c r="B3333" t="s">
        <v>13821</v>
      </c>
      <c r="C3333" t="s">
        <v>13787</v>
      </c>
      <c r="D3333">
        <v>900</v>
      </c>
      <c r="E3333" t="s">
        <v>13705</v>
      </c>
      <c r="F3333" t="str">
        <f>VLOOKUP(E3333,country_continent!A:C,2,FALSE)</f>
        <v>Australia</v>
      </c>
      <c r="G3333" t="str">
        <f>VLOOKUP(E3333,country_continent!A:C,3,FALSE)</f>
        <v>Oceania</v>
      </c>
      <c r="H3333" t="s">
        <v>13788</v>
      </c>
      <c r="I3333" s="1">
        <v>18251</v>
      </c>
      <c r="J3333" s="3">
        <f t="shared" si="156"/>
        <v>18251</v>
      </c>
      <c r="K3333" s="1">
        <v>24133</v>
      </c>
      <c r="L3333" s="3">
        <f t="shared" si="157"/>
        <v>24133</v>
      </c>
      <c r="M3333" t="s">
        <v>49</v>
      </c>
      <c r="N3333" t="s">
        <v>49</v>
      </c>
      <c r="O3333" t="s">
        <v>49</v>
      </c>
      <c r="P3333">
        <v>1</v>
      </c>
      <c r="Q3333" t="s">
        <v>50</v>
      </c>
      <c r="R3333" t="s">
        <v>51</v>
      </c>
      <c r="S3333">
        <v>1894</v>
      </c>
      <c r="T3333">
        <v>1978</v>
      </c>
      <c r="U3333" t="s">
        <v>13789</v>
      </c>
      <c r="V3333" t="s">
        <v>13790</v>
      </c>
      <c r="W3333" s="1">
        <v>28626</v>
      </c>
      <c r="X3333" s="2">
        <v>28626</v>
      </c>
      <c r="Y3333" t="s">
        <v>13791</v>
      </c>
      <c r="Z3333">
        <v>0</v>
      </c>
      <c r="AA3333">
        <v>1</v>
      </c>
      <c r="AB3333">
        <v>0</v>
      </c>
      <c r="AC3333">
        <v>0</v>
      </c>
      <c r="AF3333">
        <v>1949</v>
      </c>
      <c r="AG3333">
        <v>1966</v>
      </c>
      <c r="AO3333" t="b">
        <v>1</v>
      </c>
      <c r="AP3333" t="s">
        <v>4986</v>
      </c>
      <c r="AQ3333">
        <v>1944</v>
      </c>
      <c r="AR3333">
        <v>2016</v>
      </c>
      <c r="AS3333" t="s">
        <v>13822</v>
      </c>
      <c r="AT3333">
        <v>16.104038329910999</v>
      </c>
      <c r="AU3333">
        <f t="shared" si="158"/>
        <v>4.3999999999999997E-2</v>
      </c>
    </row>
    <row r="3334" spans="1:47" x14ac:dyDescent="0.3">
      <c r="A3334">
        <v>3333</v>
      </c>
      <c r="B3334" t="s">
        <v>13823</v>
      </c>
      <c r="C3334" t="s">
        <v>13824</v>
      </c>
      <c r="D3334">
        <v>900</v>
      </c>
      <c r="E3334" t="s">
        <v>13705</v>
      </c>
      <c r="F3334" t="str">
        <f>VLOOKUP(E3334,country_continent!A:C,2,FALSE)</f>
        <v>Australia</v>
      </c>
      <c r="G3334" t="str">
        <f>VLOOKUP(E3334,country_continent!A:C,3,FALSE)</f>
        <v>Oceania</v>
      </c>
      <c r="H3334" t="s">
        <v>13825</v>
      </c>
      <c r="I3334" s="1">
        <v>24134</v>
      </c>
      <c r="J3334" s="3">
        <f t="shared" si="156"/>
        <v>24134</v>
      </c>
      <c r="K3334" s="1">
        <v>24825</v>
      </c>
      <c r="L3334" s="3">
        <f t="shared" si="157"/>
        <v>24825</v>
      </c>
      <c r="M3334" t="s">
        <v>49</v>
      </c>
      <c r="N3334" t="s">
        <v>110</v>
      </c>
      <c r="O3334" t="s">
        <v>49</v>
      </c>
      <c r="P3334">
        <v>0</v>
      </c>
      <c r="Q3334" t="s">
        <v>111</v>
      </c>
      <c r="R3334" t="s">
        <v>51</v>
      </c>
      <c r="S3334">
        <v>1908</v>
      </c>
      <c r="T3334">
        <v>1967</v>
      </c>
      <c r="U3334" s="1">
        <v>3140</v>
      </c>
      <c r="V3334" s="2">
        <v>3140</v>
      </c>
      <c r="W3334" s="1">
        <v>24825</v>
      </c>
      <c r="X3334" s="2">
        <v>24825</v>
      </c>
      <c r="Y3334" t="s">
        <v>13826</v>
      </c>
      <c r="Z3334">
        <v>0</v>
      </c>
      <c r="AA3334">
        <v>2</v>
      </c>
      <c r="AB3334">
        <v>0</v>
      </c>
      <c r="AC3334">
        <v>-777</v>
      </c>
      <c r="AF3334">
        <v>1966</v>
      </c>
      <c r="AG3334">
        <v>1967</v>
      </c>
      <c r="AO3334" t="b">
        <v>1</v>
      </c>
      <c r="AP3334" t="s">
        <v>4986</v>
      </c>
      <c r="AQ3334">
        <v>1944</v>
      </c>
      <c r="AR3334">
        <v>2016</v>
      </c>
      <c r="AS3334" t="s">
        <v>13827</v>
      </c>
      <c r="AT3334">
        <v>1.89185489390828</v>
      </c>
      <c r="AU3334">
        <f t="shared" si="158"/>
        <v>5.0000000000000001E-3</v>
      </c>
    </row>
    <row r="3335" spans="1:47" x14ac:dyDescent="0.3">
      <c r="A3335">
        <v>3334</v>
      </c>
      <c r="B3335" t="s">
        <v>13828</v>
      </c>
      <c r="C3335" t="s">
        <v>13829</v>
      </c>
      <c r="D3335">
        <v>900</v>
      </c>
      <c r="E3335" t="s">
        <v>13705</v>
      </c>
      <c r="F3335" t="str">
        <f>VLOOKUP(E3335,country_continent!A:C,2,FALSE)</f>
        <v>Australia</v>
      </c>
      <c r="G3335" t="str">
        <f>VLOOKUP(E3335,country_continent!A:C,3,FALSE)</f>
        <v>Oceania</v>
      </c>
      <c r="H3335" t="s">
        <v>13830</v>
      </c>
      <c r="I3335" s="1">
        <v>24825</v>
      </c>
      <c r="J3335" s="3">
        <f t="shared" si="156"/>
        <v>24825</v>
      </c>
      <c r="K3335" s="1">
        <v>24847</v>
      </c>
      <c r="L3335" s="3">
        <f t="shared" si="157"/>
        <v>24847</v>
      </c>
      <c r="M3335" t="s">
        <v>49</v>
      </c>
      <c r="N3335" t="s">
        <v>49</v>
      </c>
      <c r="O3335" t="s">
        <v>49</v>
      </c>
      <c r="P3335">
        <v>0</v>
      </c>
      <c r="Q3335" t="s">
        <v>50</v>
      </c>
      <c r="R3335" t="s">
        <v>51</v>
      </c>
      <c r="S3335">
        <v>1900</v>
      </c>
      <c r="T3335">
        <v>1980</v>
      </c>
      <c r="U3335" s="1">
        <v>89</v>
      </c>
      <c r="V3335" s="2">
        <v>89</v>
      </c>
      <c r="W3335" s="1">
        <v>29546</v>
      </c>
      <c r="X3335" s="2">
        <v>29546</v>
      </c>
      <c r="Y3335" t="s">
        <v>13831</v>
      </c>
      <c r="Z3335">
        <v>0</v>
      </c>
      <c r="AA3335">
        <v>1</v>
      </c>
      <c r="AB3335">
        <v>0</v>
      </c>
      <c r="AC3335">
        <v>0</v>
      </c>
      <c r="AF3335">
        <v>1967</v>
      </c>
      <c r="AG3335">
        <v>1968</v>
      </c>
      <c r="AO3335" t="b">
        <v>1</v>
      </c>
      <c r="AP3335" t="s">
        <v>4986</v>
      </c>
      <c r="AQ3335">
        <v>1944</v>
      </c>
      <c r="AR3335">
        <v>2016</v>
      </c>
      <c r="AS3335" t="s">
        <v>13832</v>
      </c>
      <c r="AT3335">
        <v>6.0232717316906201E-2</v>
      </c>
      <c r="AU3335">
        <f t="shared" si="158"/>
        <v>0</v>
      </c>
    </row>
    <row r="3336" spans="1:47" x14ac:dyDescent="0.3">
      <c r="A3336">
        <v>3335</v>
      </c>
      <c r="B3336" t="s">
        <v>13833</v>
      </c>
      <c r="C3336" t="s">
        <v>13834</v>
      </c>
      <c r="D3336">
        <v>900</v>
      </c>
      <c r="E3336" t="s">
        <v>13705</v>
      </c>
      <c r="F3336" t="str">
        <f>VLOOKUP(E3336,country_continent!A:C,2,FALSE)</f>
        <v>Australia</v>
      </c>
      <c r="G3336" t="str">
        <f>VLOOKUP(E3336,country_continent!A:C,3,FALSE)</f>
        <v>Oceania</v>
      </c>
      <c r="H3336" t="s">
        <v>13835</v>
      </c>
      <c r="I3336" s="1">
        <v>24847</v>
      </c>
      <c r="J3336" s="3">
        <f t="shared" si="156"/>
        <v>24847</v>
      </c>
      <c r="K3336" s="1">
        <v>26002</v>
      </c>
      <c r="L3336" s="3">
        <f t="shared" si="157"/>
        <v>26002</v>
      </c>
      <c r="M3336" t="s">
        <v>49</v>
      </c>
      <c r="N3336" t="s">
        <v>49</v>
      </c>
      <c r="O3336" t="s">
        <v>49</v>
      </c>
      <c r="P3336">
        <v>0</v>
      </c>
      <c r="Q3336" t="s">
        <v>50</v>
      </c>
      <c r="R3336" t="s">
        <v>51</v>
      </c>
      <c r="S3336">
        <v>1911</v>
      </c>
      <c r="T3336">
        <v>2002</v>
      </c>
      <c r="U3336" s="1">
        <v>4270</v>
      </c>
      <c r="V3336" s="2">
        <v>4270</v>
      </c>
      <c r="W3336" s="1">
        <v>37395</v>
      </c>
      <c r="X3336" s="2">
        <v>37395</v>
      </c>
      <c r="Y3336" t="s">
        <v>13836</v>
      </c>
      <c r="Z3336">
        <v>0</v>
      </c>
      <c r="AA3336">
        <v>1</v>
      </c>
      <c r="AB3336">
        <v>0</v>
      </c>
      <c r="AC3336">
        <v>0</v>
      </c>
      <c r="AF3336">
        <v>1968</v>
      </c>
      <c r="AG3336">
        <v>1971</v>
      </c>
      <c r="AO3336" t="b">
        <v>1</v>
      </c>
      <c r="AP3336" t="s">
        <v>4986</v>
      </c>
      <c r="AQ3336">
        <v>1944</v>
      </c>
      <c r="AR3336">
        <v>2016</v>
      </c>
      <c r="AS3336" t="s">
        <v>13837</v>
      </c>
      <c r="AT3336">
        <v>3.1622176591375699</v>
      </c>
      <c r="AU3336">
        <f t="shared" si="158"/>
        <v>8.9999999999999993E-3</v>
      </c>
    </row>
    <row r="3337" spans="1:47" x14ac:dyDescent="0.3">
      <c r="A3337">
        <v>3336</v>
      </c>
      <c r="B3337" t="s">
        <v>13838</v>
      </c>
      <c r="C3337" t="s">
        <v>13839</v>
      </c>
      <c r="D3337">
        <v>900</v>
      </c>
      <c r="E3337" t="s">
        <v>13705</v>
      </c>
      <c r="F3337" t="str">
        <f>VLOOKUP(E3337,country_continent!A:C,2,FALSE)</f>
        <v>Australia</v>
      </c>
      <c r="G3337" t="str">
        <f>VLOOKUP(E3337,country_continent!A:C,3,FALSE)</f>
        <v>Oceania</v>
      </c>
      <c r="H3337" t="s">
        <v>13840</v>
      </c>
      <c r="I3337" s="1">
        <v>26002</v>
      </c>
      <c r="J3337" s="3">
        <f t="shared" si="156"/>
        <v>26002</v>
      </c>
      <c r="K3337" s="1">
        <v>26638</v>
      </c>
      <c r="L3337" s="3">
        <f t="shared" si="157"/>
        <v>26638</v>
      </c>
      <c r="M3337" t="s">
        <v>49</v>
      </c>
      <c r="N3337" t="s">
        <v>49</v>
      </c>
      <c r="O3337" t="s">
        <v>49</v>
      </c>
      <c r="P3337">
        <v>0</v>
      </c>
      <c r="Q3337" t="s">
        <v>50</v>
      </c>
      <c r="R3337" t="s">
        <v>51</v>
      </c>
      <c r="S3337">
        <v>1908</v>
      </c>
      <c r="T3337">
        <v>1988</v>
      </c>
      <c r="U3337" s="1">
        <v>2976</v>
      </c>
      <c r="V3337" s="2">
        <v>2976</v>
      </c>
      <c r="W3337" s="1">
        <v>32233</v>
      </c>
      <c r="X3337" s="2">
        <v>32233</v>
      </c>
      <c r="Y3337" t="s">
        <v>13841</v>
      </c>
      <c r="Z3337">
        <v>0</v>
      </c>
      <c r="AA3337">
        <v>1</v>
      </c>
      <c r="AB3337">
        <v>0</v>
      </c>
      <c r="AC3337">
        <v>0</v>
      </c>
      <c r="AF3337">
        <v>1971</v>
      </c>
      <c r="AG3337">
        <v>1972</v>
      </c>
      <c r="AO3337" t="b">
        <v>1</v>
      </c>
      <c r="AP3337" t="s">
        <v>4986</v>
      </c>
      <c r="AQ3337">
        <v>1944</v>
      </c>
      <c r="AR3337">
        <v>2016</v>
      </c>
      <c r="AS3337" t="s">
        <v>13842</v>
      </c>
      <c r="AT3337">
        <v>1.74127310061601</v>
      </c>
      <c r="AU3337">
        <f t="shared" si="158"/>
        <v>5.0000000000000001E-3</v>
      </c>
    </row>
    <row r="3338" spans="1:47" x14ac:dyDescent="0.3">
      <c r="A3338">
        <v>3337</v>
      </c>
      <c r="B3338" t="s">
        <v>13843</v>
      </c>
      <c r="C3338" t="s">
        <v>13844</v>
      </c>
      <c r="D3338">
        <v>900</v>
      </c>
      <c r="E3338" t="s">
        <v>13705</v>
      </c>
      <c r="F3338" t="str">
        <f>VLOOKUP(E3338,country_continent!A:C,2,FALSE)</f>
        <v>Australia</v>
      </c>
      <c r="G3338" t="str">
        <f>VLOOKUP(E3338,country_continent!A:C,3,FALSE)</f>
        <v>Oceania</v>
      </c>
      <c r="H3338" t="s">
        <v>13845</v>
      </c>
      <c r="I3338" s="1">
        <v>26638</v>
      </c>
      <c r="J3338" s="3">
        <f t="shared" si="156"/>
        <v>26638</v>
      </c>
      <c r="K3338" s="1">
        <v>27709</v>
      </c>
      <c r="L3338" s="3">
        <f t="shared" si="157"/>
        <v>27709</v>
      </c>
      <c r="M3338" t="s">
        <v>49</v>
      </c>
      <c r="N3338" t="s">
        <v>49</v>
      </c>
      <c r="O3338" t="s">
        <v>49</v>
      </c>
      <c r="P3338">
        <v>0</v>
      </c>
      <c r="Q3338" t="s">
        <v>50</v>
      </c>
      <c r="R3338" t="s">
        <v>51</v>
      </c>
      <c r="S3338">
        <v>1916</v>
      </c>
      <c r="T3338">
        <v>-777</v>
      </c>
      <c r="U3338" s="1">
        <v>6037</v>
      </c>
      <c r="V3338" s="2">
        <v>6037</v>
      </c>
      <c r="W3338" s="1">
        <v>41933</v>
      </c>
      <c r="X3338" s="2">
        <v>41933</v>
      </c>
      <c r="Y3338" t="s">
        <v>13846</v>
      </c>
      <c r="Z3338">
        <v>0</v>
      </c>
      <c r="AA3338">
        <v>1</v>
      </c>
      <c r="AB3338">
        <v>0</v>
      </c>
      <c r="AC3338">
        <v>0</v>
      </c>
      <c r="AF3338">
        <v>1972</v>
      </c>
      <c r="AG3338">
        <v>1975</v>
      </c>
      <c r="AO3338" t="b">
        <v>1</v>
      </c>
      <c r="AP3338" t="s">
        <v>4986</v>
      </c>
      <c r="AQ3338">
        <v>1944</v>
      </c>
      <c r="AR3338">
        <v>2016</v>
      </c>
      <c r="AS3338" t="s">
        <v>13847</v>
      </c>
      <c r="AT3338">
        <v>2.9322381930184802</v>
      </c>
      <c r="AU3338">
        <f t="shared" si="158"/>
        <v>8.0000000000000002E-3</v>
      </c>
    </row>
    <row r="3339" spans="1:47" x14ac:dyDescent="0.3">
      <c r="A3339">
        <v>3338</v>
      </c>
      <c r="B3339" t="s">
        <v>13848</v>
      </c>
      <c r="C3339" t="s">
        <v>13849</v>
      </c>
      <c r="D3339">
        <v>900</v>
      </c>
      <c r="E3339" t="s">
        <v>13705</v>
      </c>
      <c r="F3339" t="str">
        <f>VLOOKUP(E3339,country_continent!A:C,2,FALSE)</f>
        <v>Australia</v>
      </c>
      <c r="G3339" t="str">
        <f>VLOOKUP(E3339,country_continent!A:C,3,FALSE)</f>
        <v>Oceania</v>
      </c>
      <c r="H3339" t="s">
        <v>13850</v>
      </c>
      <c r="I3339" s="1">
        <v>27709</v>
      </c>
      <c r="J3339" s="3">
        <f t="shared" si="156"/>
        <v>27709</v>
      </c>
      <c r="K3339" s="1">
        <v>30386</v>
      </c>
      <c r="L3339" s="3">
        <f t="shared" si="157"/>
        <v>30386</v>
      </c>
      <c r="M3339" t="s">
        <v>49</v>
      </c>
      <c r="N3339" t="s">
        <v>49</v>
      </c>
      <c r="O3339" t="s">
        <v>49</v>
      </c>
      <c r="P3339">
        <v>0</v>
      </c>
      <c r="Q3339" t="s">
        <v>50</v>
      </c>
      <c r="R3339" t="s">
        <v>51</v>
      </c>
      <c r="S3339">
        <v>1930</v>
      </c>
      <c r="T3339">
        <v>-777</v>
      </c>
      <c r="U3339" s="1">
        <v>11099</v>
      </c>
      <c r="V3339" s="2">
        <v>11099</v>
      </c>
      <c r="Y3339" t="s">
        <v>13851</v>
      </c>
      <c r="Z3339">
        <v>0</v>
      </c>
      <c r="AA3339">
        <v>1</v>
      </c>
      <c r="AB3339">
        <v>0</v>
      </c>
      <c r="AC3339">
        <v>0</v>
      </c>
      <c r="AF3339">
        <v>1975</v>
      </c>
      <c r="AG3339">
        <v>1983</v>
      </c>
      <c r="AO3339" t="b">
        <v>1</v>
      </c>
      <c r="AP3339" t="s">
        <v>4986</v>
      </c>
      <c r="AQ3339">
        <v>1944</v>
      </c>
      <c r="AR3339">
        <v>2016</v>
      </c>
      <c r="AS3339" t="s">
        <v>13852</v>
      </c>
      <c r="AT3339">
        <v>7.3292265571526301</v>
      </c>
      <c r="AU3339">
        <f t="shared" si="158"/>
        <v>0.02</v>
      </c>
    </row>
    <row r="3340" spans="1:47" x14ac:dyDescent="0.3">
      <c r="A3340">
        <v>3339</v>
      </c>
      <c r="B3340" t="s">
        <v>13853</v>
      </c>
      <c r="C3340" t="s">
        <v>13854</v>
      </c>
      <c r="D3340">
        <v>900</v>
      </c>
      <c r="E3340" t="s">
        <v>13705</v>
      </c>
      <c r="F3340" t="str">
        <f>VLOOKUP(E3340,country_continent!A:C,2,FALSE)</f>
        <v>Australia</v>
      </c>
      <c r="G3340" t="str">
        <f>VLOOKUP(E3340,country_continent!A:C,3,FALSE)</f>
        <v>Oceania</v>
      </c>
      <c r="H3340" t="s">
        <v>13855</v>
      </c>
      <c r="I3340" s="1">
        <v>30386</v>
      </c>
      <c r="J3340" s="3">
        <f t="shared" si="156"/>
        <v>30386</v>
      </c>
      <c r="K3340" s="1">
        <v>33591</v>
      </c>
      <c r="L3340" s="3">
        <f t="shared" si="157"/>
        <v>33591</v>
      </c>
      <c r="M3340" t="s">
        <v>49</v>
      </c>
      <c r="N3340" t="s">
        <v>49</v>
      </c>
      <c r="O3340" t="s">
        <v>49</v>
      </c>
      <c r="P3340">
        <v>0</v>
      </c>
      <c r="Q3340" t="s">
        <v>50</v>
      </c>
      <c r="R3340" t="s">
        <v>51</v>
      </c>
      <c r="S3340">
        <v>1929</v>
      </c>
      <c r="T3340">
        <v>-777</v>
      </c>
      <c r="U3340" s="1">
        <v>10936</v>
      </c>
      <c r="V3340" s="2">
        <v>10936</v>
      </c>
      <c r="Y3340" t="s">
        <v>13856</v>
      </c>
      <c r="Z3340">
        <v>0</v>
      </c>
      <c r="AA3340">
        <v>1</v>
      </c>
      <c r="AB3340">
        <v>0</v>
      </c>
      <c r="AC3340">
        <v>0</v>
      </c>
      <c r="AF3340">
        <v>1983</v>
      </c>
      <c r="AG3340">
        <v>1991</v>
      </c>
      <c r="AO3340" t="b">
        <v>1</v>
      </c>
      <c r="AP3340" t="s">
        <v>4986</v>
      </c>
      <c r="AQ3340">
        <v>1944</v>
      </c>
      <c r="AR3340">
        <v>2016</v>
      </c>
      <c r="AS3340" t="s">
        <v>13857</v>
      </c>
      <c r="AT3340">
        <v>8.7748117727583796</v>
      </c>
      <c r="AU3340">
        <f t="shared" si="158"/>
        <v>2.4E-2</v>
      </c>
    </row>
    <row r="3341" spans="1:47" x14ac:dyDescent="0.3">
      <c r="A3341">
        <v>3340</v>
      </c>
      <c r="B3341" t="s">
        <v>13858</v>
      </c>
      <c r="C3341" t="s">
        <v>13859</v>
      </c>
      <c r="D3341">
        <v>900</v>
      </c>
      <c r="E3341" t="s">
        <v>13705</v>
      </c>
      <c r="F3341" t="str">
        <f>VLOOKUP(E3341,country_continent!A:C,2,FALSE)</f>
        <v>Australia</v>
      </c>
      <c r="G3341" t="str">
        <f>VLOOKUP(E3341,country_continent!A:C,3,FALSE)</f>
        <v>Oceania</v>
      </c>
      <c r="H3341" t="s">
        <v>13860</v>
      </c>
      <c r="I3341" s="1">
        <v>33591</v>
      </c>
      <c r="J3341" s="3">
        <f t="shared" si="156"/>
        <v>33591</v>
      </c>
      <c r="K3341" s="1">
        <v>35135</v>
      </c>
      <c r="L3341" s="3">
        <f t="shared" si="157"/>
        <v>35135</v>
      </c>
      <c r="M3341" t="s">
        <v>49</v>
      </c>
      <c r="N3341" t="s">
        <v>49</v>
      </c>
      <c r="O3341" t="s">
        <v>49</v>
      </c>
      <c r="P3341">
        <v>0</v>
      </c>
      <c r="Q3341" t="s">
        <v>50</v>
      </c>
      <c r="R3341" t="s">
        <v>51</v>
      </c>
      <c r="S3341">
        <v>1945</v>
      </c>
      <c r="T3341">
        <v>-777</v>
      </c>
      <c r="U3341" s="1">
        <v>16455</v>
      </c>
      <c r="V3341" s="2">
        <v>16455</v>
      </c>
      <c r="Z3341">
        <v>0</v>
      </c>
      <c r="AA3341">
        <v>1</v>
      </c>
      <c r="AB3341">
        <v>0</v>
      </c>
      <c r="AC3341">
        <v>0</v>
      </c>
      <c r="AF3341">
        <v>1991</v>
      </c>
      <c r="AG3341">
        <v>1996</v>
      </c>
      <c r="AO3341" t="b">
        <v>1</v>
      </c>
      <c r="AP3341" t="s">
        <v>4986</v>
      </c>
      <c r="AQ3341">
        <v>1944</v>
      </c>
      <c r="AR3341">
        <v>2016</v>
      </c>
      <c r="AS3341" t="s">
        <v>13861</v>
      </c>
      <c r="AT3341">
        <v>4.2272416153319599</v>
      </c>
      <c r="AU3341">
        <f t="shared" si="158"/>
        <v>1.2E-2</v>
      </c>
    </row>
    <row r="3342" spans="1:47" x14ac:dyDescent="0.3">
      <c r="A3342">
        <v>3341</v>
      </c>
      <c r="B3342" t="s">
        <v>13862</v>
      </c>
      <c r="C3342" t="s">
        <v>13863</v>
      </c>
      <c r="D3342">
        <v>900</v>
      </c>
      <c r="E3342" t="s">
        <v>13705</v>
      </c>
      <c r="F3342" t="str">
        <f>VLOOKUP(E3342,country_continent!A:C,2,FALSE)</f>
        <v>Australia</v>
      </c>
      <c r="G3342" t="str">
        <f>VLOOKUP(E3342,country_continent!A:C,3,FALSE)</f>
        <v>Oceania</v>
      </c>
      <c r="H3342" t="s">
        <v>13864</v>
      </c>
      <c r="I3342" s="1">
        <v>35135</v>
      </c>
      <c r="J3342" s="3">
        <f t="shared" si="156"/>
        <v>35135</v>
      </c>
      <c r="K3342" s="1">
        <v>39419</v>
      </c>
      <c r="L3342" s="3">
        <f t="shared" si="157"/>
        <v>39419</v>
      </c>
      <c r="M3342" t="s">
        <v>49</v>
      </c>
      <c r="N3342" t="s">
        <v>49</v>
      </c>
      <c r="O3342" t="s">
        <v>49</v>
      </c>
      <c r="P3342">
        <v>0</v>
      </c>
      <c r="Q3342" t="s">
        <v>50</v>
      </c>
      <c r="R3342" t="s">
        <v>51</v>
      </c>
      <c r="S3342">
        <v>1939</v>
      </c>
      <c r="T3342">
        <v>-777</v>
      </c>
      <c r="U3342" s="1">
        <v>14452</v>
      </c>
      <c r="V3342" s="2">
        <v>14452</v>
      </c>
      <c r="Y3342" t="s">
        <v>13865</v>
      </c>
      <c r="Z3342">
        <v>0</v>
      </c>
      <c r="AA3342">
        <v>1</v>
      </c>
      <c r="AB3342">
        <v>0</v>
      </c>
      <c r="AC3342">
        <v>0</v>
      </c>
      <c r="AF3342">
        <v>1996</v>
      </c>
      <c r="AG3342">
        <v>2007</v>
      </c>
      <c r="AO3342" t="b">
        <v>1</v>
      </c>
      <c r="AP3342" t="s">
        <v>4986</v>
      </c>
      <c r="AQ3342">
        <v>1944</v>
      </c>
      <c r="AR3342">
        <v>2016</v>
      </c>
      <c r="AS3342" t="s">
        <v>13866</v>
      </c>
      <c r="AT3342">
        <v>11.7289527720739</v>
      </c>
      <c r="AU3342">
        <f t="shared" si="158"/>
        <v>3.2000000000000001E-2</v>
      </c>
    </row>
    <row r="3343" spans="1:47" x14ac:dyDescent="0.3">
      <c r="A3343">
        <v>3342</v>
      </c>
      <c r="B3343" t="s">
        <v>13867</v>
      </c>
      <c r="C3343" t="s">
        <v>13868</v>
      </c>
      <c r="D3343">
        <v>900</v>
      </c>
      <c r="E3343" t="s">
        <v>13705</v>
      </c>
      <c r="F3343" t="str">
        <f>VLOOKUP(E3343,country_continent!A:C,2,FALSE)</f>
        <v>Australia</v>
      </c>
      <c r="G3343" t="str">
        <f>VLOOKUP(E3343,country_continent!A:C,3,FALSE)</f>
        <v>Oceania</v>
      </c>
      <c r="H3343" t="s">
        <v>13869</v>
      </c>
      <c r="I3343" s="1">
        <v>39419</v>
      </c>
      <c r="J3343" s="3">
        <f t="shared" si="156"/>
        <v>39419</v>
      </c>
      <c r="K3343" s="1">
        <v>40353</v>
      </c>
      <c r="L3343" s="3">
        <f t="shared" si="157"/>
        <v>40353</v>
      </c>
      <c r="M3343" t="s">
        <v>49</v>
      </c>
      <c r="N3343" t="s">
        <v>49</v>
      </c>
      <c r="O3343" t="s">
        <v>49</v>
      </c>
      <c r="P3343">
        <v>0</v>
      </c>
      <c r="Q3343" t="s">
        <v>50</v>
      </c>
      <c r="R3343" t="s">
        <v>51</v>
      </c>
      <c r="S3343">
        <v>1957</v>
      </c>
      <c r="T3343">
        <v>-777</v>
      </c>
      <c r="U3343" s="1">
        <v>21084</v>
      </c>
      <c r="V3343" s="2">
        <v>21084</v>
      </c>
      <c r="Z3343">
        <v>0</v>
      </c>
      <c r="AA3343">
        <v>1</v>
      </c>
      <c r="AB3343">
        <v>0</v>
      </c>
      <c r="AC3343">
        <v>0</v>
      </c>
      <c r="AF3343">
        <v>2007</v>
      </c>
      <c r="AG3343">
        <v>2010</v>
      </c>
      <c r="AO3343" t="b">
        <v>1</v>
      </c>
      <c r="AP3343" t="s">
        <v>4986</v>
      </c>
      <c r="AQ3343">
        <v>1944</v>
      </c>
      <c r="AR3343">
        <v>2016</v>
      </c>
      <c r="AS3343" t="s">
        <v>13870</v>
      </c>
      <c r="AT3343">
        <v>2.5571526351813798</v>
      </c>
      <c r="AU3343">
        <f t="shared" si="158"/>
        <v>7.0000000000000001E-3</v>
      </c>
    </row>
    <row r="3344" spans="1:47" x14ac:dyDescent="0.3">
      <c r="A3344">
        <v>3343</v>
      </c>
      <c r="B3344" t="s">
        <v>13871</v>
      </c>
      <c r="C3344" t="s">
        <v>13872</v>
      </c>
      <c r="D3344">
        <v>900</v>
      </c>
      <c r="E3344" t="s">
        <v>13705</v>
      </c>
      <c r="F3344" t="str">
        <f>VLOOKUP(E3344,country_continent!A:C,2,FALSE)</f>
        <v>Australia</v>
      </c>
      <c r="G3344" t="str">
        <f>VLOOKUP(E3344,country_continent!A:C,3,FALSE)</f>
        <v>Oceania</v>
      </c>
      <c r="H3344" t="s">
        <v>13873</v>
      </c>
      <c r="I3344" s="1">
        <v>40353</v>
      </c>
      <c r="J3344" s="3">
        <f t="shared" si="156"/>
        <v>40353</v>
      </c>
      <c r="K3344" s="1">
        <v>41452</v>
      </c>
      <c r="L3344" s="3">
        <f t="shared" si="157"/>
        <v>41452</v>
      </c>
      <c r="M3344" t="s">
        <v>49</v>
      </c>
      <c r="N3344" t="s">
        <v>49</v>
      </c>
      <c r="O3344" t="s">
        <v>49</v>
      </c>
      <c r="P3344">
        <v>0</v>
      </c>
      <c r="Q3344" t="s">
        <v>50</v>
      </c>
      <c r="R3344" t="s">
        <v>299</v>
      </c>
      <c r="S3344">
        <v>1961</v>
      </c>
      <c r="T3344">
        <v>-777</v>
      </c>
      <c r="U3344" s="1">
        <v>22553</v>
      </c>
      <c r="V3344" s="2">
        <v>22553</v>
      </c>
      <c r="Z3344">
        <v>0</v>
      </c>
      <c r="AA3344">
        <v>1</v>
      </c>
      <c r="AB3344">
        <v>0</v>
      </c>
      <c r="AC3344">
        <v>0</v>
      </c>
      <c r="AF3344">
        <v>2010</v>
      </c>
      <c r="AG3344">
        <v>2013</v>
      </c>
      <c r="AO3344" t="b">
        <v>1</v>
      </c>
      <c r="AP3344" t="s">
        <v>4986</v>
      </c>
      <c r="AQ3344">
        <v>1944</v>
      </c>
      <c r="AR3344">
        <v>2016</v>
      </c>
      <c r="AS3344" t="s">
        <v>13874</v>
      </c>
      <c r="AT3344">
        <v>3.0088980150581701</v>
      </c>
      <c r="AU3344">
        <f t="shared" si="158"/>
        <v>8.0000000000000002E-3</v>
      </c>
    </row>
    <row r="3345" spans="1:47" x14ac:dyDescent="0.3">
      <c r="A3345">
        <v>3344</v>
      </c>
      <c r="B3345" t="s">
        <v>13875</v>
      </c>
      <c r="C3345" t="s">
        <v>13868</v>
      </c>
      <c r="D3345">
        <v>900</v>
      </c>
      <c r="E3345" t="s">
        <v>13705</v>
      </c>
      <c r="F3345" t="str">
        <f>VLOOKUP(E3345,country_continent!A:C,2,FALSE)</f>
        <v>Australia</v>
      </c>
      <c r="G3345" t="str">
        <f>VLOOKUP(E3345,country_continent!A:C,3,FALSE)</f>
        <v>Oceania</v>
      </c>
      <c r="H3345" t="s">
        <v>13869</v>
      </c>
      <c r="I3345" s="1">
        <v>41452</v>
      </c>
      <c r="J3345" s="3">
        <f t="shared" si="156"/>
        <v>41452</v>
      </c>
      <c r="K3345" s="1">
        <v>41535</v>
      </c>
      <c r="L3345" s="3">
        <f t="shared" si="157"/>
        <v>41535</v>
      </c>
      <c r="M3345" t="s">
        <v>49</v>
      </c>
      <c r="N3345" t="s">
        <v>49</v>
      </c>
      <c r="O3345" t="s">
        <v>49</v>
      </c>
      <c r="P3345">
        <v>1</v>
      </c>
      <c r="Q3345" t="s">
        <v>50</v>
      </c>
      <c r="R3345" t="s">
        <v>51</v>
      </c>
      <c r="S3345">
        <v>1957</v>
      </c>
      <c r="T3345">
        <v>-777</v>
      </c>
      <c r="U3345" s="1">
        <v>21084</v>
      </c>
      <c r="V3345" s="2">
        <v>21084</v>
      </c>
      <c r="Z3345">
        <v>0</v>
      </c>
      <c r="AA3345">
        <v>1</v>
      </c>
      <c r="AB3345">
        <v>0</v>
      </c>
      <c r="AC3345">
        <v>0</v>
      </c>
      <c r="AF3345">
        <v>2013</v>
      </c>
      <c r="AG3345">
        <v>2013</v>
      </c>
      <c r="AO3345" t="b">
        <v>1</v>
      </c>
      <c r="AP3345" t="s">
        <v>4986</v>
      </c>
      <c r="AQ3345">
        <v>1944</v>
      </c>
      <c r="AR3345">
        <v>2016</v>
      </c>
      <c r="AS3345" t="s">
        <v>13876</v>
      </c>
      <c r="AT3345">
        <v>0.22724161533196399</v>
      </c>
      <c r="AU3345">
        <f t="shared" si="158"/>
        <v>1E-3</v>
      </c>
    </row>
    <row r="3346" spans="1:47" x14ac:dyDescent="0.3">
      <c r="A3346">
        <v>3345</v>
      </c>
      <c r="B3346" t="s">
        <v>13877</v>
      </c>
      <c r="C3346" t="s">
        <v>13878</v>
      </c>
      <c r="D3346">
        <v>900</v>
      </c>
      <c r="E3346" t="s">
        <v>13705</v>
      </c>
      <c r="F3346" t="str">
        <f>VLOOKUP(E3346,country_continent!A:C,2,FALSE)</f>
        <v>Australia</v>
      </c>
      <c r="G3346" t="str">
        <f>VLOOKUP(E3346,country_continent!A:C,3,FALSE)</f>
        <v>Oceania</v>
      </c>
      <c r="H3346" t="s">
        <v>194</v>
      </c>
      <c r="I3346" s="1">
        <v>41535</v>
      </c>
      <c r="J3346" s="3">
        <f t="shared" si="156"/>
        <v>41535</v>
      </c>
      <c r="K3346" s="1">
        <v>42262</v>
      </c>
      <c r="L3346" s="3">
        <f t="shared" si="157"/>
        <v>42262</v>
      </c>
      <c r="M3346" t="s">
        <v>49</v>
      </c>
      <c r="N3346" t="s">
        <v>49</v>
      </c>
      <c r="O3346" t="s">
        <v>49</v>
      </c>
      <c r="P3346">
        <v>1</v>
      </c>
      <c r="Q3346" t="s">
        <v>312</v>
      </c>
      <c r="R3346" t="s">
        <v>51</v>
      </c>
      <c r="S3346">
        <v>1957</v>
      </c>
      <c r="T3346">
        <v>-777</v>
      </c>
      <c r="U3346" s="1">
        <v>21128</v>
      </c>
      <c r="V3346" s="2">
        <v>21128</v>
      </c>
      <c r="Z3346">
        <v>0</v>
      </c>
      <c r="AA3346">
        <v>1</v>
      </c>
      <c r="AB3346">
        <v>0</v>
      </c>
      <c r="AC3346">
        <v>-999</v>
      </c>
      <c r="AF3346">
        <v>2013</v>
      </c>
      <c r="AG3346">
        <v>2015</v>
      </c>
      <c r="AO3346" t="b">
        <v>1</v>
      </c>
      <c r="AP3346" t="s">
        <v>4986</v>
      </c>
      <c r="AQ3346">
        <v>1944</v>
      </c>
      <c r="AR3346">
        <v>2016</v>
      </c>
      <c r="AS3346" t="s">
        <v>13879</v>
      </c>
      <c r="AT3346">
        <v>1.99041752224503</v>
      </c>
      <c r="AU3346">
        <f t="shared" si="158"/>
        <v>5.0000000000000001E-3</v>
      </c>
    </row>
    <row r="3347" spans="1:47" x14ac:dyDescent="0.3">
      <c r="A3347">
        <v>3346</v>
      </c>
      <c r="B3347" t="s">
        <v>13880</v>
      </c>
      <c r="C3347" t="s">
        <v>13881</v>
      </c>
      <c r="D3347">
        <v>900</v>
      </c>
      <c r="E3347" t="s">
        <v>13705</v>
      </c>
      <c r="F3347" t="str">
        <f>VLOOKUP(E3347,country_continent!A:C,2,FALSE)</f>
        <v>Australia</v>
      </c>
      <c r="G3347" t="str">
        <f>VLOOKUP(E3347,country_continent!A:C,3,FALSE)</f>
        <v>Oceania</v>
      </c>
      <c r="H3347" t="s">
        <v>13882</v>
      </c>
      <c r="I3347" s="1">
        <v>42262</v>
      </c>
      <c r="J3347" s="3">
        <f t="shared" si="156"/>
        <v>42262</v>
      </c>
      <c r="K3347" s="1">
        <v>42369</v>
      </c>
      <c r="L3347" s="3">
        <f t="shared" si="157"/>
        <v>42369</v>
      </c>
      <c r="M3347" t="s">
        <v>49</v>
      </c>
      <c r="N3347" t="s">
        <v>173</v>
      </c>
      <c r="O3347" t="s">
        <v>173</v>
      </c>
      <c r="P3347">
        <v>0</v>
      </c>
      <c r="Q3347" t="s">
        <v>174</v>
      </c>
      <c r="R3347" t="s">
        <v>51</v>
      </c>
      <c r="S3347">
        <v>1954</v>
      </c>
      <c r="T3347">
        <v>-777</v>
      </c>
      <c r="U3347" s="1">
        <v>20021</v>
      </c>
      <c r="V3347" s="2">
        <v>20021</v>
      </c>
      <c r="Z3347">
        <v>0</v>
      </c>
      <c r="AA3347">
        <v>-888</v>
      </c>
      <c r="AB3347">
        <v>-888</v>
      </c>
      <c r="AC3347">
        <v>-888</v>
      </c>
      <c r="AF3347">
        <v>2015</v>
      </c>
      <c r="AG3347">
        <v>2015</v>
      </c>
      <c r="AO3347" t="b">
        <v>1</v>
      </c>
      <c r="AP3347" t="s">
        <v>4986</v>
      </c>
      <c r="AQ3347">
        <v>1944</v>
      </c>
      <c r="AR3347">
        <v>2016</v>
      </c>
      <c r="AS3347" t="s">
        <v>13883</v>
      </c>
      <c r="AT3347">
        <v>0.29295003422313398</v>
      </c>
      <c r="AU3347">
        <f t="shared" si="158"/>
        <v>1E-3</v>
      </c>
    </row>
    <row r="3348" spans="1:47" x14ac:dyDescent="0.3">
      <c r="A3348">
        <v>3347</v>
      </c>
      <c r="B3348" t="s">
        <v>13884</v>
      </c>
      <c r="C3348" t="s">
        <v>13885</v>
      </c>
      <c r="D3348">
        <v>910</v>
      </c>
      <c r="E3348" t="s">
        <v>13886</v>
      </c>
      <c r="F3348" t="str">
        <f>VLOOKUP(E3348,country_continent!A:C,2,FALSE)</f>
        <v>Papua New Guinea</v>
      </c>
      <c r="G3348" t="str">
        <f>VLOOKUP(E3348,country_continent!A:C,3,FALSE)</f>
        <v>Oceania</v>
      </c>
      <c r="H3348" t="s">
        <v>13887</v>
      </c>
      <c r="I3348" s="1">
        <v>27653</v>
      </c>
      <c r="J3348" s="3">
        <f t="shared" si="156"/>
        <v>27653</v>
      </c>
      <c r="K3348" s="1">
        <v>29291</v>
      </c>
      <c r="L3348" s="3">
        <f t="shared" si="157"/>
        <v>29291</v>
      </c>
      <c r="M3348" t="s">
        <v>49</v>
      </c>
      <c r="N3348" t="s">
        <v>49</v>
      </c>
      <c r="O3348" t="s">
        <v>49</v>
      </c>
      <c r="P3348">
        <v>0</v>
      </c>
      <c r="Q3348" t="s">
        <v>50</v>
      </c>
      <c r="R3348" t="s">
        <v>51</v>
      </c>
      <c r="S3348">
        <v>1936</v>
      </c>
      <c r="T3348">
        <v>-777</v>
      </c>
      <c r="U3348" s="1">
        <v>13249</v>
      </c>
      <c r="V3348" s="2">
        <v>13249</v>
      </c>
      <c r="Y3348" t="s">
        <v>13888</v>
      </c>
      <c r="Z3348">
        <v>0</v>
      </c>
      <c r="AA3348">
        <v>1</v>
      </c>
      <c r="AB3348">
        <v>0</v>
      </c>
      <c r="AC3348">
        <v>0</v>
      </c>
      <c r="AF3348">
        <v>1975</v>
      </c>
      <c r="AG3348">
        <v>1980</v>
      </c>
      <c r="AH3348">
        <v>-1.36792693073524</v>
      </c>
      <c r="AI3348">
        <v>630</v>
      </c>
      <c r="AJ3348">
        <v>8.4309808393684094</v>
      </c>
      <c r="AK3348">
        <v>112.083333333333</v>
      </c>
      <c r="AL3348">
        <v>2.1490706996628099</v>
      </c>
      <c r="AM3348">
        <v>20.864462824619402</v>
      </c>
      <c r="AN3348">
        <v>4</v>
      </c>
      <c r="AO3348" t="b">
        <v>1</v>
      </c>
      <c r="AP3348" t="s">
        <v>45</v>
      </c>
      <c r="AQ3348">
        <v>1975</v>
      </c>
      <c r="AR3348">
        <v>1985</v>
      </c>
      <c r="AS3348" t="s">
        <v>13889</v>
      </c>
      <c r="AT3348">
        <v>4.4845995893223796</v>
      </c>
      <c r="AU3348">
        <f t="shared" si="158"/>
        <v>1.2E-2</v>
      </c>
    </row>
    <row r="3349" spans="1:47" x14ac:dyDescent="0.3">
      <c r="A3349">
        <v>3348</v>
      </c>
      <c r="B3349" t="s">
        <v>13890</v>
      </c>
      <c r="C3349" t="s">
        <v>13891</v>
      </c>
      <c r="D3349">
        <v>910</v>
      </c>
      <c r="E3349" t="s">
        <v>13886</v>
      </c>
      <c r="F3349" t="str">
        <f>VLOOKUP(E3349,country_continent!A:C,2,FALSE)</f>
        <v>Papua New Guinea</v>
      </c>
      <c r="G3349" t="str">
        <f>VLOOKUP(E3349,country_continent!A:C,3,FALSE)</f>
        <v>Oceania</v>
      </c>
      <c r="H3349" t="s">
        <v>13892</v>
      </c>
      <c r="I3349" s="1">
        <v>29291</v>
      </c>
      <c r="J3349" s="3">
        <f t="shared" si="156"/>
        <v>29291</v>
      </c>
      <c r="K3349" s="1">
        <v>30165</v>
      </c>
      <c r="L3349" s="3">
        <f t="shared" si="157"/>
        <v>30165</v>
      </c>
      <c r="M3349" t="s">
        <v>49</v>
      </c>
      <c r="N3349" t="s">
        <v>49</v>
      </c>
      <c r="O3349" t="s">
        <v>49</v>
      </c>
      <c r="P3349">
        <v>0</v>
      </c>
      <c r="Q3349" t="s">
        <v>50</v>
      </c>
      <c r="R3349" t="s">
        <v>51</v>
      </c>
      <c r="S3349">
        <v>1939</v>
      </c>
      <c r="T3349">
        <v>-777</v>
      </c>
      <c r="U3349" s="1">
        <v>14486</v>
      </c>
      <c r="V3349" s="2">
        <v>14486</v>
      </c>
      <c r="Z3349">
        <v>0</v>
      </c>
      <c r="AA3349">
        <v>1</v>
      </c>
      <c r="AB3349">
        <v>0</v>
      </c>
      <c r="AC3349">
        <v>0</v>
      </c>
      <c r="AF3349">
        <v>1980</v>
      </c>
      <c r="AG3349">
        <v>1982</v>
      </c>
      <c r="AH3349">
        <v>-2.7796088288904501</v>
      </c>
      <c r="AI3349">
        <v>793.33333333333303</v>
      </c>
      <c r="AJ3349">
        <v>3.15550475244383</v>
      </c>
      <c r="AK3349">
        <v>101.86666666666601</v>
      </c>
      <c r="AL3349">
        <v>2.0743841673641099</v>
      </c>
      <c r="AM3349">
        <v>21.739149387260099</v>
      </c>
      <c r="AN3349">
        <v>4</v>
      </c>
      <c r="AO3349" t="b">
        <v>1</v>
      </c>
      <c r="AP3349" t="s">
        <v>45</v>
      </c>
      <c r="AQ3349">
        <v>1975</v>
      </c>
      <c r="AR3349">
        <v>1985</v>
      </c>
      <c r="AS3349" t="s">
        <v>13893</v>
      </c>
      <c r="AT3349">
        <v>2.39288158795345</v>
      </c>
      <c r="AU3349">
        <f t="shared" si="158"/>
        <v>7.0000000000000001E-3</v>
      </c>
    </row>
    <row r="3350" spans="1:47" x14ac:dyDescent="0.3">
      <c r="A3350">
        <v>3349</v>
      </c>
      <c r="B3350" t="s">
        <v>13894</v>
      </c>
      <c r="C3350" t="s">
        <v>13885</v>
      </c>
      <c r="D3350">
        <v>910</v>
      </c>
      <c r="E3350" t="s">
        <v>13886</v>
      </c>
      <c r="F3350" t="str">
        <f>VLOOKUP(E3350,country_continent!A:C,2,FALSE)</f>
        <v>Papua New Guinea</v>
      </c>
      <c r="G3350" t="str">
        <f>VLOOKUP(E3350,country_continent!A:C,3,FALSE)</f>
        <v>Oceania</v>
      </c>
      <c r="H3350" t="s">
        <v>13887</v>
      </c>
      <c r="I3350" s="1">
        <v>30165</v>
      </c>
      <c r="J3350" s="3">
        <f t="shared" si="156"/>
        <v>30165</v>
      </c>
      <c r="K3350" s="1">
        <v>31372</v>
      </c>
      <c r="L3350" s="3">
        <f t="shared" si="157"/>
        <v>31372</v>
      </c>
      <c r="M3350" t="s">
        <v>49</v>
      </c>
      <c r="N3350" t="s">
        <v>49</v>
      </c>
      <c r="O3350" t="s">
        <v>49</v>
      </c>
      <c r="P3350">
        <v>1</v>
      </c>
      <c r="Q3350" t="s">
        <v>50</v>
      </c>
      <c r="R3350" t="s">
        <v>51</v>
      </c>
      <c r="S3350">
        <v>1936</v>
      </c>
      <c r="T3350">
        <v>-777</v>
      </c>
      <c r="U3350" s="1">
        <v>13249</v>
      </c>
      <c r="V3350" s="2">
        <v>13249</v>
      </c>
      <c r="Y3350" t="s">
        <v>13888</v>
      </c>
      <c r="Z3350">
        <v>0</v>
      </c>
      <c r="AA3350">
        <v>1</v>
      </c>
      <c r="AB3350">
        <v>0</v>
      </c>
      <c r="AC3350">
        <v>0</v>
      </c>
      <c r="AF3350">
        <v>1982</v>
      </c>
      <c r="AG3350">
        <v>1985</v>
      </c>
      <c r="AH3350">
        <v>-0.32304810542935702</v>
      </c>
      <c r="AI3350">
        <v>717.5</v>
      </c>
      <c r="AJ3350">
        <v>7.8492982885945697</v>
      </c>
      <c r="AK3350">
        <v>96.125</v>
      </c>
      <c r="AL3350">
        <v>2.11269216945225</v>
      </c>
      <c r="AM3350">
        <v>19.3304638980769</v>
      </c>
      <c r="AN3350">
        <v>4</v>
      </c>
      <c r="AO3350" t="b">
        <v>1</v>
      </c>
      <c r="AP3350" t="s">
        <v>45</v>
      </c>
      <c r="AQ3350">
        <v>1975</v>
      </c>
      <c r="AR3350">
        <v>1985</v>
      </c>
      <c r="AS3350" t="s">
        <v>13895</v>
      </c>
      <c r="AT3350">
        <v>3.3045859000684401</v>
      </c>
      <c r="AU3350">
        <f t="shared" si="158"/>
        <v>8.9999999999999993E-3</v>
      </c>
    </row>
    <row r="3351" spans="1:47" x14ac:dyDescent="0.3">
      <c r="A3351">
        <v>3350</v>
      </c>
      <c r="B3351" t="s">
        <v>13896</v>
      </c>
      <c r="C3351" t="s">
        <v>13897</v>
      </c>
      <c r="D3351">
        <v>910</v>
      </c>
      <c r="E3351" t="s">
        <v>13886</v>
      </c>
      <c r="F3351" t="str">
        <f>VLOOKUP(E3351,country_continent!A:C,2,FALSE)</f>
        <v>Papua New Guinea</v>
      </c>
      <c r="G3351" t="str">
        <f>VLOOKUP(E3351,country_continent!A:C,3,FALSE)</f>
        <v>Oceania</v>
      </c>
      <c r="H3351" t="s">
        <v>13898</v>
      </c>
      <c r="I3351" s="1">
        <v>31372</v>
      </c>
      <c r="J3351" s="3">
        <f t="shared" si="156"/>
        <v>31372</v>
      </c>
      <c r="K3351" s="1">
        <v>32328</v>
      </c>
      <c r="L3351" s="3">
        <f t="shared" si="157"/>
        <v>32328</v>
      </c>
      <c r="M3351" t="s">
        <v>49</v>
      </c>
      <c r="N3351" t="s">
        <v>49</v>
      </c>
      <c r="O3351" t="s">
        <v>49</v>
      </c>
      <c r="P3351">
        <v>0</v>
      </c>
      <c r="Q3351" t="s">
        <v>50</v>
      </c>
      <c r="R3351" t="s">
        <v>51</v>
      </c>
      <c r="S3351">
        <v>1951</v>
      </c>
      <c r="T3351">
        <v>-777</v>
      </c>
      <c r="Z3351">
        <v>0</v>
      </c>
      <c r="AA3351">
        <v>1</v>
      </c>
      <c r="AB3351">
        <v>0</v>
      </c>
      <c r="AC3351">
        <v>0</v>
      </c>
      <c r="AF3351">
        <v>1985</v>
      </c>
      <c r="AG3351">
        <v>1988</v>
      </c>
      <c r="AH3351">
        <v>1.3838307257251701</v>
      </c>
      <c r="AI3351">
        <v>802.5</v>
      </c>
      <c r="AJ3351">
        <v>4.7182110934458201</v>
      </c>
      <c r="AK3351">
        <v>90.4</v>
      </c>
      <c r="AL3351">
        <v>2.15588497811552</v>
      </c>
      <c r="AM3351">
        <v>22.783103137082101</v>
      </c>
      <c r="AN3351">
        <v>4</v>
      </c>
      <c r="AO3351" t="b">
        <v>1</v>
      </c>
      <c r="AP3351" t="s">
        <v>45</v>
      </c>
      <c r="AQ3351">
        <v>1975</v>
      </c>
      <c r="AR3351">
        <v>1985</v>
      </c>
      <c r="AS3351" t="s">
        <v>13899</v>
      </c>
      <c r="AT3351">
        <v>2.61738535249828</v>
      </c>
      <c r="AU3351">
        <f t="shared" si="158"/>
        <v>7.0000000000000001E-3</v>
      </c>
    </row>
    <row r="3352" spans="1:47" x14ac:dyDescent="0.3">
      <c r="A3352">
        <v>3351</v>
      </c>
      <c r="B3352" t="s">
        <v>13900</v>
      </c>
      <c r="C3352" t="s">
        <v>13901</v>
      </c>
      <c r="D3352">
        <v>910</v>
      </c>
      <c r="E3352" t="s">
        <v>13886</v>
      </c>
      <c r="F3352" t="str">
        <f>VLOOKUP(E3352,country_continent!A:C,2,FALSE)</f>
        <v>Papua New Guinea</v>
      </c>
      <c r="G3352" t="str">
        <f>VLOOKUP(E3352,country_continent!A:C,3,FALSE)</f>
        <v>Oceania</v>
      </c>
      <c r="H3352" t="s">
        <v>13902</v>
      </c>
      <c r="I3352" s="1">
        <v>32328</v>
      </c>
      <c r="J3352" s="3">
        <f t="shared" si="156"/>
        <v>32328</v>
      </c>
      <c r="K3352" s="1">
        <v>33802</v>
      </c>
      <c r="L3352" s="3">
        <f t="shared" si="157"/>
        <v>33802</v>
      </c>
      <c r="M3352" t="s">
        <v>49</v>
      </c>
      <c r="N3352" t="s">
        <v>49</v>
      </c>
      <c r="O3352" t="s">
        <v>49</v>
      </c>
      <c r="P3352">
        <v>0</v>
      </c>
      <c r="Q3352" t="s">
        <v>50</v>
      </c>
      <c r="R3352" t="s">
        <v>51</v>
      </c>
      <c r="S3352">
        <v>1947</v>
      </c>
      <c r="T3352">
        <v>-777</v>
      </c>
      <c r="U3352" s="1">
        <v>17260</v>
      </c>
      <c r="V3352" s="2">
        <v>17260</v>
      </c>
      <c r="Z3352">
        <v>0</v>
      </c>
      <c r="AA3352">
        <v>1</v>
      </c>
      <c r="AB3352">
        <v>0</v>
      </c>
      <c r="AC3352">
        <v>0</v>
      </c>
      <c r="AF3352">
        <v>1988</v>
      </c>
      <c r="AG3352">
        <v>1992</v>
      </c>
      <c r="AH3352">
        <v>1.5231263365100001</v>
      </c>
      <c r="AI3352">
        <v>932</v>
      </c>
      <c r="AJ3352">
        <v>3.8785303203575299</v>
      </c>
      <c r="AK3352">
        <v>84.72</v>
      </c>
      <c r="AL3352">
        <v>2.7438232328074599</v>
      </c>
      <c r="AM3352">
        <v>22.439460364951699</v>
      </c>
      <c r="AN3352">
        <v>4</v>
      </c>
      <c r="AO3352" t="b">
        <v>1</v>
      </c>
      <c r="AP3352" t="s">
        <v>45</v>
      </c>
      <c r="AQ3352">
        <v>1975</v>
      </c>
      <c r="AR3352">
        <v>1985</v>
      </c>
      <c r="AS3352" t="s">
        <v>13903</v>
      </c>
      <c r="AT3352">
        <v>4.0355920602327098</v>
      </c>
      <c r="AU3352">
        <f t="shared" si="158"/>
        <v>1.0999999999999999E-2</v>
      </c>
    </row>
    <row r="3353" spans="1:47" x14ac:dyDescent="0.3">
      <c r="A3353">
        <v>3352</v>
      </c>
      <c r="B3353" t="s">
        <v>13904</v>
      </c>
      <c r="C3353" t="s">
        <v>13897</v>
      </c>
      <c r="D3353">
        <v>910</v>
      </c>
      <c r="E3353" t="s">
        <v>13886</v>
      </c>
      <c r="F3353" t="str">
        <f>VLOOKUP(E3353,country_continent!A:C,2,FALSE)</f>
        <v>Papua New Guinea</v>
      </c>
      <c r="G3353" t="str">
        <f>VLOOKUP(E3353,country_continent!A:C,3,FALSE)</f>
        <v>Oceania</v>
      </c>
      <c r="H3353" t="s">
        <v>13898</v>
      </c>
      <c r="I3353" s="1">
        <v>33802</v>
      </c>
      <c r="J3353" s="3">
        <f t="shared" si="156"/>
        <v>33802</v>
      </c>
      <c r="K3353" s="1">
        <v>34576</v>
      </c>
      <c r="L3353" s="3">
        <f t="shared" si="157"/>
        <v>34576</v>
      </c>
      <c r="M3353" t="s">
        <v>49</v>
      </c>
      <c r="N3353" t="s">
        <v>49</v>
      </c>
      <c r="O3353" t="s">
        <v>49</v>
      </c>
      <c r="P3353">
        <v>1</v>
      </c>
      <c r="Q3353" t="s">
        <v>50</v>
      </c>
      <c r="R3353" t="s">
        <v>51</v>
      </c>
      <c r="S3353">
        <v>1951</v>
      </c>
      <c r="T3353">
        <v>-777</v>
      </c>
      <c r="Z3353">
        <v>0</v>
      </c>
      <c r="AA3353">
        <v>1</v>
      </c>
      <c r="AB3353">
        <v>0</v>
      </c>
      <c r="AC3353">
        <v>0</v>
      </c>
      <c r="AF3353">
        <v>1992</v>
      </c>
      <c r="AG3353">
        <v>1994</v>
      </c>
      <c r="AH3353">
        <v>8.6833296618020093</v>
      </c>
      <c r="AI3353">
        <v>1083.3333333333301</v>
      </c>
      <c r="AJ3353">
        <v>2.54442243468631</v>
      </c>
      <c r="AK3353">
        <v>80.3</v>
      </c>
      <c r="AL3353">
        <v>3.5976903497426398</v>
      </c>
      <c r="AM3353">
        <v>21.5559493200026</v>
      </c>
      <c r="AN3353">
        <v>4</v>
      </c>
      <c r="AO3353" t="b">
        <v>1</v>
      </c>
      <c r="AP3353" t="s">
        <v>45</v>
      </c>
      <c r="AQ3353">
        <v>1975</v>
      </c>
      <c r="AR3353">
        <v>1985</v>
      </c>
      <c r="AS3353" t="s">
        <v>13905</v>
      </c>
      <c r="AT3353">
        <v>2.1190965092402401</v>
      </c>
      <c r="AU3353">
        <f t="shared" si="158"/>
        <v>6.0000000000000001E-3</v>
      </c>
    </row>
    <row r="3354" spans="1:47" x14ac:dyDescent="0.3">
      <c r="A3354">
        <v>3353</v>
      </c>
      <c r="B3354" t="s">
        <v>13906</v>
      </c>
      <c r="C3354" t="s">
        <v>13891</v>
      </c>
      <c r="D3354">
        <v>910</v>
      </c>
      <c r="E3354" t="s">
        <v>13886</v>
      </c>
      <c r="F3354" t="str">
        <f>VLOOKUP(E3354,country_continent!A:C,2,FALSE)</f>
        <v>Papua New Guinea</v>
      </c>
      <c r="G3354" t="str">
        <f>VLOOKUP(E3354,country_continent!A:C,3,FALSE)</f>
        <v>Oceania</v>
      </c>
      <c r="H3354" t="s">
        <v>13892</v>
      </c>
      <c r="I3354" s="1">
        <v>34576</v>
      </c>
      <c r="J3354" s="3">
        <f t="shared" si="156"/>
        <v>34576</v>
      </c>
      <c r="K3354" s="1">
        <v>35633</v>
      </c>
      <c r="L3354" s="3">
        <f t="shared" si="157"/>
        <v>35633</v>
      </c>
      <c r="M3354" t="s">
        <v>49</v>
      </c>
      <c r="N3354" t="s">
        <v>49</v>
      </c>
      <c r="O3354" t="s">
        <v>49</v>
      </c>
      <c r="P3354">
        <v>1</v>
      </c>
      <c r="Q3354" t="s">
        <v>50</v>
      </c>
      <c r="R3354" t="s">
        <v>51</v>
      </c>
      <c r="S3354">
        <v>1939</v>
      </c>
      <c r="T3354">
        <v>-777</v>
      </c>
      <c r="U3354" s="1">
        <v>14486</v>
      </c>
      <c r="V3354" s="2">
        <v>14486</v>
      </c>
      <c r="Z3354">
        <v>0</v>
      </c>
      <c r="AA3354">
        <v>1</v>
      </c>
      <c r="AB3354">
        <v>0</v>
      </c>
      <c r="AC3354">
        <v>0</v>
      </c>
      <c r="AF3354">
        <v>1994</v>
      </c>
      <c r="AG3354">
        <v>1997</v>
      </c>
      <c r="AH3354">
        <v>-1.9678194836231999</v>
      </c>
      <c r="AI3354">
        <v>1045</v>
      </c>
      <c r="AJ3354">
        <v>8.3356647457390594</v>
      </c>
      <c r="AK3354">
        <v>77.05</v>
      </c>
      <c r="AL3354">
        <v>3.58885843772629</v>
      </c>
      <c r="AM3354">
        <v>20.362922391487199</v>
      </c>
      <c r="AN3354">
        <v>4</v>
      </c>
      <c r="AO3354" t="b">
        <v>1</v>
      </c>
      <c r="AP3354" t="s">
        <v>45</v>
      </c>
      <c r="AQ3354">
        <v>1975</v>
      </c>
      <c r="AR3354">
        <v>1985</v>
      </c>
      <c r="AS3354" t="s">
        <v>13907</v>
      </c>
      <c r="AT3354">
        <v>2.8939082819986299</v>
      </c>
      <c r="AU3354">
        <f t="shared" si="158"/>
        <v>8.0000000000000002E-3</v>
      </c>
    </row>
    <row r="3355" spans="1:47" x14ac:dyDescent="0.3">
      <c r="A3355">
        <v>3354</v>
      </c>
      <c r="B3355" t="s">
        <v>13908</v>
      </c>
      <c r="C3355" t="s">
        <v>13909</v>
      </c>
      <c r="D3355">
        <v>910</v>
      </c>
      <c r="E3355" t="s">
        <v>13886</v>
      </c>
      <c r="F3355" t="str">
        <f>VLOOKUP(E3355,country_continent!A:C,2,FALSE)</f>
        <v>Papua New Guinea</v>
      </c>
      <c r="G3355" t="str">
        <f>VLOOKUP(E3355,country_continent!A:C,3,FALSE)</f>
        <v>Oceania</v>
      </c>
      <c r="H3355" t="s">
        <v>13910</v>
      </c>
      <c r="I3355" s="1">
        <v>35633</v>
      </c>
      <c r="J3355" s="3">
        <f t="shared" si="156"/>
        <v>35633</v>
      </c>
      <c r="K3355" s="1">
        <v>36355</v>
      </c>
      <c r="L3355" s="3">
        <f t="shared" si="157"/>
        <v>36355</v>
      </c>
      <c r="M3355" t="s">
        <v>49</v>
      </c>
      <c r="N3355" t="s">
        <v>49</v>
      </c>
      <c r="O3355" t="s">
        <v>49</v>
      </c>
      <c r="P3355">
        <v>0</v>
      </c>
      <c r="Q3355" t="s">
        <v>50</v>
      </c>
      <c r="R3355" t="s">
        <v>51</v>
      </c>
      <c r="S3355">
        <v>1953</v>
      </c>
      <c r="T3355">
        <v>-777</v>
      </c>
      <c r="Z3355">
        <v>0</v>
      </c>
      <c r="AA3355">
        <v>1</v>
      </c>
      <c r="AB3355">
        <v>0</v>
      </c>
      <c r="AC3355">
        <v>0</v>
      </c>
      <c r="AF3355">
        <v>1997</v>
      </c>
      <c r="AG3355">
        <v>1999</v>
      </c>
      <c r="AH3355">
        <v>-5.3295224200534301</v>
      </c>
      <c r="AI3355">
        <v>790</v>
      </c>
      <c r="AJ3355">
        <v>11.3463699349207</v>
      </c>
      <c r="AK3355">
        <v>74.099999999999994</v>
      </c>
      <c r="AL3355">
        <v>3.5192095845306102</v>
      </c>
      <c r="AM3355">
        <v>14.666596137453199</v>
      </c>
      <c r="AN3355">
        <v>4</v>
      </c>
      <c r="AO3355" t="b">
        <v>1</v>
      </c>
      <c r="AP3355" t="s">
        <v>45</v>
      </c>
      <c r="AQ3355">
        <v>1975</v>
      </c>
      <c r="AR3355">
        <v>1985</v>
      </c>
      <c r="AS3355" t="s">
        <v>13911</v>
      </c>
      <c r="AT3355">
        <v>1.9767282683093701</v>
      </c>
      <c r="AU3355">
        <f t="shared" si="158"/>
        <v>5.0000000000000001E-3</v>
      </c>
    </row>
    <row r="3356" spans="1:47" x14ac:dyDescent="0.3">
      <c r="A3356">
        <v>3355</v>
      </c>
      <c r="B3356" t="s">
        <v>13912</v>
      </c>
      <c r="C3356" t="s">
        <v>13913</v>
      </c>
      <c r="D3356">
        <v>910</v>
      </c>
      <c r="E3356" t="s">
        <v>13886</v>
      </c>
      <c r="F3356" t="str">
        <f>VLOOKUP(E3356,country_continent!A:C,2,FALSE)</f>
        <v>Papua New Guinea</v>
      </c>
      <c r="G3356" t="str">
        <f>VLOOKUP(E3356,country_continent!A:C,3,FALSE)</f>
        <v>Oceania</v>
      </c>
      <c r="H3356" t="s">
        <v>13914</v>
      </c>
      <c r="I3356" s="1">
        <v>36355</v>
      </c>
      <c r="J3356" s="3">
        <f t="shared" si="156"/>
        <v>36355</v>
      </c>
      <c r="K3356" s="1">
        <v>37473</v>
      </c>
      <c r="L3356" s="3">
        <f t="shared" si="157"/>
        <v>37473</v>
      </c>
      <c r="M3356" t="s">
        <v>49</v>
      </c>
      <c r="N3356" t="s">
        <v>49</v>
      </c>
      <c r="O3356" t="s">
        <v>49</v>
      </c>
      <c r="P3356">
        <v>0</v>
      </c>
      <c r="Q3356" t="s">
        <v>50</v>
      </c>
      <c r="R3356" t="s">
        <v>51</v>
      </c>
      <c r="S3356">
        <v>1946</v>
      </c>
      <c r="T3356">
        <v>-777</v>
      </c>
      <c r="Z3356">
        <v>0</v>
      </c>
      <c r="AA3356">
        <v>1</v>
      </c>
      <c r="AB3356">
        <v>0</v>
      </c>
      <c r="AC3356">
        <v>0</v>
      </c>
      <c r="AF3356">
        <v>1999</v>
      </c>
      <c r="AG3356">
        <v>2002</v>
      </c>
      <c r="AH3356">
        <v>-3.5853545479893798</v>
      </c>
      <c r="AI3356">
        <v>572.5</v>
      </c>
      <c r="AJ3356">
        <v>10.8439144335279</v>
      </c>
      <c r="AK3356">
        <v>71.324999999999903</v>
      </c>
      <c r="AL3356">
        <v>3.4209554345945001</v>
      </c>
      <c r="AM3356">
        <v>20.1047122059298</v>
      </c>
      <c r="AN3356">
        <v>4</v>
      </c>
      <c r="AO3356" t="b">
        <v>1</v>
      </c>
      <c r="AP3356" t="s">
        <v>45</v>
      </c>
      <c r="AQ3356">
        <v>1975</v>
      </c>
      <c r="AR3356">
        <v>1985</v>
      </c>
      <c r="AS3356" t="s">
        <v>13915</v>
      </c>
      <c r="AT3356">
        <v>3.0609171800136799</v>
      </c>
      <c r="AU3356">
        <f t="shared" si="158"/>
        <v>8.0000000000000002E-3</v>
      </c>
    </row>
    <row r="3357" spans="1:47" x14ac:dyDescent="0.3">
      <c r="A3357">
        <v>3356</v>
      </c>
      <c r="B3357" t="s">
        <v>13916</v>
      </c>
      <c r="C3357" t="s">
        <v>13885</v>
      </c>
      <c r="D3357">
        <v>910</v>
      </c>
      <c r="E3357" t="s">
        <v>13886</v>
      </c>
      <c r="F3357" t="str">
        <f>VLOOKUP(E3357,country_continent!A:C,2,FALSE)</f>
        <v>Papua New Guinea</v>
      </c>
      <c r="G3357" t="str">
        <f>VLOOKUP(E3357,country_continent!A:C,3,FALSE)</f>
        <v>Oceania</v>
      </c>
      <c r="H3357" t="s">
        <v>13887</v>
      </c>
      <c r="I3357" s="1">
        <v>37474</v>
      </c>
      <c r="J3357" s="3">
        <f t="shared" si="156"/>
        <v>37474</v>
      </c>
      <c r="K3357" s="1">
        <v>40757</v>
      </c>
      <c r="L3357" s="3">
        <f t="shared" si="157"/>
        <v>40757</v>
      </c>
      <c r="M3357" t="s">
        <v>49</v>
      </c>
      <c r="N3357" t="s">
        <v>228</v>
      </c>
      <c r="O3357" t="s">
        <v>49</v>
      </c>
      <c r="P3357">
        <v>2</v>
      </c>
      <c r="Q3357" t="s">
        <v>50</v>
      </c>
      <c r="R3357" t="s">
        <v>51</v>
      </c>
      <c r="S3357">
        <v>1936</v>
      </c>
      <c r="T3357">
        <v>-777</v>
      </c>
      <c r="U3357" s="1">
        <v>13249</v>
      </c>
      <c r="V3357" s="2">
        <v>13249</v>
      </c>
      <c r="Y3357" t="s">
        <v>13888</v>
      </c>
      <c r="Z3357">
        <v>0</v>
      </c>
      <c r="AA3357">
        <v>2.0999998999999998</v>
      </c>
      <c r="AB3357">
        <v>0</v>
      </c>
      <c r="AC3357">
        <v>0</v>
      </c>
      <c r="AF3357">
        <v>2002</v>
      </c>
      <c r="AG3357">
        <v>2011</v>
      </c>
      <c r="AH3357">
        <v>0.96098961240476299</v>
      </c>
      <c r="AI3357">
        <v>1019</v>
      </c>
      <c r="AJ3357">
        <v>11.6865774821763</v>
      </c>
      <c r="AK3357">
        <v>63.629999999999903</v>
      </c>
      <c r="AL3357">
        <v>3.16261027360154</v>
      </c>
      <c r="AM3357">
        <v>25.196862831672799</v>
      </c>
      <c r="AN3357">
        <v>4</v>
      </c>
      <c r="AO3357" t="b">
        <v>1</v>
      </c>
      <c r="AP3357" t="s">
        <v>45</v>
      </c>
      <c r="AQ3357">
        <v>1975</v>
      </c>
      <c r="AR3357">
        <v>1985</v>
      </c>
      <c r="AS3357" t="s">
        <v>13917</v>
      </c>
      <c r="AT3357">
        <v>8.9883641341546792</v>
      </c>
      <c r="AU3357">
        <f t="shared" si="158"/>
        <v>2.5000000000000001E-2</v>
      </c>
    </row>
    <row r="3358" spans="1:47" x14ac:dyDescent="0.3">
      <c r="A3358">
        <v>3357</v>
      </c>
      <c r="B3358" t="s">
        <v>13918</v>
      </c>
      <c r="C3358" t="s">
        <v>13919</v>
      </c>
      <c r="D3358">
        <v>910</v>
      </c>
      <c r="E3358" t="s">
        <v>13886</v>
      </c>
      <c r="F3358" t="str">
        <f>VLOOKUP(E3358,country_continent!A:C,2,FALSE)</f>
        <v>Papua New Guinea</v>
      </c>
      <c r="G3358" t="str">
        <f>VLOOKUP(E3358,country_continent!A:C,3,FALSE)</f>
        <v>Oceania</v>
      </c>
      <c r="H3358" t="s">
        <v>13920</v>
      </c>
      <c r="I3358" s="1">
        <v>40757</v>
      </c>
      <c r="J3358" s="3">
        <f t="shared" si="156"/>
        <v>40757</v>
      </c>
      <c r="K3358" s="1">
        <v>42369</v>
      </c>
      <c r="L3358" s="3">
        <f t="shared" si="157"/>
        <v>42369</v>
      </c>
      <c r="M3358" t="s">
        <v>49</v>
      </c>
      <c r="N3358" t="s">
        <v>173</v>
      </c>
      <c r="O3358" t="s">
        <v>173</v>
      </c>
      <c r="P3358">
        <v>0</v>
      </c>
      <c r="Q3358" t="s">
        <v>174</v>
      </c>
      <c r="R3358" t="s">
        <v>51</v>
      </c>
      <c r="S3358">
        <v>1965</v>
      </c>
      <c r="T3358">
        <v>-777</v>
      </c>
      <c r="U3358" s="1">
        <v>23786</v>
      </c>
      <c r="V3358" s="2">
        <v>23786</v>
      </c>
      <c r="Z3358">
        <v>0</v>
      </c>
      <c r="AA3358">
        <v>-888</v>
      </c>
      <c r="AB3358">
        <v>-888</v>
      </c>
      <c r="AC3358">
        <v>-888</v>
      </c>
      <c r="AF3358">
        <v>2011</v>
      </c>
      <c r="AG3358">
        <v>2015</v>
      </c>
      <c r="AH3358">
        <v>3.1087261955359198</v>
      </c>
      <c r="AI3358">
        <v>2306</v>
      </c>
      <c r="AJ3358">
        <v>3.2103316726640099</v>
      </c>
      <c r="AK3358">
        <v>54.46</v>
      </c>
      <c r="AL3358">
        <v>2.71464095706202</v>
      </c>
      <c r="AM3358">
        <v>16.1030832125671</v>
      </c>
      <c r="AN3358">
        <v>4.8</v>
      </c>
      <c r="AO3358" t="b">
        <v>1</v>
      </c>
      <c r="AP3358" t="s">
        <v>45</v>
      </c>
      <c r="AQ3358">
        <v>1975</v>
      </c>
      <c r="AR3358">
        <v>1985</v>
      </c>
      <c r="AS3358" t="s">
        <v>13921</v>
      </c>
      <c r="AT3358">
        <v>4.4134154688569396</v>
      </c>
      <c r="AU3358">
        <f t="shared" si="158"/>
        <v>1.2E-2</v>
      </c>
    </row>
    <row r="3359" spans="1:47" x14ac:dyDescent="0.3">
      <c r="A3359">
        <v>3358</v>
      </c>
      <c r="B3359" t="s">
        <v>13922</v>
      </c>
      <c r="C3359" t="s">
        <v>13923</v>
      </c>
      <c r="D3359">
        <v>920</v>
      </c>
      <c r="E3359" t="s">
        <v>13924</v>
      </c>
      <c r="F3359" t="str">
        <f>VLOOKUP(E3359,country_continent!A:C,2,FALSE)</f>
        <v>New Zealand</v>
      </c>
      <c r="G3359" t="str">
        <f>VLOOKUP(E3359,country_continent!A:C,3,FALSE)</f>
        <v>Oceania</v>
      </c>
      <c r="H3359" t="s">
        <v>13925</v>
      </c>
      <c r="I3359" s="1">
        <v>2410</v>
      </c>
      <c r="J3359" s="3">
        <f t="shared" si="156"/>
        <v>2410</v>
      </c>
      <c r="K3359" s="1">
        <v>4471</v>
      </c>
      <c r="L3359" s="3">
        <f t="shared" si="157"/>
        <v>4471</v>
      </c>
      <c r="M3359" t="s">
        <v>49</v>
      </c>
      <c r="N3359" t="s">
        <v>49</v>
      </c>
      <c r="O3359" t="s">
        <v>49</v>
      </c>
      <c r="P3359">
        <v>0</v>
      </c>
      <c r="Q3359" t="s">
        <v>50</v>
      </c>
      <c r="R3359" t="s">
        <v>51</v>
      </c>
      <c r="S3359">
        <v>1856</v>
      </c>
      <c r="T3359">
        <v>1930</v>
      </c>
      <c r="Y3359" t="s">
        <v>13926</v>
      </c>
      <c r="Z3359">
        <v>0</v>
      </c>
      <c r="AA3359">
        <v>1</v>
      </c>
      <c r="AB3359">
        <v>0</v>
      </c>
      <c r="AC3359">
        <v>0</v>
      </c>
      <c r="AF3359">
        <v>1906</v>
      </c>
      <c r="AG3359">
        <v>1912</v>
      </c>
      <c r="AO3359" t="b">
        <v>1</v>
      </c>
      <c r="AP3359" t="s">
        <v>45</v>
      </c>
      <c r="AQ3359">
        <v>1920</v>
      </c>
      <c r="AR3359">
        <v>2016</v>
      </c>
      <c r="AS3359" t="s">
        <v>13927</v>
      </c>
      <c r="AT3359">
        <v>5.6427104722792603</v>
      </c>
      <c r="AU3359">
        <f t="shared" si="158"/>
        <v>1.4999999999999999E-2</v>
      </c>
    </row>
    <row r="3360" spans="1:47" x14ac:dyDescent="0.3">
      <c r="A3360">
        <v>3359</v>
      </c>
      <c r="B3360" t="s">
        <v>13928</v>
      </c>
      <c r="C3360" t="s">
        <v>13929</v>
      </c>
      <c r="D3360">
        <v>920</v>
      </c>
      <c r="E3360" t="s">
        <v>13924</v>
      </c>
      <c r="F3360" t="str">
        <f>VLOOKUP(E3360,country_continent!A:C,2,FALSE)</f>
        <v>New Zealand</v>
      </c>
      <c r="G3360" t="str">
        <f>VLOOKUP(E3360,country_continent!A:C,3,FALSE)</f>
        <v>Oceania</v>
      </c>
      <c r="H3360" t="s">
        <v>13930</v>
      </c>
      <c r="I3360" s="1">
        <v>4471</v>
      </c>
      <c r="J3360" s="3">
        <f t="shared" si="156"/>
        <v>4471</v>
      </c>
      <c r="K3360" s="1">
        <v>4575</v>
      </c>
      <c r="L3360" s="3">
        <f t="shared" si="157"/>
        <v>4575</v>
      </c>
      <c r="M3360" t="s">
        <v>49</v>
      </c>
      <c r="N3360" t="s">
        <v>49</v>
      </c>
      <c r="O3360" t="s">
        <v>49</v>
      </c>
      <c r="P3360">
        <v>0</v>
      </c>
      <c r="Q3360" t="s">
        <v>50</v>
      </c>
      <c r="R3360" t="s">
        <v>51</v>
      </c>
      <c r="S3360">
        <v>1854</v>
      </c>
      <c r="T3360">
        <v>1930</v>
      </c>
      <c r="Y3360" t="s">
        <v>13931</v>
      </c>
      <c r="Z3360">
        <v>0</v>
      </c>
      <c r="AA3360">
        <v>1</v>
      </c>
      <c r="AB3360">
        <v>0</v>
      </c>
      <c r="AC3360">
        <v>0</v>
      </c>
      <c r="AF3360">
        <v>1912</v>
      </c>
      <c r="AG3360">
        <v>1912</v>
      </c>
      <c r="AO3360" t="b">
        <v>1</v>
      </c>
      <c r="AP3360" t="s">
        <v>45</v>
      </c>
      <c r="AQ3360">
        <v>1920</v>
      </c>
      <c r="AR3360">
        <v>2016</v>
      </c>
      <c r="AS3360" t="s">
        <v>13932</v>
      </c>
      <c r="AT3360">
        <v>0.284736481861738</v>
      </c>
      <c r="AU3360">
        <f t="shared" si="158"/>
        <v>1E-3</v>
      </c>
    </row>
    <row r="3361" spans="1:47" x14ac:dyDescent="0.3">
      <c r="A3361">
        <v>3360</v>
      </c>
      <c r="B3361" t="s">
        <v>13933</v>
      </c>
      <c r="C3361" t="s">
        <v>13934</v>
      </c>
      <c r="D3361">
        <v>920</v>
      </c>
      <c r="E3361" t="s">
        <v>13924</v>
      </c>
      <c r="F3361" t="str">
        <f>VLOOKUP(E3361,country_continent!A:C,2,FALSE)</f>
        <v>New Zealand</v>
      </c>
      <c r="G3361" t="str">
        <f>VLOOKUP(E3361,country_continent!A:C,3,FALSE)</f>
        <v>Oceania</v>
      </c>
      <c r="H3361" t="s">
        <v>13935</v>
      </c>
      <c r="I3361" s="1">
        <v>4575</v>
      </c>
      <c r="J3361" s="3">
        <f t="shared" si="156"/>
        <v>4575</v>
      </c>
      <c r="K3361" s="1">
        <v>9262</v>
      </c>
      <c r="L3361" s="3">
        <f t="shared" si="157"/>
        <v>9262</v>
      </c>
      <c r="M3361" t="s">
        <v>49</v>
      </c>
      <c r="N3361" t="s">
        <v>110</v>
      </c>
      <c r="O3361" t="s">
        <v>49</v>
      </c>
      <c r="P3361">
        <v>0</v>
      </c>
      <c r="Q3361" t="s">
        <v>111</v>
      </c>
      <c r="R3361" t="s">
        <v>51</v>
      </c>
      <c r="S3361">
        <v>1856</v>
      </c>
      <c r="T3361">
        <v>1925</v>
      </c>
      <c r="U3361" t="s">
        <v>13936</v>
      </c>
      <c r="V3361" t="s">
        <v>13937</v>
      </c>
      <c r="Y3361" t="s">
        <v>13938</v>
      </c>
      <c r="Z3361">
        <v>0</v>
      </c>
      <c r="AA3361">
        <v>2</v>
      </c>
      <c r="AB3361">
        <v>0</v>
      </c>
      <c r="AC3361">
        <v>-777</v>
      </c>
      <c r="AF3361">
        <v>1912</v>
      </c>
      <c r="AG3361">
        <v>1925</v>
      </c>
      <c r="AO3361" t="b">
        <v>1</v>
      </c>
      <c r="AP3361" t="s">
        <v>45</v>
      </c>
      <c r="AQ3361">
        <v>1920</v>
      </c>
      <c r="AR3361">
        <v>2016</v>
      </c>
      <c r="AS3361" t="s">
        <v>13939</v>
      </c>
      <c r="AT3361">
        <v>12.832306639288101</v>
      </c>
      <c r="AU3361">
        <f t="shared" si="158"/>
        <v>3.5000000000000003E-2</v>
      </c>
    </row>
    <row r="3362" spans="1:47" x14ac:dyDescent="0.3">
      <c r="A3362">
        <v>3361</v>
      </c>
      <c r="B3362" t="s">
        <v>13940</v>
      </c>
      <c r="C3362" t="s">
        <v>13941</v>
      </c>
      <c r="D3362">
        <v>920</v>
      </c>
      <c r="E3362" t="s">
        <v>13924</v>
      </c>
      <c r="F3362" t="str">
        <f>VLOOKUP(E3362,country_continent!A:C,2,FALSE)</f>
        <v>New Zealand</v>
      </c>
      <c r="G3362" t="str">
        <f>VLOOKUP(E3362,country_continent!A:C,3,FALSE)</f>
        <v>Oceania</v>
      </c>
      <c r="H3362" t="s">
        <v>13942</v>
      </c>
      <c r="I3362" s="1">
        <v>9266</v>
      </c>
      <c r="J3362" s="3">
        <f t="shared" si="156"/>
        <v>9266</v>
      </c>
      <c r="K3362" s="1">
        <v>9282</v>
      </c>
      <c r="L3362" s="3">
        <f t="shared" si="157"/>
        <v>9282</v>
      </c>
      <c r="M3362" t="s">
        <v>49</v>
      </c>
      <c r="N3362" t="s">
        <v>49</v>
      </c>
      <c r="O3362" t="s">
        <v>49</v>
      </c>
      <c r="P3362">
        <v>0</v>
      </c>
      <c r="Q3362" t="s">
        <v>50</v>
      </c>
      <c r="R3362" t="s">
        <v>51</v>
      </c>
      <c r="S3362">
        <v>1851</v>
      </c>
      <c r="T3362">
        <v>1936</v>
      </c>
      <c r="U3362" t="s">
        <v>13943</v>
      </c>
      <c r="V3362" t="s">
        <v>13944</v>
      </c>
      <c r="Z3362">
        <v>0</v>
      </c>
      <c r="AA3362">
        <v>1</v>
      </c>
      <c r="AB3362">
        <v>0</v>
      </c>
      <c r="AC3362">
        <v>0</v>
      </c>
      <c r="AF3362">
        <v>1925</v>
      </c>
      <c r="AG3362">
        <v>1925</v>
      </c>
      <c r="AO3362" t="b">
        <v>1</v>
      </c>
      <c r="AP3362" t="s">
        <v>45</v>
      </c>
      <c r="AQ3362">
        <v>1920</v>
      </c>
      <c r="AR3362">
        <v>2016</v>
      </c>
      <c r="AS3362" t="s">
        <v>13945</v>
      </c>
      <c r="AT3362">
        <v>4.3805612594113599E-2</v>
      </c>
      <c r="AU3362">
        <f t="shared" si="158"/>
        <v>0</v>
      </c>
    </row>
    <row r="3363" spans="1:47" x14ac:dyDescent="0.3">
      <c r="A3363">
        <v>3362</v>
      </c>
      <c r="B3363" t="s">
        <v>13946</v>
      </c>
      <c r="C3363" t="s">
        <v>13947</v>
      </c>
      <c r="D3363">
        <v>920</v>
      </c>
      <c r="E3363" t="s">
        <v>13924</v>
      </c>
      <c r="F3363" t="str">
        <f>VLOOKUP(E3363,country_continent!A:C,2,FALSE)</f>
        <v>New Zealand</v>
      </c>
      <c r="G3363" t="str">
        <f>VLOOKUP(E3363,country_continent!A:C,3,FALSE)</f>
        <v>Oceania</v>
      </c>
      <c r="H3363" t="s">
        <v>13948</v>
      </c>
      <c r="I3363" s="1">
        <v>9282</v>
      </c>
      <c r="J3363" s="3">
        <f t="shared" si="156"/>
        <v>9282</v>
      </c>
      <c r="K3363" s="1">
        <v>10569</v>
      </c>
      <c r="L3363" s="3">
        <f t="shared" si="157"/>
        <v>10569</v>
      </c>
      <c r="M3363" t="s">
        <v>49</v>
      </c>
      <c r="N3363" t="s">
        <v>49</v>
      </c>
      <c r="O3363" t="s">
        <v>49</v>
      </c>
      <c r="P3363">
        <v>0</v>
      </c>
      <c r="Q3363" t="s">
        <v>50</v>
      </c>
      <c r="R3363" t="s">
        <v>51</v>
      </c>
      <c r="S3363">
        <v>1878</v>
      </c>
      <c r="T3363">
        <v>1943</v>
      </c>
      <c r="U3363" t="s">
        <v>13949</v>
      </c>
      <c r="V3363" t="s">
        <v>13950</v>
      </c>
      <c r="Y3363" t="s">
        <v>13951</v>
      </c>
      <c r="Z3363">
        <v>0</v>
      </c>
      <c r="AA3363">
        <v>1</v>
      </c>
      <c r="AB3363">
        <v>0</v>
      </c>
      <c r="AC3363">
        <v>0</v>
      </c>
      <c r="AF3363">
        <v>1925</v>
      </c>
      <c r="AG3363">
        <v>1928</v>
      </c>
      <c r="AO3363" t="b">
        <v>1</v>
      </c>
      <c r="AP3363" t="s">
        <v>45</v>
      </c>
      <c r="AQ3363">
        <v>1920</v>
      </c>
      <c r="AR3363">
        <v>2016</v>
      </c>
      <c r="AS3363" t="s">
        <v>13952</v>
      </c>
      <c r="AT3363">
        <v>3.52361396303901</v>
      </c>
      <c r="AU3363">
        <f t="shared" si="158"/>
        <v>0.01</v>
      </c>
    </row>
    <row r="3364" spans="1:47" x14ac:dyDescent="0.3">
      <c r="A3364">
        <v>3363</v>
      </c>
      <c r="B3364" t="s">
        <v>13953</v>
      </c>
      <c r="C3364" t="s">
        <v>13923</v>
      </c>
      <c r="D3364">
        <v>920</v>
      </c>
      <c r="E3364" t="s">
        <v>13924</v>
      </c>
      <c r="F3364" t="str">
        <f>VLOOKUP(E3364,country_continent!A:C,2,FALSE)</f>
        <v>New Zealand</v>
      </c>
      <c r="G3364" t="str">
        <f>VLOOKUP(E3364,country_continent!A:C,3,FALSE)</f>
        <v>Oceania</v>
      </c>
      <c r="H3364" t="s">
        <v>13925</v>
      </c>
      <c r="I3364" s="1">
        <v>10572</v>
      </c>
      <c r="J3364" s="3">
        <f t="shared" si="156"/>
        <v>10572</v>
      </c>
      <c r="K3364" s="1">
        <v>11093</v>
      </c>
      <c r="L3364" s="3">
        <f t="shared" si="157"/>
        <v>11093</v>
      </c>
      <c r="M3364" t="s">
        <v>49</v>
      </c>
      <c r="N3364" t="s">
        <v>228</v>
      </c>
      <c r="O3364" t="s">
        <v>49</v>
      </c>
      <c r="P3364">
        <v>1</v>
      </c>
      <c r="Q3364" t="s">
        <v>111</v>
      </c>
      <c r="R3364" t="s">
        <v>51</v>
      </c>
      <c r="S3364">
        <v>1856</v>
      </c>
      <c r="T3364">
        <v>1930</v>
      </c>
      <c r="Y3364" t="s">
        <v>13926</v>
      </c>
      <c r="Z3364">
        <v>0</v>
      </c>
      <c r="AA3364">
        <v>2.0999998999999998</v>
      </c>
      <c r="AB3364">
        <v>0</v>
      </c>
      <c r="AC3364">
        <v>-777</v>
      </c>
      <c r="AF3364">
        <v>1928</v>
      </c>
      <c r="AG3364">
        <v>1930</v>
      </c>
      <c r="AO3364" t="b">
        <v>1</v>
      </c>
      <c r="AP3364" t="s">
        <v>45</v>
      </c>
      <c r="AQ3364">
        <v>1920</v>
      </c>
      <c r="AR3364">
        <v>2016</v>
      </c>
      <c r="AS3364" t="s">
        <v>13954</v>
      </c>
      <c r="AT3364">
        <v>1.42642026009582</v>
      </c>
      <c r="AU3364">
        <f t="shared" si="158"/>
        <v>4.0000000000000001E-3</v>
      </c>
    </row>
    <row r="3365" spans="1:47" x14ac:dyDescent="0.3">
      <c r="A3365">
        <v>3364</v>
      </c>
      <c r="B3365" t="s">
        <v>13955</v>
      </c>
      <c r="C3365" t="s">
        <v>13956</v>
      </c>
      <c r="D3365">
        <v>920</v>
      </c>
      <c r="E3365" t="s">
        <v>13924</v>
      </c>
      <c r="F3365" t="str">
        <f>VLOOKUP(E3365,country_continent!A:C,2,FALSE)</f>
        <v>New Zealand</v>
      </c>
      <c r="G3365" t="str">
        <f>VLOOKUP(E3365,country_continent!A:C,3,FALSE)</f>
        <v>Oceania</v>
      </c>
      <c r="H3365" t="s">
        <v>13957</v>
      </c>
      <c r="I3365" s="1">
        <v>11106</v>
      </c>
      <c r="J3365" s="3">
        <f t="shared" si="156"/>
        <v>11106</v>
      </c>
      <c r="K3365" s="1">
        <v>13115</v>
      </c>
      <c r="L3365" s="3">
        <f t="shared" si="157"/>
        <v>13115</v>
      </c>
      <c r="M3365" t="s">
        <v>49</v>
      </c>
      <c r="N3365" t="s">
        <v>49</v>
      </c>
      <c r="O3365" t="s">
        <v>49</v>
      </c>
      <c r="P3365">
        <v>0</v>
      </c>
      <c r="Q3365" t="s">
        <v>50</v>
      </c>
      <c r="R3365" t="s">
        <v>51</v>
      </c>
      <c r="S3365">
        <v>1869</v>
      </c>
      <c r="T3365">
        <v>1947</v>
      </c>
      <c r="U3365" t="s">
        <v>13958</v>
      </c>
      <c r="V3365" t="s">
        <v>13959</v>
      </c>
      <c r="W3365" s="1">
        <v>17304</v>
      </c>
      <c r="X3365" s="2">
        <v>17304</v>
      </c>
      <c r="Y3365" t="s">
        <v>13960</v>
      </c>
      <c r="Z3365">
        <v>0</v>
      </c>
      <c r="AA3365">
        <v>1</v>
      </c>
      <c r="AB3365">
        <v>0</v>
      </c>
      <c r="AC3365">
        <v>0</v>
      </c>
      <c r="AF3365">
        <v>1930</v>
      </c>
      <c r="AG3365">
        <v>1935</v>
      </c>
      <c r="AO3365" t="b">
        <v>1</v>
      </c>
      <c r="AP3365" t="s">
        <v>45</v>
      </c>
      <c r="AQ3365">
        <v>1920</v>
      </c>
      <c r="AR3365">
        <v>2016</v>
      </c>
      <c r="AS3365" t="s">
        <v>13961</v>
      </c>
      <c r="AT3365">
        <v>5.5003422313483901</v>
      </c>
      <c r="AU3365">
        <f t="shared" si="158"/>
        <v>1.4999999999999999E-2</v>
      </c>
    </row>
    <row r="3366" spans="1:47" x14ac:dyDescent="0.3">
      <c r="A3366">
        <v>3365</v>
      </c>
      <c r="B3366" t="s">
        <v>13962</v>
      </c>
      <c r="C3366" t="s">
        <v>13963</v>
      </c>
      <c r="D3366">
        <v>920</v>
      </c>
      <c r="E3366" t="s">
        <v>13924</v>
      </c>
      <c r="F3366" t="str">
        <f>VLOOKUP(E3366,country_continent!A:C,2,FALSE)</f>
        <v>New Zealand</v>
      </c>
      <c r="G3366" t="str">
        <f>VLOOKUP(E3366,country_continent!A:C,3,FALSE)</f>
        <v>Oceania</v>
      </c>
      <c r="H3366" t="s">
        <v>13964</v>
      </c>
      <c r="I3366" s="1">
        <v>13115</v>
      </c>
      <c r="J3366" s="3">
        <f t="shared" si="156"/>
        <v>13115</v>
      </c>
      <c r="K3366" s="1">
        <v>14696</v>
      </c>
      <c r="L3366" s="3">
        <f t="shared" si="157"/>
        <v>14696</v>
      </c>
      <c r="M3366" t="s">
        <v>49</v>
      </c>
      <c r="N3366" t="s">
        <v>110</v>
      </c>
      <c r="O3366" t="s">
        <v>49</v>
      </c>
      <c r="P3366">
        <v>0</v>
      </c>
      <c r="Q3366" t="s">
        <v>111</v>
      </c>
      <c r="R3366" t="s">
        <v>51</v>
      </c>
      <c r="S3366">
        <v>1872</v>
      </c>
      <c r="T3366">
        <v>1940</v>
      </c>
      <c r="U3366" t="s">
        <v>13965</v>
      </c>
      <c r="V3366" t="s">
        <v>13966</v>
      </c>
      <c r="Y3366" t="s">
        <v>13967</v>
      </c>
      <c r="Z3366">
        <v>0</v>
      </c>
      <c r="AA3366">
        <v>2</v>
      </c>
      <c r="AB3366">
        <v>0</v>
      </c>
      <c r="AC3366">
        <v>-777</v>
      </c>
      <c r="AF3366">
        <v>1935</v>
      </c>
      <c r="AG3366">
        <v>1940</v>
      </c>
      <c r="AO3366" t="b">
        <v>1</v>
      </c>
      <c r="AP3366" t="s">
        <v>45</v>
      </c>
      <c r="AQ3366">
        <v>1920</v>
      </c>
      <c r="AR3366">
        <v>2016</v>
      </c>
      <c r="AS3366" t="s">
        <v>13968</v>
      </c>
      <c r="AT3366">
        <v>4.3285420944558499</v>
      </c>
      <c r="AU3366">
        <f t="shared" si="158"/>
        <v>1.2E-2</v>
      </c>
    </row>
    <row r="3367" spans="1:47" x14ac:dyDescent="0.3">
      <c r="A3367">
        <v>3366</v>
      </c>
      <c r="B3367" t="s">
        <v>13969</v>
      </c>
      <c r="C3367" t="s">
        <v>13970</v>
      </c>
      <c r="D3367">
        <v>920</v>
      </c>
      <c r="E3367" t="s">
        <v>13924</v>
      </c>
      <c r="F3367" t="str">
        <f>VLOOKUP(E3367,country_continent!A:C,2,FALSE)</f>
        <v>New Zealand</v>
      </c>
      <c r="G3367" t="str">
        <f>VLOOKUP(E3367,country_continent!A:C,3,FALSE)</f>
        <v>Oceania</v>
      </c>
      <c r="H3367" t="s">
        <v>13850</v>
      </c>
      <c r="I3367" s="1">
        <v>14702</v>
      </c>
      <c r="J3367" s="3">
        <f t="shared" si="156"/>
        <v>14702</v>
      </c>
      <c r="K3367" s="1">
        <v>18244</v>
      </c>
      <c r="L3367" s="3">
        <f t="shared" si="157"/>
        <v>18244</v>
      </c>
      <c r="M3367" t="s">
        <v>49</v>
      </c>
      <c r="N3367" t="s">
        <v>49</v>
      </c>
      <c r="O3367" t="s">
        <v>49</v>
      </c>
      <c r="P3367">
        <v>0</v>
      </c>
      <c r="Q3367" t="s">
        <v>50</v>
      </c>
      <c r="R3367" t="s">
        <v>51</v>
      </c>
      <c r="S3367">
        <v>1884</v>
      </c>
      <c r="T3367">
        <v>1950</v>
      </c>
      <c r="U3367" t="s">
        <v>13971</v>
      </c>
      <c r="V3367" t="s">
        <v>13972</v>
      </c>
      <c r="W3367" s="1">
        <v>18609</v>
      </c>
      <c r="X3367" s="2">
        <v>18609</v>
      </c>
      <c r="Y3367" t="s">
        <v>13973</v>
      </c>
      <c r="Z3367">
        <v>0</v>
      </c>
      <c r="AA3367">
        <v>1</v>
      </c>
      <c r="AB3367">
        <v>0</v>
      </c>
      <c r="AC3367">
        <v>0</v>
      </c>
      <c r="AF3367">
        <v>1940</v>
      </c>
      <c r="AG3367">
        <v>1949</v>
      </c>
      <c r="AO3367" t="b">
        <v>1</v>
      </c>
      <c r="AP3367" t="s">
        <v>45</v>
      </c>
      <c r="AQ3367">
        <v>1920</v>
      </c>
      <c r="AR3367">
        <v>2016</v>
      </c>
      <c r="AS3367" t="s">
        <v>13974</v>
      </c>
      <c r="AT3367">
        <v>9.6974674880218998</v>
      </c>
      <c r="AU3367">
        <f t="shared" si="158"/>
        <v>2.7E-2</v>
      </c>
    </row>
    <row r="3368" spans="1:47" x14ac:dyDescent="0.3">
      <c r="A3368">
        <v>3367</v>
      </c>
      <c r="B3368" t="s">
        <v>13975</v>
      </c>
      <c r="C3368" t="s">
        <v>13976</v>
      </c>
      <c r="D3368">
        <v>920</v>
      </c>
      <c r="E3368" t="s">
        <v>13924</v>
      </c>
      <c r="F3368" t="str">
        <f>VLOOKUP(E3368,country_continent!A:C,2,FALSE)</f>
        <v>New Zealand</v>
      </c>
      <c r="G3368" t="str">
        <f>VLOOKUP(E3368,country_continent!A:C,3,FALSE)</f>
        <v>Oceania</v>
      </c>
      <c r="H3368" t="s">
        <v>13977</v>
      </c>
      <c r="I3368" s="1">
        <v>18245</v>
      </c>
      <c r="J3368" s="3">
        <f t="shared" si="156"/>
        <v>18245</v>
      </c>
      <c r="K3368" s="1">
        <v>21083</v>
      </c>
      <c r="L3368" s="3">
        <f t="shared" si="157"/>
        <v>21083</v>
      </c>
      <c r="M3368" t="s">
        <v>49</v>
      </c>
      <c r="N3368" t="s">
        <v>228</v>
      </c>
      <c r="O3368" t="s">
        <v>49</v>
      </c>
      <c r="P3368">
        <v>0</v>
      </c>
      <c r="Q3368" t="s">
        <v>50</v>
      </c>
      <c r="R3368" t="s">
        <v>51</v>
      </c>
      <c r="S3368">
        <v>1893</v>
      </c>
      <c r="T3368">
        <v>1961</v>
      </c>
      <c r="U3368" t="s">
        <v>13978</v>
      </c>
      <c r="V3368" t="s">
        <v>13979</v>
      </c>
      <c r="W3368" s="1">
        <v>22498</v>
      </c>
      <c r="X3368" s="2">
        <v>22498</v>
      </c>
      <c r="Y3368" t="s">
        <v>13980</v>
      </c>
      <c r="Z3368">
        <v>0</v>
      </c>
      <c r="AA3368">
        <v>2.0999998999999998</v>
      </c>
      <c r="AB3368">
        <v>0</v>
      </c>
      <c r="AC3368">
        <v>0</v>
      </c>
      <c r="AF3368">
        <v>1949</v>
      </c>
      <c r="AG3368">
        <v>1957</v>
      </c>
      <c r="AO3368" t="b">
        <v>1</v>
      </c>
      <c r="AP3368" t="s">
        <v>45</v>
      </c>
      <c r="AQ3368">
        <v>1920</v>
      </c>
      <c r="AR3368">
        <v>2016</v>
      </c>
      <c r="AS3368" t="s">
        <v>13981</v>
      </c>
      <c r="AT3368">
        <v>7.7700205338809001</v>
      </c>
      <c r="AU3368">
        <f t="shared" si="158"/>
        <v>2.1000000000000001E-2</v>
      </c>
    </row>
    <row r="3369" spans="1:47" x14ac:dyDescent="0.3">
      <c r="A3369">
        <v>3368</v>
      </c>
      <c r="B3369" t="s">
        <v>13982</v>
      </c>
      <c r="C3369" t="s">
        <v>13983</v>
      </c>
      <c r="D3369">
        <v>920</v>
      </c>
      <c r="E3369" t="s">
        <v>13924</v>
      </c>
      <c r="F3369" t="str">
        <f>VLOOKUP(E3369,country_continent!A:C,2,FALSE)</f>
        <v>New Zealand</v>
      </c>
      <c r="G3369" t="str">
        <f>VLOOKUP(E3369,country_continent!A:C,3,FALSE)</f>
        <v>Oceania</v>
      </c>
      <c r="H3369" t="s">
        <v>13984</v>
      </c>
      <c r="I3369" s="1">
        <v>21083</v>
      </c>
      <c r="J3369" s="3">
        <f t="shared" si="156"/>
        <v>21083</v>
      </c>
      <c r="K3369" s="1">
        <v>21166</v>
      </c>
      <c r="L3369" s="3">
        <f t="shared" si="157"/>
        <v>21166</v>
      </c>
      <c r="M3369" t="s">
        <v>49</v>
      </c>
      <c r="N3369" t="s">
        <v>49</v>
      </c>
      <c r="O3369" t="s">
        <v>49</v>
      </c>
      <c r="P3369">
        <v>0</v>
      </c>
      <c r="Q3369" t="s">
        <v>50</v>
      </c>
      <c r="R3369" t="s">
        <v>51</v>
      </c>
      <c r="S3369">
        <v>1904</v>
      </c>
      <c r="T3369">
        <v>1983</v>
      </c>
      <c r="U3369" s="1">
        <v>1503</v>
      </c>
      <c r="V3369" s="2">
        <v>1503</v>
      </c>
      <c r="W3369" s="1">
        <v>30658</v>
      </c>
      <c r="X3369" s="2">
        <v>30658</v>
      </c>
      <c r="Y3369" t="s">
        <v>13985</v>
      </c>
      <c r="Z3369">
        <v>0</v>
      </c>
      <c r="AA3369">
        <v>1</v>
      </c>
      <c r="AB3369">
        <v>0</v>
      </c>
      <c r="AC3369">
        <v>0</v>
      </c>
      <c r="AF3369">
        <v>1957</v>
      </c>
      <c r="AG3369">
        <v>1957</v>
      </c>
      <c r="AO3369" t="b">
        <v>1</v>
      </c>
      <c r="AP3369" t="s">
        <v>45</v>
      </c>
      <c r="AQ3369">
        <v>1920</v>
      </c>
      <c r="AR3369">
        <v>2016</v>
      </c>
      <c r="AS3369" t="s">
        <v>13986</v>
      </c>
      <c r="AT3369">
        <v>0.22724161533196399</v>
      </c>
      <c r="AU3369">
        <f t="shared" si="158"/>
        <v>1E-3</v>
      </c>
    </row>
    <row r="3370" spans="1:47" x14ac:dyDescent="0.3">
      <c r="A3370">
        <v>3369</v>
      </c>
      <c r="B3370" t="s">
        <v>13987</v>
      </c>
      <c r="C3370" t="s">
        <v>13988</v>
      </c>
      <c r="D3370">
        <v>920</v>
      </c>
      <c r="E3370" t="s">
        <v>13924</v>
      </c>
      <c r="F3370" t="str">
        <f>VLOOKUP(E3370,country_continent!A:C,2,FALSE)</f>
        <v>New Zealand</v>
      </c>
      <c r="G3370" t="str">
        <f>VLOOKUP(E3370,country_continent!A:C,3,FALSE)</f>
        <v>Oceania</v>
      </c>
      <c r="H3370" t="s">
        <v>13989</v>
      </c>
      <c r="I3370" s="1">
        <v>21166</v>
      </c>
      <c r="J3370" s="3">
        <f t="shared" si="156"/>
        <v>21166</v>
      </c>
      <c r="K3370" s="1">
        <v>22262</v>
      </c>
      <c r="L3370" s="3">
        <f t="shared" si="157"/>
        <v>22262</v>
      </c>
      <c r="M3370" t="s">
        <v>49</v>
      </c>
      <c r="N3370" t="s">
        <v>49</v>
      </c>
      <c r="O3370" t="s">
        <v>49</v>
      </c>
      <c r="P3370">
        <v>0</v>
      </c>
      <c r="Q3370" t="s">
        <v>50</v>
      </c>
      <c r="R3370" t="s">
        <v>51</v>
      </c>
      <c r="S3370">
        <v>1882</v>
      </c>
      <c r="T3370">
        <v>1968</v>
      </c>
      <c r="U3370" t="s">
        <v>13990</v>
      </c>
      <c r="V3370" t="s">
        <v>13991</v>
      </c>
      <c r="W3370" s="1">
        <v>24993</v>
      </c>
      <c r="X3370" s="2">
        <v>24993</v>
      </c>
      <c r="Y3370" t="s">
        <v>13992</v>
      </c>
      <c r="Z3370">
        <v>0</v>
      </c>
      <c r="AA3370">
        <v>1</v>
      </c>
      <c r="AB3370">
        <v>0</v>
      </c>
      <c r="AC3370">
        <v>0</v>
      </c>
      <c r="AF3370">
        <v>1957</v>
      </c>
      <c r="AG3370">
        <v>1960</v>
      </c>
      <c r="AO3370" t="b">
        <v>1</v>
      </c>
      <c r="AP3370" t="s">
        <v>45</v>
      </c>
      <c r="AQ3370">
        <v>1920</v>
      </c>
      <c r="AR3370">
        <v>2016</v>
      </c>
      <c r="AS3370" t="s">
        <v>13993</v>
      </c>
      <c r="AT3370">
        <v>3.0006844626967801</v>
      </c>
      <c r="AU3370">
        <f t="shared" si="158"/>
        <v>8.0000000000000002E-3</v>
      </c>
    </row>
    <row r="3371" spans="1:47" x14ac:dyDescent="0.3">
      <c r="A3371">
        <v>3370</v>
      </c>
      <c r="B3371" t="s">
        <v>13994</v>
      </c>
      <c r="C3371" t="s">
        <v>13983</v>
      </c>
      <c r="D3371">
        <v>920</v>
      </c>
      <c r="E3371" t="s">
        <v>13924</v>
      </c>
      <c r="F3371" t="str">
        <f>VLOOKUP(E3371,country_continent!A:C,2,FALSE)</f>
        <v>New Zealand</v>
      </c>
      <c r="G3371" t="str">
        <f>VLOOKUP(E3371,country_continent!A:C,3,FALSE)</f>
        <v>Oceania</v>
      </c>
      <c r="H3371" t="s">
        <v>13984</v>
      </c>
      <c r="I3371" s="1">
        <v>22262</v>
      </c>
      <c r="J3371" s="3">
        <f t="shared" si="156"/>
        <v>22262</v>
      </c>
      <c r="K3371" s="1">
        <v>26336</v>
      </c>
      <c r="L3371" s="3">
        <f t="shared" si="157"/>
        <v>26336</v>
      </c>
      <c r="M3371" t="s">
        <v>49</v>
      </c>
      <c r="N3371" t="s">
        <v>49</v>
      </c>
      <c r="O3371" t="s">
        <v>49</v>
      </c>
      <c r="P3371">
        <v>1</v>
      </c>
      <c r="Q3371" t="s">
        <v>50</v>
      </c>
      <c r="R3371" t="s">
        <v>51</v>
      </c>
      <c r="S3371">
        <v>1904</v>
      </c>
      <c r="T3371">
        <v>1983</v>
      </c>
      <c r="U3371" s="1">
        <v>1503</v>
      </c>
      <c r="V3371" s="2">
        <v>1503</v>
      </c>
      <c r="W3371" s="1">
        <v>30658</v>
      </c>
      <c r="X3371" s="2">
        <v>30658</v>
      </c>
      <c r="Y3371" t="s">
        <v>13985</v>
      </c>
      <c r="Z3371">
        <v>0</v>
      </c>
      <c r="AA3371">
        <v>1</v>
      </c>
      <c r="AB3371">
        <v>0</v>
      </c>
      <c r="AC3371">
        <v>0</v>
      </c>
      <c r="AF3371">
        <v>1960</v>
      </c>
      <c r="AG3371">
        <v>1972</v>
      </c>
      <c r="AO3371" t="b">
        <v>1</v>
      </c>
      <c r="AP3371" t="s">
        <v>45</v>
      </c>
      <c r="AQ3371">
        <v>1920</v>
      </c>
      <c r="AR3371">
        <v>2016</v>
      </c>
      <c r="AS3371" t="s">
        <v>13995</v>
      </c>
      <c r="AT3371">
        <v>11.1540041067761</v>
      </c>
      <c r="AU3371">
        <f t="shared" si="158"/>
        <v>3.1E-2</v>
      </c>
    </row>
    <row r="3372" spans="1:47" x14ac:dyDescent="0.3">
      <c r="A3372">
        <v>3371</v>
      </c>
      <c r="B3372" t="s">
        <v>13996</v>
      </c>
      <c r="C3372" t="s">
        <v>13997</v>
      </c>
      <c r="D3372">
        <v>920</v>
      </c>
      <c r="E3372" t="s">
        <v>13924</v>
      </c>
      <c r="F3372" t="str">
        <f>VLOOKUP(E3372,country_continent!A:C,2,FALSE)</f>
        <v>New Zealand</v>
      </c>
      <c r="G3372" t="str">
        <f>VLOOKUP(E3372,country_continent!A:C,3,FALSE)</f>
        <v>Oceania</v>
      </c>
      <c r="H3372" t="s">
        <v>13998</v>
      </c>
      <c r="I3372" s="1">
        <v>26336</v>
      </c>
      <c r="J3372" s="3">
        <f t="shared" si="156"/>
        <v>26336</v>
      </c>
      <c r="K3372" s="1">
        <v>26641</v>
      </c>
      <c r="L3372" s="3">
        <f t="shared" si="157"/>
        <v>26641</v>
      </c>
      <c r="M3372" t="s">
        <v>49</v>
      </c>
      <c r="N3372" t="s">
        <v>49</v>
      </c>
      <c r="O3372" t="s">
        <v>49</v>
      </c>
      <c r="P3372">
        <v>0</v>
      </c>
      <c r="Q3372" t="s">
        <v>50</v>
      </c>
      <c r="R3372" t="s">
        <v>51</v>
      </c>
      <c r="S3372">
        <v>1912</v>
      </c>
      <c r="T3372">
        <v>1988</v>
      </c>
      <c r="U3372" s="1">
        <v>4448</v>
      </c>
      <c r="V3372" s="2">
        <v>4448</v>
      </c>
      <c r="W3372" s="1">
        <v>32385</v>
      </c>
      <c r="X3372" s="2">
        <v>32385</v>
      </c>
      <c r="Y3372" t="s">
        <v>13999</v>
      </c>
      <c r="Z3372">
        <v>0</v>
      </c>
      <c r="AA3372">
        <v>1</v>
      </c>
      <c r="AB3372">
        <v>0</v>
      </c>
      <c r="AC3372">
        <v>0</v>
      </c>
      <c r="AF3372">
        <v>1972</v>
      </c>
      <c r="AG3372">
        <v>1972</v>
      </c>
      <c r="AO3372" t="b">
        <v>1</v>
      </c>
      <c r="AP3372" t="s">
        <v>45</v>
      </c>
      <c r="AQ3372">
        <v>1920</v>
      </c>
      <c r="AR3372">
        <v>2016</v>
      </c>
      <c r="AS3372" t="s">
        <v>14000</v>
      </c>
      <c r="AT3372">
        <v>0.83504449007529002</v>
      </c>
      <c r="AU3372">
        <f t="shared" si="158"/>
        <v>2E-3</v>
      </c>
    </row>
    <row r="3373" spans="1:47" x14ac:dyDescent="0.3">
      <c r="A3373">
        <v>3372</v>
      </c>
      <c r="B3373" t="s">
        <v>14001</v>
      </c>
      <c r="C3373" t="s">
        <v>14002</v>
      </c>
      <c r="D3373">
        <v>920</v>
      </c>
      <c r="E3373" t="s">
        <v>13924</v>
      </c>
      <c r="F3373" t="str">
        <f>VLOOKUP(E3373,country_continent!A:C,2,FALSE)</f>
        <v>New Zealand</v>
      </c>
      <c r="G3373" t="str">
        <f>VLOOKUP(E3373,country_continent!A:C,3,FALSE)</f>
        <v>Oceania</v>
      </c>
      <c r="H3373" t="s">
        <v>14003</v>
      </c>
      <c r="I3373" s="1">
        <v>26641</v>
      </c>
      <c r="J3373" s="3">
        <f t="shared" si="156"/>
        <v>26641</v>
      </c>
      <c r="K3373" s="1">
        <v>27272</v>
      </c>
      <c r="L3373" s="3">
        <f t="shared" si="157"/>
        <v>27272</v>
      </c>
      <c r="M3373" t="s">
        <v>49</v>
      </c>
      <c r="N3373" t="s">
        <v>110</v>
      </c>
      <c r="O3373" t="s">
        <v>49</v>
      </c>
      <c r="P3373">
        <v>0</v>
      </c>
      <c r="Q3373" t="s">
        <v>111</v>
      </c>
      <c r="R3373" t="s">
        <v>51</v>
      </c>
      <c r="S3373">
        <v>1923</v>
      </c>
      <c r="T3373">
        <v>1974</v>
      </c>
      <c r="U3373" s="1">
        <v>8403</v>
      </c>
      <c r="V3373" s="2">
        <v>8403</v>
      </c>
      <c r="W3373" s="1">
        <v>27272</v>
      </c>
      <c r="X3373" s="2">
        <v>27272</v>
      </c>
      <c r="Y3373" t="s">
        <v>14004</v>
      </c>
      <c r="Z3373">
        <v>0</v>
      </c>
      <c r="AA3373">
        <v>2</v>
      </c>
      <c r="AB3373">
        <v>0</v>
      </c>
      <c r="AC3373">
        <v>-777</v>
      </c>
      <c r="AF3373">
        <v>1972</v>
      </c>
      <c r="AG3373">
        <v>1974</v>
      </c>
      <c r="AO3373" t="b">
        <v>1</v>
      </c>
      <c r="AP3373" t="s">
        <v>45</v>
      </c>
      <c r="AQ3373">
        <v>1920</v>
      </c>
      <c r="AR3373">
        <v>2016</v>
      </c>
      <c r="AS3373" t="s">
        <v>14005</v>
      </c>
      <c r="AT3373">
        <v>1.7275838466803499</v>
      </c>
      <c r="AU3373">
        <f t="shared" si="158"/>
        <v>5.0000000000000001E-3</v>
      </c>
    </row>
    <row r="3374" spans="1:47" x14ac:dyDescent="0.3">
      <c r="A3374">
        <v>3373</v>
      </c>
      <c r="B3374" t="s">
        <v>14006</v>
      </c>
      <c r="C3374" t="s">
        <v>14007</v>
      </c>
      <c r="D3374">
        <v>920</v>
      </c>
      <c r="E3374" t="s">
        <v>13924</v>
      </c>
      <c r="F3374" t="str">
        <f>VLOOKUP(E3374,country_continent!A:C,2,FALSE)</f>
        <v>New Zealand</v>
      </c>
      <c r="G3374" t="str">
        <f>VLOOKUP(E3374,country_continent!A:C,3,FALSE)</f>
        <v>Oceania</v>
      </c>
      <c r="H3374" t="s">
        <v>14008</v>
      </c>
      <c r="I3374" s="1">
        <v>27278</v>
      </c>
      <c r="J3374" s="3">
        <f t="shared" si="156"/>
        <v>27278</v>
      </c>
      <c r="K3374" s="1">
        <v>27740</v>
      </c>
      <c r="L3374" s="3">
        <f t="shared" si="157"/>
        <v>27740</v>
      </c>
      <c r="M3374" t="s">
        <v>49</v>
      </c>
      <c r="N3374" t="s">
        <v>49</v>
      </c>
      <c r="O3374" t="s">
        <v>49</v>
      </c>
      <c r="P3374">
        <v>0</v>
      </c>
      <c r="Q3374" t="s">
        <v>50</v>
      </c>
      <c r="R3374" t="s">
        <v>51</v>
      </c>
      <c r="S3374">
        <v>1927</v>
      </c>
      <c r="T3374">
        <v>1995</v>
      </c>
      <c r="U3374" s="1">
        <v>10181</v>
      </c>
      <c r="V3374" s="2">
        <v>10181</v>
      </c>
      <c r="W3374" s="1">
        <v>35003</v>
      </c>
      <c r="X3374" s="2">
        <v>35003</v>
      </c>
      <c r="Y3374" t="s">
        <v>14009</v>
      </c>
      <c r="Z3374">
        <v>0</v>
      </c>
      <c r="AA3374">
        <v>1</v>
      </c>
      <c r="AB3374">
        <v>0</v>
      </c>
      <c r="AC3374">
        <v>0</v>
      </c>
      <c r="AF3374">
        <v>1974</v>
      </c>
      <c r="AG3374">
        <v>1975</v>
      </c>
      <c r="AO3374" t="b">
        <v>1</v>
      </c>
      <c r="AP3374" t="s">
        <v>45</v>
      </c>
      <c r="AQ3374">
        <v>1920</v>
      </c>
      <c r="AR3374">
        <v>2016</v>
      </c>
      <c r="AS3374" t="s">
        <v>14010</v>
      </c>
      <c r="AT3374">
        <v>1.26488706365503</v>
      </c>
      <c r="AU3374">
        <f t="shared" si="158"/>
        <v>3.0000000000000001E-3</v>
      </c>
    </row>
    <row r="3375" spans="1:47" x14ac:dyDescent="0.3">
      <c r="A3375">
        <v>3374</v>
      </c>
      <c r="B3375" t="s">
        <v>14011</v>
      </c>
      <c r="C3375" t="s">
        <v>14012</v>
      </c>
      <c r="D3375">
        <v>920</v>
      </c>
      <c r="E3375" t="s">
        <v>13924</v>
      </c>
      <c r="F3375" t="str">
        <f>VLOOKUP(E3375,country_continent!A:C,2,FALSE)</f>
        <v>New Zealand</v>
      </c>
      <c r="G3375" t="str">
        <f>VLOOKUP(E3375,country_continent!A:C,3,FALSE)</f>
        <v>Oceania</v>
      </c>
      <c r="H3375" t="s">
        <v>14013</v>
      </c>
      <c r="I3375" s="1">
        <v>27740</v>
      </c>
      <c r="J3375" s="3">
        <f t="shared" si="156"/>
        <v>27740</v>
      </c>
      <c r="K3375" s="1">
        <v>30889</v>
      </c>
      <c r="L3375" s="3">
        <f t="shared" si="157"/>
        <v>30889</v>
      </c>
      <c r="M3375" t="s">
        <v>49</v>
      </c>
      <c r="N3375" t="s">
        <v>49</v>
      </c>
      <c r="O3375" t="s">
        <v>49</v>
      </c>
      <c r="P3375">
        <v>0</v>
      </c>
      <c r="Q3375" t="s">
        <v>50</v>
      </c>
      <c r="R3375" t="s">
        <v>51</v>
      </c>
      <c r="S3375">
        <v>1921</v>
      </c>
      <c r="T3375">
        <v>1992</v>
      </c>
      <c r="U3375" s="1">
        <v>7939</v>
      </c>
      <c r="V3375" s="2">
        <v>7939</v>
      </c>
      <c r="W3375" s="1">
        <v>33821</v>
      </c>
      <c r="X3375" s="2">
        <v>33821</v>
      </c>
      <c r="Y3375" t="s">
        <v>14014</v>
      </c>
      <c r="Z3375">
        <v>0</v>
      </c>
      <c r="AA3375">
        <v>1</v>
      </c>
      <c r="AB3375">
        <v>0</v>
      </c>
      <c r="AC3375">
        <v>0</v>
      </c>
      <c r="AF3375">
        <v>1975</v>
      </c>
      <c r="AG3375">
        <v>1984</v>
      </c>
      <c r="AO3375" t="b">
        <v>1</v>
      </c>
      <c r="AP3375" t="s">
        <v>45</v>
      </c>
      <c r="AQ3375">
        <v>1920</v>
      </c>
      <c r="AR3375">
        <v>2016</v>
      </c>
      <c r="AS3375" t="s">
        <v>14015</v>
      </c>
      <c r="AT3375">
        <v>8.6214921286789803</v>
      </c>
      <c r="AU3375">
        <f t="shared" si="158"/>
        <v>2.4E-2</v>
      </c>
    </row>
    <row r="3376" spans="1:47" x14ac:dyDescent="0.3">
      <c r="A3376">
        <v>3375</v>
      </c>
      <c r="B3376" t="s">
        <v>14016</v>
      </c>
      <c r="C3376" t="s">
        <v>14017</v>
      </c>
      <c r="D3376">
        <v>920</v>
      </c>
      <c r="E3376" t="s">
        <v>13924</v>
      </c>
      <c r="F3376" t="str">
        <f>VLOOKUP(E3376,country_continent!A:C,2,FALSE)</f>
        <v>New Zealand</v>
      </c>
      <c r="G3376" t="str">
        <f>VLOOKUP(E3376,country_continent!A:C,3,FALSE)</f>
        <v>Oceania</v>
      </c>
      <c r="H3376" t="s">
        <v>14018</v>
      </c>
      <c r="I3376" s="1">
        <v>30889</v>
      </c>
      <c r="J3376" s="3">
        <f t="shared" si="156"/>
        <v>30889</v>
      </c>
      <c r="K3376" s="1">
        <v>32728</v>
      </c>
      <c r="L3376" s="3">
        <f t="shared" si="157"/>
        <v>32728</v>
      </c>
      <c r="M3376" t="s">
        <v>49</v>
      </c>
      <c r="N3376" t="s">
        <v>49</v>
      </c>
      <c r="O3376" t="s">
        <v>49</v>
      </c>
      <c r="P3376">
        <v>0</v>
      </c>
      <c r="Q3376" t="s">
        <v>50</v>
      </c>
      <c r="R3376" t="s">
        <v>51</v>
      </c>
      <c r="S3376">
        <v>1942</v>
      </c>
      <c r="T3376">
        <v>2005</v>
      </c>
      <c r="W3376" s="1">
        <v>38577</v>
      </c>
      <c r="X3376" s="2">
        <v>38577</v>
      </c>
      <c r="Y3376" t="s">
        <v>14019</v>
      </c>
      <c r="Z3376">
        <v>0</v>
      </c>
      <c r="AA3376">
        <v>1</v>
      </c>
      <c r="AB3376">
        <v>0</v>
      </c>
      <c r="AC3376">
        <v>0</v>
      </c>
      <c r="AF3376">
        <v>1984</v>
      </c>
      <c r="AG3376">
        <v>1989</v>
      </c>
      <c r="AO3376" t="b">
        <v>1</v>
      </c>
      <c r="AP3376" t="s">
        <v>45</v>
      </c>
      <c r="AQ3376">
        <v>1920</v>
      </c>
      <c r="AR3376">
        <v>2016</v>
      </c>
      <c r="AS3376" t="s">
        <v>14020</v>
      </c>
      <c r="AT3376">
        <v>5.0349075975359296</v>
      </c>
      <c r="AU3376">
        <f t="shared" si="158"/>
        <v>1.4E-2</v>
      </c>
    </row>
    <row r="3377" spans="1:47" x14ac:dyDescent="0.3">
      <c r="A3377">
        <v>3376</v>
      </c>
      <c r="B3377" t="s">
        <v>14021</v>
      </c>
      <c r="C3377" t="s">
        <v>14022</v>
      </c>
      <c r="D3377">
        <v>920</v>
      </c>
      <c r="E3377" t="s">
        <v>13924</v>
      </c>
      <c r="F3377" t="str">
        <f>VLOOKUP(E3377,country_continent!A:C,2,FALSE)</f>
        <v>New Zealand</v>
      </c>
      <c r="G3377" t="str">
        <f>VLOOKUP(E3377,country_continent!A:C,3,FALSE)</f>
        <v>Oceania</v>
      </c>
      <c r="H3377" t="s">
        <v>10617</v>
      </c>
      <c r="I3377" s="1">
        <v>32728</v>
      </c>
      <c r="J3377" s="3">
        <f t="shared" si="156"/>
        <v>32728</v>
      </c>
      <c r="K3377" s="1">
        <v>33120</v>
      </c>
      <c r="L3377" s="3">
        <f t="shared" si="157"/>
        <v>33120</v>
      </c>
      <c r="M3377" t="s">
        <v>49</v>
      </c>
      <c r="N3377" t="s">
        <v>49</v>
      </c>
      <c r="O3377" t="s">
        <v>49</v>
      </c>
      <c r="P3377">
        <v>0</v>
      </c>
      <c r="Q3377" t="s">
        <v>50</v>
      </c>
      <c r="R3377" t="s">
        <v>51</v>
      </c>
      <c r="S3377">
        <v>1942</v>
      </c>
      <c r="T3377">
        <v>-777</v>
      </c>
      <c r="U3377" s="1">
        <v>15452</v>
      </c>
      <c r="V3377" s="2">
        <v>15452</v>
      </c>
      <c r="Z3377">
        <v>0</v>
      </c>
      <c r="AA3377">
        <v>1</v>
      </c>
      <c r="AB3377">
        <v>0</v>
      </c>
      <c r="AC3377">
        <v>0</v>
      </c>
      <c r="AF3377">
        <v>1989</v>
      </c>
      <c r="AG3377">
        <v>1990</v>
      </c>
      <c r="AO3377" t="b">
        <v>1</v>
      </c>
      <c r="AP3377" t="s">
        <v>45</v>
      </c>
      <c r="AQ3377">
        <v>1920</v>
      </c>
      <c r="AR3377">
        <v>2016</v>
      </c>
      <c r="AS3377" t="s">
        <v>14023</v>
      </c>
      <c r="AT3377">
        <v>1.0732375085557799</v>
      </c>
      <c r="AU3377">
        <f t="shared" si="158"/>
        <v>3.0000000000000001E-3</v>
      </c>
    </row>
    <row r="3378" spans="1:47" x14ac:dyDescent="0.3">
      <c r="A3378">
        <v>3377</v>
      </c>
      <c r="B3378" t="s">
        <v>14024</v>
      </c>
      <c r="C3378" t="s">
        <v>14025</v>
      </c>
      <c r="D3378">
        <v>920</v>
      </c>
      <c r="E3378" t="s">
        <v>13924</v>
      </c>
      <c r="F3378" t="str">
        <f>VLOOKUP(E3378,country_continent!A:C,2,FALSE)</f>
        <v>New Zealand</v>
      </c>
      <c r="G3378" t="str">
        <f>VLOOKUP(E3378,country_continent!A:C,3,FALSE)</f>
        <v>Oceania</v>
      </c>
      <c r="H3378" t="s">
        <v>14026</v>
      </c>
      <c r="I3378" s="1">
        <v>33120</v>
      </c>
      <c r="J3378" s="3">
        <f t="shared" si="156"/>
        <v>33120</v>
      </c>
      <c r="K3378" s="1">
        <v>33173</v>
      </c>
      <c r="L3378" s="3">
        <f t="shared" si="157"/>
        <v>33173</v>
      </c>
      <c r="M3378" t="s">
        <v>49</v>
      </c>
      <c r="N3378" t="s">
        <v>49</v>
      </c>
      <c r="O3378" t="s">
        <v>49</v>
      </c>
      <c r="P3378">
        <v>0</v>
      </c>
      <c r="Q3378" t="s">
        <v>50</v>
      </c>
      <c r="R3378" t="s">
        <v>51</v>
      </c>
      <c r="S3378">
        <v>1949</v>
      </c>
      <c r="T3378">
        <v>-777</v>
      </c>
      <c r="Y3378" t="s">
        <v>14027</v>
      </c>
      <c r="Z3378">
        <v>0</v>
      </c>
      <c r="AA3378">
        <v>1</v>
      </c>
      <c r="AB3378">
        <v>0</v>
      </c>
      <c r="AC3378">
        <v>0</v>
      </c>
      <c r="AF3378">
        <v>1990</v>
      </c>
      <c r="AG3378">
        <v>1990</v>
      </c>
      <c r="AO3378" t="b">
        <v>1</v>
      </c>
      <c r="AP3378" t="s">
        <v>45</v>
      </c>
      <c r="AQ3378">
        <v>1920</v>
      </c>
      <c r="AR3378">
        <v>2016</v>
      </c>
      <c r="AS3378" t="s">
        <v>14028</v>
      </c>
      <c r="AT3378">
        <v>0.14510609171800101</v>
      </c>
      <c r="AU3378">
        <f t="shared" si="158"/>
        <v>0</v>
      </c>
    </row>
    <row r="3379" spans="1:47" x14ac:dyDescent="0.3">
      <c r="A3379">
        <v>3378</v>
      </c>
      <c r="B3379" t="s">
        <v>14029</v>
      </c>
      <c r="C3379" t="s">
        <v>14030</v>
      </c>
      <c r="D3379">
        <v>920</v>
      </c>
      <c r="E3379" t="s">
        <v>13924</v>
      </c>
      <c r="F3379" t="str">
        <f>VLOOKUP(E3379,country_continent!A:C,2,FALSE)</f>
        <v>New Zealand</v>
      </c>
      <c r="G3379" t="str">
        <f>VLOOKUP(E3379,country_continent!A:C,3,FALSE)</f>
        <v>Oceania</v>
      </c>
      <c r="H3379" t="s">
        <v>14031</v>
      </c>
      <c r="I3379" s="1">
        <v>33173</v>
      </c>
      <c r="J3379" s="3">
        <f t="shared" si="156"/>
        <v>33173</v>
      </c>
      <c r="K3379" s="1">
        <v>35772</v>
      </c>
      <c r="L3379" s="3">
        <f t="shared" si="157"/>
        <v>35772</v>
      </c>
      <c r="M3379" t="s">
        <v>49</v>
      </c>
      <c r="N3379" t="s">
        <v>49</v>
      </c>
      <c r="O3379" t="s">
        <v>49</v>
      </c>
      <c r="P3379">
        <v>0</v>
      </c>
      <c r="Q3379" t="s">
        <v>50</v>
      </c>
      <c r="R3379" t="s">
        <v>51</v>
      </c>
      <c r="S3379">
        <v>1935</v>
      </c>
      <c r="T3379">
        <v>-777</v>
      </c>
      <c r="U3379" s="1">
        <v>12935</v>
      </c>
      <c r="V3379" s="2">
        <v>12935</v>
      </c>
      <c r="Y3379" t="s">
        <v>14032</v>
      </c>
      <c r="Z3379">
        <v>0</v>
      </c>
      <c r="AA3379">
        <v>1</v>
      </c>
      <c r="AB3379">
        <v>0</v>
      </c>
      <c r="AC3379">
        <v>0</v>
      </c>
      <c r="AF3379">
        <v>1990</v>
      </c>
      <c r="AG3379">
        <v>1997</v>
      </c>
      <c r="AO3379" t="b">
        <v>1</v>
      </c>
      <c r="AP3379" t="s">
        <v>45</v>
      </c>
      <c r="AQ3379">
        <v>1920</v>
      </c>
      <c r="AR3379">
        <v>2016</v>
      </c>
      <c r="AS3379" t="s">
        <v>14033</v>
      </c>
      <c r="AT3379">
        <v>7.1156741957563296</v>
      </c>
      <c r="AU3379">
        <f t="shared" si="158"/>
        <v>1.9E-2</v>
      </c>
    </row>
    <row r="3380" spans="1:47" x14ac:dyDescent="0.3">
      <c r="A3380">
        <v>3379</v>
      </c>
      <c r="B3380" t="s">
        <v>14034</v>
      </c>
      <c r="C3380" t="s">
        <v>14035</v>
      </c>
      <c r="D3380">
        <v>920</v>
      </c>
      <c r="E3380" t="s">
        <v>13924</v>
      </c>
      <c r="F3380" t="str">
        <f>VLOOKUP(E3380,country_continent!A:C,2,FALSE)</f>
        <v>New Zealand</v>
      </c>
      <c r="G3380" t="str">
        <f>VLOOKUP(E3380,country_continent!A:C,3,FALSE)</f>
        <v>Oceania</v>
      </c>
      <c r="H3380" t="s">
        <v>14036</v>
      </c>
      <c r="I3380" s="1">
        <v>35772</v>
      </c>
      <c r="J3380" s="3">
        <f t="shared" si="156"/>
        <v>35772</v>
      </c>
      <c r="K3380" s="1">
        <v>36504</v>
      </c>
      <c r="L3380" s="3">
        <f t="shared" si="157"/>
        <v>36504</v>
      </c>
      <c r="M3380" t="s">
        <v>49</v>
      </c>
      <c r="N3380" t="s">
        <v>49</v>
      </c>
      <c r="O3380" t="s">
        <v>49</v>
      </c>
      <c r="P3380">
        <v>0</v>
      </c>
      <c r="Q3380" t="s">
        <v>50</v>
      </c>
      <c r="R3380" t="s">
        <v>299</v>
      </c>
      <c r="S3380">
        <v>1952</v>
      </c>
      <c r="T3380">
        <v>-777</v>
      </c>
      <c r="Z3380">
        <v>0</v>
      </c>
      <c r="AA3380">
        <v>1</v>
      </c>
      <c r="AB3380">
        <v>0</v>
      </c>
      <c r="AC3380">
        <v>0</v>
      </c>
      <c r="AF3380">
        <v>1997</v>
      </c>
      <c r="AG3380">
        <v>1999</v>
      </c>
      <c r="AO3380" t="b">
        <v>1</v>
      </c>
      <c r="AP3380" t="s">
        <v>45</v>
      </c>
      <c r="AQ3380">
        <v>1920</v>
      </c>
      <c r="AR3380">
        <v>2016</v>
      </c>
      <c r="AS3380" t="s">
        <v>14037</v>
      </c>
      <c r="AT3380">
        <v>2.0041067761806901</v>
      </c>
      <c r="AU3380">
        <f t="shared" si="158"/>
        <v>5.0000000000000001E-3</v>
      </c>
    </row>
    <row r="3381" spans="1:47" x14ac:dyDescent="0.3">
      <c r="A3381">
        <v>3380</v>
      </c>
      <c r="B3381" t="s">
        <v>14038</v>
      </c>
      <c r="C3381" t="s">
        <v>14039</v>
      </c>
      <c r="D3381">
        <v>920</v>
      </c>
      <c r="E3381" t="s">
        <v>13924</v>
      </c>
      <c r="F3381" t="str">
        <f>VLOOKUP(E3381,country_continent!A:C,2,FALSE)</f>
        <v>New Zealand</v>
      </c>
      <c r="G3381" t="str">
        <f>VLOOKUP(E3381,country_continent!A:C,3,FALSE)</f>
        <v>Oceania</v>
      </c>
      <c r="H3381" t="s">
        <v>14040</v>
      </c>
      <c r="I3381" s="1">
        <v>36504</v>
      </c>
      <c r="J3381" s="3">
        <f t="shared" si="156"/>
        <v>36504</v>
      </c>
      <c r="K3381" s="1">
        <v>39771</v>
      </c>
      <c r="L3381" s="3">
        <f t="shared" si="157"/>
        <v>39771</v>
      </c>
      <c r="M3381" t="s">
        <v>49</v>
      </c>
      <c r="N3381" t="s">
        <v>49</v>
      </c>
      <c r="O3381" t="s">
        <v>49</v>
      </c>
      <c r="P3381">
        <v>0</v>
      </c>
      <c r="Q3381" t="s">
        <v>50</v>
      </c>
      <c r="R3381" t="s">
        <v>299</v>
      </c>
      <c r="S3381">
        <v>1950</v>
      </c>
      <c r="T3381">
        <v>-777</v>
      </c>
      <c r="U3381" s="1">
        <v>18320</v>
      </c>
      <c r="V3381" s="2">
        <v>18320</v>
      </c>
      <c r="Y3381" t="s">
        <v>14041</v>
      </c>
      <c r="Z3381">
        <v>0</v>
      </c>
      <c r="AA3381">
        <v>1</v>
      </c>
      <c r="AB3381">
        <v>0</v>
      </c>
      <c r="AC3381">
        <v>0</v>
      </c>
      <c r="AF3381">
        <v>1999</v>
      </c>
      <c r="AG3381">
        <v>2008</v>
      </c>
      <c r="AO3381" t="b">
        <v>1</v>
      </c>
      <c r="AP3381" t="s">
        <v>45</v>
      </c>
      <c r="AQ3381">
        <v>1920</v>
      </c>
      <c r="AR3381">
        <v>2016</v>
      </c>
      <c r="AS3381" t="s">
        <v>14042</v>
      </c>
      <c r="AT3381">
        <v>8.9445585215605696</v>
      </c>
      <c r="AU3381">
        <f t="shared" si="158"/>
        <v>2.5000000000000001E-2</v>
      </c>
    </row>
    <row r="3382" spans="1:47" x14ac:dyDescent="0.3">
      <c r="A3382">
        <v>3381</v>
      </c>
      <c r="B3382" t="s">
        <v>14043</v>
      </c>
      <c r="C3382" t="s">
        <v>14044</v>
      </c>
      <c r="D3382">
        <v>920</v>
      </c>
      <c r="E3382" t="s">
        <v>13924</v>
      </c>
      <c r="F3382" t="str">
        <f>VLOOKUP(E3382,country_continent!A:C,2,FALSE)</f>
        <v>New Zealand</v>
      </c>
      <c r="G3382" t="str">
        <f>VLOOKUP(E3382,country_continent!A:C,3,FALSE)</f>
        <v>Oceania</v>
      </c>
      <c r="H3382" t="s">
        <v>14045</v>
      </c>
      <c r="I3382" s="1">
        <v>39771</v>
      </c>
      <c r="J3382" s="3">
        <f t="shared" si="156"/>
        <v>39771</v>
      </c>
      <c r="K3382" s="1">
        <v>42369</v>
      </c>
      <c r="L3382" s="3">
        <f t="shared" si="157"/>
        <v>42369</v>
      </c>
      <c r="M3382" t="s">
        <v>49</v>
      </c>
      <c r="N3382" t="s">
        <v>173</v>
      </c>
      <c r="O3382" t="s">
        <v>173</v>
      </c>
      <c r="P3382">
        <v>0</v>
      </c>
      <c r="Q3382" t="s">
        <v>174</v>
      </c>
      <c r="R3382" t="s">
        <v>51</v>
      </c>
      <c r="S3382">
        <v>1961</v>
      </c>
      <c r="T3382">
        <v>-777</v>
      </c>
      <c r="U3382" s="1">
        <v>22502</v>
      </c>
      <c r="V3382" s="2">
        <v>22502</v>
      </c>
      <c r="Z3382">
        <v>0</v>
      </c>
      <c r="AA3382">
        <v>-888</v>
      </c>
      <c r="AB3382">
        <v>-888</v>
      </c>
      <c r="AC3382">
        <v>-888</v>
      </c>
      <c r="AF3382">
        <v>2008</v>
      </c>
      <c r="AG3382">
        <v>2015</v>
      </c>
      <c r="AO3382" t="b">
        <v>1</v>
      </c>
      <c r="AP3382" t="s">
        <v>45</v>
      </c>
      <c r="AQ3382">
        <v>1920</v>
      </c>
      <c r="AR3382">
        <v>2016</v>
      </c>
      <c r="AS3382" t="s">
        <v>14046</v>
      </c>
      <c r="AT3382">
        <v>7.1129363449691896</v>
      </c>
      <c r="AU3382">
        <f t="shared" si="158"/>
        <v>1.9E-2</v>
      </c>
    </row>
    <row r="3383" spans="1:47" x14ac:dyDescent="0.3">
      <c r="A3383">
        <v>3382</v>
      </c>
      <c r="B3383" t="s">
        <v>14047</v>
      </c>
      <c r="C3383" t="s">
        <v>14048</v>
      </c>
      <c r="D3383">
        <v>940</v>
      </c>
      <c r="E3383" t="s">
        <v>14049</v>
      </c>
      <c r="F3383" t="str">
        <f>VLOOKUP(E3383,country_continent!A:C,2,FALSE)</f>
        <v>Solomon Islands</v>
      </c>
      <c r="G3383" t="str">
        <f>VLOOKUP(E3383,country_continent!A:C,3,FALSE)</f>
        <v>Oceania</v>
      </c>
      <c r="H3383" t="s">
        <v>14050</v>
      </c>
      <c r="I3383" s="1">
        <v>28678</v>
      </c>
      <c r="J3383" s="3">
        <f t="shared" si="156"/>
        <v>28678</v>
      </c>
      <c r="K3383" s="1">
        <v>29829</v>
      </c>
      <c r="L3383" s="3">
        <f t="shared" si="157"/>
        <v>29829</v>
      </c>
      <c r="M3383" t="s">
        <v>49</v>
      </c>
      <c r="N3383" t="s">
        <v>49</v>
      </c>
      <c r="O3383" t="s">
        <v>49</v>
      </c>
      <c r="P3383">
        <v>0</v>
      </c>
      <c r="Q3383" t="s">
        <v>50</v>
      </c>
      <c r="R3383" t="s">
        <v>51</v>
      </c>
      <c r="S3383">
        <v>1943</v>
      </c>
      <c r="T3383">
        <v>-777</v>
      </c>
      <c r="U3383" s="1">
        <v>15849</v>
      </c>
      <c r="V3383" s="2">
        <v>15849</v>
      </c>
      <c r="Z3383">
        <v>0</v>
      </c>
      <c r="AA3383">
        <v>1</v>
      </c>
      <c r="AB3383">
        <v>0</v>
      </c>
      <c r="AC3383">
        <v>0</v>
      </c>
      <c r="AF3383">
        <v>1978</v>
      </c>
      <c r="AG3383">
        <v>1981</v>
      </c>
      <c r="AO3383" t="b">
        <v>0</v>
      </c>
      <c r="AT3383">
        <v>1151</v>
      </c>
      <c r="AU3383">
        <f t="shared" si="158"/>
        <v>3.153</v>
      </c>
    </row>
    <row r="3384" spans="1:47" x14ac:dyDescent="0.3">
      <c r="A3384">
        <v>3383</v>
      </c>
      <c r="B3384" t="s">
        <v>14051</v>
      </c>
      <c r="C3384" t="s">
        <v>14052</v>
      </c>
      <c r="D3384">
        <v>940</v>
      </c>
      <c r="E3384" t="s">
        <v>14049</v>
      </c>
      <c r="F3384" t="str">
        <f>VLOOKUP(E3384,country_continent!A:C,2,FALSE)</f>
        <v>Solomon Islands</v>
      </c>
      <c r="G3384" t="str">
        <f>VLOOKUP(E3384,country_continent!A:C,3,FALSE)</f>
        <v>Oceania</v>
      </c>
      <c r="H3384" t="s">
        <v>14053</v>
      </c>
      <c r="I3384" s="1">
        <v>29829</v>
      </c>
      <c r="J3384" s="3">
        <f t="shared" si="156"/>
        <v>29829</v>
      </c>
      <c r="K3384" s="1">
        <v>31005</v>
      </c>
      <c r="L3384" s="3">
        <f t="shared" si="157"/>
        <v>31005</v>
      </c>
      <c r="M3384" t="s">
        <v>49</v>
      </c>
      <c r="N3384" t="s">
        <v>49</v>
      </c>
      <c r="O3384" t="s">
        <v>49</v>
      </c>
      <c r="P3384">
        <v>0</v>
      </c>
      <c r="Q3384" t="s">
        <v>50</v>
      </c>
      <c r="R3384" t="s">
        <v>51</v>
      </c>
      <c r="S3384">
        <v>1943</v>
      </c>
      <c r="T3384">
        <v>2000</v>
      </c>
      <c r="Z3384">
        <v>0</v>
      </c>
      <c r="AA3384">
        <v>1</v>
      </c>
      <c r="AB3384">
        <v>0</v>
      </c>
      <c r="AC3384">
        <v>0</v>
      </c>
      <c r="AF3384">
        <v>1981</v>
      </c>
      <c r="AG3384">
        <v>1984</v>
      </c>
      <c r="AO3384" t="b">
        <v>0</v>
      </c>
      <c r="AT3384">
        <v>1176</v>
      </c>
      <c r="AU3384">
        <f t="shared" si="158"/>
        <v>3.222</v>
      </c>
    </row>
    <row r="3385" spans="1:47" x14ac:dyDescent="0.3">
      <c r="A3385">
        <v>3384</v>
      </c>
      <c r="B3385" t="s">
        <v>14054</v>
      </c>
      <c r="C3385" t="s">
        <v>14048</v>
      </c>
      <c r="D3385">
        <v>940</v>
      </c>
      <c r="E3385" t="s">
        <v>14049</v>
      </c>
      <c r="F3385" t="str">
        <f>VLOOKUP(E3385,country_continent!A:C,2,FALSE)</f>
        <v>Solomon Islands</v>
      </c>
      <c r="G3385" t="str">
        <f>VLOOKUP(E3385,country_continent!A:C,3,FALSE)</f>
        <v>Oceania</v>
      </c>
      <c r="H3385" t="s">
        <v>14050</v>
      </c>
      <c r="I3385" s="1">
        <v>31005</v>
      </c>
      <c r="J3385" s="3">
        <f t="shared" si="156"/>
        <v>31005</v>
      </c>
      <c r="K3385" s="1">
        <v>31747</v>
      </c>
      <c r="L3385" s="3">
        <f t="shared" si="157"/>
        <v>31747</v>
      </c>
      <c r="M3385" t="s">
        <v>49</v>
      </c>
      <c r="N3385" t="s">
        <v>49</v>
      </c>
      <c r="O3385" t="s">
        <v>49</v>
      </c>
      <c r="P3385">
        <v>1</v>
      </c>
      <c r="Q3385" t="s">
        <v>50</v>
      </c>
      <c r="R3385" t="s">
        <v>51</v>
      </c>
      <c r="S3385">
        <v>1943</v>
      </c>
      <c r="T3385">
        <v>-777</v>
      </c>
      <c r="U3385" s="1">
        <v>15849</v>
      </c>
      <c r="V3385" s="2">
        <v>15849</v>
      </c>
      <c r="Z3385">
        <v>0</v>
      </c>
      <c r="AA3385">
        <v>1</v>
      </c>
      <c r="AB3385">
        <v>0</v>
      </c>
      <c r="AC3385">
        <v>0</v>
      </c>
      <c r="AF3385">
        <v>1984</v>
      </c>
      <c r="AG3385">
        <v>1986</v>
      </c>
      <c r="AO3385" t="b">
        <v>0</v>
      </c>
      <c r="AT3385">
        <v>742</v>
      </c>
      <c r="AU3385">
        <f t="shared" si="158"/>
        <v>2.0329999999999999</v>
      </c>
    </row>
    <row r="3386" spans="1:47" x14ac:dyDescent="0.3">
      <c r="A3386">
        <v>3385</v>
      </c>
      <c r="B3386" t="s">
        <v>14055</v>
      </c>
      <c r="C3386" t="s">
        <v>14056</v>
      </c>
      <c r="D3386">
        <v>940</v>
      </c>
      <c r="E3386" t="s">
        <v>14049</v>
      </c>
      <c r="F3386" t="str">
        <f>VLOOKUP(E3386,country_continent!A:C,2,FALSE)</f>
        <v>Solomon Islands</v>
      </c>
      <c r="G3386" t="str">
        <f>VLOOKUP(E3386,country_continent!A:C,3,FALSE)</f>
        <v>Oceania</v>
      </c>
      <c r="H3386" t="s">
        <v>14057</v>
      </c>
      <c r="I3386" s="1">
        <v>31747</v>
      </c>
      <c r="J3386" s="3">
        <f t="shared" si="156"/>
        <v>31747</v>
      </c>
      <c r="K3386" s="1">
        <v>32595</v>
      </c>
      <c r="L3386" s="3">
        <f t="shared" si="157"/>
        <v>32595</v>
      </c>
      <c r="M3386" t="s">
        <v>49</v>
      </c>
      <c r="N3386" t="s">
        <v>49</v>
      </c>
      <c r="O3386" t="s">
        <v>49</v>
      </c>
      <c r="P3386">
        <v>0</v>
      </c>
      <c r="Q3386" t="s">
        <v>50</v>
      </c>
      <c r="R3386" t="s">
        <v>51</v>
      </c>
      <c r="S3386">
        <v>1947</v>
      </c>
      <c r="T3386">
        <v>-777</v>
      </c>
      <c r="Z3386">
        <v>0</v>
      </c>
      <c r="AA3386">
        <v>1</v>
      </c>
      <c r="AB3386">
        <v>0</v>
      </c>
      <c r="AC3386">
        <v>0</v>
      </c>
      <c r="AF3386">
        <v>1986</v>
      </c>
      <c r="AG3386">
        <v>1989</v>
      </c>
      <c r="AO3386" t="b">
        <v>0</v>
      </c>
      <c r="AT3386">
        <v>848</v>
      </c>
      <c r="AU3386">
        <f t="shared" si="158"/>
        <v>2.323</v>
      </c>
    </row>
    <row r="3387" spans="1:47" x14ac:dyDescent="0.3">
      <c r="A3387">
        <v>3386</v>
      </c>
      <c r="B3387" t="s">
        <v>14058</v>
      </c>
      <c r="C3387" t="s">
        <v>14052</v>
      </c>
      <c r="D3387">
        <v>940</v>
      </c>
      <c r="E3387" t="s">
        <v>14049</v>
      </c>
      <c r="F3387" t="str">
        <f>VLOOKUP(E3387,country_continent!A:C,2,FALSE)</f>
        <v>Solomon Islands</v>
      </c>
      <c r="G3387" t="str">
        <f>VLOOKUP(E3387,country_continent!A:C,3,FALSE)</f>
        <v>Oceania</v>
      </c>
      <c r="H3387" t="s">
        <v>14053</v>
      </c>
      <c r="I3387" s="1">
        <v>32595</v>
      </c>
      <c r="J3387" s="3">
        <f t="shared" si="156"/>
        <v>32595</v>
      </c>
      <c r="K3387" s="1">
        <v>34138</v>
      </c>
      <c r="L3387" s="3">
        <f t="shared" si="157"/>
        <v>34138</v>
      </c>
      <c r="M3387" t="s">
        <v>49</v>
      </c>
      <c r="N3387" t="s">
        <v>49</v>
      </c>
      <c r="O3387" t="s">
        <v>49</v>
      </c>
      <c r="P3387">
        <v>1</v>
      </c>
      <c r="Q3387" t="s">
        <v>50</v>
      </c>
      <c r="R3387" t="s">
        <v>51</v>
      </c>
      <c r="S3387">
        <v>1943</v>
      </c>
      <c r="T3387">
        <v>2000</v>
      </c>
      <c r="Z3387">
        <v>0</v>
      </c>
      <c r="AA3387">
        <v>1</v>
      </c>
      <c r="AB3387">
        <v>0</v>
      </c>
      <c r="AC3387">
        <v>0</v>
      </c>
      <c r="AF3387">
        <v>1989</v>
      </c>
      <c r="AG3387">
        <v>1993</v>
      </c>
      <c r="AO3387" t="b">
        <v>0</v>
      </c>
      <c r="AT3387">
        <v>1543</v>
      </c>
      <c r="AU3387">
        <f t="shared" si="158"/>
        <v>4.2270000000000003</v>
      </c>
    </row>
    <row r="3388" spans="1:47" x14ac:dyDescent="0.3">
      <c r="A3388">
        <v>3387</v>
      </c>
      <c r="B3388" t="s">
        <v>14059</v>
      </c>
      <c r="C3388" t="s">
        <v>14060</v>
      </c>
      <c r="D3388">
        <v>940</v>
      </c>
      <c r="E3388" t="s">
        <v>14049</v>
      </c>
      <c r="F3388" t="str">
        <f>VLOOKUP(E3388,country_continent!A:C,2,FALSE)</f>
        <v>Solomon Islands</v>
      </c>
      <c r="G3388" t="str">
        <f>VLOOKUP(E3388,country_continent!A:C,3,FALSE)</f>
        <v>Oceania</v>
      </c>
      <c r="H3388" t="s">
        <v>14061</v>
      </c>
      <c r="I3388" s="1">
        <v>34138</v>
      </c>
      <c r="J3388" s="3">
        <f t="shared" si="156"/>
        <v>34138</v>
      </c>
      <c r="K3388" s="1">
        <v>34638</v>
      </c>
      <c r="L3388" s="3">
        <f t="shared" si="157"/>
        <v>34638</v>
      </c>
      <c r="M3388" t="s">
        <v>49</v>
      </c>
      <c r="N3388" t="s">
        <v>67</v>
      </c>
      <c r="O3388" t="s">
        <v>2001</v>
      </c>
      <c r="P3388">
        <v>0</v>
      </c>
      <c r="Q3388" t="s">
        <v>50</v>
      </c>
      <c r="R3388" t="s">
        <v>51</v>
      </c>
      <c r="S3388">
        <v>1947</v>
      </c>
      <c r="T3388">
        <v>-777</v>
      </c>
      <c r="Z3388">
        <v>0</v>
      </c>
      <c r="AA3388">
        <v>3</v>
      </c>
      <c r="AB3388">
        <v>8</v>
      </c>
      <c r="AC3388">
        <v>0</v>
      </c>
      <c r="AF3388">
        <v>1993</v>
      </c>
      <c r="AG3388">
        <v>1994</v>
      </c>
      <c r="AO3388" t="b">
        <v>0</v>
      </c>
      <c r="AT3388">
        <v>500</v>
      </c>
      <c r="AU3388">
        <f t="shared" si="158"/>
        <v>1.37</v>
      </c>
    </row>
    <row r="3389" spans="1:47" x14ac:dyDescent="0.3">
      <c r="A3389">
        <v>3388</v>
      </c>
      <c r="B3389" t="s">
        <v>14062</v>
      </c>
      <c r="C3389" t="s">
        <v>14052</v>
      </c>
      <c r="D3389">
        <v>940</v>
      </c>
      <c r="E3389" t="s">
        <v>14049</v>
      </c>
      <c r="F3389" t="str">
        <f>VLOOKUP(E3389,country_continent!A:C,2,FALSE)</f>
        <v>Solomon Islands</v>
      </c>
      <c r="G3389" t="str">
        <f>VLOOKUP(E3389,country_continent!A:C,3,FALSE)</f>
        <v>Oceania</v>
      </c>
      <c r="H3389" t="s">
        <v>14053</v>
      </c>
      <c r="I3389" s="1">
        <v>34638</v>
      </c>
      <c r="J3389" s="3">
        <f t="shared" si="156"/>
        <v>34638</v>
      </c>
      <c r="K3389" s="1">
        <v>35669</v>
      </c>
      <c r="L3389" s="3">
        <f t="shared" si="157"/>
        <v>35669</v>
      </c>
      <c r="M3389" t="s">
        <v>67</v>
      </c>
      <c r="N3389" t="s">
        <v>49</v>
      </c>
      <c r="O3389" t="s">
        <v>49</v>
      </c>
      <c r="P3389">
        <v>2</v>
      </c>
      <c r="Q3389" t="s">
        <v>50</v>
      </c>
      <c r="R3389" t="s">
        <v>51</v>
      </c>
      <c r="S3389">
        <v>1943</v>
      </c>
      <c r="T3389">
        <v>2000</v>
      </c>
      <c r="Z3389">
        <v>1</v>
      </c>
      <c r="AA3389">
        <v>1</v>
      </c>
      <c r="AB3389">
        <v>0</v>
      </c>
      <c r="AC3389">
        <v>0</v>
      </c>
      <c r="AF3389">
        <v>1994</v>
      </c>
      <c r="AG3389">
        <v>1997</v>
      </c>
      <c r="AO3389" t="b">
        <v>0</v>
      </c>
      <c r="AT3389">
        <v>1031</v>
      </c>
      <c r="AU3389">
        <f t="shared" si="158"/>
        <v>2.8250000000000002</v>
      </c>
    </row>
    <row r="3390" spans="1:47" x14ac:dyDescent="0.3">
      <c r="A3390">
        <v>3389</v>
      </c>
      <c r="B3390" t="s">
        <v>14063</v>
      </c>
      <c r="C3390" t="s">
        <v>14064</v>
      </c>
      <c r="D3390">
        <v>940</v>
      </c>
      <c r="E3390" t="s">
        <v>14049</v>
      </c>
      <c r="F3390" t="str">
        <f>VLOOKUP(E3390,country_continent!A:C,2,FALSE)</f>
        <v>Solomon Islands</v>
      </c>
      <c r="G3390" t="str">
        <f>VLOOKUP(E3390,country_continent!A:C,3,FALSE)</f>
        <v>Oceania</v>
      </c>
      <c r="H3390" t="s">
        <v>14065</v>
      </c>
      <c r="I3390" s="1">
        <v>35669</v>
      </c>
      <c r="J3390" s="3">
        <f t="shared" si="156"/>
        <v>35669</v>
      </c>
      <c r="K3390" s="1">
        <v>36682</v>
      </c>
      <c r="L3390" s="3">
        <f t="shared" si="157"/>
        <v>36682</v>
      </c>
      <c r="M3390" t="s">
        <v>49</v>
      </c>
      <c r="N3390" t="s">
        <v>67</v>
      </c>
      <c r="O3390" t="s">
        <v>433</v>
      </c>
      <c r="P3390">
        <v>0</v>
      </c>
      <c r="Q3390" t="s">
        <v>463</v>
      </c>
      <c r="R3390" t="s">
        <v>51</v>
      </c>
      <c r="S3390">
        <v>1950</v>
      </c>
      <c r="T3390">
        <v>2007</v>
      </c>
      <c r="Y3390" t="s">
        <v>14066</v>
      </c>
      <c r="Z3390">
        <v>0</v>
      </c>
      <c r="AA3390">
        <v>3</v>
      </c>
      <c r="AB3390">
        <v>4</v>
      </c>
      <c r="AC3390">
        <v>2</v>
      </c>
      <c r="AF3390">
        <v>1997</v>
      </c>
      <c r="AG3390">
        <v>2000</v>
      </c>
      <c r="AO3390" t="b">
        <v>0</v>
      </c>
      <c r="AT3390">
        <v>1013</v>
      </c>
      <c r="AU3390">
        <f t="shared" si="158"/>
        <v>2.7749999999999999</v>
      </c>
    </row>
    <row r="3391" spans="1:47" x14ac:dyDescent="0.3">
      <c r="A3391">
        <v>3390</v>
      </c>
      <c r="B3391" t="s">
        <v>14067</v>
      </c>
      <c r="C3391" t="s">
        <v>14068</v>
      </c>
      <c r="D3391">
        <v>940</v>
      </c>
      <c r="E3391" t="s">
        <v>14049</v>
      </c>
      <c r="F3391" t="str">
        <f>VLOOKUP(E3391,country_continent!A:C,2,FALSE)</f>
        <v>Solomon Islands</v>
      </c>
      <c r="G3391" t="str">
        <f>VLOOKUP(E3391,country_continent!A:C,3,FALSE)</f>
        <v>Oceania</v>
      </c>
      <c r="H3391" t="s">
        <v>14069</v>
      </c>
      <c r="I3391" s="1">
        <v>36707</v>
      </c>
      <c r="J3391" s="3">
        <f t="shared" si="156"/>
        <v>36707</v>
      </c>
      <c r="K3391" s="1">
        <v>37242</v>
      </c>
      <c r="L3391" s="3">
        <f t="shared" si="157"/>
        <v>37242</v>
      </c>
      <c r="M3391" t="s">
        <v>49</v>
      </c>
      <c r="N3391" t="s">
        <v>49</v>
      </c>
      <c r="O3391" t="s">
        <v>49</v>
      </c>
      <c r="P3391">
        <v>0</v>
      </c>
      <c r="Q3391" t="s">
        <v>50</v>
      </c>
      <c r="R3391" t="s">
        <v>51</v>
      </c>
      <c r="S3391">
        <v>1954</v>
      </c>
      <c r="T3391">
        <v>-777</v>
      </c>
      <c r="Z3391">
        <v>0</v>
      </c>
      <c r="AA3391">
        <v>1</v>
      </c>
      <c r="AB3391">
        <v>0</v>
      </c>
      <c r="AC3391">
        <v>0</v>
      </c>
      <c r="AF3391">
        <v>2000</v>
      </c>
      <c r="AG3391">
        <v>2001</v>
      </c>
      <c r="AO3391" t="b">
        <v>0</v>
      </c>
      <c r="AT3391">
        <v>535</v>
      </c>
      <c r="AU3391">
        <f t="shared" si="158"/>
        <v>1.466</v>
      </c>
    </row>
    <row r="3392" spans="1:47" x14ac:dyDescent="0.3">
      <c r="A3392">
        <v>3391</v>
      </c>
      <c r="B3392" t="s">
        <v>14070</v>
      </c>
      <c r="C3392" t="s">
        <v>14071</v>
      </c>
      <c r="D3392">
        <v>940</v>
      </c>
      <c r="E3392" t="s">
        <v>14049</v>
      </c>
      <c r="F3392" t="str">
        <f>VLOOKUP(E3392,country_continent!A:C,2,FALSE)</f>
        <v>Solomon Islands</v>
      </c>
      <c r="G3392" t="str">
        <f>VLOOKUP(E3392,country_continent!A:C,3,FALSE)</f>
        <v>Oceania</v>
      </c>
      <c r="H3392" t="s">
        <v>14072</v>
      </c>
      <c r="I3392" s="1">
        <v>37242</v>
      </c>
      <c r="J3392" s="3">
        <f t="shared" si="156"/>
        <v>37242</v>
      </c>
      <c r="K3392" s="1">
        <v>38827</v>
      </c>
      <c r="L3392" s="3">
        <f t="shared" si="157"/>
        <v>38827</v>
      </c>
      <c r="M3392" t="s">
        <v>49</v>
      </c>
      <c r="N3392" t="s">
        <v>49</v>
      </c>
      <c r="O3392" t="s">
        <v>49</v>
      </c>
      <c r="P3392">
        <v>0</v>
      </c>
      <c r="Q3392" t="s">
        <v>463</v>
      </c>
      <c r="R3392" t="s">
        <v>51</v>
      </c>
      <c r="S3392">
        <v>1951</v>
      </c>
      <c r="T3392">
        <v>-777</v>
      </c>
      <c r="Z3392">
        <v>0</v>
      </c>
      <c r="AA3392">
        <v>1</v>
      </c>
      <c r="AB3392">
        <v>0</v>
      </c>
      <c r="AC3392">
        <v>2</v>
      </c>
      <c r="AF3392">
        <v>2001</v>
      </c>
      <c r="AG3392">
        <v>2006</v>
      </c>
      <c r="AO3392" t="b">
        <v>0</v>
      </c>
      <c r="AT3392">
        <v>1585</v>
      </c>
      <c r="AU3392">
        <f t="shared" si="158"/>
        <v>4.3419999999999996</v>
      </c>
    </row>
    <row r="3393" spans="1:47" x14ac:dyDescent="0.3">
      <c r="A3393">
        <v>3392</v>
      </c>
      <c r="B3393" t="s">
        <v>14073</v>
      </c>
      <c r="C3393" t="s">
        <v>14074</v>
      </c>
      <c r="D3393">
        <v>940</v>
      </c>
      <c r="E3393" t="s">
        <v>14049</v>
      </c>
      <c r="F3393" t="str">
        <f>VLOOKUP(E3393,country_continent!A:C,2,FALSE)</f>
        <v>Solomon Islands</v>
      </c>
      <c r="G3393" t="str">
        <f>VLOOKUP(E3393,country_continent!A:C,3,FALSE)</f>
        <v>Oceania</v>
      </c>
      <c r="H3393" t="s">
        <v>14075</v>
      </c>
      <c r="I3393" s="1">
        <v>38827</v>
      </c>
      <c r="J3393" s="3">
        <f t="shared" si="156"/>
        <v>38827</v>
      </c>
      <c r="K3393" s="1">
        <v>38841</v>
      </c>
      <c r="L3393" s="3">
        <f t="shared" si="157"/>
        <v>38841</v>
      </c>
      <c r="M3393" t="s">
        <v>49</v>
      </c>
      <c r="N3393" t="s">
        <v>67</v>
      </c>
      <c r="O3393" t="s">
        <v>613</v>
      </c>
      <c r="P3393">
        <v>0</v>
      </c>
      <c r="Q3393" t="s">
        <v>50</v>
      </c>
      <c r="R3393" t="s">
        <v>51</v>
      </c>
      <c r="S3393">
        <v>1949</v>
      </c>
      <c r="T3393">
        <v>-777</v>
      </c>
      <c r="Z3393">
        <v>0</v>
      </c>
      <c r="AA3393">
        <v>3</v>
      </c>
      <c r="AB3393">
        <v>2</v>
      </c>
      <c r="AC3393">
        <v>0</v>
      </c>
      <c r="AF3393">
        <v>2006</v>
      </c>
      <c r="AG3393">
        <v>2006</v>
      </c>
      <c r="AO3393" t="b">
        <v>0</v>
      </c>
      <c r="AT3393">
        <v>14</v>
      </c>
      <c r="AU3393">
        <f t="shared" si="158"/>
        <v>3.7999999999999999E-2</v>
      </c>
    </row>
    <row r="3394" spans="1:47" x14ac:dyDescent="0.3">
      <c r="A3394">
        <v>3393</v>
      </c>
      <c r="B3394" t="s">
        <v>14076</v>
      </c>
      <c r="C3394" t="s">
        <v>14068</v>
      </c>
      <c r="D3394">
        <v>940</v>
      </c>
      <c r="E3394" t="s">
        <v>14049</v>
      </c>
      <c r="F3394" t="str">
        <f>VLOOKUP(E3394,country_continent!A:C,2,FALSE)</f>
        <v>Solomon Islands</v>
      </c>
      <c r="G3394" t="str">
        <f>VLOOKUP(E3394,country_continent!A:C,3,FALSE)</f>
        <v>Oceania</v>
      </c>
      <c r="H3394" t="s">
        <v>14069</v>
      </c>
      <c r="I3394" s="1">
        <v>38841</v>
      </c>
      <c r="J3394" s="3">
        <f t="shared" ref="J3394:J3409" si="159">IF(ISNUMBER(SEARCH("-", I3394)), SUBSTITUTE(I3394, "-", "/"), I3394)</f>
        <v>38841</v>
      </c>
      <c r="K3394" s="1">
        <v>39436</v>
      </c>
      <c r="L3394" s="3">
        <f t="shared" ref="L3394:L3409" si="160">IF(ISNUMBER(SEARCH("-", K3394)), SUBSTITUTE(K3394, "-", "/"), K3394)</f>
        <v>39436</v>
      </c>
      <c r="M3394" t="s">
        <v>49</v>
      </c>
      <c r="N3394" t="s">
        <v>49</v>
      </c>
      <c r="O3394" t="s">
        <v>49</v>
      </c>
      <c r="P3394">
        <v>1</v>
      </c>
      <c r="Q3394" t="s">
        <v>50</v>
      </c>
      <c r="R3394" t="s">
        <v>51</v>
      </c>
      <c r="S3394">
        <v>1949</v>
      </c>
      <c r="T3394">
        <v>-777</v>
      </c>
      <c r="Z3394">
        <v>0</v>
      </c>
      <c r="AA3394">
        <v>1</v>
      </c>
      <c r="AB3394">
        <v>0</v>
      </c>
      <c r="AC3394">
        <v>0</v>
      </c>
      <c r="AF3394">
        <v>2006</v>
      </c>
      <c r="AG3394">
        <v>2007</v>
      </c>
      <c r="AO3394" t="b">
        <v>0</v>
      </c>
      <c r="AT3394">
        <v>595</v>
      </c>
      <c r="AU3394">
        <f t="shared" si="158"/>
        <v>1.63</v>
      </c>
    </row>
    <row r="3395" spans="1:47" x14ac:dyDescent="0.3">
      <c r="A3395">
        <v>3394</v>
      </c>
      <c r="B3395" t="s">
        <v>14077</v>
      </c>
      <c r="C3395" t="s">
        <v>14078</v>
      </c>
      <c r="D3395">
        <v>940</v>
      </c>
      <c r="E3395" t="s">
        <v>14049</v>
      </c>
      <c r="F3395" t="str">
        <f>VLOOKUP(E3395,country_continent!A:C,2,FALSE)</f>
        <v>Solomon Islands</v>
      </c>
      <c r="G3395" t="str">
        <f>VLOOKUP(E3395,country_continent!A:C,3,FALSE)</f>
        <v>Oceania</v>
      </c>
      <c r="H3395" t="s">
        <v>14079</v>
      </c>
      <c r="I3395" s="1">
        <v>39436</v>
      </c>
      <c r="J3395" s="3">
        <f t="shared" si="159"/>
        <v>39436</v>
      </c>
      <c r="K3395" s="1">
        <v>40415</v>
      </c>
      <c r="L3395" s="3">
        <f t="shared" si="160"/>
        <v>40415</v>
      </c>
      <c r="M3395" t="s">
        <v>49</v>
      </c>
      <c r="N3395" t="s">
        <v>49</v>
      </c>
      <c r="O3395" t="s">
        <v>49</v>
      </c>
      <c r="P3395">
        <v>0</v>
      </c>
      <c r="Q3395" t="s">
        <v>50</v>
      </c>
      <c r="R3395" t="s">
        <v>51</v>
      </c>
      <c r="S3395">
        <v>1959</v>
      </c>
      <c r="T3395">
        <v>-777</v>
      </c>
      <c r="Z3395">
        <v>0</v>
      </c>
      <c r="AA3395">
        <v>1</v>
      </c>
      <c r="AB3395">
        <v>0</v>
      </c>
      <c r="AC3395">
        <v>0</v>
      </c>
      <c r="AF3395">
        <v>2007</v>
      </c>
      <c r="AG3395">
        <v>2010</v>
      </c>
      <c r="AO3395" t="b">
        <v>0</v>
      </c>
      <c r="AT3395">
        <v>979</v>
      </c>
      <c r="AU3395">
        <f t="shared" si="158"/>
        <v>2.6819999999999999</v>
      </c>
    </row>
    <row r="3396" spans="1:47" x14ac:dyDescent="0.3">
      <c r="A3396">
        <v>3395</v>
      </c>
      <c r="B3396" t="s">
        <v>14080</v>
      </c>
      <c r="C3396" t="s">
        <v>14081</v>
      </c>
      <c r="D3396">
        <v>940</v>
      </c>
      <c r="E3396" t="s">
        <v>14049</v>
      </c>
      <c r="F3396" t="str">
        <f>VLOOKUP(E3396,country_continent!A:C,2,FALSE)</f>
        <v>Solomon Islands</v>
      </c>
      <c r="G3396" t="str">
        <f>VLOOKUP(E3396,country_continent!A:C,3,FALSE)</f>
        <v>Oceania</v>
      </c>
      <c r="H3396" t="s">
        <v>14082</v>
      </c>
      <c r="I3396" s="1">
        <v>40415</v>
      </c>
      <c r="J3396" s="3">
        <f t="shared" si="159"/>
        <v>40415</v>
      </c>
      <c r="K3396" s="1">
        <v>40863</v>
      </c>
      <c r="L3396" s="3">
        <f t="shared" si="160"/>
        <v>40863</v>
      </c>
      <c r="M3396" t="s">
        <v>49</v>
      </c>
      <c r="N3396" t="s">
        <v>49</v>
      </c>
      <c r="O3396" t="s">
        <v>49</v>
      </c>
      <c r="P3396">
        <v>0</v>
      </c>
      <c r="Q3396" t="s">
        <v>50</v>
      </c>
      <c r="R3396" t="s">
        <v>51</v>
      </c>
      <c r="S3396">
        <v>1951</v>
      </c>
      <c r="T3396">
        <v>-777</v>
      </c>
      <c r="Z3396">
        <v>0</v>
      </c>
      <c r="AA3396">
        <v>1</v>
      </c>
      <c r="AB3396">
        <v>0</v>
      </c>
      <c r="AC3396">
        <v>0</v>
      </c>
      <c r="AF3396">
        <v>2010</v>
      </c>
      <c r="AG3396">
        <v>2011</v>
      </c>
      <c r="AO3396" t="b">
        <v>0</v>
      </c>
      <c r="AT3396">
        <v>448</v>
      </c>
      <c r="AU3396">
        <f t="shared" ref="AU3396:AU3409" si="161">ROUND(AT3396/365,3)</f>
        <v>1.2270000000000001</v>
      </c>
    </row>
    <row r="3397" spans="1:47" x14ac:dyDescent="0.3">
      <c r="A3397">
        <v>3396</v>
      </c>
      <c r="B3397" t="s">
        <v>14083</v>
      </c>
      <c r="C3397" t="s">
        <v>14084</v>
      </c>
      <c r="D3397">
        <v>940</v>
      </c>
      <c r="E3397" t="s">
        <v>14049</v>
      </c>
      <c r="F3397" t="str">
        <f>VLOOKUP(E3397,country_continent!A:C,2,FALSE)</f>
        <v>Solomon Islands</v>
      </c>
      <c r="G3397" t="str">
        <f>VLOOKUP(E3397,country_continent!A:C,3,FALSE)</f>
        <v>Oceania</v>
      </c>
      <c r="H3397" t="s">
        <v>14085</v>
      </c>
      <c r="I3397" s="1">
        <v>40863</v>
      </c>
      <c r="J3397" s="3">
        <f t="shared" si="159"/>
        <v>40863</v>
      </c>
      <c r="K3397" s="1">
        <v>41982</v>
      </c>
      <c r="L3397" s="3">
        <f t="shared" si="160"/>
        <v>41982</v>
      </c>
      <c r="M3397" t="s">
        <v>49</v>
      </c>
      <c r="N3397" t="s">
        <v>49</v>
      </c>
      <c r="O3397" t="s">
        <v>49</v>
      </c>
      <c r="P3397">
        <v>0</v>
      </c>
      <c r="Q3397" t="s">
        <v>50</v>
      </c>
      <c r="R3397" t="s">
        <v>51</v>
      </c>
      <c r="S3397">
        <v>1965</v>
      </c>
      <c r="T3397">
        <v>-777</v>
      </c>
      <c r="U3397" s="1">
        <v>23982</v>
      </c>
      <c r="V3397" s="2">
        <v>23982</v>
      </c>
      <c r="Z3397">
        <v>0</v>
      </c>
      <c r="AA3397">
        <v>1</v>
      </c>
      <c r="AB3397">
        <v>0</v>
      </c>
      <c r="AC3397">
        <v>0</v>
      </c>
      <c r="AF3397">
        <v>2011</v>
      </c>
      <c r="AG3397">
        <v>2014</v>
      </c>
      <c r="AO3397" t="b">
        <v>0</v>
      </c>
      <c r="AT3397">
        <v>1119</v>
      </c>
      <c r="AU3397">
        <f t="shared" si="161"/>
        <v>3.0659999999999998</v>
      </c>
    </row>
    <row r="3398" spans="1:47" x14ac:dyDescent="0.3">
      <c r="A3398">
        <v>3397</v>
      </c>
      <c r="B3398" t="s">
        <v>14086</v>
      </c>
      <c r="C3398" t="s">
        <v>14068</v>
      </c>
      <c r="D3398">
        <v>940</v>
      </c>
      <c r="E3398" t="s">
        <v>14049</v>
      </c>
      <c r="F3398" t="str">
        <f>VLOOKUP(E3398,country_continent!A:C,2,FALSE)</f>
        <v>Solomon Islands</v>
      </c>
      <c r="G3398" t="str">
        <f>VLOOKUP(E3398,country_continent!A:C,3,FALSE)</f>
        <v>Oceania</v>
      </c>
      <c r="H3398" t="s">
        <v>14069</v>
      </c>
      <c r="I3398" s="1">
        <v>41982</v>
      </c>
      <c r="J3398" s="3">
        <f t="shared" si="159"/>
        <v>41982</v>
      </c>
      <c r="K3398" s="1">
        <v>42369</v>
      </c>
      <c r="L3398" s="3">
        <f t="shared" si="160"/>
        <v>42369</v>
      </c>
      <c r="M3398" t="s">
        <v>49</v>
      </c>
      <c r="N3398" t="s">
        <v>173</v>
      </c>
      <c r="O3398" t="s">
        <v>173</v>
      </c>
      <c r="P3398">
        <v>2</v>
      </c>
      <c r="Q3398" t="s">
        <v>174</v>
      </c>
      <c r="R3398" t="s">
        <v>51</v>
      </c>
      <c r="S3398">
        <v>1955</v>
      </c>
      <c r="T3398">
        <v>-777</v>
      </c>
      <c r="U3398" s="1">
        <v>20106</v>
      </c>
      <c r="V3398" s="2">
        <v>20106</v>
      </c>
      <c r="Z3398">
        <v>0</v>
      </c>
      <c r="AA3398">
        <v>-888</v>
      </c>
      <c r="AB3398">
        <v>-888</v>
      </c>
      <c r="AC3398">
        <v>-888</v>
      </c>
      <c r="AF3398">
        <v>2014</v>
      </c>
      <c r="AG3398">
        <v>2015</v>
      </c>
      <c r="AO3398" t="b">
        <v>0</v>
      </c>
      <c r="AT3398">
        <v>387</v>
      </c>
      <c r="AU3398">
        <f t="shared" si="161"/>
        <v>1.06</v>
      </c>
    </row>
    <row r="3399" spans="1:47" x14ac:dyDescent="0.3">
      <c r="A3399">
        <v>3398</v>
      </c>
      <c r="B3399" t="s">
        <v>14087</v>
      </c>
      <c r="C3399" t="s">
        <v>14088</v>
      </c>
      <c r="D3399">
        <v>950</v>
      </c>
      <c r="E3399" t="s">
        <v>14089</v>
      </c>
      <c r="F3399" t="str">
        <f>VLOOKUP(E3399,country_continent!A:C,2,FALSE)</f>
        <v>Fiji</v>
      </c>
      <c r="G3399" t="str">
        <f>VLOOKUP(E3399,country_continent!A:C,3,FALSE)</f>
        <v>Oceania</v>
      </c>
      <c r="H3399" t="s">
        <v>14090</v>
      </c>
      <c r="I3399" s="1">
        <v>25851</v>
      </c>
      <c r="J3399" s="3">
        <f t="shared" si="159"/>
        <v>25851</v>
      </c>
      <c r="K3399" s="1">
        <v>31880</v>
      </c>
      <c r="L3399" s="3">
        <f t="shared" si="160"/>
        <v>31880</v>
      </c>
      <c r="M3399" t="s">
        <v>49</v>
      </c>
      <c r="N3399" t="s">
        <v>49</v>
      </c>
      <c r="O3399" t="s">
        <v>49</v>
      </c>
      <c r="P3399">
        <v>0</v>
      </c>
      <c r="Q3399" t="s">
        <v>50</v>
      </c>
      <c r="R3399" t="s">
        <v>51</v>
      </c>
      <c r="S3399">
        <v>1920</v>
      </c>
      <c r="T3399">
        <v>2004</v>
      </c>
      <c r="U3399" s="1">
        <v>7439</v>
      </c>
      <c r="V3399" s="2">
        <v>7439</v>
      </c>
      <c r="W3399" s="1">
        <v>38095</v>
      </c>
      <c r="X3399" s="2">
        <v>38095</v>
      </c>
      <c r="Y3399" t="s">
        <v>14091</v>
      </c>
      <c r="Z3399">
        <v>0</v>
      </c>
      <c r="AA3399">
        <v>1</v>
      </c>
      <c r="AB3399">
        <v>0</v>
      </c>
      <c r="AC3399">
        <v>0</v>
      </c>
      <c r="AF3399">
        <v>1970</v>
      </c>
      <c r="AG3399">
        <v>1987</v>
      </c>
      <c r="AH3399">
        <v>1.49059300801037</v>
      </c>
      <c r="AI3399">
        <v>1306.1111111111099</v>
      </c>
      <c r="AJ3399">
        <v>9.6762148395140404</v>
      </c>
      <c r="AK3399">
        <v>46.561111111111103</v>
      </c>
      <c r="AL3399">
        <v>2.0301812052533301</v>
      </c>
      <c r="AM3399">
        <v>1.15289814147986</v>
      </c>
      <c r="AN3399">
        <v>5.59</v>
      </c>
      <c r="AO3399" t="b">
        <v>0</v>
      </c>
      <c r="AT3399">
        <v>6029</v>
      </c>
      <c r="AU3399">
        <f t="shared" si="161"/>
        <v>16.518000000000001</v>
      </c>
    </row>
    <row r="3400" spans="1:47" x14ac:dyDescent="0.3">
      <c r="A3400">
        <v>3399</v>
      </c>
      <c r="B3400" t="s">
        <v>14092</v>
      </c>
      <c r="C3400" t="s">
        <v>14093</v>
      </c>
      <c r="D3400">
        <v>950</v>
      </c>
      <c r="E3400" t="s">
        <v>14089</v>
      </c>
      <c r="F3400" t="str">
        <f>VLOOKUP(E3400,country_continent!A:C,2,FALSE)</f>
        <v>Fiji</v>
      </c>
      <c r="G3400" t="str">
        <f>VLOOKUP(E3400,country_continent!A:C,3,FALSE)</f>
        <v>Oceania</v>
      </c>
      <c r="H3400" t="s">
        <v>14094</v>
      </c>
      <c r="I3400" s="1">
        <v>31880</v>
      </c>
      <c r="J3400" s="3">
        <f t="shared" si="159"/>
        <v>31880</v>
      </c>
      <c r="K3400" s="1">
        <v>31911</v>
      </c>
      <c r="L3400" s="3">
        <f t="shared" si="160"/>
        <v>31911</v>
      </c>
      <c r="M3400" t="s">
        <v>49</v>
      </c>
      <c r="N3400" t="s">
        <v>67</v>
      </c>
      <c r="O3400" t="s">
        <v>376</v>
      </c>
      <c r="P3400">
        <v>0</v>
      </c>
      <c r="Q3400" t="s">
        <v>463</v>
      </c>
      <c r="R3400" t="s">
        <v>51</v>
      </c>
      <c r="S3400">
        <v>1934</v>
      </c>
      <c r="T3400">
        <v>1989</v>
      </c>
      <c r="W3400" s="1">
        <v>32815</v>
      </c>
      <c r="X3400" s="2">
        <v>32815</v>
      </c>
      <c r="Z3400">
        <v>0</v>
      </c>
      <c r="AA3400">
        <v>3</v>
      </c>
      <c r="AB3400">
        <v>6</v>
      </c>
      <c r="AC3400">
        <v>2</v>
      </c>
      <c r="AF3400">
        <v>1987</v>
      </c>
      <c r="AG3400">
        <v>1987</v>
      </c>
      <c r="AH3400">
        <v>-8.0127960945738792</v>
      </c>
      <c r="AI3400">
        <v>1700</v>
      </c>
      <c r="AJ3400">
        <v>7.3400103804891002</v>
      </c>
      <c r="AK3400">
        <v>32.4</v>
      </c>
      <c r="AL3400">
        <v>1.5081039139381101</v>
      </c>
      <c r="AM3400">
        <v>2.7306988289663501</v>
      </c>
      <c r="AN3400">
        <v>-1</v>
      </c>
      <c r="AO3400" t="b">
        <v>0</v>
      </c>
      <c r="AT3400">
        <v>31</v>
      </c>
      <c r="AU3400">
        <f t="shared" si="161"/>
        <v>8.5000000000000006E-2</v>
      </c>
    </row>
    <row r="3401" spans="1:47" x14ac:dyDescent="0.3">
      <c r="A3401">
        <v>3400</v>
      </c>
      <c r="B3401" t="s">
        <v>14095</v>
      </c>
      <c r="C3401" t="s">
        <v>14096</v>
      </c>
      <c r="D3401">
        <v>950</v>
      </c>
      <c r="E3401" t="s">
        <v>14089</v>
      </c>
      <c r="F3401" t="str">
        <f>VLOOKUP(E3401,country_continent!A:C,2,FALSE)</f>
        <v>Fiji</v>
      </c>
      <c r="G3401" t="str">
        <f>VLOOKUP(E3401,country_continent!A:C,3,FALSE)</f>
        <v>Oceania</v>
      </c>
      <c r="H3401" t="s">
        <v>14097</v>
      </c>
      <c r="I3401" s="1">
        <v>31911</v>
      </c>
      <c r="J3401" s="3">
        <f t="shared" si="159"/>
        <v>31911</v>
      </c>
      <c r="K3401" s="1">
        <v>32116</v>
      </c>
      <c r="L3401" s="3">
        <f t="shared" si="160"/>
        <v>32116</v>
      </c>
      <c r="M3401" t="s">
        <v>67</v>
      </c>
      <c r="N3401" t="s">
        <v>49</v>
      </c>
      <c r="O3401" t="s">
        <v>49</v>
      </c>
      <c r="P3401">
        <v>0</v>
      </c>
      <c r="Q3401" t="s">
        <v>50</v>
      </c>
      <c r="R3401" t="s">
        <v>51</v>
      </c>
      <c r="S3401">
        <v>1948</v>
      </c>
      <c r="T3401">
        <v>-777</v>
      </c>
      <c r="U3401" s="1">
        <v>17789</v>
      </c>
      <c r="V3401" s="2">
        <v>17789</v>
      </c>
      <c r="Y3401" t="s">
        <v>14098</v>
      </c>
      <c r="Z3401">
        <v>1</v>
      </c>
      <c r="AA3401">
        <v>1</v>
      </c>
      <c r="AB3401">
        <v>0</v>
      </c>
      <c r="AC3401">
        <v>0</v>
      </c>
      <c r="AF3401">
        <v>1987</v>
      </c>
      <c r="AG3401">
        <v>1987</v>
      </c>
      <c r="AH3401">
        <v>-8.0127960945738792</v>
      </c>
      <c r="AI3401">
        <v>1700</v>
      </c>
      <c r="AJ3401">
        <v>7.3400103804891002</v>
      </c>
      <c r="AK3401">
        <v>32.4</v>
      </c>
      <c r="AL3401">
        <v>1.5081039139381101</v>
      </c>
      <c r="AM3401">
        <v>2.7306988289663501</v>
      </c>
      <c r="AN3401">
        <v>-1</v>
      </c>
      <c r="AO3401" t="b">
        <v>0</v>
      </c>
      <c r="AT3401">
        <v>205</v>
      </c>
      <c r="AU3401">
        <f t="shared" si="161"/>
        <v>0.56200000000000006</v>
      </c>
    </row>
    <row r="3402" spans="1:47" x14ac:dyDescent="0.3">
      <c r="A3402">
        <v>3401</v>
      </c>
      <c r="B3402" t="s">
        <v>14099</v>
      </c>
      <c r="C3402" t="s">
        <v>14088</v>
      </c>
      <c r="D3402">
        <v>950</v>
      </c>
      <c r="E3402" t="s">
        <v>14089</v>
      </c>
      <c r="F3402" t="str">
        <f>VLOOKUP(E3402,country_continent!A:C,2,FALSE)</f>
        <v>Fiji</v>
      </c>
      <c r="G3402" t="str">
        <f>VLOOKUP(E3402,country_continent!A:C,3,FALSE)</f>
        <v>Oceania</v>
      </c>
      <c r="H3402" t="s">
        <v>14090</v>
      </c>
      <c r="I3402" s="1">
        <v>32116</v>
      </c>
      <c r="J3402" s="3">
        <f t="shared" si="159"/>
        <v>32116</v>
      </c>
      <c r="K3402" s="1">
        <v>33757</v>
      </c>
      <c r="L3402" s="3">
        <f t="shared" si="160"/>
        <v>33757</v>
      </c>
      <c r="M3402" t="s">
        <v>49</v>
      </c>
      <c r="N3402" t="s">
        <v>49</v>
      </c>
      <c r="O3402" t="s">
        <v>49</v>
      </c>
      <c r="P3402">
        <v>1</v>
      </c>
      <c r="Q3402" t="s">
        <v>50</v>
      </c>
      <c r="R3402" t="s">
        <v>51</v>
      </c>
      <c r="S3402">
        <v>1920</v>
      </c>
      <c r="T3402">
        <v>2004</v>
      </c>
      <c r="U3402" s="1">
        <v>7439</v>
      </c>
      <c r="V3402" s="2">
        <v>7439</v>
      </c>
      <c r="W3402" s="1">
        <v>38095</v>
      </c>
      <c r="X3402" s="2">
        <v>38095</v>
      </c>
      <c r="Y3402" t="s">
        <v>14091</v>
      </c>
      <c r="Z3402">
        <v>0</v>
      </c>
      <c r="AA3402">
        <v>1</v>
      </c>
      <c r="AB3402">
        <v>0</v>
      </c>
      <c r="AC3402">
        <v>0</v>
      </c>
      <c r="AF3402">
        <v>1987</v>
      </c>
      <c r="AG3402">
        <v>1992</v>
      </c>
      <c r="AH3402">
        <v>0.81839071746798397</v>
      </c>
      <c r="AI3402">
        <v>1728.3333333333301</v>
      </c>
      <c r="AJ3402">
        <v>6.0825992437136298</v>
      </c>
      <c r="AK3402">
        <v>29.516666666666602</v>
      </c>
      <c r="AL3402">
        <v>1.0068746115038301</v>
      </c>
      <c r="AM3402">
        <v>2.16162143133772</v>
      </c>
      <c r="AN3402">
        <v>2</v>
      </c>
      <c r="AO3402" t="b">
        <v>0</v>
      </c>
      <c r="AT3402">
        <v>1641</v>
      </c>
      <c r="AU3402">
        <f t="shared" si="161"/>
        <v>4.4960000000000004</v>
      </c>
    </row>
    <row r="3403" spans="1:47" x14ac:dyDescent="0.3">
      <c r="A3403">
        <v>3402</v>
      </c>
      <c r="B3403" t="s">
        <v>14100</v>
      </c>
      <c r="C3403" t="s">
        <v>14096</v>
      </c>
      <c r="D3403">
        <v>950</v>
      </c>
      <c r="E3403" t="s">
        <v>14089</v>
      </c>
      <c r="F3403" t="str">
        <f>VLOOKUP(E3403,country_continent!A:C,2,FALSE)</f>
        <v>Fiji</v>
      </c>
      <c r="G3403" t="str">
        <f>VLOOKUP(E3403,country_continent!A:C,3,FALSE)</f>
        <v>Oceania</v>
      </c>
      <c r="H3403" t="s">
        <v>14097</v>
      </c>
      <c r="I3403" s="1">
        <v>33757</v>
      </c>
      <c r="J3403" s="3">
        <f t="shared" si="159"/>
        <v>33757</v>
      </c>
      <c r="K3403" s="1">
        <v>36299</v>
      </c>
      <c r="L3403" s="3">
        <f t="shared" si="160"/>
        <v>36299</v>
      </c>
      <c r="M3403" t="s">
        <v>49</v>
      </c>
      <c r="N3403" t="s">
        <v>49</v>
      </c>
      <c r="O3403" t="s">
        <v>49</v>
      </c>
      <c r="P3403">
        <v>1</v>
      </c>
      <c r="Q3403" t="s">
        <v>50</v>
      </c>
      <c r="R3403" t="s">
        <v>51</v>
      </c>
      <c r="S3403">
        <v>1948</v>
      </c>
      <c r="T3403">
        <v>-777</v>
      </c>
      <c r="U3403" s="1">
        <v>17789</v>
      </c>
      <c r="V3403" s="2">
        <v>17789</v>
      </c>
      <c r="Y3403" t="s">
        <v>14098</v>
      </c>
      <c r="Z3403">
        <v>0</v>
      </c>
      <c r="AA3403">
        <v>1</v>
      </c>
      <c r="AB3403">
        <v>0</v>
      </c>
      <c r="AC3403">
        <v>0</v>
      </c>
      <c r="AF3403">
        <v>1992</v>
      </c>
      <c r="AG3403">
        <v>1999</v>
      </c>
      <c r="AH3403">
        <v>2.7323294607085802</v>
      </c>
      <c r="AI3403">
        <v>2257.5</v>
      </c>
      <c r="AJ3403">
        <v>4.4800927865356499</v>
      </c>
      <c r="AK3403">
        <v>24.475000000000001</v>
      </c>
      <c r="AL3403">
        <v>0.80966114897532504</v>
      </c>
      <c r="AM3403">
        <v>1.2923502838259699</v>
      </c>
      <c r="AN3403">
        <v>5.5</v>
      </c>
      <c r="AO3403" t="b">
        <v>0</v>
      </c>
      <c r="AT3403">
        <v>2542</v>
      </c>
      <c r="AU3403">
        <f t="shared" si="161"/>
        <v>6.9640000000000004</v>
      </c>
    </row>
    <row r="3404" spans="1:47" x14ac:dyDescent="0.3">
      <c r="A3404">
        <v>3403</v>
      </c>
      <c r="B3404" t="s">
        <v>14101</v>
      </c>
      <c r="C3404" t="s">
        <v>14102</v>
      </c>
      <c r="D3404">
        <v>950</v>
      </c>
      <c r="E3404" t="s">
        <v>14089</v>
      </c>
      <c r="F3404" t="str">
        <f>VLOOKUP(E3404,country_continent!A:C,2,FALSE)</f>
        <v>Fiji</v>
      </c>
      <c r="G3404" t="str">
        <f>VLOOKUP(E3404,country_continent!A:C,3,FALSE)</f>
        <v>Oceania</v>
      </c>
      <c r="H3404" t="s">
        <v>14103</v>
      </c>
      <c r="I3404" s="1">
        <v>36299</v>
      </c>
      <c r="J3404" s="3">
        <f t="shared" si="159"/>
        <v>36299</v>
      </c>
      <c r="K3404" s="1">
        <v>36665</v>
      </c>
      <c r="L3404" s="3">
        <f t="shared" si="160"/>
        <v>36665</v>
      </c>
      <c r="M3404" t="s">
        <v>49</v>
      </c>
      <c r="N3404" t="s">
        <v>67</v>
      </c>
      <c r="O3404" t="s">
        <v>433</v>
      </c>
      <c r="P3404">
        <v>0</v>
      </c>
      <c r="Q3404" t="s">
        <v>463</v>
      </c>
      <c r="R3404" t="s">
        <v>51</v>
      </c>
      <c r="S3404">
        <v>1942</v>
      </c>
      <c r="T3404">
        <v>-777</v>
      </c>
      <c r="U3404" s="1">
        <v>15586</v>
      </c>
      <c r="V3404" s="2">
        <v>15586</v>
      </c>
      <c r="Z3404">
        <v>0</v>
      </c>
      <c r="AA3404">
        <v>3</v>
      </c>
      <c r="AB3404">
        <v>4</v>
      </c>
      <c r="AC3404">
        <v>2</v>
      </c>
      <c r="AF3404">
        <v>1999</v>
      </c>
      <c r="AG3404">
        <v>2000</v>
      </c>
      <c r="AH3404">
        <v>2.3933677608823798</v>
      </c>
      <c r="AI3404">
        <v>2215</v>
      </c>
      <c r="AJ3404">
        <v>1.00597353252513</v>
      </c>
      <c r="AK3404">
        <v>22.75</v>
      </c>
      <c r="AL3404">
        <v>1.12146175885583</v>
      </c>
      <c r="AM3404">
        <v>0.96142395642379197</v>
      </c>
      <c r="AN3404">
        <v>7</v>
      </c>
      <c r="AO3404" t="b">
        <v>0</v>
      </c>
      <c r="AT3404">
        <v>366</v>
      </c>
      <c r="AU3404">
        <f t="shared" si="161"/>
        <v>1.0029999999999999</v>
      </c>
    </row>
    <row r="3405" spans="1:47" x14ac:dyDescent="0.3">
      <c r="A3405">
        <v>3404</v>
      </c>
      <c r="B3405" t="s">
        <v>14104</v>
      </c>
      <c r="C3405" t="s">
        <v>14105</v>
      </c>
      <c r="D3405">
        <v>950</v>
      </c>
      <c r="E3405" t="s">
        <v>14089</v>
      </c>
      <c r="F3405" t="str">
        <f>VLOOKUP(E3405,country_continent!A:C,2,FALSE)</f>
        <v>Fiji</v>
      </c>
      <c r="G3405" t="str">
        <f>VLOOKUP(E3405,country_continent!A:C,3,FALSE)</f>
        <v>Oceania</v>
      </c>
      <c r="H3405" t="s">
        <v>14106</v>
      </c>
      <c r="I3405" s="1">
        <v>36673</v>
      </c>
      <c r="J3405" s="3">
        <f t="shared" si="159"/>
        <v>36673</v>
      </c>
      <c r="K3405" s="1">
        <v>36675</v>
      </c>
      <c r="L3405" s="3">
        <f t="shared" si="160"/>
        <v>36675</v>
      </c>
      <c r="M3405" t="s">
        <v>67</v>
      </c>
      <c r="N3405" t="s">
        <v>49</v>
      </c>
      <c r="O3405" t="s">
        <v>49</v>
      </c>
      <c r="P3405">
        <v>0</v>
      </c>
      <c r="Q3405" t="s">
        <v>50</v>
      </c>
      <c r="R3405" t="s">
        <v>51</v>
      </c>
      <c r="S3405">
        <v>1920</v>
      </c>
      <c r="T3405">
        <v>-777</v>
      </c>
      <c r="Z3405">
        <v>1</v>
      </c>
      <c r="AA3405">
        <v>1</v>
      </c>
      <c r="AB3405">
        <v>0</v>
      </c>
      <c r="AC3405">
        <v>0</v>
      </c>
      <c r="AF3405">
        <v>2000</v>
      </c>
      <c r="AG3405">
        <v>2000</v>
      </c>
      <c r="AH3405">
        <v>-2.7615429046785001</v>
      </c>
      <c r="AI3405">
        <v>2150</v>
      </c>
      <c r="AJ3405">
        <v>-4.7198738791705903</v>
      </c>
      <c r="AK3405">
        <v>22.7</v>
      </c>
      <c r="AL3405">
        <v>1.08577609197596</v>
      </c>
      <c r="AM3405">
        <v>1.0777720108451301</v>
      </c>
      <c r="AN3405">
        <v>6</v>
      </c>
      <c r="AO3405" t="b">
        <v>0</v>
      </c>
      <c r="AT3405">
        <v>2</v>
      </c>
      <c r="AU3405">
        <f t="shared" si="161"/>
        <v>5.0000000000000001E-3</v>
      </c>
    </row>
    <row r="3406" spans="1:47" x14ac:dyDescent="0.3">
      <c r="A3406">
        <v>3405</v>
      </c>
      <c r="B3406" t="s">
        <v>14107</v>
      </c>
      <c r="C3406" t="s">
        <v>14108</v>
      </c>
      <c r="D3406">
        <v>950</v>
      </c>
      <c r="E3406" t="s">
        <v>14089</v>
      </c>
      <c r="F3406" t="str">
        <f>VLOOKUP(E3406,country_continent!A:C,2,FALSE)</f>
        <v>Fiji</v>
      </c>
      <c r="G3406" t="str">
        <f>VLOOKUP(E3406,country_continent!A:C,3,FALSE)</f>
        <v>Oceania</v>
      </c>
      <c r="H3406" t="s">
        <v>14109</v>
      </c>
      <c r="I3406" s="1">
        <v>36675</v>
      </c>
      <c r="J3406" s="3">
        <f t="shared" si="159"/>
        <v>36675</v>
      </c>
      <c r="K3406" s="1">
        <v>36721</v>
      </c>
      <c r="L3406" s="3">
        <f t="shared" si="160"/>
        <v>36721</v>
      </c>
      <c r="M3406" t="s">
        <v>67</v>
      </c>
      <c r="N3406" t="s">
        <v>67</v>
      </c>
      <c r="O3406" t="s">
        <v>2001</v>
      </c>
      <c r="P3406">
        <v>0</v>
      </c>
      <c r="Q3406" t="s">
        <v>50</v>
      </c>
      <c r="R3406" t="s">
        <v>51</v>
      </c>
      <c r="S3406">
        <v>1954</v>
      </c>
      <c r="T3406">
        <v>-777</v>
      </c>
      <c r="U3406" s="1">
        <v>19841</v>
      </c>
      <c r="V3406" s="2">
        <v>19841</v>
      </c>
      <c r="Y3406" t="s">
        <v>14110</v>
      </c>
      <c r="Z3406">
        <v>1</v>
      </c>
      <c r="AA3406">
        <v>3</v>
      </c>
      <c r="AB3406">
        <v>8</v>
      </c>
      <c r="AC3406">
        <v>0</v>
      </c>
      <c r="AF3406">
        <v>2000</v>
      </c>
      <c r="AG3406">
        <v>2000</v>
      </c>
      <c r="AH3406">
        <v>-2.7615429046785001</v>
      </c>
      <c r="AI3406">
        <v>2150</v>
      </c>
      <c r="AJ3406">
        <v>-4.7198738791705903</v>
      </c>
      <c r="AK3406">
        <v>22.7</v>
      </c>
      <c r="AL3406">
        <v>1.08577609197596</v>
      </c>
      <c r="AM3406">
        <v>1.0777720108451301</v>
      </c>
      <c r="AN3406">
        <v>6</v>
      </c>
      <c r="AO3406" t="b">
        <v>0</v>
      </c>
      <c r="AT3406">
        <v>46</v>
      </c>
      <c r="AU3406">
        <f t="shared" si="161"/>
        <v>0.126</v>
      </c>
    </row>
    <row r="3407" spans="1:47" x14ac:dyDescent="0.3">
      <c r="A3407">
        <v>3406</v>
      </c>
      <c r="B3407" t="s">
        <v>14111</v>
      </c>
      <c r="C3407" t="s">
        <v>14112</v>
      </c>
      <c r="D3407">
        <v>950</v>
      </c>
      <c r="E3407" t="s">
        <v>14089</v>
      </c>
      <c r="F3407" t="str">
        <f>VLOOKUP(E3407,country_continent!A:C,2,FALSE)</f>
        <v>Fiji</v>
      </c>
      <c r="G3407" t="str">
        <f>VLOOKUP(E3407,country_continent!A:C,3,FALSE)</f>
        <v>Oceania</v>
      </c>
      <c r="H3407" t="s">
        <v>14113</v>
      </c>
      <c r="I3407" s="1">
        <v>36721</v>
      </c>
      <c r="J3407" s="3">
        <f t="shared" si="159"/>
        <v>36721</v>
      </c>
      <c r="K3407" s="1">
        <v>39056</v>
      </c>
      <c r="L3407" s="3">
        <f t="shared" si="160"/>
        <v>39056</v>
      </c>
      <c r="M3407" t="s">
        <v>49</v>
      </c>
      <c r="N3407" t="s">
        <v>67</v>
      </c>
      <c r="O3407" t="s">
        <v>376</v>
      </c>
      <c r="P3407">
        <v>0</v>
      </c>
      <c r="Q3407" t="s">
        <v>50</v>
      </c>
      <c r="R3407" t="s">
        <v>51</v>
      </c>
      <c r="S3407">
        <v>1941</v>
      </c>
      <c r="T3407">
        <v>-777</v>
      </c>
      <c r="Z3407">
        <v>0</v>
      </c>
      <c r="AA3407">
        <v>3</v>
      </c>
      <c r="AB3407">
        <v>6</v>
      </c>
      <c r="AC3407">
        <v>0</v>
      </c>
      <c r="AF3407">
        <v>2000</v>
      </c>
      <c r="AG3407">
        <v>2006</v>
      </c>
      <c r="AH3407">
        <v>0.78141314583233101</v>
      </c>
      <c r="AI3407">
        <v>2571.4285714285702</v>
      </c>
      <c r="AJ3407">
        <v>3.1543860804485799</v>
      </c>
      <c r="AK3407">
        <v>22.957142857142799</v>
      </c>
      <c r="AL3407">
        <v>0.97151146189172699</v>
      </c>
      <c r="AM3407">
        <v>0.99637002426713694</v>
      </c>
      <c r="AN3407">
        <v>4.29</v>
      </c>
      <c r="AO3407" t="b">
        <v>0</v>
      </c>
      <c r="AT3407">
        <v>2335</v>
      </c>
      <c r="AU3407">
        <f t="shared" si="161"/>
        <v>6.3970000000000002</v>
      </c>
    </row>
    <row r="3408" spans="1:47" x14ac:dyDescent="0.3">
      <c r="A3408">
        <v>3407</v>
      </c>
      <c r="B3408" t="s">
        <v>14114</v>
      </c>
      <c r="C3408" t="s">
        <v>14115</v>
      </c>
      <c r="D3408">
        <v>950</v>
      </c>
      <c r="E3408" t="s">
        <v>14089</v>
      </c>
      <c r="F3408" t="str">
        <f>VLOOKUP(E3408,country_continent!A:C,2,FALSE)</f>
        <v>Fiji</v>
      </c>
      <c r="G3408" t="str">
        <f>VLOOKUP(E3408,country_continent!A:C,3,FALSE)</f>
        <v>Oceania</v>
      </c>
      <c r="H3408" t="s">
        <v>14116</v>
      </c>
      <c r="I3408" s="1">
        <v>39056</v>
      </c>
      <c r="J3408" s="3">
        <f t="shared" si="159"/>
        <v>39056</v>
      </c>
      <c r="K3408" s="1">
        <v>39087</v>
      </c>
      <c r="L3408" s="3">
        <f t="shared" si="160"/>
        <v>39087</v>
      </c>
      <c r="M3408" t="s">
        <v>49</v>
      </c>
      <c r="N3408" t="s">
        <v>49</v>
      </c>
      <c r="O3408" t="s">
        <v>49</v>
      </c>
      <c r="P3408">
        <v>0</v>
      </c>
      <c r="Q3408" t="s">
        <v>50</v>
      </c>
      <c r="R3408" t="s">
        <v>51</v>
      </c>
      <c r="S3408">
        <v>1929</v>
      </c>
      <c r="T3408">
        <v>2011</v>
      </c>
      <c r="Z3408">
        <v>0</v>
      </c>
      <c r="AA3408">
        <v>1</v>
      </c>
      <c r="AB3408">
        <v>0</v>
      </c>
      <c r="AC3408">
        <v>0</v>
      </c>
      <c r="AF3408">
        <v>2006</v>
      </c>
      <c r="AG3408">
        <v>2007</v>
      </c>
      <c r="AH3408">
        <v>-0.368158490319558</v>
      </c>
      <c r="AI3408">
        <v>3435</v>
      </c>
      <c r="AJ3408">
        <v>3.3856076146006102</v>
      </c>
      <c r="AK3408">
        <v>23.5</v>
      </c>
      <c r="AL3408">
        <v>0.86806497346971101</v>
      </c>
      <c r="AM3408">
        <v>0.84488013284486496</v>
      </c>
      <c r="AN3408">
        <v>-3.5</v>
      </c>
      <c r="AO3408" t="b">
        <v>0</v>
      </c>
      <c r="AT3408">
        <v>31</v>
      </c>
      <c r="AU3408">
        <f t="shared" si="161"/>
        <v>8.5000000000000006E-2</v>
      </c>
    </row>
    <row r="3409" spans="1:47" x14ac:dyDescent="0.3">
      <c r="A3409">
        <v>3408</v>
      </c>
      <c r="B3409" t="s">
        <v>14117</v>
      </c>
      <c r="C3409" t="s">
        <v>14108</v>
      </c>
      <c r="D3409">
        <v>950</v>
      </c>
      <c r="E3409" t="s">
        <v>14089</v>
      </c>
      <c r="F3409" t="str">
        <f>VLOOKUP(E3409,country_continent!A:C,2,FALSE)</f>
        <v>Fiji</v>
      </c>
      <c r="G3409" t="str">
        <f>VLOOKUP(E3409,country_continent!A:C,3,FALSE)</f>
        <v>Oceania</v>
      </c>
      <c r="H3409" t="s">
        <v>14109</v>
      </c>
      <c r="I3409" s="1">
        <v>39087</v>
      </c>
      <c r="J3409" s="3">
        <f t="shared" si="159"/>
        <v>39087</v>
      </c>
      <c r="K3409" s="1">
        <v>42369</v>
      </c>
      <c r="L3409" s="3">
        <f t="shared" si="160"/>
        <v>42369</v>
      </c>
      <c r="M3409" t="s">
        <v>67</v>
      </c>
      <c r="N3409" t="s">
        <v>173</v>
      </c>
      <c r="O3409" t="s">
        <v>173</v>
      </c>
      <c r="P3409">
        <v>1</v>
      </c>
      <c r="Q3409" t="s">
        <v>174</v>
      </c>
      <c r="R3409" t="s">
        <v>51</v>
      </c>
      <c r="S3409">
        <v>1954</v>
      </c>
      <c r="T3409">
        <v>-777</v>
      </c>
      <c r="U3409" s="1">
        <v>19841</v>
      </c>
      <c r="V3409" s="2">
        <v>19841</v>
      </c>
      <c r="Z3409">
        <v>1</v>
      </c>
      <c r="AA3409">
        <v>-888</v>
      </c>
      <c r="AB3409">
        <v>-888</v>
      </c>
      <c r="AC3409">
        <v>-888</v>
      </c>
      <c r="AF3409">
        <v>2007</v>
      </c>
      <c r="AG3409">
        <v>2015</v>
      </c>
      <c r="AH3409">
        <v>1.9511422235131299</v>
      </c>
      <c r="AI3409">
        <v>3981.1111111111099</v>
      </c>
      <c r="AJ3409">
        <v>4.7142788392456003</v>
      </c>
      <c r="AK3409">
        <v>21.8333333333333</v>
      </c>
      <c r="AL3409">
        <v>0.34661479004333301</v>
      </c>
      <c r="AM3409">
        <v>1.39391863689117</v>
      </c>
      <c r="AN3409">
        <v>-2.67</v>
      </c>
      <c r="AO3409" t="b">
        <v>0</v>
      </c>
      <c r="AT3409">
        <v>3282</v>
      </c>
      <c r="AU3409">
        <f t="shared" si="161"/>
        <v>8.9920000000000009</v>
      </c>
    </row>
  </sheetData>
  <autoFilter ref="A1:AU3409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"/>
  <sheetViews>
    <sheetView workbookViewId="0">
      <selection activeCell="C13" sqref="C13"/>
    </sheetView>
  </sheetViews>
  <sheetFormatPr defaultRowHeight="14" x14ac:dyDescent="0.3"/>
  <cols>
    <col min="9" max="9" width="12.1640625" customWidth="1"/>
    <col min="10" max="10" width="10.25" customWidth="1"/>
    <col min="11" max="11" width="10" customWidth="1"/>
  </cols>
  <sheetData>
    <row r="1" spans="1:47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14311</v>
      </c>
      <c r="G1" s="7" t="s">
        <v>14310</v>
      </c>
      <c r="H1" s="7" t="s">
        <v>5</v>
      </c>
      <c r="I1" s="7" t="s">
        <v>6</v>
      </c>
      <c r="J1" s="7" t="s">
        <v>14118</v>
      </c>
      <c r="K1" s="7" t="s">
        <v>7</v>
      </c>
      <c r="L1" s="7" t="s">
        <v>14119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  <c r="AK1" s="7" t="s">
        <v>32</v>
      </c>
      <c r="AL1" s="7" t="s">
        <v>33</v>
      </c>
      <c r="AM1" s="7" t="s">
        <v>34</v>
      </c>
      <c r="AN1" s="7" t="s">
        <v>35</v>
      </c>
      <c r="AO1" s="7" t="s">
        <v>36</v>
      </c>
      <c r="AP1" s="7" t="s">
        <v>37</v>
      </c>
      <c r="AQ1" s="7" t="s">
        <v>38</v>
      </c>
      <c r="AR1" s="7" t="s">
        <v>39</v>
      </c>
      <c r="AS1" s="7" t="s">
        <v>40</v>
      </c>
      <c r="AT1" s="7" t="s">
        <v>41</v>
      </c>
      <c r="AU1" s="7" t="s">
        <v>42</v>
      </c>
    </row>
    <row r="2" spans="1:47" x14ac:dyDescent="0.3">
      <c r="A2">
        <v>1550</v>
      </c>
      <c r="B2" t="s">
        <v>6581</v>
      </c>
      <c r="C2" t="s">
        <v>6582</v>
      </c>
      <c r="D2">
        <v>290</v>
      </c>
      <c r="E2" t="s">
        <v>6583</v>
      </c>
      <c r="F2" t="str">
        <f>VLOOKUP(E2,country_continent!A:C,2,FALSE)</f>
        <v>Poland</v>
      </c>
      <c r="G2" t="str">
        <f>VLOOKUP(E2,country_continent!A:C,3,FALSE)</f>
        <v>Europe</v>
      </c>
      <c r="H2" t="s">
        <v>6584</v>
      </c>
      <c r="I2" s="1">
        <v>6890</v>
      </c>
      <c r="J2" s="3">
        <f t="shared" ref="J2:J6" si="0">IF(ISNUMBER(SEARCH("-", I2)), SUBSTITUTE(I2, "-", "/"), I2)</f>
        <v>6890</v>
      </c>
      <c r="K2" s="1">
        <v>6892</v>
      </c>
      <c r="L2" s="3">
        <f t="shared" ref="L2:L6" si="1">IF(ISNUMBER(SEARCH("-", K2)), SUBSTITUTE(K2, "-", "/"), K2)</f>
        <v>6892</v>
      </c>
      <c r="M2" t="s">
        <v>67</v>
      </c>
      <c r="N2" t="s">
        <v>49</v>
      </c>
      <c r="O2" t="s">
        <v>49</v>
      </c>
      <c r="P2">
        <v>0</v>
      </c>
      <c r="Q2" t="s">
        <v>50</v>
      </c>
      <c r="R2" t="s">
        <v>51</v>
      </c>
      <c r="S2">
        <v>1866</v>
      </c>
      <c r="T2">
        <v>1936</v>
      </c>
      <c r="U2" t="s">
        <v>6585</v>
      </c>
      <c r="V2" t="s">
        <v>6586</v>
      </c>
      <c r="W2" s="1">
        <v>13454</v>
      </c>
      <c r="X2" s="2">
        <v>13454</v>
      </c>
      <c r="Y2" t="s">
        <v>6587</v>
      </c>
      <c r="Z2">
        <v>1</v>
      </c>
      <c r="AA2">
        <v>1</v>
      </c>
      <c r="AB2">
        <v>0</v>
      </c>
      <c r="AC2">
        <v>0</v>
      </c>
      <c r="AF2">
        <v>1918</v>
      </c>
      <c r="AG2">
        <v>1918</v>
      </c>
      <c r="AO2" t="b">
        <v>0</v>
      </c>
      <c r="AT2">
        <v>2</v>
      </c>
      <c r="AU2">
        <v>5.4757015742641999E-3</v>
      </c>
    </row>
    <row r="3" spans="1:47" x14ac:dyDescent="0.3">
      <c r="A3">
        <v>1617</v>
      </c>
      <c r="B3" t="s">
        <v>6861</v>
      </c>
      <c r="C3" t="s">
        <v>6862</v>
      </c>
      <c r="D3">
        <v>315</v>
      </c>
      <c r="E3" t="s">
        <v>6863</v>
      </c>
      <c r="F3" t="str">
        <f>VLOOKUP(E3,country_continent!A:C,2,FALSE)</f>
        <v>Czechoslovakia</v>
      </c>
      <c r="G3" t="str">
        <f>VLOOKUP(E3,country_continent!A:C,3,FALSE)</f>
        <v>Europe</v>
      </c>
      <c r="H3" t="s">
        <v>6864</v>
      </c>
      <c r="I3" s="1">
        <v>6876</v>
      </c>
      <c r="J3" s="3">
        <f t="shared" si="0"/>
        <v>6876</v>
      </c>
      <c r="K3" s="1">
        <v>13132</v>
      </c>
      <c r="L3" s="3">
        <f t="shared" si="1"/>
        <v>13132</v>
      </c>
      <c r="M3" t="s">
        <v>49</v>
      </c>
      <c r="N3" t="s">
        <v>228</v>
      </c>
      <c r="O3" t="s">
        <v>49</v>
      </c>
      <c r="P3">
        <v>0</v>
      </c>
      <c r="Q3" t="s">
        <v>50</v>
      </c>
      <c r="R3" t="s">
        <v>51</v>
      </c>
      <c r="S3">
        <v>1850</v>
      </c>
      <c r="T3">
        <v>1937</v>
      </c>
      <c r="U3" t="s">
        <v>6865</v>
      </c>
      <c r="V3" t="s">
        <v>6866</v>
      </c>
      <c r="W3" s="1">
        <v>13772</v>
      </c>
      <c r="X3" s="2">
        <v>13772</v>
      </c>
      <c r="Z3">
        <v>0</v>
      </c>
      <c r="AA3">
        <v>2.0999998999999998</v>
      </c>
      <c r="AB3">
        <v>0</v>
      </c>
      <c r="AC3">
        <v>0</v>
      </c>
      <c r="AF3">
        <v>1918</v>
      </c>
      <c r="AG3">
        <v>1935</v>
      </c>
      <c r="AO3" t="b">
        <v>0</v>
      </c>
      <c r="AT3">
        <v>6256</v>
      </c>
      <c r="AU3">
        <v>17.127994524298401</v>
      </c>
    </row>
    <row r="4" spans="1:47" x14ac:dyDescent="0.3">
      <c r="A4">
        <v>1997</v>
      </c>
      <c r="B4" t="s">
        <v>8281</v>
      </c>
      <c r="C4" t="s">
        <v>8282</v>
      </c>
      <c r="D4">
        <v>366</v>
      </c>
      <c r="E4" t="s">
        <v>8283</v>
      </c>
      <c r="F4" t="str">
        <f>VLOOKUP(E4,country_continent!A:C,2,FALSE)</f>
        <v>Estonia</v>
      </c>
      <c r="G4" t="str">
        <f>VLOOKUP(E4,country_continent!A:C,3,FALSE)</f>
        <v>Europe</v>
      </c>
      <c r="H4" t="s">
        <v>8284</v>
      </c>
      <c r="I4" s="1">
        <v>6630</v>
      </c>
      <c r="J4" s="3">
        <f t="shared" si="0"/>
        <v>6630</v>
      </c>
      <c r="K4" s="1">
        <v>7068</v>
      </c>
      <c r="L4" s="3">
        <f t="shared" si="1"/>
        <v>7068</v>
      </c>
      <c r="M4" t="s">
        <v>49</v>
      </c>
      <c r="N4" t="s">
        <v>49</v>
      </c>
      <c r="O4" t="s">
        <v>49</v>
      </c>
      <c r="P4">
        <v>0</v>
      </c>
      <c r="Q4" t="s">
        <v>50</v>
      </c>
      <c r="R4" t="s">
        <v>51</v>
      </c>
      <c r="S4">
        <v>1874</v>
      </c>
      <c r="T4">
        <v>1956</v>
      </c>
      <c r="U4" t="s">
        <v>8285</v>
      </c>
      <c r="V4" t="s">
        <v>8286</v>
      </c>
      <c r="W4" s="1">
        <v>20472</v>
      </c>
      <c r="X4" s="2">
        <v>20472</v>
      </c>
      <c r="Y4" t="s">
        <v>8287</v>
      </c>
      <c r="Z4">
        <v>0</v>
      </c>
      <c r="AA4">
        <v>1</v>
      </c>
      <c r="AB4">
        <v>0</v>
      </c>
      <c r="AC4">
        <v>0</v>
      </c>
      <c r="AF4">
        <v>1918</v>
      </c>
      <c r="AG4">
        <v>1919</v>
      </c>
      <c r="AO4" t="b">
        <v>0</v>
      </c>
      <c r="AT4">
        <v>438</v>
      </c>
      <c r="AU4">
        <v>1.1991786447638599</v>
      </c>
    </row>
    <row r="5" spans="1:47" x14ac:dyDescent="0.3">
      <c r="A5">
        <v>1781</v>
      </c>
      <c r="B5" t="s">
        <v>7528</v>
      </c>
      <c r="C5" t="s">
        <v>7529</v>
      </c>
      <c r="D5">
        <v>345</v>
      </c>
      <c r="E5" t="s">
        <v>7530</v>
      </c>
      <c r="F5" t="str">
        <f>VLOOKUP(E5,country_continent!A:C,2,FALSE)</f>
        <v>Yugoslavia</v>
      </c>
      <c r="G5" t="str">
        <f>VLOOKUP(E5,country_continent!A:C,3,FALSE)</f>
        <v>Europe</v>
      </c>
      <c r="H5" t="s">
        <v>7460</v>
      </c>
      <c r="I5" s="1">
        <v>6910</v>
      </c>
      <c r="J5" s="3">
        <f t="shared" si="0"/>
        <v>6910</v>
      </c>
      <c r="K5" s="1">
        <v>12701</v>
      </c>
      <c r="L5" s="3">
        <f t="shared" si="1"/>
        <v>12701</v>
      </c>
      <c r="M5" t="s">
        <v>49</v>
      </c>
      <c r="N5" t="s">
        <v>67</v>
      </c>
      <c r="O5" t="s">
        <v>68</v>
      </c>
      <c r="P5">
        <v>1</v>
      </c>
      <c r="Q5" t="s">
        <v>69</v>
      </c>
      <c r="R5" t="s">
        <v>51</v>
      </c>
      <c r="S5">
        <v>1888</v>
      </c>
      <c r="T5">
        <v>1934</v>
      </c>
      <c r="Y5" t="s">
        <v>7463</v>
      </c>
      <c r="Z5">
        <v>0</v>
      </c>
      <c r="AA5">
        <v>3</v>
      </c>
      <c r="AB5">
        <v>11</v>
      </c>
      <c r="AC5">
        <v>3</v>
      </c>
      <c r="AF5">
        <v>1918</v>
      </c>
      <c r="AG5">
        <v>1934</v>
      </c>
      <c r="AO5" t="b">
        <v>0</v>
      </c>
      <c r="AT5">
        <v>5791</v>
      </c>
      <c r="AU5">
        <v>15.854893908282</v>
      </c>
    </row>
    <row r="6" spans="1:47" x14ac:dyDescent="0.3">
      <c r="A6">
        <v>2028</v>
      </c>
      <c r="B6" t="s">
        <v>8370</v>
      </c>
      <c r="C6" t="s">
        <v>8371</v>
      </c>
      <c r="D6">
        <v>367</v>
      </c>
      <c r="E6" t="s">
        <v>8372</v>
      </c>
      <c r="F6" t="str">
        <f>VLOOKUP(E6,country_continent!A:C,2,FALSE)</f>
        <v>Latvia</v>
      </c>
      <c r="G6" t="str">
        <f>VLOOKUP(E6,country_continent!A:C,3,FALSE)</f>
        <v>Europe</v>
      </c>
      <c r="H6" t="s">
        <v>8373</v>
      </c>
      <c r="I6" s="1">
        <v>6896</v>
      </c>
      <c r="J6" s="3">
        <f t="shared" si="0"/>
        <v>6896</v>
      </c>
      <c r="K6" s="1">
        <v>7051</v>
      </c>
      <c r="L6" s="3">
        <f t="shared" si="1"/>
        <v>7051</v>
      </c>
      <c r="M6" t="s">
        <v>67</v>
      </c>
      <c r="N6" t="s">
        <v>49</v>
      </c>
      <c r="O6" t="s">
        <v>49</v>
      </c>
      <c r="P6">
        <v>0</v>
      </c>
      <c r="Q6" t="s">
        <v>50</v>
      </c>
      <c r="R6" t="s">
        <v>51</v>
      </c>
      <c r="S6">
        <v>1877</v>
      </c>
      <c r="T6">
        <v>1942</v>
      </c>
      <c r="U6" t="s">
        <v>8374</v>
      </c>
      <c r="V6" t="s">
        <v>8375</v>
      </c>
      <c r="Y6" t="s">
        <v>8376</v>
      </c>
      <c r="Z6">
        <v>1</v>
      </c>
      <c r="AA6">
        <v>1</v>
      </c>
      <c r="AB6">
        <v>0</v>
      </c>
      <c r="AC6">
        <v>0</v>
      </c>
      <c r="AF6">
        <v>1918</v>
      </c>
      <c r="AG6">
        <v>1919</v>
      </c>
      <c r="AO6" t="b">
        <v>0</v>
      </c>
      <c r="AT6">
        <v>155</v>
      </c>
      <c r="AU6">
        <v>0.42436687200547502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87"/>
  <sheetViews>
    <sheetView zoomScale="118" workbookViewId="0">
      <selection activeCell="B118" sqref="B118"/>
    </sheetView>
  </sheetViews>
  <sheetFormatPr defaultRowHeight="14" x14ac:dyDescent="0.3"/>
  <cols>
    <col min="1" max="1" width="14.08203125" style="5" customWidth="1"/>
    <col min="2" max="2" width="24.08203125" style="5" customWidth="1"/>
    <col min="3" max="3" width="18.6640625" style="6" customWidth="1"/>
  </cols>
  <sheetData>
    <row r="1" spans="1:3" x14ac:dyDescent="0.3">
      <c r="A1" s="8" t="s">
        <v>14312</v>
      </c>
      <c r="B1" s="8" t="s">
        <v>14120</v>
      </c>
      <c r="C1" s="8" t="s">
        <v>14121</v>
      </c>
    </row>
    <row r="2" spans="1:3" hidden="1" x14ac:dyDescent="0.3">
      <c r="A2" s="4" t="s">
        <v>45</v>
      </c>
      <c r="B2" s="4" t="s">
        <v>14122</v>
      </c>
      <c r="C2" s="4" t="s">
        <v>14123</v>
      </c>
    </row>
    <row r="3" spans="1:3" hidden="1" x14ac:dyDescent="0.3">
      <c r="A3" s="4" t="s">
        <v>177</v>
      </c>
      <c r="B3" s="4" t="s">
        <v>14124</v>
      </c>
      <c r="C3" s="4" t="s">
        <v>14123</v>
      </c>
    </row>
    <row r="4" spans="1:3" hidden="1" x14ac:dyDescent="0.3">
      <c r="A4" s="4" t="s">
        <v>321</v>
      </c>
      <c r="B4" s="4" t="s">
        <v>14125</v>
      </c>
      <c r="C4" s="4" t="s">
        <v>14123</v>
      </c>
    </row>
    <row r="5" spans="1:3" hidden="1" x14ac:dyDescent="0.3">
      <c r="A5" s="4" t="s">
        <v>345</v>
      </c>
      <c r="B5" s="4" t="s">
        <v>14126</v>
      </c>
      <c r="C5" s="4" t="s">
        <v>14123</v>
      </c>
    </row>
    <row r="6" spans="1:3" hidden="1" x14ac:dyDescent="0.3">
      <c r="A6" s="4" t="s">
        <v>447</v>
      </c>
      <c r="B6" s="4" t="s">
        <v>14127</v>
      </c>
      <c r="C6" s="4" t="s">
        <v>14123</v>
      </c>
    </row>
    <row r="7" spans="1:3" hidden="1" x14ac:dyDescent="0.3">
      <c r="A7" s="4" t="s">
        <v>659</v>
      </c>
      <c r="B7" s="4" t="s">
        <v>14128</v>
      </c>
      <c r="C7" s="4" t="s">
        <v>14123</v>
      </c>
    </row>
    <row r="8" spans="1:3" hidden="1" x14ac:dyDescent="0.3">
      <c r="A8" s="4" t="s">
        <v>886</v>
      </c>
      <c r="B8" s="4" t="s">
        <v>14129</v>
      </c>
      <c r="C8" s="4" t="s">
        <v>14123</v>
      </c>
    </row>
    <row r="9" spans="1:3" hidden="1" x14ac:dyDescent="0.3">
      <c r="A9" s="4" t="s">
        <v>932</v>
      </c>
      <c r="B9" s="4" t="s">
        <v>14130</v>
      </c>
      <c r="C9" s="4" t="s">
        <v>14123</v>
      </c>
    </row>
    <row r="10" spans="1:3" hidden="1" x14ac:dyDescent="0.3">
      <c r="A10" s="4" t="s">
        <v>958</v>
      </c>
      <c r="B10" s="4" t="s">
        <v>14131</v>
      </c>
      <c r="C10" s="4" t="s">
        <v>14123</v>
      </c>
    </row>
    <row r="11" spans="1:3" hidden="1" x14ac:dyDescent="0.3">
      <c r="A11" s="4" t="s">
        <v>982</v>
      </c>
      <c r="B11" s="4" t="s">
        <v>14132</v>
      </c>
      <c r="C11" s="4" t="s">
        <v>14123</v>
      </c>
    </row>
    <row r="12" spans="1:3" hidden="1" x14ac:dyDescent="0.3">
      <c r="A12" s="4" t="s">
        <v>1133</v>
      </c>
      <c r="B12" s="4" t="s">
        <v>14133</v>
      </c>
      <c r="C12" s="4" t="s">
        <v>14123</v>
      </c>
    </row>
    <row r="13" spans="1:3" hidden="1" x14ac:dyDescent="0.3">
      <c r="A13" s="4" t="s">
        <v>1151</v>
      </c>
      <c r="B13" s="4" t="s">
        <v>14134</v>
      </c>
      <c r="C13" s="4" t="s">
        <v>14123</v>
      </c>
    </row>
    <row r="14" spans="1:3" hidden="1" x14ac:dyDescent="0.3">
      <c r="A14" s="4" t="s">
        <v>1293</v>
      </c>
      <c r="B14" s="4" t="s">
        <v>14135</v>
      </c>
      <c r="C14" s="4" t="s">
        <v>14123</v>
      </c>
    </row>
    <row r="15" spans="1:3" hidden="1" x14ac:dyDescent="0.3">
      <c r="A15" s="4" t="s">
        <v>1449</v>
      </c>
      <c r="B15" s="4" t="s">
        <v>14136</v>
      </c>
      <c r="C15" s="4" t="s">
        <v>14123</v>
      </c>
    </row>
    <row r="16" spans="1:3" hidden="1" x14ac:dyDescent="0.3">
      <c r="A16" s="4" t="s">
        <v>1593</v>
      </c>
      <c r="B16" s="4" t="s">
        <v>14137</v>
      </c>
      <c r="C16" s="4" t="s">
        <v>14123</v>
      </c>
    </row>
    <row r="17" spans="1:3" hidden="1" x14ac:dyDescent="0.3">
      <c r="A17" s="4" t="s">
        <v>1740</v>
      </c>
      <c r="B17" s="4" t="s">
        <v>14138</v>
      </c>
      <c r="C17" s="4" t="s">
        <v>14123</v>
      </c>
    </row>
    <row r="18" spans="1:3" hidden="1" x14ac:dyDescent="0.3">
      <c r="A18" s="4" t="s">
        <v>1907</v>
      </c>
      <c r="B18" s="4" t="s">
        <v>14139</v>
      </c>
      <c r="C18" s="4" t="s">
        <v>14123</v>
      </c>
    </row>
    <row r="19" spans="1:3" hidden="1" x14ac:dyDescent="0.3">
      <c r="A19" s="4" t="s">
        <v>2104</v>
      </c>
      <c r="B19" s="4" t="s">
        <v>14140</v>
      </c>
      <c r="C19" s="4" t="s">
        <v>14141</v>
      </c>
    </row>
    <row r="20" spans="1:3" hidden="1" x14ac:dyDescent="0.3">
      <c r="A20" s="4" t="s">
        <v>2322</v>
      </c>
      <c r="B20" s="4" t="s">
        <v>14142</v>
      </c>
      <c r="C20" s="4" t="s">
        <v>14141</v>
      </c>
    </row>
    <row r="21" spans="1:3" hidden="1" x14ac:dyDescent="0.3">
      <c r="A21" s="4" t="s">
        <v>2526</v>
      </c>
      <c r="B21" s="4" t="s">
        <v>14143</v>
      </c>
      <c r="C21" s="4" t="s">
        <v>14141</v>
      </c>
    </row>
    <row r="22" spans="1:3" hidden="1" x14ac:dyDescent="0.3">
      <c r="A22" s="4" t="s">
        <v>2559</v>
      </c>
      <c r="B22" s="4" t="s">
        <v>14144</v>
      </c>
      <c r="C22" s="4" t="s">
        <v>14141</v>
      </c>
    </row>
    <row r="23" spans="1:3" hidden="1" x14ac:dyDescent="0.3">
      <c r="A23" s="4" t="s">
        <v>2584</v>
      </c>
      <c r="B23" s="4" t="s">
        <v>14145</v>
      </c>
      <c r="C23" s="4" t="s">
        <v>14141</v>
      </c>
    </row>
    <row r="24" spans="1:3" hidden="1" x14ac:dyDescent="0.3">
      <c r="A24" s="4" t="s">
        <v>2830</v>
      </c>
      <c r="B24" s="4" t="s">
        <v>14146</v>
      </c>
      <c r="C24" s="4" t="s">
        <v>14141</v>
      </c>
    </row>
    <row r="25" spans="1:3" hidden="1" x14ac:dyDescent="0.3">
      <c r="A25" s="4" t="s">
        <v>3008</v>
      </c>
      <c r="B25" s="4" t="s">
        <v>14147</v>
      </c>
      <c r="C25" s="4" t="s">
        <v>14141</v>
      </c>
    </row>
    <row r="26" spans="1:3" hidden="1" x14ac:dyDescent="0.3">
      <c r="A26" s="4" t="s">
        <v>3185</v>
      </c>
      <c r="B26" s="4" t="s">
        <v>14148</v>
      </c>
      <c r="C26" s="4" t="s">
        <v>14141</v>
      </c>
    </row>
    <row r="27" spans="1:3" hidden="1" x14ac:dyDescent="0.3">
      <c r="A27" s="4" t="s">
        <v>3401</v>
      </c>
      <c r="B27" s="4" t="s">
        <v>14149</v>
      </c>
      <c r="C27" s="4" t="s">
        <v>14141</v>
      </c>
    </row>
    <row r="28" spans="1:3" hidden="1" x14ac:dyDescent="0.3">
      <c r="A28" s="4" t="s">
        <v>3595</v>
      </c>
      <c r="B28" s="4" t="s">
        <v>14150</v>
      </c>
      <c r="C28" s="4" t="s">
        <v>14141</v>
      </c>
    </row>
    <row r="29" spans="1:3" hidden="1" x14ac:dyDescent="0.3">
      <c r="A29" s="4" t="s">
        <v>3796</v>
      </c>
      <c r="B29" s="4" t="s">
        <v>14151</v>
      </c>
      <c r="C29" s="4" t="s">
        <v>14141</v>
      </c>
    </row>
    <row r="30" spans="1:3" hidden="1" x14ac:dyDescent="0.3">
      <c r="A30" s="4" t="s">
        <v>4021</v>
      </c>
      <c r="B30" s="4" t="s">
        <v>14152</v>
      </c>
      <c r="C30" s="4" t="s">
        <v>14141</v>
      </c>
    </row>
    <row r="31" spans="1:3" hidden="1" x14ac:dyDescent="0.3">
      <c r="A31" s="4" t="s">
        <v>4202</v>
      </c>
      <c r="B31" s="4" t="s">
        <v>14153</v>
      </c>
      <c r="C31" s="4" t="s">
        <v>14154</v>
      </c>
    </row>
    <row r="32" spans="1:3" hidden="1" x14ac:dyDescent="0.3">
      <c r="A32" s="4" t="s">
        <v>4393</v>
      </c>
      <c r="B32" s="4" t="s">
        <v>14155</v>
      </c>
      <c r="C32" s="4" t="s">
        <v>14154</v>
      </c>
    </row>
    <row r="33" spans="1:3" hidden="1" x14ac:dyDescent="0.3">
      <c r="A33" s="4" t="s">
        <v>4467</v>
      </c>
      <c r="B33" s="4" t="s">
        <v>14156</v>
      </c>
      <c r="C33" s="4" t="s">
        <v>14154</v>
      </c>
    </row>
    <row r="34" spans="1:3" hidden="1" x14ac:dyDescent="0.3">
      <c r="A34" s="4" t="s">
        <v>4655</v>
      </c>
      <c r="B34" s="4" t="s">
        <v>14157</v>
      </c>
      <c r="C34" s="4" t="s">
        <v>14154</v>
      </c>
    </row>
    <row r="35" spans="1:3" hidden="1" x14ac:dyDescent="0.3">
      <c r="A35" s="4" t="s">
        <v>4903</v>
      </c>
      <c r="B35" s="4" t="s">
        <v>14158</v>
      </c>
      <c r="C35" s="4" t="s">
        <v>14154</v>
      </c>
    </row>
    <row r="36" spans="1:3" hidden="1" x14ac:dyDescent="0.3">
      <c r="A36" s="4" t="s">
        <v>4986</v>
      </c>
      <c r="B36" s="4" t="s">
        <v>14159</v>
      </c>
      <c r="C36" s="4" t="s">
        <v>14154</v>
      </c>
    </row>
    <row r="37" spans="1:3" hidden="1" x14ac:dyDescent="0.3">
      <c r="A37" s="4" t="s">
        <v>5535</v>
      </c>
      <c r="B37" s="4" t="s">
        <v>14160</v>
      </c>
      <c r="C37" s="4" t="s">
        <v>14154</v>
      </c>
    </row>
    <row r="38" spans="1:3" hidden="1" x14ac:dyDescent="0.3">
      <c r="A38" s="4" t="s">
        <v>5985</v>
      </c>
      <c r="B38" s="4" t="s">
        <v>14161</v>
      </c>
      <c r="C38" s="4" t="s">
        <v>14154</v>
      </c>
    </row>
    <row r="39" spans="1:3" hidden="1" x14ac:dyDescent="0.3">
      <c r="A39" s="4" t="s">
        <v>6291</v>
      </c>
      <c r="B39" s="4" t="s">
        <v>14162</v>
      </c>
      <c r="C39" s="4" t="s">
        <v>14154</v>
      </c>
    </row>
    <row r="40" spans="1:3" hidden="1" x14ac:dyDescent="0.3">
      <c r="A40" s="4" t="s">
        <v>6391</v>
      </c>
      <c r="B40" s="4" t="s">
        <v>14163</v>
      </c>
      <c r="C40" s="4" t="s">
        <v>14154</v>
      </c>
    </row>
    <row r="41" spans="1:3" hidden="1" x14ac:dyDescent="0.3">
      <c r="A41" s="4" t="s">
        <v>6397</v>
      </c>
      <c r="B41" s="4" t="s">
        <v>14164</v>
      </c>
      <c r="C41" s="4" t="s">
        <v>14154</v>
      </c>
    </row>
    <row r="42" spans="1:3" hidden="1" x14ac:dyDescent="0.3">
      <c r="A42" s="4" t="s">
        <v>6524</v>
      </c>
      <c r="B42" s="4" t="s">
        <v>14165</v>
      </c>
      <c r="C42" s="4" t="s">
        <v>14154</v>
      </c>
    </row>
    <row r="43" spans="1:3" hidden="1" x14ac:dyDescent="0.3">
      <c r="A43" s="4" t="s">
        <v>6560</v>
      </c>
      <c r="B43" s="4" t="s">
        <v>14166</v>
      </c>
      <c r="C43" s="4" t="s">
        <v>14154</v>
      </c>
    </row>
    <row r="44" spans="1:3" hidden="1" x14ac:dyDescent="0.3">
      <c r="A44" s="4" t="s">
        <v>6583</v>
      </c>
      <c r="B44" s="4" t="s">
        <v>14167</v>
      </c>
      <c r="C44" s="4" t="s">
        <v>14154</v>
      </c>
    </row>
    <row r="45" spans="1:3" hidden="1" x14ac:dyDescent="0.3">
      <c r="A45" s="4" t="s">
        <v>6661</v>
      </c>
      <c r="B45" s="4" t="s">
        <v>14168</v>
      </c>
      <c r="C45" s="4" t="s">
        <v>14154</v>
      </c>
    </row>
    <row r="46" spans="1:3" hidden="1" x14ac:dyDescent="0.3">
      <c r="A46" s="4" t="s">
        <v>6675</v>
      </c>
      <c r="B46" s="4" t="s">
        <v>14169</v>
      </c>
      <c r="C46" s="4" t="s">
        <v>14154</v>
      </c>
    </row>
    <row r="47" spans="1:3" hidden="1" x14ac:dyDescent="0.3">
      <c r="A47" s="4" t="s">
        <v>6775</v>
      </c>
      <c r="B47" s="4" t="s">
        <v>14170</v>
      </c>
      <c r="C47" s="4" t="s">
        <v>14154</v>
      </c>
    </row>
    <row r="48" spans="1:3" hidden="1" x14ac:dyDescent="0.3">
      <c r="A48" s="4" t="s">
        <v>6863</v>
      </c>
      <c r="B48" s="4" t="s">
        <v>14171</v>
      </c>
      <c r="C48" s="4" t="s">
        <v>14154</v>
      </c>
    </row>
    <row r="49" spans="1:3" hidden="1" x14ac:dyDescent="0.3">
      <c r="A49" s="4" t="s">
        <v>6920</v>
      </c>
      <c r="B49" s="4" t="s">
        <v>14172</v>
      </c>
      <c r="C49" s="4" t="s">
        <v>14154</v>
      </c>
    </row>
    <row r="50" spans="1:3" hidden="1" x14ac:dyDescent="0.3">
      <c r="A50" s="4" t="s">
        <v>6954</v>
      </c>
      <c r="B50" s="4" t="s">
        <v>14173</v>
      </c>
      <c r="C50" s="4" t="s">
        <v>14154</v>
      </c>
    </row>
    <row r="51" spans="1:3" hidden="1" x14ac:dyDescent="0.3">
      <c r="A51" s="4" t="s">
        <v>6974</v>
      </c>
      <c r="B51" s="4" t="s">
        <v>14174</v>
      </c>
      <c r="C51" s="4" t="s">
        <v>14154</v>
      </c>
    </row>
    <row r="52" spans="1:3" hidden="1" x14ac:dyDescent="0.3">
      <c r="A52" s="4" t="s">
        <v>7315</v>
      </c>
      <c r="B52" s="4" t="s">
        <v>14175</v>
      </c>
      <c r="C52" s="4" t="s">
        <v>14154</v>
      </c>
    </row>
    <row r="53" spans="1:3" hidden="1" x14ac:dyDescent="0.3">
      <c r="A53" s="4" t="s">
        <v>7341</v>
      </c>
      <c r="B53" s="4" t="s">
        <v>14176</v>
      </c>
      <c r="C53" s="4" t="s">
        <v>14154</v>
      </c>
    </row>
    <row r="54" spans="1:3" hidden="1" x14ac:dyDescent="0.3">
      <c r="A54" s="4" t="s">
        <v>7442</v>
      </c>
      <c r="B54" s="4" t="s">
        <v>14177</v>
      </c>
      <c r="C54" s="4" t="s">
        <v>14154</v>
      </c>
    </row>
    <row r="55" spans="1:3" hidden="1" x14ac:dyDescent="0.3">
      <c r="A55" s="4" t="s">
        <v>7479</v>
      </c>
      <c r="B55" s="4" t="s">
        <v>14178</v>
      </c>
      <c r="C55" s="4" t="s">
        <v>14154</v>
      </c>
    </row>
    <row r="56" spans="1:3" hidden="1" x14ac:dyDescent="0.3">
      <c r="A56" s="4" t="s">
        <v>7484</v>
      </c>
      <c r="B56" s="4" t="s">
        <v>14179</v>
      </c>
      <c r="C56" s="4" t="s">
        <v>14154</v>
      </c>
    </row>
    <row r="57" spans="1:3" hidden="1" x14ac:dyDescent="0.3">
      <c r="A57" s="4" t="s">
        <v>7509</v>
      </c>
      <c r="B57" s="4" t="s">
        <v>14180</v>
      </c>
      <c r="C57" s="4" t="s">
        <v>14154</v>
      </c>
    </row>
    <row r="58" spans="1:3" hidden="1" x14ac:dyDescent="0.3">
      <c r="A58" s="4" t="s">
        <v>7530</v>
      </c>
      <c r="B58" s="4" t="s">
        <v>14181</v>
      </c>
      <c r="C58" s="4" t="s">
        <v>14154</v>
      </c>
    </row>
    <row r="59" spans="1:3" hidden="1" x14ac:dyDescent="0.3">
      <c r="A59" s="4" t="s">
        <v>7586</v>
      </c>
      <c r="B59" s="4" t="s">
        <v>14182</v>
      </c>
      <c r="C59" s="4" t="s">
        <v>14154</v>
      </c>
    </row>
    <row r="60" spans="1:3" hidden="1" x14ac:dyDescent="0.3">
      <c r="A60" s="4" t="s">
        <v>7648</v>
      </c>
      <c r="B60" s="4" t="s">
        <v>14183</v>
      </c>
      <c r="C60" s="4" t="s">
        <v>14154</v>
      </c>
    </row>
    <row r="61" spans="1:3" hidden="1" x14ac:dyDescent="0.3">
      <c r="A61" s="4" t="s">
        <v>7655</v>
      </c>
      <c r="B61" s="4" t="s">
        <v>14184</v>
      </c>
      <c r="C61" s="4" t="s">
        <v>14154</v>
      </c>
    </row>
    <row r="62" spans="1:3" hidden="1" x14ac:dyDescent="0.3">
      <c r="A62" s="4" t="s">
        <v>7689</v>
      </c>
      <c r="B62" s="4" t="s">
        <v>14185</v>
      </c>
      <c r="C62" s="4" t="s">
        <v>14154</v>
      </c>
    </row>
    <row r="63" spans="1:3" hidden="1" x14ac:dyDescent="0.3">
      <c r="A63" s="4" t="s">
        <v>7990</v>
      </c>
      <c r="B63" s="4" t="s">
        <v>14186</v>
      </c>
      <c r="C63" s="4" t="s">
        <v>14154</v>
      </c>
    </row>
    <row r="64" spans="1:3" hidden="1" x14ac:dyDescent="0.3">
      <c r="A64" s="4" t="s">
        <v>8019</v>
      </c>
      <c r="B64" s="4" t="s">
        <v>14187</v>
      </c>
      <c r="C64" s="4" t="s">
        <v>14154</v>
      </c>
    </row>
    <row r="65" spans="1:3" hidden="1" x14ac:dyDescent="0.3">
      <c r="A65" s="4" t="s">
        <v>8106</v>
      </c>
      <c r="B65" s="4" t="s">
        <v>14188</v>
      </c>
      <c r="C65" s="4" t="s">
        <v>14154</v>
      </c>
    </row>
    <row r="66" spans="1:3" hidden="1" x14ac:dyDescent="0.3">
      <c r="A66" s="4" t="s">
        <v>8138</v>
      </c>
      <c r="B66" s="4" t="s">
        <v>14189</v>
      </c>
      <c r="C66" s="4" t="s">
        <v>14154</v>
      </c>
    </row>
    <row r="67" spans="1:3" hidden="1" x14ac:dyDescent="0.3">
      <c r="A67" s="4" t="s">
        <v>8210</v>
      </c>
      <c r="B67" s="4" t="s">
        <v>14190</v>
      </c>
      <c r="C67" s="4" t="s">
        <v>14313</v>
      </c>
    </row>
    <row r="68" spans="1:3" hidden="1" x14ac:dyDescent="0.3">
      <c r="A68" s="4" t="s">
        <v>8283</v>
      </c>
      <c r="B68" s="4" t="s">
        <v>14191</v>
      </c>
      <c r="C68" s="4" t="s">
        <v>14154</v>
      </c>
    </row>
    <row r="69" spans="1:3" hidden="1" x14ac:dyDescent="0.3">
      <c r="A69" s="4" t="s">
        <v>8372</v>
      </c>
      <c r="B69" s="4" t="s">
        <v>14192</v>
      </c>
      <c r="C69" s="4" t="s">
        <v>14154</v>
      </c>
    </row>
    <row r="70" spans="1:3" hidden="1" x14ac:dyDescent="0.3">
      <c r="A70" s="4" t="s">
        <v>8463</v>
      </c>
      <c r="B70" s="4" t="s">
        <v>14193</v>
      </c>
      <c r="C70" s="4" t="s">
        <v>14154</v>
      </c>
    </row>
    <row r="71" spans="1:3" hidden="1" x14ac:dyDescent="0.3">
      <c r="A71" s="4" t="s">
        <v>8511</v>
      </c>
      <c r="B71" s="4" t="s">
        <v>14194</v>
      </c>
      <c r="C71" s="4" t="s">
        <v>14154</v>
      </c>
    </row>
    <row r="72" spans="1:3" hidden="1" x14ac:dyDescent="0.3">
      <c r="A72" s="4" t="s">
        <v>8532</v>
      </c>
      <c r="B72" s="4" t="s">
        <v>14195</v>
      </c>
      <c r="C72" s="4" t="s">
        <v>14154</v>
      </c>
    </row>
    <row r="73" spans="1:3" hidden="1" x14ac:dyDescent="0.3">
      <c r="A73" s="4" t="s">
        <v>8547</v>
      </c>
      <c r="B73" s="4" t="s">
        <v>14196</v>
      </c>
      <c r="C73" s="4" t="s">
        <v>14197</v>
      </c>
    </row>
    <row r="74" spans="1:3" hidden="1" x14ac:dyDescent="0.3">
      <c r="A74" s="4" t="s">
        <v>8558</v>
      </c>
      <c r="B74" s="4" t="s">
        <v>14198</v>
      </c>
      <c r="C74" s="4" t="s">
        <v>14197</v>
      </c>
    </row>
    <row r="75" spans="1:3" hidden="1" x14ac:dyDescent="0.3">
      <c r="A75" s="4" t="s">
        <v>8585</v>
      </c>
      <c r="B75" s="4" t="s">
        <v>14199</v>
      </c>
      <c r="C75" s="4" t="s">
        <v>14197</v>
      </c>
    </row>
    <row r="76" spans="1:3" hidden="1" x14ac:dyDescent="0.3">
      <c r="A76" s="4" t="s">
        <v>8611</v>
      </c>
      <c r="B76" s="4" t="s">
        <v>14200</v>
      </c>
      <c r="C76" s="4" t="s">
        <v>14154</v>
      </c>
    </row>
    <row r="77" spans="1:3" hidden="1" x14ac:dyDescent="0.3">
      <c r="A77" s="4" t="s">
        <v>8675</v>
      </c>
      <c r="B77" s="4" t="s">
        <v>14201</v>
      </c>
      <c r="C77" s="4" t="s">
        <v>14154</v>
      </c>
    </row>
    <row r="78" spans="1:3" hidden="1" x14ac:dyDescent="0.3">
      <c r="A78" s="4" t="s">
        <v>8914</v>
      </c>
      <c r="B78" s="4" t="s">
        <v>14202</v>
      </c>
      <c r="C78" s="4" t="s">
        <v>14154</v>
      </c>
    </row>
    <row r="79" spans="1:3" hidden="1" x14ac:dyDescent="0.3">
      <c r="A79" s="4" t="s">
        <v>9100</v>
      </c>
      <c r="B79" s="4" t="s">
        <v>14203</v>
      </c>
      <c r="C79" s="4" t="s">
        <v>14154</v>
      </c>
    </row>
    <row r="80" spans="1:3" hidden="1" x14ac:dyDescent="0.3">
      <c r="A80" s="4" t="s">
        <v>9305</v>
      </c>
      <c r="B80" s="4" t="s">
        <v>14204</v>
      </c>
      <c r="C80" s="4" t="s">
        <v>14154</v>
      </c>
    </row>
    <row r="81" spans="1:3" x14ac:dyDescent="0.3">
      <c r="A81" s="4" t="s">
        <v>9414</v>
      </c>
      <c r="B81" s="4" t="s">
        <v>14205</v>
      </c>
      <c r="C81" s="4" t="s">
        <v>14206</v>
      </c>
    </row>
    <row r="82" spans="1:3" x14ac:dyDescent="0.3">
      <c r="A82" s="4" t="s">
        <v>9428</v>
      </c>
      <c r="B82" s="4" t="s">
        <v>14207</v>
      </c>
      <c r="C82" s="4" t="s">
        <v>14206</v>
      </c>
    </row>
    <row r="83" spans="1:3" x14ac:dyDescent="0.3">
      <c r="A83" s="4" t="s">
        <v>9467</v>
      </c>
      <c r="B83" s="4" t="s">
        <v>14208</v>
      </c>
      <c r="C83" s="4" t="s">
        <v>14206</v>
      </c>
    </row>
    <row r="84" spans="1:3" x14ac:dyDescent="0.3">
      <c r="A84" s="4" t="s">
        <v>9480</v>
      </c>
      <c r="B84" s="4" t="s">
        <v>14209</v>
      </c>
      <c r="C84" s="4" t="s">
        <v>14206</v>
      </c>
    </row>
    <row r="85" spans="1:3" x14ac:dyDescent="0.3">
      <c r="A85" s="4" t="s">
        <v>9488</v>
      </c>
      <c r="B85" s="4" t="s">
        <v>14210</v>
      </c>
      <c r="C85" s="4" t="s">
        <v>14206</v>
      </c>
    </row>
    <row r="86" spans="1:3" x14ac:dyDescent="0.3">
      <c r="A86" s="4" t="s">
        <v>9512</v>
      </c>
      <c r="B86" s="4" t="s">
        <v>14211</v>
      </c>
      <c r="C86" s="4" t="s">
        <v>14206</v>
      </c>
    </row>
    <row r="87" spans="1:3" x14ac:dyDescent="0.3">
      <c r="A87" s="4" t="s">
        <v>9531</v>
      </c>
      <c r="B87" s="4" t="s">
        <v>14212</v>
      </c>
      <c r="C87" s="4" t="s">
        <v>14206</v>
      </c>
    </row>
    <row r="88" spans="1:3" x14ac:dyDescent="0.3">
      <c r="A88" s="4" t="s">
        <v>9575</v>
      </c>
      <c r="B88" s="4" t="s">
        <v>14213</v>
      </c>
      <c r="C88" s="4" t="s">
        <v>14206</v>
      </c>
    </row>
    <row r="89" spans="1:3" x14ac:dyDescent="0.3">
      <c r="A89" s="4" t="s">
        <v>9623</v>
      </c>
      <c r="B89" s="4" t="s">
        <v>14214</v>
      </c>
      <c r="C89" s="4" t="s">
        <v>14206</v>
      </c>
    </row>
    <row r="90" spans="1:3" x14ac:dyDescent="0.3">
      <c r="A90" s="4" t="s">
        <v>9656</v>
      </c>
      <c r="B90" s="4" t="s">
        <v>14215</v>
      </c>
      <c r="C90" s="4" t="s">
        <v>14206</v>
      </c>
    </row>
    <row r="91" spans="1:3" x14ac:dyDescent="0.3">
      <c r="A91" s="4" t="s">
        <v>9674</v>
      </c>
      <c r="B91" s="4" t="s">
        <v>14216</v>
      </c>
      <c r="C91" s="4" t="s">
        <v>14206</v>
      </c>
    </row>
    <row r="92" spans="1:3" x14ac:dyDescent="0.3">
      <c r="A92" s="4" t="s">
        <v>9704</v>
      </c>
      <c r="B92" s="4" t="s">
        <v>14217</v>
      </c>
      <c r="C92" s="4" t="s">
        <v>14206</v>
      </c>
    </row>
    <row r="93" spans="1:3" x14ac:dyDescent="0.3">
      <c r="A93" s="4" t="s">
        <v>9741</v>
      </c>
      <c r="B93" s="4" t="s">
        <v>14218</v>
      </c>
      <c r="C93" s="4" t="s">
        <v>14206</v>
      </c>
    </row>
    <row r="94" spans="1:3" x14ac:dyDescent="0.3">
      <c r="A94" s="4" t="s">
        <v>9865</v>
      </c>
      <c r="B94" s="4" t="s">
        <v>14219</v>
      </c>
      <c r="C94" s="4" t="s">
        <v>14206</v>
      </c>
    </row>
    <row r="95" spans="1:3" x14ac:dyDescent="0.3">
      <c r="A95" s="4" t="s">
        <v>9910</v>
      </c>
      <c r="B95" s="4" t="s">
        <v>14220</v>
      </c>
      <c r="C95" s="4" t="s">
        <v>14206</v>
      </c>
    </row>
    <row r="96" spans="1:3" x14ac:dyDescent="0.3">
      <c r="A96" s="4" t="s">
        <v>9953</v>
      </c>
      <c r="B96" s="4" t="s">
        <v>14221</v>
      </c>
      <c r="C96" s="4" t="s">
        <v>14206</v>
      </c>
    </row>
    <row r="97" spans="1:3" x14ac:dyDescent="0.3">
      <c r="A97" s="4" t="s">
        <v>9978</v>
      </c>
      <c r="B97" s="4" t="s">
        <v>14222</v>
      </c>
      <c r="C97" s="4" t="s">
        <v>14206</v>
      </c>
    </row>
    <row r="98" spans="1:3" x14ac:dyDescent="0.3">
      <c r="A98" s="4" t="s">
        <v>9989</v>
      </c>
      <c r="B98" s="4" t="s">
        <v>14223</v>
      </c>
      <c r="C98" s="4" t="s">
        <v>14206</v>
      </c>
    </row>
    <row r="99" spans="1:3" x14ac:dyDescent="0.3">
      <c r="A99" s="4" t="s">
        <v>10056</v>
      </c>
      <c r="B99" s="4" t="s">
        <v>14224</v>
      </c>
      <c r="C99" s="4" t="s">
        <v>14206</v>
      </c>
    </row>
    <row r="100" spans="1:3" x14ac:dyDescent="0.3">
      <c r="A100" s="4" t="s">
        <v>10080</v>
      </c>
      <c r="B100" s="4" t="s">
        <v>14225</v>
      </c>
      <c r="C100" s="4" t="s">
        <v>14206</v>
      </c>
    </row>
    <row r="101" spans="1:3" x14ac:dyDescent="0.3">
      <c r="A101" s="4" t="s">
        <v>10110</v>
      </c>
      <c r="B101" s="4" t="s">
        <v>14226</v>
      </c>
      <c r="C101" s="4" t="s">
        <v>14206</v>
      </c>
    </row>
    <row r="102" spans="1:3" x14ac:dyDescent="0.3">
      <c r="A102" s="4" t="s">
        <v>10128</v>
      </c>
      <c r="B102" s="4" t="s">
        <v>14227</v>
      </c>
      <c r="C102" s="4" t="s">
        <v>14206</v>
      </c>
    </row>
    <row r="103" spans="1:3" ht="28" x14ac:dyDescent="0.3">
      <c r="A103" s="4" t="s">
        <v>10159</v>
      </c>
      <c r="B103" s="4" t="s">
        <v>14228</v>
      </c>
      <c r="C103" s="4" t="s">
        <v>14206</v>
      </c>
    </row>
    <row r="104" spans="1:3" x14ac:dyDescent="0.3">
      <c r="A104" s="4" t="s">
        <v>10187</v>
      </c>
      <c r="B104" s="4" t="s">
        <v>14229</v>
      </c>
      <c r="C104" s="4" t="s">
        <v>14206</v>
      </c>
    </row>
    <row r="105" spans="1:3" x14ac:dyDescent="0.3">
      <c r="A105" s="4" t="s">
        <v>10212</v>
      </c>
      <c r="B105" s="4" t="s">
        <v>14230</v>
      </c>
      <c r="C105" s="4" t="s">
        <v>14206</v>
      </c>
    </row>
    <row r="106" spans="1:3" x14ac:dyDescent="0.3">
      <c r="A106" s="4" t="s">
        <v>10229</v>
      </c>
      <c r="B106" s="4" t="s">
        <v>14231</v>
      </c>
      <c r="C106" s="4" t="s">
        <v>14206</v>
      </c>
    </row>
    <row r="107" spans="1:3" x14ac:dyDescent="0.3">
      <c r="A107" s="4" t="s">
        <v>10252</v>
      </c>
      <c r="B107" s="4" t="s">
        <v>14232</v>
      </c>
      <c r="C107" s="4" t="s">
        <v>14206</v>
      </c>
    </row>
    <row r="108" spans="1:3" x14ac:dyDescent="0.3">
      <c r="A108" s="4" t="s">
        <v>10259</v>
      </c>
      <c r="B108" s="4" t="s">
        <v>14233</v>
      </c>
      <c r="C108" s="4" t="s">
        <v>14206</v>
      </c>
    </row>
    <row r="109" spans="1:3" x14ac:dyDescent="0.3">
      <c r="A109" s="4" t="s">
        <v>10300</v>
      </c>
      <c r="B109" s="4" t="s">
        <v>14234</v>
      </c>
      <c r="C109" s="4" t="s">
        <v>14206</v>
      </c>
    </row>
    <row r="110" spans="1:3" x14ac:dyDescent="0.3">
      <c r="A110" s="4" t="s">
        <v>10315</v>
      </c>
      <c r="B110" s="4" t="s">
        <v>14235</v>
      </c>
      <c r="C110" s="4" t="s">
        <v>14206</v>
      </c>
    </row>
    <row r="111" spans="1:3" x14ac:dyDescent="0.3">
      <c r="A111" s="4" t="s">
        <v>10335</v>
      </c>
      <c r="B111" s="4" t="s">
        <v>14236</v>
      </c>
      <c r="C111" s="4" t="s">
        <v>14206</v>
      </c>
    </row>
    <row r="112" spans="1:3" x14ac:dyDescent="0.3">
      <c r="A112" s="4" t="s">
        <v>10345</v>
      </c>
      <c r="B112" s="4" t="s">
        <v>14237</v>
      </c>
      <c r="C112" s="4" t="s">
        <v>14206</v>
      </c>
    </row>
    <row r="113" spans="1:3" x14ac:dyDescent="0.3">
      <c r="A113" s="4" t="s">
        <v>10407</v>
      </c>
      <c r="B113" s="4" t="s">
        <v>14238</v>
      </c>
      <c r="C113" s="4" t="s">
        <v>14206</v>
      </c>
    </row>
    <row r="114" spans="1:3" x14ac:dyDescent="0.3">
      <c r="A114" s="4" t="s">
        <v>10416</v>
      </c>
      <c r="B114" s="4" t="s">
        <v>14239</v>
      </c>
      <c r="C114" s="4" t="s">
        <v>14206</v>
      </c>
    </row>
    <row r="115" spans="1:3" x14ac:dyDescent="0.3">
      <c r="A115" s="4" t="s">
        <v>10434</v>
      </c>
      <c r="B115" s="4" t="s">
        <v>14240</v>
      </c>
      <c r="C115" s="4" t="s">
        <v>14206</v>
      </c>
    </row>
    <row r="116" spans="1:3" x14ac:dyDescent="0.3">
      <c r="A116" s="4" t="s">
        <v>10466</v>
      </c>
      <c r="B116" s="4" t="s">
        <v>14241</v>
      </c>
      <c r="C116" s="4" t="s">
        <v>14206</v>
      </c>
    </row>
    <row r="117" spans="1:3" x14ac:dyDescent="0.3">
      <c r="A117" s="4" t="s">
        <v>10478</v>
      </c>
      <c r="B117" s="4" t="s">
        <v>14242</v>
      </c>
      <c r="C117" s="4" t="s">
        <v>14206</v>
      </c>
    </row>
    <row r="118" spans="1:3" x14ac:dyDescent="0.3">
      <c r="A118" s="4" t="s">
        <v>10499</v>
      </c>
      <c r="B118" s="4" t="s">
        <v>14243</v>
      </c>
      <c r="C118" s="4" t="s">
        <v>14206</v>
      </c>
    </row>
    <row r="119" spans="1:3" x14ac:dyDescent="0.3">
      <c r="A119" s="4" t="s">
        <v>10589</v>
      </c>
      <c r="B119" s="4" t="s">
        <v>14244</v>
      </c>
      <c r="C119" s="4" t="s">
        <v>14206</v>
      </c>
    </row>
    <row r="120" spans="1:3" x14ac:dyDescent="0.3">
      <c r="A120" s="4" t="s">
        <v>10622</v>
      </c>
      <c r="B120" s="4" t="s">
        <v>14245</v>
      </c>
      <c r="C120" s="4" t="s">
        <v>14206</v>
      </c>
    </row>
    <row r="121" spans="1:3" x14ac:dyDescent="0.3">
      <c r="A121" s="4" t="s">
        <v>10654</v>
      </c>
      <c r="B121" s="4" t="s">
        <v>14246</v>
      </c>
      <c r="C121" s="4" t="s">
        <v>14206</v>
      </c>
    </row>
    <row r="122" spans="1:3" x14ac:dyDescent="0.3">
      <c r="A122" s="4" t="s">
        <v>10665</v>
      </c>
      <c r="B122" s="4" t="s">
        <v>14247</v>
      </c>
      <c r="C122" s="4" t="s">
        <v>14206</v>
      </c>
    </row>
    <row r="123" spans="1:3" x14ac:dyDescent="0.3">
      <c r="A123" s="4" t="s">
        <v>10693</v>
      </c>
      <c r="B123" s="4" t="s">
        <v>14248</v>
      </c>
      <c r="C123" s="4" t="s">
        <v>14206</v>
      </c>
    </row>
    <row r="124" spans="1:3" x14ac:dyDescent="0.3">
      <c r="A124" s="4" t="s">
        <v>10715</v>
      </c>
      <c r="B124" s="4" t="s">
        <v>14249</v>
      </c>
      <c r="C124" s="4" t="s">
        <v>14206</v>
      </c>
    </row>
    <row r="125" spans="1:3" x14ac:dyDescent="0.3">
      <c r="A125" s="4" t="s">
        <v>10730</v>
      </c>
      <c r="B125" s="4" t="s">
        <v>14250</v>
      </c>
      <c r="C125" s="4" t="s">
        <v>14206</v>
      </c>
    </row>
    <row r="126" spans="1:3" x14ac:dyDescent="0.3">
      <c r="A126" s="4" t="s">
        <v>10780</v>
      </c>
      <c r="B126" s="4" t="s">
        <v>14251</v>
      </c>
      <c r="C126" s="4" t="s">
        <v>14206</v>
      </c>
    </row>
    <row r="127" spans="1:3" x14ac:dyDescent="0.3">
      <c r="A127" s="4" t="s">
        <v>10834</v>
      </c>
      <c r="B127" s="4" t="s">
        <v>14252</v>
      </c>
      <c r="C127" s="4" t="s">
        <v>14206</v>
      </c>
    </row>
    <row r="128" spans="1:3" x14ac:dyDescent="0.3">
      <c r="A128" s="4" t="s">
        <v>10863</v>
      </c>
      <c r="B128" s="4" t="s">
        <v>14253</v>
      </c>
      <c r="C128" s="4" t="s">
        <v>14206</v>
      </c>
    </row>
    <row r="129" spans="1:3" x14ac:dyDescent="0.3">
      <c r="A129" s="4" t="s">
        <v>10890</v>
      </c>
      <c r="B129" s="4" t="s">
        <v>14254</v>
      </c>
      <c r="C129" s="4" t="s">
        <v>14206</v>
      </c>
    </row>
    <row r="130" spans="1:3" x14ac:dyDescent="0.3">
      <c r="A130" s="4" t="s">
        <v>10931</v>
      </c>
      <c r="B130" s="4" t="s">
        <v>14255</v>
      </c>
      <c r="C130" s="4" t="s">
        <v>14206</v>
      </c>
    </row>
    <row r="131" spans="1:3" x14ac:dyDescent="0.3">
      <c r="A131" s="4" t="s">
        <v>10971</v>
      </c>
      <c r="B131" s="4" t="s">
        <v>14256</v>
      </c>
      <c r="C131" s="4" t="s">
        <v>14206</v>
      </c>
    </row>
    <row r="132" spans="1:3" x14ac:dyDescent="0.3">
      <c r="A132" s="4" t="s">
        <v>11007</v>
      </c>
      <c r="B132" s="4" t="s">
        <v>14257</v>
      </c>
      <c r="C132" s="4" t="s">
        <v>14206</v>
      </c>
    </row>
    <row r="133" spans="1:3" hidden="1" x14ac:dyDescent="0.3">
      <c r="A133" s="4" t="s">
        <v>11062</v>
      </c>
      <c r="B133" s="4" t="s">
        <v>14258</v>
      </c>
      <c r="C133" s="4" t="s">
        <v>14197</v>
      </c>
    </row>
    <row r="134" spans="1:3" hidden="1" x14ac:dyDescent="0.3">
      <c r="A134" s="4" t="s">
        <v>11134</v>
      </c>
      <c r="B134" s="4" t="s">
        <v>14259</v>
      </c>
      <c r="C134" s="4" t="s">
        <v>14314</v>
      </c>
    </row>
    <row r="135" spans="1:3" hidden="1" x14ac:dyDescent="0.3">
      <c r="A135" s="4" t="s">
        <v>11286</v>
      </c>
      <c r="B135" s="4" t="s">
        <v>14260</v>
      </c>
      <c r="C135" s="4" t="s">
        <v>14197</v>
      </c>
    </row>
    <row r="136" spans="1:3" x14ac:dyDescent="0.3">
      <c r="A136" s="4" t="s">
        <v>11363</v>
      </c>
      <c r="B136" s="4" t="s">
        <v>14261</v>
      </c>
      <c r="C136" s="4" t="s">
        <v>14315</v>
      </c>
    </row>
    <row r="137" spans="1:3" hidden="1" x14ac:dyDescent="0.3">
      <c r="A137" s="4" t="s">
        <v>11411</v>
      </c>
      <c r="B137" s="4" t="s">
        <v>14262</v>
      </c>
      <c r="C137" s="4" t="s">
        <v>14197</v>
      </c>
    </row>
    <row r="138" spans="1:3" hidden="1" x14ac:dyDescent="0.3">
      <c r="A138" s="4" t="s">
        <v>11482</v>
      </c>
      <c r="B138" s="4" t="s">
        <v>14263</v>
      </c>
      <c r="C138" s="4" t="s">
        <v>14197</v>
      </c>
    </row>
    <row r="139" spans="1:3" hidden="1" x14ac:dyDescent="0.3">
      <c r="A139" s="4" t="s">
        <v>11544</v>
      </c>
      <c r="B139" s="4" t="s">
        <v>14264</v>
      </c>
      <c r="C139" s="4" t="s">
        <v>14197</v>
      </c>
    </row>
    <row r="140" spans="1:3" hidden="1" x14ac:dyDescent="0.3">
      <c r="A140" s="4" t="s">
        <v>11563</v>
      </c>
      <c r="B140" s="4" t="s">
        <v>14265</v>
      </c>
      <c r="C140" s="4" t="s">
        <v>14197</v>
      </c>
    </row>
    <row r="141" spans="1:3" hidden="1" x14ac:dyDescent="0.3">
      <c r="A141" s="4" t="s">
        <v>11642</v>
      </c>
      <c r="B141" s="4" t="s">
        <v>14266</v>
      </c>
      <c r="C141" s="4" t="s">
        <v>14197</v>
      </c>
    </row>
    <row r="142" spans="1:3" hidden="1" x14ac:dyDescent="0.3">
      <c r="A142" s="4" t="s">
        <v>11676</v>
      </c>
      <c r="B142" s="4" t="s">
        <v>14267</v>
      </c>
      <c r="C142" s="4" t="s">
        <v>14197</v>
      </c>
    </row>
    <row r="143" spans="1:3" hidden="1" x14ac:dyDescent="0.3">
      <c r="A143" s="4" t="s">
        <v>11708</v>
      </c>
      <c r="B143" s="4" t="s">
        <v>14316</v>
      </c>
      <c r="C143" s="4" t="s">
        <v>14197</v>
      </c>
    </row>
    <row r="144" spans="1:3" hidden="1" x14ac:dyDescent="0.3">
      <c r="A144" s="4" t="s">
        <v>11725</v>
      </c>
      <c r="B144" s="4" t="s">
        <v>14268</v>
      </c>
      <c r="C144" s="4" t="s">
        <v>14197</v>
      </c>
    </row>
    <row r="145" spans="1:3" hidden="1" x14ac:dyDescent="0.3">
      <c r="A145" s="4" t="s">
        <v>11744</v>
      </c>
      <c r="B145" s="4" t="s">
        <v>14269</v>
      </c>
      <c r="C145" s="4" t="s">
        <v>14197</v>
      </c>
    </row>
    <row r="146" spans="1:3" hidden="1" x14ac:dyDescent="0.3">
      <c r="A146" s="4" t="s">
        <v>11751</v>
      </c>
      <c r="B146" s="4" t="s">
        <v>14270</v>
      </c>
      <c r="C146" s="4" t="s">
        <v>14197</v>
      </c>
    </row>
    <row r="147" spans="1:3" hidden="1" x14ac:dyDescent="0.3">
      <c r="A147" s="4" t="s">
        <v>11764</v>
      </c>
      <c r="B147" s="4" t="s">
        <v>14271</v>
      </c>
      <c r="C147" s="4" t="s">
        <v>14197</v>
      </c>
    </row>
    <row r="148" spans="1:3" hidden="1" x14ac:dyDescent="0.3">
      <c r="A148" s="4" t="s">
        <v>11771</v>
      </c>
      <c r="B148" s="4" t="s">
        <v>14272</v>
      </c>
      <c r="C148" s="4" t="s">
        <v>14197</v>
      </c>
    </row>
    <row r="149" spans="1:3" hidden="1" x14ac:dyDescent="0.3">
      <c r="A149" s="4" t="s">
        <v>11791</v>
      </c>
      <c r="B149" s="4" t="s">
        <v>14273</v>
      </c>
      <c r="C149" s="4" t="s">
        <v>14197</v>
      </c>
    </row>
    <row r="150" spans="1:3" hidden="1" x14ac:dyDescent="0.3">
      <c r="A150" s="4" t="s">
        <v>11925</v>
      </c>
      <c r="B150" s="4" t="s">
        <v>14274</v>
      </c>
      <c r="C150" s="4" t="s">
        <v>14197</v>
      </c>
    </row>
    <row r="151" spans="1:3" hidden="1" x14ac:dyDescent="0.3">
      <c r="A151" s="4" t="s">
        <v>11933</v>
      </c>
      <c r="B151" s="4" t="s">
        <v>14275</v>
      </c>
      <c r="C151" s="4" t="s">
        <v>14197</v>
      </c>
    </row>
    <row r="152" spans="1:3" hidden="1" x14ac:dyDescent="0.3">
      <c r="A152" s="4" t="s">
        <v>11947</v>
      </c>
      <c r="B152" s="4" t="s">
        <v>14276</v>
      </c>
      <c r="C152" s="4" t="s">
        <v>14197</v>
      </c>
    </row>
    <row r="153" spans="1:3" hidden="1" x14ac:dyDescent="0.3">
      <c r="A153" s="4" t="s">
        <v>11970</v>
      </c>
      <c r="B153" s="4" t="s">
        <v>14277</v>
      </c>
      <c r="C153" s="4" t="s">
        <v>14197</v>
      </c>
    </row>
    <row r="154" spans="1:3" hidden="1" x14ac:dyDescent="0.3">
      <c r="A154" s="4" t="s">
        <v>12114</v>
      </c>
      <c r="B154" s="4" t="s">
        <v>14278</v>
      </c>
      <c r="C154" s="4" t="s">
        <v>14197</v>
      </c>
    </row>
    <row r="155" spans="1:3" hidden="1" x14ac:dyDescent="0.3">
      <c r="A155" s="4" t="s">
        <v>12197</v>
      </c>
      <c r="B155" s="4" t="s">
        <v>14279</v>
      </c>
      <c r="C155" s="4" t="s">
        <v>14197</v>
      </c>
    </row>
    <row r="156" spans="1:3" hidden="1" x14ac:dyDescent="0.3">
      <c r="A156" s="4" t="s">
        <v>12205</v>
      </c>
      <c r="B156" s="4" t="s">
        <v>14280</v>
      </c>
      <c r="C156" s="4" t="s">
        <v>14197</v>
      </c>
    </row>
    <row r="157" spans="1:3" hidden="1" x14ac:dyDescent="0.3">
      <c r="A157" s="4" t="s">
        <v>12219</v>
      </c>
      <c r="B157" s="4" t="s">
        <v>14281</v>
      </c>
      <c r="C157" s="4" t="s">
        <v>14197</v>
      </c>
    </row>
    <row r="158" spans="1:3" hidden="1" x14ac:dyDescent="0.3">
      <c r="A158" s="4" t="s">
        <v>12268</v>
      </c>
      <c r="B158" s="4" t="s">
        <v>14282</v>
      </c>
      <c r="C158" s="4" t="s">
        <v>14197</v>
      </c>
    </row>
    <row r="159" spans="1:3" hidden="1" x14ac:dyDescent="0.3">
      <c r="A159" s="4" t="s">
        <v>12664</v>
      </c>
      <c r="B159" s="4" t="s">
        <v>14283</v>
      </c>
      <c r="C159" s="4" t="s">
        <v>14197</v>
      </c>
    </row>
    <row r="160" spans="1:3" hidden="1" x14ac:dyDescent="0.3">
      <c r="A160" s="4" t="s">
        <v>12746</v>
      </c>
      <c r="B160" s="4" t="s">
        <v>14284</v>
      </c>
      <c r="C160" s="4" t="s">
        <v>14197</v>
      </c>
    </row>
    <row r="161" spans="1:3" hidden="1" x14ac:dyDescent="0.3">
      <c r="A161" s="4" t="s">
        <v>12782</v>
      </c>
      <c r="B161" s="4" t="s">
        <v>14285</v>
      </c>
      <c r="C161" s="4" t="s">
        <v>14197</v>
      </c>
    </row>
    <row r="162" spans="1:3" hidden="1" x14ac:dyDescent="0.3">
      <c r="A162" s="4" t="s">
        <v>12880</v>
      </c>
      <c r="B162" s="4" t="s">
        <v>14286</v>
      </c>
      <c r="C162" s="4" t="s">
        <v>14197</v>
      </c>
    </row>
    <row r="163" spans="1:3" hidden="1" x14ac:dyDescent="0.3">
      <c r="A163" s="4" t="s">
        <v>12930</v>
      </c>
      <c r="B163" s="4" t="s">
        <v>14287</v>
      </c>
      <c r="C163" s="4" t="s">
        <v>14197</v>
      </c>
    </row>
    <row r="164" spans="1:3" hidden="1" x14ac:dyDescent="0.3">
      <c r="A164" s="4" t="s">
        <v>12977</v>
      </c>
      <c r="B164" s="4" t="s">
        <v>14288</v>
      </c>
      <c r="C164" s="4" t="s">
        <v>14197</v>
      </c>
    </row>
    <row r="165" spans="1:3" hidden="1" x14ac:dyDescent="0.3">
      <c r="A165" s="4" t="s">
        <v>13034</v>
      </c>
      <c r="B165" s="4" t="s">
        <v>14289</v>
      </c>
      <c r="C165" s="4" t="s">
        <v>14197</v>
      </c>
    </row>
    <row r="166" spans="1:3" hidden="1" x14ac:dyDescent="0.3">
      <c r="A166" s="4" t="s">
        <v>13063</v>
      </c>
      <c r="B166" s="4" t="s">
        <v>14290</v>
      </c>
      <c r="C166" s="4" t="s">
        <v>14197</v>
      </c>
    </row>
    <row r="167" spans="1:3" hidden="1" x14ac:dyDescent="0.3">
      <c r="A167" s="4" t="s">
        <v>13201</v>
      </c>
      <c r="B167" s="4" t="s">
        <v>14291</v>
      </c>
      <c r="C167" s="4" t="s">
        <v>14197</v>
      </c>
    </row>
    <row r="168" spans="1:3" hidden="1" x14ac:dyDescent="0.3">
      <c r="A168" s="4" t="s">
        <v>13369</v>
      </c>
      <c r="B168" s="4" t="s">
        <v>14292</v>
      </c>
      <c r="C168" s="4" t="s">
        <v>14197</v>
      </c>
    </row>
    <row r="169" spans="1:3" hidden="1" x14ac:dyDescent="0.3">
      <c r="A169" s="4" t="s">
        <v>13393</v>
      </c>
      <c r="B169" s="4" t="s">
        <v>14293</v>
      </c>
      <c r="C169" s="4" t="s">
        <v>14197</v>
      </c>
    </row>
    <row r="170" spans="1:3" hidden="1" x14ac:dyDescent="0.3">
      <c r="A170" s="4" t="s">
        <v>13443</v>
      </c>
      <c r="B170" s="4" t="s">
        <v>14294</v>
      </c>
      <c r="C170" s="4" t="s">
        <v>14197</v>
      </c>
    </row>
    <row r="171" spans="1:3" ht="28" hidden="1" x14ac:dyDescent="0.3">
      <c r="A171" s="4" t="s">
        <v>13471</v>
      </c>
      <c r="B171" s="4" t="s">
        <v>14295</v>
      </c>
      <c r="C171" s="4" t="s">
        <v>14197</v>
      </c>
    </row>
    <row r="172" spans="1:3" hidden="1" x14ac:dyDescent="0.3">
      <c r="A172" s="4" t="s">
        <v>13501</v>
      </c>
      <c r="B172" s="4" t="s">
        <v>14296</v>
      </c>
      <c r="C172" s="4" t="s">
        <v>14197</v>
      </c>
    </row>
    <row r="173" spans="1:3" hidden="1" x14ac:dyDescent="0.3">
      <c r="A173" s="4" t="s">
        <v>13530</v>
      </c>
      <c r="B173" s="4" t="s">
        <v>14297</v>
      </c>
      <c r="C173" s="4" t="s">
        <v>14197</v>
      </c>
    </row>
    <row r="174" spans="1:3" hidden="1" x14ac:dyDescent="0.3">
      <c r="A174" s="4" t="s">
        <v>13568</v>
      </c>
      <c r="B174" s="4" t="s">
        <v>14298</v>
      </c>
      <c r="C174" s="4" t="s">
        <v>14197</v>
      </c>
    </row>
    <row r="175" spans="1:3" hidden="1" x14ac:dyDescent="0.3">
      <c r="A175" s="4" t="s">
        <v>13587</v>
      </c>
      <c r="B175" s="4" t="s">
        <v>14299</v>
      </c>
      <c r="C175" s="4" t="s">
        <v>14197</v>
      </c>
    </row>
    <row r="176" spans="1:3" hidden="1" x14ac:dyDescent="0.3">
      <c r="A176" s="4" t="s">
        <v>13648</v>
      </c>
      <c r="B176" s="4" t="s">
        <v>14300</v>
      </c>
      <c r="C176" s="4" t="s">
        <v>14197</v>
      </c>
    </row>
    <row r="177" spans="1:3" hidden="1" x14ac:dyDescent="0.3">
      <c r="A177" s="4" t="s">
        <v>13690</v>
      </c>
      <c r="B177" s="4" t="s">
        <v>14301</v>
      </c>
      <c r="C177" s="4" t="s">
        <v>14197</v>
      </c>
    </row>
    <row r="178" spans="1:3" hidden="1" x14ac:dyDescent="0.3">
      <c r="A178" s="4" t="s">
        <v>13705</v>
      </c>
      <c r="B178" s="4" t="s">
        <v>14302</v>
      </c>
      <c r="C178" s="4" t="s">
        <v>14303</v>
      </c>
    </row>
    <row r="179" spans="1:3" hidden="1" x14ac:dyDescent="0.3">
      <c r="A179" s="4" t="s">
        <v>13886</v>
      </c>
      <c r="B179" s="4" t="s">
        <v>14304</v>
      </c>
      <c r="C179" s="4" t="s">
        <v>14303</v>
      </c>
    </row>
    <row r="180" spans="1:3" hidden="1" x14ac:dyDescent="0.3">
      <c r="A180" s="4" t="s">
        <v>13924</v>
      </c>
      <c r="B180" s="4" t="s">
        <v>14305</v>
      </c>
      <c r="C180" s="4" t="s">
        <v>14303</v>
      </c>
    </row>
    <row r="181" spans="1:3" hidden="1" x14ac:dyDescent="0.3">
      <c r="A181" s="4" t="s">
        <v>14049</v>
      </c>
      <c r="B181" s="4" t="s">
        <v>14306</v>
      </c>
      <c r="C181" s="4" t="s">
        <v>14303</v>
      </c>
    </row>
    <row r="182" spans="1:3" hidden="1" x14ac:dyDescent="0.3">
      <c r="A182" s="4" t="s">
        <v>14089</v>
      </c>
      <c r="B182" s="4" t="s">
        <v>14307</v>
      </c>
      <c r="C182" s="4" t="s">
        <v>14303</v>
      </c>
    </row>
    <row r="183" spans="1:3" hidden="1" x14ac:dyDescent="0.3">
      <c r="A183" s="5" t="s">
        <v>14317</v>
      </c>
      <c r="B183" t="s">
        <v>14318</v>
      </c>
      <c r="C183" s="4" t="s">
        <v>14197</v>
      </c>
    </row>
    <row r="184" spans="1:3" hidden="1" x14ac:dyDescent="0.3">
      <c r="A184" t="s">
        <v>11965</v>
      </c>
      <c r="B184" s="5" t="s">
        <v>14319</v>
      </c>
      <c r="C184" s="4" t="s">
        <v>14197</v>
      </c>
    </row>
    <row r="185" spans="1:3" hidden="1" x14ac:dyDescent="0.3">
      <c r="A185" s="5" t="s">
        <v>11961</v>
      </c>
      <c r="B185" s="5" t="s">
        <v>14320</v>
      </c>
      <c r="C185" s="4" t="s">
        <v>14197</v>
      </c>
    </row>
    <row r="186" spans="1:3" hidden="1" x14ac:dyDescent="0.3">
      <c r="A186" t="s">
        <v>11058</v>
      </c>
      <c r="B186" s="5" t="s">
        <v>14321</v>
      </c>
      <c r="C186" s="4" t="s">
        <v>14197</v>
      </c>
    </row>
    <row r="187" spans="1:3" x14ac:dyDescent="0.3">
      <c r="A187" s="5" t="s">
        <v>10403</v>
      </c>
      <c r="B187" s="5" t="s">
        <v>14322</v>
      </c>
      <c r="C187" s="6" t="s">
        <v>14323</v>
      </c>
    </row>
  </sheetData>
  <autoFilter ref="A1:C187">
    <filterColumn colId="2">
      <filters>
        <filter val="Africa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archigos 8.0</vt:lpstr>
      <vt:lpstr>Sheet1</vt:lpstr>
      <vt:lpstr>country_continent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Freezing</dc:creator>
  <cp:lastModifiedBy>DH</cp:lastModifiedBy>
  <dcterms:created xsi:type="dcterms:W3CDTF">2025-11-19T11:45:28Z</dcterms:created>
  <dcterms:modified xsi:type="dcterms:W3CDTF">2025-12-09T07:28:39Z</dcterms:modified>
</cp:coreProperties>
</file>